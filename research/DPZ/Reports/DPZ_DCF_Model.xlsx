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<sst xmlns="http://schemas.openxmlformats.org/spreadsheetml/2006/main" count="375" uniqueCount="170">
  <si>
    <t xml:space="preserve">Ticker</t>
  </si>
  <si>
    <t xml:space="preserve">DPZ</t>
  </si>
  <si>
    <t xml:space="preserve">Company</t>
  </si>
  <si>
    <t xml:space="preserve">Domino's Pizza,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</si>
  <si>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</si>
  <si>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</si>
  <si>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</si>
  <si>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</si>
  <si>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 (Yahoo chart API)</t>
  </si>
  <si>
    <t xml:space="preserve">Balance sheet date</t>
  </si>
  <si>
    <t xml:space="preserve">2026-06-14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</si>
  <si>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</si>
  <si>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</si>
  <si>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</si>
  <si>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</si>
  <si>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</si>
  <si>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</si>
  <si>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</si>
  <si>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</si>
  <si>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</si>
  <si>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</si>
  <si>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2026-09-26T01:36:30Z</t>
  </si>
  <si>
    <t xml:space="preserve">Drivers file</t>
  </si>
  <si>
    <t xml:space="preserve">DPZ_Drivers.json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</si>
  <si>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</si>
  <si>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</si>
  <si>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</si>
  <si>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Domino's is valued as an unlevered, asset-light franchisor/distributor: component-built owner FCF (SBC and equity-award withholding fully expensed, share count flat) discounted at a 7.5% USD WACC, with the full $4.9B securitised debt deducted once in the equity bridge. Negative book equity is a financing choice, so book-value anchors are ignored and revenue CAGR is the growth anchor. The price sits after a ~30% 2026 de-rating on weak US comps; the question the model answers is whether a ~4% grower with 14-15% owner-FCF margins is worth more than ~17x forward unlevered FCF.
key_risks_to_valuation: US same-store sales stay near zero (H1 FY2026 0.1-0.9%): the bear path (2% growth, 21% margin, 14x exit) is worth $170/share, 42% below the price; Domino's Pizza Enterprises distress drags international royalties and unit growth; Leverage: $4.9B securitised debt against ~$9.7B market cap makes equity value ~1.5x as sensitive to EV as an unlevered peer; Discount rate: the 18x terminal cap binds at WACC &lt;= 7.5%, so terminal growth barely moves the base value, but each 1pp of WACC moves it ~$45-65/share (8.5% -&gt; $260, 6.5% -&gt; $340); terminal value is ~60% of base EV; Excluded restricted/ad-fund cash (~$4-6/share) and the FY2026 53rd week are both small but move FY2026-27 optics; Metrics.csv FY2021/FY2022 rows are mislabelled by one fiscal year and FY2022 is missing - dashboard history charts will show a shifted series until the parser fixes it</t>
  </si>
  <si>
    <t xml:space="preserve">Data sources</t>
  </si>
  <si>
    <t xml:space="preserve">price: Yahoo Finance chart API at inputs.price_as_of; 52-week range 282.00-442.35
financials: DPZ_Metrics.csv (SEC XBRL) for FY2023-Q2 FY2026; SEC XBRL companyfacts (CIK 1286681) for FY2020-FY2022 revenue/EPS/OCF/capex (CSV rows mislabelled), income taxes paid, interest paid, finance-lease and operating-lease liabilities, restricted cash, diluted weighted shares Q2 FY2026
qualitative: DPZ_Analysis.json (2026-09), FY2026 guidance as reaffirmed with Q2 FY2026 results (July 2026)</t>
  </si>
  <si>
    <t xml:space="preserve">Scenario narrative: bear</t>
  </si>
  <si>
    <t xml:space="preserve">The value war persists: US comps stay near zero, delivery keeps declining, franchisee four-wall margins are squeezed by labour and food inflation, and Domino's has to concede supply-chain margin and fund promotions to protect franchisee economics, taking adj. EBITDA margin down to 21%. DPE's distress spreads to further closures and slower international development; unit growth halves to ~2%. Capex rises to 2.6% as supply-chain and technology investment continues regardless. Refinancing of securitised tranches at higher coupons does not change unlevered value but caps capital returns. A 2%-growth franchisor gets 14x at exit.</t>
  </si>
  <si>
    <t xml:space="preserve">Scenario narrative: base</t>
  </si>
  <si>
    <t xml:space="preserve">US comps recover from the H1 FY2026 0.1-0.9% trough to low single digits as the loyalty programme (37M active members), the new e-commerce platform and the DoorDash marketplace channel offset a soft consumer, while weaker rivals (Pizza Hut's ~250 US closures, Papa John's) cede share. International adds ~800 net stores a year but DPE's Japan/Europe closures keep international comps near flat for another year or two. Revenue compounds ~3.8% (the 5-yr history), adj. EBITDA margin edges from 22.0% to 22.8% on supply-chain volume leverage, capex stays ~2.4% of revenue. The Joe Jordan CEO transition is continuity, not a pivot.</t>
  </si>
  <si>
    <t xml:space="preserve">Scenario narrative: bull</t>
  </si>
  <si>
    <t xml:space="preserve">Share gains accelerate: the pizza category consolidates toward Domino's as competitors shrink, delivery order frequency recovers with consumer sentiment, and loyalty/app economics lift US comps to 3-4%. DPE completes its restructuring and international royalty growth returns to mid-single digits on ~4% unit growth. Supply-chain centres run at higher utilisation, pushing adj. EBITDA margin to 24% by FY2031, and a durable franchisor with 5%+ growth earns a 20x terminal multiple at 3% perpetual growth.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</si>
  <si>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</si>
  <si>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</si>
  <si>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</si>
  <si>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</si>
  <si>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</si>
  <si>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</si>
  <si>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</si>
  <si>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</si>
  <si>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</si>
  <si>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</si>
  <si>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</si>
  <si>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</si>
  <si>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</si>
  <si>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</si>
  <si>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</si>
  <si>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</si>
  <si>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</si>
  <si>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</si>
  <si>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</si>
  <si>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</si>
  <si>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</si>
  <si>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</si>
  <si>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</si>
  <si>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</si>
  <si>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</si>
  <si>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</si>
  <si>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</si>
  <si>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</si>
  <si>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</si>
  <si>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</si>
  <si>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</si>
  <si>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</si>
  <si>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</si>
  <si>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FY2016</t>
  </si>
  <si>
    <t xml:space="preserve">FY2017</t>
  </si>
  <si>
    <t xml:space="preserve">FY2018</t>
  </si>
  <si>
    <t xml:space="preserve">FY2019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</si>
  <si>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</si>
  <si>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</si>
  <si>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</si>
  <si>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</si>
  <si>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</si>
  <si>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</si>
  <si>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</si>
  <si>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</si>
  <si>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</si>
  <si>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</si>
  <si>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</si>
  <si>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</si>
  <si>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</si>
  <si>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</si>
  <si>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</si>
  <si>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</si>
  <si>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</si>
  <si>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</si>
  <si>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</si>
  <si>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</si>
  <si>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</si>
  <si>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</si>
  <si>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</si>
  <si>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</si>
  <si>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</si>
  <si>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</si>
  <si>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</si>
  <si>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</si>
  <si>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</si>
  <si>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</si>
  <si>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</si>
  <si>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</si>
  <si>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</si>
  <si>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</si>
  <si>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</si>
  <si>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</si>
  <si>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</si>
  <si>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</si>
  <si>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</si>
  <si>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</si>
  <si>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</si>
  <si>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</si>
  <si>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DPZ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</si>
  <si>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</si>
  <si>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</si>
  <si>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</si>
  <si>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</si>
  <si>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</si>
  <si>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</si>
  <si>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</si>
  <si>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</si>
  <si>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</si>
  <si>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</si>
  <si>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</si>
  <si>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</si>
  <si>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</si>
  <si>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</si>
  <si>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</si>
  <si>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</si>
  <si>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</si>
  <si>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</si>
  <si>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</si>
  <si>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</si>
  <si>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</si>
  <si>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</si>
  <si>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</si>
  <si>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</si>
  <si>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</si>
  <si>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</si>
  <si>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</si>
  <si>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</si>
  <si>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</si>
  <si>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</si>
  <si>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DPZ owner-FCF component DCF: base case (millions, USD)</t>
  </si>
  <si>
    <t xml:space="preserve">DPZ owner-FCF component DCF: bull case (millions, USD)</t>
  </si>
  <si>
    <t xml:space="preserve">DPZ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</si>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</sst>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292.14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45.372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1404.057</v>
      </c>
      <c r="C3" s="0" t="n">
        <v>1017.081</v>
      </c>
      <c r="D3" s="0" t="n">
        <v>386.976</v>
      </c>
      <c r="E3" s="0" t="n">
        <v>27.5612742217731</v>
      </c>
      <c r="F3" s="0" t="n">
        <v>189.509</v>
      </c>
      <c r="G3" s="0" t="n">
        <v>13.4972440577555</v>
      </c>
      <c r="H3" s="0" t="n">
        <v>213.573</v>
      </c>
      <c r="I3" s="0" t="n">
        <v>79.744</v>
      </c>
      <c r="J3" s="0" t="n">
        <v>5.67954150009579</v>
      </c>
      <c r="K3" s="0" t="n">
        <v>1.39</v>
      </c>
      <c r="L3" s="0" t="n">
        <v>101.274</v>
      </c>
      <c r="M3" s="0" t="n">
        <v>22.87</v>
      </c>
      <c r="N3" s="0" t="n">
        <v>78.404</v>
      </c>
      <c r="S3" s="0" t="n">
        <v>42.392</v>
      </c>
      <c r="T3" s="0" t="n">
        <v>57.827697</v>
      </c>
      <c r="U3" s="0" t="n">
        <v>17.254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1570.894</v>
      </c>
      <c r="C4" s="0" t="n">
        <v>1132.305</v>
      </c>
      <c r="D4" s="0" t="n">
        <v>438.589</v>
      </c>
      <c r="E4" s="0" t="n">
        <v>27.9197068675544</v>
      </c>
      <c r="F4" s="0" t="n">
        <v>227.702</v>
      </c>
      <c r="G4" s="0" t="n">
        <v>14.4950582279899</v>
      </c>
      <c r="H4" s="0" t="n">
        <v>251.754</v>
      </c>
      <c r="I4" s="0" t="n">
        <v>87.917</v>
      </c>
      <c r="J4" s="0" t="n">
        <v>5.59662205088313</v>
      </c>
      <c r="K4" s="0" t="n">
        <v>1.5</v>
      </c>
      <c r="L4" s="0" t="n">
        <v>128.325</v>
      </c>
      <c r="M4" s="0" t="n">
        <v>25.421</v>
      </c>
      <c r="N4" s="0" t="n">
        <v>102.904</v>
      </c>
      <c r="O4" s="0" t="n">
        <v>-1210.651</v>
      </c>
      <c r="P4" s="0" t="n">
        <v>460.837</v>
      </c>
      <c r="Q4" s="0" t="n">
        <v>1671.488</v>
      </c>
      <c r="R4" s="0" t="n">
        <v>1452.991</v>
      </c>
      <c r="S4" s="0" t="n">
        <v>47.945</v>
      </c>
      <c r="T4" s="0" t="n">
        <v>60.815898</v>
      </c>
      <c r="U4" s="0" t="n">
        <v>13.37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1678.439</v>
      </c>
      <c r="C5" s="0" t="n">
        <v>1177.101</v>
      </c>
      <c r="D5" s="0" t="n">
        <v>501.338</v>
      </c>
      <c r="E5" s="0" t="n">
        <v>29.8693011780589</v>
      </c>
      <c r="F5" s="0" t="n">
        <v>282.331</v>
      </c>
      <c r="G5" s="0" t="n">
        <v>16.8210462221147</v>
      </c>
      <c r="H5" s="0" t="n">
        <v>305.502</v>
      </c>
      <c r="I5" s="0" t="n">
        <v>112.392</v>
      </c>
      <c r="J5" s="0" t="n">
        <v>6.69622190618783</v>
      </c>
      <c r="K5" s="0" t="n">
        <v>1.99</v>
      </c>
      <c r="L5" s="0" t="n">
        <v>153.073</v>
      </c>
      <c r="M5" s="0" t="n">
        <v>29.267</v>
      </c>
      <c r="N5" s="0" t="n">
        <v>123.806</v>
      </c>
      <c r="O5" s="0" t="n">
        <v>-1335.523</v>
      </c>
      <c r="P5" s="0" t="n">
        <v>478.197</v>
      </c>
      <c r="Q5" s="0" t="n">
        <v>1813.72</v>
      </c>
      <c r="R5" s="0" t="n">
        <v>1560.792</v>
      </c>
      <c r="S5" s="0" t="n">
        <v>54.813</v>
      </c>
      <c r="T5" s="0" t="n">
        <v>58.997476</v>
      </c>
      <c r="U5" s="0" t="n">
        <v>17.621</v>
      </c>
      <c r="V5" s="0" t="n">
        <v>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1802.223</v>
      </c>
      <c r="C6" s="0" t="n">
        <v>1253.249</v>
      </c>
      <c r="D6" s="0" t="n">
        <v>548.974</v>
      </c>
      <c r="E6" s="0" t="n">
        <v>30.460936299226</v>
      </c>
      <c r="F6" s="0" t="n">
        <v>313.811</v>
      </c>
      <c r="G6" s="0" t="n">
        <v>17.4124400809445</v>
      </c>
      <c r="H6" s="0" t="n">
        <v>339.594</v>
      </c>
      <c r="I6" s="0" t="n">
        <v>142.985</v>
      </c>
      <c r="J6" s="0" t="n">
        <v>7.9338128522386</v>
      </c>
      <c r="K6" s="0" t="n">
        <v>2.58</v>
      </c>
      <c r="L6" s="0" t="n">
        <v>193.989</v>
      </c>
      <c r="M6" s="0" t="n">
        <v>40.387</v>
      </c>
      <c r="N6" s="0" t="n">
        <v>153.602</v>
      </c>
      <c r="O6" s="0" t="n">
        <v>-1290.202</v>
      </c>
      <c r="P6" s="0" t="n">
        <v>525.255</v>
      </c>
      <c r="Q6" s="0" t="n">
        <v>1815.457</v>
      </c>
      <c r="R6" s="0" t="n">
        <v>1536.443</v>
      </c>
      <c r="S6" s="0" t="n">
        <v>14.383</v>
      </c>
      <c r="T6" s="0" t="n">
        <v>57.720998</v>
      </c>
      <c r="U6" s="0" t="n">
        <v>21.987</v>
      </c>
      <c r="V6" s="0" t="n">
        <v>0.8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1993.833</v>
      </c>
      <c r="C7" s="0" t="n">
        <v>1399.067</v>
      </c>
      <c r="D7" s="0" t="n">
        <v>594.766</v>
      </c>
      <c r="E7" s="0" t="n">
        <v>29.8302816735404</v>
      </c>
      <c r="F7" s="0" t="n">
        <v>345.361</v>
      </c>
      <c r="G7" s="0" t="n">
        <v>17.3214607241429</v>
      </c>
      <c r="H7" s="0" t="n">
        <v>381.149</v>
      </c>
      <c r="I7" s="0" t="n">
        <v>162.587</v>
      </c>
      <c r="J7" s="0" t="n">
        <v>8.15449438343131</v>
      </c>
      <c r="K7" s="0" t="n">
        <v>2.96</v>
      </c>
      <c r="M7" s="0" t="n">
        <v>70.093</v>
      </c>
      <c r="O7" s="0" t="n">
        <v>-1219.465</v>
      </c>
      <c r="P7" s="0" t="n">
        <v>596.333</v>
      </c>
      <c r="Q7" s="0" t="n">
        <v>1815.798</v>
      </c>
      <c r="R7" s="0" t="n">
        <v>1501.164</v>
      </c>
      <c r="S7" s="0" t="n">
        <v>30.855</v>
      </c>
      <c r="T7" s="0" t="n">
        <v>56.931226</v>
      </c>
      <c r="U7" s="0" t="n">
        <v>17.587</v>
      </c>
      <c r="V7" s="0" t="n">
        <v>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2216.528</v>
      </c>
      <c r="C8" s="0" t="n">
        <v>1533.397</v>
      </c>
      <c r="D8" s="0" t="n">
        <v>683.131</v>
      </c>
      <c r="E8" s="0" t="n">
        <v>30.8198678293259</v>
      </c>
      <c r="F8" s="0" t="n">
        <v>405.439</v>
      </c>
      <c r="G8" s="0" t="n">
        <v>18.2916254610815</v>
      </c>
      <c r="H8" s="0" t="n">
        <v>437.873</v>
      </c>
      <c r="I8" s="0" t="n">
        <v>192.789</v>
      </c>
      <c r="J8" s="0" t="n">
        <v>8.69779222279168</v>
      </c>
      <c r="K8" s="0" t="n">
        <v>3.58</v>
      </c>
      <c r="M8" s="0" t="n">
        <v>63.282</v>
      </c>
      <c r="O8" s="0" t="n">
        <v>-1800.251</v>
      </c>
      <c r="P8" s="0" t="n">
        <v>799.845</v>
      </c>
      <c r="Q8" s="0" t="n">
        <v>2600.096</v>
      </c>
      <c r="R8" s="0" t="n">
        <v>2240.793</v>
      </c>
      <c r="S8" s="0" t="n">
        <v>133.449</v>
      </c>
      <c r="T8" s="0" t="n">
        <v>55.532955</v>
      </c>
      <c r="U8" s="0" t="n">
        <v>17.623</v>
      </c>
      <c r="V8" s="0" t="n">
        <v>1.24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2787.979</v>
      </c>
      <c r="C9" s="0" t="n">
        <v>1921.988</v>
      </c>
      <c r="D9" s="0" t="n">
        <v>865.991</v>
      </c>
      <c r="E9" s="0" t="n">
        <v>31.0616041225562</v>
      </c>
      <c r="F9" s="0" t="n">
        <v>521.232</v>
      </c>
      <c r="G9" s="0" t="n">
        <v>18.6956931885068</v>
      </c>
      <c r="H9" s="0" t="n">
        <v>565.601</v>
      </c>
      <c r="I9" s="0" t="n">
        <v>277.905</v>
      </c>
      <c r="J9" s="0" t="n">
        <v>9.96797321644101</v>
      </c>
      <c r="K9" s="0" t="n">
        <v>6.05</v>
      </c>
      <c r="L9" s="0" t="n">
        <v>341.261</v>
      </c>
      <c r="M9" s="0" t="n">
        <v>90.011</v>
      </c>
      <c r="N9" s="0" t="n">
        <v>251.25</v>
      </c>
      <c r="O9" s="0" t="n">
        <v>-2735.384</v>
      </c>
      <c r="P9" s="0" t="n">
        <v>836.753</v>
      </c>
      <c r="Q9" s="0" t="n">
        <v>3572.137</v>
      </c>
      <c r="R9" s="0" t="n">
        <v>3153.814</v>
      </c>
      <c r="S9" s="0" t="n">
        <v>35.768</v>
      </c>
      <c r="T9" s="0" t="n">
        <v>47.677834</v>
      </c>
      <c r="U9" s="0" t="n">
        <v>20.713</v>
      </c>
      <c r="V9" s="0" t="n">
        <v>1.84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3432.867</v>
      </c>
      <c r="C10" s="0" t="n">
        <v>2130.188</v>
      </c>
      <c r="D10" s="0" t="n">
        <v>1302.679</v>
      </c>
      <c r="E10" s="0" t="n">
        <v>37.9472609920513</v>
      </c>
      <c r="F10" s="0" t="n">
        <v>571.689</v>
      </c>
      <c r="G10" s="0" t="n">
        <v>16.6533978741384</v>
      </c>
      <c r="H10" s="0" t="n">
        <v>625.354</v>
      </c>
      <c r="I10" s="0" t="n">
        <v>361.972</v>
      </c>
      <c r="J10" s="0" t="n">
        <v>10.5443059693254</v>
      </c>
      <c r="K10" s="0" t="n">
        <v>8.65</v>
      </c>
      <c r="L10" s="0" t="n">
        <v>394.171</v>
      </c>
      <c r="M10" s="0" t="n">
        <v>119.888</v>
      </c>
      <c r="N10" s="0" t="n">
        <v>274.283</v>
      </c>
      <c r="O10" s="0" t="n">
        <v>-3039.921</v>
      </c>
      <c r="P10" s="0" t="n">
        <v>907.385</v>
      </c>
      <c r="Q10" s="0" t="n">
        <v>3947.306</v>
      </c>
      <c r="R10" s="0" t="n">
        <v>3531.584</v>
      </c>
      <c r="S10" s="0" t="n">
        <v>25.438</v>
      </c>
      <c r="T10" s="0" t="n">
        <v>43.331278</v>
      </c>
      <c r="U10" s="0" t="n">
        <v>22.792</v>
      </c>
      <c r="V10" s="0" t="n">
        <v>2.2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3618.774</v>
      </c>
      <c r="C11" s="0" t="n">
        <v>2216.275</v>
      </c>
      <c r="D11" s="0" t="n">
        <v>1402.499</v>
      </c>
      <c r="E11" s="0" t="n">
        <v>38.7561920142015</v>
      </c>
      <c r="F11" s="0" t="n">
        <v>629.407</v>
      </c>
      <c r="G11" s="0" t="n">
        <v>17.392824199577</v>
      </c>
      <c r="H11" s="0" t="n">
        <v>689.337</v>
      </c>
      <c r="I11" s="0" t="n">
        <v>400.709</v>
      </c>
      <c r="J11" s="0" t="n">
        <v>11.0730595500023</v>
      </c>
      <c r="K11" s="0" t="n">
        <v>9.83</v>
      </c>
      <c r="L11" s="0" t="n">
        <v>496.95</v>
      </c>
      <c r="M11" s="0" t="n">
        <v>85.565</v>
      </c>
      <c r="N11" s="0" t="n">
        <v>411.385</v>
      </c>
      <c r="O11" s="0" t="n">
        <v>-3415.759</v>
      </c>
      <c r="P11" s="0" t="n">
        <v>1382.092</v>
      </c>
      <c r="Q11" s="0" t="n">
        <v>4797.851</v>
      </c>
      <c r="R11" s="0" t="n">
        <v>4114.449</v>
      </c>
      <c r="S11" s="0" t="n">
        <v>190.615</v>
      </c>
      <c r="T11" s="0" t="n">
        <v>41.923062</v>
      </c>
      <c r="U11" s="0" t="n">
        <v>20.265</v>
      </c>
      <c r="V11" s="0" t="n">
        <v>2.6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4117.411</v>
      </c>
      <c r="C12" s="0" t="n">
        <v>2522.918</v>
      </c>
      <c r="D12" s="0" t="n">
        <v>1594.493</v>
      </c>
      <c r="E12" s="0" t="n">
        <v>38.7256215131305</v>
      </c>
      <c r="F12" s="0" t="n">
        <v>725.642</v>
      </c>
      <c r="G12" s="0" t="n">
        <v>17.6237446298171</v>
      </c>
      <c r="H12" s="0" t="n">
        <v>790.68</v>
      </c>
      <c r="I12" s="0" t="n">
        <v>491.296</v>
      </c>
      <c r="J12" s="0" t="n">
        <v>11.9321583393059</v>
      </c>
      <c r="K12" s="0" t="n">
        <v>12.61</v>
      </c>
      <c r="L12" s="0" t="n">
        <v>592.794</v>
      </c>
      <c r="M12" s="0" t="n">
        <v>88.768</v>
      </c>
      <c r="N12" s="0" t="n">
        <v>504.026</v>
      </c>
      <c r="O12" s="0" t="n">
        <v>-3300.405</v>
      </c>
      <c r="P12" s="0" t="n">
        <v>1567.168</v>
      </c>
      <c r="Q12" s="0" t="n">
        <v>4867.573</v>
      </c>
      <c r="R12" s="0" t="n">
        <v>4118.873</v>
      </c>
      <c r="S12" s="0" t="n">
        <v>168.821</v>
      </c>
      <c r="T12" s="0" t="n">
        <v>39.640791</v>
      </c>
      <c r="U12" s="0" t="n">
        <v>24.244</v>
      </c>
      <c r="V12" s="0" t="n">
        <v>3.12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4357.373</v>
      </c>
      <c r="C13" s="0" t="n">
        <v>2669.131</v>
      </c>
      <c r="D13" s="0" t="n">
        <v>1688.242</v>
      </c>
      <c r="E13" s="0" t="n">
        <v>38.7444912335942</v>
      </c>
      <c r="F13" s="0" t="n">
        <v>767.925</v>
      </c>
      <c r="G13" s="0" t="n">
        <v>17.6235773251452</v>
      </c>
      <c r="H13" s="0" t="n">
        <v>848.176</v>
      </c>
      <c r="I13" s="0" t="n">
        <v>510.467</v>
      </c>
      <c r="J13" s="0" t="n">
        <v>11.7150172822019</v>
      </c>
      <c r="K13" s="0" t="n">
        <v>13.72</v>
      </c>
      <c r="L13" s="0" t="n">
        <v>654.206</v>
      </c>
      <c r="M13" s="0" t="n">
        <v>94.172</v>
      </c>
      <c r="N13" s="0" t="n">
        <v>560.034</v>
      </c>
      <c r="O13" s="0" t="n">
        <v>-4209.536</v>
      </c>
      <c r="P13" s="0" t="n">
        <v>1671.816</v>
      </c>
      <c r="Q13" s="0" t="n">
        <v>5881.352</v>
      </c>
      <c r="R13" s="0" t="n">
        <v>5070.226</v>
      </c>
      <c r="S13" s="0" t="n">
        <v>148.16</v>
      </c>
      <c r="T13" s="0" t="n">
        <v>37.691351</v>
      </c>
      <c r="U13" s="0" t="n">
        <v>28.709</v>
      </c>
      <c r="V13" s="0" t="n">
        <v>3.76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4479.358</v>
      </c>
      <c r="C14" s="0" t="n">
        <v>2751.941</v>
      </c>
      <c r="D14" s="0" t="n">
        <v>1727.417</v>
      </c>
      <c r="E14" s="0" t="n">
        <v>38.5639415291209</v>
      </c>
      <c r="F14" s="0" t="n">
        <v>819.519</v>
      </c>
      <c r="G14" s="0" t="n">
        <v>18.295456625704</v>
      </c>
      <c r="H14" s="0" t="n">
        <v>900.159</v>
      </c>
      <c r="I14" s="0" t="n">
        <v>519.118</v>
      </c>
      <c r="J14" s="0" t="n">
        <v>11.5891161188724</v>
      </c>
      <c r="K14" s="0" t="n">
        <v>14.8</v>
      </c>
      <c r="L14" s="0" t="n">
        <v>590.864</v>
      </c>
      <c r="M14" s="0" t="n">
        <v>105.396</v>
      </c>
      <c r="N14" s="0" t="n">
        <v>485.468</v>
      </c>
      <c r="O14" s="0" t="n">
        <v>-4070.367</v>
      </c>
      <c r="P14" s="0" t="n">
        <v>1674.899</v>
      </c>
      <c r="Q14" s="0" t="n">
        <v>5745.266</v>
      </c>
      <c r="R14" s="0" t="n">
        <v>4990.428</v>
      </c>
      <c r="S14" s="0" t="n">
        <v>60.356</v>
      </c>
      <c r="T14" s="0" t="n">
        <v>35.401313</v>
      </c>
      <c r="U14" s="0" t="n">
        <v>37.514</v>
      </c>
      <c r="V14" s="0" t="n">
        <v>4.84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4706.416</v>
      </c>
      <c r="C15" s="0" t="n">
        <v>2857.914</v>
      </c>
      <c r="D15" s="0" t="n">
        <v>1848.502</v>
      </c>
      <c r="E15" s="0" t="n">
        <v>39.2762135773803</v>
      </c>
      <c r="F15" s="0" t="n">
        <v>878.999</v>
      </c>
      <c r="G15" s="0" t="n">
        <v>18.6766108223328</v>
      </c>
      <c r="H15" s="0" t="n">
        <v>966.731</v>
      </c>
      <c r="I15" s="0" t="n">
        <v>584.17</v>
      </c>
      <c r="J15" s="0" t="n">
        <v>12.412204955958</v>
      </c>
      <c r="K15" s="0" t="n">
        <v>16.83</v>
      </c>
      <c r="L15" s="0" t="n">
        <v>624.897</v>
      </c>
      <c r="M15" s="0" t="n">
        <v>112.885</v>
      </c>
      <c r="N15" s="0" t="n">
        <v>512.012</v>
      </c>
      <c r="O15" s="0" t="n">
        <v>-3962.291</v>
      </c>
      <c r="P15" s="0" t="n">
        <v>1737.013</v>
      </c>
      <c r="Q15" s="0" t="n">
        <v>5699.304</v>
      </c>
      <c r="R15" s="0" t="n">
        <v>4975.338</v>
      </c>
      <c r="S15" s="0" t="n">
        <v>186.126</v>
      </c>
      <c r="T15" s="0" t="n">
        <v>34.991484</v>
      </c>
      <c r="U15" s="0" t="n">
        <v>43.255</v>
      </c>
      <c r="V15" s="0" t="n">
        <v>6.04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4939.994</v>
      </c>
      <c r="C16" s="0" t="n">
        <v>2966.434</v>
      </c>
      <c r="D16" s="0" t="n">
        <v>1973.56</v>
      </c>
      <c r="E16" s="0" t="n">
        <v>39.9506558105131</v>
      </c>
      <c r="F16" s="0" t="n">
        <v>953.974</v>
      </c>
      <c r="G16" s="0" t="n">
        <v>19.3112380298438</v>
      </c>
      <c r="H16" s="0" t="n">
        <v>1042.801</v>
      </c>
      <c r="I16" s="0" t="n">
        <v>601.704</v>
      </c>
      <c r="J16" s="0" t="n">
        <v>12.180257708815</v>
      </c>
      <c r="K16" s="0" t="n">
        <v>17.69</v>
      </c>
      <c r="L16" s="0" t="n">
        <v>792.062</v>
      </c>
      <c r="M16" s="0" t="n">
        <v>120.558</v>
      </c>
      <c r="N16" s="0" t="n">
        <v>671.504</v>
      </c>
      <c r="O16" s="0" t="n">
        <v>-3901.142</v>
      </c>
      <c r="P16" s="0" t="n">
        <v>1716.459</v>
      </c>
      <c r="Q16" s="0" t="n">
        <v>5617.601</v>
      </c>
      <c r="R16" s="0" t="n">
        <v>4816.814</v>
      </c>
      <c r="S16" s="0" t="n">
        <v>125.675</v>
      </c>
      <c r="T16" s="0" t="n">
        <v>34.237646</v>
      </c>
      <c r="U16" s="0" t="n">
        <v>44.64</v>
      </c>
      <c r="V16" s="0" t="n">
        <v>6.96</v>
      </c>
      <c r="AA16" s="0" t="s">
        <v>17</v>
      </c>
      <c r="AB1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292.14</v>
      </c>
    </row>
    <row r="3" customFormat="false" ht="15" hidden="false" customHeight="false" outlineLevel="0" collapsed="false">
      <c r="A3" s="0" t="s">
        <v>81</v>
      </c>
      <c r="B3" s="3" t="n">
        <v>33.318</v>
      </c>
    </row>
    <row r="4" customFormat="false" ht="15" hidden="false" customHeight="false" outlineLevel="0" collapsed="false">
      <c r="A4" s="0" t="s">
        <v>82</v>
      </c>
      <c r="B4" s="3" t="n">
        <v>4718.8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4939.994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3.8</v>
      </c>
      <c r="D13" s="3" t="n">
        <v>0.5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102</v>
      </c>
      <c r="C14" s="3" t="n">
        <v>22</v>
      </c>
      <c r="D14" s="3" t="n">
        <v>21.7</v>
      </c>
      <c r="E14" s="3" t="n">
        <v>21.4</v>
      </c>
      <c r="F14" s="3" t="n">
        <v>21.2</v>
      </c>
      <c r="G14" s="3" t="n">
        <v>21</v>
      </c>
      <c r="H14" s="3" t="n">
        <v>21</v>
      </c>
      <c r="I14" s="3" t="n">
        <v>21</v>
      </c>
      <c r="J14" s="3" t="n">
        <v>21</v>
      </c>
      <c r="K14" s="3" t="n">
        <v>21</v>
      </c>
      <c r="L14" s="3" t="n">
        <v>21</v>
      </c>
    </row>
    <row r="15" customFormat="false" ht="15" hidden="false" customHeight="false" outlineLevel="0" collapsed="false">
      <c r="A15" s="0" t="s">
        <v>103</v>
      </c>
      <c r="C15" s="3" t="n">
        <v>1.3</v>
      </c>
      <c r="D15" s="3" t="n">
        <v>1.25</v>
      </c>
      <c r="E15" s="3" t="n">
        <v>1.2</v>
      </c>
      <c r="F15" s="3" t="n">
        <v>1.2</v>
      </c>
      <c r="G15" s="3" t="n">
        <v>1.2</v>
      </c>
      <c r="H15" s="3" t="n">
        <v>1.2</v>
      </c>
      <c r="I15" s="3" t="n">
        <v>1.2</v>
      </c>
      <c r="J15" s="3" t="n">
        <v>1.2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1.8</v>
      </c>
      <c r="D17" s="3" t="n">
        <v>1.8</v>
      </c>
      <c r="E17" s="3" t="n">
        <v>1.8</v>
      </c>
      <c r="F17" s="3" t="n">
        <v>1.8</v>
      </c>
      <c r="G17" s="3" t="n">
        <v>1.8</v>
      </c>
      <c r="H17" s="3" t="n">
        <v>1.8</v>
      </c>
      <c r="I17" s="3" t="n">
        <v>1.8</v>
      </c>
      <c r="J17" s="3" t="n">
        <v>1.8</v>
      </c>
      <c r="K17" s="3" t="n">
        <v>1.8</v>
      </c>
      <c r="L17" s="3" t="n">
        <v>1.8</v>
      </c>
    </row>
    <row r="18" customFormat="false" ht="15" hidden="false" customHeight="false" outlineLevel="0" collapsed="false">
      <c r="A18" s="0" t="s">
        <v>106</v>
      </c>
      <c r="C18" s="3" t="n">
        <v>2.6</v>
      </c>
      <c r="D18" s="3" t="n">
        <v>2.6</v>
      </c>
      <c r="E18" s="3" t="n">
        <v>2.6</v>
      </c>
      <c r="F18" s="3" t="n">
        <v>2.6</v>
      </c>
      <c r="G18" s="3" t="n">
        <v>2.6</v>
      </c>
      <c r="H18" s="3" t="n">
        <v>2.6</v>
      </c>
      <c r="I18" s="3" t="n">
        <v>2.6</v>
      </c>
      <c r="J18" s="3" t="n">
        <v>2.6</v>
      </c>
      <c r="K18" s="3" t="n">
        <v>2.6</v>
      </c>
      <c r="L18" s="3" t="n">
        <v>2.6</v>
      </c>
    </row>
    <row r="19" customFormat="false" ht="15" hidden="false" customHeight="false" outlineLevel="0" collapsed="false">
      <c r="A19" s="0" t="s">
        <v>107</v>
      </c>
      <c r="C19" s="3" t="n">
        <v>22.5</v>
      </c>
      <c r="D19" s="3" t="n">
        <v>22.5</v>
      </c>
      <c r="E19" s="3" t="n">
        <v>22.5</v>
      </c>
      <c r="F19" s="3" t="n">
        <v>22.5</v>
      </c>
      <c r="G19" s="3" t="n">
        <v>22.5</v>
      </c>
      <c r="H19" s="3" t="n">
        <v>22.5</v>
      </c>
      <c r="I19" s="3" t="n">
        <v>22.5</v>
      </c>
      <c r="J19" s="3" t="n">
        <v>22.5</v>
      </c>
      <c r="K19" s="3" t="n">
        <v>22.5</v>
      </c>
      <c r="L19" s="3" t="n">
        <v>22.5</v>
      </c>
    </row>
    <row r="20" customFormat="false" ht="15" hidden="false" customHeight="false" outlineLevel="0" collapsed="false">
      <c r="A20" s="0" t="s">
        <v>108</v>
      </c>
      <c r="B20" s="3" t="n">
        <v>7.5</v>
      </c>
    </row>
    <row r="21" customFormat="false" ht="15" hidden="false" customHeight="false" outlineLevel="0" collapsed="false">
      <c r="A21" s="0" t="s">
        <v>109</v>
      </c>
      <c r="B21" s="3" t="n">
        <v>2</v>
      </c>
    </row>
    <row r="22" customFormat="false" ht="15" hidden="false" customHeight="false" outlineLevel="0" collapsed="false">
      <c r="A22" s="0" t="s">
        <v>110</v>
      </c>
      <c r="B22" s="3" t="n">
        <v>14</v>
      </c>
    </row>
    <row r="23" customFormat="false" ht="15" hidden="false" customHeight="false" outlineLevel="0" collapsed="false">
      <c r="A23" s="0" t="s">
        <v>111</v>
      </c>
      <c r="B23" s="3" t="n">
        <v>-3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5</v>
      </c>
      <c r="D27" s="3" t="n">
        <v>2.5</v>
      </c>
      <c r="E27" s="3" t="n">
        <v>3.8</v>
      </c>
      <c r="F27" s="3" t="n">
        <v>3.8</v>
      </c>
      <c r="G27" s="3" t="n">
        <v>3.8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102</v>
      </c>
      <c r="C28" s="3" t="n">
        <v>22.3</v>
      </c>
      <c r="D28" s="3" t="n">
        <v>22.4</v>
      </c>
      <c r="E28" s="3" t="n">
        <v>22.5</v>
      </c>
      <c r="F28" s="3" t="n">
        <v>22.6</v>
      </c>
      <c r="G28" s="3" t="n">
        <v>22.7</v>
      </c>
      <c r="H28" s="3" t="n">
        <v>22.8</v>
      </c>
      <c r="I28" s="3" t="n">
        <v>22.8</v>
      </c>
      <c r="J28" s="3" t="n">
        <v>22.8</v>
      </c>
      <c r="K28" s="3" t="n">
        <v>22.8</v>
      </c>
      <c r="L28" s="3" t="n">
        <v>22.8</v>
      </c>
    </row>
    <row r="29" customFormat="false" ht="15" hidden="false" customHeight="false" outlineLevel="0" collapsed="false">
      <c r="A29" s="0" t="s">
        <v>103</v>
      </c>
      <c r="C29" s="3" t="n">
        <v>1.3</v>
      </c>
      <c r="D29" s="3" t="n">
        <v>1.2</v>
      </c>
      <c r="E29" s="3" t="n">
        <v>1.15</v>
      </c>
      <c r="F29" s="3" t="n">
        <v>1.1</v>
      </c>
      <c r="G29" s="3" t="n">
        <v>1.1</v>
      </c>
      <c r="H29" s="3" t="n">
        <v>1.1</v>
      </c>
      <c r="I29" s="3" t="n">
        <v>1.1</v>
      </c>
      <c r="J29" s="3" t="n">
        <v>1.1</v>
      </c>
      <c r="K29" s="3" t="n">
        <v>1.1</v>
      </c>
      <c r="L29" s="3" t="n">
        <v>1.1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1.8</v>
      </c>
      <c r="D31" s="3" t="n">
        <v>1.8</v>
      </c>
      <c r="E31" s="3" t="n">
        <v>1.8</v>
      </c>
      <c r="F31" s="3" t="n">
        <v>1.8</v>
      </c>
      <c r="G31" s="3" t="n">
        <v>1.8</v>
      </c>
      <c r="H31" s="3" t="n">
        <v>1.8</v>
      </c>
      <c r="I31" s="3" t="n">
        <v>1.8</v>
      </c>
      <c r="J31" s="3" t="n">
        <v>1.8</v>
      </c>
      <c r="K31" s="3" t="n">
        <v>1.8</v>
      </c>
      <c r="L31" s="3" t="n">
        <v>1.8</v>
      </c>
    </row>
    <row r="32" customFormat="false" ht="15" hidden="false" customHeight="false" outlineLevel="0" collapsed="false">
      <c r="A32" s="0" t="s">
        <v>106</v>
      </c>
      <c r="C32" s="3" t="n">
        <v>2.4</v>
      </c>
      <c r="D32" s="3" t="n">
        <v>2.4</v>
      </c>
      <c r="E32" s="3" t="n">
        <v>2.4</v>
      </c>
      <c r="F32" s="3" t="n">
        <v>2.4</v>
      </c>
      <c r="G32" s="3" t="n">
        <v>2.4</v>
      </c>
      <c r="H32" s="3" t="n">
        <v>2.4</v>
      </c>
      <c r="I32" s="3" t="n">
        <v>2.4</v>
      </c>
      <c r="J32" s="3" t="n">
        <v>2.4</v>
      </c>
      <c r="K32" s="3" t="n">
        <v>2.4</v>
      </c>
      <c r="L32" s="3" t="n">
        <v>2.4</v>
      </c>
    </row>
    <row r="33" customFormat="false" ht="15" hidden="false" customHeight="false" outlineLevel="0" collapsed="false">
      <c r="A33" s="0" t="s">
        <v>107</v>
      </c>
      <c r="C33" s="3" t="n">
        <v>22.5</v>
      </c>
      <c r="D33" s="3" t="n">
        <v>22.5</v>
      </c>
      <c r="E33" s="3" t="n">
        <v>22.5</v>
      </c>
      <c r="F33" s="3" t="n">
        <v>22.5</v>
      </c>
      <c r="G33" s="3" t="n">
        <v>22.5</v>
      </c>
      <c r="H33" s="3" t="n">
        <v>22.5</v>
      </c>
      <c r="I33" s="3" t="n">
        <v>22.5</v>
      </c>
      <c r="J33" s="3" t="n">
        <v>22.5</v>
      </c>
      <c r="K33" s="3" t="n">
        <v>22.5</v>
      </c>
      <c r="L33" s="3" t="n">
        <v>22.5</v>
      </c>
    </row>
    <row r="34" customFormat="false" ht="15" hidden="false" customHeight="false" outlineLevel="0" collapsed="false">
      <c r="A34" s="0" t="s">
        <v>108</v>
      </c>
      <c r="B34" s="3" t="n">
        <v>7.5</v>
      </c>
    </row>
    <row r="35" customFormat="false" ht="15" hidden="false" customHeight="false" outlineLevel="0" collapsed="false">
      <c r="A35" s="0" t="s">
        <v>109</v>
      </c>
      <c r="B35" s="3" t="n">
        <v>2.5</v>
      </c>
    </row>
    <row r="36" customFormat="false" ht="15" hidden="false" customHeight="false" outlineLevel="0" collapsed="false">
      <c r="A36" s="0" t="s">
        <v>110</v>
      </c>
      <c r="B36" s="3" t="n">
        <v>18</v>
      </c>
    </row>
    <row r="37" customFormat="false" ht="15" hidden="false" customHeight="false" outlineLevel="0" collapsed="false">
      <c r="A37" s="0" t="s">
        <v>111</v>
      </c>
      <c r="B37" s="3" t="n">
        <v>-3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5.8</v>
      </c>
      <c r="D41" s="3" t="n">
        <v>4</v>
      </c>
      <c r="E41" s="3" t="n">
        <v>5.5</v>
      </c>
      <c r="F41" s="3" t="n">
        <v>5.5</v>
      </c>
      <c r="G41" s="3" t="n">
        <v>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102</v>
      </c>
      <c r="C42" s="3" t="n">
        <v>22.5</v>
      </c>
      <c r="D42" s="3" t="n">
        <v>22.8</v>
      </c>
      <c r="E42" s="3" t="n">
        <v>23.1</v>
      </c>
      <c r="F42" s="3" t="n">
        <v>23.4</v>
      </c>
      <c r="G42" s="3" t="n">
        <v>23.7</v>
      </c>
      <c r="H42" s="3" t="n">
        <v>24</v>
      </c>
      <c r="I42" s="3" t="n">
        <v>24</v>
      </c>
      <c r="J42" s="3" t="n">
        <v>24</v>
      </c>
      <c r="K42" s="3" t="n">
        <v>24</v>
      </c>
      <c r="L42" s="3" t="n">
        <v>24</v>
      </c>
    </row>
    <row r="43" customFormat="false" ht="15" hidden="false" customHeight="false" outlineLevel="0" collapsed="false">
      <c r="A43" s="0" t="s">
        <v>103</v>
      </c>
      <c r="C43" s="3" t="n">
        <v>1.3</v>
      </c>
      <c r="D43" s="3" t="n">
        <v>1.2</v>
      </c>
      <c r="E43" s="3" t="n">
        <v>1.15</v>
      </c>
      <c r="F43" s="3" t="n">
        <v>1.1</v>
      </c>
      <c r="G43" s="3" t="n">
        <v>1.1</v>
      </c>
      <c r="H43" s="3" t="n">
        <v>1.1</v>
      </c>
      <c r="I43" s="3" t="n">
        <v>1.1</v>
      </c>
      <c r="J43" s="3" t="n">
        <v>1.1</v>
      </c>
      <c r="K43" s="3" t="n">
        <v>1.1</v>
      </c>
      <c r="L43" s="3" t="n">
        <v>1.1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1.8</v>
      </c>
      <c r="D45" s="3" t="n">
        <v>1.8</v>
      </c>
      <c r="E45" s="3" t="n">
        <v>1.8</v>
      </c>
      <c r="F45" s="3" t="n">
        <v>1.8</v>
      </c>
      <c r="G45" s="3" t="n">
        <v>1.8</v>
      </c>
      <c r="H45" s="3" t="n">
        <v>1.8</v>
      </c>
      <c r="I45" s="3" t="n">
        <v>1.8</v>
      </c>
      <c r="J45" s="3" t="n">
        <v>1.8</v>
      </c>
      <c r="K45" s="3" t="n">
        <v>1.8</v>
      </c>
      <c r="L45" s="3" t="n">
        <v>1.8</v>
      </c>
    </row>
    <row r="46" customFormat="false" ht="15" hidden="false" customHeight="false" outlineLevel="0" collapsed="false">
      <c r="A46" s="0" t="s">
        <v>106</v>
      </c>
      <c r="C46" s="3" t="n">
        <v>2.4</v>
      </c>
      <c r="D46" s="3" t="n">
        <v>2.4</v>
      </c>
      <c r="E46" s="3" t="n">
        <v>2.4</v>
      </c>
      <c r="F46" s="3" t="n">
        <v>2.4</v>
      </c>
      <c r="G46" s="3" t="n">
        <v>2.4</v>
      </c>
      <c r="H46" s="3" t="n">
        <v>2.4</v>
      </c>
      <c r="I46" s="3" t="n">
        <v>2.4</v>
      </c>
      <c r="J46" s="3" t="n">
        <v>2.4</v>
      </c>
      <c r="K46" s="3" t="n">
        <v>2.4</v>
      </c>
      <c r="L46" s="3" t="n">
        <v>2.4</v>
      </c>
    </row>
    <row r="47" customFormat="false" ht="15" hidden="false" customHeight="false" outlineLevel="0" collapsed="false">
      <c r="A47" s="0" t="s">
        <v>107</v>
      </c>
      <c r="C47" s="3" t="n">
        <v>22.5</v>
      </c>
      <c r="D47" s="3" t="n">
        <v>22.5</v>
      </c>
      <c r="E47" s="3" t="n">
        <v>22.5</v>
      </c>
      <c r="F47" s="3" t="n">
        <v>22.5</v>
      </c>
      <c r="G47" s="3" t="n">
        <v>22.5</v>
      </c>
      <c r="H47" s="3" t="n">
        <v>22.5</v>
      </c>
      <c r="I47" s="3" t="n">
        <v>22.5</v>
      </c>
      <c r="J47" s="3" t="n">
        <v>22.5</v>
      </c>
      <c r="K47" s="3" t="n">
        <v>22.5</v>
      </c>
      <c r="L47" s="3" t="n">
        <v>22.5</v>
      </c>
    </row>
    <row r="48" customFormat="false" ht="15" hidden="false" customHeight="false" outlineLevel="0" collapsed="false">
      <c r="A48" s="0" t="s">
        <v>108</v>
      </c>
      <c r="B48" s="3" t="n">
        <v>7.5</v>
      </c>
    </row>
    <row r="49" customFormat="false" ht="15" hidden="false" customHeight="false" outlineLevel="0" collapsed="false">
      <c r="A49" s="0" t="s">
        <v>109</v>
      </c>
      <c r="B49" s="3" t="n">
        <v>3</v>
      </c>
    </row>
    <row r="50" customFormat="false" ht="15" hidden="false" customHeight="false" outlineLevel="0" collapsed="false">
      <c r="A50" s="0" t="s">
        <v>110</v>
      </c>
      <c r="B50" s="3" t="n">
        <v>20</v>
      </c>
    </row>
    <row r="51" customFormat="false" ht="15" hidden="false" customHeight="false" outlineLevel="0" collapsed="false">
      <c r="A51" s="0" t="s">
        <v>111</v>
      </c>
      <c r="B51" s="3" t="n">
        <v>-3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3.8</v>
      </c>
      <c r="D5" s="4" t="n">
        <f aca="false">Assumptions!D13</f>
        <v>0.5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4939.994</v>
      </c>
      <c r="C6" s="0" t="n">
        <f aca="false">B6*(1+C5/100)</f>
        <v>5127.713772</v>
      </c>
      <c r="D6" s="0" t="n">
        <f aca="false">C6*(1+D5/100)</f>
        <v>5153.35234086</v>
      </c>
      <c r="E6" s="0" t="n">
        <f aca="false">D6*(1+E5/100)</f>
        <v>5256.4193876772</v>
      </c>
      <c r="F6" s="0" t="n">
        <f aca="false">E6*(1+F5/100)</f>
        <v>5361.54777543074</v>
      </c>
      <c r="G6" s="0" t="n">
        <f aca="false">F6*(1+G5/100)</f>
        <v>5468.77873093936</v>
      </c>
      <c r="H6" s="0" t="n">
        <f aca="false">G6*(1+H5/100)</f>
        <v>5578.15430555815</v>
      </c>
      <c r="I6" s="0" t="n">
        <f aca="false">H6*(1+I5/100)</f>
        <v>5689.71739166931</v>
      </c>
      <c r="J6" s="0" t="n">
        <f aca="false">I6*(1+J5/100)</f>
        <v>5803.5117395027</v>
      </c>
      <c r="K6" s="0" t="n">
        <f aca="false">J6*(1+K5/100)</f>
        <v>5919.58197429275</v>
      </c>
      <c r="L6" s="0" t="n">
        <f aca="false">K6*(1+L5/100)</f>
        <v>6037.97361377861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22</v>
      </c>
      <c r="D7" s="4" t="n">
        <f aca="false">Assumptions!D14</f>
        <v>21.7</v>
      </c>
      <c r="E7" s="4" t="n">
        <f aca="false">Assumptions!E14</f>
        <v>21.4</v>
      </c>
      <c r="F7" s="4" t="n">
        <f aca="false">Assumptions!F14</f>
        <v>21.2</v>
      </c>
      <c r="G7" s="4" t="n">
        <f aca="false">Assumptions!G14</f>
        <v>21</v>
      </c>
      <c r="H7" s="4" t="n">
        <f aca="false">Assumptions!H14</f>
        <v>21</v>
      </c>
      <c r="I7" s="4" t="n">
        <f aca="false">Assumptions!I14</f>
        <v>21</v>
      </c>
      <c r="J7" s="4" t="n">
        <f aca="false">Assumptions!J14</f>
        <v>21</v>
      </c>
      <c r="K7" s="4" t="n">
        <f aca="false">Assumptions!K14</f>
        <v>21</v>
      </c>
      <c r="L7" s="4" t="n">
        <f aca="false">Assumptions!L14</f>
        <v>21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1128.09702984</v>
      </c>
      <c r="D8" s="0" t="n">
        <f aca="false">D6*D7/100</f>
        <v>1118.27745796662</v>
      </c>
      <c r="E8" s="0" t="n">
        <f aca="false">E6*E7/100</f>
        <v>1124.87374896292</v>
      </c>
      <c r="F8" s="0" t="n">
        <f aca="false">F6*F7/100</f>
        <v>1136.64812839132</v>
      </c>
      <c r="G8" s="0" t="n">
        <f aca="false">G6*G7/100</f>
        <v>1148.44353349727</v>
      </c>
      <c r="H8" s="0" t="n">
        <f aca="false">H6*H7/100</f>
        <v>1171.41240416721</v>
      </c>
      <c r="I8" s="0" t="n">
        <f aca="false">I6*I7/100</f>
        <v>1194.84065225055</v>
      </c>
      <c r="J8" s="0" t="n">
        <f aca="false">J6*J7/100</f>
        <v>1218.73746529557</v>
      </c>
      <c r="K8" s="0" t="n">
        <f aca="false">K6*K7/100</f>
        <v>1243.11221460148</v>
      </c>
      <c r="L8" s="0" t="n">
        <f aca="false">L6*L7/100</f>
        <v>1267.97445889351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1.3</v>
      </c>
      <c r="D9" s="4" t="n">
        <f aca="false">Assumptions!D15</f>
        <v>1.25</v>
      </c>
      <c r="E9" s="4" t="n">
        <f aca="false">Assumptions!E15</f>
        <v>1.2</v>
      </c>
      <c r="F9" s="4" t="n">
        <f aca="false">Assumptions!F15</f>
        <v>1.2</v>
      </c>
      <c r="G9" s="4" t="n">
        <f aca="false">Assumptions!G15</f>
        <v>1.2</v>
      </c>
      <c r="H9" s="4" t="n">
        <f aca="false">Assumptions!H15</f>
        <v>1.2</v>
      </c>
      <c r="I9" s="4" t="n">
        <f aca="false">Assumptions!I15</f>
        <v>1.2</v>
      </c>
      <c r="J9" s="4" t="n">
        <f aca="false">Assumptions!J15</f>
        <v>1.2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-66.660279036</v>
      </c>
      <c r="D10" s="0" t="n">
        <f aca="false">-D6*D9/100</f>
        <v>-64.41690426075</v>
      </c>
      <c r="E10" s="0" t="n">
        <f aca="false">-E6*E9/100</f>
        <v>-63.0770326521264</v>
      </c>
      <c r="F10" s="0" t="n">
        <f aca="false">-F6*F9/100</f>
        <v>-64.3385733051689</v>
      </c>
      <c r="G10" s="0" t="n">
        <f aca="false">-G6*G9/100</f>
        <v>-65.6253447712723</v>
      </c>
      <c r="H10" s="0" t="n">
        <f aca="false">-H6*H9/100</f>
        <v>-66.9378516666978</v>
      </c>
      <c r="I10" s="0" t="n">
        <f aca="false">-I6*I9/100</f>
        <v>-68.2766087000317</v>
      </c>
      <c r="J10" s="0" t="n">
        <f aca="false">-J6*J9/100</f>
        <v>-69.6421408740324</v>
      </c>
      <c r="K10" s="0" t="n">
        <f aca="false">-K6*K9/100</f>
        <v>-71.034983691513</v>
      </c>
      <c r="L10" s="0" t="n">
        <f aca="false">-L6*L9/100</f>
        <v>-72.4556833653433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1061.436750804</v>
      </c>
      <c r="D11" s="0" t="n">
        <f aca="false">D8+D10+D24</f>
        <v>1053.86055370587</v>
      </c>
      <c r="E11" s="0" t="n">
        <f aca="false">E8+E10+E24</f>
        <v>1061.79671631079</v>
      </c>
      <c r="F11" s="0" t="n">
        <f aca="false">F8+F10+F24</f>
        <v>1072.30955508615</v>
      </c>
      <c r="G11" s="0" t="n">
        <f aca="false">G8+G10+G24</f>
        <v>1082.81818872599</v>
      </c>
      <c r="H11" s="0" t="n">
        <f aca="false">H8+H10+H24</f>
        <v>1104.47455250051</v>
      </c>
      <c r="I11" s="0" t="n">
        <f aca="false">I8+I10+I24</f>
        <v>1126.56404355052</v>
      </c>
      <c r="J11" s="0" t="n">
        <f aca="false">J8+J10+J24</f>
        <v>1149.09532442153</v>
      </c>
      <c r="K11" s="0" t="n">
        <f aca="false">K8+K10+K24</f>
        <v>1172.07723090996</v>
      </c>
      <c r="L11" s="0" t="n">
        <f aca="false">L8+L10+L24</f>
        <v>1195.51877552816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-92.298847896</v>
      </c>
      <c r="D12" s="4" t="n">
        <f aca="false">-D6*Assumptions!D17/100</f>
        <v>-92.76034213548</v>
      </c>
      <c r="E12" s="4" t="n">
        <f aca="false">-E6*Assumptions!E17/100</f>
        <v>-94.6155489781896</v>
      </c>
      <c r="F12" s="4" t="n">
        <f aca="false">-F6*Assumptions!F17/100</f>
        <v>-96.5078599577534</v>
      </c>
      <c r="G12" s="4" t="n">
        <f aca="false">-G6*Assumptions!G17/100</f>
        <v>-98.4380171569085</v>
      </c>
      <c r="H12" s="4" t="n">
        <f aca="false">-H6*Assumptions!H17/100</f>
        <v>-100.406777500047</v>
      </c>
      <c r="I12" s="4" t="n">
        <f aca="false">-I6*Assumptions!I17/100</f>
        <v>-102.414913050048</v>
      </c>
      <c r="J12" s="4" t="n">
        <f aca="false">-J6*Assumptions!J17/100</f>
        <v>-104.463211311049</v>
      </c>
      <c r="K12" s="4" t="n">
        <f aca="false">-K6*Assumptions!K17/100</f>
        <v>-106.552475537269</v>
      </c>
      <c r="L12" s="4" t="n">
        <f aca="false">-L6*Assumptions!L17/100</f>
        <v>-108.683525048015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969.137902908</v>
      </c>
      <c r="D13" s="0" t="n">
        <f aca="false">D11+D12</f>
        <v>961.10021157039</v>
      </c>
      <c r="E13" s="0" t="n">
        <f aca="false">E11+E12</f>
        <v>967.181167332605</v>
      </c>
      <c r="F13" s="0" t="n">
        <f aca="false">F11+F12</f>
        <v>975.801695128395</v>
      </c>
      <c r="G13" s="0" t="n">
        <f aca="false">G11+G12</f>
        <v>984.380171569085</v>
      </c>
      <c r="H13" s="0" t="n">
        <f aca="false">H11+H12</f>
        <v>1004.06777500047</v>
      </c>
      <c r="I13" s="0" t="n">
        <f aca="false">I11+I12</f>
        <v>1024.14913050048</v>
      </c>
      <c r="J13" s="0" t="n">
        <f aca="false">J11+J12</f>
        <v>1044.63211311049</v>
      </c>
      <c r="K13" s="0" t="n">
        <f aca="false">K11+K12</f>
        <v>1065.5247553727</v>
      </c>
      <c r="L13" s="0" t="n">
        <f aca="false">L11+L12</f>
        <v>1086.83525048015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22.5</v>
      </c>
      <c r="D14" s="4" t="n">
        <f aca="false">Assumptions!D19</f>
        <v>22.5</v>
      </c>
      <c r="E14" s="4" t="n">
        <f aca="false">Assumptions!E19</f>
        <v>22.5</v>
      </c>
      <c r="F14" s="4" t="n">
        <f aca="false">Assumptions!F19</f>
        <v>22.5</v>
      </c>
      <c r="G14" s="4" t="n">
        <f aca="false">Assumptions!G19</f>
        <v>22.5</v>
      </c>
      <c r="H14" s="4" t="n">
        <f aca="false">Assumptions!H19</f>
        <v>22.5</v>
      </c>
      <c r="I14" s="4" t="n">
        <f aca="false">Assumptions!I19</f>
        <v>22.5</v>
      </c>
      <c r="J14" s="4" t="n">
        <f aca="false">Assumptions!J19</f>
        <v>22.5</v>
      </c>
      <c r="K14" s="4" t="n">
        <f aca="false">Assumptions!K19</f>
        <v>22.5</v>
      </c>
      <c r="L14" s="4" t="n">
        <f aca="false">Assumptions!L19</f>
        <v>22.5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751.0818747537</v>
      </c>
      <c r="D15" s="0" t="n">
        <f aca="false">D13-MAX(0,D13)*D14/100</f>
        <v>744.852663967052</v>
      </c>
      <c r="E15" s="0" t="n">
        <f aca="false">E13-MAX(0,E13)*E14/100</f>
        <v>749.565404682769</v>
      </c>
      <c r="F15" s="0" t="n">
        <f aca="false">F13-MAX(0,F13)*F14/100</f>
        <v>756.246313724506</v>
      </c>
      <c r="G15" s="0" t="n">
        <f aca="false">G13-MAX(0,G13)*G14/100</f>
        <v>762.894632966041</v>
      </c>
      <c r="H15" s="0" t="n">
        <f aca="false">H13-MAX(0,H13)*H14/100</f>
        <v>778.152525625361</v>
      </c>
      <c r="I15" s="0" t="n">
        <f aca="false">I13-MAX(0,I13)*I14/100</f>
        <v>793.715576137868</v>
      </c>
      <c r="J15" s="0" t="n">
        <f aca="false">J13-MAX(0,J13)*J14/100</f>
        <v>809.589887660626</v>
      </c>
      <c r="K15" s="0" t="n">
        <f aca="false">K13-MAX(0,K13)*K14/100</f>
        <v>825.781685413839</v>
      </c>
      <c r="L15" s="0" t="n">
        <f aca="false">L13-MAX(0,L13)*L14/100</f>
        <v>842.297319122115</v>
      </c>
    </row>
    <row r="16" customFormat="false" ht="15" hidden="false" customHeight="false" outlineLevel="0" collapsed="false">
      <c r="A16" s="0" t="s">
        <v>123</v>
      </c>
      <c r="C16" s="0" t="n">
        <f aca="false">-C12</f>
        <v>92.298847896</v>
      </c>
      <c r="D16" s="0" t="n">
        <f aca="false">-D12</f>
        <v>92.76034213548</v>
      </c>
      <c r="E16" s="0" t="n">
        <f aca="false">-E12</f>
        <v>94.6155489781896</v>
      </c>
      <c r="F16" s="0" t="n">
        <f aca="false">-F12</f>
        <v>96.5078599577534</v>
      </c>
      <c r="G16" s="0" t="n">
        <f aca="false">-G12</f>
        <v>98.4380171569085</v>
      </c>
      <c r="H16" s="0" t="n">
        <f aca="false">-H12</f>
        <v>100.406777500047</v>
      </c>
      <c r="I16" s="0" t="n">
        <f aca="false">-I12</f>
        <v>102.414913050048</v>
      </c>
      <c r="J16" s="0" t="n">
        <f aca="false">-J12</f>
        <v>104.463211311049</v>
      </c>
      <c r="K16" s="0" t="n">
        <f aca="false">-K12</f>
        <v>106.552475537269</v>
      </c>
      <c r="L16" s="0" t="n">
        <f aca="false">-L12</f>
        <v>108.683525048015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-133.320558072</v>
      </c>
      <c r="D17" s="4" t="n">
        <f aca="false">-D6*Assumptions!D18/100</f>
        <v>-133.98716086236</v>
      </c>
      <c r="E17" s="4" t="n">
        <f aca="false">-E6*Assumptions!E18/100</f>
        <v>-136.666904079607</v>
      </c>
      <c r="F17" s="4" t="n">
        <f aca="false">-F6*Assumptions!F18/100</f>
        <v>-139.400242161199</v>
      </c>
      <c r="G17" s="4" t="n">
        <f aca="false">-G6*Assumptions!G18/100</f>
        <v>-142.188247004423</v>
      </c>
      <c r="H17" s="4" t="n">
        <f aca="false">-H6*Assumptions!H18/100</f>
        <v>-145.032011944512</v>
      </c>
      <c r="I17" s="4" t="n">
        <f aca="false">-I6*Assumptions!I18/100</f>
        <v>-147.932652183402</v>
      </c>
      <c r="J17" s="4" t="n">
        <f aca="false">-J6*Assumptions!J18/100</f>
        <v>-150.89130522707</v>
      </c>
      <c r="K17" s="4" t="n">
        <f aca="false">-K6*Assumptions!K18/100</f>
        <v>-153.909131331612</v>
      </c>
      <c r="L17" s="4" t="n">
        <f aca="false">-L6*Assumptions!L18/100</f>
        <v>-156.987313958244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-5.63159316000001</v>
      </c>
      <c r="D18" s="4" t="n">
        <f aca="false">(D6-C6)*Assumptions!$B$23/100</f>
        <v>-0.769157065799982</v>
      </c>
      <c r="E18" s="4" t="n">
        <f aca="false">(E6-D6)*Assumptions!$B$23/100</f>
        <v>-3.09201140451601</v>
      </c>
      <c r="F18" s="4" t="n">
        <f aca="false">(F6-E6)*Assumptions!$B$23/100</f>
        <v>-3.15385163260633</v>
      </c>
      <c r="G18" s="4" t="n">
        <f aca="false">(G6-F6)*Assumptions!$B$23/100</f>
        <v>-3.21692866525845</v>
      </c>
      <c r="H18" s="4" t="n">
        <f aca="false">(H6-G6)*Assumptions!$B$23/100</f>
        <v>-3.28126723856361</v>
      </c>
      <c r="I18" s="4" t="n">
        <f aca="false">(I6-H6)*Assumptions!$B$23/100</f>
        <v>-3.34689258333489</v>
      </c>
      <c r="J18" s="4" t="n">
        <f aca="false">(J6-I6)*Assumptions!$B$23/100</f>
        <v>-3.41383043500159</v>
      </c>
      <c r="K18" s="4" t="n">
        <f aca="false">(K6-J6)*Assumptions!$B$23/100</f>
        <v>-3.48210704370163</v>
      </c>
      <c r="L18" s="4" t="n">
        <f aca="false">(L6-K6)*Assumptions!$B$23/100</f>
        <v>-3.55174918457566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704.4285714177</v>
      </c>
      <c r="D19" s="0" t="n">
        <f aca="false">D15+D16+D17+D18</f>
        <v>702.856688174372</v>
      </c>
      <c r="E19" s="0" t="n">
        <f aca="false">E15+E16+E17+E18</f>
        <v>704.422038176835</v>
      </c>
      <c r="F19" s="0" t="n">
        <f aca="false">F15+F16+F17+F18</f>
        <v>710.200079888454</v>
      </c>
      <c r="G19" s="0" t="n">
        <f aca="false">G15+G16+G17+G18</f>
        <v>715.927474453267</v>
      </c>
      <c r="H19" s="0" t="n">
        <f aca="false">H15+H16+H17+H18</f>
        <v>730.246023942333</v>
      </c>
      <c r="I19" s="0" t="n">
        <f aca="false">I15+I16+I17+I18</f>
        <v>744.850944421179</v>
      </c>
      <c r="J19" s="0" t="n">
        <f aca="false">J15+J16+J17+J18</f>
        <v>759.747963309603</v>
      </c>
      <c r="K19" s="0" t="n">
        <f aca="false">K15+K16+K17+K18</f>
        <v>774.942922575795</v>
      </c>
      <c r="L19" s="0" t="n">
        <f aca="false">L15+L16+L17+L18</f>
        <v>790.441781027311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655.282392016465</v>
      </c>
      <c r="D21" s="0" t="n">
        <f aca="false">D19*D20</f>
        <v>608.204813996212</v>
      </c>
      <c r="E21" s="0" t="n">
        <f aca="false">E19*E20</f>
        <v>567.03196502594</v>
      </c>
      <c r="F21" s="0" t="n">
        <f aca="false">F19*F20</f>
        <v>531.798196067698</v>
      </c>
      <c r="G21" s="0" t="n">
        <f aca="false">G19*G20</f>
        <v>498.685462467041</v>
      </c>
      <c r="H21" s="0" t="n">
        <f aca="false">H19*H20</f>
        <v>473.171322526866</v>
      </c>
      <c r="I21" s="0" t="n">
        <f aca="false">I19*I20</f>
        <v>448.962557188282</v>
      </c>
      <c r="J21" s="0" t="n">
        <f aca="false">J19*J20</f>
        <v>425.992379843766</v>
      </c>
      <c r="K21" s="0" t="n">
        <f aca="false">K19*K20</f>
        <v>404.197420875015</v>
      </c>
      <c r="L21" s="0" t="n">
        <f aca="false">L19*L20</f>
        <v>383.517552830247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4996.84406283753</v>
      </c>
    </row>
    <row r="31" customFormat="false" ht="15" hidden="false" customHeight="false" outlineLevel="0" collapsed="false">
      <c r="A31" s="0" t="s">
        <v>132</v>
      </c>
      <c r="B31" s="0" t="n">
        <f aca="false">L19</f>
        <v>790.441781027311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14659.1021208701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11066.1849343824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11066.1849343824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5369.24573962346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10366.089802461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5647.28980246099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169.496662538597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-0.419810150822902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458.196239811669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651.966523501708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202.816872734689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6201.92782036813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13.3008380097615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5</v>
      </c>
      <c r="D5" s="4" t="n">
        <f aca="false">Assumptions!D27</f>
        <v>2.5</v>
      </c>
      <c r="E5" s="4" t="n">
        <f aca="false">Assumptions!E27</f>
        <v>3.8</v>
      </c>
      <c r="F5" s="4" t="n">
        <f aca="false">Assumptions!F27</f>
        <v>3.8</v>
      </c>
      <c r="G5" s="4" t="n">
        <f aca="false">Assumptions!G27</f>
        <v>3.8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4939.994</v>
      </c>
      <c r="C6" s="0" t="n">
        <f aca="false">B6*(1+C5/100)</f>
        <v>5186.9937</v>
      </c>
      <c r="D6" s="0" t="n">
        <f aca="false">C6*(1+D5/100)</f>
        <v>5316.6685425</v>
      </c>
      <c r="E6" s="0" t="n">
        <f aca="false">D6*(1+E5/100)</f>
        <v>5518.701947115</v>
      </c>
      <c r="F6" s="0" t="n">
        <f aca="false">E6*(1+F5/100)</f>
        <v>5728.41262110537</v>
      </c>
      <c r="G6" s="0" t="n">
        <f aca="false">F6*(1+G5/100)</f>
        <v>5946.09230070737</v>
      </c>
      <c r="H6" s="0" t="n">
        <f aca="false">G6*(1+H5/100)</f>
        <v>6154.20553123213</v>
      </c>
      <c r="I6" s="0" t="n">
        <f aca="false">H6*(1+I5/100)</f>
        <v>6369.60272482526</v>
      </c>
      <c r="J6" s="0" t="n">
        <f aca="false">I6*(1+J5/100)</f>
        <v>6560.69080657001</v>
      </c>
      <c r="K6" s="0" t="n">
        <f aca="false">J6*(1+K5/100)</f>
        <v>6757.51153076711</v>
      </c>
      <c r="L6" s="0" t="n">
        <f aca="false">K6*(1+L5/100)</f>
        <v>6960.23687669013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22.3</v>
      </c>
      <c r="D7" s="4" t="n">
        <f aca="false">Assumptions!D28</f>
        <v>22.4</v>
      </c>
      <c r="E7" s="4" t="n">
        <f aca="false">Assumptions!E28</f>
        <v>22.5</v>
      </c>
      <c r="F7" s="4" t="n">
        <f aca="false">Assumptions!F28</f>
        <v>22.6</v>
      </c>
      <c r="G7" s="4" t="n">
        <f aca="false">Assumptions!G28</f>
        <v>22.7</v>
      </c>
      <c r="H7" s="4" t="n">
        <f aca="false">Assumptions!H28</f>
        <v>22.8</v>
      </c>
      <c r="I7" s="4" t="n">
        <f aca="false">Assumptions!I28</f>
        <v>22.8</v>
      </c>
      <c r="J7" s="4" t="n">
        <f aca="false">Assumptions!J28</f>
        <v>22.8</v>
      </c>
      <c r="K7" s="4" t="n">
        <f aca="false">Assumptions!K28</f>
        <v>22.8</v>
      </c>
      <c r="L7" s="4" t="n">
        <f aca="false">Assumptions!L28</f>
        <v>22.8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1156.6995951</v>
      </c>
      <c r="D8" s="0" t="n">
        <f aca="false">D6*D7/100</f>
        <v>1190.93375352</v>
      </c>
      <c r="E8" s="0" t="n">
        <f aca="false">E6*E7/100</f>
        <v>1241.70793810087</v>
      </c>
      <c r="F8" s="0" t="n">
        <f aca="false">F6*F7/100</f>
        <v>1294.62125236981</v>
      </c>
      <c r="G8" s="0" t="n">
        <f aca="false">G6*G7/100</f>
        <v>1349.76295226057</v>
      </c>
      <c r="H8" s="0" t="n">
        <f aca="false">H6*H7/100</f>
        <v>1403.15886112093</v>
      </c>
      <c r="I8" s="0" t="n">
        <f aca="false">I6*I7/100</f>
        <v>1452.26942126016</v>
      </c>
      <c r="J8" s="0" t="n">
        <f aca="false">J6*J7/100</f>
        <v>1495.83750389796</v>
      </c>
      <c r="K8" s="0" t="n">
        <f aca="false">K6*K7/100</f>
        <v>1540.7126290149</v>
      </c>
      <c r="L8" s="0" t="n">
        <f aca="false">L6*L7/100</f>
        <v>1586.93400788535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1.3</v>
      </c>
      <c r="D9" s="4" t="n">
        <f aca="false">Assumptions!D29</f>
        <v>1.2</v>
      </c>
      <c r="E9" s="4" t="n">
        <f aca="false">Assumptions!E29</f>
        <v>1.15</v>
      </c>
      <c r="F9" s="4" t="n">
        <f aca="false">Assumptions!F29</f>
        <v>1.1</v>
      </c>
      <c r="G9" s="4" t="n">
        <f aca="false">Assumptions!G29</f>
        <v>1.1</v>
      </c>
      <c r="H9" s="4" t="n">
        <f aca="false">Assumptions!H29</f>
        <v>1.1</v>
      </c>
      <c r="I9" s="4" t="n">
        <f aca="false">Assumptions!I29</f>
        <v>1.1</v>
      </c>
      <c r="J9" s="4" t="n">
        <f aca="false">Assumptions!J29</f>
        <v>1.1</v>
      </c>
      <c r="K9" s="4" t="n">
        <f aca="false">Assumptions!K29</f>
        <v>1.1</v>
      </c>
      <c r="L9" s="4" t="n">
        <f aca="false">Assumptions!L29</f>
        <v>1.1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-67.4309181</v>
      </c>
      <c r="D10" s="0" t="n">
        <f aca="false">-D6*D9/100</f>
        <v>-63.80002251</v>
      </c>
      <c r="E10" s="0" t="n">
        <f aca="false">-E6*E9/100</f>
        <v>-63.4650723918225</v>
      </c>
      <c r="F10" s="0" t="n">
        <f aca="false">-F6*F9/100</f>
        <v>-63.0125388321591</v>
      </c>
      <c r="G10" s="0" t="n">
        <f aca="false">-G6*G9/100</f>
        <v>-65.4070153077811</v>
      </c>
      <c r="H10" s="0" t="n">
        <f aca="false">-H6*H9/100</f>
        <v>-67.6962608435535</v>
      </c>
      <c r="I10" s="0" t="n">
        <f aca="false">-I6*I9/100</f>
        <v>-70.0656299730778</v>
      </c>
      <c r="J10" s="0" t="n">
        <f aca="false">-J6*J9/100</f>
        <v>-72.1675988722702</v>
      </c>
      <c r="K10" s="0" t="n">
        <f aca="false">-K6*K9/100</f>
        <v>-74.3326268384383</v>
      </c>
      <c r="L10" s="0" t="n">
        <f aca="false">-L6*L9/100</f>
        <v>-76.5626056435914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1089.268677</v>
      </c>
      <c r="D11" s="0" t="n">
        <f aca="false">D8+D10+D24</f>
        <v>1127.13373101</v>
      </c>
      <c r="E11" s="0" t="n">
        <f aca="false">E8+E10+E24</f>
        <v>1178.24286570905</v>
      </c>
      <c r="F11" s="0" t="n">
        <f aca="false">F8+F10+F24</f>
        <v>1231.60871353765</v>
      </c>
      <c r="G11" s="0" t="n">
        <f aca="false">G8+G10+G24</f>
        <v>1284.35593695279</v>
      </c>
      <c r="H11" s="0" t="n">
        <f aca="false">H8+H10+H24</f>
        <v>1335.46260027737</v>
      </c>
      <c r="I11" s="0" t="n">
        <f aca="false">I8+I10+I24</f>
        <v>1382.20379128708</v>
      </c>
      <c r="J11" s="0" t="n">
        <f aca="false">J8+J10+J24</f>
        <v>1423.66990502569</v>
      </c>
      <c r="K11" s="0" t="n">
        <f aca="false">K8+K10+K24</f>
        <v>1466.38000217646</v>
      </c>
      <c r="L11" s="0" t="n">
        <f aca="false">L8+L10+L24</f>
        <v>1510.37140224176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-93.3658866</v>
      </c>
      <c r="D12" s="4" t="n">
        <f aca="false">-D6*Assumptions!D31/100</f>
        <v>-95.700033765</v>
      </c>
      <c r="E12" s="4" t="n">
        <f aca="false">-E6*Assumptions!E31/100</f>
        <v>-99.33663504807</v>
      </c>
      <c r="F12" s="4" t="n">
        <f aca="false">-F6*Assumptions!F31/100</f>
        <v>-103.111427179897</v>
      </c>
      <c r="G12" s="4" t="n">
        <f aca="false">-G6*Assumptions!G31/100</f>
        <v>-107.029661412733</v>
      </c>
      <c r="H12" s="4" t="n">
        <f aca="false">-H6*Assumptions!H31/100</f>
        <v>-110.775699562178</v>
      </c>
      <c r="I12" s="4" t="n">
        <f aca="false">-I6*Assumptions!I31/100</f>
        <v>-114.652849046855</v>
      </c>
      <c r="J12" s="4" t="n">
        <f aca="false">-J6*Assumptions!J31/100</f>
        <v>-118.09243451826</v>
      </c>
      <c r="K12" s="4" t="n">
        <f aca="false">-K6*Assumptions!K31/100</f>
        <v>-121.635207553808</v>
      </c>
      <c r="L12" s="4" t="n">
        <f aca="false">-L6*Assumptions!L31/100</f>
        <v>-125.284263780422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995.9027904</v>
      </c>
      <c r="D13" s="0" t="n">
        <f aca="false">D11+D12</f>
        <v>1031.433697245</v>
      </c>
      <c r="E13" s="0" t="n">
        <f aca="false">E11+E12</f>
        <v>1078.90623066098</v>
      </c>
      <c r="F13" s="0" t="n">
        <f aca="false">F11+F12</f>
        <v>1128.49728635776</v>
      </c>
      <c r="G13" s="0" t="n">
        <f aca="false">G11+G12</f>
        <v>1177.32627554006</v>
      </c>
      <c r="H13" s="0" t="n">
        <f aca="false">H11+H12</f>
        <v>1224.68690071519</v>
      </c>
      <c r="I13" s="0" t="n">
        <f aca="false">I11+I12</f>
        <v>1267.55094224023</v>
      </c>
      <c r="J13" s="0" t="n">
        <f aca="false">J11+J12</f>
        <v>1305.57747050743</v>
      </c>
      <c r="K13" s="0" t="n">
        <f aca="false">K11+K12</f>
        <v>1344.74479462266</v>
      </c>
      <c r="L13" s="0" t="n">
        <f aca="false">L11+L12</f>
        <v>1385.08713846134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22.5</v>
      </c>
      <c r="D14" s="4" t="n">
        <f aca="false">Assumptions!D33</f>
        <v>22.5</v>
      </c>
      <c r="E14" s="4" t="n">
        <f aca="false">Assumptions!E33</f>
        <v>22.5</v>
      </c>
      <c r="F14" s="4" t="n">
        <f aca="false">Assumptions!F33</f>
        <v>22.5</v>
      </c>
      <c r="G14" s="4" t="n">
        <f aca="false">Assumptions!G33</f>
        <v>22.5</v>
      </c>
      <c r="H14" s="4" t="n">
        <f aca="false">Assumptions!H33</f>
        <v>22.5</v>
      </c>
      <c r="I14" s="4" t="n">
        <f aca="false">Assumptions!I33</f>
        <v>22.5</v>
      </c>
      <c r="J14" s="4" t="n">
        <f aca="false">Assumptions!J33</f>
        <v>22.5</v>
      </c>
      <c r="K14" s="4" t="n">
        <f aca="false">Assumptions!K33</f>
        <v>22.5</v>
      </c>
      <c r="L14" s="4" t="n">
        <f aca="false">Assumptions!L33</f>
        <v>22.5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771.82466256</v>
      </c>
      <c r="D15" s="0" t="n">
        <f aca="false">D13-MAX(0,D13)*D14/100</f>
        <v>799.361115364875</v>
      </c>
      <c r="E15" s="0" t="n">
        <f aca="false">E13-MAX(0,E13)*E14/100</f>
        <v>836.152328762261</v>
      </c>
      <c r="F15" s="0" t="n">
        <f aca="false">F13-MAX(0,F13)*F14/100</f>
        <v>874.585396927262</v>
      </c>
      <c r="G15" s="0" t="n">
        <f aca="false">G13-MAX(0,G13)*G14/100</f>
        <v>912.427863543546</v>
      </c>
      <c r="H15" s="0" t="n">
        <f aca="false">H13-MAX(0,H13)*H14/100</f>
        <v>949.132348054275</v>
      </c>
      <c r="I15" s="0" t="n">
        <f aca="false">I13-MAX(0,I13)*I14/100</f>
        <v>982.351980236175</v>
      </c>
      <c r="J15" s="0" t="n">
        <f aca="false">J13-MAX(0,J13)*J14/100</f>
        <v>1011.82253964326</v>
      </c>
      <c r="K15" s="0" t="n">
        <f aca="false">K13-MAX(0,K13)*K14/100</f>
        <v>1042.17721583256</v>
      </c>
      <c r="L15" s="0" t="n">
        <f aca="false">L13-MAX(0,L13)*L14/100</f>
        <v>1073.44253230753</v>
      </c>
    </row>
    <row r="16" customFormat="false" ht="15" hidden="false" customHeight="false" outlineLevel="0" collapsed="false">
      <c r="A16" s="0" t="s">
        <v>123</v>
      </c>
      <c r="C16" s="0" t="n">
        <f aca="false">-C12</f>
        <v>93.3658866</v>
      </c>
      <c r="D16" s="0" t="n">
        <f aca="false">-D12</f>
        <v>95.700033765</v>
      </c>
      <c r="E16" s="0" t="n">
        <f aca="false">-E12</f>
        <v>99.33663504807</v>
      </c>
      <c r="F16" s="0" t="n">
        <f aca="false">-F12</f>
        <v>103.111427179897</v>
      </c>
      <c r="G16" s="0" t="n">
        <f aca="false">-G12</f>
        <v>107.029661412733</v>
      </c>
      <c r="H16" s="0" t="n">
        <f aca="false">-H12</f>
        <v>110.775699562178</v>
      </c>
      <c r="I16" s="0" t="n">
        <f aca="false">-I12</f>
        <v>114.652849046855</v>
      </c>
      <c r="J16" s="0" t="n">
        <f aca="false">-J12</f>
        <v>118.09243451826</v>
      </c>
      <c r="K16" s="0" t="n">
        <f aca="false">-K12</f>
        <v>121.635207553808</v>
      </c>
      <c r="L16" s="0" t="n">
        <f aca="false">-L12</f>
        <v>125.284263780422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-124.4878488</v>
      </c>
      <c r="D17" s="4" t="n">
        <f aca="false">-D6*Assumptions!D32/100</f>
        <v>-127.60004502</v>
      </c>
      <c r="E17" s="4" t="n">
        <f aca="false">-E6*Assumptions!E32/100</f>
        <v>-132.44884673076</v>
      </c>
      <c r="F17" s="4" t="n">
        <f aca="false">-F6*Assumptions!F32/100</f>
        <v>-137.481902906529</v>
      </c>
      <c r="G17" s="4" t="n">
        <f aca="false">-G6*Assumptions!G32/100</f>
        <v>-142.706215216977</v>
      </c>
      <c r="H17" s="4" t="n">
        <f aca="false">-H6*Assumptions!H32/100</f>
        <v>-147.700932749571</v>
      </c>
      <c r="I17" s="4" t="n">
        <f aca="false">-I6*Assumptions!I32/100</f>
        <v>-152.870465395806</v>
      </c>
      <c r="J17" s="4" t="n">
        <f aca="false">-J6*Assumptions!J32/100</f>
        <v>-157.45657935768</v>
      </c>
      <c r="K17" s="4" t="n">
        <f aca="false">-K6*Assumptions!K32/100</f>
        <v>-162.180276738411</v>
      </c>
      <c r="L17" s="4" t="n">
        <f aca="false">-L6*Assumptions!L32/100</f>
        <v>-167.045685040563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-7.40999100000001</v>
      </c>
      <c r="D18" s="4" t="n">
        <f aca="false">(D6-C6)*Assumptions!$B$37/100</f>
        <v>-3.89024527499999</v>
      </c>
      <c r="E18" s="4" t="n">
        <f aca="false">(E6-D6)*Assumptions!$B$37/100</f>
        <v>-6.06100213845</v>
      </c>
      <c r="F18" s="4" t="n">
        <f aca="false">(F6-E6)*Assumptions!$B$37/100</f>
        <v>-6.29132021971111</v>
      </c>
      <c r="G18" s="4" t="n">
        <f aca="false">(G6-F6)*Assumptions!$B$37/100</f>
        <v>-6.53039038806013</v>
      </c>
      <c r="H18" s="4" t="n">
        <f aca="false">(H6-G6)*Assumptions!$B$37/100</f>
        <v>-6.24339691574272</v>
      </c>
      <c r="I18" s="4" t="n">
        <f aca="false">(I6-H6)*Assumptions!$B$37/100</f>
        <v>-6.46191580779372</v>
      </c>
      <c r="J18" s="4" t="n">
        <f aca="false">(J6-I6)*Assumptions!$B$37/100</f>
        <v>-5.73264245234273</v>
      </c>
      <c r="K18" s="4" t="n">
        <f aca="false">(K6-J6)*Assumptions!$B$37/100</f>
        <v>-5.90462172591301</v>
      </c>
      <c r="L18" s="4" t="n">
        <f aca="false">(L6-K6)*Assumptions!$B$37/100</f>
        <v>-6.0817603776904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733.29270936</v>
      </c>
      <c r="D19" s="0" t="n">
        <f aca="false">D15+D16+D17+D18</f>
        <v>763.570858834875</v>
      </c>
      <c r="E19" s="0" t="n">
        <f aca="false">E15+E16+E17+E18</f>
        <v>796.979114941121</v>
      </c>
      <c r="F19" s="0" t="n">
        <f aca="false">F15+F16+F17+F18</f>
        <v>833.923600980919</v>
      </c>
      <c r="G19" s="0" t="n">
        <f aca="false">G15+G16+G17+G18</f>
        <v>870.220919351242</v>
      </c>
      <c r="H19" s="0" t="n">
        <f aca="false">H15+H16+H17+H18</f>
        <v>905.96371795114</v>
      </c>
      <c r="I19" s="0" t="n">
        <f aca="false">I15+I16+I17+I18</f>
        <v>937.67244807943</v>
      </c>
      <c r="J19" s="0" t="n">
        <f aca="false">J15+J16+J17+J18</f>
        <v>966.725752351497</v>
      </c>
      <c r="K19" s="0" t="n">
        <f aca="false">K15+K16+K17+K18</f>
        <v>995.727524922042</v>
      </c>
      <c r="L19" s="0" t="n">
        <f aca="false">L15+L16+L17+L18</f>
        <v>1025.5993506697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682.132752893023</v>
      </c>
      <c r="D21" s="0" t="n">
        <f aca="false">D19*D20</f>
        <v>660.742765892807</v>
      </c>
      <c r="E21" s="0" t="n">
        <f aca="false">E19*E20</f>
        <v>641.536762250264</v>
      </c>
      <c r="F21" s="0" t="n">
        <f aca="false">F19*F20</f>
        <v>624.442434207534</v>
      </c>
      <c r="G21" s="0" t="n">
        <f aca="false">G19*G20</f>
        <v>606.159893425762</v>
      </c>
      <c r="H21" s="0" t="n">
        <f aca="false">H19*H20</f>
        <v>587.029626358021</v>
      </c>
      <c r="I21" s="0" t="n">
        <f aca="false">I19*I20</f>
        <v>565.186663516792</v>
      </c>
      <c r="J21" s="0" t="n">
        <f aca="false">J19*J20</f>
        <v>542.04528842238</v>
      </c>
      <c r="K21" s="0" t="n">
        <f aca="false">K19*K20</f>
        <v>519.355020534932</v>
      </c>
      <c r="L21" s="0" t="n">
        <f aca="false">L19*L20</f>
        <v>497.614577814865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5926.24578531638</v>
      </c>
    </row>
    <row r="31" customFormat="false" ht="15" hidden="false" customHeight="false" outlineLevel="0" collapsed="false">
      <c r="A31" s="0" t="s">
        <v>132</v>
      </c>
      <c r="B31" s="0" t="n">
        <f aca="false">L19</f>
        <v>1025.5993506697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21024.7866887289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18460.7883120547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18460.7883120547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8957.06240066756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14883.3081859839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10164.5081859839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305.075580346478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0.0442787031781942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464.245088724638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761.528083560805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341.865698969608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8409.91467549157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48.1799592824491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5.8</v>
      </c>
      <c r="D5" s="4" t="n">
        <f aca="false">Assumptions!D41</f>
        <v>4</v>
      </c>
      <c r="E5" s="4" t="n">
        <f aca="false">Assumptions!E41</f>
        <v>5.5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4939.994</v>
      </c>
      <c r="C6" s="0" t="n">
        <f aca="false">B6*(1+C5/100)</f>
        <v>5226.513652</v>
      </c>
      <c r="D6" s="0" t="n">
        <f aca="false">C6*(1+D5/100)</f>
        <v>5435.57419808</v>
      </c>
      <c r="E6" s="0" t="n">
        <f aca="false">D6*(1+E5/100)</f>
        <v>5734.5307789744</v>
      </c>
      <c r="F6" s="0" t="n">
        <f aca="false">E6*(1+F5/100)</f>
        <v>6049.92997181799</v>
      </c>
      <c r="G6" s="0" t="n">
        <f aca="false">F6*(1+G5/100)</f>
        <v>6352.42647040889</v>
      </c>
      <c r="H6" s="0" t="n">
        <f aca="false">G6*(1+H5/100)</f>
        <v>6670.04779392934</v>
      </c>
      <c r="I6" s="0" t="n">
        <f aca="false">H6*(1+I5/100)</f>
        <v>6970.19994465616</v>
      </c>
      <c r="J6" s="0" t="n">
        <f aca="false">I6*(1+J5/100)</f>
        <v>7249.0079424424</v>
      </c>
      <c r="K6" s="0" t="n">
        <f aca="false">J6*(1+K5/100)</f>
        <v>7502.72322042789</v>
      </c>
      <c r="L6" s="0" t="n">
        <f aca="false">K6*(1+L5/100)</f>
        <v>7727.80491704072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22.5</v>
      </c>
      <c r="D7" s="4" t="n">
        <f aca="false">Assumptions!D42</f>
        <v>22.8</v>
      </c>
      <c r="E7" s="4" t="n">
        <f aca="false">Assumptions!E42</f>
        <v>23.1</v>
      </c>
      <c r="F7" s="4" t="n">
        <f aca="false">Assumptions!F42</f>
        <v>23.4</v>
      </c>
      <c r="G7" s="4" t="n">
        <f aca="false">Assumptions!G42</f>
        <v>23.7</v>
      </c>
      <c r="H7" s="4" t="n">
        <f aca="false">Assumptions!H42</f>
        <v>24</v>
      </c>
      <c r="I7" s="4" t="n">
        <f aca="false">Assumptions!I42</f>
        <v>24</v>
      </c>
      <c r="J7" s="4" t="n">
        <f aca="false">Assumptions!J42</f>
        <v>24</v>
      </c>
      <c r="K7" s="4" t="n">
        <f aca="false">Assumptions!K42</f>
        <v>24</v>
      </c>
      <c r="L7" s="4" t="n">
        <f aca="false">Assumptions!L42</f>
        <v>24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1175.9655717</v>
      </c>
      <c r="D8" s="0" t="n">
        <f aca="false">D6*D7/100</f>
        <v>1239.31091716224</v>
      </c>
      <c r="E8" s="0" t="n">
        <f aca="false">E6*E7/100</f>
        <v>1324.67660994309</v>
      </c>
      <c r="F8" s="0" t="n">
        <f aca="false">F6*F7/100</f>
        <v>1415.68361340541</v>
      </c>
      <c r="G8" s="0" t="n">
        <f aca="false">G6*G7/100</f>
        <v>1505.52507348691</v>
      </c>
      <c r="H8" s="0" t="n">
        <f aca="false">H6*H7/100</f>
        <v>1600.81147054304</v>
      </c>
      <c r="I8" s="0" t="n">
        <f aca="false">I6*I7/100</f>
        <v>1672.84798671748</v>
      </c>
      <c r="J8" s="0" t="n">
        <f aca="false">J6*J7/100</f>
        <v>1739.76190618618</v>
      </c>
      <c r="K8" s="0" t="n">
        <f aca="false">K6*K7/100</f>
        <v>1800.65357290269</v>
      </c>
      <c r="L8" s="0" t="n">
        <f aca="false">L6*L7/100</f>
        <v>1854.67318008977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1.3</v>
      </c>
      <c r="D9" s="4" t="n">
        <f aca="false">Assumptions!D43</f>
        <v>1.2</v>
      </c>
      <c r="E9" s="4" t="n">
        <f aca="false">Assumptions!E43</f>
        <v>1.15</v>
      </c>
      <c r="F9" s="4" t="n">
        <f aca="false">Assumptions!F43</f>
        <v>1.1</v>
      </c>
      <c r="G9" s="4" t="n">
        <f aca="false">Assumptions!G43</f>
        <v>1.1</v>
      </c>
      <c r="H9" s="4" t="n">
        <f aca="false">Assumptions!H43</f>
        <v>1.1</v>
      </c>
      <c r="I9" s="4" t="n">
        <f aca="false">Assumptions!I43</f>
        <v>1.1</v>
      </c>
      <c r="J9" s="4" t="n">
        <f aca="false">Assumptions!J43</f>
        <v>1.1</v>
      </c>
      <c r="K9" s="4" t="n">
        <f aca="false">Assumptions!K43</f>
        <v>1.1</v>
      </c>
      <c r="L9" s="4" t="n">
        <f aca="false">Assumptions!L43</f>
        <v>1.1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-67.944677476</v>
      </c>
      <c r="D10" s="0" t="n">
        <f aca="false">-D6*D9/100</f>
        <v>-65.22689037696</v>
      </c>
      <c r="E10" s="0" t="n">
        <f aca="false">-E6*E9/100</f>
        <v>-65.9471039582056</v>
      </c>
      <c r="F10" s="0" t="n">
        <f aca="false">-F6*F9/100</f>
        <v>-66.5492296899979</v>
      </c>
      <c r="G10" s="0" t="n">
        <f aca="false">-G6*G9/100</f>
        <v>-69.8766911744978</v>
      </c>
      <c r="H10" s="0" t="n">
        <f aca="false">-H6*H9/100</f>
        <v>-73.3705257332227</v>
      </c>
      <c r="I10" s="0" t="n">
        <f aca="false">-I6*I9/100</f>
        <v>-76.6721993912177</v>
      </c>
      <c r="J10" s="0" t="n">
        <f aca="false">-J6*J9/100</f>
        <v>-79.7390873668664</v>
      </c>
      <c r="K10" s="0" t="n">
        <f aca="false">-K6*K9/100</f>
        <v>-82.5299554247068</v>
      </c>
      <c r="L10" s="0" t="n">
        <f aca="false">-L6*L9/100</f>
        <v>-85.005854087448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1108.020894224</v>
      </c>
      <c r="D11" s="0" t="n">
        <f aca="false">D8+D10+D24</f>
        <v>1174.08402678528</v>
      </c>
      <c r="E11" s="0" t="n">
        <f aca="false">E8+E10+E24</f>
        <v>1258.72950598488</v>
      </c>
      <c r="F11" s="0" t="n">
        <f aca="false">F8+F10+F24</f>
        <v>1349.13438371541</v>
      </c>
      <c r="G11" s="0" t="n">
        <f aca="false">G8+G10+G24</f>
        <v>1435.64838231241</v>
      </c>
      <c r="H11" s="0" t="n">
        <f aca="false">H8+H10+H24</f>
        <v>1527.44094480982</v>
      </c>
      <c r="I11" s="0" t="n">
        <f aca="false">I8+I10+I24</f>
        <v>1596.17578732626</v>
      </c>
      <c r="J11" s="0" t="n">
        <f aca="false">J8+J10+J24</f>
        <v>1660.02281881931</v>
      </c>
      <c r="K11" s="0" t="n">
        <f aca="false">K8+K10+K24</f>
        <v>1718.12361747799</v>
      </c>
      <c r="L11" s="0" t="n">
        <f aca="false">L8+L10+L24</f>
        <v>1769.66732600233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-94.077245736</v>
      </c>
      <c r="D12" s="4" t="n">
        <f aca="false">-D6*Assumptions!D45/100</f>
        <v>-97.84033556544</v>
      </c>
      <c r="E12" s="4" t="n">
        <f aca="false">-E6*Assumptions!E45/100</f>
        <v>-103.221554021539</v>
      </c>
      <c r="F12" s="4" t="n">
        <f aca="false">-F6*Assumptions!F45/100</f>
        <v>-108.898739492724</v>
      </c>
      <c r="G12" s="4" t="n">
        <f aca="false">-G6*Assumptions!G45/100</f>
        <v>-114.34367646736</v>
      </c>
      <c r="H12" s="4" t="n">
        <f aca="false">-H6*Assumptions!H45/100</f>
        <v>-120.060860290728</v>
      </c>
      <c r="I12" s="4" t="n">
        <f aca="false">-I6*Assumptions!I45/100</f>
        <v>-125.463599003811</v>
      </c>
      <c r="J12" s="4" t="n">
        <f aca="false">-J6*Assumptions!J45/100</f>
        <v>-130.482142963963</v>
      </c>
      <c r="K12" s="4" t="n">
        <f aca="false">-K6*Assumptions!K45/100</f>
        <v>-135.049017967702</v>
      </c>
      <c r="L12" s="4" t="n">
        <f aca="false">-L6*Assumptions!L45/100</f>
        <v>-139.100488506733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1013.943648488</v>
      </c>
      <c r="D13" s="0" t="n">
        <f aca="false">D11+D12</f>
        <v>1076.24369121984</v>
      </c>
      <c r="E13" s="0" t="n">
        <f aca="false">E11+E12</f>
        <v>1155.50795196334</v>
      </c>
      <c r="F13" s="0" t="n">
        <f aca="false">F11+F12</f>
        <v>1240.23564422269</v>
      </c>
      <c r="G13" s="0" t="n">
        <f aca="false">G11+G12</f>
        <v>1321.30470584505</v>
      </c>
      <c r="H13" s="0" t="n">
        <f aca="false">H11+H12</f>
        <v>1407.38008451909</v>
      </c>
      <c r="I13" s="0" t="n">
        <f aca="false">I11+I12</f>
        <v>1470.71218832245</v>
      </c>
      <c r="J13" s="0" t="n">
        <f aca="false">J11+J12</f>
        <v>1529.54067585535</v>
      </c>
      <c r="K13" s="0" t="n">
        <f aca="false">K11+K12</f>
        <v>1583.07459951028</v>
      </c>
      <c r="L13" s="0" t="n">
        <f aca="false">L11+L12</f>
        <v>1630.56683749559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22.5</v>
      </c>
      <c r="D14" s="4" t="n">
        <f aca="false">Assumptions!D47</f>
        <v>22.5</v>
      </c>
      <c r="E14" s="4" t="n">
        <f aca="false">Assumptions!E47</f>
        <v>22.5</v>
      </c>
      <c r="F14" s="4" t="n">
        <f aca="false">Assumptions!F47</f>
        <v>22.5</v>
      </c>
      <c r="G14" s="4" t="n">
        <f aca="false">Assumptions!G47</f>
        <v>22.5</v>
      </c>
      <c r="H14" s="4" t="n">
        <f aca="false">Assumptions!H47</f>
        <v>22.5</v>
      </c>
      <c r="I14" s="4" t="n">
        <f aca="false">Assumptions!I47</f>
        <v>22.5</v>
      </c>
      <c r="J14" s="4" t="n">
        <f aca="false">Assumptions!J47</f>
        <v>22.5</v>
      </c>
      <c r="K14" s="4" t="n">
        <f aca="false">Assumptions!K47</f>
        <v>22.5</v>
      </c>
      <c r="L14" s="4" t="n">
        <f aca="false">Assumptions!L47</f>
        <v>22.5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785.8063275782</v>
      </c>
      <c r="D15" s="0" t="n">
        <f aca="false">D13-MAX(0,D13)*D14/100</f>
        <v>834.088860695376</v>
      </c>
      <c r="E15" s="0" t="n">
        <f aca="false">E13-MAX(0,E13)*E14/100</f>
        <v>895.51866277159</v>
      </c>
      <c r="F15" s="0" t="n">
        <f aca="false">F13-MAX(0,F13)*F14/100</f>
        <v>961.182624272583</v>
      </c>
      <c r="G15" s="0" t="n">
        <f aca="false">G13-MAX(0,G13)*G14/100</f>
        <v>1024.01114702991</v>
      </c>
      <c r="H15" s="0" t="n">
        <f aca="false">H13-MAX(0,H13)*H14/100</f>
        <v>1090.71956550229</v>
      </c>
      <c r="I15" s="0" t="n">
        <f aca="false">I13-MAX(0,I13)*I14/100</f>
        <v>1139.8019459499</v>
      </c>
      <c r="J15" s="0" t="n">
        <f aca="false">J13-MAX(0,J13)*J14/100</f>
        <v>1185.39402378789</v>
      </c>
      <c r="K15" s="0" t="n">
        <f aca="false">K13-MAX(0,K13)*K14/100</f>
        <v>1226.88281462047</v>
      </c>
      <c r="L15" s="0" t="n">
        <f aca="false">L13-MAX(0,L13)*L14/100</f>
        <v>1263.68929905908</v>
      </c>
    </row>
    <row r="16" customFormat="false" ht="15" hidden="false" customHeight="false" outlineLevel="0" collapsed="false">
      <c r="A16" s="0" t="s">
        <v>123</v>
      </c>
      <c r="C16" s="0" t="n">
        <f aca="false">-C12</f>
        <v>94.077245736</v>
      </c>
      <c r="D16" s="0" t="n">
        <f aca="false">-D12</f>
        <v>97.84033556544</v>
      </c>
      <c r="E16" s="0" t="n">
        <f aca="false">-E12</f>
        <v>103.221554021539</v>
      </c>
      <c r="F16" s="0" t="n">
        <f aca="false">-F12</f>
        <v>108.898739492724</v>
      </c>
      <c r="G16" s="0" t="n">
        <f aca="false">-G12</f>
        <v>114.34367646736</v>
      </c>
      <c r="H16" s="0" t="n">
        <f aca="false">-H12</f>
        <v>120.060860290728</v>
      </c>
      <c r="I16" s="0" t="n">
        <f aca="false">-I12</f>
        <v>125.463599003811</v>
      </c>
      <c r="J16" s="0" t="n">
        <f aca="false">-J12</f>
        <v>130.482142963963</v>
      </c>
      <c r="K16" s="0" t="n">
        <f aca="false">-K12</f>
        <v>135.049017967702</v>
      </c>
      <c r="L16" s="0" t="n">
        <f aca="false">-L12</f>
        <v>139.100488506733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-125.436327648</v>
      </c>
      <c r="D17" s="4" t="n">
        <f aca="false">-D6*Assumptions!D46/100</f>
        <v>-130.45378075392</v>
      </c>
      <c r="E17" s="4" t="n">
        <f aca="false">-E6*Assumptions!E46/100</f>
        <v>-137.628738695386</v>
      </c>
      <c r="F17" s="4" t="n">
        <f aca="false">-F6*Assumptions!F46/100</f>
        <v>-145.198319323632</v>
      </c>
      <c r="G17" s="4" t="n">
        <f aca="false">-G6*Assumptions!G46/100</f>
        <v>-152.458235289813</v>
      </c>
      <c r="H17" s="4" t="n">
        <f aca="false">-H6*Assumptions!H46/100</f>
        <v>-160.081147054304</v>
      </c>
      <c r="I17" s="4" t="n">
        <f aca="false">-I6*Assumptions!I46/100</f>
        <v>-167.284798671748</v>
      </c>
      <c r="J17" s="4" t="n">
        <f aca="false">-J6*Assumptions!J46/100</f>
        <v>-173.976190618618</v>
      </c>
      <c r="K17" s="4" t="n">
        <f aca="false">-K6*Assumptions!K46/100</f>
        <v>-180.065357290269</v>
      </c>
      <c r="L17" s="4" t="n">
        <f aca="false">-L6*Assumptions!L46/100</f>
        <v>-185.467318008977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-8.59558956</v>
      </c>
      <c r="D18" s="4" t="n">
        <f aca="false">(D6-C6)*Assumptions!$B$51/100</f>
        <v>-6.27181638239999</v>
      </c>
      <c r="E18" s="4" t="n">
        <f aca="false">(E6-D6)*Assumptions!$B$51/100</f>
        <v>-8.968697426832</v>
      </c>
      <c r="F18" s="4" t="n">
        <f aca="false">(F6-E6)*Assumptions!$B$51/100</f>
        <v>-9.46197578530775</v>
      </c>
      <c r="G18" s="4" t="n">
        <f aca="false">(G6-F6)*Assumptions!$B$51/100</f>
        <v>-9.074894957727</v>
      </c>
      <c r="H18" s="4" t="n">
        <f aca="false">(H6-G6)*Assumptions!$B$51/100</f>
        <v>-9.52863970561335</v>
      </c>
      <c r="I18" s="4" t="n">
        <f aca="false">(I6-H6)*Assumptions!$B$51/100</f>
        <v>-9.0045645218046</v>
      </c>
      <c r="J18" s="4" t="n">
        <f aca="false">(J6-I6)*Assumptions!$B$51/100</f>
        <v>-8.36423993358739</v>
      </c>
      <c r="K18" s="4" t="n">
        <f aca="false">(K6-J6)*Assumptions!$B$51/100</f>
        <v>-7.6114583395645</v>
      </c>
      <c r="L18" s="4" t="n">
        <f aca="false">(L6-K6)*Assumptions!$B$51/100</f>
        <v>-6.75245089838511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745.8516561062</v>
      </c>
      <c r="D19" s="0" t="n">
        <f aca="false">D15+D16+D17+D18</f>
        <v>795.203599124496</v>
      </c>
      <c r="E19" s="0" t="n">
        <f aca="false">E15+E16+E17+E18</f>
        <v>852.142780670911</v>
      </c>
      <c r="F19" s="0" t="n">
        <f aca="false">F15+F16+F17+F18</f>
        <v>915.421068656368</v>
      </c>
      <c r="G19" s="0" t="n">
        <f aca="false">G15+G16+G17+G18</f>
        <v>976.821693249733</v>
      </c>
      <c r="H19" s="0" t="n">
        <f aca="false">H15+H16+H17+H18</f>
        <v>1041.17063903311</v>
      </c>
      <c r="I19" s="0" t="n">
        <f aca="false">I15+I16+I17+I18</f>
        <v>1088.97618176016</v>
      </c>
      <c r="J19" s="0" t="n">
        <f aca="false">J15+J16+J17+J18</f>
        <v>1133.53573619965</v>
      </c>
      <c r="K19" s="0" t="n">
        <f aca="false">K15+K16+K17+K18</f>
        <v>1174.25501695834</v>
      </c>
      <c r="L19" s="0" t="n">
        <f aca="false">L15+L16+L17+L18</f>
        <v>1210.57001865845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693.815494052279</v>
      </c>
      <c r="D21" s="0" t="n">
        <f aca="false">D19*D20</f>
        <v>688.115607679391</v>
      </c>
      <c r="E21" s="0" t="n">
        <f aca="false">E19*E20</f>
        <v>685.941338032353</v>
      </c>
      <c r="F21" s="0" t="n">
        <f aca="false">F19*F20</f>
        <v>685.467781178343</v>
      </c>
      <c r="G21" s="0" t="n">
        <f aca="false">G19*G20</f>
        <v>680.413582699959</v>
      </c>
      <c r="H21" s="0" t="n">
        <f aca="false">H19*H20</f>
        <v>674.638508249299</v>
      </c>
      <c r="I21" s="0" t="n">
        <f aca="false">I19*I20</f>
        <v>656.385730516998</v>
      </c>
      <c r="J21" s="0" t="n">
        <f aca="false">J19*J20</f>
        <v>635.576018918354</v>
      </c>
      <c r="K21" s="0" t="n">
        <f aca="false">K19*K20</f>
        <v>612.472009843648</v>
      </c>
      <c r="L21" s="0" t="n">
        <f aca="false">L19*L20</f>
        <v>587.361222836873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6600.1872940075</v>
      </c>
    </row>
    <row r="31" customFormat="false" ht="15" hidden="false" customHeight="false" outlineLevel="0" collapsed="false">
      <c r="A31" s="0" t="s">
        <v>132</v>
      </c>
      <c r="B31" s="0" t="n">
        <f aca="false">L19</f>
        <v>1210.57001865845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27708.6026492935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24211.4003731691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24211.4003731691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11747.2244567375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18347.411750745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13628.6117507449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409.046513918751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0.400172909970395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493.993726452694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944.036755589095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452.207282333476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10390.7259934851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75.9928013293896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169.496662538597</v>
      </c>
      <c r="C4" s="0" t="n">
        <f aca="false">B4/Assumptions!$B$2-1</f>
        <v>-0.419810150822902</v>
      </c>
      <c r="D4" s="4" t="n">
        <f aca="false">Assumptions!$B$24</f>
        <v>0.25</v>
      </c>
      <c r="E4" s="4" t="n">
        <f aca="false">DCF_Bear!$B$43</f>
        <v>202.816872734689</v>
      </c>
      <c r="F4" s="4" t="n">
        <f aca="false">DCF_Bear!$B$47</f>
        <v>13.3008380097615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305.075580346478</v>
      </c>
      <c r="C5" s="0" t="n">
        <f aca="false">B5/Assumptions!$B$2-1</f>
        <v>0.0442787031781942</v>
      </c>
      <c r="D5" s="4" t="n">
        <f aca="false">Assumptions!$B$38</f>
        <v>0.5</v>
      </c>
      <c r="E5" s="4" t="n">
        <f aca="false">DCF_Base!$B$43</f>
        <v>341.865698969608</v>
      </c>
      <c r="F5" s="4" t="n">
        <f aca="false">DCF_Base!$B$47</f>
        <v>48.1799592824491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409.046513918751</v>
      </c>
      <c r="C6" s="0" t="n">
        <f aca="false">B6/Assumptions!$B$2-1</f>
        <v>0.400172909970395</v>
      </c>
      <c r="D6" s="4" t="n">
        <f aca="false">Assumptions!$B$52</f>
        <v>0.25</v>
      </c>
      <c r="E6" s="4" t="n">
        <f aca="false">DCF_Bull!$B$43</f>
        <v>452.207282333476</v>
      </c>
      <c r="F6" s="4" t="n">
        <f aca="false">DCF_Bull!$B$47</f>
        <v>75.9928013293896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297.173584287576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334.688888251845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0.0169381955655419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-13.41741570952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46.4133894760123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305.075580346478</v>
      </c>
      <c r="C15" s="3" t="n">
        <v>7.5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229.005312536435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178.666468430656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140.214281662812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109.89254414712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48.1799592824491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379.208825009986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379.208825009986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379.208825009986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379.208825009986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379.208825009986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340.367314551637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340.367314551637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340.367314551637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340.367314551637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340.367314551637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288.895663805886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305.075580346478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305.075580346478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305.075580346478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305.075580346478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225.320096441663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241.552759622859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260.490866667587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272.970817392915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272.970817392915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177.743889621808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189.078079780707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202.031439962307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216.977624787229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234.414840416305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2026-09-26T01:36:30Z</dcterms:created>
  <dc:creator>openpyxl</dc:creator>
  <dc:description/>
  <dc:language>en-NZ</dc:language>
  <cp:lastModifiedBy/>
  <dcterms:modified xsi:type="dcterms:W3CDTF">2026-09-26T01:36:30Z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