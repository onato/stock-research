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Val_Bear" sheetId="4" state="visible" r:id="rId4"/>
    <sheet xmlns:r="http://schemas.openxmlformats.org/officeDocument/2006/relationships" name="Val_Base" sheetId="5" state="visible" r:id="rId5"/>
    <sheet xmlns:r="http://schemas.openxmlformats.org/officeDocument/2006/relationships" name="Val_Bull" sheetId="6" state="visible" r:id="rId6"/>
    <sheet xmlns:r="http://schemas.openxmlformats.org/officeDocument/2006/relationships" name="Valu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60" customWidth="1" style="4" min="1" max="1"/>
    <col width="14" customWidth="1" style="4" min="2" max="2"/>
    <col width="14" customWidth="1" style="4" min="3" max="3"/>
    <col width="14" customWidth="1" style="4" min="4" max="4"/>
    <col width="14" customWidth="1" style="4" min="5" max="5"/>
    <col width="14" customWidth="1" style="4" min="6" max="6"/>
    <col width="14" customWidth="1" style="4" min="7" max="7"/>
    <col width="14" customWidth="1" style="4" min="8" max="8"/>
    <col width="14" customWidth="1" style="4" min="9" max="9"/>
    <col width="14" customWidth="1" style="4" min="10" max="10"/>
  </cols>
  <sheetData>
    <row r="1">
      <c r="A1" s="1" t="inlineStr">
        <is>
          <t>WIN.NZ Winton Land Limited - blended NTA exit-P/B + earnings exit-P/E model</t>
        </is>
      </c>
    </row>
    <row r="2">
      <c r="A2" t="inlineStr">
        <is>
          <t>Version 1.1, update 2026-09-21 (same day as v1.0). Anchors re-sourced to WIN.NZ_Metrics.csv FY2026 row (financial-parser adjudicated; ties to the v1.0 manual anchors exactly). FY27/FY28 NPAT re-judged on pre-sale cover; FY29-31 unchanged.</t>
        </is>
      </c>
    </row>
    <row r="3">
      <c r="A3" t="inlineStr">
        <is>
          <t>Built by the dcf-analyst agent (Claude Fable 5.1) at the research orchestrator's request, 21-Sep-2026.</t>
        </is>
      </c>
    </row>
    <row r="4"/>
    <row r="5">
      <c r="A5" s="1" t="inlineStr">
        <is>
          <t>DATA VINTAGE (figures go stale; refresh after each NZX print)</t>
        </is>
      </c>
    </row>
    <row r="6">
      <c r="A6" t="inlineStr">
        <is>
          <t>Price NZ$1.11 as of 2026-09-20T22:47:01Z (Yahoo, live intraday 21-Sep-2026 10:47 NZST). 52-week range 1.045-2.40.</t>
        </is>
      </c>
    </row>
    <row r="7">
      <c r="A7" t="inlineStr">
        <is>
          <t>Balance sheet 30-Jun-2026 from WIN.NZ_Metrics.csv FY2026 row (source filing: audited FY26 annual report, NZX 478541, 26-Aug-2026): cash 38.788, borrowings 44.232, equity 555.405, intangibles 0.957, NTA 186.9 cps.</t>
        </is>
      </c>
    </row>
    <row r="8">
      <c r="A8" t="inlineStr">
        <is>
          <t>Shares 296,613,736 basic, unchanged since IPO. 10.332m options at $3.887 strike are far out of the money and are NOT counted (treasury-stock dilution nil).</t>
        </is>
      </c>
    </row>
    <row r="9">
      <c r="A9" t="inlineStr">
        <is>
          <t>FY26 result (CSV): revenue 188.841 (development 147.8 / hospitality 35.8 / other 5.2), EBITDA 45.582, NPAT 22.665, EPS 7.64c, 430 units settled, OCF 105.949, CapEx 9.406, CSV FCF 96.543 (inventory run-down, not a run-rate). Pre-sale book 27.4 at Jun-26 vs 248.0 at Jun-25 and 419.3 at Jun-23. Dividend paused.</t>
        </is>
      </c>
    </row>
    <row r="10">
      <c r="A10" t="inlineStr">
        <is>
          <t>Guidance: none quantitative. Board 'cautiously positive' on FY27 trading, 'cautious and constrained' on capital; no recovery expected until unemployment (5.6% Jun-26) peaks.</t>
        </is>
      </c>
    </row>
    <row r="11"/>
    <row r="12">
      <c r="A12" s="1" t="inlineStr">
        <is>
          <t>METHODOLOGY</t>
        </is>
      </c>
    </row>
    <row r="13">
      <c r="A13" t="inlineStr">
        <is>
          <t>Model routed via dcf-methods SKILL.md row 'Land subdivider, inventory-heavy developer' (CDI.NZ precedent). Reported FCF is inventory timing (FY22-24 negative on land-bank build, FY26 +80m on a run-down), so no FCF DCF.</t>
        </is>
      </c>
    </row>
    <row r="14">
      <c r="A14" t="inlineStr">
        <is>
          <t>Value per share = 50% x [PV(year-5 NTA x exit P/B) + PV(dividends)] + 50% x [PV(year-5 NPAT x exit P/E / shares) + PV(dividends)], five-year horizon, end-of-year discounting at the cost of equity.</t>
        </is>
      </c>
    </row>
    <row r="15">
      <c r="A15" t="inlineStr">
        <is>
          <t>Net debt (5.4m), lease liabilities (23.5m) and residents' ORA loans (18.2m) are inside book equity and inside NPAT; nothing is added or subtracted in a bridge.</t>
        </is>
      </c>
    </row>
    <row r="16">
      <c r="A16" t="inlineStr">
        <is>
          <t>Cost of equity 15.5% NZD: rf 4.4% + 1.2 x 5.5% ERP = 11.0%; + 2.0pp size/illiquidity; + 2.5pp governance/control/key-person. Same rate in all scenarios; cyclicality and litigation are in the NPAT paths and weights (risk charged once).</t>
        </is>
      </c>
    </row>
    <row r="17">
      <c r="A17" t="inlineStr">
        <is>
          <t>Entry price = the same construction at a 15% hurdle with the scenario's own exit multiples; because 15% &lt; 15.5% CoE the entry price sits just above IV (CDI.NZ mirror pattern).</t>
        </is>
      </c>
    </row>
    <row r="18">
      <c r="A18" t="inlineStr">
        <is>
          <t>Street basis adds back the $1.28m/yr option expense to NPAT; the band is ~2c wide.</t>
        </is>
      </c>
    </row>
    <row r="19"/>
    <row r="20">
      <c r="A20" s="1" t="inlineStr">
        <is>
          <t>JUDGMENT</t>
        </is>
      </c>
    </row>
    <row r="21">
      <c r="A21" t="inlineStr">
        <is>
          <t>Scenario NPAT paths, payout paths, exit multiples and weights (30/50/20) are the dcf-analyst agent's judgment. v1.0 (21-Sep-2026) set the paths from the FY26 annual report; v1.1 (same day) cut FY27 and FY28 NPAT in every scenario after weighing the pre-sale history: the opening book covered next-year development revenue 1.7-2.6x in every prior year and covers ~25-40% of it in FY27. FY29-31 and the $32m base mid-cycle are unchanged. Base year-5 NPAT $32m = FY21-26 six-year mean.</t>
        </is>
      </c>
    </row>
    <row r="22">
      <c r="A22" t="inlineStr">
        <is>
          <t>Refresh after the H1 FY27 print (Feb-2027): price, cash/borrowings, NTA, pre-sale book, FY27 NPAT run-rate; and after the Sunfield High Court judgment (hearing Sept-2026) and any CEO appointment.</t>
        </is>
      </c>
    </row>
    <row r="23">
      <c r="A23" t="inlineStr">
        <is>
          <t>v1.1 driver change: bear FY27/28 5/6 -&gt; -4/3; base 11/18 -&gt; 5/14; bull 15/26 -&gt; 9/22 (NZ$m NPAT). Value effect: weighted IV 0.7563 -&gt; 0.7475 (-0.9c), entirely via lower retained earnings in the year-5 NTA and a smaller FY28 dividend; the earnings leg (year-5 NPAT x P/E) is untouched.</t>
        </is>
      </c>
    </row>
    <row r="24">
      <c r="A24" s="1" t="inlineStr">
        <is>
          <t>CELL LEGEND: blue = hardcoded input; yellow fill = key lever; black = formula; green = cross-sheet link. Sheet names have no spaces.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52" customWidth="1" style="4" min="1" max="1"/>
    <col width="14" customWidth="1" style="4" min="2" max="2"/>
    <col width="14" customWidth="1" style="4" min="3" max="3"/>
    <col width="14" customWidth="1" style="4" min="4" max="4"/>
    <col width="14" customWidth="1" style="4" min="5" max="5"/>
    <col width="14" customWidth="1" style="4" min="6" max="6"/>
    <col width="14" customWidth="1" style="4" min="7" max="7"/>
    <col width="14" customWidth="1" style="4" min="8" max="8"/>
    <col width="14" customWidth="1" style="4" min="9" max="9"/>
    <col width="14" customWidth="1" style="4" min="10" max="10"/>
  </cols>
  <sheetData>
    <row r="1">
      <c r="A1" s="1" t="inlineStr">
        <is>
          <t>Reported history (FY ends 30 June). Source: WIN.NZ_Metrics.csv (FY21-FY26, all rows now adjudicated into core_metrics). Prices: Yahoo monthly closes.</t>
        </is>
      </c>
    </row>
    <row r="2">
      <c r="A2" s="1" t="inlineStr">
        <is>
          <t>Metric</t>
        </is>
      </c>
      <c r="B2" s="1" t="inlineStr">
        <is>
          <t>FY2021</t>
        </is>
      </c>
      <c r="C2" s="1" t="inlineStr">
        <is>
          <t>FY2022</t>
        </is>
      </c>
      <c r="D2" s="1" t="inlineStr">
        <is>
          <t>FY2023</t>
        </is>
      </c>
      <c r="E2" s="1" t="inlineStr">
        <is>
          <t>FY2024</t>
        </is>
      </c>
      <c r="F2" s="1" t="inlineStr">
        <is>
          <t>FY2025</t>
        </is>
      </c>
      <c r="G2" s="1" t="inlineStr">
        <is>
          <t>FY2026</t>
        </is>
      </c>
    </row>
    <row r="3">
      <c r="A3" t="inlineStr">
        <is>
          <t>Revenue (NZ$m)</t>
        </is>
      </c>
      <c r="B3" s="2" t="n">
        <v>177</v>
      </c>
      <c r="C3" s="2" t="n">
        <v>159.5</v>
      </c>
      <c r="D3" s="2" t="n">
        <v>211.4</v>
      </c>
      <c r="E3" s="2" t="n">
        <v>173.6</v>
      </c>
      <c r="F3" s="2" t="n">
        <v>155.4</v>
      </c>
      <c r="G3" s="2" t="n">
        <v>188.841</v>
      </c>
    </row>
    <row r="4">
      <c r="A4" t="inlineStr">
        <is>
          <t>EBITDA (NZ$m)</t>
        </is>
      </c>
      <c r="B4" s="2" t="n">
        <v>70.40000000000001</v>
      </c>
      <c r="C4" s="2" t="n">
        <v>45</v>
      </c>
      <c r="D4" s="2" t="n">
        <v>95.59999999999999</v>
      </c>
      <c r="E4" s="2" t="n">
        <v>29.6</v>
      </c>
      <c r="F4" s="2" t="n">
        <v>21.2</v>
      </c>
      <c r="G4" s="2" t="n">
        <v>45.582</v>
      </c>
    </row>
    <row r="5">
      <c r="A5" t="inlineStr">
        <is>
          <t>NPAT (NZ$m)</t>
        </is>
      </c>
      <c r="B5" s="2" t="n">
        <v>46.1</v>
      </c>
      <c r="C5" s="2" t="n">
        <v>31.7</v>
      </c>
      <c r="D5" s="2" t="n">
        <v>64.59999999999999</v>
      </c>
      <c r="E5" s="2" t="n">
        <v>15.8</v>
      </c>
      <c r="F5" s="2" t="n">
        <v>10.3</v>
      </c>
      <c r="G5" s="2" t="n">
        <v>22.665</v>
      </c>
    </row>
    <row r="6">
      <c r="A6" t="inlineStr">
        <is>
          <t>Units settled</t>
        </is>
      </c>
      <c r="B6" s="2" t="n">
        <v>553</v>
      </c>
      <c r="C6" s="2" t="n">
        <v>449</v>
      </c>
      <c r="D6" s="2" t="n">
        <v>565</v>
      </c>
      <c r="E6" s="2" t="n">
        <v>345</v>
      </c>
      <c r="F6" s="2" t="n">
        <v>266</v>
      </c>
      <c r="G6" s="2" t="n">
        <v>430</v>
      </c>
    </row>
    <row r="7">
      <c r="A7" t="inlineStr">
        <is>
          <t>Reported FCF per CSV = OCF - PP&amp;E capex (NZ$m) - inventory timing, not used</t>
        </is>
      </c>
      <c r="B7" s="2" t="n">
        <v>83.7</v>
      </c>
      <c r="C7" s="2" t="n">
        <v>-16.1</v>
      </c>
      <c r="D7" s="2" t="n">
        <v>-14.3</v>
      </c>
      <c r="E7" s="2" t="n">
        <v>-27.8</v>
      </c>
      <c r="F7" s="2" t="n">
        <v>22.8</v>
      </c>
      <c r="G7" s="2" t="n">
        <v>96.54300000000001</v>
      </c>
    </row>
    <row r="8">
      <c r="A8" t="inlineStr">
        <is>
          <t>Shareholders equity (NZ$m)</t>
        </is>
      </c>
      <c r="B8" s="2" t="n">
        <v>83.8</v>
      </c>
      <c r="C8" s="2" t="n">
        <v>454.1</v>
      </c>
      <c r="D8" s="2" t="n">
        <v>510.4</v>
      </c>
      <c r="E8" s="2" t="n">
        <v>519.5</v>
      </c>
      <c r="F8" s="2" t="n">
        <v>531.2</v>
      </c>
      <c r="G8" s="2" t="n">
        <v>555.405</v>
      </c>
    </row>
    <row r="9">
      <c r="A9" t="inlineStr">
        <is>
          <t>NTA per share (cents)</t>
        </is>
      </c>
      <c r="B9" s="2" t="n"/>
      <c r="C9" s="2" t="n">
        <v>153.1</v>
      </c>
      <c r="D9" s="2" t="n">
        <v>171.2</v>
      </c>
      <c r="E9" s="2" t="n">
        <v>174.5</v>
      </c>
      <c r="F9" s="2" t="n">
        <v>178.6</v>
      </c>
      <c r="G9" s="2" t="n">
        <v>186.9</v>
      </c>
    </row>
    <row r="10">
      <c r="A10" t="inlineStr">
        <is>
          <t>June-close price (NZ$)</t>
        </is>
      </c>
      <c r="B10" s="2" t="n"/>
      <c r="C10" s="2" t="n">
        <v>2.55</v>
      </c>
      <c r="D10" s="2" t="n">
        <v>2.39</v>
      </c>
      <c r="E10" s="2" t="n">
        <v>1.88</v>
      </c>
      <c r="F10" s="2" t="n">
        <v>2.07</v>
      </c>
      <c r="G10" s="2" t="n">
        <v>1.14</v>
      </c>
    </row>
    <row r="11">
      <c r="A11" t="inlineStr">
        <is>
          <t>Cash (NZ$m)</t>
        </is>
      </c>
      <c r="B11" s="2" t="n">
        <v>35</v>
      </c>
      <c r="C11" s="2" t="n">
        <v>204.8</v>
      </c>
      <c r="D11" s="2" t="n">
        <v>76.3</v>
      </c>
      <c r="E11" s="2" t="n">
        <v>41.7</v>
      </c>
      <c r="F11" s="2" t="n">
        <v>20.3</v>
      </c>
      <c r="G11" s="2" t="n">
        <v>38.788</v>
      </c>
    </row>
    <row r="12">
      <c r="A12" t="inlineStr">
        <is>
          <t>Borrowings (NZ$m)</t>
        </is>
      </c>
      <c r="B12" s="2" t="n">
        <v>128.7</v>
      </c>
      <c r="C12" s="2" t="n">
        <v>0</v>
      </c>
      <c r="D12" s="2" t="n">
        <v>0</v>
      </c>
      <c r="E12" s="2" t="n">
        <v>64</v>
      </c>
      <c r="F12" s="2" t="n">
        <v>99.40000000000001</v>
      </c>
      <c r="G12" s="2" t="n">
        <v>44.232</v>
      </c>
    </row>
    <row r="13">
      <c r="A13" t="inlineStr">
        <is>
          <t>Dividends paid (NZ$m)</t>
        </is>
      </c>
      <c r="B13" s="2" t="n">
        <v>18.8</v>
      </c>
      <c r="C13" s="2" t="n">
        <v>0</v>
      </c>
      <c r="D13" s="2" t="n">
        <v>9.300000000000001</v>
      </c>
      <c r="E13" s="2" t="n">
        <v>8</v>
      </c>
      <c r="F13" s="2" t="n">
        <v>0</v>
      </c>
      <c r="G13" s="2" t="n">
        <v>0</v>
      </c>
    </row>
    <row r="14">
      <c r="A14" t="inlineStr">
        <is>
          <t>Share-based payment expense (NZ$m)</t>
        </is>
      </c>
      <c r="B14" s="2" t="n">
        <v>0</v>
      </c>
      <c r="C14" s="2" t="n">
        <v>0.6</v>
      </c>
      <c r="D14" s="2" t="n">
        <v>0.54</v>
      </c>
      <c r="E14" s="2" t="n">
        <v>1.2</v>
      </c>
      <c r="F14" s="2" t="n">
        <v>1.2</v>
      </c>
      <c r="G14" s="2" t="n">
        <v>1.281</v>
      </c>
    </row>
    <row r="15">
      <c r="A15" t="inlineStr">
        <is>
          <t>Price / NTA (x)</t>
        </is>
      </c>
      <c r="C15">
        <f>C10/(C9/100)</f>
        <v/>
      </c>
      <c r="D15">
        <f>D10/(D9/100)</f>
        <v/>
      </c>
      <c r="E15">
        <f>E10/(E9/100)</f>
        <v/>
      </c>
      <c r="F15">
        <f>F10/(F9/100)</f>
        <v/>
      </c>
      <c r="G15">
        <f>G10/(G9/100)</f>
        <v/>
      </c>
    </row>
    <row r="16">
      <c r="A16" t="inlineStr">
        <is>
          <t>ROE on closing equity (%)</t>
        </is>
      </c>
      <c r="B16">
        <f>100*B5/B8</f>
        <v/>
      </c>
      <c r="C16">
        <f>100*C5/C8</f>
        <v/>
      </c>
      <c r="D16">
        <f>100*D5/D8</f>
        <v/>
      </c>
      <c r="E16">
        <f>100*E5/E8</f>
        <v/>
      </c>
      <c r="F16">
        <f>100*F5/F8</f>
        <v/>
      </c>
      <c r="G16">
        <f>100*G5/G8</f>
        <v/>
      </c>
    </row>
    <row r="17">
      <c r="A17" t="inlineStr">
        <is>
          <t>Pre-sale book at 30 June (NZ$m, gross, unconditional + conditional)</t>
        </is>
      </c>
      <c r="D17" t="n">
        <v>419.3</v>
      </c>
      <c r="F17" t="n">
        <v>248</v>
      </c>
      <c r="G17" t="n">
        <v>27.4</v>
      </c>
    </row>
    <row r="18">
      <c r="A18" t="inlineStr">
        <is>
          <t>Balance-sheet snapshot 30-Jun-2026: cash 38.788; borrowings 44.232 (BNZ/Sunfield 25.7 to Aug-27, MCCB/Cracker Bay 18.2 to Nov-27, non-recourse); lease liabilities 23.477; residents' loans 18.157; deferred tax 31.417; equity 555.405; intangibles 0.957. Inventories 172.254 of which 16.233 'expected to settle within one year' (Jun-25: 46.368).</t>
        </is>
      </c>
    </row>
    <row r="19">
      <c r="A19" t="inlineStr">
        <is>
          <t>Share count 296,613,736 basic; 10.332m options at $3.887 (note 10.12), treasury-stock dilution nil at any price in this model. No buybacks ever; dividends paused since FY25.</t>
        </is>
      </c>
    </row>
    <row r="20">
      <c r="A20" t="inlineStr">
        <is>
          <t>FY26 CSV FCF 96.543 = OCF 105.949 - CapEx 9.406 (PP&amp;E only). Net of investment-property purchases (16.4) and intangibles (0.06) it is 80.1. Either figure is an inventory run-down (-53.4m) converting to cash and repaying the Lakeside/Northlake facilities, not owner earnings.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44" customWidth="1" style="4" min="1" max="1"/>
    <col width="14" customWidth="1" style="4" min="2" max="2"/>
    <col width="70" customWidth="1" style="4" min="3" max="3"/>
    <col width="14" customWidth="1" style="4" min="4" max="4"/>
    <col width="14" customWidth="1" style="4" min="5" max="5"/>
    <col width="14" customWidth="1" style="4" min="6" max="6"/>
    <col width="14" customWidth="1" style="4" min="7" max="7"/>
    <col width="14" customWidth="1" style="4" min="8" max="8"/>
    <col width="14" customWidth="1" style="4" min="9" max="9"/>
    <col width="14" customWidth="1" style="4" min="10" max="10"/>
  </cols>
  <sheetData>
    <row r="1">
      <c r="A1" s="1" t="inlineStr">
        <is>
          <t>Global inputs</t>
        </is>
      </c>
    </row>
    <row r="2">
      <c r="A2" t="inlineStr">
        <is>
          <t>Cost of equity (all scenarios)</t>
        </is>
      </c>
      <c r="B2" s="3" t="n">
        <v>0.155</v>
      </c>
      <c r="C2" t="inlineStr">
        <is>
          <t>rf 4.4% + 1.2x5.5% ERP + 2.0pp size/illiquidity + 2.5pp governance/control</t>
        </is>
      </c>
    </row>
    <row r="3">
      <c r="A3" t="inlineStr">
        <is>
          <t>Hurdle rate (entry price)</t>
        </is>
      </c>
      <c r="B3" s="2" t="n">
        <v>0.15</v>
      </c>
      <c r="C3" t="inlineStr">
        <is>
          <t>House 15% IRR hurdle</t>
        </is>
      </c>
    </row>
    <row r="4">
      <c r="A4" t="inlineStr">
        <is>
          <t>Shares outstanding (m)</t>
        </is>
      </c>
      <c r="B4" s="2" t="n">
        <v>296.613736</v>
      </c>
      <c r="C4" t="inlineStr">
        <is>
          <t>Basic, flat; options far out of the money</t>
        </is>
      </c>
    </row>
    <row r="5">
      <c r="A5" t="inlineStr">
        <is>
          <t>Opening NTA per share (NZ$)</t>
        </is>
      </c>
      <c r="B5" s="2" t="n">
        <v>1.8693</v>
      </c>
      <c r="C5" t="inlineStr">
        <is>
          <t>(555.405 - 0.957) / 296.614 at 30-Jun-2026</t>
        </is>
      </c>
    </row>
    <row r="6">
      <c r="A6" t="inlineStr">
        <is>
          <t>Book equity (NZ$m)</t>
        </is>
      </c>
      <c r="B6" s="2" t="n">
        <v>555.405</v>
      </c>
      <c r="C6" t="inlineStr">
        <is>
          <t>30-Jun-2026 audited</t>
        </is>
      </c>
    </row>
    <row r="7">
      <c r="A7" t="inlineStr">
        <is>
          <t>Intangibles (NZ$m)</t>
        </is>
      </c>
      <c r="B7" s="2" t="n">
        <v>0.957</v>
      </c>
      <c r="C7" t="inlineStr">
        <is>
          <t>customer contracts + software</t>
        </is>
      </c>
    </row>
    <row r="8">
      <c r="A8" t="inlineStr">
        <is>
          <t>Current price (NZ$)</t>
        </is>
      </c>
      <c r="B8" s="2" t="n">
        <v>1.11</v>
      </c>
      <c r="C8" t="inlineStr">
        <is>
          <t>2026-09-20T22:47:01Z (Yahoo regularMarketTime; 10:47 NZST Monday 21-Sep-2026, live intraday NZX quote, currency NZD)</t>
        </is>
      </c>
    </row>
    <row r="9">
      <c r="A9" t="inlineStr">
        <is>
          <t>Blend weight on NTA leg</t>
        </is>
      </c>
      <c r="B9" s="3" t="n">
        <v>0.5</v>
      </c>
      <c r="C9" t="inlineStr">
        <is>
          <t>50% NTA leg / 50% earnings leg</t>
        </is>
      </c>
    </row>
    <row r="10">
      <c r="A10" t="inlineStr">
        <is>
          <t>SBC expense per year (NZ$m)</t>
        </is>
      </c>
      <c r="B10" s="2" t="n">
        <v>1.281</v>
      </c>
      <c r="C10" t="inlineStr">
        <is>
          <t>Street basis adds this back to NPAT</t>
        </is>
      </c>
    </row>
    <row r="11">
      <c r="A11" t="inlineStr">
        <is>
          <t>Net debt (NZ$m) - memo only, inside book equity</t>
        </is>
      </c>
      <c r="B11" s="2" t="n">
        <v>5.444</v>
      </c>
      <c r="C11" t="inlineStr">
        <is>
          <t>44.232 borrowings - 38.788 cash; NOT added to value</t>
        </is>
      </c>
    </row>
    <row r="13">
      <c r="A13" s="1" t="inlineStr">
        <is>
          <t>Scenario drivers (NZ$m NPAT; payout as fraction of NPAT; exit multiples applied to year-5 NTA and NPAT)</t>
        </is>
      </c>
    </row>
    <row r="14">
      <c r="A14" s="1" t="inlineStr">
        <is>
          <t>Scenario</t>
        </is>
      </c>
      <c r="B14" s="1" t="inlineStr">
        <is>
          <t>FY2027</t>
        </is>
      </c>
      <c r="C14" s="1" t="inlineStr">
        <is>
          <t>FY2028</t>
        </is>
      </c>
      <c r="D14" s="1" t="inlineStr">
        <is>
          <t>FY2029</t>
        </is>
      </c>
      <c r="E14" s="1" t="inlineStr">
        <is>
          <t>FY2030</t>
        </is>
      </c>
      <c r="F14" s="1" t="inlineStr">
        <is>
          <t>FY2031</t>
        </is>
      </c>
      <c r="H14" s="1" t="inlineStr">
        <is>
          <t>Exit P/B</t>
        </is>
      </c>
      <c r="I14" s="1" t="inlineStr">
        <is>
          <t>Exit P/E</t>
        </is>
      </c>
      <c r="J14" s="1" t="inlineStr">
        <is>
          <t>Weight</t>
        </is>
      </c>
    </row>
    <row r="15">
      <c r="A15" t="inlineStr">
        <is>
          <t>bear NPAT</t>
        </is>
      </c>
      <c r="B15" s="3" t="n">
        <v>-4</v>
      </c>
      <c r="C15" s="3" t="n">
        <v>3</v>
      </c>
      <c r="D15" s="3" t="n">
        <v>10</v>
      </c>
      <c r="E15" s="3" t="n">
        <v>13</v>
      </c>
      <c r="F15" s="3" t="n">
        <v>15</v>
      </c>
      <c r="H15" s="3" t="n">
        <v>0.55</v>
      </c>
      <c r="I15" s="3" t="n">
        <v>8</v>
      </c>
      <c r="J15" s="3" t="n">
        <v>0.3</v>
      </c>
    </row>
    <row r="16">
      <c r="A16" t="inlineStr">
        <is>
          <t>bear payout ratio</t>
        </is>
      </c>
      <c r="B16" s="2" t="n">
        <v>0</v>
      </c>
      <c r="C16" s="2" t="n">
        <v>0</v>
      </c>
      <c r="D16" s="2" t="n">
        <v>0</v>
      </c>
      <c r="E16" s="2" t="n">
        <v>0.3</v>
      </c>
      <c r="F16" s="2" t="n">
        <v>0.3</v>
      </c>
    </row>
    <row r="17">
      <c r="A17" t="inlineStr">
        <is>
          <t>bear narrative</t>
        </is>
      </c>
      <c r="B17" t="inlineStr">
        <is>
          <t>FY27 loss: the $27.4m opening pre-sale book plus $16.2m of 'within one year' inventory (at cost) is all the booked cover there is; in-year sales are thin, the High Court quashes the Sunfield consent (or remits it for years), the Auckland market stays subdued, legal and restructuring costs run through FY27-28 and the board/majority-holder standoff recurs. NPAT -4 (FY27, ~$90m revenue) and 3 (FY28) before recovering only to ~$15m by FY31 (FY24 level); no dividend until FY30, exit P/B 0.55x (a step below today's 0.59x) and exit P/E 8x. Not modelled: a Sunfield inventory impairment if the consent is quashed.</t>
        </is>
      </c>
    </row>
    <row r="19">
      <c r="A19" t="inlineStr">
        <is>
          <t>base NPAT</t>
        </is>
      </c>
      <c r="B19" s="3" t="n">
        <v>5</v>
      </c>
      <c r="C19" s="3" t="n">
        <v>14</v>
      </c>
      <c r="D19" s="3" t="n">
        <v>25</v>
      </c>
      <c r="E19" s="3" t="n">
        <v>30</v>
      </c>
      <c r="F19" s="3" t="n">
        <v>32</v>
      </c>
      <c r="H19" s="3" t="n">
        <v>0.8</v>
      </c>
      <c r="I19" s="3" t="n">
        <v>11</v>
      </c>
      <c r="J19" s="3" t="n">
        <v>0.5</v>
      </c>
    </row>
    <row r="20">
      <c r="A20" t="inlineStr">
        <is>
          <t>base payout ratio</t>
        </is>
      </c>
      <c r="B20" s="2" t="n">
        <v>0</v>
      </c>
      <c r="C20" s="2" t="n">
        <v>0.4</v>
      </c>
      <c r="D20" s="2" t="n">
        <v>0.4</v>
      </c>
      <c r="E20" s="2" t="n">
        <v>0.4</v>
      </c>
      <c r="F20" s="2" t="n">
        <v>0.4</v>
      </c>
    </row>
    <row r="21">
      <c r="A21" t="inlineStr">
        <is>
          <t>base narrative</t>
        </is>
      </c>
      <c r="B21" t="inlineStr">
        <is>
          <t>FY27 is a gap year: the $248.0m Jun-25 pre-sale book (which covered FY26's $147.8m development revenue 1.7x) was consumed and partly cancelled when the Kainga Ora land-supply agreement concluded, leaving $27.4m at 30-Jun-26 against a hospitality/other floor of ~$45m revenue. FY27 revenue ~$110m (development ~$65m: $27m contracted plus in-year Northlake/Lakeside/Launch Bay lot sales) and NPAT ~$5m; FY28 ~$14m as the pipeline sold during FY27 settles and Goodfellows (campaign Oct-26) / Northbrook Stage 2 (2027) open. From FY29 the path is unchanged: earnings rebuild to a ~$32m mid-cycle by FY31 (6-year FY21-26 average $31.9m; ~5.2% ROE). Sunfield survives the Auckland Council appeal but contributes little inside the horizon. Dividend resumes at ~40% payout from FY28 ($5.6m, easily funded from $38.8m cash). Exit P/B 0.80x, exit P/E 11x.</t>
        </is>
      </c>
    </row>
    <row r="23">
      <c r="A23" t="inlineStr">
        <is>
          <t>bull NPAT</t>
        </is>
      </c>
      <c r="B23" s="3" t="n">
        <v>9</v>
      </c>
      <c r="C23" s="3" t="n">
        <v>22</v>
      </c>
      <c r="D23" s="3" t="n">
        <v>36</v>
      </c>
      <c r="E23" s="3" t="n">
        <v>45</v>
      </c>
      <c r="F23" s="3" t="n">
        <v>50</v>
      </c>
      <c r="H23" s="3" t="n">
        <v>1.05</v>
      </c>
      <c r="I23" s="3" t="n">
        <v>13</v>
      </c>
      <c r="J23" s="3" t="n">
        <v>0.2</v>
      </c>
    </row>
    <row r="24">
      <c r="A24" t="inlineStr">
        <is>
          <t>bull payout ratio</t>
        </is>
      </c>
      <c r="B24" s="2" t="n">
        <v>0</v>
      </c>
      <c r="C24" s="2" t="n">
        <v>0.5</v>
      </c>
      <c r="D24" s="2" t="n">
        <v>0.5</v>
      </c>
      <c r="E24" s="2" t="n">
        <v>0.5</v>
      </c>
      <c r="F24" s="2" t="n">
        <v>0.5</v>
      </c>
    </row>
    <row r="25">
      <c r="A25" t="inlineStr">
        <is>
          <t>bull narrative</t>
        </is>
      </c>
      <c r="B25" t="inlineStr">
        <is>
          <t>FY27 is still thin (NPAT ~$9m on ~$125m revenue: even a strong market cannot settle what was not pre-sold at 30-Jun-26), then the cycle turns: unemployment peaks in 2027, Queenstown-Lakes stays strong, FY28 NPAT ~$22m; Sunfield's fast-track consent is upheld and first stages settle FY29-31; Goodfellows and Northbrook scale ORA income; the Stiassny board lands a credible CEO and the majority holder either accepts minority protections or sells down. NPAT reaches ~$50m by FY31 (FY21 level; ~7.8% ROE), payout 50% from FY28, exit P/B 1.05x (back to the FY24-25 regime) and exit P/E 13x.</t>
        </is>
      </c>
    </row>
    <row r="27">
      <c r="A27" t="inlineStr">
        <is>
          <t>Weights check (must be 1.0)</t>
        </is>
      </c>
      <c r="B27">
        <f>J15+J19+J23</f>
        <v/>
      </c>
    </row>
    <row r="28">
      <c r="A28" t="inlineStr">
        <is>
          <t>Bear 30% (up from the 15% house default): FY27 has no pre-sale cover, the Sunfield consent is before the High Court in Sept-2026, the shareholder-level governance dispute is unresolved (the 55% holder declined minority protections and has just left the board, which removes a distraction but not the control), and the company has no permanent CEO or CFO. Bull 20% (down from 35%): it needs a housing-cycle turn, a Sunfield win and a governance normalisation, three largely independent events. Base 50%.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8" customWidth="1" style="4" min="1" max="1"/>
    <col width="14" customWidth="1" style="4" min="2" max="2"/>
    <col width="14" customWidth="1" style="4" min="3" max="3"/>
    <col width="14" customWidth="1" style="4" min="4" max="4"/>
    <col width="14" customWidth="1" style="4" min="5" max="5"/>
    <col width="14" customWidth="1" style="4" min="6" max="6"/>
    <col width="14" customWidth="1" style="4" min="7" max="7"/>
    <col width="14" customWidth="1" style="4" min="8" max="8"/>
    <col width="14" customWidth="1" style="4" min="9" max="9"/>
    <col width="14" customWidth="1" style="4" min="10" max="10"/>
  </cols>
  <sheetData>
    <row r="1">
      <c r="A1" s="1" t="inlineStr">
        <is>
          <t>BEAR scenario - blended NTA / earnings valuation (NZ$m, NZ$ per share)</t>
        </is>
      </c>
    </row>
    <row r="3">
      <c r="A3" s="1" t="inlineStr">
        <is>
          <t>Year</t>
        </is>
      </c>
      <c r="B3" s="1" t="inlineStr">
        <is>
          <t>FY2027E</t>
        </is>
      </c>
      <c r="C3" s="1" t="inlineStr">
        <is>
          <t>FY2028E</t>
        </is>
      </c>
      <c r="D3" s="1" t="inlineStr">
        <is>
          <t>FY2029E</t>
        </is>
      </c>
      <c r="E3" s="1" t="inlineStr">
        <is>
          <t>FY2030E</t>
        </is>
      </c>
      <c r="F3" s="1" t="inlineStr">
        <is>
          <t>FY2031E</t>
        </is>
      </c>
    </row>
    <row r="4">
      <c r="A4" t="inlineStr">
        <is>
          <t>Index</t>
        </is>
      </c>
      <c r="B4" t="n">
        <v>1</v>
      </c>
      <c r="C4" t="n">
        <v>2</v>
      </c>
      <c r="D4" t="n">
        <v>3</v>
      </c>
      <c r="E4" t="n">
        <v>4</v>
      </c>
      <c r="F4" t="n">
        <v>5</v>
      </c>
    </row>
    <row r="5">
      <c r="A5" t="inlineStr">
        <is>
          <t>NPAT (NZ$m)</t>
        </is>
      </c>
      <c r="B5" s="5">
        <f>Assumptions!B15</f>
        <v/>
      </c>
      <c r="C5" s="5">
        <f>Assumptions!C15</f>
        <v/>
      </c>
      <c r="D5" s="5">
        <f>Assumptions!D15</f>
        <v/>
      </c>
      <c r="E5" s="5">
        <f>Assumptions!E15</f>
        <v/>
      </c>
      <c r="F5" s="5">
        <f>Assumptions!F15</f>
        <v/>
      </c>
    </row>
    <row r="6">
      <c r="A6" t="inlineStr">
        <is>
          <t>Payout ratio</t>
        </is>
      </c>
      <c r="B6" s="5">
        <f>Assumptions!B16</f>
        <v/>
      </c>
      <c r="C6" s="5">
        <f>Assumptions!C16</f>
        <v/>
      </c>
      <c r="D6" s="5">
        <f>Assumptions!D16</f>
        <v/>
      </c>
      <c r="E6" s="5">
        <f>Assumptions!E16</f>
        <v/>
      </c>
      <c r="F6" s="5">
        <f>Assumptions!F16</f>
        <v/>
      </c>
    </row>
    <row r="7">
      <c r="A7" t="inlineStr">
        <is>
          <t>Dividends (NZ$m)</t>
        </is>
      </c>
      <c r="B7">
        <f>B5*B6</f>
        <v/>
      </c>
      <c r="C7">
        <f>C5*C6</f>
        <v/>
      </c>
      <c r="D7">
        <f>D5*D6</f>
        <v/>
      </c>
      <c r="E7">
        <f>E5*E6</f>
        <v/>
      </c>
      <c r="F7">
        <f>F5*F6</f>
        <v/>
      </c>
    </row>
    <row r="8">
      <c r="A8" t="inlineStr">
        <is>
          <t>Retained earnings (NZ$m)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</row>
    <row r="9">
      <c r="A9" t="inlineStr">
        <is>
          <t>NTA per share (NZ$)</t>
        </is>
      </c>
      <c r="B9">
        <f>Assumptions!$B$5+B8/Assumptions!$B$4</f>
        <v/>
      </c>
      <c r="C9">
        <f>B9+C8/Assumptions!$B$4</f>
        <v/>
      </c>
      <c r="D9">
        <f>C9+D8/Assumptions!$B$4</f>
        <v/>
      </c>
      <c r="E9">
        <f>D9+E8/Assumptions!$B$4</f>
        <v/>
      </c>
      <c r="F9">
        <f>E9+F8/Assumptions!$B$4</f>
        <v/>
      </c>
    </row>
    <row r="10">
      <c r="A10" t="inlineStr">
        <is>
          <t>Dividend per share (NZ$)</t>
        </is>
      </c>
      <c r="B10">
        <f>B7/Assumptions!$B$4</f>
        <v/>
      </c>
      <c r="C10">
        <f>C7/Assumptions!$B$4</f>
        <v/>
      </c>
      <c r="D10">
        <f>D7/Assumptions!$B$4</f>
        <v/>
      </c>
      <c r="E10">
        <f>E7/Assumptions!$B$4</f>
        <v/>
      </c>
      <c r="F10">
        <f>F7/Assumptions!$B$4</f>
        <v/>
      </c>
    </row>
    <row r="11">
      <c r="A11" t="inlineStr">
        <is>
          <t>Discount factor @ CoE</t>
        </is>
      </c>
      <c r="B11">
        <f>1/(1+Assumptions!$B$2)^B4</f>
        <v/>
      </c>
      <c r="C11">
        <f>1/(1+Assumptions!$B$2)^C4</f>
        <v/>
      </c>
      <c r="D11">
        <f>1/(1+Assumptions!$B$2)^D4</f>
        <v/>
      </c>
      <c r="E11">
        <f>1/(1+Assumptions!$B$2)^E4</f>
        <v/>
      </c>
      <c r="F11">
        <f>1/(1+Assumptions!$B$2)^F4</f>
        <v/>
      </c>
    </row>
    <row r="12">
      <c r="A12" t="inlineStr">
        <is>
          <t>PV dividend per share</t>
        </is>
      </c>
      <c r="B12">
        <f>B10*B11</f>
        <v/>
      </c>
      <c r="C12">
        <f>C10*C11</f>
        <v/>
      </c>
      <c r="D12">
        <f>D10*D11</f>
        <v/>
      </c>
      <c r="E12">
        <f>E10*E11</f>
        <v/>
      </c>
      <c r="F12">
        <f>F10*F11</f>
        <v/>
      </c>
    </row>
    <row r="15">
      <c r="A15" t="inlineStr">
        <is>
          <t>Sum PV dividends per share</t>
        </is>
      </c>
      <c r="B15">
        <f>SUM(B12:F12)</f>
        <v/>
      </c>
    </row>
    <row r="16">
      <c r="A16" t="inlineStr">
        <is>
          <t>Year-5 NTA per share</t>
        </is>
      </c>
      <c r="B16">
        <f>F9</f>
        <v/>
      </c>
    </row>
    <row r="17">
      <c r="A17" t="inlineStr">
        <is>
          <t>Exit P/B</t>
        </is>
      </c>
      <c r="B17" s="5">
        <f>Assumptions!H15</f>
        <v/>
      </c>
    </row>
    <row r="18">
      <c r="A18" t="inlineStr">
        <is>
          <t>NTA exit value per share</t>
        </is>
      </c>
      <c r="B18">
        <f>B16*B17</f>
        <v/>
      </c>
    </row>
    <row r="19">
      <c r="A19" t="inlineStr">
        <is>
          <t>PV of NTA exit value</t>
        </is>
      </c>
      <c r="B19">
        <f>B18*F11</f>
        <v/>
      </c>
    </row>
    <row r="20">
      <c r="A20" t="inlineStr">
        <is>
          <t>NTA leg value per share</t>
        </is>
      </c>
      <c r="B20">
        <f>B19+B15</f>
        <v/>
      </c>
    </row>
    <row r="21">
      <c r="A21" t="inlineStr">
        <is>
          <t>Year-5 NPAT (NZ$m)</t>
        </is>
      </c>
      <c r="B21">
        <f>F5</f>
        <v/>
      </c>
    </row>
    <row r="22">
      <c r="A22" t="inlineStr">
        <is>
          <t>Exit P/E</t>
        </is>
      </c>
      <c r="B22" s="5">
        <f>Assumptions!I15</f>
        <v/>
      </c>
    </row>
    <row r="23">
      <c r="A23" t="inlineStr">
        <is>
          <t>Earnings exit value per share</t>
        </is>
      </c>
      <c r="B23">
        <f>B21*B22/Assumptions!$B$4</f>
        <v/>
      </c>
    </row>
    <row r="24">
      <c r="A24" t="inlineStr">
        <is>
          <t>PV of earnings exit value</t>
        </is>
      </c>
      <c r="B24">
        <f>B23*F11</f>
        <v/>
      </c>
    </row>
    <row r="25">
      <c r="A25" t="inlineStr">
        <is>
          <t>Earnings leg value per share</t>
        </is>
      </c>
      <c r="B25">
        <f>B24+B15</f>
        <v/>
      </c>
    </row>
    <row r="26">
      <c r="A26" t="inlineStr">
        <is>
          <t>Blend weight on NTA leg</t>
        </is>
      </c>
      <c r="B26" s="5">
        <f>Assumptions!$B$9</f>
        <v/>
      </c>
    </row>
    <row r="27">
      <c r="A27" t="inlineStr">
        <is>
          <t>INTRINSIC VALUE PER SHARE (house)</t>
        </is>
      </c>
      <c r="B27" s="6">
        <f>B26*B20+(1-B26)*B25</f>
        <v/>
      </c>
    </row>
    <row r="28">
      <c r="A28" t="inlineStr">
        <is>
          <t>Upside vs price (%)</t>
        </is>
      </c>
      <c r="B28">
        <f>100*(B27/Assumptions!$B$8-1)</f>
        <v/>
      </c>
    </row>
    <row r="29">
      <c r="A29" t="inlineStr">
        <is>
          <t>Terminal share of value (%)</t>
        </is>
      </c>
      <c r="B29">
        <f>100*(B26*B19+(1-B26)*B24)/B27</f>
        <v/>
      </c>
    </row>
    <row r="30">
      <c r="A30" t="inlineStr">
        <is>
          <t>Implied year-5 P/B on blended exit</t>
        </is>
      </c>
      <c r="B30">
        <f>(B26*B18+(1-B26)*B23)/B16</f>
        <v/>
      </c>
    </row>
    <row r="31">
      <c r="A31" t="inlineStr">
        <is>
          <t>Year-5 ROE (%)</t>
        </is>
      </c>
      <c r="B31">
        <f>100*B21/(B16*Assumptions!$B$4+Assumptions!$B$7)</f>
        <v/>
      </c>
    </row>
    <row r="33">
      <c r="A33" t="inlineStr">
        <is>
          <t>Street IV per share (SBC added back to NPAT each year)</t>
        </is>
      </c>
      <c r="B33">
        <f>B27+B26*(Assumptions!$B$10*SUMPRODUCT(1-B6:F6)/Assumptions!$B$4*B17*F11+SUMPRODUCT(B6:F6,B11:F11)*Assumptions!$B$10/Assumptions!$B$4)+(1-B26)*(Assumptions!$B$10*B22/Assumptions!$B$4*F11+SUMPRODUCT(B6:F6,B11:F11)*Assumptions!$B$10/Assumptions!$B$4)</f>
        <v/>
      </c>
    </row>
    <row r="35">
      <c r="A35" t="inlineStr">
        <is>
          <t>ENTRY PRICE at hurdle (same exit multiples, rediscounted)</t>
        </is>
      </c>
      <c r="B35" s="6">
        <f>B26*(B18/(1+Assumptions!$B$3)^5+SUMPRODUCT(B10:F10,1/(1+Assumptions!$B$3)^B4:F4))+(1-B26)*(B23/(1+Assumptions!$B$3)^5+SUMPRODUCT(B10:F10,1/(1+Assumptions!$B$3)^B4:F4))</f>
        <v/>
      </c>
    </row>
    <row r="36">
      <c r="A36" t="inlineStr">
        <is>
          <t>Entry price vs current (%)</t>
        </is>
      </c>
      <c r="B36">
        <f>100*(B35/Assumptions!$B$8-1)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8" customWidth="1" style="4" min="1" max="1"/>
    <col width="14" customWidth="1" style="4" min="2" max="2"/>
    <col width="14" customWidth="1" style="4" min="3" max="3"/>
    <col width="14" customWidth="1" style="4" min="4" max="4"/>
    <col width="14" customWidth="1" style="4" min="5" max="5"/>
    <col width="14" customWidth="1" style="4" min="6" max="6"/>
    <col width="14" customWidth="1" style="4" min="7" max="7"/>
    <col width="14" customWidth="1" style="4" min="8" max="8"/>
    <col width="14" customWidth="1" style="4" min="9" max="9"/>
    <col width="14" customWidth="1" style="4" min="10" max="10"/>
  </cols>
  <sheetData>
    <row r="1">
      <c r="A1" s="1" t="inlineStr">
        <is>
          <t>BASE scenario - blended NTA / earnings valuation (NZ$m, NZ$ per share)</t>
        </is>
      </c>
    </row>
    <row r="3">
      <c r="A3" s="1" t="inlineStr">
        <is>
          <t>Year</t>
        </is>
      </c>
      <c r="B3" s="1" t="inlineStr">
        <is>
          <t>FY2027E</t>
        </is>
      </c>
      <c r="C3" s="1" t="inlineStr">
        <is>
          <t>FY2028E</t>
        </is>
      </c>
      <c r="D3" s="1" t="inlineStr">
        <is>
          <t>FY2029E</t>
        </is>
      </c>
      <c r="E3" s="1" t="inlineStr">
        <is>
          <t>FY2030E</t>
        </is>
      </c>
      <c r="F3" s="1" t="inlineStr">
        <is>
          <t>FY2031E</t>
        </is>
      </c>
    </row>
    <row r="4">
      <c r="A4" t="inlineStr">
        <is>
          <t>Index</t>
        </is>
      </c>
      <c r="B4" t="n">
        <v>1</v>
      </c>
      <c r="C4" t="n">
        <v>2</v>
      </c>
      <c r="D4" t="n">
        <v>3</v>
      </c>
      <c r="E4" t="n">
        <v>4</v>
      </c>
      <c r="F4" t="n">
        <v>5</v>
      </c>
    </row>
    <row r="5">
      <c r="A5" t="inlineStr">
        <is>
          <t>NPAT (NZ$m)</t>
        </is>
      </c>
      <c r="B5" s="5">
        <f>Assumptions!B19</f>
        <v/>
      </c>
      <c r="C5" s="5">
        <f>Assumptions!C19</f>
        <v/>
      </c>
      <c r="D5" s="5">
        <f>Assumptions!D19</f>
        <v/>
      </c>
      <c r="E5" s="5">
        <f>Assumptions!E19</f>
        <v/>
      </c>
      <c r="F5" s="5">
        <f>Assumptions!F19</f>
        <v/>
      </c>
    </row>
    <row r="6">
      <c r="A6" t="inlineStr">
        <is>
          <t>Payout ratio</t>
        </is>
      </c>
      <c r="B6" s="5">
        <f>Assumptions!B20</f>
        <v/>
      </c>
      <c r="C6" s="5">
        <f>Assumptions!C20</f>
        <v/>
      </c>
      <c r="D6" s="5">
        <f>Assumptions!D20</f>
        <v/>
      </c>
      <c r="E6" s="5">
        <f>Assumptions!E20</f>
        <v/>
      </c>
      <c r="F6" s="5">
        <f>Assumptions!F20</f>
        <v/>
      </c>
    </row>
    <row r="7">
      <c r="A7" t="inlineStr">
        <is>
          <t>Dividends (NZ$m)</t>
        </is>
      </c>
      <c r="B7">
        <f>B5*B6</f>
        <v/>
      </c>
      <c r="C7">
        <f>C5*C6</f>
        <v/>
      </c>
      <c r="D7">
        <f>D5*D6</f>
        <v/>
      </c>
      <c r="E7">
        <f>E5*E6</f>
        <v/>
      </c>
      <c r="F7">
        <f>F5*F6</f>
        <v/>
      </c>
    </row>
    <row r="8">
      <c r="A8" t="inlineStr">
        <is>
          <t>Retained earnings (NZ$m)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</row>
    <row r="9">
      <c r="A9" t="inlineStr">
        <is>
          <t>NTA per share (NZ$)</t>
        </is>
      </c>
      <c r="B9">
        <f>Assumptions!$B$5+B8/Assumptions!$B$4</f>
        <v/>
      </c>
      <c r="C9">
        <f>B9+C8/Assumptions!$B$4</f>
        <v/>
      </c>
      <c r="D9">
        <f>C9+D8/Assumptions!$B$4</f>
        <v/>
      </c>
      <c r="E9">
        <f>D9+E8/Assumptions!$B$4</f>
        <v/>
      </c>
      <c r="F9">
        <f>E9+F8/Assumptions!$B$4</f>
        <v/>
      </c>
    </row>
    <row r="10">
      <c r="A10" t="inlineStr">
        <is>
          <t>Dividend per share (NZ$)</t>
        </is>
      </c>
      <c r="B10">
        <f>B7/Assumptions!$B$4</f>
        <v/>
      </c>
      <c r="C10">
        <f>C7/Assumptions!$B$4</f>
        <v/>
      </c>
      <c r="D10">
        <f>D7/Assumptions!$B$4</f>
        <v/>
      </c>
      <c r="E10">
        <f>E7/Assumptions!$B$4</f>
        <v/>
      </c>
      <c r="F10">
        <f>F7/Assumptions!$B$4</f>
        <v/>
      </c>
    </row>
    <row r="11">
      <c r="A11" t="inlineStr">
        <is>
          <t>Discount factor @ CoE</t>
        </is>
      </c>
      <c r="B11">
        <f>1/(1+Assumptions!$B$2)^B4</f>
        <v/>
      </c>
      <c r="C11">
        <f>1/(1+Assumptions!$B$2)^C4</f>
        <v/>
      </c>
      <c r="D11">
        <f>1/(1+Assumptions!$B$2)^D4</f>
        <v/>
      </c>
      <c r="E11">
        <f>1/(1+Assumptions!$B$2)^E4</f>
        <v/>
      </c>
      <c r="F11">
        <f>1/(1+Assumptions!$B$2)^F4</f>
        <v/>
      </c>
    </row>
    <row r="12">
      <c r="A12" t="inlineStr">
        <is>
          <t>PV dividend per share</t>
        </is>
      </c>
      <c r="B12">
        <f>B10*B11</f>
        <v/>
      </c>
      <c r="C12">
        <f>C10*C11</f>
        <v/>
      </c>
      <c r="D12">
        <f>D10*D11</f>
        <v/>
      </c>
      <c r="E12">
        <f>E10*E11</f>
        <v/>
      </c>
      <c r="F12">
        <f>F10*F11</f>
        <v/>
      </c>
    </row>
    <row r="15">
      <c r="A15" t="inlineStr">
        <is>
          <t>Sum PV dividends per share</t>
        </is>
      </c>
      <c r="B15">
        <f>SUM(B12:F12)</f>
        <v/>
      </c>
    </row>
    <row r="16">
      <c r="A16" t="inlineStr">
        <is>
          <t>Year-5 NTA per share</t>
        </is>
      </c>
      <c r="B16">
        <f>F9</f>
        <v/>
      </c>
    </row>
    <row r="17">
      <c r="A17" t="inlineStr">
        <is>
          <t>Exit P/B</t>
        </is>
      </c>
      <c r="B17" s="5">
        <f>Assumptions!H19</f>
        <v/>
      </c>
    </row>
    <row r="18">
      <c r="A18" t="inlineStr">
        <is>
          <t>NTA exit value per share</t>
        </is>
      </c>
      <c r="B18">
        <f>B16*B17</f>
        <v/>
      </c>
    </row>
    <row r="19">
      <c r="A19" t="inlineStr">
        <is>
          <t>PV of NTA exit value</t>
        </is>
      </c>
      <c r="B19">
        <f>B18*F11</f>
        <v/>
      </c>
    </row>
    <row r="20">
      <c r="A20" t="inlineStr">
        <is>
          <t>NTA leg value per share</t>
        </is>
      </c>
      <c r="B20">
        <f>B19+B15</f>
        <v/>
      </c>
    </row>
    <row r="21">
      <c r="A21" t="inlineStr">
        <is>
          <t>Year-5 NPAT (NZ$m)</t>
        </is>
      </c>
      <c r="B21">
        <f>F5</f>
        <v/>
      </c>
    </row>
    <row r="22">
      <c r="A22" t="inlineStr">
        <is>
          <t>Exit P/E</t>
        </is>
      </c>
      <c r="B22" s="5">
        <f>Assumptions!I19</f>
        <v/>
      </c>
    </row>
    <row r="23">
      <c r="A23" t="inlineStr">
        <is>
          <t>Earnings exit value per share</t>
        </is>
      </c>
      <c r="B23">
        <f>B21*B22/Assumptions!$B$4</f>
        <v/>
      </c>
    </row>
    <row r="24">
      <c r="A24" t="inlineStr">
        <is>
          <t>PV of earnings exit value</t>
        </is>
      </c>
      <c r="B24">
        <f>B23*F11</f>
        <v/>
      </c>
    </row>
    <row r="25">
      <c r="A25" t="inlineStr">
        <is>
          <t>Earnings leg value per share</t>
        </is>
      </c>
      <c r="B25">
        <f>B24+B15</f>
        <v/>
      </c>
    </row>
    <row r="26">
      <c r="A26" t="inlineStr">
        <is>
          <t>Blend weight on NTA leg</t>
        </is>
      </c>
      <c r="B26" s="5">
        <f>Assumptions!$B$9</f>
        <v/>
      </c>
    </row>
    <row r="27">
      <c r="A27" t="inlineStr">
        <is>
          <t>INTRINSIC VALUE PER SHARE (house)</t>
        </is>
      </c>
      <c r="B27" s="6">
        <f>B26*B20+(1-B26)*B25</f>
        <v/>
      </c>
    </row>
    <row r="28">
      <c r="A28" t="inlineStr">
        <is>
          <t>Upside vs price (%)</t>
        </is>
      </c>
      <c r="B28">
        <f>100*(B27/Assumptions!$B$8-1)</f>
        <v/>
      </c>
    </row>
    <row r="29">
      <c r="A29" t="inlineStr">
        <is>
          <t>Terminal share of value (%)</t>
        </is>
      </c>
      <c r="B29">
        <f>100*(B26*B19+(1-B26)*B24)/B27</f>
        <v/>
      </c>
    </row>
    <row r="30">
      <c r="A30" t="inlineStr">
        <is>
          <t>Implied year-5 P/B on blended exit</t>
        </is>
      </c>
      <c r="B30">
        <f>(B26*B18+(1-B26)*B23)/B16</f>
        <v/>
      </c>
    </row>
    <row r="31">
      <c r="A31" t="inlineStr">
        <is>
          <t>Year-5 ROE (%)</t>
        </is>
      </c>
      <c r="B31">
        <f>100*B21/(B16*Assumptions!$B$4+Assumptions!$B$7)</f>
        <v/>
      </c>
    </row>
    <row r="33">
      <c r="A33" t="inlineStr">
        <is>
          <t>Street IV per share (SBC added back to NPAT each year)</t>
        </is>
      </c>
      <c r="B33">
        <f>B27+B26*(Assumptions!$B$10*SUMPRODUCT(1-B6:F6)/Assumptions!$B$4*B17*F11+SUMPRODUCT(B6:F6,B11:F11)*Assumptions!$B$10/Assumptions!$B$4)+(1-B26)*(Assumptions!$B$10*B22/Assumptions!$B$4*F11+SUMPRODUCT(B6:F6,B11:F11)*Assumptions!$B$10/Assumptions!$B$4)</f>
        <v/>
      </c>
    </row>
    <row r="35">
      <c r="A35" t="inlineStr">
        <is>
          <t>ENTRY PRICE at hurdle (same exit multiples, rediscounted)</t>
        </is>
      </c>
      <c r="B35" s="6">
        <f>B26*(B18/(1+Assumptions!$B$3)^5+SUMPRODUCT(B10:F10,1/(1+Assumptions!$B$3)^B4:F4))+(1-B26)*(B23/(1+Assumptions!$B$3)^5+SUMPRODUCT(B10:F10,1/(1+Assumptions!$B$3)^B4:F4))</f>
        <v/>
      </c>
    </row>
    <row r="36">
      <c r="A36" t="inlineStr">
        <is>
          <t>Entry price vs current (%)</t>
        </is>
      </c>
      <c r="B36">
        <f>100*(B35/Assumptions!$B$8-1)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8" customWidth="1" style="4" min="1" max="1"/>
    <col width="14" customWidth="1" style="4" min="2" max="2"/>
    <col width="14" customWidth="1" style="4" min="3" max="3"/>
    <col width="14" customWidth="1" style="4" min="4" max="4"/>
    <col width="14" customWidth="1" style="4" min="5" max="5"/>
    <col width="14" customWidth="1" style="4" min="6" max="6"/>
    <col width="14" customWidth="1" style="4" min="7" max="7"/>
    <col width="14" customWidth="1" style="4" min="8" max="8"/>
    <col width="14" customWidth="1" style="4" min="9" max="9"/>
    <col width="14" customWidth="1" style="4" min="10" max="10"/>
  </cols>
  <sheetData>
    <row r="1">
      <c r="A1" s="1" t="inlineStr">
        <is>
          <t>BULL scenario - blended NTA / earnings valuation (NZ$m, NZ$ per share)</t>
        </is>
      </c>
    </row>
    <row r="3">
      <c r="A3" s="1" t="inlineStr">
        <is>
          <t>Year</t>
        </is>
      </c>
      <c r="B3" s="1" t="inlineStr">
        <is>
          <t>FY2027E</t>
        </is>
      </c>
      <c r="C3" s="1" t="inlineStr">
        <is>
          <t>FY2028E</t>
        </is>
      </c>
      <c r="D3" s="1" t="inlineStr">
        <is>
          <t>FY2029E</t>
        </is>
      </c>
      <c r="E3" s="1" t="inlineStr">
        <is>
          <t>FY2030E</t>
        </is>
      </c>
      <c r="F3" s="1" t="inlineStr">
        <is>
          <t>FY2031E</t>
        </is>
      </c>
    </row>
    <row r="4">
      <c r="A4" t="inlineStr">
        <is>
          <t>Index</t>
        </is>
      </c>
      <c r="B4" t="n">
        <v>1</v>
      </c>
      <c r="C4" t="n">
        <v>2</v>
      </c>
      <c r="D4" t="n">
        <v>3</v>
      </c>
      <c r="E4" t="n">
        <v>4</v>
      </c>
      <c r="F4" t="n">
        <v>5</v>
      </c>
    </row>
    <row r="5">
      <c r="A5" t="inlineStr">
        <is>
          <t>NPAT (NZ$m)</t>
        </is>
      </c>
      <c r="B5" s="5">
        <f>Assumptions!B23</f>
        <v/>
      </c>
      <c r="C5" s="5">
        <f>Assumptions!C23</f>
        <v/>
      </c>
      <c r="D5" s="5">
        <f>Assumptions!D23</f>
        <v/>
      </c>
      <c r="E5" s="5">
        <f>Assumptions!E23</f>
        <v/>
      </c>
      <c r="F5" s="5">
        <f>Assumptions!F23</f>
        <v/>
      </c>
    </row>
    <row r="6">
      <c r="A6" t="inlineStr">
        <is>
          <t>Payout ratio</t>
        </is>
      </c>
      <c r="B6" s="5">
        <f>Assumptions!B24</f>
        <v/>
      </c>
      <c r="C6" s="5">
        <f>Assumptions!C24</f>
        <v/>
      </c>
      <c r="D6" s="5">
        <f>Assumptions!D24</f>
        <v/>
      </c>
      <c r="E6" s="5">
        <f>Assumptions!E24</f>
        <v/>
      </c>
      <c r="F6" s="5">
        <f>Assumptions!F24</f>
        <v/>
      </c>
    </row>
    <row r="7">
      <c r="A7" t="inlineStr">
        <is>
          <t>Dividends (NZ$m)</t>
        </is>
      </c>
      <c r="B7">
        <f>B5*B6</f>
        <v/>
      </c>
      <c r="C7">
        <f>C5*C6</f>
        <v/>
      </c>
      <c r="D7">
        <f>D5*D6</f>
        <v/>
      </c>
      <c r="E7">
        <f>E5*E6</f>
        <v/>
      </c>
      <c r="F7">
        <f>F5*F6</f>
        <v/>
      </c>
    </row>
    <row r="8">
      <c r="A8" t="inlineStr">
        <is>
          <t>Retained earnings (NZ$m)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</row>
    <row r="9">
      <c r="A9" t="inlineStr">
        <is>
          <t>NTA per share (NZ$)</t>
        </is>
      </c>
      <c r="B9">
        <f>Assumptions!$B$5+B8/Assumptions!$B$4</f>
        <v/>
      </c>
      <c r="C9">
        <f>B9+C8/Assumptions!$B$4</f>
        <v/>
      </c>
      <c r="D9">
        <f>C9+D8/Assumptions!$B$4</f>
        <v/>
      </c>
      <c r="E9">
        <f>D9+E8/Assumptions!$B$4</f>
        <v/>
      </c>
      <c r="F9">
        <f>E9+F8/Assumptions!$B$4</f>
        <v/>
      </c>
    </row>
    <row r="10">
      <c r="A10" t="inlineStr">
        <is>
          <t>Dividend per share (NZ$)</t>
        </is>
      </c>
      <c r="B10">
        <f>B7/Assumptions!$B$4</f>
        <v/>
      </c>
      <c r="C10">
        <f>C7/Assumptions!$B$4</f>
        <v/>
      </c>
      <c r="D10">
        <f>D7/Assumptions!$B$4</f>
        <v/>
      </c>
      <c r="E10">
        <f>E7/Assumptions!$B$4</f>
        <v/>
      </c>
      <c r="F10">
        <f>F7/Assumptions!$B$4</f>
        <v/>
      </c>
    </row>
    <row r="11">
      <c r="A11" t="inlineStr">
        <is>
          <t>Discount factor @ CoE</t>
        </is>
      </c>
      <c r="B11">
        <f>1/(1+Assumptions!$B$2)^B4</f>
        <v/>
      </c>
      <c r="C11">
        <f>1/(1+Assumptions!$B$2)^C4</f>
        <v/>
      </c>
      <c r="D11">
        <f>1/(1+Assumptions!$B$2)^D4</f>
        <v/>
      </c>
      <c r="E11">
        <f>1/(1+Assumptions!$B$2)^E4</f>
        <v/>
      </c>
      <c r="F11">
        <f>1/(1+Assumptions!$B$2)^F4</f>
        <v/>
      </c>
    </row>
    <row r="12">
      <c r="A12" t="inlineStr">
        <is>
          <t>PV dividend per share</t>
        </is>
      </c>
      <c r="B12">
        <f>B10*B11</f>
        <v/>
      </c>
      <c r="C12">
        <f>C10*C11</f>
        <v/>
      </c>
      <c r="D12">
        <f>D10*D11</f>
        <v/>
      </c>
      <c r="E12">
        <f>E10*E11</f>
        <v/>
      </c>
      <c r="F12">
        <f>F10*F11</f>
        <v/>
      </c>
    </row>
    <row r="15">
      <c r="A15" t="inlineStr">
        <is>
          <t>Sum PV dividends per share</t>
        </is>
      </c>
      <c r="B15">
        <f>SUM(B12:F12)</f>
        <v/>
      </c>
    </row>
    <row r="16">
      <c r="A16" t="inlineStr">
        <is>
          <t>Year-5 NTA per share</t>
        </is>
      </c>
      <c r="B16">
        <f>F9</f>
        <v/>
      </c>
    </row>
    <row r="17">
      <c r="A17" t="inlineStr">
        <is>
          <t>Exit P/B</t>
        </is>
      </c>
      <c r="B17" s="5">
        <f>Assumptions!H23</f>
        <v/>
      </c>
    </row>
    <row r="18">
      <c r="A18" t="inlineStr">
        <is>
          <t>NTA exit value per share</t>
        </is>
      </c>
      <c r="B18">
        <f>B16*B17</f>
        <v/>
      </c>
    </row>
    <row r="19">
      <c r="A19" t="inlineStr">
        <is>
          <t>PV of NTA exit value</t>
        </is>
      </c>
      <c r="B19">
        <f>B18*F11</f>
        <v/>
      </c>
    </row>
    <row r="20">
      <c r="A20" t="inlineStr">
        <is>
          <t>NTA leg value per share</t>
        </is>
      </c>
      <c r="B20">
        <f>B19+B15</f>
        <v/>
      </c>
    </row>
    <row r="21">
      <c r="A21" t="inlineStr">
        <is>
          <t>Year-5 NPAT (NZ$m)</t>
        </is>
      </c>
      <c r="B21">
        <f>F5</f>
        <v/>
      </c>
    </row>
    <row r="22">
      <c r="A22" t="inlineStr">
        <is>
          <t>Exit P/E</t>
        </is>
      </c>
      <c r="B22" s="5">
        <f>Assumptions!I23</f>
        <v/>
      </c>
    </row>
    <row r="23">
      <c r="A23" t="inlineStr">
        <is>
          <t>Earnings exit value per share</t>
        </is>
      </c>
      <c r="B23">
        <f>B21*B22/Assumptions!$B$4</f>
        <v/>
      </c>
    </row>
    <row r="24">
      <c r="A24" t="inlineStr">
        <is>
          <t>PV of earnings exit value</t>
        </is>
      </c>
      <c r="B24">
        <f>B23*F11</f>
        <v/>
      </c>
    </row>
    <row r="25">
      <c r="A25" t="inlineStr">
        <is>
          <t>Earnings leg value per share</t>
        </is>
      </c>
      <c r="B25">
        <f>B24+B15</f>
        <v/>
      </c>
    </row>
    <row r="26">
      <c r="A26" t="inlineStr">
        <is>
          <t>Blend weight on NTA leg</t>
        </is>
      </c>
      <c r="B26" s="5">
        <f>Assumptions!$B$9</f>
        <v/>
      </c>
    </row>
    <row r="27">
      <c r="A27" t="inlineStr">
        <is>
          <t>INTRINSIC VALUE PER SHARE (house)</t>
        </is>
      </c>
      <c r="B27" s="6">
        <f>B26*B20+(1-B26)*B25</f>
        <v/>
      </c>
    </row>
    <row r="28">
      <c r="A28" t="inlineStr">
        <is>
          <t>Upside vs price (%)</t>
        </is>
      </c>
      <c r="B28">
        <f>100*(B27/Assumptions!$B$8-1)</f>
        <v/>
      </c>
    </row>
    <row r="29">
      <c r="A29" t="inlineStr">
        <is>
          <t>Terminal share of value (%)</t>
        </is>
      </c>
      <c r="B29">
        <f>100*(B26*B19+(1-B26)*B24)/B27</f>
        <v/>
      </c>
    </row>
    <row r="30">
      <c r="A30" t="inlineStr">
        <is>
          <t>Implied year-5 P/B on blended exit</t>
        </is>
      </c>
      <c r="B30">
        <f>(B26*B18+(1-B26)*B23)/B16</f>
        <v/>
      </c>
    </row>
    <row r="31">
      <c r="A31" t="inlineStr">
        <is>
          <t>Year-5 ROE (%)</t>
        </is>
      </c>
      <c r="B31">
        <f>100*B21/(B16*Assumptions!$B$4+Assumptions!$B$7)</f>
        <v/>
      </c>
    </row>
    <row r="33">
      <c r="A33" t="inlineStr">
        <is>
          <t>Street IV per share (SBC added back to NPAT each year)</t>
        </is>
      </c>
      <c r="B33">
        <f>B27+B26*(Assumptions!$B$10*SUMPRODUCT(1-B6:F6)/Assumptions!$B$4*B17*F11+SUMPRODUCT(B6:F6,B11:F11)*Assumptions!$B$10/Assumptions!$B$4)+(1-B26)*(Assumptions!$B$10*B22/Assumptions!$B$4*F11+SUMPRODUCT(B6:F6,B11:F11)*Assumptions!$B$10/Assumptions!$B$4)</f>
        <v/>
      </c>
    </row>
    <row r="35">
      <c r="A35" t="inlineStr">
        <is>
          <t>ENTRY PRICE at hurdle (same exit multiples, rediscounted)</t>
        </is>
      </c>
      <c r="B35" s="6">
        <f>B26*(B18/(1+Assumptions!$B$3)^5+SUMPRODUCT(B10:F10,1/(1+Assumptions!$B$3)^B4:F4))+(1-B26)*(B23/(1+Assumptions!$B$3)^5+SUMPRODUCT(B10:F10,1/(1+Assumptions!$B$3)^B4:F4))</f>
        <v/>
      </c>
    </row>
    <row r="36">
      <c r="A36" t="inlineStr">
        <is>
          <t>Entry price vs current (%)</t>
        </is>
      </c>
      <c r="B36">
        <f>100*(B35/Assumptions!$B$8-1)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6" customWidth="1" style="4" min="1" max="1"/>
    <col width="14" customWidth="1" style="4" min="2" max="2"/>
    <col width="14" customWidth="1" style="4" min="3" max="3"/>
    <col width="14" customWidth="1" style="4" min="4" max="4"/>
    <col width="14" customWidth="1" style="4" min="5" max="5"/>
    <col width="14" customWidth="1" style="4" min="6" max="6"/>
    <col width="14" customWidth="1" style="4" min="7" max="7"/>
    <col width="14" customWidth="1" style="4" min="8" max="8"/>
    <col width="14" customWidth="1" style="4" min="9" max="9"/>
    <col width="14" customWidth="1" style="4" min="10" max="10"/>
  </cols>
  <sheetData>
    <row r="1">
      <c r="A1" s="1" t="inlineStr">
        <is>
          <t>Valuation summary (NZ$ per share)</t>
        </is>
      </c>
    </row>
    <row r="2">
      <c r="A2" s="1" t="inlineStr">
        <is>
          <t>Scenario</t>
        </is>
      </c>
      <c r="B2" s="1" t="inlineStr">
        <is>
          <t>Intrinsic value</t>
        </is>
      </c>
      <c r="C2" s="1" t="inlineStr">
        <is>
          <t>Upside %</t>
        </is>
      </c>
      <c r="D2" s="1" t="inlineStr">
        <is>
          <t>Weight</t>
        </is>
      </c>
      <c r="E2" s="1" t="inlineStr">
        <is>
          <t>Street IV</t>
        </is>
      </c>
      <c r="F2" s="1" t="inlineStr">
        <is>
          <t>Entry price @15%</t>
        </is>
      </c>
    </row>
    <row r="3">
      <c r="A3" t="inlineStr">
        <is>
          <t>bear</t>
        </is>
      </c>
      <c r="B3" s="5">
        <f>Val_Bear!B27</f>
        <v/>
      </c>
      <c r="C3" s="5">
        <f>Val_Bear!B28</f>
        <v/>
      </c>
      <c r="D3" s="5">
        <f>Assumptions!J15</f>
        <v/>
      </c>
      <c r="E3" s="5">
        <f>Val_Bear!B33</f>
        <v/>
      </c>
      <c r="F3" s="5">
        <f>Val_Bear!B35</f>
        <v/>
      </c>
    </row>
    <row r="4">
      <c r="A4" t="inlineStr">
        <is>
          <t>base</t>
        </is>
      </c>
      <c r="B4" s="5">
        <f>Val_Base!B27</f>
        <v/>
      </c>
      <c r="C4" s="5">
        <f>Val_Base!B28</f>
        <v/>
      </c>
      <c r="D4" s="5">
        <f>Assumptions!J19</f>
        <v/>
      </c>
      <c r="E4" s="5">
        <f>Val_Base!B33</f>
        <v/>
      </c>
      <c r="F4" s="5">
        <f>Val_Base!B35</f>
        <v/>
      </c>
    </row>
    <row r="5">
      <c r="A5" t="inlineStr">
        <is>
          <t>bull</t>
        </is>
      </c>
      <c r="B5" s="5">
        <f>Val_Bull!B27</f>
        <v/>
      </c>
      <c r="C5" s="5">
        <f>Val_Bull!B28</f>
        <v/>
      </c>
      <c r="D5" s="5">
        <f>Assumptions!J23</f>
        <v/>
      </c>
      <c r="E5" s="5">
        <f>Val_Bull!B33</f>
        <v/>
      </c>
      <c r="F5" s="5">
        <f>Val_Bull!B35</f>
        <v/>
      </c>
    </row>
    <row r="7">
      <c r="A7" s="1" t="inlineStr">
        <is>
          <t>Probability-weighted IV</t>
        </is>
      </c>
      <c r="B7" s="6">
        <f>SUMPRODUCT(B3:B5,D3:D5)</f>
        <v/>
      </c>
    </row>
    <row r="8">
      <c r="A8" t="inlineStr">
        <is>
          <t>Current price</t>
        </is>
      </c>
      <c r="B8" s="5">
        <f>Assumptions!$B$8</f>
        <v/>
      </c>
    </row>
    <row r="9">
      <c r="A9" t="inlineStr">
        <is>
          <t>Margin of safety (%)</t>
        </is>
      </c>
      <c r="B9">
        <f>100*(1-B8/B7)</f>
        <v/>
      </c>
    </row>
    <row r="10">
      <c r="A10" t="inlineStr">
        <is>
          <t>Street weighted IV</t>
        </is>
      </c>
      <c r="B10">
        <f>SUMPRODUCT(E3:E5,D3:D5)</f>
        <v/>
      </c>
    </row>
    <row r="11">
      <c r="A11" t="inlineStr">
        <is>
          <t>Band position (price-house)/(street-house)</t>
        </is>
      </c>
      <c r="B11">
        <f>IF(ABS(B10-B7)&lt;0.0001,"n/a",(B8-B7)/(B10-B7))</f>
        <v/>
      </c>
    </row>
    <row r="12">
      <c r="A12" s="1" t="inlineStr">
        <is>
          <t>Weighted entry price @15%</t>
        </is>
      </c>
      <c r="B12" s="7">
        <f>SUMPRODUCT(F3:F5,D3:D5)</f>
        <v/>
      </c>
    </row>
    <row r="13">
      <c r="A13" t="inlineStr">
        <is>
          <t>Price / opening NTA (x)</t>
        </is>
      </c>
      <c r="B13">
        <f>Assumptions!$B$8/Assumptions!$B$5</f>
        <v/>
      </c>
    </row>
    <row r="15">
      <c r="A15" s="1" t="inlineStr">
        <is>
          <t>Required-return table (base): value per share at rate r, exit multiples held at base</t>
        </is>
      </c>
    </row>
    <row r="16">
      <c r="A16" t="inlineStr">
        <is>
          <t>r</t>
        </is>
      </c>
      <c r="B16" s="2" t="n">
        <v>0.09</v>
      </c>
      <c r="C16" s="2" t="n">
        <v>0.1</v>
      </c>
      <c r="D16" s="2" t="n">
        <v>0.11</v>
      </c>
      <c r="E16" s="2" t="n">
        <v>0.12</v>
      </c>
      <c r="F16" s="2" t="n">
        <v>0.15</v>
      </c>
      <c r="G16" s="5">
        <f>Assumptions!$B$2</f>
        <v/>
      </c>
    </row>
    <row r="17">
      <c r="A17" t="inlineStr">
        <is>
          <t>Value per share</t>
        </is>
      </c>
      <c r="B17">
        <f>Val_Base!$B$26*(Val_Base!$B$18/(1+B$16)^5+SUMPRODUCT(Val_Base!$B$10:$F$10,1/(1+B$16)^Val_Base!$B$4:$F$4))+(1-Val_Base!$B$26)*(Val_Base!$B$23/(1+B$16)^5+SUMPRODUCT(Val_Base!$B$10:$F$10,1/(1+B$16)^Val_Base!$B$4:$F$4))</f>
        <v/>
      </c>
      <c r="C17">
        <f>Val_Base!$B$26*(Val_Base!$B$18/(1+C$16)^5+SUMPRODUCT(Val_Base!$B$10:$F$10,1/(1+C$16)^Val_Base!$B$4:$F$4))+(1-Val_Base!$B$26)*(Val_Base!$B$23/(1+C$16)^5+SUMPRODUCT(Val_Base!$B$10:$F$10,1/(1+C$16)^Val_Base!$B$4:$F$4))</f>
        <v/>
      </c>
      <c r="D17">
        <f>Val_Base!$B$26*(Val_Base!$B$18/(1+D$16)^5+SUMPRODUCT(Val_Base!$B$10:$F$10,1/(1+D$16)^Val_Base!$B$4:$F$4))+(1-Val_Base!$B$26)*(Val_Base!$B$23/(1+D$16)^5+SUMPRODUCT(Val_Base!$B$10:$F$10,1/(1+D$16)^Val_Base!$B$4:$F$4))</f>
        <v/>
      </c>
      <c r="E17">
        <f>Val_Base!$B$26*(Val_Base!$B$18/(1+E$16)^5+SUMPRODUCT(Val_Base!$B$10:$F$10,1/(1+E$16)^Val_Base!$B$4:$F$4))+(1-Val_Base!$B$26)*(Val_Base!$B$23/(1+E$16)^5+SUMPRODUCT(Val_Base!$B$10:$F$10,1/(1+E$16)^Val_Base!$B$4:$F$4))</f>
        <v/>
      </c>
      <c r="F17">
        <f>Val_Base!$B$26*(Val_Base!$B$18/(1+F$16)^5+SUMPRODUCT(Val_Base!$B$10:$F$10,1/(1+F$16)^Val_Base!$B$4:$F$4))+(1-Val_Base!$B$26)*(Val_Base!$B$23/(1+F$16)^5+SUMPRODUCT(Val_Base!$B$10:$F$10,1/(1+F$16)^Val_Base!$B$4:$F$4))</f>
        <v/>
      </c>
      <c r="G17">
        <f>Val_Base!$B$26*(Val_Base!$B$18/(1+G$16)^5+SUMPRODUCT(Val_Base!$B$10:$F$10,1/(1+G$16)^Val_Base!$B$4:$F$4))+(1-Val_Base!$B$26)*(Val_Base!$B$23/(1+G$16)^5+SUMPRODUCT(Val_Base!$B$10:$F$10,1/(1+G$16)^Val_Base!$B$4:$F$4))</f>
        <v/>
      </c>
    </row>
    <row r="20">
      <c r="A20" s="1" t="inlineStr">
        <is>
          <t>Sensitivity (base): cost of equity (rows) x exit P/B (cols); exit P/E scaled = base P/E x P/B / base P/B</t>
        </is>
      </c>
    </row>
    <row r="21">
      <c r="A21" t="inlineStr">
        <is>
          <t>CoE \ P/B</t>
        </is>
      </c>
      <c r="B21" s="2" t="n">
        <v>0.6</v>
      </c>
      <c r="C21" s="2" t="n">
        <v>0.7</v>
      </c>
      <c r="D21" s="2" t="n">
        <v>0.8</v>
      </c>
      <c r="E21" s="2" t="n">
        <v>0.9</v>
      </c>
      <c r="F21" s="2" t="n">
        <v>1</v>
      </c>
    </row>
    <row r="22">
      <c r="A22" s="2" t="n">
        <v>0.115</v>
      </c>
      <c r="B22">
        <f>Val_Base!$B$26*(Val_Base!$B$16*B$21/(1+$A22)^5+SUMPRODUCT(Val_Base!$B$10:$F$10,1/(1+$A22)^Val_Base!$B$4:$F$4))+(1-Val_Base!$B$26)*(Val_Base!$B$21*Val_Base!$B$22*B$21/Val_Base!$B$17/Assumptions!$B$4/(1+$A22)^5+SUMPRODUCT(Val_Base!$B$10:$F$10,1/(1+$A22)^Val_Base!$B$4:$F$4))</f>
        <v/>
      </c>
      <c r="C22">
        <f>Val_Base!$B$26*(Val_Base!$B$16*C$21/(1+$A22)^5+SUMPRODUCT(Val_Base!$B$10:$F$10,1/(1+$A22)^Val_Base!$B$4:$F$4))+(1-Val_Base!$B$26)*(Val_Base!$B$21*Val_Base!$B$22*C$21/Val_Base!$B$17/Assumptions!$B$4/(1+$A22)^5+SUMPRODUCT(Val_Base!$B$10:$F$10,1/(1+$A22)^Val_Base!$B$4:$F$4))</f>
        <v/>
      </c>
      <c r="D22">
        <f>Val_Base!$B$26*(Val_Base!$B$16*D$21/(1+$A22)^5+SUMPRODUCT(Val_Base!$B$10:$F$10,1/(1+$A22)^Val_Base!$B$4:$F$4))+(1-Val_Base!$B$26)*(Val_Base!$B$21*Val_Base!$B$22*D$21/Val_Base!$B$17/Assumptions!$B$4/(1+$A22)^5+SUMPRODUCT(Val_Base!$B$10:$F$10,1/(1+$A22)^Val_Base!$B$4:$F$4))</f>
        <v/>
      </c>
      <c r="E22">
        <f>Val_Base!$B$26*(Val_Base!$B$16*E$21/(1+$A22)^5+SUMPRODUCT(Val_Base!$B$10:$F$10,1/(1+$A22)^Val_Base!$B$4:$F$4))+(1-Val_Base!$B$26)*(Val_Base!$B$21*Val_Base!$B$22*E$21/Val_Base!$B$17/Assumptions!$B$4/(1+$A22)^5+SUMPRODUCT(Val_Base!$B$10:$F$10,1/(1+$A22)^Val_Base!$B$4:$F$4))</f>
        <v/>
      </c>
      <c r="F22">
        <f>Val_Base!$B$26*(Val_Base!$B$16*F$21/(1+$A22)^5+SUMPRODUCT(Val_Base!$B$10:$F$10,1/(1+$A22)^Val_Base!$B$4:$F$4))+(1-Val_Base!$B$26)*(Val_Base!$B$21*Val_Base!$B$22*F$21/Val_Base!$B$17/Assumptions!$B$4/(1+$A22)^5+SUMPRODUCT(Val_Base!$B$10:$F$10,1/(1+$A22)^Val_Base!$B$4:$F$4))</f>
        <v/>
      </c>
    </row>
    <row r="23">
      <c r="A23" s="2" t="n">
        <v>0.135</v>
      </c>
      <c r="B23">
        <f>Val_Base!$B$26*(Val_Base!$B$16*B$21/(1+$A23)^5+SUMPRODUCT(Val_Base!$B$10:$F$10,1/(1+$A23)^Val_Base!$B$4:$F$4))+(1-Val_Base!$B$26)*(Val_Base!$B$21*Val_Base!$B$22*B$21/Val_Base!$B$17/Assumptions!$B$4/(1+$A23)^5+SUMPRODUCT(Val_Base!$B$10:$F$10,1/(1+$A23)^Val_Base!$B$4:$F$4))</f>
        <v/>
      </c>
      <c r="C23">
        <f>Val_Base!$B$26*(Val_Base!$B$16*C$21/(1+$A23)^5+SUMPRODUCT(Val_Base!$B$10:$F$10,1/(1+$A23)^Val_Base!$B$4:$F$4))+(1-Val_Base!$B$26)*(Val_Base!$B$21*Val_Base!$B$22*C$21/Val_Base!$B$17/Assumptions!$B$4/(1+$A23)^5+SUMPRODUCT(Val_Base!$B$10:$F$10,1/(1+$A23)^Val_Base!$B$4:$F$4))</f>
        <v/>
      </c>
      <c r="D23">
        <f>Val_Base!$B$26*(Val_Base!$B$16*D$21/(1+$A23)^5+SUMPRODUCT(Val_Base!$B$10:$F$10,1/(1+$A23)^Val_Base!$B$4:$F$4))+(1-Val_Base!$B$26)*(Val_Base!$B$21*Val_Base!$B$22*D$21/Val_Base!$B$17/Assumptions!$B$4/(1+$A23)^5+SUMPRODUCT(Val_Base!$B$10:$F$10,1/(1+$A23)^Val_Base!$B$4:$F$4))</f>
        <v/>
      </c>
      <c r="E23">
        <f>Val_Base!$B$26*(Val_Base!$B$16*E$21/(1+$A23)^5+SUMPRODUCT(Val_Base!$B$10:$F$10,1/(1+$A23)^Val_Base!$B$4:$F$4))+(1-Val_Base!$B$26)*(Val_Base!$B$21*Val_Base!$B$22*E$21/Val_Base!$B$17/Assumptions!$B$4/(1+$A23)^5+SUMPRODUCT(Val_Base!$B$10:$F$10,1/(1+$A23)^Val_Base!$B$4:$F$4))</f>
        <v/>
      </c>
      <c r="F23">
        <f>Val_Base!$B$26*(Val_Base!$B$16*F$21/(1+$A23)^5+SUMPRODUCT(Val_Base!$B$10:$F$10,1/(1+$A23)^Val_Base!$B$4:$F$4))+(1-Val_Base!$B$26)*(Val_Base!$B$21*Val_Base!$B$22*F$21/Val_Base!$B$17/Assumptions!$B$4/(1+$A23)^5+SUMPRODUCT(Val_Base!$B$10:$F$10,1/(1+$A23)^Val_Base!$B$4:$F$4))</f>
        <v/>
      </c>
    </row>
    <row r="24">
      <c r="A24" s="2" t="n">
        <v>0.155</v>
      </c>
      <c r="B24">
        <f>Val_Base!$B$26*(Val_Base!$B$16*B$21/(1+$A24)^5+SUMPRODUCT(Val_Base!$B$10:$F$10,1/(1+$A24)^Val_Base!$B$4:$F$4))+(1-Val_Base!$B$26)*(Val_Base!$B$21*Val_Base!$B$22*B$21/Val_Base!$B$17/Assumptions!$B$4/(1+$A24)^5+SUMPRODUCT(Val_Base!$B$10:$F$10,1/(1+$A24)^Val_Base!$B$4:$F$4))</f>
        <v/>
      </c>
      <c r="C24">
        <f>Val_Base!$B$26*(Val_Base!$B$16*C$21/(1+$A24)^5+SUMPRODUCT(Val_Base!$B$10:$F$10,1/(1+$A24)^Val_Base!$B$4:$F$4))+(1-Val_Base!$B$26)*(Val_Base!$B$21*Val_Base!$B$22*C$21/Val_Base!$B$17/Assumptions!$B$4/(1+$A24)^5+SUMPRODUCT(Val_Base!$B$10:$F$10,1/(1+$A24)^Val_Base!$B$4:$F$4))</f>
        <v/>
      </c>
      <c r="D24" s="7">
        <f>Val_Base!$B$26*(Val_Base!$B$16*D$21/(1+$A24)^5+SUMPRODUCT(Val_Base!$B$10:$F$10,1/(1+$A24)^Val_Base!$B$4:$F$4))+(1-Val_Base!$B$26)*(Val_Base!$B$21*Val_Base!$B$22*D$21/Val_Base!$B$17/Assumptions!$B$4/(1+$A24)^5+SUMPRODUCT(Val_Base!$B$10:$F$10,1/(1+$A24)^Val_Base!$B$4:$F$4))</f>
        <v/>
      </c>
      <c r="E24">
        <f>Val_Base!$B$26*(Val_Base!$B$16*E$21/(1+$A24)^5+SUMPRODUCT(Val_Base!$B$10:$F$10,1/(1+$A24)^Val_Base!$B$4:$F$4))+(1-Val_Base!$B$26)*(Val_Base!$B$21*Val_Base!$B$22*E$21/Val_Base!$B$17/Assumptions!$B$4/(1+$A24)^5+SUMPRODUCT(Val_Base!$B$10:$F$10,1/(1+$A24)^Val_Base!$B$4:$F$4))</f>
        <v/>
      </c>
      <c r="F24">
        <f>Val_Base!$B$26*(Val_Base!$B$16*F$21/(1+$A24)^5+SUMPRODUCT(Val_Base!$B$10:$F$10,1/(1+$A24)^Val_Base!$B$4:$F$4))+(1-Val_Base!$B$26)*(Val_Base!$B$21*Val_Base!$B$22*F$21/Val_Base!$B$17/Assumptions!$B$4/(1+$A24)^5+SUMPRODUCT(Val_Base!$B$10:$F$10,1/(1+$A24)^Val_Base!$B$4:$F$4))</f>
        <v/>
      </c>
    </row>
    <row r="25">
      <c r="A25" s="2" t="n">
        <v>0.175</v>
      </c>
      <c r="B25">
        <f>Val_Base!$B$26*(Val_Base!$B$16*B$21/(1+$A25)^5+SUMPRODUCT(Val_Base!$B$10:$F$10,1/(1+$A25)^Val_Base!$B$4:$F$4))+(1-Val_Base!$B$26)*(Val_Base!$B$21*Val_Base!$B$22*B$21/Val_Base!$B$17/Assumptions!$B$4/(1+$A25)^5+SUMPRODUCT(Val_Base!$B$10:$F$10,1/(1+$A25)^Val_Base!$B$4:$F$4))</f>
        <v/>
      </c>
      <c r="C25">
        <f>Val_Base!$B$26*(Val_Base!$B$16*C$21/(1+$A25)^5+SUMPRODUCT(Val_Base!$B$10:$F$10,1/(1+$A25)^Val_Base!$B$4:$F$4))+(1-Val_Base!$B$26)*(Val_Base!$B$21*Val_Base!$B$22*C$21/Val_Base!$B$17/Assumptions!$B$4/(1+$A25)^5+SUMPRODUCT(Val_Base!$B$10:$F$10,1/(1+$A25)^Val_Base!$B$4:$F$4))</f>
        <v/>
      </c>
      <c r="D25">
        <f>Val_Base!$B$26*(Val_Base!$B$16*D$21/(1+$A25)^5+SUMPRODUCT(Val_Base!$B$10:$F$10,1/(1+$A25)^Val_Base!$B$4:$F$4))+(1-Val_Base!$B$26)*(Val_Base!$B$21*Val_Base!$B$22*D$21/Val_Base!$B$17/Assumptions!$B$4/(1+$A25)^5+SUMPRODUCT(Val_Base!$B$10:$F$10,1/(1+$A25)^Val_Base!$B$4:$F$4))</f>
        <v/>
      </c>
      <c r="E25">
        <f>Val_Base!$B$26*(Val_Base!$B$16*E$21/(1+$A25)^5+SUMPRODUCT(Val_Base!$B$10:$F$10,1/(1+$A25)^Val_Base!$B$4:$F$4))+(1-Val_Base!$B$26)*(Val_Base!$B$21*Val_Base!$B$22*E$21/Val_Base!$B$17/Assumptions!$B$4/(1+$A25)^5+SUMPRODUCT(Val_Base!$B$10:$F$10,1/(1+$A25)^Val_Base!$B$4:$F$4))</f>
        <v/>
      </c>
      <c r="F25">
        <f>Val_Base!$B$26*(Val_Base!$B$16*F$21/(1+$A25)^5+SUMPRODUCT(Val_Base!$B$10:$F$10,1/(1+$A25)^Val_Base!$B$4:$F$4))+(1-Val_Base!$B$26)*(Val_Base!$B$21*Val_Base!$B$22*F$21/Val_Base!$B$17/Assumptions!$B$4/(1+$A25)^5+SUMPRODUCT(Val_Base!$B$10:$F$10,1/(1+$A25)^Val_Base!$B$4:$F$4))</f>
        <v/>
      </c>
    </row>
    <row r="26">
      <c r="A26" s="2" t="n">
        <v>0.195</v>
      </c>
      <c r="B26">
        <f>Val_Base!$B$26*(Val_Base!$B$16*B$21/(1+$A26)^5+SUMPRODUCT(Val_Base!$B$10:$F$10,1/(1+$A26)^Val_Base!$B$4:$F$4))+(1-Val_Base!$B$26)*(Val_Base!$B$21*Val_Base!$B$22*B$21/Val_Base!$B$17/Assumptions!$B$4/(1+$A26)^5+SUMPRODUCT(Val_Base!$B$10:$F$10,1/(1+$A26)^Val_Base!$B$4:$F$4))</f>
        <v/>
      </c>
      <c r="C26">
        <f>Val_Base!$B$26*(Val_Base!$B$16*C$21/(1+$A26)^5+SUMPRODUCT(Val_Base!$B$10:$F$10,1/(1+$A26)^Val_Base!$B$4:$F$4))+(1-Val_Base!$B$26)*(Val_Base!$B$21*Val_Base!$B$22*C$21/Val_Base!$B$17/Assumptions!$B$4/(1+$A26)^5+SUMPRODUCT(Val_Base!$B$10:$F$10,1/(1+$A26)^Val_Base!$B$4:$F$4))</f>
        <v/>
      </c>
      <c r="D26">
        <f>Val_Base!$B$26*(Val_Base!$B$16*D$21/(1+$A26)^5+SUMPRODUCT(Val_Base!$B$10:$F$10,1/(1+$A26)^Val_Base!$B$4:$F$4))+(1-Val_Base!$B$26)*(Val_Base!$B$21*Val_Base!$B$22*D$21/Val_Base!$B$17/Assumptions!$B$4/(1+$A26)^5+SUMPRODUCT(Val_Base!$B$10:$F$10,1/(1+$A26)^Val_Base!$B$4:$F$4))</f>
        <v/>
      </c>
      <c r="E26">
        <f>Val_Base!$B$26*(Val_Base!$B$16*E$21/(1+$A26)^5+SUMPRODUCT(Val_Base!$B$10:$F$10,1/(1+$A26)^Val_Base!$B$4:$F$4))+(1-Val_Base!$B$26)*(Val_Base!$B$21*Val_Base!$B$22*E$21/Val_Base!$B$17/Assumptions!$B$4/(1+$A26)^5+SUMPRODUCT(Val_Base!$B$10:$F$10,1/(1+$A26)^Val_Base!$B$4:$F$4))</f>
        <v/>
      </c>
      <c r="F26">
        <f>Val_Base!$B$26*(Val_Base!$B$16*F$21/(1+$A26)^5+SUMPRODUCT(Val_Base!$B$10:$F$10,1/(1+$A26)^Val_Base!$B$4:$F$4))+(1-Val_Base!$B$26)*(Val_Base!$B$21*Val_Base!$B$22*F$21/Val_Base!$B$17/Assumptions!$B$4/(1+$A26)^5+SUMPRODUCT(Val_Base!$B$10:$F$10,1/(1+$A26)^Val_Base!$B$4:$F$4))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2026-09-21T09:13:18Z</dcterms:created>
  <dcterms:modified xsi:type="dcterms:W3CDTF">2026-09-21T09:21:02Z</dcterms:modified>
</cp:coreProperties>
</file>