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<sst xmlns="http://schemas.openxmlformats.org/spreadsheetml/2006/main" count="354" uniqueCount="164">
  <si>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</si>
  <si>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CNA.L</t>
  </si>
  <si>
    <t xml:space="preserve">Company</t>
  </si>
  <si>
    <t xml:space="preserve">Centrica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</si>
  <si>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</si>
  <si>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</si>
  <si>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</si>
  <si>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</si>
  <si>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2026-10-09T17:03:55Z regular close (LSE)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</si>
  <si>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</si>
  <si>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</si>
  <si>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</si>
  <si>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</si>
  <si>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</si>
  <si>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</si>
  <si>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</si>
  <si>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</si>
  <si>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</si>
  <si>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</si>
  <si>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</si>
  <si>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</si>
  <si>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</si>
  <si>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2026-10-09T22:43:42Z</t>
  </si>
  <si>
    <t xml:space="preserve">Drivers file</t>
  </si>
  <si>
    <t xml:space="preserve">CNA.L_Drivers.json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</si>
  <si>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</si>
  <si>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</si>
  <si>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</si>
  <si>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Centrica is valued as an operating company on an owner-FCF basis built from management's adjusted EBITDA (the statutory line is dominated by derivative re-measurements and exceptional items) with total capital investment -- not just statutory PP&amp;E capex -- charged against it, because the 2028/2030 EBITDA targets are the payoff from the whole ~GBP 4bn programme. Revenue growth is treated as pass-through noise and held at 0-2%; the valuation turns on the EBITDA margin path, the capex taper after 2028, the roll-off of ring-fence tax and the EGL, and a deliberately low terminal cap (12-15x FCF, ~5-6.5x EBITDA) that does not bake in a regulated-utility re-rating. Net cash, securities, NCI and the tax-effected pension deficit are bridged once each; interest income is stripped from the FCF base so the cash pile is not double-counted. WACC is 8.5% in GBP and identical across scenarios so risk is charged only through the flows and the 30/50/20 weights.
key_risks_to_valuation: Centrica Energy (trading) EBITDA: each GBP 100m of sustained shortfall vs the ~GBP 250m planning level is roughly 0.5pp of EBITDA margin, ~GBP 70m of after-tax FCF and ~GBP 1bn of capped terminal value (~20p/share); Retail bad debt and Ofgem price-cap cost under-recovery: Retail guided to the lower end of GBP 500-800m; the GBP 300m range between the ends is 1.5pp of margin; Delivery of rateable infrastructure (MAP, Grain LNG, Severn, Irish peakers, nuclear life extensions) on the 2028 timetable; Sizewell C equity returns accrue to the RAB during construction and generate no cash inside the horizon, so adjusted EBITDA overstates cash in every scenario; Successor windfall taxation after the EGL sunsets in March 2028, or EPL-style levies spreading to nuclear/gas generation -- base assumes 28% cash tax from 2030, bear 30%; Capital-programme discipline: capex is modelled at ~GBP 1.1bn/yr through 2028 then tapering to ~GBP 650-700m; an overrun or a second programme (X-energy AMRs, Morecambe CCS) without matching EBITDA would push the FCF inflection out; Items NOT in the bridge: GBP 74m net derivative liabilities inside adjusted net cash (operating hedges), the Spirit Energy decommissioning provision (~GBP 961m, expected to transfer with the Serica sale but retained if the sale fails), and the Serica sale proceeds (not disclosed in the extracted filings) -- the latter two roughly offset in direction; Weather: unseasonably warm years cost Home Energy Supply ~GBP 80m in FY2025; not modelled beyond the margin range; Revenue is a pass-through denominator: a commodity-price spike would raise revenue and depress every %-of-revenue driver mechanically; read the EBITDA GBP path, not the margin, when re-judging</t>
  </si>
  <si>
    <t xml:space="preserve">Data sources</t>
  </si>
  <si>
    <t xml:space="preserve">price: Yahoo Finance chart API at inputs.price_as_of (LSE regular close); 52-week range 144.0-220.3 GBp
financials: CNA.L_Metrics.csv / core_metrics and kpis (FY2018-FY2025, H1 FY2025, H1 FY2026, GBP millions) built by the financial-parser agent from the Annual Reports and Interim Results; adjusted EBITDA, adjusted ETR, adjusted net cash, pension deficit, NCI and share counts read from CNA.L_Annual_FY2025.txt (lines ~1199-1310, 16677-16700) and CNA.L_HalfYear_H1-2026.txt (lines ~140-175, 849-895, 1223-1253, 2361-2373, 3739-3745)
qualitative: CNA.L_Analysis.json (2026-10-10): business model, segment guidance as of 23 July 2026 interim results, bull/bear cases, risk register</t>
  </si>
  <si>
    <t xml:space="preserve">Scenario narrative: bear</t>
  </si>
  <si>
    <t xml:space="preserve">The pivot stalls: Centrica Energy stays around GBP 200m as non-fundamental volatility keeps hurting trading, UK retail bad debt keeps rising toward the ~GBP 7bn sector figure and Ofgem's H2 2026 under-recovery compresses Retail to the GBP 500m floor, Octopus continues to take share. Spirit Energy's ~GBP 380m EBITDA leaves with the Serica sale before Infrastructure's rateable earnings replace it; Irish peakers and the nuclear life extensions slip; a successor windfall levy keeps the cash tax rate at 30%. EBITDA dips to ~GBP 1.36bn in 2027 and plateaus near GBP 1.6bn, the 2030 target is quietly dropped, and the GBP 4bn capex programme is spent anyway with overruns -- owner FCF is negative in 2026-2027 and never exceeds ~GBP 500m. No re-rating (cap 12x). The balance sheet survives (net cash, ~GBP 5bn liquidity), so this is a value-destruction case, not a solvency case.</t>
  </si>
  <si>
    <t xml:space="preserve">Scenario narrative: base</t>
  </si>
  <si>
    <t xml:space="preserve">Centrica executes most of 'Transforming Centrica' but a year or two late and with a ~10% haircut to the headline targets: adjusted EBITDA recovers from ~GBP 1.42bn (FY2026, midpoint of segment guidance) to ~GBP 1.6bn in 2028 and ~GBP 1.8bn by 2030 as MAP, Grain LNG, Severn CCGT and the nuclear life extensions deliver contracted earnings while Centrica Energy stays around GBP 250m rather than the GBP 300-400m range. Revenue is flat-to-2% (commodity pass-through); the GBP 1.1bn/yr capex programme runs through 2028 then tapers, so owner FCF is roughly zero in 2026-2027 and only exceeds GBP 500m from 2029. Cash tax falls from 36% to 28% as Spirit's ring-fence tax and the EGL roll off. Terminal value is capped at 14x FCF (~6x EBITDA), so the base case does not assume a regulated-utility re-rating. The axes that matter: Centrica Energy recovery, the retail bad-debt trajectory under the price cap, and whether rateable EBITDA replaces Spirit's declining gas production on schedule.</t>
  </si>
  <si>
    <t xml:space="preserve">Scenario narrative: bull</t>
  </si>
  <si>
    <t xml:space="preserve">Targets met: GBP 1.7bn adjusted EBITDA in 2028 and GBP 2.0bn in 2030, EPS doubles. Centrica Energy normalises into GBP 300-400m from 2028 as the delayed gas glut arrives and LNG optimisation recovers; Retail holds the upper half of guidance as bad debt stabilises and the GBP 0.5bn cost-out programme lands; Severn CCGT captures South Wales data-centre demand; Sizewell B CfD and Sizewell C RAB returns give visibility that re-rates the equity toward regulated-utility multiples (cap 15x FCF). The EGL lapses in 2028 with no successor levy and cash tax settles at 27%. Buybacks resume post-2028 as owner FCF exceeds GBP 1bn (not separately modelled -- the share count is held flat).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</si>
  <si>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</si>
  <si>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</si>
  <si>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</si>
  <si>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</si>
  <si>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</si>
  <si>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</si>
  <si>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</si>
  <si>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</si>
  <si>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</si>
  <si>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</si>
  <si>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</si>
  <si>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</si>
  <si>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</si>
  <si>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</si>
  <si>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</si>
  <si>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</si>
  <si>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</si>
  <si>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</si>
  <si>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</si>
  <si>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</si>
  <si>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</si>
  <si>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</si>
  <si>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</si>
  <si>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</si>
  <si>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</si>
  <si>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</si>
  <si>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</si>
  <si>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</si>
  <si>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</si>
  <si>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</si>
  <si>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</si>
  <si>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</si>
  <si>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</si>
  <si>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</si>
  <si>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</si>
  <si>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</si>
  <si>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</si>
  <si>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</si>
  <si>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</si>
  <si>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</si>
  <si>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</si>
  <si>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</si>
  <si>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</si>
  <si>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</si>
  <si>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</si>
  <si>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</si>
  <si>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</si>
  <si>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</si>
  <si>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</si>
  <si>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</si>
  <si>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</si>
  <si>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</si>
  <si>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</si>
  <si>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</si>
  <si>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</si>
  <si>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</si>
  <si>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</si>
  <si>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</si>
  <si>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</si>
  <si>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</si>
  <si>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</si>
  <si>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</si>
  <si>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</si>
  <si>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</si>
  <si>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</si>
  <si>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</si>
  <si>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</si>
  <si>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</si>
  <si>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</si>
  <si>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</si>
  <si>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</si>
  <si>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</si>
  <si>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CNA.L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</si>
  <si>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</si>
  <si>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</si>
  <si>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</si>
  <si>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</si>
  <si>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</si>
  <si>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</si>
  <si>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</si>
  <si>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</si>
  <si>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</si>
  <si>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</si>
  <si>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</si>
  <si>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</si>
  <si>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</si>
  <si>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</si>
  <si>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</si>
  <si>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</si>
  <si>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</si>
  <si>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</si>
  <si>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</si>
  <si>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</si>
  <si>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</si>
  <si>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</si>
  <si>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</si>
  <si>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</si>
  <si>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</si>
  <si>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</si>
  <si>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</si>
  <si>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</si>
  <si>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</si>
  <si>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</si>
  <si>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CNA.L owner-FCF component DCF: base case (millions, GBP)</t>
  </si>
  <si>
    <t xml:space="preserve">CNA.L owner-FCF component DCF: bull case (millions, GBP)</t>
  </si>
  <si>
    <t xml:space="preserve">CNA.L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</si>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</sst>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147.35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23304</v>
      </c>
      <c r="C2" s="0" t="n">
        <v>19251</v>
      </c>
      <c r="D2" s="0" t="n">
        <v>4053</v>
      </c>
      <c r="E2" s="0" t="n">
        <v>17.4</v>
      </c>
      <c r="F2" s="0" t="n">
        <v>987</v>
      </c>
      <c r="G2" s="0" t="n">
        <v>4.2</v>
      </c>
      <c r="I2" s="0" t="n">
        <v>183</v>
      </c>
      <c r="J2" s="0" t="n">
        <v>0.8</v>
      </c>
      <c r="K2" s="0" t="n">
        <v>0.032</v>
      </c>
      <c r="L2" s="0" t="n">
        <v>1934</v>
      </c>
      <c r="M2" s="0" t="n">
        <v>926</v>
      </c>
      <c r="N2" s="0" t="n">
        <v>1008</v>
      </c>
      <c r="O2" s="0" t="n">
        <v>3145</v>
      </c>
      <c r="P2" s="0" t="n">
        <v>20557</v>
      </c>
      <c r="Q2" s="0" t="n">
        <v>16609</v>
      </c>
      <c r="R2" s="0" t="n">
        <v>4754</v>
      </c>
      <c r="S2" s="0" t="n">
        <v>1268</v>
      </c>
      <c r="T2" s="0" t="n">
        <v>5671</v>
      </c>
      <c r="U2" s="0" t="n">
        <v>43</v>
      </c>
      <c r="V2" s="0" t="n">
        <v>0.12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22674</v>
      </c>
      <c r="C3" s="0" t="n">
        <v>19468</v>
      </c>
      <c r="D3" s="0" t="n">
        <v>3206</v>
      </c>
      <c r="E3" s="0" t="n">
        <v>14.1</v>
      </c>
      <c r="F3" s="0" t="n">
        <v>-849</v>
      </c>
      <c r="G3" s="0" t="n">
        <v>-3.7</v>
      </c>
      <c r="I3" s="0" t="n">
        <v>-1023</v>
      </c>
      <c r="J3" s="0" t="n">
        <v>-4.5</v>
      </c>
      <c r="K3" s="0" t="n">
        <v>-0.178</v>
      </c>
      <c r="L3" s="0" t="n">
        <v>1250</v>
      </c>
      <c r="M3" s="0" t="n">
        <v>781</v>
      </c>
      <c r="N3" s="0" t="n">
        <v>469</v>
      </c>
      <c r="O3" s="0" t="n">
        <v>1212</v>
      </c>
      <c r="P3" s="0" t="n">
        <v>18154</v>
      </c>
      <c r="Q3" s="0" t="n">
        <v>16359</v>
      </c>
      <c r="R3" s="0" t="n">
        <v>5343</v>
      </c>
      <c r="S3" s="0" t="n">
        <v>1342</v>
      </c>
      <c r="T3" s="0" t="n">
        <v>5802</v>
      </c>
      <c r="U3" s="0" t="n">
        <v>41</v>
      </c>
      <c r="V3" s="0" t="n">
        <v>0.015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12249</v>
      </c>
      <c r="C4" s="0" t="n">
        <v>9130</v>
      </c>
      <c r="D4" s="0" t="n">
        <v>3119</v>
      </c>
      <c r="E4" s="0" t="n">
        <v>25.5</v>
      </c>
      <c r="F4" s="0" t="n">
        <v>-362</v>
      </c>
      <c r="G4" s="0" t="n">
        <v>-3</v>
      </c>
      <c r="I4" s="0" t="n">
        <v>41</v>
      </c>
      <c r="J4" s="0" t="n">
        <v>0.3</v>
      </c>
      <c r="K4" s="0" t="n">
        <v>0.007</v>
      </c>
      <c r="L4" s="0" t="n">
        <v>957</v>
      </c>
      <c r="M4" s="0" t="n">
        <v>489</v>
      </c>
      <c r="N4" s="0" t="n">
        <v>468</v>
      </c>
      <c r="O4" s="0" t="n">
        <v>957</v>
      </c>
      <c r="P4" s="0" t="n">
        <v>17119</v>
      </c>
      <c r="Q4" s="0" t="n">
        <v>15737</v>
      </c>
      <c r="R4" s="0" t="n">
        <v>5376</v>
      </c>
      <c r="S4" s="0" t="n">
        <v>1820</v>
      </c>
      <c r="T4" s="0" t="n">
        <v>5916</v>
      </c>
      <c r="U4" s="0" t="n">
        <v>34</v>
      </c>
      <c r="V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14744</v>
      </c>
      <c r="C5" s="0" t="n">
        <v>13115</v>
      </c>
      <c r="D5" s="0" t="n">
        <v>1629</v>
      </c>
      <c r="E5" s="0" t="n">
        <v>11</v>
      </c>
      <c r="F5" s="0" t="n">
        <v>954</v>
      </c>
      <c r="G5" s="0" t="n">
        <v>6.5</v>
      </c>
      <c r="I5" s="0" t="n">
        <v>1210</v>
      </c>
      <c r="J5" s="0" t="n">
        <v>8.2</v>
      </c>
      <c r="K5" s="0" t="n">
        <v>0.205</v>
      </c>
      <c r="L5" s="0" t="n">
        <v>1611</v>
      </c>
      <c r="M5" s="0" t="n">
        <v>420</v>
      </c>
      <c r="N5" s="0" t="n">
        <v>1191</v>
      </c>
      <c r="O5" s="0" t="n">
        <v>2365</v>
      </c>
      <c r="P5" s="0" t="n">
        <v>27086</v>
      </c>
      <c r="Q5" s="0" t="n">
        <v>24336</v>
      </c>
      <c r="R5" s="0" t="n">
        <v>4643</v>
      </c>
      <c r="S5" s="0" t="n">
        <v>5060</v>
      </c>
      <c r="T5" s="0" t="n">
        <v>5905</v>
      </c>
      <c r="U5" s="0" t="n">
        <v>12</v>
      </c>
      <c r="V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23741</v>
      </c>
      <c r="C6" s="0" t="n">
        <v>21696</v>
      </c>
      <c r="D6" s="0" t="n">
        <v>2045</v>
      </c>
      <c r="E6" s="0" t="n">
        <v>8.6</v>
      </c>
      <c r="F6" s="0" t="n">
        <v>-240</v>
      </c>
      <c r="G6" s="0" t="n">
        <v>-1</v>
      </c>
      <c r="I6" s="0" t="n">
        <v>-782</v>
      </c>
      <c r="J6" s="0" t="n">
        <v>-3.3</v>
      </c>
      <c r="K6" s="0" t="n">
        <v>-0.133</v>
      </c>
      <c r="L6" s="0" t="n">
        <v>1314</v>
      </c>
      <c r="M6" s="0" t="n">
        <v>371</v>
      </c>
      <c r="N6" s="0" t="n">
        <v>943</v>
      </c>
      <c r="O6" s="0" t="n">
        <v>1017</v>
      </c>
      <c r="P6" s="0" t="n">
        <v>29038</v>
      </c>
      <c r="Q6" s="0" t="n">
        <v>27758</v>
      </c>
      <c r="R6" s="0" t="n">
        <v>4017</v>
      </c>
      <c r="S6" s="0" t="n">
        <v>4842</v>
      </c>
      <c r="T6" s="0" t="n">
        <v>5937</v>
      </c>
      <c r="U6" s="0" t="n">
        <v>10</v>
      </c>
      <c r="V6" s="0" t="n">
        <v>0.03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26458</v>
      </c>
      <c r="C7" s="0" t="n">
        <v>16835</v>
      </c>
      <c r="D7" s="0" t="n">
        <v>9623</v>
      </c>
      <c r="E7" s="0" t="n">
        <v>36.4</v>
      </c>
      <c r="F7" s="0" t="n">
        <v>6512</v>
      </c>
      <c r="G7" s="0" t="n">
        <v>24.6</v>
      </c>
      <c r="I7" s="0" t="n">
        <v>3929</v>
      </c>
      <c r="J7" s="0" t="n">
        <v>14.8</v>
      </c>
      <c r="K7" s="0" t="n">
        <v>0.694</v>
      </c>
      <c r="L7" s="0" t="n">
        <v>2752</v>
      </c>
      <c r="M7" s="0" t="n">
        <v>335</v>
      </c>
      <c r="N7" s="0" t="n">
        <v>2417</v>
      </c>
      <c r="O7" s="0" t="n">
        <v>3877</v>
      </c>
      <c r="P7" s="0" t="n">
        <v>21366</v>
      </c>
      <c r="Q7" s="0" t="n">
        <v>17133</v>
      </c>
      <c r="R7" s="0" t="n">
        <v>4103</v>
      </c>
      <c r="S7" s="0" t="n">
        <v>6443</v>
      </c>
      <c r="T7" s="0" t="n">
        <v>5660</v>
      </c>
      <c r="U7" s="0" t="n">
        <v>31</v>
      </c>
      <c r="V7" s="0" t="n">
        <v>0.04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19913</v>
      </c>
      <c r="C8" s="0" t="n">
        <v>15826</v>
      </c>
      <c r="D8" s="0" t="n">
        <v>4087</v>
      </c>
      <c r="E8" s="0" t="n">
        <v>20.5</v>
      </c>
      <c r="F8" s="0" t="n">
        <v>1703</v>
      </c>
      <c r="G8" s="0" t="n">
        <v>8.6</v>
      </c>
      <c r="I8" s="0" t="n">
        <v>1332</v>
      </c>
      <c r="J8" s="0" t="n">
        <v>6.7</v>
      </c>
      <c r="K8" s="0" t="n">
        <v>0.251</v>
      </c>
      <c r="L8" s="0" t="n">
        <v>1149</v>
      </c>
      <c r="M8" s="0" t="n">
        <v>416</v>
      </c>
      <c r="N8" s="0" t="n">
        <v>733</v>
      </c>
      <c r="O8" s="0" t="n">
        <v>4422</v>
      </c>
      <c r="P8" s="0" t="n">
        <v>18733</v>
      </c>
      <c r="Q8" s="0" t="n">
        <v>13921</v>
      </c>
      <c r="R8" s="0" t="n">
        <v>3512</v>
      </c>
      <c r="S8" s="0" t="n">
        <v>6338</v>
      </c>
      <c r="T8" s="0" t="n">
        <v>5306</v>
      </c>
      <c r="U8" s="0" t="n">
        <v>47</v>
      </c>
      <c r="V8" s="0" t="n">
        <v>0.045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19492</v>
      </c>
      <c r="C9" s="0" t="n">
        <v>16661</v>
      </c>
      <c r="D9" s="0" t="n">
        <v>2831</v>
      </c>
      <c r="E9" s="0" t="n">
        <v>14.5</v>
      </c>
      <c r="F9" s="0" t="n">
        <v>106</v>
      </c>
      <c r="G9" s="0" t="n">
        <v>0.5</v>
      </c>
      <c r="I9" s="0" t="n">
        <v>-72</v>
      </c>
      <c r="J9" s="0" t="n">
        <v>-0.4</v>
      </c>
      <c r="K9" s="0" t="n">
        <v>-0.015</v>
      </c>
      <c r="L9" s="0" t="n">
        <v>695</v>
      </c>
      <c r="M9" s="0" t="n">
        <v>554</v>
      </c>
      <c r="N9" s="0" t="n">
        <v>141</v>
      </c>
      <c r="O9" s="0" t="n">
        <v>3085</v>
      </c>
      <c r="P9" s="0" t="n">
        <v>15415</v>
      </c>
      <c r="Q9" s="0" t="n">
        <v>11919</v>
      </c>
      <c r="R9" s="0" t="n">
        <v>2856</v>
      </c>
      <c r="S9" s="0" t="n">
        <v>4307</v>
      </c>
      <c r="T9" s="0" t="n">
        <v>4919</v>
      </c>
      <c r="U9" s="0" t="n">
        <v>56</v>
      </c>
      <c r="V9" s="0" t="n">
        <v>0.055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147.35</v>
      </c>
    </row>
    <row r="3" customFormat="false" ht="15" hidden="false" customHeight="false" outlineLevel="0" collapsed="false">
      <c r="A3" s="0" t="s">
        <v>75</v>
      </c>
      <c r="B3" s="3" t="n">
        <v>4646</v>
      </c>
    </row>
    <row r="4" customFormat="false" ht="15" hidden="false" customHeight="false" outlineLevel="0" collapsed="false">
      <c r="A4" s="0" t="s">
        <v>76</v>
      </c>
      <c r="B4" s="3" t="n">
        <v>-671</v>
      </c>
    </row>
    <row r="5" customFormat="false" ht="15" hidden="false" customHeight="false" outlineLevel="0" collapsed="false">
      <c r="A5" s="0" t="s">
        <v>77</v>
      </c>
      <c r="B5" s="3" t="n">
        <v>-460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19492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100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0</v>
      </c>
      <c r="D13" s="3" t="n">
        <v>0</v>
      </c>
      <c r="E13" s="3" t="n">
        <v>1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7.1</v>
      </c>
      <c r="D14" s="3" t="n">
        <v>6.9</v>
      </c>
      <c r="E14" s="3" t="n">
        <v>7</v>
      </c>
      <c r="F14" s="3" t="n">
        <v>7.2</v>
      </c>
      <c r="G14" s="3" t="n">
        <v>7.4</v>
      </c>
      <c r="H14" s="3" t="n">
        <v>7.5</v>
      </c>
      <c r="I14" s="3" t="n">
        <v>7.5</v>
      </c>
      <c r="J14" s="3" t="n">
        <v>7.5</v>
      </c>
      <c r="K14" s="3" t="n">
        <v>7.5</v>
      </c>
      <c r="L14" s="3" t="n">
        <v>7.5</v>
      </c>
    </row>
    <row r="15" customFormat="false" ht="15" hidden="false" customHeight="false" outlineLevel="0" collapsed="false">
      <c r="A15" s="0" t="s">
        <v>97</v>
      </c>
      <c r="C15" s="3" t="n">
        <v>0.29</v>
      </c>
      <c r="D15" s="3" t="n">
        <v>0.29</v>
      </c>
      <c r="E15" s="3" t="n">
        <v>0.29</v>
      </c>
      <c r="F15" s="3" t="n">
        <v>0.29</v>
      </c>
      <c r="G15" s="3" t="n">
        <v>0.29</v>
      </c>
      <c r="H15" s="3" t="n">
        <v>0.29</v>
      </c>
      <c r="I15" s="3" t="n">
        <v>0.29</v>
      </c>
      <c r="J15" s="3" t="n">
        <v>0.29</v>
      </c>
      <c r="K15" s="3" t="n">
        <v>0.29</v>
      </c>
      <c r="L15" s="3" t="n">
        <v>0.29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2.4</v>
      </c>
      <c r="D17" s="3" t="n">
        <v>2.4</v>
      </c>
      <c r="E17" s="3" t="n">
        <v>2.5</v>
      </c>
      <c r="F17" s="3" t="n">
        <v>2.5</v>
      </c>
      <c r="G17" s="3" t="n">
        <v>2.6</v>
      </c>
      <c r="H17" s="3" t="n">
        <v>2.6</v>
      </c>
      <c r="I17" s="3" t="n">
        <v>2.6</v>
      </c>
      <c r="J17" s="3" t="n">
        <v>2.6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100</v>
      </c>
      <c r="C18" s="3" t="n">
        <v>5.6</v>
      </c>
      <c r="D18" s="3" t="n">
        <v>5.5</v>
      </c>
      <c r="E18" s="3" t="n">
        <v>5.2</v>
      </c>
      <c r="F18" s="3" t="n">
        <v>4.5</v>
      </c>
      <c r="G18" s="3" t="n">
        <v>4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101</v>
      </c>
      <c r="C19" s="3" t="n">
        <v>37</v>
      </c>
      <c r="D19" s="3" t="n">
        <v>36</v>
      </c>
      <c r="E19" s="3" t="n">
        <v>34</v>
      </c>
      <c r="F19" s="3" t="n">
        <v>32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0</v>
      </c>
      <c r="D27" s="3" t="n">
        <v>1</v>
      </c>
      <c r="E27" s="3" t="n">
        <v>1.5</v>
      </c>
      <c r="F27" s="3" t="n">
        <v>1.5</v>
      </c>
      <c r="G27" s="3" t="n">
        <v>1.5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96</v>
      </c>
      <c r="C28" s="3" t="n">
        <v>7.3</v>
      </c>
      <c r="D28" s="3" t="n">
        <v>7.5</v>
      </c>
      <c r="E28" s="3" t="n">
        <v>8</v>
      </c>
      <c r="F28" s="3" t="n">
        <v>8.4</v>
      </c>
      <c r="G28" s="3" t="n">
        <v>8.7</v>
      </c>
      <c r="H28" s="3" t="n">
        <v>8.8</v>
      </c>
      <c r="I28" s="3" t="n">
        <v>8.9</v>
      </c>
      <c r="J28" s="3" t="n">
        <v>8.9</v>
      </c>
      <c r="K28" s="3" t="n">
        <v>8.9</v>
      </c>
      <c r="L28" s="3" t="n">
        <v>8.9</v>
      </c>
    </row>
    <row r="29" customFormat="false" ht="15" hidden="false" customHeight="false" outlineLevel="0" collapsed="false">
      <c r="A29" s="0" t="s">
        <v>97</v>
      </c>
      <c r="C29" s="3" t="n">
        <v>0.29</v>
      </c>
      <c r="D29" s="3" t="n">
        <v>0.29</v>
      </c>
      <c r="E29" s="3" t="n">
        <v>0.28</v>
      </c>
      <c r="F29" s="3" t="n">
        <v>0.28</v>
      </c>
      <c r="G29" s="3" t="n">
        <v>0.27</v>
      </c>
      <c r="H29" s="3" t="n">
        <v>0.27</v>
      </c>
      <c r="I29" s="3" t="n">
        <v>0.26</v>
      </c>
      <c r="J29" s="3" t="n">
        <v>0.26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2.4</v>
      </c>
      <c r="D31" s="3" t="n">
        <v>2.4</v>
      </c>
      <c r="E31" s="3" t="n">
        <v>2.4</v>
      </c>
      <c r="F31" s="3" t="n">
        <v>2.5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100</v>
      </c>
      <c r="C32" s="3" t="n">
        <v>5.6</v>
      </c>
      <c r="D32" s="3" t="n">
        <v>5.5</v>
      </c>
      <c r="E32" s="3" t="n">
        <v>5</v>
      </c>
      <c r="F32" s="3" t="n">
        <v>4</v>
      </c>
      <c r="G32" s="3" t="n">
        <v>3.5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101</v>
      </c>
      <c r="C33" s="3" t="n">
        <v>36</v>
      </c>
      <c r="D33" s="3" t="n">
        <v>34</v>
      </c>
      <c r="E33" s="3" t="n">
        <v>32</v>
      </c>
      <c r="F33" s="3" t="n">
        <v>29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14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0.5</v>
      </c>
      <c r="D41" s="3" t="n">
        <v>2</v>
      </c>
      <c r="E41" s="3" t="n">
        <v>2</v>
      </c>
      <c r="F41" s="3" t="n">
        <v>2</v>
      </c>
      <c r="G41" s="3" t="n">
        <v>2</v>
      </c>
      <c r="H41" s="3" t="n">
        <v>2.5</v>
      </c>
      <c r="I41" s="3" t="n">
        <v>2.5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96</v>
      </c>
      <c r="C42" s="3" t="n">
        <v>7.5</v>
      </c>
      <c r="D42" s="3" t="n">
        <v>8</v>
      </c>
      <c r="E42" s="3" t="n">
        <v>8.5</v>
      </c>
      <c r="F42" s="3" t="n">
        <v>9.2</v>
      </c>
      <c r="G42" s="3" t="n">
        <v>9.7</v>
      </c>
      <c r="H42" s="3" t="n">
        <v>9.9</v>
      </c>
      <c r="I42" s="3" t="n">
        <v>10</v>
      </c>
      <c r="J42" s="3" t="n">
        <v>10</v>
      </c>
      <c r="K42" s="3" t="n">
        <v>10</v>
      </c>
      <c r="L42" s="3" t="n">
        <v>10</v>
      </c>
    </row>
    <row r="43" customFormat="false" ht="15" hidden="false" customHeight="false" outlineLevel="0" collapsed="false">
      <c r="A43" s="0" t="s">
        <v>97</v>
      </c>
      <c r="C43" s="3" t="n">
        <v>0.29</v>
      </c>
      <c r="D43" s="3" t="n">
        <v>0.29</v>
      </c>
      <c r="E43" s="3" t="n">
        <v>0.28</v>
      </c>
      <c r="F43" s="3" t="n">
        <v>0.28</v>
      </c>
      <c r="G43" s="3" t="n">
        <v>0.27</v>
      </c>
      <c r="H43" s="3" t="n">
        <v>0.27</v>
      </c>
      <c r="I43" s="3" t="n">
        <v>0.26</v>
      </c>
      <c r="J43" s="3" t="n">
        <v>0.26</v>
      </c>
      <c r="K43" s="3" t="n">
        <v>0.25</v>
      </c>
      <c r="L43" s="3" t="n">
        <v>0.25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2.4</v>
      </c>
      <c r="D45" s="3" t="n">
        <v>2.4</v>
      </c>
      <c r="E45" s="3" t="n">
        <v>2.4</v>
      </c>
      <c r="F45" s="3" t="n">
        <v>2.5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100</v>
      </c>
      <c r="C46" s="3" t="n">
        <v>5.6</v>
      </c>
      <c r="D46" s="3" t="n">
        <v>5.5</v>
      </c>
      <c r="E46" s="3" t="n">
        <v>5</v>
      </c>
      <c r="F46" s="3" t="n">
        <v>4</v>
      </c>
      <c r="G46" s="3" t="n">
        <v>3.5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101</v>
      </c>
      <c r="C47" s="3" t="n">
        <v>35</v>
      </c>
      <c r="D47" s="3" t="n">
        <v>33</v>
      </c>
      <c r="E47" s="3" t="n">
        <v>30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2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0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19492</v>
      </c>
      <c r="C6" s="0" t="n">
        <f aca="false">B6*(1+C5/100)</f>
        <v>19492</v>
      </c>
      <c r="D6" s="0" t="n">
        <f aca="false">C6*(1+D5/100)</f>
        <v>19492</v>
      </c>
      <c r="E6" s="0" t="n">
        <f aca="false">D6*(1+E5/100)</f>
        <v>19686.92</v>
      </c>
      <c r="F6" s="0" t="n">
        <f aca="false">E6*(1+F5/100)</f>
        <v>19883.7892</v>
      </c>
      <c r="G6" s="0" t="n">
        <f aca="false">F6*(1+G5/100)</f>
        <v>20182.046038</v>
      </c>
      <c r="H6" s="0" t="n">
        <f aca="false">G6*(1+H5/100)</f>
        <v>20484.77672857</v>
      </c>
      <c r="I6" s="0" t="n">
        <f aca="false">H6*(1+I5/100)</f>
        <v>20792.0483794986</v>
      </c>
      <c r="J6" s="0" t="n">
        <f aca="false">I6*(1+J5/100)</f>
        <v>21103.929105191</v>
      </c>
      <c r="K6" s="0" t="n">
        <f aca="false">J6*(1+K5/100)</f>
        <v>21420.4880417689</v>
      </c>
      <c r="L6" s="0" t="n">
        <f aca="false">K6*(1+L5/100)</f>
        <v>21741.7953623954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7.1</v>
      </c>
      <c r="D7" s="4" t="n">
        <f aca="false">Assumptions!D14</f>
        <v>6.9</v>
      </c>
      <c r="E7" s="4" t="n">
        <f aca="false">Assumptions!E14</f>
        <v>7</v>
      </c>
      <c r="F7" s="4" t="n">
        <f aca="false">Assumptions!F14</f>
        <v>7.2</v>
      </c>
      <c r="G7" s="4" t="n">
        <f aca="false">Assumptions!G14</f>
        <v>7.4</v>
      </c>
      <c r="H7" s="4" t="n">
        <f aca="false">Assumptions!H14</f>
        <v>7.5</v>
      </c>
      <c r="I7" s="4" t="n">
        <f aca="false">Assumptions!I14</f>
        <v>7.5</v>
      </c>
      <c r="J7" s="4" t="n">
        <f aca="false">Assumptions!J14</f>
        <v>7.5</v>
      </c>
      <c r="K7" s="4" t="n">
        <f aca="false">Assumptions!K14</f>
        <v>7.5</v>
      </c>
      <c r="L7" s="4" t="n">
        <f aca="false">Assumptions!L14</f>
        <v>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1383.932</v>
      </c>
      <c r="D8" s="0" t="n">
        <f aca="false">D6*D7/100</f>
        <v>1344.948</v>
      </c>
      <c r="E8" s="0" t="n">
        <f aca="false">E6*E7/100</f>
        <v>1378.0844</v>
      </c>
      <c r="F8" s="0" t="n">
        <f aca="false">F6*F7/100</f>
        <v>1431.6328224</v>
      </c>
      <c r="G8" s="0" t="n">
        <f aca="false">G6*G7/100</f>
        <v>1493.471406812</v>
      </c>
      <c r="H8" s="0" t="n">
        <f aca="false">H6*H7/100</f>
        <v>1536.35825464275</v>
      </c>
      <c r="I8" s="0" t="n">
        <f aca="false">I6*I7/100</f>
        <v>1559.40362846239</v>
      </c>
      <c r="J8" s="0" t="n">
        <f aca="false">J6*J7/100</f>
        <v>1582.79468288933</v>
      </c>
      <c r="K8" s="0" t="n">
        <f aca="false">K6*K7/100</f>
        <v>1606.53660313267</v>
      </c>
      <c r="L8" s="0" t="n">
        <f aca="false">L6*L7/100</f>
        <v>1630.63465217966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0.29</v>
      </c>
      <c r="D9" s="4" t="n">
        <f aca="false">Assumptions!D15</f>
        <v>0.29</v>
      </c>
      <c r="E9" s="4" t="n">
        <f aca="false">Assumptions!E15</f>
        <v>0.29</v>
      </c>
      <c r="F9" s="4" t="n">
        <f aca="false">Assumptions!F15</f>
        <v>0.29</v>
      </c>
      <c r="G9" s="4" t="n">
        <f aca="false">Assumptions!G15</f>
        <v>0.29</v>
      </c>
      <c r="H9" s="4" t="n">
        <f aca="false">Assumptions!H15</f>
        <v>0.29</v>
      </c>
      <c r="I9" s="4" t="n">
        <f aca="false">Assumptions!I15</f>
        <v>0.29</v>
      </c>
      <c r="J9" s="4" t="n">
        <f aca="false">Assumptions!J15</f>
        <v>0.29</v>
      </c>
      <c r="K9" s="4" t="n">
        <f aca="false">Assumptions!K15</f>
        <v>0.29</v>
      </c>
      <c r="L9" s="4" t="n">
        <f aca="false">Assumptions!L15</f>
        <v>0.29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-56.5268</v>
      </c>
      <c r="D10" s="0" t="n">
        <f aca="false">-D6*D9/100</f>
        <v>-56.5268</v>
      </c>
      <c r="E10" s="0" t="n">
        <f aca="false">-E6*E9/100</f>
        <v>-57.092068</v>
      </c>
      <c r="F10" s="0" t="n">
        <f aca="false">-F6*F9/100</f>
        <v>-57.66298868</v>
      </c>
      <c r="G10" s="0" t="n">
        <f aca="false">-G6*G9/100</f>
        <v>-58.5279335102</v>
      </c>
      <c r="H10" s="0" t="n">
        <f aca="false">-H6*H9/100</f>
        <v>-59.405852512853</v>
      </c>
      <c r="I10" s="0" t="n">
        <f aca="false">-I6*I9/100</f>
        <v>-60.2969403005458</v>
      </c>
      <c r="J10" s="0" t="n">
        <f aca="false">-J6*J9/100</f>
        <v>-61.201394405054</v>
      </c>
      <c r="K10" s="0" t="n">
        <f aca="false">-K6*K9/100</f>
        <v>-62.1194153211298</v>
      </c>
      <c r="L10" s="0" t="n">
        <f aca="false">-L6*L9/100</f>
        <v>-63.0512065509467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1327.4052</v>
      </c>
      <c r="D11" s="0" t="n">
        <f aca="false">D8+D10+D24</f>
        <v>1288.4212</v>
      </c>
      <c r="E11" s="0" t="n">
        <f aca="false">E8+E10+E24</f>
        <v>1320.992332</v>
      </c>
      <c r="F11" s="0" t="n">
        <f aca="false">F8+F10+F24</f>
        <v>1373.96983372</v>
      </c>
      <c r="G11" s="0" t="n">
        <f aca="false">G8+G10+G24</f>
        <v>1434.9434733018</v>
      </c>
      <c r="H11" s="0" t="n">
        <f aca="false">H8+H10+H24</f>
        <v>1476.9524021299</v>
      </c>
      <c r="I11" s="0" t="n">
        <f aca="false">I8+I10+I24</f>
        <v>1499.10668816185</v>
      </c>
      <c r="J11" s="0" t="n">
        <f aca="false">J8+J10+J24</f>
        <v>1521.59328848427</v>
      </c>
      <c r="K11" s="0" t="n">
        <f aca="false">K8+K10+K24</f>
        <v>1544.41718781154</v>
      </c>
      <c r="L11" s="0" t="n">
        <f aca="false">L8+L10+L24</f>
        <v>1567.58344562871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-467.808</v>
      </c>
      <c r="D12" s="4" t="n">
        <f aca="false">-D6*Assumptions!D17/100</f>
        <v>-467.808</v>
      </c>
      <c r="E12" s="4" t="n">
        <f aca="false">-E6*Assumptions!E17/100</f>
        <v>-492.173</v>
      </c>
      <c r="F12" s="4" t="n">
        <f aca="false">-F6*Assumptions!F17/100</f>
        <v>-497.09473</v>
      </c>
      <c r="G12" s="4" t="n">
        <f aca="false">-G6*Assumptions!G17/100</f>
        <v>-524.733196988</v>
      </c>
      <c r="H12" s="4" t="n">
        <f aca="false">-H6*Assumptions!H17/100</f>
        <v>-532.60419494282</v>
      </c>
      <c r="I12" s="4" t="n">
        <f aca="false">-I6*Assumptions!I17/100</f>
        <v>-540.593257866962</v>
      </c>
      <c r="J12" s="4" t="n">
        <f aca="false">-J6*Assumptions!J17/100</f>
        <v>-548.702156734967</v>
      </c>
      <c r="K12" s="4" t="n">
        <f aca="false">-K6*Assumptions!K17/100</f>
        <v>-556.932689085991</v>
      </c>
      <c r="L12" s="4" t="n">
        <f aca="false">-L6*Assumptions!L17/100</f>
        <v>-565.286679422281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859.5972</v>
      </c>
      <c r="D13" s="0" t="n">
        <f aca="false">D11+D12</f>
        <v>820.6132</v>
      </c>
      <c r="E13" s="0" t="n">
        <f aca="false">E11+E12</f>
        <v>828.819332</v>
      </c>
      <c r="F13" s="0" t="n">
        <f aca="false">F11+F12</f>
        <v>876.87510372</v>
      </c>
      <c r="G13" s="0" t="n">
        <f aca="false">G11+G12</f>
        <v>910.2102763138</v>
      </c>
      <c r="H13" s="0" t="n">
        <f aca="false">H11+H12</f>
        <v>944.348207187077</v>
      </c>
      <c r="I13" s="0" t="n">
        <f aca="false">I11+I12</f>
        <v>958.513430294883</v>
      </c>
      <c r="J13" s="0" t="n">
        <f aca="false">J11+J12</f>
        <v>972.891131749306</v>
      </c>
      <c r="K13" s="0" t="n">
        <f aca="false">K11+K12</f>
        <v>987.484498725546</v>
      </c>
      <c r="L13" s="0" t="n">
        <f aca="false">L11+L12</f>
        <v>1002.29676620643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37</v>
      </c>
      <c r="D14" s="4" t="n">
        <f aca="false">Assumptions!D19</f>
        <v>36</v>
      </c>
      <c r="E14" s="4" t="n">
        <f aca="false">Assumptions!E19</f>
        <v>34</v>
      </c>
      <c r="F14" s="4" t="n">
        <f aca="false">Assumptions!F19</f>
        <v>32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541.546236</v>
      </c>
      <c r="D15" s="0" t="n">
        <f aca="false">D13-MAX(0,D13)*D14/100</f>
        <v>525.192448</v>
      </c>
      <c r="E15" s="0" t="n">
        <f aca="false">E13-MAX(0,E13)*E14/100</f>
        <v>547.02075912</v>
      </c>
      <c r="F15" s="0" t="n">
        <f aca="false">F13-MAX(0,F13)*F14/100</f>
        <v>596.2750705296</v>
      </c>
      <c r="G15" s="0" t="n">
        <f aca="false">G13-MAX(0,G13)*G14/100</f>
        <v>637.14719341966</v>
      </c>
      <c r="H15" s="0" t="n">
        <f aca="false">H13-MAX(0,H13)*H14/100</f>
        <v>661.043745030954</v>
      </c>
      <c r="I15" s="0" t="n">
        <f aca="false">I13-MAX(0,I13)*I14/100</f>
        <v>670.959401206418</v>
      </c>
      <c r="J15" s="0" t="n">
        <f aca="false">J13-MAX(0,J13)*J14/100</f>
        <v>681.023792224514</v>
      </c>
      <c r="K15" s="0" t="n">
        <f aca="false">K13-MAX(0,K13)*K14/100</f>
        <v>691.239149107882</v>
      </c>
      <c r="L15" s="0" t="n">
        <f aca="false">L13-MAX(0,L13)*L14/100</f>
        <v>701.6077363445</v>
      </c>
    </row>
    <row r="16" customFormat="false" ht="15" hidden="false" customHeight="false" outlineLevel="0" collapsed="false">
      <c r="A16" s="0" t="s">
        <v>117</v>
      </c>
      <c r="C16" s="0" t="n">
        <f aca="false">-C12</f>
        <v>467.808</v>
      </c>
      <c r="D16" s="0" t="n">
        <f aca="false">-D12</f>
        <v>467.808</v>
      </c>
      <c r="E16" s="0" t="n">
        <f aca="false">-E12</f>
        <v>492.173</v>
      </c>
      <c r="F16" s="0" t="n">
        <f aca="false">-F12</f>
        <v>497.09473</v>
      </c>
      <c r="G16" s="0" t="n">
        <f aca="false">-G12</f>
        <v>524.733196988</v>
      </c>
      <c r="H16" s="0" t="n">
        <f aca="false">-H12</f>
        <v>532.60419494282</v>
      </c>
      <c r="I16" s="0" t="n">
        <f aca="false">-I12</f>
        <v>540.593257866962</v>
      </c>
      <c r="J16" s="0" t="n">
        <f aca="false">-J12</f>
        <v>548.702156734967</v>
      </c>
      <c r="K16" s="0" t="n">
        <f aca="false">-K12</f>
        <v>556.932689085991</v>
      </c>
      <c r="L16" s="0" t="n">
        <f aca="false">-L12</f>
        <v>565.286679422281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-1091.552</v>
      </c>
      <c r="D17" s="4" t="n">
        <f aca="false">-D6*Assumptions!D18/100</f>
        <v>-1072.06</v>
      </c>
      <c r="E17" s="4" t="n">
        <f aca="false">-E6*Assumptions!E18/100</f>
        <v>-1023.71984</v>
      </c>
      <c r="F17" s="4" t="n">
        <f aca="false">-F6*Assumptions!F18/100</f>
        <v>-894.770514</v>
      </c>
      <c r="G17" s="4" t="n">
        <f aca="false">-G6*Assumptions!G18/100</f>
        <v>-807.28184152</v>
      </c>
      <c r="H17" s="4" t="n">
        <f aca="false">-H6*Assumptions!H18/100</f>
        <v>-716.96718549995</v>
      </c>
      <c r="I17" s="4" t="n">
        <f aca="false">-I6*Assumptions!I18/100</f>
        <v>-727.721693282449</v>
      </c>
      <c r="J17" s="4" t="n">
        <f aca="false">-J6*Assumptions!J18/100</f>
        <v>-738.637518681686</v>
      </c>
      <c r="K17" s="4" t="n">
        <f aca="false">-K6*Assumptions!K18/100</f>
        <v>-749.717081461911</v>
      </c>
      <c r="L17" s="4" t="n">
        <f aca="false">-L6*Assumptions!L18/100</f>
        <v>-760.96283768384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-82.197764</v>
      </c>
      <c r="D19" s="0" t="n">
        <f aca="false">D15+D16+D17+D18</f>
        <v>-79.0595519999999</v>
      </c>
      <c r="E19" s="0" t="n">
        <f aca="false">E15+E16+E17+E18</f>
        <v>15.47391912</v>
      </c>
      <c r="F19" s="0" t="n">
        <f aca="false">F15+F16+F17+F18</f>
        <v>198.5992865296</v>
      </c>
      <c r="G19" s="0" t="n">
        <f aca="false">G15+G16+G17+G18</f>
        <v>354.59854888766</v>
      </c>
      <c r="H19" s="0" t="n">
        <f aca="false">H15+H16+H17+H18</f>
        <v>476.680754473824</v>
      </c>
      <c r="I19" s="0" t="n">
        <f aca="false">I15+I16+I17+I18</f>
        <v>483.830965790931</v>
      </c>
      <c r="J19" s="0" t="n">
        <f aca="false">J15+J16+J17+J18</f>
        <v>491.088430277795</v>
      </c>
      <c r="K19" s="0" t="n">
        <f aca="false">K15+K16+K17+K18</f>
        <v>498.454756731962</v>
      </c>
      <c r="L19" s="0" t="n">
        <f aca="false">L15+L16+L17+L18</f>
        <v>505.931578082941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-75.7583078341014</v>
      </c>
      <c r="D21" s="0" t="n">
        <f aca="false">D19*D20</f>
        <v>-67.1575544182293</v>
      </c>
      <c r="E21" s="0" t="n">
        <f aca="false">E19*E20</f>
        <v>12.1146565935101</v>
      </c>
      <c r="F21" s="0" t="n">
        <f aca="false">F19*F20</f>
        <v>143.304138033722</v>
      </c>
      <c r="G21" s="0" t="n">
        <f aca="false">G19*G20</f>
        <v>235.824142042459</v>
      </c>
      <c r="H21" s="0" t="n">
        <f aca="false">H19*H20</f>
        <v>292.179128232714</v>
      </c>
      <c r="I21" s="0" t="n">
        <f aca="false">I19*I20</f>
        <v>273.32886189512</v>
      </c>
      <c r="J21" s="0" t="n">
        <f aca="false">J19*J20</f>
        <v>255.694741772854</v>
      </c>
      <c r="K21" s="0" t="n">
        <f aca="false">K19*K20</f>
        <v>239.198306819767</v>
      </c>
      <c r="L21" s="0" t="n">
        <f aca="false">L19*L20</f>
        <v>223.766157992685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1532.4942711305</v>
      </c>
    </row>
    <row r="31" customFormat="false" ht="15" hidden="false" customHeight="false" outlineLevel="0" collapsed="false">
      <c r="A31" s="0" t="s">
        <v>126</v>
      </c>
      <c r="B31" s="0" t="n">
        <f aca="false">L19</f>
        <v>505.931578082941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7939.23399453231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6071.1789369953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6071.1789369953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2685.19389591222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4217.68816704273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4428.68816704273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95.322603681505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-0.353087182344723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385.383155013954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437.605563678796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113.036523584492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3969.61699726616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46.8414680987112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0</v>
      </c>
      <c r="D5" s="4" t="n">
        <f aca="false">Assumptions!D27</f>
        <v>1</v>
      </c>
      <c r="E5" s="4" t="n">
        <f aca="false">Assumptions!E27</f>
        <v>1.5</v>
      </c>
      <c r="F5" s="4" t="n">
        <f aca="false">Assumptions!F27</f>
        <v>1.5</v>
      </c>
      <c r="G5" s="4" t="n">
        <f aca="false">Assumptions!G27</f>
        <v>1.5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19492</v>
      </c>
      <c r="C6" s="0" t="n">
        <f aca="false">B6*(1+C5/100)</f>
        <v>19492</v>
      </c>
      <c r="D6" s="0" t="n">
        <f aca="false">C6*(1+D5/100)</f>
        <v>19686.92</v>
      </c>
      <c r="E6" s="0" t="n">
        <f aca="false">D6*(1+E5/100)</f>
        <v>19982.2238</v>
      </c>
      <c r="F6" s="0" t="n">
        <f aca="false">E6*(1+F5/100)</f>
        <v>20281.957157</v>
      </c>
      <c r="G6" s="0" t="n">
        <f aca="false">F6*(1+G5/100)</f>
        <v>20586.186514355</v>
      </c>
      <c r="H6" s="0" t="n">
        <f aca="false">G6*(1+H5/100)</f>
        <v>20997.9102446421</v>
      </c>
      <c r="I6" s="0" t="n">
        <f aca="false">H6*(1+I5/100)</f>
        <v>21417.8684495349</v>
      </c>
      <c r="J6" s="0" t="n">
        <f aca="false">I6*(1+J5/100)</f>
        <v>21846.2258185256</v>
      </c>
      <c r="K6" s="0" t="n">
        <f aca="false">J6*(1+K5/100)</f>
        <v>22283.1503348962</v>
      </c>
      <c r="L6" s="0" t="n">
        <f aca="false">K6*(1+L5/100)</f>
        <v>22728.8133415941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7.3</v>
      </c>
      <c r="D7" s="4" t="n">
        <f aca="false">Assumptions!D28</f>
        <v>7.5</v>
      </c>
      <c r="E7" s="4" t="n">
        <f aca="false">Assumptions!E28</f>
        <v>8</v>
      </c>
      <c r="F7" s="4" t="n">
        <f aca="false">Assumptions!F28</f>
        <v>8.4</v>
      </c>
      <c r="G7" s="4" t="n">
        <f aca="false">Assumptions!G28</f>
        <v>8.7</v>
      </c>
      <c r="H7" s="4" t="n">
        <f aca="false">Assumptions!H28</f>
        <v>8.8</v>
      </c>
      <c r="I7" s="4" t="n">
        <f aca="false">Assumptions!I28</f>
        <v>8.9</v>
      </c>
      <c r="J7" s="4" t="n">
        <f aca="false">Assumptions!J28</f>
        <v>8.9</v>
      </c>
      <c r="K7" s="4" t="n">
        <f aca="false">Assumptions!K28</f>
        <v>8.9</v>
      </c>
      <c r="L7" s="4" t="n">
        <f aca="false">Assumptions!L28</f>
        <v>8.9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1422.916</v>
      </c>
      <c r="D8" s="0" t="n">
        <f aca="false">D6*D7/100</f>
        <v>1476.519</v>
      </c>
      <c r="E8" s="0" t="n">
        <f aca="false">E6*E7/100</f>
        <v>1598.577904</v>
      </c>
      <c r="F8" s="0" t="n">
        <f aca="false">F6*F7/100</f>
        <v>1703.684401188</v>
      </c>
      <c r="G8" s="0" t="n">
        <f aca="false">G6*G7/100</f>
        <v>1790.99822674888</v>
      </c>
      <c r="H8" s="0" t="n">
        <f aca="false">H6*H7/100</f>
        <v>1847.8161015285</v>
      </c>
      <c r="I8" s="0" t="n">
        <f aca="false">I6*I7/100</f>
        <v>1906.19029200861</v>
      </c>
      <c r="J8" s="0" t="n">
        <f aca="false">J6*J7/100</f>
        <v>1944.31409784878</v>
      </c>
      <c r="K8" s="0" t="n">
        <f aca="false">K6*K7/100</f>
        <v>1983.20037980576</v>
      </c>
      <c r="L8" s="0" t="n">
        <f aca="false">L6*L7/100</f>
        <v>2022.86438740187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0.29</v>
      </c>
      <c r="D9" s="4" t="n">
        <f aca="false">Assumptions!D29</f>
        <v>0.29</v>
      </c>
      <c r="E9" s="4" t="n">
        <f aca="false">Assumptions!E29</f>
        <v>0.28</v>
      </c>
      <c r="F9" s="4" t="n">
        <f aca="false">Assumptions!F29</f>
        <v>0.28</v>
      </c>
      <c r="G9" s="4" t="n">
        <f aca="false">Assumptions!G29</f>
        <v>0.27</v>
      </c>
      <c r="H9" s="4" t="n">
        <f aca="false">Assumptions!H29</f>
        <v>0.27</v>
      </c>
      <c r="I9" s="4" t="n">
        <f aca="false">Assumptions!I29</f>
        <v>0.26</v>
      </c>
      <c r="J9" s="4" t="n">
        <f aca="false">Assumptions!J29</f>
        <v>0.26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-56.5268</v>
      </c>
      <c r="D10" s="0" t="n">
        <f aca="false">-D6*D9/100</f>
        <v>-57.092068</v>
      </c>
      <c r="E10" s="0" t="n">
        <f aca="false">-E6*E9/100</f>
        <v>-55.95022664</v>
      </c>
      <c r="F10" s="0" t="n">
        <f aca="false">-F6*F9/100</f>
        <v>-56.7894800396</v>
      </c>
      <c r="G10" s="0" t="n">
        <f aca="false">-G6*G9/100</f>
        <v>-55.5827035887585</v>
      </c>
      <c r="H10" s="0" t="n">
        <f aca="false">-H6*H9/100</f>
        <v>-56.6943576605337</v>
      </c>
      <c r="I10" s="0" t="n">
        <f aca="false">-I6*I9/100</f>
        <v>-55.6864579687908</v>
      </c>
      <c r="J10" s="0" t="n">
        <f aca="false">-J6*J9/100</f>
        <v>-56.8001871281667</v>
      </c>
      <c r="K10" s="0" t="n">
        <f aca="false">-K6*K9/100</f>
        <v>-55.7078758372404</v>
      </c>
      <c r="L10" s="0" t="n">
        <f aca="false">-L6*L9/100</f>
        <v>-56.8220333539852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1366.3892</v>
      </c>
      <c r="D11" s="0" t="n">
        <f aca="false">D8+D10+D24</f>
        <v>1419.426932</v>
      </c>
      <c r="E11" s="0" t="n">
        <f aca="false">E8+E10+E24</f>
        <v>1542.62767736</v>
      </c>
      <c r="F11" s="0" t="n">
        <f aca="false">F8+F10+F24</f>
        <v>1646.8949211484</v>
      </c>
      <c r="G11" s="0" t="n">
        <f aca="false">G8+G10+G24</f>
        <v>1735.41552316013</v>
      </c>
      <c r="H11" s="0" t="n">
        <f aca="false">H8+H10+H24</f>
        <v>1791.12174386797</v>
      </c>
      <c r="I11" s="0" t="n">
        <f aca="false">I8+I10+I24</f>
        <v>1850.50383403982</v>
      </c>
      <c r="J11" s="0" t="n">
        <f aca="false">J8+J10+J24</f>
        <v>1887.51391072062</v>
      </c>
      <c r="K11" s="0" t="n">
        <f aca="false">K8+K10+K24</f>
        <v>1927.49250396852</v>
      </c>
      <c r="L11" s="0" t="n">
        <f aca="false">L8+L10+L24</f>
        <v>1966.04235404789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-467.808</v>
      </c>
      <c r="D12" s="4" t="n">
        <f aca="false">-D6*Assumptions!D31/100</f>
        <v>-472.48608</v>
      </c>
      <c r="E12" s="4" t="n">
        <f aca="false">-E6*Assumptions!E31/100</f>
        <v>-479.5733712</v>
      </c>
      <c r="F12" s="4" t="n">
        <f aca="false">-F6*Assumptions!F31/100</f>
        <v>-507.048928925</v>
      </c>
      <c r="G12" s="4" t="n">
        <f aca="false">-G6*Assumptions!G31/100</f>
        <v>-514.654662858875</v>
      </c>
      <c r="H12" s="4" t="n">
        <f aca="false">-H6*Assumptions!H31/100</f>
        <v>-524.947756116052</v>
      </c>
      <c r="I12" s="4" t="n">
        <f aca="false">-I6*Assumptions!I31/100</f>
        <v>-535.446711238373</v>
      </c>
      <c r="J12" s="4" t="n">
        <f aca="false">-J6*Assumptions!J31/100</f>
        <v>-546.155645463141</v>
      </c>
      <c r="K12" s="4" t="n">
        <f aca="false">-K6*Assumptions!K31/100</f>
        <v>-557.078758372404</v>
      </c>
      <c r="L12" s="4" t="n">
        <f aca="false">-L6*Assumptions!L31/100</f>
        <v>-568.220333539852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898.5812</v>
      </c>
      <c r="D13" s="0" t="n">
        <f aca="false">D11+D12</f>
        <v>946.940852</v>
      </c>
      <c r="E13" s="0" t="n">
        <f aca="false">E11+E12</f>
        <v>1063.05430616</v>
      </c>
      <c r="F13" s="0" t="n">
        <f aca="false">F11+F12</f>
        <v>1139.8459922234</v>
      </c>
      <c r="G13" s="0" t="n">
        <f aca="false">G11+G12</f>
        <v>1220.76086030125</v>
      </c>
      <c r="H13" s="0" t="n">
        <f aca="false">H11+H12</f>
        <v>1266.17398775192</v>
      </c>
      <c r="I13" s="0" t="n">
        <f aca="false">I11+I12</f>
        <v>1315.05712280145</v>
      </c>
      <c r="J13" s="0" t="n">
        <f aca="false">J11+J12</f>
        <v>1341.35826525747</v>
      </c>
      <c r="K13" s="0" t="n">
        <f aca="false">K11+K12</f>
        <v>1370.41374559611</v>
      </c>
      <c r="L13" s="0" t="n">
        <f aca="false">L11+L12</f>
        <v>1397.82202050804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36</v>
      </c>
      <c r="D14" s="4" t="n">
        <f aca="false">Assumptions!D33</f>
        <v>34</v>
      </c>
      <c r="E14" s="4" t="n">
        <f aca="false">Assumptions!E33</f>
        <v>32</v>
      </c>
      <c r="F14" s="4" t="n">
        <f aca="false">Assumptions!F33</f>
        <v>29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575.091968</v>
      </c>
      <c r="D15" s="0" t="n">
        <f aca="false">D13-MAX(0,D13)*D14/100</f>
        <v>624.98096232</v>
      </c>
      <c r="E15" s="0" t="n">
        <f aca="false">E13-MAX(0,E13)*E14/100</f>
        <v>722.8769281888</v>
      </c>
      <c r="F15" s="0" t="n">
        <f aca="false">F13-MAX(0,F13)*F14/100</f>
        <v>809.290654478614</v>
      </c>
      <c r="G15" s="0" t="n">
        <f aca="false">G13-MAX(0,G13)*G14/100</f>
        <v>878.947819416901</v>
      </c>
      <c r="H15" s="0" t="n">
        <f aca="false">H13-MAX(0,H13)*H14/100</f>
        <v>911.645271181381</v>
      </c>
      <c r="I15" s="0" t="n">
        <f aca="false">I13-MAX(0,I13)*I14/100</f>
        <v>946.841128417041</v>
      </c>
      <c r="J15" s="0" t="n">
        <f aca="false">J13-MAX(0,J13)*J14/100</f>
        <v>965.777950985381</v>
      </c>
      <c r="K15" s="0" t="n">
        <f aca="false">K13-MAX(0,K13)*K14/100</f>
        <v>986.697896829202</v>
      </c>
      <c r="L15" s="0" t="n">
        <f aca="false">L13-MAX(0,L13)*L14/100</f>
        <v>1006.43185476579</v>
      </c>
    </row>
    <row r="16" customFormat="false" ht="15" hidden="false" customHeight="false" outlineLevel="0" collapsed="false">
      <c r="A16" s="0" t="s">
        <v>117</v>
      </c>
      <c r="C16" s="0" t="n">
        <f aca="false">-C12</f>
        <v>467.808</v>
      </c>
      <c r="D16" s="0" t="n">
        <f aca="false">-D12</f>
        <v>472.48608</v>
      </c>
      <c r="E16" s="0" t="n">
        <f aca="false">-E12</f>
        <v>479.5733712</v>
      </c>
      <c r="F16" s="0" t="n">
        <f aca="false">-F12</f>
        <v>507.048928925</v>
      </c>
      <c r="G16" s="0" t="n">
        <f aca="false">-G12</f>
        <v>514.654662858875</v>
      </c>
      <c r="H16" s="0" t="n">
        <f aca="false">-H12</f>
        <v>524.947756116052</v>
      </c>
      <c r="I16" s="0" t="n">
        <f aca="false">-I12</f>
        <v>535.446711238373</v>
      </c>
      <c r="J16" s="0" t="n">
        <f aca="false">-J12</f>
        <v>546.155645463141</v>
      </c>
      <c r="K16" s="0" t="n">
        <f aca="false">-K12</f>
        <v>557.078758372404</v>
      </c>
      <c r="L16" s="0" t="n">
        <f aca="false">-L12</f>
        <v>568.220333539852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-1091.552</v>
      </c>
      <c r="D17" s="4" t="n">
        <f aca="false">-D6*Assumptions!D32/100</f>
        <v>-1082.7806</v>
      </c>
      <c r="E17" s="4" t="n">
        <f aca="false">-E6*Assumptions!E32/100</f>
        <v>-999.11119</v>
      </c>
      <c r="F17" s="4" t="n">
        <f aca="false">-F6*Assumptions!F32/100</f>
        <v>-811.27828628</v>
      </c>
      <c r="G17" s="4" t="n">
        <f aca="false">-G6*Assumptions!G32/100</f>
        <v>-720.516528002425</v>
      </c>
      <c r="H17" s="4" t="n">
        <f aca="false">-H6*Assumptions!H32/100</f>
        <v>-629.937307339263</v>
      </c>
      <c r="I17" s="4" t="n">
        <f aca="false">-I6*Assumptions!I32/100</f>
        <v>-642.536053486048</v>
      </c>
      <c r="J17" s="4" t="n">
        <f aca="false">-J6*Assumptions!J32/100</f>
        <v>-655.386774555769</v>
      </c>
      <c r="K17" s="4" t="n">
        <f aca="false">-K6*Assumptions!K32/100</f>
        <v>-668.494510046885</v>
      </c>
      <c r="L17" s="4" t="n">
        <f aca="false">-L6*Assumptions!L32/100</f>
        <v>-681.864400247822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-48.652032</v>
      </c>
      <c r="D19" s="0" t="n">
        <f aca="false">D15+D16+D17+D18</f>
        <v>14.6864423200002</v>
      </c>
      <c r="E19" s="0" t="n">
        <f aca="false">E15+E16+E17+E18</f>
        <v>203.3391093888</v>
      </c>
      <c r="F19" s="0" t="n">
        <f aca="false">F15+F16+F17+F18</f>
        <v>505.061297123614</v>
      </c>
      <c r="G19" s="0" t="n">
        <f aca="false">G15+G16+G17+G18</f>
        <v>673.085954273351</v>
      </c>
      <c r="H19" s="0" t="n">
        <f aca="false">H15+H16+H17+H18</f>
        <v>806.655719958171</v>
      </c>
      <c r="I19" s="0" t="n">
        <f aca="false">I15+I16+I17+I18</f>
        <v>839.751786169366</v>
      </c>
      <c r="J19" s="0" t="n">
        <f aca="false">J15+J16+J17+J18</f>
        <v>856.546821892753</v>
      </c>
      <c r="K19" s="0" t="n">
        <f aca="false">K15+K16+K17+K18</f>
        <v>875.282145154721</v>
      </c>
      <c r="L19" s="0" t="n">
        <f aca="false">L15+L16+L17+L18</f>
        <v>892.787788057815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-44.8405824884792</v>
      </c>
      <c r="D21" s="0" t="n">
        <f aca="false">D19*D20</f>
        <v>12.4754760729684</v>
      </c>
      <c r="E21" s="0" t="n">
        <f aca="false">E19*E20</f>
        <v>159.195835468183</v>
      </c>
      <c r="F21" s="0" t="n">
        <f aca="false">F19*F20</f>
        <v>364.439243983416</v>
      </c>
      <c r="G21" s="0" t="n">
        <f aca="false">G19*G20</f>
        <v>447.632733369222</v>
      </c>
      <c r="H21" s="0" t="n">
        <f aca="false">H19*H20</f>
        <v>494.435663343429</v>
      </c>
      <c r="I21" s="0" t="n">
        <f aca="false">I19*I20</f>
        <v>474.397912115548</v>
      </c>
      <c r="J21" s="0" t="n">
        <f aca="false">J19*J20</f>
        <v>445.977760698488</v>
      </c>
      <c r="K21" s="0" t="n">
        <f aca="false">K19*K20</f>
        <v>420.030111625892</v>
      </c>
      <c r="L21" s="0" t="n">
        <f aca="false">L19*L20</f>
        <v>394.867017381022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3168.61117156969</v>
      </c>
    </row>
    <row r="31" customFormat="false" ht="15" hidden="false" customHeight="false" outlineLevel="0" collapsed="false">
      <c r="A31" s="0" t="s">
        <v>126</v>
      </c>
      <c r="B31" s="0" t="n">
        <f aca="false">L19</f>
        <v>892.787788057815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14009.900674138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12499.0290328094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12499.0290328094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5528.13824333431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8696.749414904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8907.749414904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191.729432090056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0.301183794299668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369.990360487796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394.372119035566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208.181487180959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7004.95033706901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87.8682892703955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0.5</v>
      </c>
      <c r="D5" s="4" t="n">
        <f aca="false">Assumptions!D41</f>
        <v>2</v>
      </c>
      <c r="E5" s="4" t="n">
        <f aca="false">Assumptions!E41</f>
        <v>2</v>
      </c>
      <c r="F5" s="4" t="n">
        <f aca="false">Assumptions!F41</f>
        <v>2</v>
      </c>
      <c r="G5" s="4" t="n">
        <f aca="false">Assumptions!G41</f>
        <v>2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19492</v>
      </c>
      <c r="C6" s="0" t="n">
        <f aca="false">B6*(1+C5/100)</f>
        <v>19589.46</v>
      </c>
      <c r="D6" s="0" t="n">
        <f aca="false">C6*(1+D5/100)</f>
        <v>19981.2492</v>
      </c>
      <c r="E6" s="0" t="n">
        <f aca="false">D6*(1+E5/100)</f>
        <v>20380.874184</v>
      </c>
      <c r="F6" s="0" t="n">
        <f aca="false">E6*(1+F5/100)</f>
        <v>20788.49166768</v>
      </c>
      <c r="G6" s="0" t="n">
        <f aca="false">F6*(1+G5/100)</f>
        <v>21204.2615010336</v>
      </c>
      <c r="H6" s="0" t="n">
        <f aca="false">G6*(1+H5/100)</f>
        <v>21734.3680385594</v>
      </c>
      <c r="I6" s="0" t="n">
        <f aca="false">H6*(1+I5/100)</f>
        <v>22277.7272395234</v>
      </c>
      <c r="J6" s="0" t="n">
        <f aca="false">I6*(1+J5/100)</f>
        <v>22723.2817843139</v>
      </c>
      <c r="K6" s="0" t="n">
        <f aca="false">J6*(1+K5/100)</f>
        <v>23177.7474200002</v>
      </c>
      <c r="L6" s="0" t="n">
        <f aca="false">K6*(1+L5/100)</f>
        <v>23641.3023684002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7.5</v>
      </c>
      <c r="D7" s="4" t="n">
        <f aca="false">Assumptions!D42</f>
        <v>8</v>
      </c>
      <c r="E7" s="4" t="n">
        <f aca="false">Assumptions!E42</f>
        <v>8.5</v>
      </c>
      <c r="F7" s="4" t="n">
        <f aca="false">Assumptions!F42</f>
        <v>9.2</v>
      </c>
      <c r="G7" s="4" t="n">
        <f aca="false">Assumptions!G42</f>
        <v>9.7</v>
      </c>
      <c r="H7" s="4" t="n">
        <f aca="false">Assumptions!H42</f>
        <v>9.9</v>
      </c>
      <c r="I7" s="4" t="n">
        <f aca="false">Assumptions!I42</f>
        <v>10</v>
      </c>
      <c r="J7" s="4" t="n">
        <f aca="false">Assumptions!J42</f>
        <v>10</v>
      </c>
      <c r="K7" s="4" t="n">
        <f aca="false">Assumptions!K42</f>
        <v>10</v>
      </c>
      <c r="L7" s="4" t="n">
        <f aca="false">Assumptions!L42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1469.2095</v>
      </c>
      <c r="D8" s="0" t="n">
        <f aca="false">D6*D7/100</f>
        <v>1598.499936</v>
      </c>
      <c r="E8" s="0" t="n">
        <f aca="false">E6*E7/100</f>
        <v>1732.37430564</v>
      </c>
      <c r="F8" s="0" t="n">
        <f aca="false">F6*F7/100</f>
        <v>1912.54123342656</v>
      </c>
      <c r="G8" s="0" t="n">
        <f aca="false">G6*G7/100</f>
        <v>2056.81336560026</v>
      </c>
      <c r="H8" s="0" t="n">
        <f aca="false">H6*H7/100</f>
        <v>2151.70243581738</v>
      </c>
      <c r="I8" s="0" t="n">
        <f aca="false">I6*I7/100</f>
        <v>2227.77272395234</v>
      </c>
      <c r="J8" s="0" t="n">
        <f aca="false">J6*J7/100</f>
        <v>2272.32817843139</v>
      </c>
      <c r="K8" s="0" t="n">
        <f aca="false">K6*K7/100</f>
        <v>2317.77474200002</v>
      </c>
      <c r="L8" s="0" t="n">
        <f aca="false">L6*L7/100</f>
        <v>2364.13023684002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0.29</v>
      </c>
      <c r="D9" s="4" t="n">
        <f aca="false">Assumptions!D43</f>
        <v>0.29</v>
      </c>
      <c r="E9" s="4" t="n">
        <f aca="false">Assumptions!E43</f>
        <v>0.28</v>
      </c>
      <c r="F9" s="4" t="n">
        <f aca="false">Assumptions!F43</f>
        <v>0.28</v>
      </c>
      <c r="G9" s="4" t="n">
        <f aca="false">Assumptions!G43</f>
        <v>0.27</v>
      </c>
      <c r="H9" s="4" t="n">
        <f aca="false">Assumptions!H43</f>
        <v>0.27</v>
      </c>
      <c r="I9" s="4" t="n">
        <f aca="false">Assumptions!I43</f>
        <v>0.26</v>
      </c>
      <c r="J9" s="4" t="n">
        <f aca="false">Assumptions!J43</f>
        <v>0.26</v>
      </c>
      <c r="K9" s="4" t="n">
        <f aca="false">Assumptions!K43</f>
        <v>0.25</v>
      </c>
      <c r="L9" s="4" t="n">
        <f aca="false">Assumptions!L43</f>
        <v>0.25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-56.809434</v>
      </c>
      <c r="D10" s="0" t="n">
        <f aca="false">-D6*D9/100</f>
        <v>-57.94562268</v>
      </c>
      <c r="E10" s="0" t="n">
        <f aca="false">-E6*E9/100</f>
        <v>-57.0664477152</v>
      </c>
      <c r="F10" s="0" t="n">
        <f aca="false">-F6*F9/100</f>
        <v>-58.207776669504</v>
      </c>
      <c r="G10" s="0" t="n">
        <f aca="false">-G6*G9/100</f>
        <v>-57.2515060527907</v>
      </c>
      <c r="H10" s="0" t="n">
        <f aca="false">-H6*H9/100</f>
        <v>-58.6827937041105</v>
      </c>
      <c r="I10" s="0" t="n">
        <f aca="false">-I6*I9/100</f>
        <v>-57.9220908227609</v>
      </c>
      <c r="J10" s="0" t="n">
        <f aca="false">-J6*J9/100</f>
        <v>-59.0805326392161</v>
      </c>
      <c r="K10" s="0" t="n">
        <f aca="false">-K6*K9/100</f>
        <v>-57.9443685500004</v>
      </c>
      <c r="L10" s="0" t="n">
        <f aca="false">-L6*L9/100</f>
        <v>-59.1032559210004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1412.400066</v>
      </c>
      <c r="D11" s="0" t="n">
        <f aca="false">D8+D10+D24</f>
        <v>1540.55431332</v>
      </c>
      <c r="E11" s="0" t="n">
        <f aca="false">E8+E10+E24</f>
        <v>1675.3078579248</v>
      </c>
      <c r="F11" s="0" t="n">
        <f aca="false">F8+F10+F24</f>
        <v>1854.33345675706</v>
      </c>
      <c r="G11" s="0" t="n">
        <f aca="false">G8+G10+G24</f>
        <v>1999.56185954747</v>
      </c>
      <c r="H11" s="0" t="n">
        <f aca="false">H8+H10+H24</f>
        <v>2093.01964211327</v>
      </c>
      <c r="I11" s="0" t="n">
        <f aca="false">I8+I10+I24</f>
        <v>2169.85063312958</v>
      </c>
      <c r="J11" s="0" t="n">
        <f aca="false">J8+J10+J24</f>
        <v>2213.24764579217</v>
      </c>
      <c r="K11" s="0" t="n">
        <f aca="false">K8+K10+K24</f>
        <v>2259.83037345002</v>
      </c>
      <c r="L11" s="0" t="n">
        <f aca="false">L8+L10+L24</f>
        <v>2305.02698091902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-470.14704</v>
      </c>
      <c r="D12" s="4" t="n">
        <f aca="false">-D6*Assumptions!D45/100</f>
        <v>-479.5499808</v>
      </c>
      <c r="E12" s="4" t="n">
        <f aca="false">-E6*Assumptions!E45/100</f>
        <v>-489.140980416</v>
      </c>
      <c r="F12" s="4" t="n">
        <f aca="false">-F6*Assumptions!F45/100</f>
        <v>-519.712291692</v>
      </c>
      <c r="G12" s="4" t="n">
        <f aca="false">-G6*Assumptions!G45/100</f>
        <v>-530.10653752584</v>
      </c>
      <c r="H12" s="4" t="n">
        <f aca="false">-H6*Assumptions!H45/100</f>
        <v>-543.359200963986</v>
      </c>
      <c r="I12" s="4" t="n">
        <f aca="false">-I6*Assumptions!I45/100</f>
        <v>-556.943180988086</v>
      </c>
      <c r="J12" s="4" t="n">
        <f aca="false">-J6*Assumptions!J45/100</f>
        <v>-568.082044607847</v>
      </c>
      <c r="K12" s="4" t="n">
        <f aca="false">-K6*Assumptions!K45/100</f>
        <v>-579.443685500004</v>
      </c>
      <c r="L12" s="4" t="n">
        <f aca="false">-L6*Assumptions!L45/100</f>
        <v>-591.032559210004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942.253026</v>
      </c>
      <c r="D13" s="0" t="n">
        <f aca="false">D11+D12</f>
        <v>1061.00433252</v>
      </c>
      <c r="E13" s="0" t="n">
        <f aca="false">E11+E12</f>
        <v>1186.1668775088</v>
      </c>
      <c r="F13" s="0" t="n">
        <f aca="false">F11+F12</f>
        <v>1334.62116506506</v>
      </c>
      <c r="G13" s="0" t="n">
        <f aca="false">G11+G12</f>
        <v>1469.45532202163</v>
      </c>
      <c r="H13" s="0" t="n">
        <f aca="false">H11+H12</f>
        <v>1549.66044114929</v>
      </c>
      <c r="I13" s="0" t="n">
        <f aca="false">I11+I12</f>
        <v>1612.9074521415</v>
      </c>
      <c r="J13" s="0" t="n">
        <f aca="false">J11+J12</f>
        <v>1645.16560118433</v>
      </c>
      <c r="K13" s="0" t="n">
        <f aca="false">K11+K12</f>
        <v>1680.38668795001</v>
      </c>
      <c r="L13" s="0" t="n">
        <f aca="false">L11+L12</f>
        <v>1713.99442170901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35</v>
      </c>
      <c r="D14" s="4" t="n">
        <f aca="false">Assumptions!D47</f>
        <v>33</v>
      </c>
      <c r="E14" s="4" t="n">
        <f aca="false">Assumptions!E47</f>
        <v>30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612.4644669</v>
      </c>
      <c r="D15" s="0" t="n">
        <f aca="false">D13-MAX(0,D13)*D14/100</f>
        <v>710.8729027884</v>
      </c>
      <c r="E15" s="0" t="n">
        <f aca="false">E13-MAX(0,E13)*E14/100</f>
        <v>830.31681425616</v>
      </c>
      <c r="F15" s="0" t="n">
        <f aca="false">F13-MAX(0,F13)*F14/100</f>
        <v>974.273450497491</v>
      </c>
      <c r="G15" s="0" t="n">
        <f aca="false">G13-MAX(0,G13)*G14/100</f>
        <v>1072.70238507579</v>
      </c>
      <c r="H15" s="0" t="n">
        <f aca="false">H13-MAX(0,H13)*H14/100</f>
        <v>1131.25212203898</v>
      </c>
      <c r="I15" s="0" t="n">
        <f aca="false">I13-MAX(0,I13)*I14/100</f>
        <v>1177.42244006329</v>
      </c>
      <c r="J15" s="0" t="n">
        <f aca="false">J13-MAX(0,J13)*J14/100</f>
        <v>1200.97088886456</v>
      </c>
      <c r="K15" s="0" t="n">
        <f aca="false">K13-MAX(0,K13)*K14/100</f>
        <v>1226.68228220351</v>
      </c>
      <c r="L15" s="0" t="n">
        <f aca="false">L13-MAX(0,L13)*L14/100</f>
        <v>1251.21592784758</v>
      </c>
    </row>
    <row r="16" customFormat="false" ht="15" hidden="false" customHeight="false" outlineLevel="0" collapsed="false">
      <c r="A16" s="0" t="s">
        <v>117</v>
      </c>
      <c r="C16" s="0" t="n">
        <f aca="false">-C12</f>
        <v>470.14704</v>
      </c>
      <c r="D16" s="0" t="n">
        <f aca="false">-D12</f>
        <v>479.5499808</v>
      </c>
      <c r="E16" s="0" t="n">
        <f aca="false">-E12</f>
        <v>489.140980416</v>
      </c>
      <c r="F16" s="0" t="n">
        <f aca="false">-F12</f>
        <v>519.712291692</v>
      </c>
      <c r="G16" s="0" t="n">
        <f aca="false">-G12</f>
        <v>530.10653752584</v>
      </c>
      <c r="H16" s="0" t="n">
        <f aca="false">-H12</f>
        <v>543.359200963986</v>
      </c>
      <c r="I16" s="0" t="n">
        <f aca="false">-I12</f>
        <v>556.943180988086</v>
      </c>
      <c r="J16" s="0" t="n">
        <f aca="false">-J12</f>
        <v>568.082044607847</v>
      </c>
      <c r="K16" s="0" t="n">
        <f aca="false">-K12</f>
        <v>579.443685500004</v>
      </c>
      <c r="L16" s="0" t="n">
        <f aca="false">-L12</f>
        <v>591.032559210004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-1097.00976</v>
      </c>
      <c r="D17" s="4" t="n">
        <f aca="false">-D6*Assumptions!D46/100</f>
        <v>-1098.968706</v>
      </c>
      <c r="E17" s="4" t="n">
        <f aca="false">-E6*Assumptions!E46/100</f>
        <v>-1019.0437092</v>
      </c>
      <c r="F17" s="4" t="n">
        <f aca="false">-F6*Assumptions!F46/100</f>
        <v>-831.5396667072</v>
      </c>
      <c r="G17" s="4" t="n">
        <f aca="false">-G6*Assumptions!G46/100</f>
        <v>-742.149152536176</v>
      </c>
      <c r="H17" s="4" t="n">
        <f aca="false">-H6*Assumptions!H46/100</f>
        <v>-652.031041156783</v>
      </c>
      <c r="I17" s="4" t="n">
        <f aca="false">-I6*Assumptions!I46/100</f>
        <v>-668.331817185703</v>
      </c>
      <c r="J17" s="4" t="n">
        <f aca="false">-J6*Assumptions!J46/100</f>
        <v>-681.698453529417</v>
      </c>
      <c r="K17" s="4" t="n">
        <f aca="false">-K6*Assumptions!K46/100</f>
        <v>-695.332422600005</v>
      </c>
      <c r="L17" s="4" t="n">
        <f aca="false">-L6*Assumptions!L46/100</f>
        <v>-709.239071052005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-14.3982530999999</v>
      </c>
      <c r="D19" s="0" t="n">
        <f aca="false">D15+D16+D17+D18</f>
        <v>91.4541775883999</v>
      </c>
      <c r="E19" s="0" t="n">
        <f aca="false">E15+E16+E17+E18</f>
        <v>300.41408547216</v>
      </c>
      <c r="F19" s="0" t="n">
        <f aca="false">F15+F16+F17+F18</f>
        <v>662.446075482291</v>
      </c>
      <c r="G19" s="0" t="n">
        <f aca="false">G15+G16+G17+G18</f>
        <v>860.659770065453</v>
      </c>
      <c r="H19" s="0" t="n">
        <f aca="false">H15+H16+H17+H18</f>
        <v>1022.58028184618</v>
      </c>
      <c r="I19" s="0" t="n">
        <f aca="false">I15+I16+I17+I18</f>
        <v>1066.03380386567</v>
      </c>
      <c r="J19" s="0" t="n">
        <f aca="false">J15+J16+J17+J18</f>
        <v>1087.35447994299</v>
      </c>
      <c r="K19" s="0" t="n">
        <f aca="false">K15+K16+K17+K18</f>
        <v>1110.79354510351</v>
      </c>
      <c r="L19" s="0" t="n">
        <f aca="false">L15+L16+L17+L18</f>
        <v>1133.00941600558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-13.2702793548386</v>
      </c>
      <c r="D21" s="0" t="n">
        <f aca="false">D19*D20</f>
        <v>77.6862346521693</v>
      </c>
      <c r="E21" s="0" t="n">
        <f aca="false">E19*E20</f>
        <v>235.196620398816</v>
      </c>
      <c r="F21" s="0" t="n">
        <f aca="false">F19*F20</f>
        <v>478.004052782249</v>
      </c>
      <c r="G21" s="0" t="n">
        <f aca="false">G19*G20</f>
        <v>572.377841090507</v>
      </c>
      <c r="H21" s="0" t="n">
        <f aca="false">H19*H20</f>
        <v>626.785563490141</v>
      </c>
      <c r="I21" s="0" t="n">
        <f aca="false">I19*I20</f>
        <v>602.230586618216</v>
      </c>
      <c r="J21" s="0" t="n">
        <f aca="false">J19*J20</f>
        <v>566.152256544314</v>
      </c>
      <c r="K21" s="0" t="n">
        <f aca="false">K19*K20</f>
        <v>533.047245766304</v>
      </c>
      <c r="L21" s="0" t="n">
        <f aca="false">L19*L20</f>
        <v>501.113539798738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4179.32366178662</v>
      </c>
    </row>
    <row r="31" customFormat="false" ht="15" hidden="false" customHeight="false" outlineLevel="0" collapsed="false">
      <c r="A31" s="0" t="s">
        <v>126</v>
      </c>
      <c r="B31" s="0" t="n">
        <f aca="false">L19</f>
        <v>1133.00941600558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17779.5323742414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16995.1412400837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16995.1412400837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7516.70309698107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11696.0267587677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11907.0267587677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256.285552276532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0.739297945548233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379.734318650534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410.204895946962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273.288118238596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8889.76618712069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113.287950783723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95.322603681505</v>
      </c>
      <c r="C4" s="0" t="n">
        <f aca="false">B4/Assumptions!$B$2-1</f>
        <v>-0.353087182344723</v>
      </c>
      <c r="D4" s="4" t="n">
        <f aca="false">Assumptions!$B$24</f>
        <v>0.3</v>
      </c>
      <c r="E4" s="4" t="n">
        <f aca="false">DCF_Bear!$B$43</f>
        <v>113.036523584492</v>
      </c>
      <c r="F4" s="4" t="n">
        <f aca="false">DCF_Bear!$B$47</f>
        <v>46.8414680987112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191.729432090056</v>
      </c>
      <c r="C5" s="0" t="n">
        <f aca="false">B5/Assumptions!$B$2-1</f>
        <v>0.301183794299668</v>
      </c>
      <c r="D5" s="4" t="n">
        <f aca="false">Assumptions!$B$38</f>
        <v>0.5</v>
      </c>
      <c r="E5" s="4" t="n">
        <f aca="false">DCF_Base!$B$43</f>
        <v>208.181487180959</v>
      </c>
      <c r="F5" s="4" t="n">
        <f aca="false">DCF_Base!$B$47</f>
        <v>87.8682892703955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256.285552276532</v>
      </c>
      <c r="C6" s="0" t="n">
        <f aca="false">B6/Assumptions!$B$2-1</f>
        <v>0.739297945548233</v>
      </c>
      <c r="D6" s="4" t="n">
        <f aca="false">Assumptions!$B$52</f>
        <v>0.2</v>
      </c>
      <c r="E6" s="4" t="n">
        <f aca="false">DCF_Bull!$B$43</f>
        <v>273.288118238596</v>
      </c>
      <c r="F6" s="4" t="n">
        <f aca="false">DCF_Bull!$B$47</f>
        <v>113.287950783723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175.718607604786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192.659324313546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0.161443389470685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-167.458131155195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80.6441752215558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191.729432090056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184.267737881909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161.095435683012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139.634640263962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122.61094815862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87.8682892703955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225.398156296017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225.398156296017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225.398156296017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225.398156296017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225.398156296017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207.758069620542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207.758069620542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207.758069620542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207.758069620542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207.758069620542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187.196592171778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191.729432090056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191.729432090056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191.729432090056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191.729432090056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160.728916921508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166.972056645762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174.047614999916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177.149229620915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177.149229620915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140.02325085467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144.598475501703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149.711961871917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155.464634038407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161.984329160428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2026-10-09T22:43:42Z</dcterms:created>
  <dc:creator>openpyxl</dc:creator>
  <dc:description/>
  <dc:language>en-NZ</dc:language>
  <cp:lastModifiedBy/>
  <dcterms:modified xsi:type="dcterms:W3CDTF">2026-10-09T22:43:42Z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