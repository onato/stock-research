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<sst xmlns="http://schemas.openxmlformats.org/spreadsheetml/2006/main" count="362" uniqueCount="165">
  <si>
    <t xml:space="preserve">Ticker</t>
  </si>
  <si>
    <t xml:space="preserve">NHC.AX</t>
  </si>
  <si>
    <t xml:space="preserve">Company</t>
  </si>
  <si>
    <t xml:space="preserve">New Hope Corporation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</si>
  <si>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</si>
  <si>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</si>
  <si>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</si>
  <si>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</si>
  <si>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2026-09-24T06:10:04Z (ASX regular close 24 Sep 2026; Yahoo chart API)</t>
  </si>
  <si>
    <t xml:space="preserve">Balance sheet date</t>
  </si>
  <si>
    <t xml:space="preserve">2026-07-31</t>
  </si>
  <si>
    <t xml:space="preserve">Model</t>
  </si>
  <si>
    <t xml:space="preserve">Mid-cycle owner-FCF DCF with finite-life terminal cap (engine route)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</si>
  <si>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</si>
  <si>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</si>
  <si>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</si>
  <si>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</si>
  <si>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</si>
  <si>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</si>
  <si>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</si>
  <si>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</si>
  <si>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2026-09-24T09:03:43Z</t>
  </si>
  <si>
    <t xml:space="preserve">Drivers file</t>
  </si>
  <si>
    <t xml:space="preserve">NHC.AX_Drivers.json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</si>
  <si>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</si>
  <si>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</si>
  <si>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</si>
  <si>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thermal coal miner on mid-cycle owner FCF over its approved reserve life with a capped, non-perpetuity terminal, the equity-accounted Malabar stake added at carrying value, and closure cost deducted. Never capitalise a coal-price year (FY22-23 or FY26) in perpetuity. Risk lives in the scenario flows and weights, not in the discount rate. The market price at the FY26 print is capitalising FY26-27 realised prices and the 40c franked dividend; the house model asks what the asset base earns across a cycle and when it stops.
key_risks_to_valuation: Mid-cycle price deck: every A$10/t on 13.3Mt is ~A$93m of EBITDA (~A$65m of after-tax FCF, ~A$0.45/share of base value at 11% over 10 years plus terminal). The base A$135/t sits below FY25-26 realised prices; if FY26 pricing is the new normal the bull case (A$4.5-5/share) is the right one.; Terminal multiple / finite life: the 5x base cap assumes ~8 years of flows beyond FY2036. A perpetuity at 0% growth (9.1x) would add ~A$0.75/share; a Bengalla-only wind-down (3x) removes ~A$0.30/share.; New Acland ramp: Manning Vale West access (Q4 CY2026) and rail capacity (Cross River Rail, QR industrial action) determine whether 5Mtpa arrives in FY29 or later; each 1Mt/yr shortfall is ~A$40m of EBITDA at base prices.; Cost inflation: FOB cash cost rose 7.9% in FY26 (strip ratio 5.1x at Bengalla, diesel +21.7%); the model holds A$87-89/t through FY29 on Acland volume leverage, which is a judgment.; Capital allocation: FY26 dividends (~A$338m) exceeded NPAT (A$161m) and owner FCF on a normalised-tax basis; continued distribution at that pace draws down the A$472m net cash the bridge counts, and further Malabar top-ups (A$36m/yr) recycle it into an asset valued only at book.; Rehabilitation provision (A$136m at book, NPV) may be understated for a full closure; and the Safeguard Mechanism / carbon cost (A$7.3m provision) rises from FY27 at Bengalla.; Convertible notes at $7.41: dilutive only above the strike; capped call (notional A$200m) partially offsets. Modelled as debt at face.</t>
  </si>
  <si>
    <t xml:space="preserve">Data sources</t>
  </si>
  <si>
    <t xml:space="preserve">price: Yahoo Finance chart API at inputs.price_as_of; 52-week range 3.77-6.61; FY26 year-end (31 Jul 2026) share price 5.19 per the annual report.
financials: research/NHC.AX/Reports/NHC.AX_Metrics.csv (core_metrics, AUD millions, FY2016-FY2026 annual + half-years) and NHC.AX_Annual_FY2026.txt: capital management table (p.13, net cash), operating KPI table (volumes, A$/t price and costs), note 19 (Malabar), note 20 (borrowings, convertible notes), provisions note (rehabilitation), note 23 (shares on issue), Coal Reserves statement at 31 May 2026.
qualitative: research/NHC.AX/Reports/NHC.AX_Analysis.json (2026-09-24): FY27 guidance ~12.7Mt, New Acland 4.0Mt FY27 / 4.5-4.6Mt FY28 / 5Mtpa target, Bengalla 13.4Mtpa ROM, Stage 3 rail-loop condition removed Oct 2025, Bridgeport divested Sep 2025, Maxwell opened Jul 2026.</t>
  </si>
  <si>
    <t xml:space="preserve">Scenario narrative: bear</t>
  </si>
  <si>
    <t xml:space="preserve">Decarbonisation and Chinese domestic supply push NEWC back to the 2019-21 average (~US$92, A$115/t realised) from FY28 after a weak A$122 FY27, while Cross River Rail possessions and Queensland Rail industrial action cap New Acland at ~3.5-4Mt and Manning Vale West slips. Diesel and strip-ratio inflation run at 2.5%/yr against 1.5% price so the per-tonne margin compresses from A$22 to A$12 and EBITDA margins fall to single digits by FY33; owner FCF is roughly zero from FY28 because sustaining capex and lease cash consume the margin. No New Acland extension is approved and Bengalla's approved reserve depletes from FY34 (-5%/yr volumes); the terminal is 3x a near-zero year-10 FCF. The value is the balance sheet: A$472m net cash, Malabar at A$352m, less A$136m rehabilitation. Insurers and banks continue to withdraw from thermal coal, so the cash pile is not re-rated and the 40c dividend (paid from cash, 2x FY26 NPAT) is cut.</t>
  </si>
  <si>
    <t xml:space="preserve">Scenario narrative: base</t>
  </si>
  <si>
    <t xml:space="preserve">Thermal coal mean-reverts to its ex-spike ten-year average (~US$105/t NEWC, A$135/t realised for NHC's API5/high-ash-weighted mix) after a A$138/t transition year. New Acland ramps on guidance (4.0Mt FY27, 4.5-4.6Mt FY28, 5.0Mtpa from FY29) once Manning Vale West is accessed in Q4 CY2026; Bengalla holds its 13.4Mtpa ROM run-rate (8.3Mt saleable at 80%). Group volumes settle at 13.3Mt. FOB cash cost ex royalties holds ~A$87-89/t through the ramp (volume dilution offsets diesel and strip-ratio inflation) then rises 2.5%/yr against 2%/yr price, so the EBITDA margin drifts from 27% to 24%. Capex normalises to ~7.5% of revenue (~A$145m) as the growth programme completes. Owner FCF runs ~A$230-260m/yr, a 5x cap on year-10 FCF stands in for Bengalla reserve conversion and partial New Acland extension beyond FY2036, and the equity bridge adds net cash and Malabar and deducts rehabilitation.</t>
  </si>
  <si>
    <t xml:space="preserve">Scenario narrative: bull</t>
  </si>
  <si>
    <t xml:space="preserve">Management's structural-supply-shortfall thesis holds: ageing seaborne supply, no new Australian thermal approvals and gas-to-coal switching keep NEWC around US$115-120 (A$150/t realised FY27, A$145 mid-cycle rising 2.5%/yr). New Acland reaches 5Mtpa on schedule and Bengalla debottlenecks to lift group volume to 14Mt, dropping unit costs. EBITDA margins hold ~31% (still half the supercycle level). Capex settles at 7%. New Acland's post-Stage-3 reserves (283Mt recoverable) win approval in the early 2030s, justifying a 7x terminal cap (~13 years of flat flows). Maxwell (Malabar) ramps to plan and supports its carrying value.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</si>
  <si>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</si>
  <si>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</si>
  <si>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</si>
  <si>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</si>
  <si>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</si>
  <si>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</si>
  <si>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</si>
  <si>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</si>
  <si>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</si>
  <si>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</si>
  <si>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</si>
  <si>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</si>
  <si>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</si>
  <si>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</si>
  <si>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</si>
  <si>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</si>
  <si>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</si>
  <si>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</si>
  <si>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</si>
  <si>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</si>
  <si>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</si>
  <si>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</si>
  <si>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</si>
  <si>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</si>
  <si>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</si>
  <si>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</si>
  <si>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</si>
  <si>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</si>
  <si>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</si>
  <si>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</si>
  <si>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</si>
  <si>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</si>
  <si>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</si>
  <si>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</si>
  <si>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</si>
  <si>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</si>
  <si>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</si>
  <si>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</si>
  <si>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</si>
  <si>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</si>
  <si>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</si>
  <si>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</si>
  <si>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</si>
  <si>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</si>
  <si>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</si>
  <si>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</si>
  <si>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</si>
  <si>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</si>
  <si>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</si>
  <si>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</si>
  <si>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</si>
  <si>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</si>
  <si>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</si>
  <si>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</si>
  <si>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</si>
  <si>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</si>
  <si>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</si>
  <si>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</si>
  <si>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</si>
  <si>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</si>
  <si>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</si>
  <si>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</si>
  <si>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</si>
  <si>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</si>
  <si>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</si>
  <si>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</si>
  <si>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</si>
  <si>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</si>
  <si>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</si>
  <si>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</si>
  <si>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</si>
  <si>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</si>
  <si>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</si>
  <si>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</si>
  <si>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</si>
  <si>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NHC.AX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</si>
  <si>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</si>
  <si>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</si>
  <si>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</si>
  <si>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</si>
  <si>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</si>
  <si>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</si>
  <si>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</si>
  <si>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</si>
  <si>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</si>
  <si>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</si>
  <si>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</si>
  <si>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</si>
  <si>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</si>
  <si>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</si>
  <si>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</si>
  <si>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</si>
  <si>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</si>
  <si>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</si>
  <si>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</si>
  <si>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</si>
  <si>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</si>
  <si>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</si>
  <si>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</si>
  <si>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</si>
  <si>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</si>
  <si>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</si>
  <si>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</si>
  <si>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</si>
  <si>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</si>
  <si>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</si>
  <si>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NHC.AX owner-FCF component DCF: base case (millions, AUD)</t>
  </si>
  <si>
    <t xml:space="preserve">NHC.AX owner-FCF component DCF: bull case (millions, AUD)</t>
  </si>
  <si>
    <t xml:space="preserve">NHC.AX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</si>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</sst>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531.459</v>
      </c>
      <c r="C2" s="0" t="n">
        <v>353.196</v>
      </c>
      <c r="D2" s="0" t="n">
        <v>178.263</v>
      </c>
      <c r="E2" s="0" t="n">
        <v>33.5</v>
      </c>
      <c r="F2" s="0" t="n">
        <v>-74.112</v>
      </c>
      <c r="G2" s="0" t="n">
        <v>-13.9</v>
      </c>
      <c r="I2" s="0" t="n">
        <v>-53.679</v>
      </c>
      <c r="J2" s="0" t="n">
        <v>-10.1</v>
      </c>
      <c r="K2" s="0" t="n">
        <v>-0.065</v>
      </c>
      <c r="L2" s="0" t="n">
        <v>6.728</v>
      </c>
      <c r="M2" s="0" t="n">
        <v>84.069</v>
      </c>
      <c r="N2" s="0" t="n">
        <v>-77.341</v>
      </c>
      <c r="O2" s="0" t="n">
        <v>1750.412</v>
      </c>
      <c r="P2" s="0" t="n">
        <v>2018.549</v>
      </c>
      <c r="Q2" s="0" t="n">
        <v>268.137</v>
      </c>
      <c r="R2" s="0" t="n">
        <v>14.86</v>
      </c>
      <c r="S2" s="0" t="n">
        <v>91.162</v>
      </c>
      <c r="T2" s="0" t="n">
        <v>831.05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844.077</v>
      </c>
      <c r="C3" s="0" t="n">
        <v>476.855</v>
      </c>
      <c r="D3" s="0" t="n">
        <v>367.222</v>
      </c>
      <c r="E3" s="0" t="n">
        <v>43.5</v>
      </c>
      <c r="F3" s="0" t="n">
        <v>202.213</v>
      </c>
      <c r="G3" s="0" t="n">
        <v>24</v>
      </c>
      <c r="I3" s="0" t="n">
        <v>140.62</v>
      </c>
      <c r="J3" s="0" t="n">
        <v>16.7</v>
      </c>
      <c r="K3" s="0" t="n">
        <v>0.169</v>
      </c>
      <c r="L3" s="0" t="n">
        <v>284.531</v>
      </c>
      <c r="M3" s="0" t="n">
        <v>84.774</v>
      </c>
      <c r="N3" s="0" t="n">
        <v>199.757</v>
      </c>
      <c r="O3" s="0" t="n">
        <v>1853.428</v>
      </c>
      <c r="P3" s="0" t="n">
        <v>2181.645</v>
      </c>
      <c r="Q3" s="0" t="n">
        <v>328.217</v>
      </c>
      <c r="R3" s="0" t="n">
        <v>12.588</v>
      </c>
      <c r="S3" s="0" t="n">
        <v>236.885</v>
      </c>
      <c r="T3" s="0" t="n">
        <v>831.068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1078.573</v>
      </c>
      <c r="C4" s="0" t="n">
        <v>525.161</v>
      </c>
      <c r="D4" s="0" t="n">
        <v>553.412</v>
      </c>
      <c r="E4" s="0" t="n">
        <v>51.3</v>
      </c>
      <c r="F4" s="0" t="n">
        <v>213.812</v>
      </c>
      <c r="G4" s="0" t="n">
        <v>19.8</v>
      </c>
      <c r="I4" s="0" t="n">
        <v>149.498</v>
      </c>
      <c r="J4" s="0" t="n">
        <v>13.9</v>
      </c>
      <c r="K4" s="0" t="n">
        <v>0.18</v>
      </c>
      <c r="L4" s="0" t="n">
        <v>417.978</v>
      </c>
      <c r="M4" s="0" t="n">
        <v>89.909</v>
      </c>
      <c r="N4" s="0" t="n">
        <v>328.069</v>
      </c>
      <c r="O4" s="0" t="n">
        <v>1888.4</v>
      </c>
      <c r="P4" s="0" t="n">
        <v>2338.367</v>
      </c>
      <c r="Q4" s="0" t="n">
        <v>449.967</v>
      </c>
      <c r="R4" s="0" t="n">
        <v>10.232</v>
      </c>
      <c r="S4" s="0" t="n">
        <v>274.975</v>
      </c>
      <c r="T4" s="0" t="n">
        <v>831.142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1306.429</v>
      </c>
      <c r="C5" s="0" t="n">
        <v>716.198</v>
      </c>
      <c r="D5" s="0" t="n">
        <v>590.231</v>
      </c>
      <c r="E5" s="0" t="n">
        <v>45.2</v>
      </c>
      <c r="F5" s="0" t="n">
        <v>330.734</v>
      </c>
      <c r="G5" s="0" t="n">
        <v>25.3</v>
      </c>
      <c r="H5" s="0" t="n">
        <v>517.061</v>
      </c>
      <c r="I5" s="0" t="n">
        <v>210.652</v>
      </c>
      <c r="J5" s="0" t="n">
        <v>16.1</v>
      </c>
      <c r="K5" s="0" t="n">
        <v>0.253</v>
      </c>
      <c r="L5" s="0" t="n">
        <v>293.784</v>
      </c>
      <c r="M5" s="0" t="n">
        <v>98.282</v>
      </c>
      <c r="N5" s="0" t="n">
        <v>195.502</v>
      </c>
      <c r="O5" s="0" t="n">
        <v>1961.012</v>
      </c>
      <c r="P5" s="0" t="n">
        <v>2801.413</v>
      </c>
      <c r="Q5" s="0" t="n">
        <v>840.401</v>
      </c>
      <c r="R5" s="0" t="n">
        <v>360.738</v>
      </c>
      <c r="S5" s="0" t="n">
        <v>58.827</v>
      </c>
      <c r="T5" s="0" t="n">
        <v>831.262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1083.918</v>
      </c>
      <c r="C6" s="0" t="n">
        <v>749.388</v>
      </c>
      <c r="D6" s="0" t="n">
        <v>334.53</v>
      </c>
      <c r="E6" s="0" t="n">
        <v>30.9</v>
      </c>
      <c r="F6" s="0" t="n">
        <v>-199.176</v>
      </c>
      <c r="G6" s="0" t="n">
        <v>-18.4</v>
      </c>
      <c r="H6" s="0" t="n">
        <v>289.754</v>
      </c>
      <c r="I6" s="0" t="n">
        <v>-156.783</v>
      </c>
      <c r="J6" s="0" t="n">
        <v>-14.5</v>
      </c>
      <c r="K6" s="0" t="n">
        <v>-0.189</v>
      </c>
      <c r="L6" s="0" t="n">
        <v>255.458</v>
      </c>
      <c r="M6" s="0" t="n">
        <v>113.369</v>
      </c>
      <c r="N6" s="0" t="n">
        <v>142.089</v>
      </c>
      <c r="O6" s="0" t="n">
        <v>1725.38</v>
      </c>
      <c r="P6" s="0" t="n">
        <v>2545.636</v>
      </c>
      <c r="Q6" s="0" t="n">
        <v>820.256</v>
      </c>
      <c r="R6" s="0" t="n">
        <v>439.097</v>
      </c>
      <c r="S6" s="0" t="n">
        <v>70.377</v>
      </c>
      <c r="T6" s="0" t="n">
        <v>831.682</v>
      </c>
      <c r="U6" s="0" t="n">
        <v>0.691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1048.239</v>
      </c>
      <c r="C7" s="0" t="n">
        <v>658.721</v>
      </c>
      <c r="D7" s="0" t="n">
        <v>389.518</v>
      </c>
      <c r="E7" s="0" t="n">
        <v>37.2</v>
      </c>
      <c r="F7" s="0" t="n">
        <v>137.395</v>
      </c>
      <c r="G7" s="0" t="n">
        <v>13.1</v>
      </c>
      <c r="H7" s="0" t="n">
        <v>367.197</v>
      </c>
      <c r="I7" s="0" t="n">
        <v>79.35</v>
      </c>
      <c r="J7" s="0" t="n">
        <v>7.6</v>
      </c>
      <c r="K7" s="0" t="n">
        <v>0.095</v>
      </c>
      <c r="L7" s="0" t="n">
        <v>296.065</v>
      </c>
      <c r="M7" s="0" t="n">
        <v>60.663</v>
      </c>
      <c r="N7" s="0" t="n">
        <v>235.402</v>
      </c>
      <c r="O7" s="0" t="n">
        <v>1746.613</v>
      </c>
      <c r="P7" s="0" t="n">
        <v>2775.867</v>
      </c>
      <c r="Q7" s="0" t="n">
        <v>1029.254</v>
      </c>
      <c r="R7" s="0" t="n">
        <v>597.898</v>
      </c>
      <c r="S7" s="0" t="n">
        <v>424.663</v>
      </c>
      <c r="T7" s="0" t="n">
        <v>832.348</v>
      </c>
      <c r="U7" s="0" t="n">
        <v>0.072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2552.395</v>
      </c>
      <c r="C8" s="0" t="n">
        <v>958.653</v>
      </c>
      <c r="D8" s="0" t="n">
        <v>1593.742</v>
      </c>
      <c r="E8" s="0" t="n">
        <v>62.4</v>
      </c>
      <c r="F8" s="0" t="n">
        <v>1427.368</v>
      </c>
      <c r="G8" s="0" t="n">
        <v>55.9</v>
      </c>
      <c r="H8" s="0" t="n">
        <v>1577.357</v>
      </c>
      <c r="I8" s="0" t="n">
        <v>983.009</v>
      </c>
      <c r="J8" s="0" t="n">
        <v>38.5</v>
      </c>
      <c r="K8" s="0" t="n">
        <v>1.181</v>
      </c>
      <c r="L8" s="0" t="n">
        <v>1138.637</v>
      </c>
      <c r="M8" s="0" t="n">
        <v>77.829</v>
      </c>
      <c r="N8" s="0" t="n">
        <v>1060.808</v>
      </c>
      <c r="O8" s="0" t="n">
        <v>2315.531</v>
      </c>
      <c r="P8" s="0" t="n">
        <v>3427.035</v>
      </c>
      <c r="Q8" s="0" t="n">
        <v>1111.504</v>
      </c>
      <c r="R8" s="0" t="n">
        <v>288.521</v>
      </c>
      <c r="S8" s="0" t="n">
        <v>715.714</v>
      </c>
      <c r="T8" s="0" t="n">
        <v>832.357</v>
      </c>
      <c r="U8" s="0" t="n">
        <v>0.85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2754.498</v>
      </c>
      <c r="C9" s="0" t="n">
        <v>952.435</v>
      </c>
      <c r="D9" s="0" t="n">
        <v>1802.063</v>
      </c>
      <c r="E9" s="0" t="n">
        <v>65.4</v>
      </c>
      <c r="F9" s="0" t="n">
        <v>1559.189</v>
      </c>
      <c r="G9" s="0" t="n">
        <v>56.6</v>
      </c>
      <c r="H9" s="0" t="n">
        <v>1746.58</v>
      </c>
      <c r="I9" s="0" t="n">
        <v>1087.402</v>
      </c>
      <c r="J9" s="0" t="n">
        <v>39.5</v>
      </c>
      <c r="K9" s="0" t="n">
        <v>1.26</v>
      </c>
      <c r="L9" s="0" t="n">
        <v>1524.789</v>
      </c>
      <c r="M9" s="0" t="n">
        <v>186.987</v>
      </c>
      <c r="N9" s="0" t="n">
        <v>1337.802</v>
      </c>
      <c r="O9" s="0" t="n">
        <v>2521.406</v>
      </c>
      <c r="P9" s="0" t="n">
        <v>3243.307</v>
      </c>
      <c r="Q9" s="0" t="n">
        <v>721.901</v>
      </c>
      <c r="R9" s="0" t="n">
        <v>84.923</v>
      </c>
      <c r="S9" s="0" t="n">
        <v>730.654</v>
      </c>
      <c r="T9" s="0" t="n">
        <v>863.237</v>
      </c>
      <c r="U9" s="0" t="n">
        <v>3.216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1802.206</v>
      </c>
      <c r="C10" s="0" t="n">
        <v>906.468</v>
      </c>
      <c r="D10" s="0" t="n">
        <v>895.738</v>
      </c>
      <c r="E10" s="0" t="n">
        <v>49.7</v>
      </c>
      <c r="F10" s="0" t="n">
        <v>710.303</v>
      </c>
      <c r="G10" s="0" t="n">
        <v>39.4</v>
      </c>
      <c r="H10" s="0" t="n">
        <v>859.932</v>
      </c>
      <c r="I10" s="0" t="n">
        <v>475.855</v>
      </c>
      <c r="J10" s="0" t="n">
        <v>26.4</v>
      </c>
      <c r="K10" s="0" t="n">
        <v>0.563</v>
      </c>
      <c r="L10" s="0" t="n">
        <v>561.964</v>
      </c>
      <c r="M10" s="0" t="n">
        <v>272.304</v>
      </c>
      <c r="N10" s="0" t="n">
        <v>289.66</v>
      </c>
      <c r="O10" s="0" t="n">
        <v>2543.151</v>
      </c>
      <c r="P10" s="0" t="n">
        <v>3468.572</v>
      </c>
      <c r="Q10" s="0" t="n">
        <v>925.421</v>
      </c>
      <c r="R10" s="0" t="n">
        <v>361.632</v>
      </c>
      <c r="S10" s="0" t="n">
        <v>638.76</v>
      </c>
      <c r="T10" s="0" t="n">
        <v>845.009</v>
      </c>
      <c r="U10" s="0" t="n">
        <v>5.571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1796.341</v>
      </c>
      <c r="C11" s="0" t="n">
        <v>948.742</v>
      </c>
      <c r="D11" s="0" t="n">
        <v>847.599</v>
      </c>
      <c r="E11" s="0" t="n">
        <v>47.2</v>
      </c>
      <c r="F11" s="0" t="n">
        <v>634.697</v>
      </c>
      <c r="G11" s="0" t="n">
        <v>35.3</v>
      </c>
      <c r="H11" s="0" t="n">
        <v>765.8</v>
      </c>
      <c r="I11" s="0" t="n">
        <v>439.369</v>
      </c>
      <c r="J11" s="0" t="n">
        <v>24.5</v>
      </c>
      <c r="K11" s="0" t="n">
        <v>0.52</v>
      </c>
      <c r="L11" s="0" t="n">
        <v>570.804</v>
      </c>
      <c r="M11" s="0" t="n">
        <v>311.192</v>
      </c>
      <c r="N11" s="0" t="n">
        <v>259.612</v>
      </c>
      <c r="O11" s="0" t="n">
        <v>2627.725</v>
      </c>
      <c r="P11" s="0" t="n">
        <v>3538.763</v>
      </c>
      <c r="Q11" s="0" t="n">
        <v>911.038</v>
      </c>
      <c r="R11" s="0" t="n">
        <v>359.291</v>
      </c>
      <c r="S11" s="0" t="n">
        <v>331.85</v>
      </c>
      <c r="T11" s="0" t="n">
        <v>844.211</v>
      </c>
      <c r="U11" s="0" t="n">
        <v>5.296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1766.53</v>
      </c>
      <c r="C12" s="0" t="n">
        <v>1117.061</v>
      </c>
      <c r="D12" s="0" t="n">
        <v>649.469</v>
      </c>
      <c r="E12" s="0" t="n">
        <v>36.8</v>
      </c>
      <c r="F12" s="0" t="n">
        <v>285.769</v>
      </c>
      <c r="G12" s="0" t="n">
        <v>16.2</v>
      </c>
      <c r="H12" s="0" t="n">
        <v>514.277</v>
      </c>
      <c r="I12" s="0" t="n">
        <v>160.96</v>
      </c>
      <c r="J12" s="0" t="n">
        <v>9.1</v>
      </c>
      <c r="K12" s="0" t="n">
        <v>0.191</v>
      </c>
      <c r="L12" s="0" t="n">
        <v>564.128</v>
      </c>
      <c r="M12" s="0" t="n">
        <v>193.541</v>
      </c>
      <c r="N12" s="0" t="n">
        <v>370.587</v>
      </c>
      <c r="O12" s="0" t="n">
        <v>2614.843</v>
      </c>
      <c r="P12" s="0" t="n">
        <v>3614.747</v>
      </c>
      <c r="Q12" s="0" t="n">
        <v>999.904</v>
      </c>
      <c r="R12" s="0" t="n">
        <v>389.234</v>
      </c>
      <c r="S12" s="0" t="n">
        <v>484.783</v>
      </c>
      <c r="T12" s="0" t="n">
        <v>848.167</v>
      </c>
      <c r="U12" s="0" t="n">
        <v>6.731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5.85</v>
      </c>
    </row>
    <row r="3" customFormat="false" ht="15" hidden="false" customHeight="false" outlineLevel="0" collapsed="false">
      <c r="A3" s="0" t="s">
        <v>77</v>
      </c>
      <c r="B3" s="3" t="n">
        <v>849.18</v>
      </c>
    </row>
    <row r="4" customFormat="false" ht="15" hidden="false" customHeight="false" outlineLevel="0" collapsed="false">
      <c r="A4" s="0" t="s">
        <v>78</v>
      </c>
      <c r="B4" s="3" t="n">
        <v>-472.2</v>
      </c>
    </row>
    <row r="5" customFormat="false" ht="15" hidden="false" customHeight="false" outlineLevel="0" collapsed="false">
      <c r="A5" s="0" t="s">
        <v>79</v>
      </c>
      <c r="B5" s="3" t="n">
        <v>215.987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1766.53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-11.5</v>
      </c>
      <c r="D13" s="3" t="n">
        <v>-3.2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-3.5</v>
      </c>
      <c r="K13" s="3" t="n">
        <v>-3.5</v>
      </c>
      <c r="L13" s="3" t="n">
        <v>-3.5</v>
      </c>
    </row>
    <row r="14" customFormat="false" ht="15" hidden="false" customHeight="false" outlineLevel="0" collapsed="false">
      <c r="A14" s="0" t="s">
        <v>98</v>
      </c>
      <c r="C14" s="3" t="n">
        <v>17.8</v>
      </c>
      <c r="D14" s="3" t="n">
        <v>13.6</v>
      </c>
      <c r="E14" s="3" t="n">
        <v>12.8</v>
      </c>
      <c r="F14" s="3" t="n">
        <v>12.1</v>
      </c>
      <c r="G14" s="3" t="n">
        <v>11.3</v>
      </c>
      <c r="H14" s="3" t="n">
        <v>10.5</v>
      </c>
      <c r="I14" s="3" t="n">
        <v>9.8</v>
      </c>
      <c r="J14" s="3" t="n">
        <v>9</v>
      </c>
      <c r="K14" s="3" t="n">
        <v>8.3</v>
      </c>
      <c r="L14" s="3" t="n">
        <v>7.5</v>
      </c>
    </row>
    <row r="15" customFormat="false" ht="15" hidden="false" customHeight="false" outlineLevel="0" collapsed="false">
      <c r="A15" s="0" t="s">
        <v>99</v>
      </c>
      <c r="C15" s="3" t="n">
        <v>0.38</v>
      </c>
      <c r="D15" s="3" t="n">
        <v>0.38</v>
      </c>
      <c r="E15" s="3" t="n">
        <v>0.38</v>
      </c>
      <c r="F15" s="3" t="n">
        <v>0.38</v>
      </c>
      <c r="G15" s="3" t="n">
        <v>0.38</v>
      </c>
      <c r="H15" s="3" t="n">
        <v>0.38</v>
      </c>
      <c r="I15" s="3" t="n">
        <v>0.38</v>
      </c>
      <c r="J15" s="3" t="n">
        <v>0.38</v>
      </c>
      <c r="K15" s="3" t="n">
        <v>0.38</v>
      </c>
      <c r="L15" s="3" t="n">
        <v>0.38</v>
      </c>
    </row>
    <row r="16" customFormat="false" ht="15" hidden="false" customHeight="false" outlineLevel="0" collapsed="false">
      <c r="A16" s="0" t="s">
        <v>100</v>
      </c>
      <c r="C16" s="3" t="n">
        <v>1.3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101</v>
      </c>
      <c r="C17" s="3" t="n">
        <v>12.5</v>
      </c>
      <c r="D17" s="3" t="n">
        <v>12</v>
      </c>
      <c r="E17" s="3" t="n">
        <v>11.5</v>
      </c>
      <c r="F17" s="3" t="n">
        <v>11</v>
      </c>
      <c r="G17" s="3" t="n">
        <v>10.5</v>
      </c>
      <c r="H17" s="3" t="n">
        <v>10</v>
      </c>
      <c r="I17" s="3" t="n">
        <v>9.5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102</v>
      </c>
      <c r="C18" s="3" t="n">
        <v>8</v>
      </c>
      <c r="D18" s="3" t="n">
        <v>8</v>
      </c>
      <c r="E18" s="3" t="n">
        <v>7.5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103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104</v>
      </c>
      <c r="B20" s="3" t="n">
        <v>11</v>
      </c>
    </row>
    <row r="21" customFormat="false" ht="15" hidden="false" customHeight="false" outlineLevel="0" collapsed="false">
      <c r="A21" s="0" t="s">
        <v>105</v>
      </c>
      <c r="B21" s="3" t="n">
        <v>-2</v>
      </c>
    </row>
    <row r="22" customFormat="false" ht="15" hidden="false" customHeight="false" outlineLevel="0" collapsed="false">
      <c r="A22" s="0" t="s">
        <v>106</v>
      </c>
      <c r="B22" s="3" t="n">
        <v>3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3.7</v>
      </c>
      <c r="D27" s="3" t="n">
        <v>0.2</v>
      </c>
      <c r="E27" s="3" t="n">
        <v>4.2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26.9</v>
      </c>
      <c r="D28" s="3" t="n">
        <v>26.2</v>
      </c>
      <c r="E28" s="3" t="n">
        <v>26.4</v>
      </c>
      <c r="F28" s="3" t="n">
        <v>26.1</v>
      </c>
      <c r="G28" s="3" t="n">
        <v>25.7</v>
      </c>
      <c r="H28" s="3" t="n">
        <v>25.4</v>
      </c>
      <c r="I28" s="3" t="n">
        <v>25.1</v>
      </c>
      <c r="J28" s="3" t="n">
        <v>24.7</v>
      </c>
      <c r="K28" s="3" t="n">
        <v>24.4</v>
      </c>
      <c r="L28" s="3" t="n">
        <v>24</v>
      </c>
    </row>
    <row r="29" customFormat="false" ht="15" hidden="false" customHeight="false" outlineLevel="0" collapsed="false">
      <c r="A29" s="0" t="s">
        <v>99</v>
      </c>
      <c r="C29" s="3" t="n">
        <v>0.38</v>
      </c>
      <c r="D29" s="3" t="n">
        <v>0.38</v>
      </c>
      <c r="E29" s="3" t="n">
        <v>0.38</v>
      </c>
      <c r="F29" s="3" t="n">
        <v>0.38</v>
      </c>
      <c r="G29" s="3" t="n">
        <v>0.38</v>
      </c>
      <c r="H29" s="3" t="n">
        <v>0.38</v>
      </c>
      <c r="I29" s="3" t="n">
        <v>0.38</v>
      </c>
      <c r="J29" s="3" t="n">
        <v>0.38</v>
      </c>
      <c r="K29" s="3" t="n">
        <v>0.38</v>
      </c>
      <c r="L29" s="3" t="n">
        <v>0.38</v>
      </c>
    </row>
    <row r="30" customFormat="false" ht="15" hidden="false" customHeight="false" outlineLevel="0" collapsed="false">
      <c r="A30" s="0" t="s">
        <v>100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101</v>
      </c>
      <c r="C31" s="3" t="n">
        <v>12.5</v>
      </c>
      <c r="D31" s="3" t="n">
        <v>12</v>
      </c>
      <c r="E31" s="3" t="n">
        <v>11.5</v>
      </c>
      <c r="F31" s="3" t="n">
        <v>11</v>
      </c>
      <c r="G31" s="3" t="n">
        <v>10.5</v>
      </c>
      <c r="H31" s="3" t="n">
        <v>10</v>
      </c>
      <c r="I31" s="3" t="n">
        <v>9.5</v>
      </c>
      <c r="J31" s="3" t="n">
        <v>9</v>
      </c>
      <c r="K31" s="3" t="n">
        <v>9</v>
      </c>
      <c r="L31" s="3" t="n">
        <v>9</v>
      </c>
    </row>
    <row r="32" customFormat="false" ht="15" hidden="false" customHeight="false" outlineLevel="0" collapsed="false">
      <c r="A32" s="0" t="s">
        <v>102</v>
      </c>
      <c r="C32" s="3" t="n">
        <v>9</v>
      </c>
      <c r="D32" s="3" t="n">
        <v>8</v>
      </c>
      <c r="E32" s="3" t="n">
        <v>7.5</v>
      </c>
      <c r="F32" s="3" t="n">
        <v>7.5</v>
      </c>
      <c r="G32" s="3" t="n">
        <v>7.5</v>
      </c>
      <c r="H32" s="3" t="n">
        <v>7.5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103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104</v>
      </c>
      <c r="B34" s="3" t="n">
        <v>11</v>
      </c>
    </row>
    <row r="35" customFormat="false" ht="15" hidden="false" customHeight="false" outlineLevel="0" collapsed="false">
      <c r="A35" s="0" t="s">
        <v>105</v>
      </c>
      <c r="B35" s="3" t="n">
        <v>0</v>
      </c>
    </row>
    <row r="36" customFormat="false" ht="15" hidden="false" customHeight="false" outlineLevel="0" collapsed="false">
      <c r="A36" s="0" t="s">
        <v>106</v>
      </c>
      <c r="B36" s="3" t="n">
        <v>5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14.1</v>
      </c>
      <c r="D41" s="3" t="n">
        <v>1.2</v>
      </c>
      <c r="E41" s="3" t="n">
        <v>3.7</v>
      </c>
      <c r="F41" s="3" t="n">
        <v>2.5</v>
      </c>
      <c r="G41" s="3" t="n">
        <v>2.5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32.5</v>
      </c>
      <c r="D42" s="3" t="n">
        <v>31.2</v>
      </c>
      <c r="E42" s="3" t="n">
        <v>31.2</v>
      </c>
      <c r="F42" s="3" t="n">
        <v>31</v>
      </c>
      <c r="G42" s="3" t="n">
        <v>31</v>
      </c>
      <c r="H42" s="3" t="n">
        <v>30.8</v>
      </c>
      <c r="I42" s="3" t="n">
        <v>30.8</v>
      </c>
      <c r="J42" s="3" t="n">
        <v>30.5</v>
      </c>
      <c r="K42" s="3" t="n">
        <v>30.5</v>
      </c>
      <c r="L42" s="3" t="n">
        <v>30.5</v>
      </c>
    </row>
    <row r="43" customFormat="false" ht="15" hidden="false" customHeight="false" outlineLevel="0" collapsed="false">
      <c r="A43" s="0" t="s">
        <v>99</v>
      </c>
      <c r="C43" s="3" t="n">
        <v>0.38</v>
      </c>
      <c r="D43" s="3" t="n">
        <v>0.38</v>
      </c>
      <c r="E43" s="3" t="n">
        <v>0.38</v>
      </c>
      <c r="F43" s="3" t="n">
        <v>0.38</v>
      </c>
      <c r="G43" s="3" t="n">
        <v>0.38</v>
      </c>
      <c r="H43" s="3" t="n">
        <v>0.38</v>
      </c>
      <c r="I43" s="3" t="n">
        <v>0.38</v>
      </c>
      <c r="J43" s="3" t="n">
        <v>0.38</v>
      </c>
      <c r="K43" s="3" t="n">
        <v>0.38</v>
      </c>
      <c r="L43" s="3" t="n">
        <v>0.38</v>
      </c>
    </row>
    <row r="44" customFormat="false" ht="15" hidden="false" customHeight="false" outlineLevel="0" collapsed="false">
      <c r="A44" s="0" t="s">
        <v>100</v>
      </c>
      <c r="C44" s="3" t="n">
        <v>1.3</v>
      </c>
      <c r="D44" s="3" t="n">
        <v>1.3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101</v>
      </c>
      <c r="C45" s="3" t="n">
        <v>11.5</v>
      </c>
      <c r="D45" s="3" t="n">
        <v>11</v>
      </c>
      <c r="E45" s="3" t="n">
        <v>10.5</v>
      </c>
      <c r="F45" s="3" t="n">
        <v>10</v>
      </c>
      <c r="G45" s="3" t="n">
        <v>9.5</v>
      </c>
      <c r="H45" s="3" t="n">
        <v>9</v>
      </c>
      <c r="I45" s="3" t="n">
        <v>9</v>
      </c>
      <c r="J45" s="3" t="n">
        <v>9</v>
      </c>
      <c r="K45" s="3" t="n">
        <v>9</v>
      </c>
      <c r="L45" s="3" t="n">
        <v>9</v>
      </c>
    </row>
    <row r="46" customFormat="false" ht="15" hidden="false" customHeight="false" outlineLevel="0" collapsed="false">
      <c r="A46" s="0" t="s">
        <v>102</v>
      </c>
      <c r="C46" s="3" t="n">
        <v>8</v>
      </c>
      <c r="D46" s="3" t="n">
        <v>7.5</v>
      </c>
      <c r="E46" s="3" t="n">
        <v>7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103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104</v>
      </c>
      <c r="B48" s="3" t="n">
        <v>11</v>
      </c>
    </row>
    <row r="49" customFormat="false" ht="15" hidden="false" customHeight="false" outlineLevel="0" collapsed="false">
      <c r="A49" s="0" t="s">
        <v>105</v>
      </c>
      <c r="B49" s="3" t="n">
        <v>1</v>
      </c>
    </row>
    <row r="50" customFormat="false" ht="15" hidden="false" customHeight="false" outlineLevel="0" collapsed="false">
      <c r="A50" s="0" t="s">
        <v>106</v>
      </c>
      <c r="B50" s="3" t="n">
        <v>7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-11.5</v>
      </c>
      <c r="D5" s="4" t="n">
        <f aca="false">Assumptions!D13</f>
        <v>-3.2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-3.5</v>
      </c>
      <c r="K5" s="4" t="n">
        <f aca="false">Assumptions!K13</f>
        <v>-3.5</v>
      </c>
      <c r="L5" s="4" t="n">
        <f aca="false">Assumptions!L13</f>
        <v>-3.5</v>
      </c>
    </row>
    <row r="6" customFormat="false" ht="15" hidden="false" customHeight="false" outlineLevel="0" collapsed="false">
      <c r="A6" s="0" t="s">
        <v>37</v>
      </c>
      <c r="B6" s="3" t="n">
        <v>1766.53</v>
      </c>
      <c r="C6" s="0" t="n">
        <f aca="false">B6*(1+C5/100)</f>
        <v>1563.37905</v>
      </c>
      <c r="D6" s="0" t="n">
        <f aca="false">C6*(1+D5/100)</f>
        <v>1513.3509204</v>
      </c>
      <c r="E6" s="0" t="n">
        <f aca="false">D6*(1+E5/100)</f>
        <v>1536.051184206</v>
      </c>
      <c r="F6" s="0" t="n">
        <f aca="false">E6*(1+F5/100)</f>
        <v>1559.09195196909</v>
      </c>
      <c r="G6" s="0" t="n">
        <f aca="false">F6*(1+G5/100)</f>
        <v>1582.47833124863</v>
      </c>
      <c r="H6" s="0" t="n">
        <f aca="false">G6*(1+H5/100)</f>
        <v>1606.21550621736</v>
      </c>
      <c r="I6" s="0" t="n">
        <f aca="false">H6*(1+I5/100)</f>
        <v>1630.30873881062</v>
      </c>
      <c r="J6" s="0" t="n">
        <f aca="false">I6*(1+J5/100)</f>
        <v>1573.24793295224</v>
      </c>
      <c r="K6" s="0" t="n">
        <f aca="false">J6*(1+K5/100)</f>
        <v>1518.18425529892</v>
      </c>
      <c r="L6" s="0" t="n">
        <f aca="false">K6*(1+L5/100)</f>
        <v>1465.04780636345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17.8</v>
      </c>
      <c r="D7" s="4" t="n">
        <f aca="false">Assumptions!D14</f>
        <v>13.6</v>
      </c>
      <c r="E7" s="4" t="n">
        <f aca="false">Assumptions!E14</f>
        <v>12.8</v>
      </c>
      <c r="F7" s="4" t="n">
        <f aca="false">Assumptions!F14</f>
        <v>12.1</v>
      </c>
      <c r="G7" s="4" t="n">
        <f aca="false">Assumptions!G14</f>
        <v>11.3</v>
      </c>
      <c r="H7" s="4" t="n">
        <f aca="false">Assumptions!H14</f>
        <v>10.5</v>
      </c>
      <c r="I7" s="4" t="n">
        <f aca="false">Assumptions!I14</f>
        <v>9.8</v>
      </c>
      <c r="J7" s="4" t="n">
        <f aca="false">Assumptions!J14</f>
        <v>9</v>
      </c>
      <c r="K7" s="4" t="n">
        <f aca="false">Assumptions!K14</f>
        <v>8.3</v>
      </c>
      <c r="L7" s="4" t="n">
        <f aca="false">Assumptions!L14</f>
        <v>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278.2814709</v>
      </c>
      <c r="D8" s="0" t="n">
        <f aca="false">D6*D7/100</f>
        <v>205.8157251744</v>
      </c>
      <c r="E8" s="0" t="n">
        <f aca="false">E6*E7/100</f>
        <v>196.614551578368</v>
      </c>
      <c r="F8" s="0" t="n">
        <f aca="false">F6*F7/100</f>
        <v>188.65012618826</v>
      </c>
      <c r="G8" s="0" t="n">
        <f aca="false">G6*G7/100</f>
        <v>178.820051431095</v>
      </c>
      <c r="H8" s="0" t="n">
        <f aca="false">H6*H7/100</f>
        <v>168.652628152822</v>
      </c>
      <c r="I8" s="0" t="n">
        <f aca="false">I6*I7/100</f>
        <v>159.77025640344</v>
      </c>
      <c r="J8" s="0" t="n">
        <f aca="false">J6*J7/100</f>
        <v>141.592313965702</v>
      </c>
      <c r="K8" s="0" t="n">
        <f aca="false">K6*K7/100</f>
        <v>126.00929318981</v>
      </c>
      <c r="L8" s="0" t="n">
        <f aca="false">L6*L7/100</f>
        <v>109.878585477259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0.38</v>
      </c>
      <c r="D9" s="4" t="n">
        <f aca="false">Assumptions!D15</f>
        <v>0.38</v>
      </c>
      <c r="E9" s="4" t="n">
        <f aca="false">Assumptions!E15</f>
        <v>0.38</v>
      </c>
      <c r="F9" s="4" t="n">
        <f aca="false">Assumptions!F15</f>
        <v>0.38</v>
      </c>
      <c r="G9" s="4" t="n">
        <f aca="false">Assumptions!G15</f>
        <v>0.38</v>
      </c>
      <c r="H9" s="4" t="n">
        <f aca="false">Assumptions!H15</f>
        <v>0.38</v>
      </c>
      <c r="I9" s="4" t="n">
        <f aca="false">Assumptions!I15</f>
        <v>0.38</v>
      </c>
      <c r="J9" s="4" t="n">
        <f aca="false">Assumptions!J15</f>
        <v>0.38</v>
      </c>
      <c r="K9" s="4" t="n">
        <f aca="false">Assumptions!K15</f>
        <v>0.38</v>
      </c>
      <c r="L9" s="4" t="n">
        <f aca="false">Assumptions!L15</f>
        <v>0.38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-5.94084039</v>
      </c>
      <c r="D10" s="0" t="n">
        <f aca="false">-D6*D9/100</f>
        <v>-5.75073349752</v>
      </c>
      <c r="E10" s="0" t="n">
        <f aca="false">-E6*E9/100</f>
        <v>-5.8369944999828</v>
      </c>
      <c r="F10" s="0" t="n">
        <f aca="false">-F6*F9/100</f>
        <v>-5.92454941748254</v>
      </c>
      <c r="G10" s="0" t="n">
        <f aca="false">-G6*G9/100</f>
        <v>-6.01341765874478</v>
      </c>
      <c r="H10" s="0" t="n">
        <f aca="false">-H6*H9/100</f>
        <v>-6.10361892362595</v>
      </c>
      <c r="I10" s="0" t="n">
        <f aca="false">-I6*I9/100</f>
        <v>-6.19517320748034</v>
      </c>
      <c r="J10" s="0" t="n">
        <f aca="false">-J6*J9/100</f>
        <v>-5.97834214521853</v>
      </c>
      <c r="K10" s="0" t="n">
        <f aca="false">-K6*K9/100</f>
        <v>-5.76910017013588</v>
      </c>
      <c r="L10" s="0" t="n">
        <f aca="false">-L6*L9/100</f>
        <v>-5.56718166418112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252.01670286</v>
      </c>
      <c r="D11" s="0" t="n">
        <f aca="false">D8+D10+D24</f>
        <v>180.39142971168</v>
      </c>
      <c r="E11" s="0" t="n">
        <f aca="false">E8+E10+E24</f>
        <v>170.808891683707</v>
      </c>
      <c r="F11" s="0" t="n">
        <f aca="false">F8+F10+F24</f>
        <v>162.457381395179</v>
      </c>
      <c r="G11" s="0" t="n">
        <f aca="false">G8+G10+G24</f>
        <v>152.234415466118</v>
      </c>
      <c r="H11" s="0" t="n">
        <f aca="false">H8+H10+H24</f>
        <v>141.668207648371</v>
      </c>
      <c r="I11" s="0" t="n">
        <f aca="false">I8+I10+I24</f>
        <v>132.381069591422</v>
      </c>
      <c r="J11" s="0" t="n">
        <f aca="false">J8+J10+J24</f>
        <v>115.161748692104</v>
      </c>
      <c r="K11" s="0" t="n">
        <f aca="false">K8+K10+K24</f>
        <v>100.503797700788</v>
      </c>
      <c r="L11" s="0" t="n">
        <f aca="false">L8+L10+L24</f>
        <v>85.265782330353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-195.42238125</v>
      </c>
      <c r="D12" s="4" t="n">
        <f aca="false">-D6*Assumptions!D17/100</f>
        <v>-181.602110448</v>
      </c>
      <c r="E12" s="4" t="n">
        <f aca="false">-E6*Assumptions!E17/100</f>
        <v>-176.64588618369</v>
      </c>
      <c r="F12" s="4" t="n">
        <f aca="false">-F6*Assumptions!F17/100</f>
        <v>-171.5001147166</v>
      </c>
      <c r="G12" s="4" t="n">
        <f aca="false">-G6*Assumptions!G17/100</f>
        <v>-166.160224781106</v>
      </c>
      <c r="H12" s="4" t="n">
        <f aca="false">-H6*Assumptions!H17/100</f>
        <v>-160.621550621736</v>
      </c>
      <c r="I12" s="4" t="n">
        <f aca="false">-I6*Assumptions!I17/100</f>
        <v>-154.879330187008</v>
      </c>
      <c r="J12" s="4" t="n">
        <f aca="false">-J6*Assumptions!J17/100</f>
        <v>-141.592313965702</v>
      </c>
      <c r="K12" s="4" t="n">
        <f aca="false">-K6*Assumptions!K17/100</f>
        <v>-136.636582976902</v>
      </c>
      <c r="L12" s="4" t="n">
        <f aca="false">-L6*Assumptions!L17/100</f>
        <v>-131.854302572711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56.59432161</v>
      </c>
      <c r="D13" s="0" t="n">
        <f aca="false">D11+D12</f>
        <v>-1.21068073632</v>
      </c>
      <c r="E13" s="0" t="n">
        <f aca="false">E11+E12</f>
        <v>-5.83699449998281</v>
      </c>
      <c r="F13" s="0" t="n">
        <f aca="false">F11+F12</f>
        <v>-9.04273332142071</v>
      </c>
      <c r="G13" s="0" t="n">
        <f aca="false">G11+G12</f>
        <v>-13.9258093149879</v>
      </c>
      <c r="H13" s="0" t="n">
        <f aca="false">H11+H12</f>
        <v>-18.9533429733648</v>
      </c>
      <c r="I13" s="0" t="n">
        <f aca="false">I11+I12</f>
        <v>-22.4982605955865</v>
      </c>
      <c r="J13" s="0" t="n">
        <f aca="false">J11+J12</f>
        <v>-26.4305652735977</v>
      </c>
      <c r="K13" s="0" t="n">
        <f aca="false">K11+K12</f>
        <v>-36.1327852761142</v>
      </c>
      <c r="L13" s="0" t="n">
        <f aca="false">L11+L12</f>
        <v>-46.5885202423578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39.616025127</v>
      </c>
      <c r="D15" s="0" t="n">
        <f aca="false">D13-MAX(0,D13)*D14/100</f>
        <v>-1.21068073632</v>
      </c>
      <c r="E15" s="0" t="n">
        <f aca="false">E13-MAX(0,E13)*E14/100</f>
        <v>-5.83699449998281</v>
      </c>
      <c r="F15" s="0" t="n">
        <f aca="false">F13-MAX(0,F13)*F14/100</f>
        <v>-9.04273332142071</v>
      </c>
      <c r="G15" s="0" t="n">
        <f aca="false">G13-MAX(0,G13)*G14/100</f>
        <v>-13.9258093149879</v>
      </c>
      <c r="H15" s="0" t="n">
        <f aca="false">H13-MAX(0,H13)*H14/100</f>
        <v>-18.9533429733648</v>
      </c>
      <c r="I15" s="0" t="n">
        <f aca="false">I13-MAX(0,I13)*I14/100</f>
        <v>-22.4982605955865</v>
      </c>
      <c r="J15" s="0" t="n">
        <f aca="false">J13-MAX(0,J13)*J14/100</f>
        <v>-26.4305652735977</v>
      </c>
      <c r="K15" s="0" t="n">
        <f aca="false">K13-MAX(0,K13)*K14/100</f>
        <v>-36.1327852761142</v>
      </c>
      <c r="L15" s="0" t="n">
        <f aca="false">L13-MAX(0,L13)*L14/100</f>
        <v>-46.5885202423578</v>
      </c>
    </row>
    <row r="16" customFormat="false" ht="15" hidden="false" customHeight="false" outlineLevel="0" collapsed="false">
      <c r="A16" s="0" t="s">
        <v>119</v>
      </c>
      <c r="C16" s="0" t="n">
        <f aca="false">-C12</f>
        <v>195.42238125</v>
      </c>
      <c r="D16" s="0" t="n">
        <f aca="false">-D12</f>
        <v>181.602110448</v>
      </c>
      <c r="E16" s="0" t="n">
        <f aca="false">-E12</f>
        <v>176.64588618369</v>
      </c>
      <c r="F16" s="0" t="n">
        <f aca="false">-F12</f>
        <v>171.5001147166</v>
      </c>
      <c r="G16" s="0" t="n">
        <f aca="false">-G12</f>
        <v>166.160224781106</v>
      </c>
      <c r="H16" s="0" t="n">
        <f aca="false">-H12</f>
        <v>160.621550621736</v>
      </c>
      <c r="I16" s="0" t="n">
        <f aca="false">-I12</f>
        <v>154.879330187008</v>
      </c>
      <c r="J16" s="0" t="n">
        <f aca="false">-J12</f>
        <v>141.592313965702</v>
      </c>
      <c r="K16" s="0" t="n">
        <f aca="false">-K12</f>
        <v>136.636582976902</v>
      </c>
      <c r="L16" s="0" t="n">
        <f aca="false">-L12</f>
        <v>131.854302572711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-125.070324</v>
      </c>
      <c r="D17" s="4" t="n">
        <f aca="false">-D6*Assumptions!D18/100</f>
        <v>-121.068073632</v>
      </c>
      <c r="E17" s="4" t="n">
        <f aca="false">-E6*Assumptions!E18/100</f>
        <v>-115.20383881545</v>
      </c>
      <c r="F17" s="4" t="n">
        <f aca="false">-F6*Assumptions!F18/100</f>
        <v>-116.931896397682</v>
      </c>
      <c r="G17" s="4" t="n">
        <f aca="false">-G6*Assumptions!G18/100</f>
        <v>-118.685874843647</v>
      </c>
      <c r="H17" s="4" t="n">
        <f aca="false">-H6*Assumptions!H18/100</f>
        <v>-120.466162966302</v>
      </c>
      <c r="I17" s="4" t="n">
        <f aca="false">-I6*Assumptions!I18/100</f>
        <v>-122.273155410796</v>
      </c>
      <c r="J17" s="4" t="n">
        <f aca="false">-J6*Assumptions!J18/100</f>
        <v>-110.127355306657</v>
      </c>
      <c r="K17" s="4" t="n">
        <f aca="false">-K6*Assumptions!K18/100</f>
        <v>-106.272897870924</v>
      </c>
      <c r="L17" s="4" t="n">
        <f aca="false">-L6*Assumptions!L18/100</f>
        <v>-102.553346445442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10.1575475</v>
      </c>
      <c r="D18" s="4" t="n">
        <f aca="false">(D6-C6)*Assumptions!$B$23/100</f>
        <v>2.50140648</v>
      </c>
      <c r="E18" s="4" t="n">
        <f aca="false">(E6-D6)*Assumptions!$B$23/100</f>
        <v>-1.13501319029999</v>
      </c>
      <c r="F18" s="4" t="n">
        <f aca="false">(F6-E6)*Assumptions!$B$23/100</f>
        <v>-1.15203838815449</v>
      </c>
      <c r="G18" s="4" t="n">
        <f aca="false">(G6-F6)*Assumptions!$B$23/100</f>
        <v>-1.16931896397681</v>
      </c>
      <c r="H18" s="4" t="n">
        <f aca="false">(H6-G6)*Assumptions!$B$23/100</f>
        <v>-1.18685874843646</v>
      </c>
      <c r="I18" s="4" t="n">
        <f aca="false">(I6-H6)*Assumptions!$B$23/100</f>
        <v>-1.20466162966301</v>
      </c>
      <c r="J18" s="4" t="n">
        <f aca="false">(J6-I6)*Assumptions!$B$23/100</f>
        <v>2.85304029291858</v>
      </c>
      <c r="K18" s="4" t="n">
        <f aca="false">(K6-J6)*Assumptions!$B$23/100</f>
        <v>2.75318388266643</v>
      </c>
      <c r="L18" s="4" t="n">
        <f aca="false">(L6-K6)*Assumptions!$B$23/100</f>
        <v>2.65682244677311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120.125629877</v>
      </c>
      <c r="D19" s="0" t="n">
        <f aca="false">D15+D16+D17+D18</f>
        <v>61.82476255968</v>
      </c>
      <c r="E19" s="0" t="n">
        <f aca="false">E15+E16+E17+E18</f>
        <v>54.4700396779572</v>
      </c>
      <c r="F19" s="0" t="n">
        <f aca="false">F15+F16+F17+F18</f>
        <v>44.3734466093429</v>
      </c>
      <c r="G19" s="0" t="n">
        <f aca="false">G15+G16+G17+G18</f>
        <v>32.3792216584941</v>
      </c>
      <c r="H19" s="0" t="n">
        <f aca="false">H15+H16+H17+H18</f>
        <v>20.0151859336326</v>
      </c>
      <c r="I19" s="0" t="n">
        <f aca="false">I15+I16+I17+I18</f>
        <v>8.90325255096282</v>
      </c>
      <c r="J19" s="0" t="n">
        <f aca="false">J15+J16+J17+J18</f>
        <v>7.88743367836573</v>
      </c>
      <c r="K19" s="0" t="n">
        <f aca="false">K15+K16+K17+K18</f>
        <v>-3.01591628746943</v>
      </c>
      <c r="L19" s="0" t="n">
        <f aca="false">L15+L16+L17+L18</f>
        <v>-14.6307416683157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108.221288177477</v>
      </c>
      <c r="D21" s="0" t="n">
        <f aca="false">D19*D20</f>
        <v>50.1783642234234</v>
      </c>
      <c r="E21" s="0" t="n">
        <f aca="false">E19*E20</f>
        <v>39.8280235516431</v>
      </c>
      <c r="F21" s="0" t="n">
        <f aca="false">F19*F20</f>
        <v>29.2301637111436</v>
      </c>
      <c r="G21" s="0" t="n">
        <f aca="false">G19*G20</f>
        <v>19.2154920947357</v>
      </c>
      <c r="H21" s="0" t="n">
        <f aca="false">H19*H20</f>
        <v>10.70093574203</v>
      </c>
      <c r="I21" s="0" t="n">
        <f aca="false">I19*I20</f>
        <v>4.28832647545624</v>
      </c>
      <c r="J21" s="0" t="n">
        <f aca="false">J19*J20</f>
        <v>3.42256646083625</v>
      </c>
      <c r="K21" s="0" t="n">
        <f aca="false">K19*K20</f>
        <v>-1.17899638536013</v>
      </c>
      <c r="L21" s="0" t="n">
        <f aca="false">L19*L20</f>
        <v>-5.15272012853963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1.3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-20.32392765</v>
      </c>
      <c r="D24" s="0" t="n">
        <f aca="false">-D6*D23/100</f>
        <v>-19.6735619652</v>
      </c>
      <c r="E24" s="0" t="n">
        <f aca="false">-E6*E23/100</f>
        <v>-19.968665394678</v>
      </c>
      <c r="F24" s="0" t="n">
        <f aca="false">-F6*F23/100</f>
        <v>-20.2681953755982</v>
      </c>
      <c r="G24" s="0" t="n">
        <f aca="false">-G6*G23/100</f>
        <v>-20.5722183062321</v>
      </c>
      <c r="H24" s="0" t="n">
        <f aca="false">-H6*H23/100</f>
        <v>-20.8808015808256</v>
      </c>
      <c r="I24" s="0" t="n">
        <f aca="false">-I6*I23/100</f>
        <v>-21.194013604538</v>
      </c>
      <c r="J24" s="0" t="n">
        <f aca="false">-J6*J23/100</f>
        <v>-20.4522231283792</v>
      </c>
      <c r="K24" s="0" t="n">
        <f aca="false">-K6*K23/100</f>
        <v>-19.7363953188859</v>
      </c>
      <c r="L24" s="0" t="n">
        <f aca="false">-L6*L23/100</f>
        <v>-19.0456214827249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-2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258.753443922846</v>
      </c>
    </row>
    <row r="31" customFormat="false" ht="15" hidden="false" customHeight="false" outlineLevel="0" collapsed="false">
      <c r="A31" s="0" t="s">
        <v>128</v>
      </c>
      <c r="B31" s="0" t="n">
        <f aca="false">L19</f>
        <v>-14.6307416683157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-110.293283345764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-43.892225004947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0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0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258.753443922846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946.940443922846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1.11512334713823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-0.809380624420815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34.8161691552583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14.7804728706888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1.17352868172683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0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1.09138351553348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3.7</v>
      </c>
      <c r="D5" s="4" t="n">
        <f aca="false">Assumptions!D27</f>
        <v>0.2</v>
      </c>
      <c r="E5" s="4" t="n">
        <f aca="false">Assumptions!E27</f>
        <v>4.2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1766.53</v>
      </c>
      <c r="C6" s="0" t="n">
        <f aca="false">B6*(1+C5/100)</f>
        <v>1831.89161</v>
      </c>
      <c r="D6" s="0" t="n">
        <f aca="false">C6*(1+D5/100)</f>
        <v>1835.55539322</v>
      </c>
      <c r="E6" s="0" t="n">
        <f aca="false">D6*(1+E5/100)</f>
        <v>1912.64871973524</v>
      </c>
      <c r="F6" s="0" t="n">
        <f aca="false">E6*(1+F5/100)</f>
        <v>1950.90169412994</v>
      </c>
      <c r="G6" s="0" t="n">
        <f aca="false">F6*(1+G5/100)</f>
        <v>1989.91972801254</v>
      </c>
      <c r="H6" s="0" t="n">
        <f aca="false">G6*(1+H5/100)</f>
        <v>2029.71812257279</v>
      </c>
      <c r="I6" s="0" t="n">
        <f aca="false">H6*(1+I5/100)</f>
        <v>2070.31248502425</v>
      </c>
      <c r="J6" s="0" t="n">
        <f aca="false">I6*(1+J5/100)</f>
        <v>2111.71873472474</v>
      </c>
      <c r="K6" s="0" t="n">
        <f aca="false">J6*(1+K5/100)</f>
        <v>2153.95310941923</v>
      </c>
      <c r="L6" s="0" t="n">
        <f aca="false">K6*(1+L5/100)</f>
        <v>2197.03217160762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26.9</v>
      </c>
      <c r="D7" s="4" t="n">
        <f aca="false">Assumptions!D28</f>
        <v>26.2</v>
      </c>
      <c r="E7" s="4" t="n">
        <f aca="false">Assumptions!E28</f>
        <v>26.4</v>
      </c>
      <c r="F7" s="4" t="n">
        <f aca="false">Assumptions!F28</f>
        <v>26.1</v>
      </c>
      <c r="G7" s="4" t="n">
        <f aca="false">Assumptions!G28</f>
        <v>25.7</v>
      </c>
      <c r="H7" s="4" t="n">
        <f aca="false">Assumptions!H28</f>
        <v>25.4</v>
      </c>
      <c r="I7" s="4" t="n">
        <f aca="false">Assumptions!I28</f>
        <v>25.1</v>
      </c>
      <c r="J7" s="4" t="n">
        <f aca="false">Assumptions!J28</f>
        <v>24.7</v>
      </c>
      <c r="K7" s="4" t="n">
        <f aca="false">Assumptions!K28</f>
        <v>24.4</v>
      </c>
      <c r="L7" s="4" t="n">
        <f aca="false">Assumptions!L28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492.77884309</v>
      </c>
      <c r="D8" s="0" t="n">
        <f aca="false">D6*D7/100</f>
        <v>480.91551302364</v>
      </c>
      <c r="E8" s="0" t="n">
        <f aca="false">E6*E7/100</f>
        <v>504.939262010103</v>
      </c>
      <c r="F8" s="0" t="n">
        <f aca="false">F6*F7/100</f>
        <v>509.185342167916</v>
      </c>
      <c r="G8" s="0" t="n">
        <f aca="false">G6*G7/100</f>
        <v>511.409370099224</v>
      </c>
      <c r="H8" s="0" t="n">
        <f aca="false">H6*H7/100</f>
        <v>515.54840313349</v>
      </c>
      <c r="I8" s="0" t="n">
        <f aca="false">I6*I7/100</f>
        <v>519.648433741087</v>
      </c>
      <c r="J8" s="0" t="n">
        <f aca="false">J6*J7/100</f>
        <v>521.59452747701</v>
      </c>
      <c r="K8" s="0" t="n">
        <f aca="false">K6*K7/100</f>
        <v>525.564558698292</v>
      </c>
      <c r="L8" s="0" t="n">
        <f aca="false">L6*L7/100</f>
        <v>527.287721185828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0.38</v>
      </c>
      <c r="D9" s="4" t="n">
        <f aca="false">Assumptions!D29</f>
        <v>0.38</v>
      </c>
      <c r="E9" s="4" t="n">
        <f aca="false">Assumptions!E29</f>
        <v>0.38</v>
      </c>
      <c r="F9" s="4" t="n">
        <f aca="false">Assumptions!F29</f>
        <v>0.38</v>
      </c>
      <c r="G9" s="4" t="n">
        <f aca="false">Assumptions!G29</f>
        <v>0.38</v>
      </c>
      <c r="H9" s="4" t="n">
        <f aca="false">Assumptions!H29</f>
        <v>0.38</v>
      </c>
      <c r="I9" s="4" t="n">
        <f aca="false">Assumptions!I29</f>
        <v>0.38</v>
      </c>
      <c r="J9" s="4" t="n">
        <f aca="false">Assumptions!J29</f>
        <v>0.38</v>
      </c>
      <c r="K9" s="4" t="n">
        <f aca="false">Assumptions!K29</f>
        <v>0.38</v>
      </c>
      <c r="L9" s="4" t="n">
        <f aca="false">Assumptions!L29</f>
        <v>0.38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-6.961188118</v>
      </c>
      <c r="D10" s="0" t="n">
        <f aca="false">-D6*D9/100</f>
        <v>-6.975110494236</v>
      </c>
      <c r="E10" s="0" t="n">
        <f aca="false">-E6*E9/100</f>
        <v>-7.26806513499391</v>
      </c>
      <c r="F10" s="0" t="n">
        <f aca="false">-F6*F9/100</f>
        <v>-7.41342643769379</v>
      </c>
      <c r="G10" s="0" t="n">
        <f aca="false">-G6*G9/100</f>
        <v>-7.56169496644767</v>
      </c>
      <c r="H10" s="0" t="n">
        <f aca="false">-H6*H9/100</f>
        <v>-7.71292886577662</v>
      </c>
      <c r="I10" s="0" t="n">
        <f aca="false">-I6*I9/100</f>
        <v>-7.86718744309215</v>
      </c>
      <c r="J10" s="0" t="n">
        <f aca="false">-J6*J9/100</f>
        <v>-8.024531191954</v>
      </c>
      <c r="K10" s="0" t="n">
        <f aca="false">-K6*K9/100</f>
        <v>-8.18502181579308</v>
      </c>
      <c r="L10" s="0" t="n">
        <f aca="false">-L6*L9/100</f>
        <v>-8.34872225210894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462.003064042</v>
      </c>
      <c r="D11" s="0" t="n">
        <f aca="false">D8+D10+D24</f>
        <v>450.078182417544</v>
      </c>
      <c r="E11" s="0" t="n">
        <f aca="false">E8+E10+E24</f>
        <v>472.806763518551</v>
      </c>
      <c r="F11" s="0" t="n">
        <f aca="false">F8+F10+F24</f>
        <v>476.410193706533</v>
      </c>
      <c r="G11" s="0" t="n">
        <f aca="false">G8+G10+G24</f>
        <v>477.978718668613</v>
      </c>
      <c r="H11" s="0" t="n">
        <f aca="false">H8+H10+H24</f>
        <v>481.449138674267</v>
      </c>
      <c r="I11" s="0" t="n">
        <f aca="false">I8+I10+I24</f>
        <v>484.867183992679</v>
      </c>
      <c r="J11" s="0" t="n">
        <f aca="false">J8+J10+J24</f>
        <v>486.117652733634</v>
      </c>
      <c r="K11" s="0" t="n">
        <f aca="false">K8+K10+K24</f>
        <v>489.378146460049</v>
      </c>
      <c r="L11" s="0" t="n">
        <f aca="false">L8+L10+L24</f>
        <v>490.37758070282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-228.98645125</v>
      </c>
      <c r="D12" s="4" t="n">
        <f aca="false">-D6*Assumptions!D31/100</f>
        <v>-220.2666471864</v>
      </c>
      <c r="E12" s="4" t="n">
        <f aca="false">-E6*Assumptions!E31/100</f>
        <v>-219.954602769553</v>
      </c>
      <c r="F12" s="4" t="n">
        <f aca="false">-F6*Assumptions!F31/100</f>
        <v>-214.599186354294</v>
      </c>
      <c r="G12" s="4" t="n">
        <f aca="false">-G6*Assumptions!G31/100</f>
        <v>-208.941571441317</v>
      </c>
      <c r="H12" s="4" t="n">
        <f aca="false">-H6*Assumptions!H31/100</f>
        <v>-202.971812257279</v>
      </c>
      <c r="I12" s="4" t="n">
        <f aca="false">-I6*Assumptions!I31/100</f>
        <v>-196.679686077304</v>
      </c>
      <c r="J12" s="4" t="n">
        <f aca="false">-J6*Assumptions!J31/100</f>
        <v>-190.054686125226</v>
      </c>
      <c r="K12" s="4" t="n">
        <f aca="false">-K6*Assumptions!K31/100</f>
        <v>-193.855779847731</v>
      </c>
      <c r="L12" s="4" t="n">
        <f aca="false">-L6*Assumptions!L31/100</f>
        <v>-197.732895444685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233.016612792</v>
      </c>
      <c r="D13" s="0" t="n">
        <f aca="false">D11+D12</f>
        <v>229.811535231144</v>
      </c>
      <c r="E13" s="0" t="n">
        <f aca="false">E11+E12</f>
        <v>252.852160748999</v>
      </c>
      <c r="F13" s="0" t="n">
        <f aca="false">F11+F12</f>
        <v>261.811007352239</v>
      </c>
      <c r="G13" s="0" t="n">
        <f aca="false">G11+G12</f>
        <v>269.037147227296</v>
      </c>
      <c r="H13" s="0" t="n">
        <f aca="false">H11+H12</f>
        <v>278.477326416987</v>
      </c>
      <c r="I13" s="0" t="n">
        <f aca="false">I11+I12</f>
        <v>288.187497915376</v>
      </c>
      <c r="J13" s="0" t="n">
        <f aca="false">J11+J12</f>
        <v>296.062966608408</v>
      </c>
      <c r="K13" s="0" t="n">
        <f aca="false">K11+K12</f>
        <v>295.522366612318</v>
      </c>
      <c r="L13" s="0" t="n">
        <f aca="false">L11+L12</f>
        <v>292.644685258134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163.1116289544</v>
      </c>
      <c r="D15" s="0" t="n">
        <f aca="false">D13-MAX(0,D13)*D14/100</f>
        <v>160.868074661801</v>
      </c>
      <c r="E15" s="0" t="n">
        <f aca="false">E13-MAX(0,E13)*E14/100</f>
        <v>176.996512524299</v>
      </c>
      <c r="F15" s="0" t="n">
        <f aca="false">F13-MAX(0,F13)*F14/100</f>
        <v>183.267705146567</v>
      </c>
      <c r="G15" s="0" t="n">
        <f aca="false">G13-MAX(0,G13)*G14/100</f>
        <v>188.326003059107</v>
      </c>
      <c r="H15" s="0" t="n">
        <f aca="false">H13-MAX(0,H13)*H14/100</f>
        <v>194.934128491891</v>
      </c>
      <c r="I15" s="0" t="n">
        <f aca="false">I13-MAX(0,I13)*I14/100</f>
        <v>201.731248540763</v>
      </c>
      <c r="J15" s="0" t="n">
        <f aca="false">J13-MAX(0,J13)*J14/100</f>
        <v>207.244076625886</v>
      </c>
      <c r="K15" s="0" t="n">
        <f aca="false">K13-MAX(0,K13)*K14/100</f>
        <v>206.865656628623</v>
      </c>
      <c r="L15" s="0" t="n">
        <f aca="false">L13-MAX(0,L13)*L14/100</f>
        <v>204.851279680694</v>
      </c>
    </row>
    <row r="16" customFormat="false" ht="15" hidden="false" customHeight="false" outlineLevel="0" collapsed="false">
      <c r="A16" s="0" t="s">
        <v>119</v>
      </c>
      <c r="C16" s="0" t="n">
        <f aca="false">-C12</f>
        <v>228.98645125</v>
      </c>
      <c r="D16" s="0" t="n">
        <f aca="false">-D12</f>
        <v>220.2666471864</v>
      </c>
      <c r="E16" s="0" t="n">
        <f aca="false">-E12</f>
        <v>219.954602769553</v>
      </c>
      <c r="F16" s="0" t="n">
        <f aca="false">-F12</f>
        <v>214.599186354294</v>
      </c>
      <c r="G16" s="0" t="n">
        <f aca="false">-G12</f>
        <v>208.941571441317</v>
      </c>
      <c r="H16" s="0" t="n">
        <f aca="false">-H12</f>
        <v>202.971812257279</v>
      </c>
      <c r="I16" s="0" t="n">
        <f aca="false">-I12</f>
        <v>196.679686077304</v>
      </c>
      <c r="J16" s="0" t="n">
        <f aca="false">-J12</f>
        <v>190.054686125226</v>
      </c>
      <c r="K16" s="0" t="n">
        <f aca="false">-K12</f>
        <v>193.855779847731</v>
      </c>
      <c r="L16" s="0" t="n">
        <f aca="false">-L12</f>
        <v>197.732895444685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-164.8702449</v>
      </c>
      <c r="D17" s="4" t="n">
        <f aca="false">-D6*Assumptions!D32/100</f>
        <v>-146.8444314576</v>
      </c>
      <c r="E17" s="4" t="n">
        <f aca="false">-E6*Assumptions!E32/100</f>
        <v>-143.448653980143</v>
      </c>
      <c r="F17" s="4" t="n">
        <f aca="false">-F6*Assumptions!F32/100</f>
        <v>-146.317627059746</v>
      </c>
      <c r="G17" s="4" t="n">
        <f aca="false">-G6*Assumptions!G32/100</f>
        <v>-149.243979600941</v>
      </c>
      <c r="H17" s="4" t="n">
        <f aca="false">-H6*Assumptions!H32/100</f>
        <v>-152.22885919296</v>
      </c>
      <c r="I17" s="4" t="n">
        <f aca="false">-I6*Assumptions!I32/100</f>
        <v>-155.273436376819</v>
      </c>
      <c r="J17" s="4" t="n">
        <f aca="false">-J6*Assumptions!J32/100</f>
        <v>-158.378905104355</v>
      </c>
      <c r="K17" s="4" t="n">
        <f aca="false">-K6*Assumptions!K32/100</f>
        <v>-161.546483206442</v>
      </c>
      <c r="L17" s="4" t="n">
        <f aca="false">-L6*Assumptions!L32/100</f>
        <v>-164.777412870571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-3.2680805</v>
      </c>
      <c r="D18" s="4" t="n">
        <f aca="false">(D6-C6)*Assumptions!$B$37/100</f>
        <v>-0.183189160999996</v>
      </c>
      <c r="E18" s="4" t="n">
        <f aca="false">(E6-D6)*Assumptions!$B$37/100</f>
        <v>-3.854666325762</v>
      </c>
      <c r="F18" s="4" t="n">
        <f aca="false">(F6-E6)*Assumptions!$B$37/100</f>
        <v>-1.91264871973524</v>
      </c>
      <c r="G18" s="4" t="n">
        <f aca="false">(G6-F6)*Assumptions!$B$37/100</f>
        <v>-1.95090169412995</v>
      </c>
      <c r="H18" s="4" t="n">
        <f aca="false">(H6-G6)*Assumptions!$B$37/100</f>
        <v>-1.98991972801255</v>
      </c>
      <c r="I18" s="4" t="n">
        <f aca="false">(I6-H6)*Assumptions!$B$37/100</f>
        <v>-2.02971812257279</v>
      </c>
      <c r="J18" s="4" t="n">
        <f aca="false">(J6-I6)*Assumptions!$B$37/100</f>
        <v>-2.07031248502426</v>
      </c>
      <c r="K18" s="4" t="n">
        <f aca="false">(K6-J6)*Assumptions!$B$37/100</f>
        <v>-2.11171873472474</v>
      </c>
      <c r="L18" s="4" t="n">
        <f aca="false">(L6-K6)*Assumptions!$B$37/100</f>
        <v>-2.15395310941924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223.9597548044</v>
      </c>
      <c r="D19" s="0" t="n">
        <f aca="false">D15+D16+D17+D18</f>
        <v>234.107101229601</v>
      </c>
      <c r="E19" s="0" t="n">
        <f aca="false">E15+E16+E17+E18</f>
        <v>249.647794987947</v>
      </c>
      <c r="F19" s="0" t="n">
        <f aca="false">F15+F16+F17+F18</f>
        <v>249.63661572138</v>
      </c>
      <c r="G19" s="0" t="n">
        <f aca="false">G15+G16+G17+G18</f>
        <v>246.072693205353</v>
      </c>
      <c r="H19" s="0" t="n">
        <f aca="false">H15+H16+H17+H18</f>
        <v>243.687161828198</v>
      </c>
      <c r="I19" s="0" t="n">
        <f aca="false">I15+I16+I17+I18</f>
        <v>241.107780118675</v>
      </c>
      <c r="J19" s="0" t="n">
        <f aca="false">J15+J16+J17+J18</f>
        <v>236.849545161732</v>
      </c>
      <c r="K19" s="0" t="n">
        <f aca="false">K15+K16+K17+K18</f>
        <v>237.063234535187</v>
      </c>
      <c r="L19" s="0" t="n">
        <f aca="false">L15+L16+L17+L18</f>
        <v>235.652809145389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201.765544868829</v>
      </c>
      <c r="D21" s="0" t="n">
        <f aca="false">D19*D20</f>
        <v>190.006575139681</v>
      </c>
      <c r="E21" s="0" t="n">
        <f aca="false">E19*E20</f>
        <v>182.540316055973</v>
      </c>
      <c r="F21" s="0" t="n">
        <f aca="false">F19*F20</f>
        <v>164.443371056406</v>
      </c>
      <c r="G21" s="0" t="n">
        <f aca="false">G19*G20</f>
        <v>146.032166581663</v>
      </c>
      <c r="H21" s="0" t="n">
        <f aca="false">H19*H20</f>
        <v>130.285107943933</v>
      </c>
      <c r="I21" s="0" t="n">
        <f aca="false">I19*I20</f>
        <v>116.13159022537</v>
      </c>
      <c r="J21" s="0" t="n">
        <f aca="false">J19*J20</f>
        <v>102.77529328181</v>
      </c>
      <c r="K21" s="0" t="n">
        <f aca="false">K19*K20</f>
        <v>92.6738907774139</v>
      </c>
      <c r="L21" s="0" t="n">
        <f aca="false">L19*L20</f>
        <v>82.9932617606078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-23.81459093</v>
      </c>
      <c r="D24" s="0" t="n">
        <f aca="false">-D6*D23/100</f>
        <v>-23.86222011186</v>
      </c>
      <c r="E24" s="0" t="n">
        <f aca="false">-E6*E23/100</f>
        <v>-24.8644333565581</v>
      </c>
      <c r="F24" s="0" t="n">
        <f aca="false">-F6*F23/100</f>
        <v>-25.3617220236893</v>
      </c>
      <c r="G24" s="0" t="n">
        <f aca="false">-G6*G23/100</f>
        <v>-25.8689564641631</v>
      </c>
      <c r="H24" s="0" t="n">
        <f aca="false">-H6*H23/100</f>
        <v>-26.3863355934463</v>
      </c>
      <c r="I24" s="0" t="n">
        <f aca="false">-I6*I23/100</f>
        <v>-26.9140623053153</v>
      </c>
      <c r="J24" s="0" t="n">
        <f aca="false">-J6*J23/100</f>
        <v>-27.4523435514216</v>
      </c>
      <c r="K24" s="0" t="n">
        <f aca="false">-K6*K23/100</f>
        <v>-28.00139042245</v>
      </c>
      <c r="L24" s="0" t="n">
        <f aca="false">-L6*L23/100</f>
        <v>-28.561418230899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1409.64711769169</v>
      </c>
    </row>
    <row r="31" customFormat="false" ht="15" hidden="false" customHeight="false" outlineLevel="0" collapsed="false">
      <c r="A31" s="0" t="s">
        <v>128</v>
      </c>
      <c r="B31" s="0" t="n">
        <f aca="false">L19</f>
        <v>235.652809145389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2142.29826495808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1178.26404572695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1178.26404572695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414.966308803039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1824.61342649473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2512.80042649473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2.95909044783759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-0.494172573019215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44.1528135444628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26.7299126799253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3.04256241635356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1178.26404572695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2.56657035208977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14.1</v>
      </c>
      <c r="D5" s="4" t="n">
        <f aca="false">Assumptions!D41</f>
        <v>1.2</v>
      </c>
      <c r="E5" s="4" t="n">
        <f aca="false">Assumptions!E41</f>
        <v>3.7</v>
      </c>
      <c r="F5" s="4" t="n">
        <f aca="false">Assumptions!F41</f>
        <v>2.5</v>
      </c>
      <c r="G5" s="4" t="n">
        <f aca="false">Assumptions!G41</f>
        <v>2.5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1766.53</v>
      </c>
      <c r="C6" s="0" t="n">
        <f aca="false">B6*(1+C5/100)</f>
        <v>2015.61073</v>
      </c>
      <c r="D6" s="0" t="n">
        <f aca="false">C6*(1+D5/100)</f>
        <v>2039.79805876</v>
      </c>
      <c r="E6" s="0" t="n">
        <f aca="false">D6*(1+E5/100)</f>
        <v>2115.27058693412</v>
      </c>
      <c r="F6" s="0" t="n">
        <f aca="false">E6*(1+F5/100)</f>
        <v>2168.15235160747</v>
      </c>
      <c r="G6" s="0" t="n">
        <f aca="false">F6*(1+G5/100)</f>
        <v>2222.35616039766</v>
      </c>
      <c r="H6" s="0" t="n">
        <f aca="false">G6*(1+H5/100)</f>
        <v>2277.9150644076</v>
      </c>
      <c r="I6" s="0" t="n">
        <f aca="false">H6*(1+I5/100)</f>
        <v>2334.86294101779</v>
      </c>
      <c r="J6" s="0" t="n">
        <f aca="false">I6*(1+J5/100)</f>
        <v>2393.23451454324</v>
      </c>
      <c r="K6" s="0" t="n">
        <f aca="false">J6*(1+K5/100)</f>
        <v>2453.06537740682</v>
      </c>
      <c r="L6" s="0" t="n">
        <f aca="false">K6*(1+L5/100)</f>
        <v>2514.39201184199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32.5</v>
      </c>
      <c r="D7" s="4" t="n">
        <f aca="false">Assumptions!D42</f>
        <v>31.2</v>
      </c>
      <c r="E7" s="4" t="n">
        <f aca="false">Assumptions!E42</f>
        <v>31.2</v>
      </c>
      <c r="F7" s="4" t="n">
        <f aca="false">Assumptions!F42</f>
        <v>31</v>
      </c>
      <c r="G7" s="4" t="n">
        <f aca="false">Assumptions!G42</f>
        <v>31</v>
      </c>
      <c r="H7" s="4" t="n">
        <f aca="false">Assumptions!H42</f>
        <v>30.8</v>
      </c>
      <c r="I7" s="4" t="n">
        <f aca="false">Assumptions!I42</f>
        <v>30.8</v>
      </c>
      <c r="J7" s="4" t="n">
        <f aca="false">Assumptions!J42</f>
        <v>30.5</v>
      </c>
      <c r="K7" s="4" t="n">
        <f aca="false">Assumptions!K42</f>
        <v>30.5</v>
      </c>
      <c r="L7" s="4" t="n">
        <f aca="false">Assumptions!L42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655.07348725</v>
      </c>
      <c r="D8" s="0" t="n">
        <f aca="false">D6*D7/100</f>
        <v>636.41699433312</v>
      </c>
      <c r="E8" s="0" t="n">
        <f aca="false">E6*E7/100</f>
        <v>659.964423123446</v>
      </c>
      <c r="F8" s="0" t="n">
        <f aca="false">F6*F7/100</f>
        <v>672.127228998317</v>
      </c>
      <c r="G8" s="0" t="n">
        <f aca="false">G6*G7/100</f>
        <v>688.930409723275</v>
      </c>
      <c r="H8" s="0" t="n">
        <f aca="false">H6*H7/100</f>
        <v>701.597839837541</v>
      </c>
      <c r="I8" s="0" t="n">
        <f aca="false">I6*I7/100</f>
        <v>719.13778583348</v>
      </c>
      <c r="J8" s="0" t="n">
        <f aca="false">J6*J7/100</f>
        <v>729.936526935687</v>
      </c>
      <c r="K8" s="0" t="n">
        <f aca="false">K6*K7/100</f>
        <v>748.184940109079</v>
      </c>
      <c r="L8" s="0" t="n">
        <f aca="false">L6*L7/100</f>
        <v>766.889563611806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0.38</v>
      </c>
      <c r="D9" s="4" t="n">
        <f aca="false">Assumptions!D43</f>
        <v>0.38</v>
      </c>
      <c r="E9" s="4" t="n">
        <f aca="false">Assumptions!E43</f>
        <v>0.38</v>
      </c>
      <c r="F9" s="4" t="n">
        <f aca="false">Assumptions!F43</f>
        <v>0.38</v>
      </c>
      <c r="G9" s="4" t="n">
        <f aca="false">Assumptions!G43</f>
        <v>0.38</v>
      </c>
      <c r="H9" s="4" t="n">
        <f aca="false">Assumptions!H43</f>
        <v>0.38</v>
      </c>
      <c r="I9" s="4" t="n">
        <f aca="false">Assumptions!I43</f>
        <v>0.38</v>
      </c>
      <c r="J9" s="4" t="n">
        <f aca="false">Assumptions!J43</f>
        <v>0.38</v>
      </c>
      <c r="K9" s="4" t="n">
        <f aca="false">Assumptions!K43</f>
        <v>0.38</v>
      </c>
      <c r="L9" s="4" t="n">
        <f aca="false">Assumptions!L43</f>
        <v>0.38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-7.659320774</v>
      </c>
      <c r="D10" s="0" t="n">
        <f aca="false">-D6*D9/100</f>
        <v>-7.751232623288</v>
      </c>
      <c r="E10" s="0" t="n">
        <f aca="false">-E6*E9/100</f>
        <v>-8.03802823034966</v>
      </c>
      <c r="F10" s="0" t="n">
        <f aca="false">-F6*F9/100</f>
        <v>-8.2389789361084</v>
      </c>
      <c r="G10" s="0" t="n">
        <f aca="false">-G6*G9/100</f>
        <v>-8.44495340951111</v>
      </c>
      <c r="H10" s="0" t="n">
        <f aca="false">-H6*H9/100</f>
        <v>-8.65607724474888</v>
      </c>
      <c r="I10" s="0" t="n">
        <f aca="false">-I6*I9/100</f>
        <v>-8.8724791758676</v>
      </c>
      <c r="J10" s="0" t="n">
        <f aca="false">-J6*J9/100</f>
        <v>-9.09429115526429</v>
      </c>
      <c r="K10" s="0" t="n">
        <f aca="false">-K6*K9/100</f>
        <v>-9.3216484341459</v>
      </c>
      <c r="L10" s="0" t="n">
        <f aca="false">-L6*L9/100</f>
        <v>-9.55468964499955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621.211226986</v>
      </c>
      <c r="D11" s="0" t="n">
        <f aca="false">D8+D10+D24</f>
        <v>602.148386945952</v>
      </c>
      <c r="E11" s="0" t="n">
        <f aca="false">E8+E10+E24</f>
        <v>624.427877262952</v>
      </c>
      <c r="F11" s="0" t="n">
        <f aca="false">F8+F10+F24</f>
        <v>635.702269491311</v>
      </c>
      <c r="G11" s="0" t="n">
        <f aca="false">G8+G10+G24</f>
        <v>651.594826228594</v>
      </c>
      <c r="H11" s="0" t="n">
        <f aca="false">H8+H10+H24</f>
        <v>663.328866755493</v>
      </c>
      <c r="I11" s="0" t="n">
        <f aca="false">I8+I10+I24</f>
        <v>679.912088424381</v>
      </c>
      <c r="J11" s="0" t="n">
        <f aca="false">J8+J10+J24</f>
        <v>689.73018709136</v>
      </c>
      <c r="K11" s="0" t="n">
        <f aca="false">K8+K10+K24</f>
        <v>706.973441768644</v>
      </c>
      <c r="L11" s="0" t="n">
        <f aca="false">L8+L10+L24</f>
        <v>724.64777781286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-231.79523395</v>
      </c>
      <c r="D12" s="4" t="n">
        <f aca="false">-D6*Assumptions!D45/100</f>
        <v>-224.3777864636</v>
      </c>
      <c r="E12" s="4" t="n">
        <f aca="false">-E6*Assumptions!E45/100</f>
        <v>-222.103411628083</v>
      </c>
      <c r="F12" s="4" t="n">
        <f aca="false">-F6*Assumptions!F45/100</f>
        <v>-216.815235160747</v>
      </c>
      <c r="G12" s="4" t="n">
        <f aca="false">-G6*Assumptions!G45/100</f>
        <v>-211.123835237778</v>
      </c>
      <c r="H12" s="4" t="n">
        <f aca="false">-H6*Assumptions!H45/100</f>
        <v>-205.012355796684</v>
      </c>
      <c r="I12" s="4" t="n">
        <f aca="false">-I6*Assumptions!I45/100</f>
        <v>-210.137664691601</v>
      </c>
      <c r="J12" s="4" t="n">
        <f aca="false">-J6*Assumptions!J45/100</f>
        <v>-215.391106308891</v>
      </c>
      <c r="K12" s="4" t="n">
        <f aca="false">-K6*Assumptions!K45/100</f>
        <v>-220.775883966613</v>
      </c>
      <c r="L12" s="4" t="n">
        <f aca="false">-L6*Assumptions!L45/100</f>
        <v>-226.295281065779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389.415993036</v>
      </c>
      <c r="D13" s="0" t="n">
        <f aca="false">D11+D12</f>
        <v>377.770600482352</v>
      </c>
      <c r="E13" s="0" t="n">
        <f aca="false">E11+E12</f>
        <v>402.32446563487</v>
      </c>
      <c r="F13" s="0" t="n">
        <f aca="false">F11+F12</f>
        <v>418.887034330564</v>
      </c>
      <c r="G13" s="0" t="n">
        <f aca="false">G11+G12</f>
        <v>440.470990990816</v>
      </c>
      <c r="H13" s="0" t="n">
        <f aca="false">H11+H12</f>
        <v>458.316510958809</v>
      </c>
      <c r="I13" s="0" t="n">
        <f aca="false">I11+I12</f>
        <v>469.77442373278</v>
      </c>
      <c r="J13" s="0" t="n">
        <f aca="false">J11+J12</f>
        <v>474.339080782469</v>
      </c>
      <c r="K13" s="0" t="n">
        <f aca="false">K11+K12</f>
        <v>486.197557802031</v>
      </c>
      <c r="L13" s="0" t="n">
        <f aca="false">L11+L12</f>
        <v>498.352496747082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272.5911951252</v>
      </c>
      <c r="D15" s="0" t="n">
        <f aca="false">D13-MAX(0,D13)*D14/100</f>
        <v>264.439420337646</v>
      </c>
      <c r="E15" s="0" t="n">
        <f aca="false">E13-MAX(0,E13)*E14/100</f>
        <v>281.627125944409</v>
      </c>
      <c r="F15" s="0" t="n">
        <f aca="false">F13-MAX(0,F13)*F14/100</f>
        <v>293.220924031395</v>
      </c>
      <c r="G15" s="0" t="n">
        <f aca="false">G13-MAX(0,G13)*G14/100</f>
        <v>308.329693693571</v>
      </c>
      <c r="H15" s="0" t="n">
        <f aca="false">H13-MAX(0,H13)*H14/100</f>
        <v>320.821557671167</v>
      </c>
      <c r="I15" s="0" t="n">
        <f aca="false">I13-MAX(0,I13)*I14/100</f>
        <v>328.842096612946</v>
      </c>
      <c r="J15" s="0" t="n">
        <f aca="false">J13-MAX(0,J13)*J14/100</f>
        <v>332.037356547729</v>
      </c>
      <c r="K15" s="0" t="n">
        <f aca="false">K13-MAX(0,K13)*K14/100</f>
        <v>340.338290461422</v>
      </c>
      <c r="L15" s="0" t="n">
        <f aca="false">L13-MAX(0,L13)*L14/100</f>
        <v>348.846747722957</v>
      </c>
    </row>
    <row r="16" customFormat="false" ht="15" hidden="false" customHeight="false" outlineLevel="0" collapsed="false">
      <c r="A16" s="0" t="s">
        <v>119</v>
      </c>
      <c r="C16" s="0" t="n">
        <f aca="false">-C12</f>
        <v>231.79523395</v>
      </c>
      <c r="D16" s="0" t="n">
        <f aca="false">-D12</f>
        <v>224.3777864636</v>
      </c>
      <c r="E16" s="0" t="n">
        <f aca="false">-E12</f>
        <v>222.103411628083</v>
      </c>
      <c r="F16" s="0" t="n">
        <f aca="false">-F12</f>
        <v>216.815235160747</v>
      </c>
      <c r="G16" s="0" t="n">
        <f aca="false">-G12</f>
        <v>211.123835237778</v>
      </c>
      <c r="H16" s="0" t="n">
        <f aca="false">-H12</f>
        <v>205.012355796684</v>
      </c>
      <c r="I16" s="0" t="n">
        <f aca="false">-I12</f>
        <v>210.137664691601</v>
      </c>
      <c r="J16" s="0" t="n">
        <f aca="false">-J12</f>
        <v>215.391106308891</v>
      </c>
      <c r="K16" s="0" t="n">
        <f aca="false">-K12</f>
        <v>220.775883966613</v>
      </c>
      <c r="L16" s="0" t="n">
        <f aca="false">-L12</f>
        <v>226.295281065779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-161.2488584</v>
      </c>
      <c r="D17" s="4" t="n">
        <f aca="false">-D6*Assumptions!D46/100</f>
        <v>-152.984854407</v>
      </c>
      <c r="E17" s="4" t="n">
        <f aca="false">-E6*Assumptions!E46/100</f>
        <v>-148.068941085388</v>
      </c>
      <c r="F17" s="4" t="n">
        <f aca="false">-F6*Assumptions!F46/100</f>
        <v>-151.770664612523</v>
      </c>
      <c r="G17" s="4" t="n">
        <f aca="false">-G6*Assumptions!G46/100</f>
        <v>-155.564931227836</v>
      </c>
      <c r="H17" s="4" t="n">
        <f aca="false">-H6*Assumptions!H46/100</f>
        <v>-159.454054508532</v>
      </c>
      <c r="I17" s="4" t="n">
        <f aca="false">-I6*Assumptions!I46/100</f>
        <v>-163.440405871245</v>
      </c>
      <c r="J17" s="4" t="n">
        <f aca="false">-J6*Assumptions!J46/100</f>
        <v>-167.526416018026</v>
      </c>
      <c r="K17" s="4" t="n">
        <f aca="false">-K6*Assumptions!K46/100</f>
        <v>-171.714576418477</v>
      </c>
      <c r="L17" s="4" t="n">
        <f aca="false">-L6*Assumptions!L46/100</f>
        <v>-176.007440828939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-12.4540365</v>
      </c>
      <c r="D18" s="4" t="n">
        <f aca="false">(D6-C6)*Assumptions!$B$51/100</f>
        <v>-1.20936643800001</v>
      </c>
      <c r="E18" s="4" t="n">
        <f aca="false">(E6-D6)*Assumptions!$B$51/100</f>
        <v>-3.773626408706</v>
      </c>
      <c r="F18" s="4" t="n">
        <f aca="false">(F6-E6)*Assumptions!$B$51/100</f>
        <v>-2.64408823366764</v>
      </c>
      <c r="G18" s="4" t="n">
        <f aca="false">(G6-F6)*Assumptions!$B$51/100</f>
        <v>-2.71019043950932</v>
      </c>
      <c r="H18" s="4" t="n">
        <f aca="false">(H6-G6)*Assumptions!$B$51/100</f>
        <v>-2.77794520049706</v>
      </c>
      <c r="I18" s="4" t="n">
        <f aca="false">(I6-H6)*Assumptions!$B$51/100</f>
        <v>-2.84739383050949</v>
      </c>
      <c r="J18" s="4" t="n">
        <f aca="false">(J6-I6)*Assumptions!$B$51/100</f>
        <v>-2.91857867627223</v>
      </c>
      <c r="K18" s="4" t="n">
        <f aca="false">(K6-J6)*Assumptions!$B$51/100</f>
        <v>-2.99154314317902</v>
      </c>
      <c r="L18" s="4" t="n">
        <f aca="false">(L6-K6)*Assumptions!$B$51/100</f>
        <v>-3.0663317217585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330.6835341752</v>
      </c>
      <c r="D19" s="0" t="n">
        <f aca="false">D15+D16+D17+D18</f>
        <v>334.622985956246</v>
      </c>
      <c r="E19" s="0" t="n">
        <f aca="false">E15+E16+E17+E18</f>
        <v>351.887970078397</v>
      </c>
      <c r="F19" s="0" t="n">
        <f aca="false">F15+F16+F17+F18</f>
        <v>355.621406345951</v>
      </c>
      <c r="G19" s="0" t="n">
        <f aca="false">G15+G16+G17+G18</f>
        <v>361.178407264003</v>
      </c>
      <c r="H19" s="0" t="n">
        <f aca="false">H15+H16+H17+H18</f>
        <v>363.601913758821</v>
      </c>
      <c r="I19" s="0" t="n">
        <f aca="false">I15+I16+I17+I18</f>
        <v>372.691961602792</v>
      </c>
      <c r="J19" s="0" t="n">
        <f aca="false">J15+J16+J17+J18</f>
        <v>376.983468162321</v>
      </c>
      <c r="K19" s="0" t="n">
        <f aca="false">K15+K16+K17+K18</f>
        <v>386.408054866379</v>
      </c>
      <c r="L19" s="0" t="n">
        <f aca="false">L15+L16+L17+L18</f>
        <v>396.068256238038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297.913093851532</v>
      </c>
      <c r="D21" s="0" t="n">
        <f aca="false">D19*D20</f>
        <v>271.5875220812</v>
      </c>
      <c r="E21" s="0" t="n">
        <f aca="false">E19*E20</f>
        <v>257.297450904811</v>
      </c>
      <c r="F21" s="0" t="n">
        <f aca="false">F19*F20</f>
        <v>234.258835429083</v>
      </c>
      <c r="G21" s="0" t="n">
        <f aca="false">G19*G20</f>
        <v>214.341805456898</v>
      </c>
      <c r="H21" s="0" t="n">
        <f aca="false">H19*H20</f>
        <v>194.396431175501</v>
      </c>
      <c r="I21" s="0" t="n">
        <f aca="false">I19*I20</f>
        <v>179.510217977377</v>
      </c>
      <c r="J21" s="0" t="n">
        <f aca="false">J19*J20</f>
        <v>163.583115501952</v>
      </c>
      <c r="K21" s="0" t="n">
        <f aca="false">K19*K20</f>
        <v>151.056480531082</v>
      </c>
      <c r="L21" s="0" t="n">
        <f aca="false">L19*L20</f>
        <v>139.489092382305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-26.20293949</v>
      </c>
      <c r="D24" s="0" t="n">
        <f aca="false">-D6*D23/100</f>
        <v>-26.51737476388</v>
      </c>
      <c r="E24" s="0" t="n">
        <f aca="false">-E6*E23/100</f>
        <v>-27.4985176301436</v>
      </c>
      <c r="F24" s="0" t="n">
        <f aca="false">-F6*F23/100</f>
        <v>-28.1859805708972</v>
      </c>
      <c r="G24" s="0" t="n">
        <f aca="false">-G6*G23/100</f>
        <v>-28.8906300851696</v>
      </c>
      <c r="H24" s="0" t="n">
        <f aca="false">-H6*H23/100</f>
        <v>-29.6128958372988</v>
      </c>
      <c r="I24" s="0" t="n">
        <f aca="false">-I6*I23/100</f>
        <v>-30.3532182332313</v>
      </c>
      <c r="J24" s="0" t="n">
        <f aca="false">-J6*J23/100</f>
        <v>-31.1120486890621</v>
      </c>
      <c r="K24" s="0" t="n">
        <f aca="false">-K6*K23/100</f>
        <v>-31.8898499062886</v>
      </c>
      <c r="L24" s="0" t="n">
        <f aca="false">-L6*L23/100</f>
        <v>-32.6870961539458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7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2103.43404529174</v>
      </c>
    </row>
    <row r="31" customFormat="false" ht="15" hidden="false" customHeight="false" outlineLevel="0" collapsed="false">
      <c r="A31" s="0" t="s">
        <v>128</v>
      </c>
      <c r="B31" s="0" t="n">
        <f aca="false">L19</f>
        <v>396.068256238038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4000.28938800419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2772.47779366627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2772.47779366627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976.423646676138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3079.85769196788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3768.04469196788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4.43727441999091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-0.241491552138306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49.3643668386796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33.9866352640072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4.53542911287426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2772.47779366627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3.71726609960964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1.11512334713823</v>
      </c>
      <c r="C4" s="0" t="n">
        <f aca="false">B4/Assumptions!$B$2-1</f>
        <v>-0.809380624420815</v>
      </c>
      <c r="D4" s="4" t="n">
        <f aca="false">Assumptions!$B$24</f>
        <v>0.3</v>
      </c>
      <c r="E4" s="4" t="n">
        <f aca="false">DCF_Bear!$B$43</f>
        <v>1.17352868172683</v>
      </c>
      <c r="F4" s="4" t="n">
        <f aca="false">DCF_Bear!$B$47</f>
        <v>1.09138351553348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2.95909044783759</v>
      </c>
      <c r="C5" s="0" t="n">
        <f aca="false">B5/Assumptions!$B$2-1</f>
        <v>-0.494172573019215</v>
      </c>
      <c r="D5" s="4" t="n">
        <f aca="false">Assumptions!$B$38</f>
        <v>0.5</v>
      </c>
      <c r="E5" s="4" t="n">
        <f aca="false">DCF_Base!$B$43</f>
        <v>3.04256241635356</v>
      </c>
      <c r="F5" s="4" t="n">
        <f aca="false">DCF_Base!$B$47</f>
        <v>2.56657035208977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4.43727441999091</v>
      </c>
      <c r="C6" s="0" t="n">
        <f aca="false">B6/Assumptions!$B$2-1</f>
        <v>-0.241491552138306</v>
      </c>
      <c r="D6" s="4" t="n">
        <f aca="false">Assumptions!$B$52</f>
        <v>0.2</v>
      </c>
      <c r="E6" s="4" t="n">
        <f aca="false">DCF_Bull!$B$43</f>
        <v>4.53542911287426</v>
      </c>
      <c r="F6" s="4" t="n">
        <f aca="false">DCF_Bull!$B$47</f>
        <v>3.71726609960964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2.70153711205845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2.78042563526968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-1.16543388350589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3991.0277943867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2.35415345062686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3.20629199178141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3.07774840109518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2.95909044783759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2.8494144466882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2.56657035208977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-1</v>
      </c>
      <c r="C22" s="3" t="n">
        <v>-0.5</v>
      </c>
      <c r="D22" s="3" t="n">
        <v>0</v>
      </c>
      <c r="E22" s="3" t="n">
        <v>0.5</v>
      </c>
      <c r="F22" s="3" t="n">
        <v>1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3.20629199178141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3.20629199178141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3.20629199178141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3.20629199178141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3.20629199178141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3.07774840109518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3.07774840109518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3.07774840109518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3.07774840109518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3.07774840109518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2.95909044783759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2.95909044783759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2.95909044783759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2.95909044783759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2.95909044783759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2.8494144466882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2.8494144466882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2.8494144466882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2.8494144466882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2.8494144466882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2.74790938769745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2.74790938769745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2.74790938769745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2.74790938769745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2.74790938769745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2026-09-24T09:03:43Z</dcterms:created>
  <dc:creator>openpyxl</dc:creator>
  <dc:description/>
  <dc:language>en-NZ</dc:language>
  <cp:lastModifiedBy/>
  <dcterms:modified xsi:type="dcterms:W3CDTF">2026-09-24T09:03:43Z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