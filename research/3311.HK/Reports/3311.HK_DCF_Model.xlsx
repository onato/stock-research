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<sst xmlns="http://schemas.openxmlformats.org/spreadsheetml/2006/main" count="359" uniqueCount="169">
  <si>
    <t xml:space="preserve">Ticker</t>
  </si>
  <si>
    <t xml:space="preserve">3311.HK</t>
  </si>
  <si>
    <t xml:space="preserve">Company</t>
  </si>
  <si>
    <t xml:space="preserve">China State Construction International Holdings Limited</t>
  </si>
  <si>
    <t xml:space="preserve">Valuation date</t>
  </si>
  <si>
    <t xml:space="preserve">2026-10-22</t>
  </si>
  <si>
    <t xml:space="preserve">Current price</t>
  </si>
  <si>
    <t xml:space="preserve">Price as of</t>
  </si>
  <si>
    <t xml:space="preserve">2026-10-22T07:32:52Z (HKEX intraday print, 15:32 HKT, ~30 min before the close; replace at the regular close)</t>
  </si>
  <si>
    <t xml:space="preserve">Balance sheet date</t>
  </si>
  <si>
    <t xml:space="preserve">2026-06-30</t>
  </si>
  <si>
    <t xml:space="preserve">Model</t>
  </si>
  <si>
    <t xml:space="preserve">Levered FCFE DCF at cost of equity, SOE borrowings treated as operating funding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</si>
  <si>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</si>
  <si>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</si>
  <si>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</si>
  <si>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</si>
  <si>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</si>
  <si>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</si>
  <si>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</si>
  <si>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</si>
  <si>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</si>
  <si>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2026-10-22T07:55:24Z</t>
  </si>
  <si>
    <t xml:space="preserve">Drivers file</t>
  </si>
  <si>
    <t xml:space="preserve">3311.HK_Drivers.json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</si>
  <si>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</si>
  <si>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</si>
  <si>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</si>
  <si>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CSCI is priced as a leveraged SOE financing vehicle (4.3x P/E, 0.5x book, 7.6% yield) rather than as a contractor, because for a decade its earnings were reinvested in mainland project receivables and the dividend was funded by borrowings and perpetuals. The valuation therefore turns on one line -- how much of each revenue dollar keeps going into the investment book -- and the three scenarios bracket that line from the FY2023-25 history (bear) to the H1 2026 print (bull). Debt is treated as operating funding and the equity is valued on levered FCFE at a 10.5% RMB cost of equity; intrinsic values are converted to HKD at CNY/HKD 1.1745 so they are comparable to the quote.
key_risks_to_valuation: Project-investment outlay path: each 1pp of revenue sunk into receivables is ~RMB1bn/yr of FCFE, roughly RMB2/share (HK$2.3) of value at the cost of equity; Local-government payment delays or receivable impairments on the RMB100bn+ mainland investment book (factoring already at 93-95 cents); Cost of equity: 64.5% net gearing makes equity value highly sensitive to the discount rate -- see the required-return table; Refinancing/interest-rate reversal on RMB85-91bn of borrowings (20% HKD-denominated at HIBOR); a 50bp rise is ~RMB0.45bn/yr of FCFE; Revenue lumpiness: Macau fell 58% in FY2025 and H1 2026 group revenue fell 22.5%; the FY2026 reset could be deeper; CNY/HKD translation: a 5% RMB depreciation lowers every HKD per-share value by 5%; Perpetual capital securities and NCI are deducted at book; a further perp issue to fund the dividend transfers value from ordinary holders</t>
  </si>
  <si>
    <t xml:space="preserve">Data sources</t>
  </si>
  <si>
    <t xml:space="preserve">price: Yahoo Finance chart API at inputs.price_as_of (HKEX intraday); 52-week range 6.92-10.25 HKD
fx: Yahoo Finance CNYHKD=X at 2026-10-22T07:48Z, cross-checked against USDCNY=X and USDHKD=X
financials: 3311.HK_Metrics.csv (FY2018-FY2025, H1 2024-H1 2026; HKD through FY2023, RMB from FY2024) and kpis; FY2025 Annual Report and H1 2026 Interim Report text in Extracted/ for the bridge items, borrowings maturity table, cash flow lines and share count
qualitative: 3311.HK_Analysis.json (business model, segment mix, guidance, bull/bear axes)</t>
  </si>
  <si>
    <t xml:space="preserve">Scenario narrative: bear</t>
  </si>
  <si>
    <t xml:space="preserve">Local-government fiscal stress (the 2023-27 debt restructuring window) slows repurchase and buy-back payments, so the group keeps sinking 6-7% of revenue into receivables and leans on connected-party factoring at 93-95 cents; receivable impairments and a soft property cycle at the associates pull the levered margin to 11%. Revenue falls 15% in FY2026 and again in FY2027 as Macau mega-projects do not recur and HK private development stays weak, then grows ~2%. FCFE of ~RMB2bn/yr does not cover the dividend, so the payout is debt- and perp-funded as it was in FY2023-25, gearing stops falling, and equity value is a small residual behind RMB91bn of borrowings. Terminal value binds at the 12x cap on a thin FCFE.</t>
  </si>
  <si>
    <t xml:space="preserve">Scenario narrative: base</t>
  </si>
  <si>
    <t xml:space="preserve">The H1 2026 cash-conversion turn is real but only partly durable. Revenue resets ~10% in FY2026 (Macau lull, mainland project timing) then recovers at 3-4% on the Northern Metropolis pipeline, I-PARK2, the Tsing Yi BOT and mainland MiC urban renewal. The mainland investment book shifts to shorter-payback government-repurchase projects, so net project outlay settles near 3% of revenue (4% all-in with PP&amp;E) rather than the 7-8% of FY2023-25: FCFE of roughly RMB4.5bn in FY2026 covers the ~RMB2.8bn dividend and ~RMB0.3bn of perp distributions for the first time, and gearing drifts down as guided. Levered margin holds ~13% as cheaper RMB funding (1.5-1.8% MTNs) offsets mix drift to low-margin HK contracting. Terminal value binds at the 12x FCFE cap.</t>
  </si>
  <si>
    <t xml:space="preserve">Scenario narrative: bull</t>
  </si>
  <si>
    <t xml:space="preserve">The H1 2026 profile is the new normal: mainland cash collection stays above 100%, factoring of local-government receivables winds down, and net project outlay runs at ~2% of revenue. Gross margin holds near 18% as MiC and technology-driven contracts (RMB85bn signed FY2025) carry premium pricing, financing cost keeps falling with 10-year RMB MTNs, and revenue regrows 5-7% from FY2027 as Northern Metropolis, Macau's Four Major Projects and the first HK BOT project ramp together. FCFE compounds to ~RMB11bn by FY2035 and the stock re-rates from 4x to a normal contractor's 9-10x earnings; the model's 12x FCFE cap still binds.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</si>
  <si>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</si>
  <si>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</si>
  <si>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</si>
  <si>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</si>
  <si>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</si>
  <si>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</si>
  <si>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</si>
  <si>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</si>
  <si>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</si>
  <si>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</si>
  <si>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</si>
  <si>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</si>
  <si>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</si>
  <si>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</si>
  <si>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</si>
  <si>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</si>
  <si>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</si>
  <si>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</si>
  <si>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</si>
  <si>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</si>
  <si>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</si>
  <si>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</si>
  <si>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</si>
  <si>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</si>
  <si>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</si>
  <si>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</si>
  <si>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</si>
  <si>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</si>
  <si>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OtherEquityInstruments</t>
  </si>
  <si>
    <t xml:space="preserve">ShareIssuanceProceeds</t>
  </si>
  <si>
    <t xml:space="preserve">ShareOfJointVenturesProfit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</si>
  <si>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</si>
  <si>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</si>
  <si>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</si>
  <si>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</si>
  <si>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</si>
  <si>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</si>
  <si>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</si>
  <si>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</si>
  <si>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</si>
  <si>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</si>
  <si>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</si>
  <si>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</si>
  <si>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</si>
  <si>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</si>
  <si>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</si>
  <si>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</si>
  <si>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</si>
  <si>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</si>
  <si>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</si>
  <si>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</si>
  <si>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</si>
  <si>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</si>
  <si>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</si>
  <si>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</si>
  <si>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</si>
  <si>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</si>
  <si>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</si>
  <si>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</si>
  <si>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</si>
  <si>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</si>
  <si>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</si>
  <si>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</si>
  <si>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</si>
  <si>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</si>
  <si>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</si>
  <si>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</si>
  <si>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</si>
  <si>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</si>
  <si>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</si>
  <si>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</si>
  <si>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</si>
  <si>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</si>
  <si>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</si>
  <si>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</si>
  <si>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</si>
  <si>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</si>
  <si>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3311.HK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</si>
  <si>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</si>
  <si>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</si>
  <si>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</si>
  <si>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</si>
  <si>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</si>
  <si>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</si>
  <si>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</si>
  <si>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</si>
  <si>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</si>
  <si>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</si>
  <si>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</si>
  <si>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</si>
  <si>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</si>
  <si>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</si>
  <si>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</si>
  <si>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</si>
  <si>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</si>
  <si>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</si>
  <si>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</si>
  <si>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</si>
  <si>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</si>
  <si>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</si>
  <si>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</si>
  <si>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</si>
  <si>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</si>
  <si>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</si>
  <si>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</si>
  <si>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</si>
  <si>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</si>
  <si>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</si>
  <si>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3311.HK owner-FCF component DCF: base case (millions, CNY)</t>
  </si>
  <si>
    <t xml:space="preserve">3311.HK owner-FCF component DCF: bull case (millions, CNY)</t>
  </si>
  <si>
    <t xml:space="preserve">3311.HK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</si>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</sst>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8.17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55626.304</v>
      </c>
      <c r="C2" s="0" t="n">
        <v>46929.883</v>
      </c>
      <c r="D2" s="0" t="n">
        <v>8696.421</v>
      </c>
      <c r="E2" s="0" t="n">
        <v>15.6</v>
      </c>
      <c r="F2" s="0" t="n">
        <v>7987.222</v>
      </c>
      <c r="G2" s="0" t="n">
        <v>14.4</v>
      </c>
      <c r="I2" s="0" t="n">
        <v>4500.148</v>
      </c>
      <c r="J2" s="0" t="n">
        <v>8.1</v>
      </c>
      <c r="K2" s="0" t="n">
        <v>0.8913</v>
      </c>
      <c r="L2" s="0" t="n">
        <v>-1924.595</v>
      </c>
      <c r="M2" s="0" t="n">
        <v>805.876</v>
      </c>
      <c r="N2" s="0" t="n">
        <v>-2730.471</v>
      </c>
      <c r="O2" s="0" t="n">
        <v>38454.368</v>
      </c>
      <c r="P2" s="0" t="n">
        <v>136122.091</v>
      </c>
      <c r="Q2" s="0" t="n">
        <v>93043.841</v>
      </c>
      <c r="R2" s="0" t="n">
        <v>41040.745</v>
      </c>
      <c r="S2" s="0" t="n">
        <v>17925.708</v>
      </c>
      <c r="T2" s="0" t="n">
        <v>5049.2</v>
      </c>
      <c r="U2" s="0" t="n">
        <v>0</v>
      </c>
      <c r="AA2" s="0" t="s">
        <v>18</v>
      </c>
      <c r="AB2" s="0" t="s">
        <v>16</v>
      </c>
      <c r="AC2" s="0" t="n">
        <v>4556.633</v>
      </c>
      <c r="AG2" s="0" t="n">
        <v>43078.25</v>
      </c>
    </row>
    <row r="3" customFormat="false" ht="15" hidden="false" customHeight="false" outlineLevel="0" collapsed="false">
      <c r="A3" s="0" t="s">
        <v>70</v>
      </c>
      <c r="B3" s="0" t="n">
        <v>61669.678</v>
      </c>
      <c r="C3" s="0" t="n">
        <v>52433.975</v>
      </c>
      <c r="D3" s="0" t="n">
        <v>9235.703</v>
      </c>
      <c r="E3" s="0" t="n">
        <v>15</v>
      </c>
      <c r="F3" s="0" t="n">
        <v>9563.456</v>
      </c>
      <c r="G3" s="0" t="n">
        <v>15.5</v>
      </c>
      <c r="I3" s="0" t="n">
        <v>5413.208</v>
      </c>
      <c r="J3" s="0" t="n">
        <v>8.8</v>
      </c>
      <c r="K3" s="0" t="n">
        <v>1.0721</v>
      </c>
      <c r="L3" s="0" t="n">
        <v>-2704.349</v>
      </c>
      <c r="M3" s="0" t="n">
        <v>502.777</v>
      </c>
      <c r="N3" s="0" t="n">
        <v>-3207.126</v>
      </c>
      <c r="O3" s="0" t="n">
        <v>42148.17</v>
      </c>
      <c r="P3" s="0" t="n">
        <v>161423.903</v>
      </c>
      <c r="Q3" s="0" t="n">
        <v>110516.338</v>
      </c>
      <c r="R3" s="0" t="n">
        <v>50656.499</v>
      </c>
      <c r="S3" s="0" t="n">
        <v>22623.621</v>
      </c>
      <c r="T3" s="0" t="n">
        <v>5049.2</v>
      </c>
      <c r="U3" s="0" t="n">
        <v>0</v>
      </c>
      <c r="AA3" s="0" t="s">
        <v>18</v>
      </c>
      <c r="AB3" s="0" t="s">
        <v>16</v>
      </c>
      <c r="AC3" s="0" t="n">
        <v>5723.58</v>
      </c>
      <c r="AG3" s="0" t="n">
        <v>50907.565</v>
      </c>
    </row>
    <row r="4" customFormat="false" ht="15" hidden="false" customHeight="false" outlineLevel="0" collapsed="false">
      <c r="A4" s="0" t="s">
        <v>71</v>
      </c>
      <c r="B4" s="0" t="n">
        <v>62458.009</v>
      </c>
      <c r="C4" s="0" t="n">
        <v>53173.85</v>
      </c>
      <c r="D4" s="0" t="n">
        <v>9284.159</v>
      </c>
      <c r="E4" s="0" t="n">
        <v>14.9</v>
      </c>
      <c r="F4" s="0" t="n">
        <v>10924.453</v>
      </c>
      <c r="G4" s="0" t="n">
        <v>17.5</v>
      </c>
      <c r="I4" s="0" t="n">
        <v>6015.368</v>
      </c>
      <c r="J4" s="0" t="n">
        <v>9.6</v>
      </c>
      <c r="K4" s="0" t="n">
        <v>1.1914</v>
      </c>
      <c r="L4" s="0" t="n">
        <v>-4531.608</v>
      </c>
      <c r="M4" s="0" t="n">
        <v>548.38</v>
      </c>
      <c r="N4" s="0" t="n">
        <v>-5079.988</v>
      </c>
      <c r="O4" s="0" t="n">
        <v>49093.774</v>
      </c>
      <c r="P4" s="0" t="n">
        <v>186811.307</v>
      </c>
      <c r="Q4" s="0" t="n">
        <v>128531.76</v>
      </c>
      <c r="R4" s="0" t="n">
        <v>60269.754</v>
      </c>
      <c r="S4" s="0" t="n">
        <v>22455.362</v>
      </c>
      <c r="T4" s="0" t="n">
        <v>5049.2</v>
      </c>
      <c r="U4" s="0" t="n">
        <v>14.223</v>
      </c>
      <c r="AA4" s="0" t="s">
        <v>18</v>
      </c>
      <c r="AB4" s="0" t="s">
        <v>16</v>
      </c>
      <c r="AC4" s="0" t="n">
        <v>6484.174</v>
      </c>
      <c r="AD4" s="0" t="n">
        <v>7799.208</v>
      </c>
      <c r="AG4" s="0" t="n">
        <v>58279.547</v>
      </c>
    </row>
    <row r="5" customFormat="false" ht="15" hidden="false" customHeight="false" outlineLevel="0" collapsed="false">
      <c r="A5" s="0" t="s">
        <v>72</v>
      </c>
      <c r="B5" s="0" t="n">
        <v>77309.614</v>
      </c>
      <c r="C5" s="0" t="n">
        <v>65326.871</v>
      </c>
      <c r="D5" s="0" t="n">
        <v>11982.743</v>
      </c>
      <c r="E5" s="0" t="n">
        <v>15.5</v>
      </c>
      <c r="F5" s="0" t="n">
        <v>12053.38</v>
      </c>
      <c r="G5" s="0" t="n">
        <v>15.6</v>
      </c>
      <c r="I5" s="0" t="n">
        <v>6800.879</v>
      </c>
      <c r="J5" s="0" t="n">
        <v>8.8</v>
      </c>
      <c r="K5" s="0" t="n">
        <v>1.3494</v>
      </c>
      <c r="L5" s="0" t="n">
        <v>-551.492</v>
      </c>
      <c r="M5" s="0" t="n">
        <v>686.405</v>
      </c>
      <c r="N5" s="0" t="n">
        <v>-1237.897</v>
      </c>
      <c r="O5" s="0" t="n">
        <v>56446.165</v>
      </c>
      <c r="P5" s="0" t="n">
        <v>219284.425</v>
      </c>
      <c r="Q5" s="0" t="n">
        <v>153068.154</v>
      </c>
      <c r="R5" s="0" t="n">
        <v>74030.224</v>
      </c>
      <c r="S5" s="0" t="n">
        <v>24407.419</v>
      </c>
      <c r="T5" s="0" t="n">
        <v>5037.617</v>
      </c>
      <c r="U5" s="0" t="n">
        <v>44.54</v>
      </c>
      <c r="AA5" s="0" t="s">
        <v>18</v>
      </c>
      <c r="AB5" s="0" t="s">
        <v>16</v>
      </c>
      <c r="AC5" s="0" t="n">
        <v>7435.884</v>
      </c>
      <c r="AD5" s="0" t="n">
        <v>7793.93</v>
      </c>
      <c r="AG5" s="0" t="n">
        <v>66216.271</v>
      </c>
    </row>
    <row r="6" customFormat="false" ht="15" hidden="false" customHeight="false" outlineLevel="0" collapsed="false">
      <c r="A6" s="0" t="s">
        <v>73</v>
      </c>
      <c r="B6" s="0" t="n">
        <v>101975.265</v>
      </c>
      <c r="C6" s="0" t="n">
        <v>87956.732</v>
      </c>
      <c r="D6" s="0" t="n">
        <v>14018.533</v>
      </c>
      <c r="E6" s="0" t="n">
        <v>13.7</v>
      </c>
      <c r="F6" s="0" t="n">
        <v>13770.104</v>
      </c>
      <c r="G6" s="0" t="n">
        <v>13.5</v>
      </c>
      <c r="I6" s="0" t="n">
        <v>7956.876</v>
      </c>
      <c r="J6" s="0" t="n">
        <v>7.8</v>
      </c>
      <c r="K6" s="0" t="n">
        <v>1.58</v>
      </c>
      <c r="L6" s="0" t="n">
        <v>212.119</v>
      </c>
      <c r="M6" s="0" t="n">
        <v>362.863</v>
      </c>
      <c r="N6" s="0" t="n">
        <v>-150.744</v>
      </c>
      <c r="O6" s="0" t="n">
        <v>57790.161</v>
      </c>
      <c r="P6" s="0" t="n">
        <v>228850.129</v>
      </c>
      <c r="Q6" s="0" t="n">
        <v>161053.675</v>
      </c>
      <c r="R6" s="0" t="n">
        <v>74553.664</v>
      </c>
      <c r="S6" s="0" t="n">
        <v>23881.499</v>
      </c>
      <c r="T6" s="0" t="n">
        <v>5037.617</v>
      </c>
      <c r="U6" s="0" t="n">
        <v>34.127</v>
      </c>
      <c r="AA6" s="0" t="s">
        <v>18</v>
      </c>
      <c r="AB6" s="0" t="s">
        <v>16</v>
      </c>
      <c r="AC6" s="0" t="n">
        <v>8469.464</v>
      </c>
      <c r="AD6" s="0" t="n">
        <v>7801.154</v>
      </c>
      <c r="AF6" s="0" t="n">
        <v>275.196</v>
      </c>
      <c r="AG6" s="0" t="n">
        <v>67796.454</v>
      </c>
    </row>
    <row r="7" customFormat="false" ht="15" hidden="false" customHeight="false" outlineLevel="0" collapsed="false">
      <c r="A7" s="0" t="s">
        <v>74</v>
      </c>
      <c r="B7" s="0" t="n">
        <v>113734.013</v>
      </c>
      <c r="C7" s="0" t="n">
        <v>97395.103</v>
      </c>
      <c r="D7" s="0" t="n">
        <v>16338.91</v>
      </c>
      <c r="E7" s="0" t="n">
        <v>14.4</v>
      </c>
      <c r="F7" s="0" t="n">
        <v>15307.856</v>
      </c>
      <c r="G7" s="0" t="n">
        <v>13.5</v>
      </c>
      <c r="I7" s="0" t="n">
        <v>9164.045</v>
      </c>
      <c r="J7" s="0" t="n">
        <v>8.1</v>
      </c>
      <c r="K7" s="0" t="n">
        <v>1.82</v>
      </c>
      <c r="L7" s="0" t="n">
        <v>500.994</v>
      </c>
      <c r="M7" s="0" t="n">
        <v>562.479</v>
      </c>
      <c r="N7" s="0" t="n">
        <v>-61.485</v>
      </c>
      <c r="O7" s="0" t="n">
        <v>61723.419</v>
      </c>
      <c r="P7" s="0" t="n">
        <v>249274.685</v>
      </c>
      <c r="Q7" s="0" t="n">
        <v>174997.066</v>
      </c>
      <c r="R7" s="0" t="n">
        <v>80891.323</v>
      </c>
      <c r="S7" s="0" t="n">
        <v>28462.889</v>
      </c>
      <c r="T7" s="0" t="n">
        <v>5037.617</v>
      </c>
      <c r="U7" s="0" t="n">
        <v>6.57</v>
      </c>
      <c r="AA7" s="0" t="s">
        <v>18</v>
      </c>
      <c r="AB7" s="0" t="s">
        <v>16</v>
      </c>
      <c r="AC7" s="0" t="n">
        <v>9712.948</v>
      </c>
      <c r="AD7" s="0" t="n">
        <v>10017.782</v>
      </c>
      <c r="AF7" s="0" t="n">
        <v>629.969</v>
      </c>
      <c r="AG7" s="0" t="n">
        <v>74277.619</v>
      </c>
    </row>
    <row r="8" customFormat="false" ht="15" hidden="false" customHeight="false" outlineLevel="0" collapsed="false">
      <c r="A8" s="0" t="s">
        <v>75</v>
      </c>
      <c r="B8" s="0" t="n">
        <v>105322.671</v>
      </c>
      <c r="C8" s="0" t="n">
        <v>88993.099</v>
      </c>
      <c r="D8" s="0" t="n">
        <v>16329.572</v>
      </c>
      <c r="E8" s="0" t="n">
        <v>15.5</v>
      </c>
      <c r="F8" s="0" t="n">
        <v>14787.551</v>
      </c>
      <c r="G8" s="0" t="n">
        <v>14</v>
      </c>
      <c r="I8" s="0" t="n">
        <v>8565.331</v>
      </c>
      <c r="J8" s="0" t="n">
        <v>8.1</v>
      </c>
      <c r="K8" s="0" t="n">
        <v>1.7</v>
      </c>
      <c r="L8" s="0" t="n">
        <v>1836.823</v>
      </c>
      <c r="M8" s="0" t="n">
        <v>975.568</v>
      </c>
      <c r="N8" s="0" t="n">
        <v>861.255</v>
      </c>
      <c r="O8" s="0" t="n">
        <v>61855.369</v>
      </c>
      <c r="P8" s="0" t="n">
        <v>263437.882</v>
      </c>
      <c r="Q8" s="0" t="n">
        <v>192364.862</v>
      </c>
      <c r="R8" s="0" t="n">
        <v>81129.93</v>
      </c>
      <c r="S8" s="0" t="n">
        <v>28589.158</v>
      </c>
      <c r="T8" s="0" t="n">
        <v>5037.617</v>
      </c>
      <c r="U8" s="0" t="n">
        <v>6.768</v>
      </c>
      <c r="AA8" s="0" t="s">
        <v>18</v>
      </c>
      <c r="AB8" s="0" t="s">
        <v>14</v>
      </c>
      <c r="AC8" s="0" t="n">
        <v>9220.282</v>
      </c>
      <c r="AD8" s="0" t="n">
        <v>6738.982</v>
      </c>
      <c r="AF8" s="0" t="n">
        <v>583.499</v>
      </c>
      <c r="AG8" s="0" t="n">
        <v>71073.02</v>
      </c>
    </row>
    <row r="9" customFormat="false" ht="15" hidden="false" customHeight="false" outlineLevel="0" collapsed="false">
      <c r="A9" s="0" t="s">
        <v>76</v>
      </c>
      <c r="B9" s="0" t="n">
        <v>100448.5</v>
      </c>
      <c r="C9" s="0" t="n">
        <v>84466.801</v>
      </c>
      <c r="D9" s="0" t="n">
        <v>15981.699</v>
      </c>
      <c r="E9" s="0" t="n">
        <v>15.9</v>
      </c>
      <c r="F9" s="0" t="n">
        <v>14437.139</v>
      </c>
      <c r="G9" s="0" t="n">
        <v>14.4</v>
      </c>
      <c r="I9" s="0" t="n">
        <v>8588.443</v>
      </c>
      <c r="J9" s="0" t="n">
        <v>8.6</v>
      </c>
      <c r="K9" s="0" t="n">
        <v>1.64</v>
      </c>
      <c r="L9" s="0" t="n">
        <v>1053.173</v>
      </c>
      <c r="M9" s="0" t="n">
        <v>968.84</v>
      </c>
      <c r="N9" s="0" t="n">
        <v>84.333</v>
      </c>
      <c r="O9" s="0" t="n">
        <v>70402.532</v>
      </c>
      <c r="P9" s="0" t="n">
        <v>280689.299</v>
      </c>
      <c r="Q9" s="0" t="n">
        <v>200312.224</v>
      </c>
      <c r="R9" s="0" t="n">
        <v>85557.356</v>
      </c>
      <c r="S9" s="0" t="n">
        <v>30328.604</v>
      </c>
      <c r="T9" s="0" t="n">
        <v>5281</v>
      </c>
      <c r="U9" s="0" t="n">
        <v>0</v>
      </c>
      <c r="AA9" s="0" t="s">
        <v>18</v>
      </c>
      <c r="AB9" s="0" t="s">
        <v>14</v>
      </c>
      <c r="AC9" s="0" t="n">
        <v>9005.373</v>
      </c>
      <c r="AD9" s="0" t="n">
        <v>6741.713</v>
      </c>
      <c r="AE9" s="0" t="n">
        <v>2797.877</v>
      </c>
      <c r="AF9" s="0" t="n">
        <v>846.409</v>
      </c>
      <c r="AG9" s="0" t="n">
        <v>80377.075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8.17</v>
      </c>
    </row>
    <row r="3" customFormat="false" ht="15" hidden="false" customHeight="false" outlineLevel="0" collapsed="false">
      <c r="A3" s="0" t="s">
        <v>80</v>
      </c>
      <c r="B3" s="3" t="n">
        <v>5282.217</v>
      </c>
    </row>
    <row r="4" customFormat="false" ht="15" hidden="false" customHeight="false" outlineLevel="0" collapsed="false">
      <c r="A4" s="0" t="s">
        <v>81</v>
      </c>
      <c r="B4" s="3" t="n">
        <v>0</v>
      </c>
    </row>
    <row r="5" customFormat="false" ht="15" hidden="false" customHeight="false" outlineLevel="0" collapsed="false">
      <c r="A5" s="0" t="s">
        <v>82</v>
      </c>
      <c r="B5" s="3" t="n">
        <v>-9311.64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100448.5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1.1745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-15</v>
      </c>
      <c r="D13" s="3" t="n">
        <v>-5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12.5</v>
      </c>
      <c r="D14" s="3" t="n">
        <v>12</v>
      </c>
      <c r="E14" s="3" t="n">
        <v>11.5</v>
      </c>
      <c r="F14" s="3" t="n">
        <v>11</v>
      </c>
      <c r="G14" s="3" t="n">
        <v>11</v>
      </c>
      <c r="H14" s="3" t="n">
        <v>11</v>
      </c>
      <c r="I14" s="3" t="n">
        <v>11</v>
      </c>
      <c r="J14" s="3" t="n">
        <v>11</v>
      </c>
      <c r="K14" s="3" t="n">
        <v>11</v>
      </c>
      <c r="L14" s="3" t="n">
        <v>11</v>
      </c>
    </row>
    <row r="15" customFormat="false" ht="15" hidden="false" customHeight="false" outlineLevel="0" collapsed="false">
      <c r="A15" s="0" t="s">
        <v>102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103</v>
      </c>
      <c r="C16" s="3" t="n">
        <v>0.22</v>
      </c>
      <c r="D16" s="3" t="n">
        <v>0.22</v>
      </c>
      <c r="E16" s="3" t="n">
        <v>0.22</v>
      </c>
      <c r="F16" s="3" t="n">
        <v>0.22</v>
      </c>
      <c r="G16" s="3" t="n">
        <v>0.22</v>
      </c>
      <c r="H16" s="3" t="n">
        <v>0.22</v>
      </c>
      <c r="I16" s="3" t="n">
        <v>0.22</v>
      </c>
      <c r="J16" s="3" t="n">
        <v>0.22</v>
      </c>
      <c r="K16" s="3" t="n">
        <v>0.22</v>
      </c>
      <c r="L16" s="3" t="n">
        <v>0.22</v>
      </c>
    </row>
    <row r="17" customFormat="false" ht="15" hidden="false" customHeight="false" outlineLevel="0" collapsed="false">
      <c r="A17" s="0" t="s">
        <v>104</v>
      </c>
      <c r="C17" s="3" t="n">
        <v>0.95</v>
      </c>
      <c r="D17" s="3" t="n">
        <v>0.95</v>
      </c>
      <c r="E17" s="3" t="n">
        <v>0.95</v>
      </c>
      <c r="F17" s="3" t="n">
        <v>0.95</v>
      </c>
      <c r="G17" s="3" t="n">
        <v>0.95</v>
      </c>
      <c r="H17" s="3" t="n">
        <v>0.95</v>
      </c>
      <c r="I17" s="3" t="n">
        <v>0.95</v>
      </c>
      <c r="J17" s="3" t="n">
        <v>0.95</v>
      </c>
      <c r="K17" s="3" t="n">
        <v>0.95</v>
      </c>
      <c r="L17" s="3" t="n">
        <v>0.95</v>
      </c>
    </row>
    <row r="18" customFormat="false" ht="15" hidden="false" customHeight="false" outlineLevel="0" collapsed="false">
      <c r="A18" s="0" t="s">
        <v>105</v>
      </c>
      <c r="C18" s="3" t="n">
        <v>7</v>
      </c>
      <c r="D18" s="3" t="n">
        <v>7</v>
      </c>
      <c r="E18" s="3" t="n">
        <v>7</v>
      </c>
      <c r="F18" s="3" t="n">
        <v>6.5</v>
      </c>
      <c r="G18" s="3" t="n">
        <v>6.5</v>
      </c>
      <c r="H18" s="3" t="n">
        <v>6</v>
      </c>
      <c r="I18" s="3" t="n">
        <v>6</v>
      </c>
      <c r="J18" s="3" t="n">
        <v>6</v>
      </c>
      <c r="K18" s="3" t="n">
        <v>6</v>
      </c>
      <c r="L18" s="3" t="n">
        <v>6</v>
      </c>
    </row>
    <row r="19" customFormat="false" ht="15" hidden="false" customHeight="false" outlineLevel="0" collapsed="false">
      <c r="A19" s="0" t="s">
        <v>106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107</v>
      </c>
      <c r="B20" s="3" t="n">
        <v>10.5</v>
      </c>
    </row>
    <row r="21" customFormat="false" ht="15" hidden="false" customHeight="false" outlineLevel="0" collapsed="false">
      <c r="A21" s="0" t="s">
        <v>108</v>
      </c>
      <c r="B21" s="3" t="n">
        <v>2.5</v>
      </c>
    </row>
    <row r="22" customFormat="false" ht="15" hidden="false" customHeight="false" outlineLevel="0" collapsed="false">
      <c r="A22" s="0" t="s">
        <v>109</v>
      </c>
      <c r="B22" s="3" t="n">
        <v>12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-10</v>
      </c>
      <c r="D27" s="3" t="n">
        <v>2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13.4</v>
      </c>
      <c r="D28" s="3" t="n">
        <v>13.2</v>
      </c>
      <c r="E28" s="3" t="n">
        <v>13.2</v>
      </c>
      <c r="F28" s="3" t="n">
        <v>13.2</v>
      </c>
      <c r="G28" s="3" t="n">
        <v>13.2</v>
      </c>
      <c r="H28" s="3" t="n">
        <v>13</v>
      </c>
      <c r="I28" s="3" t="n">
        <v>13</v>
      </c>
      <c r="J28" s="3" t="n">
        <v>13</v>
      </c>
      <c r="K28" s="3" t="n">
        <v>13</v>
      </c>
      <c r="L28" s="3" t="n">
        <v>13</v>
      </c>
    </row>
    <row r="29" customFormat="false" ht="15" hidden="false" customHeight="false" outlineLevel="0" collapsed="false">
      <c r="A29" s="0" t="s">
        <v>102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103</v>
      </c>
      <c r="C30" s="3" t="n">
        <v>0.22</v>
      </c>
      <c r="D30" s="3" t="n">
        <v>0.22</v>
      </c>
      <c r="E30" s="3" t="n">
        <v>0.22</v>
      </c>
      <c r="F30" s="3" t="n">
        <v>0.22</v>
      </c>
      <c r="G30" s="3" t="n">
        <v>0.22</v>
      </c>
      <c r="H30" s="3" t="n">
        <v>0.22</v>
      </c>
      <c r="I30" s="3" t="n">
        <v>0.22</v>
      </c>
      <c r="J30" s="3" t="n">
        <v>0.22</v>
      </c>
      <c r="K30" s="3" t="n">
        <v>0.22</v>
      </c>
      <c r="L30" s="3" t="n">
        <v>0.22</v>
      </c>
    </row>
    <row r="31" customFormat="false" ht="15" hidden="false" customHeight="false" outlineLevel="0" collapsed="false">
      <c r="A31" s="0" t="s">
        <v>104</v>
      </c>
      <c r="C31" s="3" t="n">
        <v>0.95</v>
      </c>
      <c r="D31" s="3" t="n">
        <v>0.95</v>
      </c>
      <c r="E31" s="3" t="n">
        <v>0.95</v>
      </c>
      <c r="F31" s="3" t="n">
        <v>0.95</v>
      </c>
      <c r="G31" s="3" t="n">
        <v>0.95</v>
      </c>
      <c r="H31" s="3" t="n">
        <v>0.95</v>
      </c>
      <c r="I31" s="3" t="n">
        <v>0.95</v>
      </c>
      <c r="J31" s="3" t="n">
        <v>0.95</v>
      </c>
      <c r="K31" s="3" t="n">
        <v>0.95</v>
      </c>
      <c r="L31" s="3" t="n">
        <v>0.95</v>
      </c>
    </row>
    <row r="32" customFormat="false" ht="15" hidden="false" customHeight="false" outlineLevel="0" collapsed="false">
      <c r="A32" s="0" t="s">
        <v>105</v>
      </c>
      <c r="C32" s="3" t="n">
        <v>5</v>
      </c>
      <c r="D32" s="3" t="n">
        <v>5</v>
      </c>
      <c r="E32" s="3" t="n">
        <v>4.5</v>
      </c>
      <c r="F32" s="3" t="n">
        <v>4.5</v>
      </c>
      <c r="G32" s="3" t="n">
        <v>4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106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107</v>
      </c>
      <c r="B34" s="3" t="n">
        <v>10.5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12</v>
      </c>
    </row>
    <row r="37" customFormat="false" ht="15" hidden="false" customHeight="false" outlineLevel="0" collapsed="false">
      <c r="A37" s="0" t="s">
        <v>110</v>
      </c>
      <c r="B37" s="3" t="n">
        <v>0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-8</v>
      </c>
      <c r="D41" s="3" t="n">
        <v>5</v>
      </c>
      <c r="E41" s="3" t="n">
        <v>7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14</v>
      </c>
      <c r="D42" s="3" t="n">
        <v>14</v>
      </c>
      <c r="E42" s="3" t="n">
        <v>14.2</v>
      </c>
      <c r="F42" s="3" t="n">
        <v>14.4</v>
      </c>
      <c r="G42" s="3" t="n">
        <v>14.5</v>
      </c>
      <c r="H42" s="3" t="n">
        <v>14.5</v>
      </c>
      <c r="I42" s="3" t="n">
        <v>14.5</v>
      </c>
      <c r="J42" s="3" t="n">
        <v>14.5</v>
      </c>
      <c r="K42" s="3" t="n">
        <v>14.5</v>
      </c>
      <c r="L42" s="3" t="n">
        <v>14.5</v>
      </c>
    </row>
    <row r="43" customFormat="false" ht="15" hidden="false" customHeight="false" outlineLevel="0" collapsed="false">
      <c r="A43" s="0" t="s">
        <v>102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103</v>
      </c>
      <c r="C44" s="3" t="n">
        <v>0.22</v>
      </c>
      <c r="D44" s="3" t="n">
        <v>0.22</v>
      </c>
      <c r="E44" s="3" t="n">
        <v>0.22</v>
      </c>
      <c r="F44" s="3" t="n">
        <v>0.22</v>
      </c>
      <c r="G44" s="3" t="n">
        <v>0.22</v>
      </c>
      <c r="H44" s="3" t="n">
        <v>0.22</v>
      </c>
      <c r="I44" s="3" t="n">
        <v>0.22</v>
      </c>
      <c r="J44" s="3" t="n">
        <v>0.22</v>
      </c>
      <c r="K44" s="3" t="n">
        <v>0.22</v>
      </c>
      <c r="L44" s="3" t="n">
        <v>0.22</v>
      </c>
    </row>
    <row r="45" customFormat="false" ht="15" hidden="false" customHeight="false" outlineLevel="0" collapsed="false">
      <c r="A45" s="0" t="s">
        <v>104</v>
      </c>
      <c r="C45" s="3" t="n">
        <v>0.95</v>
      </c>
      <c r="D45" s="3" t="n">
        <v>0.95</v>
      </c>
      <c r="E45" s="3" t="n">
        <v>0.95</v>
      </c>
      <c r="F45" s="3" t="n">
        <v>0.95</v>
      </c>
      <c r="G45" s="3" t="n">
        <v>0.95</v>
      </c>
      <c r="H45" s="3" t="n">
        <v>0.95</v>
      </c>
      <c r="I45" s="3" t="n">
        <v>0.95</v>
      </c>
      <c r="J45" s="3" t="n">
        <v>0.95</v>
      </c>
      <c r="K45" s="3" t="n">
        <v>0.95</v>
      </c>
      <c r="L45" s="3" t="n">
        <v>0.95</v>
      </c>
    </row>
    <row r="46" customFormat="false" ht="15" hidden="false" customHeight="false" outlineLevel="0" collapsed="false">
      <c r="A46" s="0" t="s">
        <v>105</v>
      </c>
      <c r="C46" s="3" t="n">
        <v>4</v>
      </c>
      <c r="D46" s="3" t="n">
        <v>3.5</v>
      </c>
      <c r="E46" s="3" t="n">
        <v>3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106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107</v>
      </c>
      <c r="B48" s="3" t="n">
        <v>10.5</v>
      </c>
    </row>
    <row r="49" customFormat="false" ht="15" hidden="false" customHeight="false" outlineLevel="0" collapsed="false">
      <c r="A49" s="0" t="s">
        <v>108</v>
      </c>
      <c r="B49" s="3" t="n">
        <v>2.5</v>
      </c>
    </row>
    <row r="50" customFormat="false" ht="15" hidden="false" customHeight="false" outlineLevel="0" collapsed="false">
      <c r="A50" s="0" t="s">
        <v>109</v>
      </c>
      <c r="B50" s="3" t="n">
        <v>12</v>
      </c>
    </row>
    <row r="51" customFormat="false" ht="15" hidden="false" customHeight="false" outlineLevel="0" collapsed="false">
      <c r="A51" s="0" t="s">
        <v>110</v>
      </c>
      <c r="B51" s="3" t="n">
        <v>0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-15</v>
      </c>
      <c r="D5" s="4" t="n">
        <f aca="false">Assumptions!D13</f>
        <v>-5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100448.5</v>
      </c>
      <c r="C6" s="0" t="n">
        <f aca="false">B6*(1+C5/100)</f>
        <v>85381.225</v>
      </c>
      <c r="D6" s="0" t="n">
        <f aca="false">C6*(1+D5/100)</f>
        <v>81112.16375</v>
      </c>
      <c r="E6" s="0" t="n">
        <f aca="false">D6*(1+E5/100)</f>
        <v>81112.16375</v>
      </c>
      <c r="F6" s="0" t="n">
        <f aca="false">E6*(1+F5/100)</f>
        <v>81923.2853875</v>
      </c>
      <c r="G6" s="0" t="n">
        <f aca="false">F6*(1+G5/100)</f>
        <v>83152.1346683125</v>
      </c>
      <c r="H6" s="0" t="n">
        <f aca="false">G6*(1+H5/100)</f>
        <v>84815.1773616787</v>
      </c>
      <c r="I6" s="0" t="n">
        <f aca="false">H6*(1+I5/100)</f>
        <v>86511.4809089123</v>
      </c>
      <c r="J6" s="0" t="n">
        <f aca="false">I6*(1+J5/100)</f>
        <v>88241.7105270906</v>
      </c>
      <c r="K6" s="0" t="n">
        <f aca="false">J6*(1+K5/100)</f>
        <v>90006.5447376324</v>
      </c>
      <c r="L6" s="0" t="n">
        <f aca="false">K6*(1+L5/100)</f>
        <v>91806.675632385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12.5</v>
      </c>
      <c r="D7" s="4" t="n">
        <f aca="false">Assumptions!D14</f>
        <v>12</v>
      </c>
      <c r="E7" s="4" t="n">
        <f aca="false">Assumptions!E14</f>
        <v>11.5</v>
      </c>
      <c r="F7" s="4" t="n">
        <f aca="false">Assumptions!F14</f>
        <v>11</v>
      </c>
      <c r="G7" s="4" t="n">
        <f aca="false">Assumptions!G14</f>
        <v>11</v>
      </c>
      <c r="H7" s="4" t="n">
        <f aca="false">Assumptions!H14</f>
        <v>11</v>
      </c>
      <c r="I7" s="4" t="n">
        <f aca="false">Assumptions!I14</f>
        <v>11</v>
      </c>
      <c r="J7" s="4" t="n">
        <f aca="false">Assumptions!J14</f>
        <v>11</v>
      </c>
      <c r="K7" s="4" t="n">
        <f aca="false">Assumptions!K14</f>
        <v>11</v>
      </c>
      <c r="L7" s="4" t="n">
        <f aca="false">Assumptions!L14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10672.653125</v>
      </c>
      <c r="D8" s="0" t="n">
        <f aca="false">D6*D7/100</f>
        <v>9733.45965</v>
      </c>
      <c r="E8" s="0" t="n">
        <f aca="false">E6*E7/100</f>
        <v>9327.89883125</v>
      </c>
      <c r="F8" s="0" t="n">
        <f aca="false">F6*F7/100</f>
        <v>9011.561392625</v>
      </c>
      <c r="G8" s="0" t="n">
        <f aca="false">G6*G7/100</f>
        <v>9146.73481351438</v>
      </c>
      <c r="H8" s="0" t="n">
        <f aca="false">H6*H7/100</f>
        <v>9329.66950978466</v>
      </c>
      <c r="I8" s="0" t="n">
        <f aca="false">I6*I7/100</f>
        <v>9516.26289998036</v>
      </c>
      <c r="J8" s="0" t="n">
        <f aca="false">J6*J7/100</f>
        <v>9706.58815797996</v>
      </c>
      <c r="K8" s="0" t="n">
        <f aca="false">K6*K7/100</f>
        <v>9900.71992113956</v>
      </c>
      <c r="L8" s="0" t="n">
        <f aca="false">L6*L7/100</f>
        <v>10098.7343195624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10484.81443</v>
      </c>
      <c r="D11" s="0" t="n">
        <f aca="false">D8+D10+D24</f>
        <v>9555.01288975</v>
      </c>
      <c r="E11" s="0" t="n">
        <f aca="false">E8+E10+E24</f>
        <v>9149.452071</v>
      </c>
      <c r="F11" s="0" t="n">
        <f aca="false">F8+F10+F24</f>
        <v>8831.3301647725</v>
      </c>
      <c r="G11" s="0" t="n">
        <f aca="false">G8+G10+G24</f>
        <v>8963.80011724409</v>
      </c>
      <c r="H11" s="0" t="n">
        <f aca="false">H8+H10+H24</f>
        <v>9143.07611958897</v>
      </c>
      <c r="I11" s="0" t="n">
        <f aca="false">I8+I10+I24</f>
        <v>9325.93764198075</v>
      </c>
      <c r="J11" s="0" t="n">
        <f aca="false">J8+J10+J24</f>
        <v>9512.45639482036</v>
      </c>
      <c r="K11" s="0" t="n">
        <f aca="false">K8+K10+K24</f>
        <v>9702.70552271677</v>
      </c>
      <c r="L11" s="0" t="n">
        <f aca="false">L8+L10+L24</f>
        <v>9896.75963317111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-811.1216375</v>
      </c>
      <c r="D12" s="4" t="n">
        <f aca="false">-D6*Assumptions!D17/100</f>
        <v>-770.565555625</v>
      </c>
      <c r="E12" s="4" t="n">
        <f aca="false">-E6*Assumptions!E17/100</f>
        <v>-770.565555625</v>
      </c>
      <c r="F12" s="4" t="n">
        <f aca="false">-F6*Assumptions!F17/100</f>
        <v>-778.27121118125</v>
      </c>
      <c r="G12" s="4" t="n">
        <f aca="false">-G6*Assumptions!G17/100</f>
        <v>-789.945279348969</v>
      </c>
      <c r="H12" s="4" t="n">
        <f aca="false">-H6*Assumptions!H17/100</f>
        <v>-805.744184935948</v>
      </c>
      <c r="I12" s="4" t="n">
        <f aca="false">-I6*Assumptions!I17/100</f>
        <v>-821.859068634667</v>
      </c>
      <c r="J12" s="4" t="n">
        <f aca="false">-J6*Assumptions!J17/100</f>
        <v>-838.29625000736</v>
      </c>
      <c r="K12" s="4" t="n">
        <f aca="false">-K6*Assumptions!K17/100</f>
        <v>-855.062175007507</v>
      </c>
      <c r="L12" s="4" t="n">
        <f aca="false">-L6*Assumptions!L17/100</f>
        <v>-872.163418507658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9673.6927925</v>
      </c>
      <c r="D13" s="0" t="n">
        <f aca="false">D11+D12</f>
        <v>8784.447334125</v>
      </c>
      <c r="E13" s="0" t="n">
        <f aca="false">E11+E12</f>
        <v>8378.886515375</v>
      </c>
      <c r="F13" s="0" t="n">
        <f aca="false">F11+F12</f>
        <v>8053.05895359125</v>
      </c>
      <c r="G13" s="0" t="n">
        <f aca="false">G11+G12</f>
        <v>8173.85483789512</v>
      </c>
      <c r="H13" s="0" t="n">
        <f aca="false">H11+H12</f>
        <v>8337.33193465302</v>
      </c>
      <c r="I13" s="0" t="n">
        <f aca="false">I11+I12</f>
        <v>8504.07857334608</v>
      </c>
      <c r="J13" s="0" t="n">
        <f aca="false">J11+J12</f>
        <v>8674.160144813</v>
      </c>
      <c r="K13" s="0" t="n">
        <f aca="false">K11+K12</f>
        <v>8847.64334770926</v>
      </c>
      <c r="L13" s="0" t="n">
        <f aca="false">L11+L12</f>
        <v>9024.59621466345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7061.795738525</v>
      </c>
      <c r="D15" s="0" t="n">
        <f aca="false">D13-MAX(0,D13)*D14/100</f>
        <v>6412.64655391125</v>
      </c>
      <c r="E15" s="0" t="n">
        <f aca="false">E13-MAX(0,E13)*E14/100</f>
        <v>6116.58715622375</v>
      </c>
      <c r="F15" s="0" t="n">
        <f aca="false">F13-MAX(0,F13)*F14/100</f>
        <v>5878.73303612161</v>
      </c>
      <c r="G15" s="0" t="n">
        <f aca="false">G13-MAX(0,G13)*G14/100</f>
        <v>5966.91403166344</v>
      </c>
      <c r="H15" s="0" t="n">
        <f aca="false">H13-MAX(0,H13)*H14/100</f>
        <v>6086.25231229671</v>
      </c>
      <c r="I15" s="0" t="n">
        <f aca="false">I13-MAX(0,I13)*I14/100</f>
        <v>6207.97735854264</v>
      </c>
      <c r="J15" s="0" t="n">
        <f aca="false">J13-MAX(0,J13)*J14/100</f>
        <v>6332.13690571349</v>
      </c>
      <c r="K15" s="0" t="n">
        <f aca="false">K13-MAX(0,K13)*K14/100</f>
        <v>6458.77964382776</v>
      </c>
      <c r="L15" s="0" t="n">
        <f aca="false">L13-MAX(0,L13)*L14/100</f>
        <v>6587.95523670432</v>
      </c>
    </row>
    <row r="16" customFormat="false" ht="15" hidden="false" customHeight="false" outlineLevel="0" collapsed="false">
      <c r="A16" s="0" t="s">
        <v>122</v>
      </c>
      <c r="C16" s="0" t="n">
        <f aca="false">-C12</f>
        <v>811.1216375</v>
      </c>
      <c r="D16" s="0" t="n">
        <f aca="false">-D12</f>
        <v>770.565555625</v>
      </c>
      <c r="E16" s="0" t="n">
        <f aca="false">-E12</f>
        <v>770.565555625</v>
      </c>
      <c r="F16" s="0" t="n">
        <f aca="false">-F12</f>
        <v>778.27121118125</v>
      </c>
      <c r="G16" s="0" t="n">
        <f aca="false">-G12</f>
        <v>789.945279348969</v>
      </c>
      <c r="H16" s="0" t="n">
        <f aca="false">-H12</f>
        <v>805.744184935948</v>
      </c>
      <c r="I16" s="0" t="n">
        <f aca="false">-I12</f>
        <v>821.859068634667</v>
      </c>
      <c r="J16" s="0" t="n">
        <f aca="false">-J12</f>
        <v>838.29625000736</v>
      </c>
      <c r="K16" s="0" t="n">
        <f aca="false">-K12</f>
        <v>855.062175007507</v>
      </c>
      <c r="L16" s="0" t="n">
        <f aca="false">-L12</f>
        <v>872.163418507658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-5976.68575</v>
      </c>
      <c r="D17" s="4" t="n">
        <f aca="false">-D6*Assumptions!D18/100</f>
        <v>-5677.8514625</v>
      </c>
      <c r="E17" s="4" t="n">
        <f aca="false">-E6*Assumptions!E18/100</f>
        <v>-5677.8514625</v>
      </c>
      <c r="F17" s="4" t="n">
        <f aca="false">-F6*Assumptions!F18/100</f>
        <v>-5325.0135501875</v>
      </c>
      <c r="G17" s="4" t="n">
        <f aca="false">-G6*Assumptions!G18/100</f>
        <v>-5404.88875344031</v>
      </c>
      <c r="H17" s="4" t="n">
        <f aca="false">-H6*Assumptions!H18/100</f>
        <v>-5088.91064170072</v>
      </c>
      <c r="I17" s="4" t="n">
        <f aca="false">-I6*Assumptions!I18/100</f>
        <v>-5190.68885453474</v>
      </c>
      <c r="J17" s="4" t="n">
        <f aca="false">-J6*Assumptions!J18/100</f>
        <v>-5294.50263162543</v>
      </c>
      <c r="K17" s="4" t="n">
        <f aca="false">-K6*Assumptions!K18/100</f>
        <v>-5400.39268425794</v>
      </c>
      <c r="L17" s="4" t="n">
        <f aca="false">-L6*Assumptions!L18/100</f>
        <v>-5508.4005379431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1896.231626025</v>
      </c>
      <c r="D19" s="0" t="n">
        <f aca="false">D15+D16+D17+D18</f>
        <v>1505.36064703625</v>
      </c>
      <c r="E19" s="0" t="n">
        <f aca="false">E15+E16+E17+E18</f>
        <v>1209.30124934875</v>
      </c>
      <c r="F19" s="0" t="n">
        <f aca="false">F15+F16+F17+F18</f>
        <v>1331.99069711536</v>
      </c>
      <c r="G19" s="0" t="n">
        <f aca="false">G15+G16+G17+G18</f>
        <v>1351.97055757209</v>
      </c>
      <c r="H19" s="0" t="n">
        <f aca="false">H15+H16+H17+H18</f>
        <v>1803.08585553193</v>
      </c>
      <c r="I19" s="0" t="n">
        <f aca="false">I15+I16+I17+I18</f>
        <v>1839.14757264257</v>
      </c>
      <c r="J19" s="0" t="n">
        <f aca="false">J15+J16+J17+J18</f>
        <v>1875.93052409542</v>
      </c>
      <c r="K19" s="0" t="n">
        <f aca="false">K15+K16+K17+K18</f>
        <v>1913.44913457733</v>
      </c>
      <c r="L19" s="0" t="n">
        <f aca="false">L15+L16+L17+L18</f>
        <v>1951.71811726887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1716.04672038462</v>
      </c>
      <c r="D21" s="0" t="n">
        <f aca="false">D19*D20</f>
        <v>1232.86635985033</v>
      </c>
      <c r="E21" s="0" t="n">
        <f aca="false">E19*E20</f>
        <v>896.288176658009</v>
      </c>
      <c r="F21" s="0" t="n">
        <f aca="false">F19*F20</f>
        <v>893.412613227663</v>
      </c>
      <c r="G21" s="0" t="n">
        <f aca="false">G19*G20</f>
        <v>820.645975046225</v>
      </c>
      <c r="H21" s="0" t="n">
        <f aca="false">H19*H20</f>
        <v>990.47322146831</v>
      </c>
      <c r="I21" s="0" t="n">
        <f aca="false">I19*I20</f>
        <v>914.282973663055</v>
      </c>
      <c r="J21" s="0" t="n">
        <f aca="false">J19*J20</f>
        <v>843.953514150512</v>
      </c>
      <c r="K21" s="0" t="n">
        <f aca="false">K19*K20</f>
        <v>779.034013062012</v>
      </c>
      <c r="L21" s="0" t="n">
        <f aca="false">L19*L20</f>
        <v>719.108319749549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0.22</v>
      </c>
      <c r="D23" s="4" t="n">
        <f aca="false">Assumptions!D16</f>
        <v>0.22</v>
      </c>
      <c r="E23" s="4" t="n">
        <f aca="false">Assumptions!E16</f>
        <v>0.22</v>
      </c>
      <c r="F23" s="4" t="n">
        <f aca="false">Assumptions!F16</f>
        <v>0.22</v>
      </c>
      <c r="G23" s="4" t="n">
        <f aca="false">Assumptions!G16</f>
        <v>0.22</v>
      </c>
      <c r="H23" s="4" t="n">
        <f aca="false">Assumptions!H16</f>
        <v>0.22</v>
      </c>
      <c r="I23" s="4" t="n">
        <f aca="false">Assumptions!I16</f>
        <v>0.22</v>
      </c>
      <c r="J23" s="4" t="n">
        <f aca="false">Assumptions!J16</f>
        <v>0.22</v>
      </c>
      <c r="K23" s="4" t="n">
        <f aca="false">Assumptions!K16</f>
        <v>0.22</v>
      </c>
      <c r="L23" s="4" t="n">
        <f aca="false">Assumptions!L16</f>
        <v>0.22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-187.838695</v>
      </c>
      <c r="D24" s="0" t="n">
        <f aca="false">-D6*D23/100</f>
        <v>-178.44676025</v>
      </c>
      <c r="E24" s="0" t="n">
        <f aca="false">-E6*E23/100</f>
        <v>-178.44676025</v>
      </c>
      <c r="F24" s="0" t="n">
        <f aca="false">-F6*F23/100</f>
        <v>-180.2312278525</v>
      </c>
      <c r="G24" s="0" t="n">
        <f aca="false">-G6*G23/100</f>
        <v>-182.934696270287</v>
      </c>
      <c r="H24" s="0" t="n">
        <f aca="false">-H6*H23/100</f>
        <v>-186.593390195693</v>
      </c>
      <c r="I24" s="0" t="n">
        <f aca="false">-I6*I23/100</f>
        <v>-190.325257999607</v>
      </c>
      <c r="J24" s="0" t="n">
        <f aca="false">-J6*J23/100</f>
        <v>-194.131763159599</v>
      </c>
      <c r="K24" s="0" t="n">
        <f aca="false">-K6*K23/100</f>
        <v>-198.014398422791</v>
      </c>
      <c r="L24" s="0" t="n">
        <f aca="false">-L6*L23/100</f>
        <v>-201.974686391247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9806.11188726028</v>
      </c>
    </row>
    <row r="31" customFormat="false" ht="15" hidden="false" customHeight="false" outlineLevel="0" collapsed="false">
      <c r="A31" s="0" t="s">
        <v>131</v>
      </c>
      <c r="B31" s="0" t="n">
        <f aca="false">L19</f>
        <v>1951.71811726887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25006.3883775074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23420.6174072265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23420.6174072265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8629.29983699458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18435.4117242549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9123.77172425486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2.02866900207571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-0.751692900602729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2.02866900207571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16004.0885616048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0.616107881941993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-10</v>
      </c>
      <c r="D5" s="4" t="n">
        <f aca="false">Assumptions!D27</f>
        <v>2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100448.5</v>
      </c>
      <c r="C6" s="0" t="n">
        <f aca="false">B6*(1+C5/100)</f>
        <v>90403.65</v>
      </c>
      <c r="D6" s="0" t="n">
        <f aca="false">C6*(1+D5/100)</f>
        <v>92211.723</v>
      </c>
      <c r="E6" s="0" t="n">
        <f aca="false">D6*(1+E5/100)</f>
        <v>95900.19192</v>
      </c>
      <c r="F6" s="0" t="n">
        <f aca="false">E6*(1+F5/100)</f>
        <v>99736.1995968</v>
      </c>
      <c r="G6" s="0" t="n">
        <f aca="false">F6*(1+G5/100)</f>
        <v>103725.647580672</v>
      </c>
      <c r="H6" s="0" t="n">
        <f aca="false">G6*(1+H5/100)</f>
        <v>107356.045245996</v>
      </c>
      <c r="I6" s="0" t="n">
        <f aca="false">H6*(1+I5/100)</f>
        <v>110576.726603375</v>
      </c>
      <c r="J6" s="0" t="n">
        <f aca="false">I6*(1+J5/100)</f>
        <v>113894.028401477</v>
      </c>
      <c r="K6" s="0" t="n">
        <f aca="false">J6*(1+K5/100)</f>
        <v>116741.379111514</v>
      </c>
      <c r="L6" s="0" t="n">
        <f aca="false">K6*(1+L5/100)</f>
        <v>119659.913589301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13.4</v>
      </c>
      <c r="D7" s="4" t="n">
        <f aca="false">Assumptions!D28</f>
        <v>13.2</v>
      </c>
      <c r="E7" s="4" t="n">
        <f aca="false">Assumptions!E28</f>
        <v>13.2</v>
      </c>
      <c r="F7" s="4" t="n">
        <f aca="false">Assumptions!F28</f>
        <v>13.2</v>
      </c>
      <c r="G7" s="4" t="n">
        <f aca="false">Assumptions!G28</f>
        <v>13.2</v>
      </c>
      <c r="H7" s="4" t="n">
        <f aca="false">Assumptions!H28</f>
        <v>13</v>
      </c>
      <c r="I7" s="4" t="n">
        <f aca="false">Assumptions!I28</f>
        <v>13</v>
      </c>
      <c r="J7" s="4" t="n">
        <f aca="false">Assumptions!J28</f>
        <v>13</v>
      </c>
      <c r="K7" s="4" t="n">
        <f aca="false">Assumptions!K28</f>
        <v>13</v>
      </c>
      <c r="L7" s="4" t="n">
        <f aca="false">Assumptions!L28</f>
        <v>13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12114.0891</v>
      </c>
      <c r="D8" s="0" t="n">
        <f aca="false">D6*D7/100</f>
        <v>12171.947436</v>
      </c>
      <c r="E8" s="0" t="n">
        <f aca="false">E6*E7/100</f>
        <v>12658.82533344</v>
      </c>
      <c r="F8" s="0" t="n">
        <f aca="false">F6*F7/100</f>
        <v>13165.1783467776</v>
      </c>
      <c r="G8" s="0" t="n">
        <f aca="false">G6*G7/100</f>
        <v>13691.7854806487</v>
      </c>
      <c r="H8" s="0" t="n">
        <f aca="false">H6*H7/100</f>
        <v>13956.2858819794</v>
      </c>
      <c r="I8" s="0" t="n">
        <f aca="false">I6*I7/100</f>
        <v>14374.9744584388</v>
      </c>
      <c r="J8" s="0" t="n">
        <f aca="false">J6*J7/100</f>
        <v>14806.223692192</v>
      </c>
      <c r="K8" s="0" t="n">
        <f aca="false">K6*K7/100</f>
        <v>15176.3792844968</v>
      </c>
      <c r="L8" s="0" t="n">
        <f aca="false">L6*L7/100</f>
        <v>15555.7887666092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11915.20107</v>
      </c>
      <c r="D11" s="0" t="n">
        <f aca="false">D8+D10+D24</f>
        <v>11969.0816454</v>
      </c>
      <c r="E11" s="0" t="n">
        <f aca="false">E8+E10+E24</f>
        <v>12447.844911216</v>
      </c>
      <c r="F11" s="0" t="n">
        <f aca="false">F8+F10+F24</f>
        <v>12945.7587076646</v>
      </c>
      <c r="G11" s="0" t="n">
        <f aca="false">G8+G10+G24</f>
        <v>13463.5890559712</v>
      </c>
      <c r="H11" s="0" t="n">
        <f aca="false">H8+H10+H24</f>
        <v>13720.1025824382</v>
      </c>
      <c r="I11" s="0" t="n">
        <f aca="false">I8+I10+I24</f>
        <v>14131.7056599114</v>
      </c>
      <c r="J11" s="0" t="n">
        <f aca="false">J8+J10+J24</f>
        <v>14555.6568297087</v>
      </c>
      <c r="K11" s="0" t="n">
        <f aca="false">K8+K10+K24</f>
        <v>14919.5482504514</v>
      </c>
      <c r="L11" s="0" t="n">
        <f aca="false">L8+L10+L24</f>
        <v>15292.5369567127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-858.834675</v>
      </c>
      <c r="D12" s="4" t="n">
        <f aca="false">-D6*Assumptions!D31/100</f>
        <v>-876.0113685</v>
      </c>
      <c r="E12" s="4" t="n">
        <f aca="false">-E6*Assumptions!E31/100</f>
        <v>-911.05182324</v>
      </c>
      <c r="F12" s="4" t="n">
        <f aca="false">-F6*Assumptions!F31/100</f>
        <v>-947.4938961696</v>
      </c>
      <c r="G12" s="4" t="n">
        <f aca="false">-G6*Assumptions!G31/100</f>
        <v>-985.393652016384</v>
      </c>
      <c r="H12" s="4" t="n">
        <f aca="false">-H6*Assumptions!H31/100</f>
        <v>-1019.88242983696</v>
      </c>
      <c r="I12" s="4" t="n">
        <f aca="false">-I6*Assumptions!I31/100</f>
        <v>-1050.47890273207</v>
      </c>
      <c r="J12" s="4" t="n">
        <f aca="false">-J6*Assumptions!J31/100</f>
        <v>-1081.99326981403</v>
      </c>
      <c r="K12" s="4" t="n">
        <f aca="false">-K6*Assumptions!K31/100</f>
        <v>-1109.04310155938</v>
      </c>
      <c r="L12" s="4" t="n">
        <f aca="false">-L6*Assumptions!L31/100</f>
        <v>-1136.76917909836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11056.366395</v>
      </c>
      <c r="D13" s="0" t="n">
        <f aca="false">D11+D12</f>
        <v>11093.0702769</v>
      </c>
      <c r="E13" s="0" t="n">
        <f aca="false">E11+E12</f>
        <v>11536.793087976</v>
      </c>
      <c r="F13" s="0" t="n">
        <f aca="false">F11+F12</f>
        <v>11998.264811495</v>
      </c>
      <c r="G13" s="0" t="n">
        <f aca="false">G11+G12</f>
        <v>12478.1954039548</v>
      </c>
      <c r="H13" s="0" t="n">
        <f aca="false">H11+H12</f>
        <v>12700.2201526013</v>
      </c>
      <c r="I13" s="0" t="n">
        <f aca="false">I11+I12</f>
        <v>13081.2267571793</v>
      </c>
      <c r="J13" s="0" t="n">
        <f aca="false">J11+J12</f>
        <v>13473.6635598947</v>
      </c>
      <c r="K13" s="0" t="n">
        <f aca="false">K11+K12</f>
        <v>13810.5051488921</v>
      </c>
      <c r="L13" s="0" t="n">
        <f aca="false">L11+L12</f>
        <v>14155.7677776144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8181.7111323</v>
      </c>
      <c r="D15" s="0" t="n">
        <f aca="false">D13-MAX(0,D13)*D14/100</f>
        <v>8208.872004906</v>
      </c>
      <c r="E15" s="0" t="n">
        <f aca="false">E13-MAX(0,E13)*E14/100</f>
        <v>8537.22688510224</v>
      </c>
      <c r="F15" s="0" t="n">
        <f aca="false">F13-MAX(0,F13)*F14/100</f>
        <v>8878.71596050633</v>
      </c>
      <c r="G15" s="0" t="n">
        <f aca="false">G13-MAX(0,G13)*G14/100</f>
        <v>9233.86459892658</v>
      </c>
      <c r="H15" s="0" t="n">
        <f aca="false">H13-MAX(0,H13)*H14/100</f>
        <v>9398.16291292494</v>
      </c>
      <c r="I15" s="0" t="n">
        <f aca="false">I13-MAX(0,I13)*I14/100</f>
        <v>9680.10780031269</v>
      </c>
      <c r="J15" s="0" t="n">
        <f aca="false">J13-MAX(0,J13)*J14/100</f>
        <v>9970.51103432207</v>
      </c>
      <c r="K15" s="0" t="n">
        <f aca="false">K13-MAX(0,K13)*K14/100</f>
        <v>10219.7738101801</v>
      </c>
      <c r="L15" s="0" t="n">
        <f aca="false">L13-MAX(0,L13)*L14/100</f>
        <v>10475.2681554346</v>
      </c>
    </row>
    <row r="16" customFormat="false" ht="15" hidden="false" customHeight="false" outlineLevel="0" collapsed="false">
      <c r="A16" s="0" t="s">
        <v>122</v>
      </c>
      <c r="C16" s="0" t="n">
        <f aca="false">-C12</f>
        <v>858.834675</v>
      </c>
      <c r="D16" s="0" t="n">
        <f aca="false">-D12</f>
        <v>876.0113685</v>
      </c>
      <c r="E16" s="0" t="n">
        <f aca="false">-E12</f>
        <v>911.05182324</v>
      </c>
      <c r="F16" s="0" t="n">
        <f aca="false">-F12</f>
        <v>947.4938961696</v>
      </c>
      <c r="G16" s="0" t="n">
        <f aca="false">-G12</f>
        <v>985.393652016384</v>
      </c>
      <c r="H16" s="0" t="n">
        <f aca="false">-H12</f>
        <v>1019.88242983696</v>
      </c>
      <c r="I16" s="0" t="n">
        <f aca="false">-I12</f>
        <v>1050.47890273207</v>
      </c>
      <c r="J16" s="0" t="n">
        <f aca="false">-J12</f>
        <v>1081.99326981403</v>
      </c>
      <c r="K16" s="0" t="n">
        <f aca="false">-K12</f>
        <v>1109.04310155938</v>
      </c>
      <c r="L16" s="0" t="n">
        <f aca="false">-L12</f>
        <v>1136.76917909836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-4520.1825</v>
      </c>
      <c r="D17" s="4" t="n">
        <f aca="false">-D6*Assumptions!D32/100</f>
        <v>-4610.58615</v>
      </c>
      <c r="E17" s="4" t="n">
        <f aca="false">-E6*Assumptions!E32/100</f>
        <v>-4315.5086364</v>
      </c>
      <c r="F17" s="4" t="n">
        <f aca="false">-F6*Assumptions!F32/100</f>
        <v>-4488.128981856</v>
      </c>
      <c r="G17" s="4" t="n">
        <f aca="false">-G6*Assumptions!G32/100</f>
        <v>-4149.02590322688</v>
      </c>
      <c r="H17" s="4" t="n">
        <f aca="false">-H6*Assumptions!H32/100</f>
        <v>-4294.24180983982</v>
      </c>
      <c r="I17" s="4" t="n">
        <f aca="false">-I6*Assumptions!I32/100</f>
        <v>-4423.06906413502</v>
      </c>
      <c r="J17" s="4" t="n">
        <f aca="false">-J6*Assumptions!J32/100</f>
        <v>-4555.76113605907</v>
      </c>
      <c r="K17" s="4" t="n">
        <f aca="false">-K6*Assumptions!K32/100</f>
        <v>-4669.65516446054</v>
      </c>
      <c r="L17" s="4" t="n">
        <f aca="false">-L6*Assumptions!L32/100</f>
        <v>-4786.39654357206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4520.3633073</v>
      </c>
      <c r="D19" s="0" t="n">
        <f aca="false">D15+D16+D17+D18</f>
        <v>4474.297223406</v>
      </c>
      <c r="E19" s="0" t="n">
        <f aca="false">E15+E16+E17+E18</f>
        <v>5132.77007194224</v>
      </c>
      <c r="F19" s="0" t="n">
        <f aca="false">F15+F16+F17+F18</f>
        <v>5338.08087481993</v>
      </c>
      <c r="G19" s="0" t="n">
        <f aca="false">G15+G16+G17+G18</f>
        <v>6070.23234771609</v>
      </c>
      <c r="H19" s="0" t="n">
        <f aca="false">H15+H16+H17+H18</f>
        <v>6123.80353292208</v>
      </c>
      <c r="I19" s="0" t="n">
        <f aca="false">I15+I16+I17+I18</f>
        <v>6307.51763890974</v>
      </c>
      <c r="J19" s="0" t="n">
        <f aca="false">J15+J16+J17+J18</f>
        <v>6496.74316807703</v>
      </c>
      <c r="K19" s="0" t="n">
        <f aca="false">K15+K16+K17+K18</f>
        <v>6659.16174727896</v>
      </c>
      <c r="L19" s="0" t="n">
        <f aca="false">L15+L16+L17+L18</f>
        <v>6825.64079096093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4090.82652244344</v>
      </c>
      <c r="D21" s="0" t="n">
        <f aca="false">D19*D20</f>
        <v>3664.37806220675</v>
      </c>
      <c r="E21" s="0" t="n">
        <f aca="false">E19*E20</f>
        <v>3804.21431918921</v>
      </c>
      <c r="F21" s="0" t="n">
        <f aca="false">F19*F20</f>
        <v>3580.43700629572</v>
      </c>
      <c r="G21" s="0" t="n">
        <f aca="false">G19*G20</f>
        <v>3684.6303463106</v>
      </c>
      <c r="H21" s="0" t="n">
        <f aca="false">H19*H20</f>
        <v>3363.93488656311</v>
      </c>
      <c r="I21" s="0" t="n">
        <f aca="false">I19*I20</f>
        <v>3135.61351417195</v>
      </c>
      <c r="J21" s="0" t="n">
        <f aca="false">J19*J20</f>
        <v>2922.78906750869</v>
      </c>
      <c r="K21" s="0" t="n">
        <f aca="false">K19*K20</f>
        <v>2711.18442913702</v>
      </c>
      <c r="L21" s="0" t="n">
        <f aca="false">L19*L20</f>
        <v>2514.89958358864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0.22</v>
      </c>
      <c r="D23" s="4" t="n">
        <f aca="false">Assumptions!D30</f>
        <v>0.22</v>
      </c>
      <c r="E23" s="4" t="n">
        <f aca="false">Assumptions!E30</f>
        <v>0.22</v>
      </c>
      <c r="F23" s="4" t="n">
        <f aca="false">Assumptions!F30</f>
        <v>0.22</v>
      </c>
      <c r="G23" s="4" t="n">
        <f aca="false">Assumptions!G30</f>
        <v>0.22</v>
      </c>
      <c r="H23" s="4" t="n">
        <f aca="false">Assumptions!H30</f>
        <v>0.22</v>
      </c>
      <c r="I23" s="4" t="n">
        <f aca="false">Assumptions!I30</f>
        <v>0.22</v>
      </c>
      <c r="J23" s="4" t="n">
        <f aca="false">Assumptions!J30</f>
        <v>0.22</v>
      </c>
      <c r="K23" s="4" t="n">
        <f aca="false">Assumptions!K30</f>
        <v>0.22</v>
      </c>
      <c r="L23" s="4" t="n">
        <f aca="false">Assumptions!L30</f>
        <v>0.22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-198.88803</v>
      </c>
      <c r="D24" s="0" t="n">
        <f aca="false">-D6*D23/100</f>
        <v>-202.8657906</v>
      </c>
      <c r="E24" s="0" t="n">
        <f aca="false">-E6*E23/100</f>
        <v>-210.980422224</v>
      </c>
      <c r="F24" s="0" t="n">
        <f aca="false">-F6*F23/100</f>
        <v>-219.41963911296</v>
      </c>
      <c r="G24" s="0" t="n">
        <f aca="false">-G6*G23/100</f>
        <v>-228.196424677478</v>
      </c>
      <c r="H24" s="0" t="n">
        <f aca="false">-H6*H23/100</f>
        <v>-236.18329954119</v>
      </c>
      <c r="I24" s="0" t="n">
        <f aca="false">-I6*I23/100</f>
        <v>-243.268798527426</v>
      </c>
      <c r="J24" s="0" t="n">
        <f aca="false">-J6*J23/100</f>
        <v>-250.566862483249</v>
      </c>
      <c r="K24" s="0" t="n">
        <f aca="false">-K6*K23/100</f>
        <v>-256.83103404533</v>
      </c>
      <c r="L24" s="0" t="n">
        <f aca="false">-L6*L23/100</f>
        <v>-263.251809896463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33472.9077374151</v>
      </c>
    </row>
    <row r="31" customFormat="false" ht="15" hidden="false" customHeight="false" outlineLevel="0" collapsed="false">
      <c r="A31" s="0" t="s">
        <v>131</v>
      </c>
      <c r="B31" s="0" t="n">
        <f aca="false">L19</f>
        <v>6825.64079096093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87453.5226341869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81907.6894915312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81907.6894915312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30178.7950030637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63651.7027404788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54340.0627404788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12.0825031778688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0.478886557878673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12.0825031778688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55970.2544858796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7.11628268195935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-8</v>
      </c>
      <c r="D5" s="4" t="n">
        <f aca="false">Assumptions!D41</f>
        <v>5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100448.5</v>
      </c>
      <c r="C6" s="0" t="n">
        <f aca="false">B6*(1+C5/100)</f>
        <v>92412.62</v>
      </c>
      <c r="D6" s="0" t="n">
        <f aca="false">C6*(1+D5/100)</f>
        <v>97033.251</v>
      </c>
      <c r="E6" s="0" t="n">
        <f aca="false">D6*(1+E5/100)</f>
        <v>103825.57857</v>
      </c>
      <c r="F6" s="0" t="n">
        <f aca="false">E6*(1+F5/100)</f>
        <v>111093.3690699</v>
      </c>
      <c r="G6" s="0" t="n">
        <f aca="false">F6*(1+G5/100)</f>
        <v>117758.971214094</v>
      </c>
      <c r="H6" s="0" t="n">
        <f aca="false">G6*(1+H5/100)</f>
        <v>123646.919774799</v>
      </c>
      <c r="I6" s="0" t="n">
        <f aca="false">H6*(1+I5/100)</f>
        <v>128592.796565791</v>
      </c>
      <c r="J6" s="0" t="n">
        <f aca="false">I6*(1+J5/100)</f>
        <v>133093.544445593</v>
      </c>
      <c r="K6" s="0" t="n">
        <f aca="false">J6*(1+K5/100)</f>
        <v>137086.350778961</v>
      </c>
      <c r="L6" s="0" t="n">
        <f aca="false">K6*(1+L5/100)</f>
        <v>141198.94130233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14</v>
      </c>
      <c r="D7" s="4" t="n">
        <f aca="false">Assumptions!D42</f>
        <v>14</v>
      </c>
      <c r="E7" s="4" t="n">
        <f aca="false">Assumptions!E42</f>
        <v>14.2</v>
      </c>
      <c r="F7" s="4" t="n">
        <f aca="false">Assumptions!F42</f>
        <v>14.4</v>
      </c>
      <c r="G7" s="4" t="n">
        <f aca="false">Assumptions!G42</f>
        <v>14.5</v>
      </c>
      <c r="H7" s="4" t="n">
        <f aca="false">Assumptions!H42</f>
        <v>14.5</v>
      </c>
      <c r="I7" s="4" t="n">
        <f aca="false">Assumptions!I42</f>
        <v>14.5</v>
      </c>
      <c r="J7" s="4" t="n">
        <f aca="false">Assumptions!J42</f>
        <v>14.5</v>
      </c>
      <c r="K7" s="4" t="n">
        <f aca="false">Assumptions!K42</f>
        <v>14.5</v>
      </c>
      <c r="L7" s="4" t="n">
        <f aca="false">Assumptions!L42</f>
        <v>14.5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12937.7668</v>
      </c>
      <c r="D8" s="0" t="n">
        <f aca="false">D6*D7/100</f>
        <v>13584.65514</v>
      </c>
      <c r="E8" s="0" t="n">
        <f aca="false">E6*E7/100</f>
        <v>14743.23215694</v>
      </c>
      <c r="F8" s="0" t="n">
        <f aca="false">F6*F7/100</f>
        <v>15997.4451460656</v>
      </c>
      <c r="G8" s="0" t="n">
        <f aca="false">G6*G7/100</f>
        <v>17075.0508260436</v>
      </c>
      <c r="H8" s="0" t="n">
        <f aca="false">H6*H7/100</f>
        <v>17928.8033673458</v>
      </c>
      <c r="I8" s="0" t="n">
        <f aca="false">I6*I7/100</f>
        <v>18645.9555020397</v>
      </c>
      <c r="J8" s="0" t="n">
        <f aca="false">J6*J7/100</f>
        <v>19298.563944611</v>
      </c>
      <c r="K8" s="0" t="n">
        <f aca="false">K6*K7/100</f>
        <v>19877.5208629494</v>
      </c>
      <c r="L8" s="0" t="n">
        <f aca="false">L6*L7/100</f>
        <v>20473.8464888379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12734.459036</v>
      </c>
      <c r="D11" s="0" t="n">
        <f aca="false">D8+D10+D24</f>
        <v>13371.1819878</v>
      </c>
      <c r="E11" s="0" t="n">
        <f aca="false">E8+E10+E24</f>
        <v>14514.815884086</v>
      </c>
      <c r="F11" s="0" t="n">
        <f aca="false">F8+F10+F24</f>
        <v>15753.0397341118</v>
      </c>
      <c r="G11" s="0" t="n">
        <f aca="false">G8+G10+G24</f>
        <v>16815.9810893726</v>
      </c>
      <c r="H11" s="0" t="n">
        <f aca="false">H8+H10+H24</f>
        <v>17656.7801438413</v>
      </c>
      <c r="I11" s="0" t="n">
        <f aca="false">I8+I10+I24</f>
        <v>18363.0513495949</v>
      </c>
      <c r="J11" s="0" t="n">
        <f aca="false">J8+J10+J24</f>
        <v>19005.7581468307</v>
      </c>
      <c r="K11" s="0" t="n">
        <f aca="false">K8+K10+K24</f>
        <v>19575.9308912357</v>
      </c>
      <c r="L11" s="0" t="n">
        <f aca="false">L8+L10+L24</f>
        <v>20163.2088179727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-877.91989</v>
      </c>
      <c r="D12" s="4" t="n">
        <f aca="false">-D6*Assumptions!D45/100</f>
        <v>-921.8158845</v>
      </c>
      <c r="E12" s="4" t="n">
        <f aca="false">-E6*Assumptions!E45/100</f>
        <v>-986.342996415</v>
      </c>
      <c r="F12" s="4" t="n">
        <f aca="false">-F6*Assumptions!F45/100</f>
        <v>-1055.38700616405</v>
      </c>
      <c r="G12" s="4" t="n">
        <f aca="false">-G6*Assumptions!G45/100</f>
        <v>-1118.71022653389</v>
      </c>
      <c r="H12" s="4" t="n">
        <f aca="false">-H6*Assumptions!H45/100</f>
        <v>-1174.64573786059</v>
      </c>
      <c r="I12" s="4" t="n">
        <f aca="false">-I6*Assumptions!I45/100</f>
        <v>-1221.63156737501</v>
      </c>
      <c r="J12" s="4" t="n">
        <f aca="false">-J6*Assumptions!J45/100</f>
        <v>-1264.38867223314</v>
      </c>
      <c r="K12" s="4" t="n">
        <f aca="false">-K6*Assumptions!K45/100</f>
        <v>-1302.32033240013</v>
      </c>
      <c r="L12" s="4" t="n">
        <f aca="false">-L6*Assumptions!L45/100</f>
        <v>-1341.38994237213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11856.539146</v>
      </c>
      <c r="D13" s="0" t="n">
        <f aca="false">D11+D12</f>
        <v>12449.3661033</v>
      </c>
      <c r="E13" s="0" t="n">
        <f aca="false">E11+E12</f>
        <v>13528.472887671</v>
      </c>
      <c r="F13" s="0" t="n">
        <f aca="false">F11+F12</f>
        <v>14697.6527279478</v>
      </c>
      <c r="G13" s="0" t="n">
        <f aca="false">G11+G12</f>
        <v>15697.2708628387</v>
      </c>
      <c r="H13" s="0" t="n">
        <f aca="false">H11+H12</f>
        <v>16482.1344059807</v>
      </c>
      <c r="I13" s="0" t="n">
        <f aca="false">I11+I12</f>
        <v>17141.4197822199</v>
      </c>
      <c r="J13" s="0" t="n">
        <f aca="false">J11+J12</f>
        <v>17741.3694745976</v>
      </c>
      <c r="K13" s="0" t="n">
        <f aca="false">K11+K12</f>
        <v>18273.6105588355</v>
      </c>
      <c r="L13" s="0" t="n">
        <f aca="false">L11+L12</f>
        <v>18821.8188756006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8892.4043595</v>
      </c>
      <c r="D15" s="0" t="n">
        <f aca="false">D13-MAX(0,D13)*D14/100</f>
        <v>9337.024577475</v>
      </c>
      <c r="E15" s="0" t="n">
        <f aca="false">E13-MAX(0,E13)*E14/100</f>
        <v>10146.3546657533</v>
      </c>
      <c r="F15" s="0" t="n">
        <f aca="false">F13-MAX(0,F13)*F14/100</f>
        <v>11023.2395459608</v>
      </c>
      <c r="G15" s="0" t="n">
        <f aca="false">G13-MAX(0,G13)*G14/100</f>
        <v>11772.9531471291</v>
      </c>
      <c r="H15" s="0" t="n">
        <f aca="false">H13-MAX(0,H13)*H14/100</f>
        <v>12361.6008044855</v>
      </c>
      <c r="I15" s="0" t="n">
        <f aca="false">I13-MAX(0,I13)*I14/100</f>
        <v>12856.0648366649</v>
      </c>
      <c r="J15" s="0" t="n">
        <f aca="false">J13-MAX(0,J13)*J14/100</f>
        <v>13306.0271059482</v>
      </c>
      <c r="K15" s="0" t="n">
        <f aca="false">K13-MAX(0,K13)*K14/100</f>
        <v>13705.2079191266</v>
      </c>
      <c r="L15" s="0" t="n">
        <f aca="false">L13-MAX(0,L13)*L14/100</f>
        <v>14116.3641567004</v>
      </c>
    </row>
    <row r="16" customFormat="false" ht="15" hidden="false" customHeight="false" outlineLevel="0" collapsed="false">
      <c r="A16" s="0" t="s">
        <v>122</v>
      </c>
      <c r="C16" s="0" t="n">
        <f aca="false">-C12</f>
        <v>877.91989</v>
      </c>
      <c r="D16" s="0" t="n">
        <f aca="false">-D12</f>
        <v>921.8158845</v>
      </c>
      <c r="E16" s="0" t="n">
        <f aca="false">-E12</f>
        <v>986.342996415</v>
      </c>
      <c r="F16" s="0" t="n">
        <f aca="false">-F12</f>
        <v>1055.38700616405</v>
      </c>
      <c r="G16" s="0" t="n">
        <f aca="false">-G12</f>
        <v>1118.71022653389</v>
      </c>
      <c r="H16" s="0" t="n">
        <f aca="false">-H12</f>
        <v>1174.64573786059</v>
      </c>
      <c r="I16" s="0" t="n">
        <f aca="false">-I12</f>
        <v>1221.63156737501</v>
      </c>
      <c r="J16" s="0" t="n">
        <f aca="false">-J12</f>
        <v>1264.38867223314</v>
      </c>
      <c r="K16" s="0" t="n">
        <f aca="false">-K12</f>
        <v>1302.32033240013</v>
      </c>
      <c r="L16" s="0" t="n">
        <f aca="false">-L12</f>
        <v>1341.38994237213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-3696.5048</v>
      </c>
      <c r="D17" s="4" t="n">
        <f aca="false">-D6*Assumptions!D46/100</f>
        <v>-3396.163785</v>
      </c>
      <c r="E17" s="4" t="n">
        <f aca="false">-E6*Assumptions!E46/100</f>
        <v>-3114.7673571</v>
      </c>
      <c r="F17" s="4" t="n">
        <f aca="false">-F6*Assumptions!F46/100</f>
        <v>-3332.801072097</v>
      </c>
      <c r="G17" s="4" t="n">
        <f aca="false">-G6*Assumptions!G46/100</f>
        <v>-3532.76913642282</v>
      </c>
      <c r="H17" s="4" t="n">
        <f aca="false">-H6*Assumptions!H46/100</f>
        <v>-3709.40759324396</v>
      </c>
      <c r="I17" s="4" t="n">
        <f aca="false">-I6*Assumptions!I46/100</f>
        <v>-3857.78389697372</v>
      </c>
      <c r="J17" s="4" t="n">
        <f aca="false">-J6*Assumptions!J46/100</f>
        <v>-3992.8063333678</v>
      </c>
      <c r="K17" s="4" t="n">
        <f aca="false">-K6*Assumptions!K46/100</f>
        <v>-4112.59052336884</v>
      </c>
      <c r="L17" s="4" t="n">
        <f aca="false">-L6*Assumptions!L46/100</f>
        <v>-4235.9682390699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6073.8194495</v>
      </c>
      <c r="D19" s="0" t="n">
        <f aca="false">D15+D16+D17+D18</f>
        <v>6862.676676975</v>
      </c>
      <c r="E19" s="0" t="n">
        <f aca="false">E15+E16+E17+E18</f>
        <v>8017.93030506825</v>
      </c>
      <c r="F19" s="0" t="n">
        <f aca="false">F15+F16+F17+F18</f>
        <v>8745.82548002788</v>
      </c>
      <c r="G19" s="0" t="n">
        <f aca="false">G15+G16+G17+G18</f>
        <v>9358.89423724012</v>
      </c>
      <c r="H19" s="0" t="n">
        <f aca="false">H15+H16+H17+H18</f>
        <v>9826.83894910213</v>
      </c>
      <c r="I19" s="0" t="n">
        <f aca="false">I15+I16+I17+I18</f>
        <v>10219.9125070662</v>
      </c>
      <c r="J19" s="0" t="n">
        <f aca="false">J15+J16+J17+J18</f>
        <v>10577.6094448135</v>
      </c>
      <c r="K19" s="0" t="n">
        <f aca="false">K15+K16+K17+K18</f>
        <v>10894.9377281579</v>
      </c>
      <c r="L19" s="0" t="n">
        <f aca="false">L15+L16+L17+L18</f>
        <v>11221.7858600027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5496.66918506787</v>
      </c>
      <c r="D21" s="0" t="n">
        <f aca="false">D19*D20</f>
        <v>5620.42274070965</v>
      </c>
      <c r="E21" s="0" t="n">
        <f aca="false">E19*E20</f>
        <v>5942.58555307929</v>
      </c>
      <c r="F21" s="0" t="n">
        <f aca="false">F19*F20</f>
        <v>5866.13015681449</v>
      </c>
      <c r="G21" s="0" t="n">
        <f aca="false">G19*G20</f>
        <v>5680.84774010684</v>
      </c>
      <c r="H21" s="0" t="n">
        <f aca="false">H19*H20</f>
        <v>5398.09061277121</v>
      </c>
      <c r="I21" s="0" t="n">
        <f aca="false">I19*I20</f>
        <v>5080.55587084349</v>
      </c>
      <c r="J21" s="0" t="n">
        <f aca="false">J19*J20</f>
        <v>4758.71070255476</v>
      </c>
      <c r="K21" s="0" t="n">
        <f aca="false">K19*K20</f>
        <v>4435.72128835421</v>
      </c>
      <c r="L21" s="0" t="n">
        <f aca="false">L19*L20</f>
        <v>4134.65423258356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0.22</v>
      </c>
      <c r="D23" s="4" t="n">
        <f aca="false">Assumptions!D44</f>
        <v>0.22</v>
      </c>
      <c r="E23" s="4" t="n">
        <f aca="false">Assumptions!E44</f>
        <v>0.22</v>
      </c>
      <c r="F23" s="4" t="n">
        <f aca="false">Assumptions!F44</f>
        <v>0.22</v>
      </c>
      <c r="G23" s="4" t="n">
        <f aca="false">Assumptions!G44</f>
        <v>0.22</v>
      </c>
      <c r="H23" s="4" t="n">
        <f aca="false">Assumptions!H44</f>
        <v>0.22</v>
      </c>
      <c r="I23" s="4" t="n">
        <f aca="false">Assumptions!I44</f>
        <v>0.22</v>
      </c>
      <c r="J23" s="4" t="n">
        <f aca="false">Assumptions!J44</f>
        <v>0.22</v>
      </c>
      <c r="K23" s="4" t="n">
        <f aca="false">Assumptions!K44</f>
        <v>0.22</v>
      </c>
      <c r="L23" s="4" t="n">
        <f aca="false">Assumptions!L44</f>
        <v>0.22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-203.307764</v>
      </c>
      <c r="D24" s="0" t="n">
        <f aca="false">-D6*D23/100</f>
        <v>-213.4731522</v>
      </c>
      <c r="E24" s="0" t="n">
        <f aca="false">-E6*E23/100</f>
        <v>-228.416272854</v>
      </c>
      <c r="F24" s="0" t="n">
        <f aca="false">-F6*F23/100</f>
        <v>-244.40541195378</v>
      </c>
      <c r="G24" s="0" t="n">
        <f aca="false">-G6*G23/100</f>
        <v>-259.069736671007</v>
      </c>
      <c r="H24" s="0" t="n">
        <f aca="false">-H6*H23/100</f>
        <v>-272.023223504557</v>
      </c>
      <c r="I24" s="0" t="n">
        <f aca="false">-I6*I23/100</f>
        <v>-282.90415244474</v>
      </c>
      <c r="J24" s="0" t="n">
        <f aca="false">-J6*J23/100</f>
        <v>-292.805797780305</v>
      </c>
      <c r="K24" s="0" t="n">
        <f aca="false">-K6*K23/100</f>
        <v>-301.589971713715</v>
      </c>
      <c r="L24" s="0" t="n">
        <f aca="false">-L6*L23/100</f>
        <v>-310.637670865126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52414.3880828854</v>
      </c>
    </row>
    <row r="31" customFormat="false" ht="15" hidden="false" customHeight="false" outlineLevel="0" collapsed="false">
      <c r="A31" s="0" t="s">
        <v>131</v>
      </c>
      <c r="B31" s="0" t="n">
        <f aca="false">L19</f>
        <v>11221.7858600027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143779.131331284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134661.430320032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134661.430320032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49615.8507910028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102030.238873888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92718.5988738882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20.6159637851648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1.52337378031393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20.6159637851648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92018.644052022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12.5070179065033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2.02866900207571</v>
      </c>
      <c r="C4" s="0" t="n">
        <f aca="false">B4/Assumptions!$B$2-1</f>
        <v>-0.751692900602729</v>
      </c>
      <c r="D4" s="4" t="n">
        <f aca="false">Assumptions!$B$24</f>
        <v>0.3</v>
      </c>
      <c r="E4" s="4" t="n">
        <f aca="false">DCF_Bear!$B$43</f>
        <v>2.02866900207571</v>
      </c>
      <c r="F4" s="4" t="n">
        <f aca="false">DCF_Bear!$B$47</f>
        <v>0.616107881941993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12.0825031778688</v>
      </c>
      <c r="C5" s="0" t="n">
        <f aca="false">B5/Assumptions!$B$2-1</f>
        <v>0.478886557878673</v>
      </c>
      <c r="D5" s="4" t="n">
        <f aca="false">Assumptions!$B$38</f>
        <v>0.5</v>
      </c>
      <c r="E5" s="4" t="n">
        <f aca="false">DCF_Base!$B$43</f>
        <v>12.0825031778688</v>
      </c>
      <c r="F5" s="4" t="n">
        <f aca="false">DCF_Base!$B$47</f>
        <v>7.11628268195935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20.6159637851648</v>
      </c>
      <c r="C6" s="0" t="n">
        <f aca="false">B6/Assumptions!$B$2-1</f>
        <v>1.52337378031393</v>
      </c>
      <c r="D6" s="4" t="n">
        <f aca="false">Assumptions!$B$52</f>
        <v>0.2</v>
      </c>
      <c r="E6" s="4" t="n">
        <f aca="false">DCF_Bull!$B$43</f>
        <v>20.6159637851648</v>
      </c>
      <c r="F6" s="4" t="n">
        <f aca="false">DCF_Bull!$B$47</f>
        <v>12.5070179065033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10.77304504659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10.77304504659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0.241625746047909</v>
      </c>
    </row>
    <row r="11" customFormat="false" ht="15" hidden="false" customHeight="false" outlineLevel="0" collapsed="false">
      <c r="A11" s="0" t="s">
        <v>158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6.24437728686293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13.6082634199455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12.5685294846488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12.0825031778688</v>
      </c>
      <c r="C17" s="3" t="n">
        <v>10.5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11.6175401002968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10.1551514404077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7.11628268195935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14.1643831408191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14.1643831408191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14.1643831408191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14.1643831408191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14.1643831408191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13.0767257179238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13.0767257179238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13.0767257179238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13.0767257179238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13.0767257179238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11.6786455605503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12.0825031778688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12.0825031778688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12.0825031778688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12.0825031778688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10.2272213504589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10.5271050115896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10.8603090795126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11.1725945064001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11.1725945064001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9.04298382178229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9.27059601826006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9.52096943438561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9.79769794694543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10.1051740720119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2026-10-22T07:55:24Z</dcterms:created>
  <dc:creator>openpyxl</dc:creator>
  <dc:description/>
  <dc:language>en-NZ</dc:language>
  <cp:lastModifiedBy/>
  <dcterms:modified xsi:type="dcterms:W3CDTF">2026-10-22T07:55:24Z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