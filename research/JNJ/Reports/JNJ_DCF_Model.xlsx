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<sst xmlns="http://schemas.openxmlformats.org/spreadsheetml/2006/main" count="390" uniqueCount="175">
  <si>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</si>
  <si>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JNJ</t>
  </si>
  <si>
    <t xml:space="preserve">Company</t>
  </si>
  <si>
    <t xml:space="preserve">Johnson &amp; Johnson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</si>
  <si>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</si>
  <si>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</si>
  <si>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</si>
  <si>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</si>
  <si>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2026-09-28T20:00:02Z regular close</t>
  </si>
  <si>
    <t xml:space="preserve">Balance sheet date</t>
  </si>
  <si>
    <t xml:space="preserve">2026-06-28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</si>
  <si>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</si>
  <si>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</si>
  <si>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</si>
  <si>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</si>
  <si>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</si>
  <si>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</si>
  <si>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</si>
  <si>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</si>
  <si>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</si>
  <si>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</si>
  <si>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2026-09-28T22:18:39Z</t>
  </si>
  <si>
    <t xml:space="preserve">Drivers file</t>
  </si>
  <si>
    <t xml:space="preserve">JNJ_Drivers.json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</si>
  <si>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</si>
  <si>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</si>
  <si>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</si>
  <si>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JNJ is valued as a mature, diversified cash compounder on strictly owner-FCF terms: SBC expensed, share count flat, litigation charged through the margin every year rather than adjusted away, cash tax normalised after the TCJA transition tax, and terminal value capped at 15-20x FCF so that the perpetuity does the work only the market has historically paid for. The house basis makes no allowance for multiple expansion beyond JNJ's own 15-20x EV/FCF history. At a 7% WACC the company is worth roughly what it earns discounted -- the question the required-return table answers is what return the current price, at ~30x owner FCF, actually offers.
key_risks_to_valuation: Talc litigation: ~60k ovarian/mesothelioma claims in the tort system after the third bankruptcy attempt (Red River) was rejected in March 2025; the model embeds ~3bn/yr of litigation and other cash drag indefinitely rather than a lump-sum reserve -- a global settlement materially above that, or a run of large verdicts, is downside not captured.; US drug pricing: Medicare negotiated prices for Xarelto and Stelara from 2026 and Imbruvica from 2027; most-favoured-nation pricing and Part D redesign; Darzalex and Tremfya are candidates for later negotiation rounds.; Patent cliffs inside the horizon: Stelara (in progress), Invega Sustenna and Xarelto (2026-27), Darzalex IV (~2029; Faspro conversion mitigates), Imbruvica, Erleada (early 2030s).; Pipeline execution: icotrokinra, TAR-200, nipocalimab, Rybrevant-Lazcluze uptake and Carvykti manufacturing scale-up underpin the 5-7% ambition; the bull case needs most of them.; Terminal-value dependence: the cap binds in all three cases, so the valuation is sensitive to the 15-20x exit assumption; PV of terminal is ~60% of enterprise value.; Balance-sheet vintage: net debt is the 2026-06-28 figure; JNJ is running 11-17bn of commercial paper after Intra-Cellular and Halda, so gross debt moves several billion a quarter.; Pharmaceutical tariffs and Pillar 2 minimum tax on the cash tax path; the base assumes ~19.5%, the bear 21%.</t>
  </si>
  <si>
    <t xml:space="preserve">Data sources</t>
  </si>
  <si>
    <t xml:space="preserve">price: Yahoo Finance chart API at inputs.price_as_of; 52-week range 179.80-281.07
financials: SEC XBRL companyfacts (CIK 0000200406): 10-K FY2025 (period ended 2025-12-28) and 10-Q Q2 FY2026 (period ended 2026-06-28) for revenue, cash flow, D&amp;A, SBC, buybacks, cash taxes, interest income/expense, debt and diluted shares; JNJ_Metrics.csv (research/JNJ/Reports) for the FY2007-Q2 2026 history.
qualitative: JNJ_Analysis.json was not yet written when this valuation was built; scenario axes are drawn from the FY2025 10-K and Q2 FY2026 10-Q disclosures and the public record (talc/Red River, Stelara biosimilars, Kenvue separation, Abiomed/Shockwave/Intra-Cellular/Halda acquisitions, Medicare negotiation list).</t>
  </si>
  <si>
    <t xml:space="preserve">Scenario narrative: bear</t>
  </si>
  <si>
    <t xml:space="preserve">Growth stalls to ~1-2% from 2027 on MFN/negotiated pricing, tariffs and the Darzalex/Invega/Xarelto cliffs; talc keeps running through the courts and litigation cash rises; cash tax 21%; cash EBITDA 31%; terminal 15x. The business survives comfortably (bear-case FCF still ~20bn+), so this is a valuation bear, not a solvency one.</t>
  </si>
  <si>
    <t xml:space="preserve">Scenario narrative: base</t>
  </si>
  <si>
    <t xml:space="preserve">JNJ delivers the low end of its 5-7% 2025-2030 operational growth ambition: FY2026 ~+7% (Caplyta annualising, FX, MedTech 5%+) then 5-5.5% as Stelara's ~7bn of lost sales is fully lapped by 2027 and Tremfya, Darzalex Faspro, Rybrevant-Lazcluze, Carvykti, Erleada and Spravato carry Innovative Medicine; growth decelerates from 2029 through the Darzalex IV, Imbruvica and Invega windows toward 2.5%. Cash EBITDA margin (after ~3bn/yr of litigation, restructuring and other cash costs outside adjusted earnings) improves 1pp to 34% as MedTech margins recover; cash tax normalises to 19.5% after the transition-tax roll-off. Talc is charged as a permanent cash drag rather than resolved. Terminal 18x FCF.</t>
  </si>
  <si>
    <t xml:space="preserve">Scenario narrative: bull</t>
  </si>
  <si>
    <t xml:space="preserve">Pipeline and MedTech both deliver: growth stays at 6-7.5% through 2029, cash EBITDA reaches 36% by 2031, talc settles globally within the embedded drag, drug-pricing policy stays contained, terminal 20x.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</si>
  <si>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</si>
  <si>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</si>
  <si>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</si>
  <si>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</si>
  <si>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</si>
  <si>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</si>
  <si>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</si>
  <si>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</si>
  <si>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</si>
  <si>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</si>
  <si>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</si>
  <si>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</si>
  <si>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</si>
  <si>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</si>
  <si>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</si>
  <si>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</si>
  <si>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</si>
  <si>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</si>
  <si>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</si>
  <si>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</si>
  <si>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</si>
  <si>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</si>
  <si>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</si>
  <si>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</si>
  <si>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</si>
  <si>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</si>
  <si>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</si>
  <si>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</si>
  <si>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</si>
  <si>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</si>
  <si>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</si>
  <si>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</si>
  <si>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</si>
  <si>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</si>
  <si>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</si>
  <si>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</si>
  <si>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</si>
  <si>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</si>
  <si>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</si>
  <si>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</si>
  <si>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</si>
  <si>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</si>
  <si>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</si>
  <si>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</si>
  <si>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</si>
  <si>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</si>
  <si>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</si>
  <si>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</si>
  <si>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</si>
  <si>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</si>
  <si>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</si>
  <si>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</si>
  <si>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</si>
  <si>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</si>
  <si>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</si>
  <si>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</si>
  <si>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</si>
  <si>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</si>
  <si>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</si>
  <si>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</si>
  <si>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</si>
  <si>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</si>
  <si>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</si>
  <si>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</si>
  <si>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</si>
  <si>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</si>
  <si>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</si>
  <si>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</si>
  <si>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</si>
  <si>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</si>
  <si>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</si>
  <si>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</si>
  <si>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</si>
  <si>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</si>
  <si>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</si>
  <si>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</si>
  <si>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</si>
  <si>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</si>
  <si>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</si>
  <si>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</si>
  <si>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</si>
  <si>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</si>
  <si>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</si>
  <si>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</si>
  <si>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JNJ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</si>
  <si>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</si>
  <si>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</si>
  <si>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</si>
  <si>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</si>
  <si>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</si>
  <si>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</si>
  <si>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</si>
  <si>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</si>
  <si>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</si>
  <si>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</si>
  <si>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</si>
  <si>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</si>
  <si>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</si>
  <si>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</si>
  <si>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</si>
  <si>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</si>
  <si>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</si>
  <si>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</si>
  <si>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</si>
  <si>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</si>
  <si>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</si>
  <si>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</si>
  <si>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</si>
  <si>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</si>
  <si>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</si>
  <si>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</si>
  <si>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</si>
  <si>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</si>
  <si>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</si>
  <si>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</si>
  <si>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JNJ owner-FCF component DCF: base case (millions, USD)</t>
  </si>
  <si>
    <t xml:space="preserve">JNJ owner-FCF component DCF: bull case (millions, USD)</t>
  </si>
  <si>
    <t xml:space="preserve">JNJ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</si>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</sst>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271.95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39318</v>
      </c>
      <c r="S2" s="0" t="n">
        <v>4083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D3" s="0" t="n">
        <v>43344</v>
      </c>
      <c r="I3" s="0" t="n">
        <v>10576</v>
      </c>
      <c r="K3" s="0" t="n">
        <v>3.67</v>
      </c>
      <c r="L3" s="0" t="n">
        <v>15022</v>
      </c>
      <c r="M3" s="0" t="n">
        <v>2942</v>
      </c>
      <c r="N3" s="0" t="n">
        <v>12080</v>
      </c>
      <c r="O3" s="0" t="n">
        <v>43319</v>
      </c>
      <c r="S3" s="0" t="n">
        <v>7770</v>
      </c>
      <c r="T3" s="0" t="n">
        <v>2910.7</v>
      </c>
      <c r="U3" s="0" t="n">
        <v>698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D4" s="0" t="n">
        <v>45236</v>
      </c>
      <c r="I4" s="0" t="n">
        <v>12949</v>
      </c>
      <c r="K4" s="0" t="n">
        <v>4.62</v>
      </c>
      <c r="L4" s="0" t="n">
        <v>14972</v>
      </c>
      <c r="M4" s="0" t="n">
        <v>3066</v>
      </c>
      <c r="N4" s="0" t="n">
        <v>11906</v>
      </c>
      <c r="O4" s="0" t="n">
        <v>42511</v>
      </c>
      <c r="P4" s="0" t="n">
        <v>84912</v>
      </c>
      <c r="Q4" s="0" t="n">
        <v>42401</v>
      </c>
      <c r="R4" s="0" t="n">
        <v>8120</v>
      </c>
      <c r="S4" s="0" t="n">
        <v>10768</v>
      </c>
      <c r="T4" s="0" t="n">
        <v>2835.6</v>
      </c>
      <c r="U4" s="0" t="n">
        <v>627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D5" s="0" t="n">
        <v>43450</v>
      </c>
      <c r="F5" s="0" t="n">
        <v>16582</v>
      </c>
      <c r="H5" s="0" t="n">
        <v>19356</v>
      </c>
      <c r="I5" s="0" t="n">
        <v>12266</v>
      </c>
      <c r="K5" s="0" t="n">
        <v>4.45</v>
      </c>
      <c r="L5" s="0" t="n">
        <v>16571</v>
      </c>
      <c r="M5" s="0" t="n">
        <v>2365</v>
      </c>
      <c r="N5" s="0" t="n">
        <v>14206</v>
      </c>
      <c r="O5" s="0" t="n">
        <v>50588</v>
      </c>
      <c r="P5" s="0" t="n">
        <v>94682</v>
      </c>
      <c r="Q5" s="0" t="n">
        <v>44094</v>
      </c>
      <c r="R5" s="0" t="n">
        <v>8291</v>
      </c>
      <c r="S5" s="0" t="n">
        <v>15810</v>
      </c>
      <c r="T5" s="0" t="n">
        <v>2789.1</v>
      </c>
      <c r="U5" s="0" t="n">
        <v>628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D6" s="0" t="n">
        <v>42795</v>
      </c>
      <c r="F6" s="0" t="n">
        <v>17700</v>
      </c>
      <c r="H6" s="0" t="n">
        <v>20639</v>
      </c>
      <c r="I6" s="0" t="n">
        <v>13334</v>
      </c>
      <c r="K6" s="0" t="n">
        <v>4.85</v>
      </c>
      <c r="L6" s="0" t="n">
        <v>16385</v>
      </c>
      <c r="M6" s="0" t="n">
        <v>2384</v>
      </c>
      <c r="N6" s="0" t="n">
        <v>14001</v>
      </c>
      <c r="O6" s="0" t="n">
        <v>56579</v>
      </c>
      <c r="P6" s="0" t="n">
        <v>102908</v>
      </c>
      <c r="Q6" s="0" t="n">
        <v>46329</v>
      </c>
      <c r="R6" s="0" t="n">
        <v>16756</v>
      </c>
      <c r="S6" s="0" t="n">
        <v>19355</v>
      </c>
      <c r="T6" s="0" t="n">
        <v>2788.8</v>
      </c>
      <c r="U6" s="0" t="n">
        <v>614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D7" s="0" t="n">
        <v>44670</v>
      </c>
      <c r="F7" s="0" t="n">
        <v>13765</v>
      </c>
      <c r="H7" s="0" t="n">
        <v>16923</v>
      </c>
      <c r="I7" s="0" t="n">
        <v>9672</v>
      </c>
      <c r="K7" s="0" t="n">
        <v>3.54</v>
      </c>
      <c r="L7" s="0" t="n">
        <v>14298</v>
      </c>
      <c r="M7" s="0" t="n">
        <v>2893</v>
      </c>
      <c r="N7" s="0" t="n">
        <v>11405</v>
      </c>
      <c r="O7" s="0" t="n">
        <v>57080</v>
      </c>
      <c r="P7" s="0" t="n">
        <v>113644</v>
      </c>
      <c r="Q7" s="0" t="n">
        <v>56564</v>
      </c>
      <c r="R7" s="0" t="n">
        <v>19669</v>
      </c>
      <c r="S7" s="0" t="n">
        <v>24542</v>
      </c>
      <c r="T7" s="0" t="n">
        <v>2775.3</v>
      </c>
      <c r="U7" s="0" t="n">
        <v>621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D8" s="0" t="n">
        <v>45566</v>
      </c>
      <c r="F8" s="0" t="n">
        <v>14955</v>
      </c>
      <c r="H8" s="0" t="n">
        <v>18621</v>
      </c>
      <c r="I8" s="0" t="n">
        <v>10853</v>
      </c>
      <c r="K8" s="0" t="n">
        <v>3.94</v>
      </c>
      <c r="L8" s="0" t="n">
        <v>15396</v>
      </c>
      <c r="M8" s="0" t="n">
        <v>2934</v>
      </c>
      <c r="N8" s="0" t="n">
        <v>12462</v>
      </c>
      <c r="O8" s="0" t="n">
        <v>64826</v>
      </c>
      <c r="P8" s="0" t="n">
        <v>121347</v>
      </c>
      <c r="Q8" s="0" t="n">
        <v>56521</v>
      </c>
      <c r="R8" s="0" t="n">
        <v>16189</v>
      </c>
      <c r="S8" s="0" t="n">
        <v>14911</v>
      </c>
      <c r="T8" s="0" t="n">
        <v>2812.6</v>
      </c>
      <c r="U8" s="0" t="n">
        <v>662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D9" s="0" t="n">
        <v>48970</v>
      </c>
      <c r="F9" s="0" t="n">
        <v>16412</v>
      </c>
      <c r="H9" s="0" t="n">
        <v>20516</v>
      </c>
      <c r="I9" s="0" t="n">
        <v>13831</v>
      </c>
      <c r="K9" s="0" t="n">
        <v>4.92</v>
      </c>
      <c r="L9" s="0" t="n">
        <v>17414</v>
      </c>
      <c r="M9" s="0" t="n">
        <v>3595</v>
      </c>
      <c r="N9" s="0" t="n">
        <v>13819</v>
      </c>
      <c r="O9" s="0" t="n">
        <v>74053</v>
      </c>
      <c r="P9" s="0" t="n">
        <v>132683</v>
      </c>
      <c r="Q9" s="0" t="n">
        <v>58630</v>
      </c>
      <c r="R9" s="0" t="n">
        <v>18228</v>
      </c>
      <c r="S9" s="0" t="n">
        <v>20927</v>
      </c>
      <c r="T9" s="0" t="n">
        <v>2877</v>
      </c>
      <c r="U9" s="0" t="n">
        <v>728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D10" s="0" t="n">
        <v>51585</v>
      </c>
      <c r="F10" s="0" t="n">
        <v>21590</v>
      </c>
      <c r="H10" s="0" t="n">
        <v>25485</v>
      </c>
      <c r="I10" s="0" t="n">
        <v>16323</v>
      </c>
      <c r="K10" s="0" t="n">
        <v>5.8</v>
      </c>
      <c r="L10" s="0" t="n">
        <v>18710</v>
      </c>
      <c r="M10" s="0" t="n">
        <v>3714</v>
      </c>
      <c r="N10" s="0" t="n">
        <v>14996</v>
      </c>
      <c r="O10" s="0" t="n">
        <v>69752</v>
      </c>
      <c r="P10" s="0" t="n">
        <v>130358</v>
      </c>
      <c r="Q10" s="0" t="n">
        <v>60606</v>
      </c>
      <c r="R10" s="0" t="n">
        <v>18722</v>
      </c>
      <c r="S10" s="0" t="n">
        <v>14523</v>
      </c>
      <c r="T10" s="0" t="n">
        <v>2863.9</v>
      </c>
      <c r="U10" s="0" t="n">
        <v>792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D11" s="0" t="n">
        <v>48538</v>
      </c>
      <c r="I11" s="0" t="n">
        <v>15409</v>
      </c>
      <c r="K11" s="0" t="n">
        <v>5.56</v>
      </c>
      <c r="L11" s="0" t="n">
        <v>19569</v>
      </c>
      <c r="M11" s="0" t="n">
        <v>3463</v>
      </c>
      <c r="N11" s="0" t="n">
        <v>16106</v>
      </c>
      <c r="O11" s="0" t="n">
        <v>71150</v>
      </c>
      <c r="P11" s="0" t="n">
        <v>133411</v>
      </c>
      <c r="Q11" s="0" t="n">
        <v>62261</v>
      </c>
      <c r="R11" s="0" t="n">
        <v>19857</v>
      </c>
      <c r="S11" s="0" t="n">
        <v>13732</v>
      </c>
      <c r="T11" s="0" t="n">
        <v>2812.9</v>
      </c>
      <c r="U11" s="0" t="n">
        <v>874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71890</v>
      </c>
      <c r="D12" s="0" t="n">
        <v>50101</v>
      </c>
      <c r="E12" s="0" t="n">
        <v>69.6911948810683</v>
      </c>
      <c r="I12" s="0" t="n">
        <v>16540</v>
      </c>
      <c r="J12" s="0" t="n">
        <v>23.007372374461</v>
      </c>
      <c r="K12" s="0" t="n">
        <v>6.04</v>
      </c>
      <c r="L12" s="0" t="n">
        <v>18767</v>
      </c>
      <c r="M12" s="0" t="n">
        <v>3226</v>
      </c>
      <c r="N12" s="0" t="n">
        <v>15541</v>
      </c>
      <c r="O12" s="0" t="n">
        <v>70418</v>
      </c>
      <c r="P12" s="0" t="n">
        <v>141208</v>
      </c>
      <c r="Q12" s="0" t="n">
        <v>70790</v>
      </c>
      <c r="R12" s="0" t="n">
        <v>27142</v>
      </c>
      <c r="S12" s="0" t="n">
        <v>18972</v>
      </c>
      <c r="T12" s="0" t="n">
        <v>2788.9</v>
      </c>
      <c r="U12" s="0" t="n">
        <v>878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76450</v>
      </c>
      <c r="C13" s="0" t="n">
        <v>25439</v>
      </c>
      <c r="D13" s="0" t="n">
        <v>51011</v>
      </c>
      <c r="E13" s="0" t="n">
        <v>66.7246566383257</v>
      </c>
      <c r="I13" s="0" t="n">
        <v>1300</v>
      </c>
      <c r="J13" s="0" t="n">
        <v>1.70045781556573</v>
      </c>
      <c r="K13" s="0" t="n">
        <v>0.48</v>
      </c>
      <c r="L13" s="0" t="n">
        <v>21056</v>
      </c>
      <c r="M13" s="0" t="n">
        <v>3279</v>
      </c>
      <c r="N13" s="0" t="n">
        <v>17777</v>
      </c>
      <c r="O13" s="0" t="n">
        <v>60160</v>
      </c>
      <c r="P13" s="0" t="n">
        <v>157303</v>
      </c>
      <c r="Q13" s="0" t="n">
        <v>97143</v>
      </c>
      <c r="R13" s="0" t="n">
        <v>34575</v>
      </c>
      <c r="S13" s="0" t="n">
        <v>17824</v>
      </c>
      <c r="T13" s="0" t="n">
        <v>2745.3</v>
      </c>
      <c r="U13" s="0" t="n">
        <v>962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81581</v>
      </c>
      <c r="C14" s="0" t="n">
        <v>27091</v>
      </c>
      <c r="D14" s="0" t="n">
        <v>54490</v>
      </c>
      <c r="E14" s="0" t="n">
        <v>66.7925129625771</v>
      </c>
      <c r="I14" s="0" t="n">
        <v>15297</v>
      </c>
      <c r="J14" s="0" t="n">
        <v>18.7506894987804</v>
      </c>
      <c r="K14" s="0" t="n">
        <v>5.7</v>
      </c>
      <c r="L14" s="0" t="n">
        <v>22201</v>
      </c>
      <c r="M14" s="0" t="n">
        <v>3670</v>
      </c>
      <c r="N14" s="0" t="n">
        <v>18531</v>
      </c>
      <c r="O14" s="0" t="n">
        <v>59752</v>
      </c>
      <c r="P14" s="0" t="n">
        <v>152954</v>
      </c>
      <c r="Q14" s="0" t="n">
        <v>93202</v>
      </c>
      <c r="R14" s="0" t="n">
        <v>30484</v>
      </c>
      <c r="S14" s="0" t="n">
        <v>18107</v>
      </c>
      <c r="T14" s="0" t="n">
        <v>2728.7</v>
      </c>
      <c r="U14" s="0" t="n">
        <v>978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82059</v>
      </c>
      <c r="C15" s="0" t="n">
        <v>27556</v>
      </c>
      <c r="D15" s="0" t="n">
        <v>54503</v>
      </c>
      <c r="E15" s="0" t="n">
        <v>66.4192836861283</v>
      </c>
      <c r="I15" s="0" t="n">
        <v>15119</v>
      </c>
      <c r="J15" s="0" t="n">
        <v>18.4245481909358</v>
      </c>
      <c r="K15" s="0" t="n">
        <v>5.72</v>
      </c>
      <c r="L15" s="0" t="n">
        <v>23416</v>
      </c>
      <c r="M15" s="0" t="n">
        <v>3498</v>
      </c>
      <c r="N15" s="0" t="n">
        <v>19918</v>
      </c>
      <c r="O15" s="0" t="n">
        <v>59471</v>
      </c>
      <c r="P15" s="0" t="n">
        <v>157728</v>
      </c>
      <c r="Q15" s="0" t="n">
        <v>98257</v>
      </c>
      <c r="R15" s="0" t="n">
        <v>27694</v>
      </c>
      <c r="S15" s="0" t="n">
        <v>17305</v>
      </c>
      <c r="T15" s="0" t="n">
        <v>2684.3</v>
      </c>
      <c r="U15" s="0" t="n">
        <v>977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82584</v>
      </c>
      <c r="C16" s="0" t="n">
        <v>28427</v>
      </c>
      <c r="D16" s="0" t="n">
        <v>54157</v>
      </c>
      <c r="E16" s="0" t="n">
        <v>65.5780780780781</v>
      </c>
      <c r="I16" s="0" t="n">
        <v>14714</v>
      </c>
      <c r="J16" s="0" t="n">
        <v>17.817010558946</v>
      </c>
      <c r="K16" s="0" t="n">
        <v>5.59</v>
      </c>
      <c r="L16" s="0" t="n">
        <v>23536</v>
      </c>
      <c r="M16" s="0" t="n">
        <v>3347</v>
      </c>
      <c r="N16" s="0" t="n">
        <v>20189</v>
      </c>
      <c r="O16" s="0" t="n">
        <v>63278</v>
      </c>
      <c r="P16" s="0" t="n">
        <v>174894</v>
      </c>
      <c r="Q16" s="0" t="n">
        <v>111616</v>
      </c>
      <c r="R16" s="0" t="n">
        <v>37034</v>
      </c>
      <c r="S16" s="0" t="n">
        <v>13985</v>
      </c>
      <c r="T16" s="0" t="n">
        <v>2670.7</v>
      </c>
      <c r="U16" s="0" t="n">
        <v>1005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78740</v>
      </c>
      <c r="C17" s="0" t="n">
        <v>23402</v>
      </c>
      <c r="D17" s="0" t="n">
        <v>55338</v>
      </c>
      <c r="E17" s="0" t="n">
        <v>70.2794005588011</v>
      </c>
      <c r="I17" s="0" t="n">
        <v>20878</v>
      </c>
      <c r="J17" s="0" t="n">
        <v>26.5151130302261</v>
      </c>
      <c r="K17" s="0" t="n">
        <v>7.93</v>
      </c>
      <c r="L17" s="0" t="n">
        <v>23410</v>
      </c>
      <c r="M17" s="0" t="n">
        <v>3652</v>
      </c>
      <c r="N17" s="0" t="n">
        <v>19758</v>
      </c>
      <c r="O17" s="0" t="n">
        <v>74023</v>
      </c>
      <c r="P17" s="0" t="n">
        <v>182018</v>
      </c>
      <c r="Q17" s="0" t="n">
        <v>107995</v>
      </c>
      <c r="R17" s="0" t="n">
        <v>35916</v>
      </c>
      <c r="S17" s="0" t="n">
        <v>14487</v>
      </c>
      <c r="T17" s="0" t="n">
        <v>2674</v>
      </c>
      <c r="U17" s="0" t="n">
        <v>1135</v>
      </c>
      <c r="V17" s="0" t="n">
        <v>1.01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79990</v>
      </c>
      <c r="C18" s="0" t="n">
        <v>24596</v>
      </c>
      <c r="D18" s="0" t="n">
        <v>55394</v>
      </c>
      <c r="E18" s="0" t="n">
        <v>69.2511563945493</v>
      </c>
      <c r="I18" s="0" t="n">
        <v>17941</v>
      </c>
      <c r="J18" s="0" t="n">
        <v>22.429053631704</v>
      </c>
      <c r="K18" s="0" t="n">
        <v>6.83</v>
      </c>
      <c r="L18" s="0" t="n">
        <v>21194</v>
      </c>
      <c r="M18" s="0" t="n">
        <v>4009</v>
      </c>
      <c r="N18" s="0" t="n">
        <v>17185</v>
      </c>
      <c r="O18" s="0" t="n">
        <v>76804</v>
      </c>
      <c r="P18" s="0" t="n">
        <v>187378</v>
      </c>
      <c r="Q18" s="0" t="n">
        <v>110574</v>
      </c>
      <c r="R18" s="0" t="n">
        <v>41237</v>
      </c>
      <c r="S18" s="0" t="n">
        <v>12889</v>
      </c>
      <c r="T18" s="0" t="n">
        <v>2663.9</v>
      </c>
      <c r="U18" s="0" t="n">
        <v>1138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85159</v>
      </c>
      <c r="C19" s="0" t="n">
        <v>26553</v>
      </c>
      <c r="D19" s="0" t="n">
        <v>58606</v>
      </c>
      <c r="E19" s="0" t="n">
        <v>68.8195023426766</v>
      </c>
      <c r="I19" s="0" t="n">
        <v>35153</v>
      </c>
      <c r="J19" s="0" t="n">
        <v>41.279254101152</v>
      </c>
      <c r="K19" s="0" t="n">
        <v>13.88</v>
      </c>
      <c r="L19" s="0" t="n">
        <v>22791</v>
      </c>
      <c r="M19" s="0" t="n">
        <v>4543</v>
      </c>
      <c r="N19" s="0" t="n">
        <v>18248</v>
      </c>
      <c r="O19" s="0" t="n">
        <v>68774</v>
      </c>
      <c r="P19" s="0" t="n">
        <v>167558</v>
      </c>
      <c r="Q19" s="0" t="n">
        <v>98784</v>
      </c>
      <c r="R19" s="0" t="n">
        <v>30850</v>
      </c>
      <c r="S19" s="0" t="n">
        <v>21859</v>
      </c>
      <c r="T19" s="0" t="n">
        <v>2560.4</v>
      </c>
      <c r="U19" s="0" t="n">
        <v>1162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88821</v>
      </c>
      <c r="C20" s="0" t="n">
        <v>27471</v>
      </c>
      <c r="D20" s="0" t="n">
        <v>61350</v>
      </c>
      <c r="E20" s="0" t="n">
        <v>69.0715033606917</v>
      </c>
      <c r="I20" s="0" t="n">
        <v>14066</v>
      </c>
      <c r="J20" s="0" t="n">
        <v>15.8363450085002</v>
      </c>
      <c r="K20" s="0" t="n">
        <v>5.84</v>
      </c>
      <c r="L20" s="0" t="n">
        <v>24266</v>
      </c>
      <c r="M20" s="0" t="n">
        <v>4424</v>
      </c>
      <c r="N20" s="0" t="n">
        <v>19842</v>
      </c>
      <c r="O20" s="0" t="n">
        <v>71490</v>
      </c>
      <c r="P20" s="0" t="n">
        <v>180104</v>
      </c>
      <c r="Q20" s="0" t="n">
        <v>108614</v>
      </c>
      <c r="R20" s="0" t="n">
        <v>38400</v>
      </c>
      <c r="S20" s="0" t="n">
        <v>24105</v>
      </c>
      <c r="T20" s="0" t="n">
        <v>2429.4</v>
      </c>
      <c r="U20" s="0" t="n">
        <v>1200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94193</v>
      </c>
      <c r="C21" s="0" t="n">
        <v>30256</v>
      </c>
      <c r="D21" s="0" t="n">
        <v>63937</v>
      </c>
      <c r="E21" s="0" t="n">
        <v>67.8787171021201</v>
      </c>
      <c r="I21" s="0" t="n">
        <v>26804</v>
      </c>
      <c r="J21" s="0" t="n">
        <v>28.4564670410752</v>
      </c>
      <c r="K21" s="0" t="n">
        <v>11.13</v>
      </c>
      <c r="L21" s="0" t="n">
        <v>24530</v>
      </c>
      <c r="M21" s="0" t="n">
        <v>4832</v>
      </c>
      <c r="N21" s="0" t="n">
        <v>19698</v>
      </c>
      <c r="O21" s="0" t="n">
        <v>81544</v>
      </c>
      <c r="P21" s="0" t="n">
        <v>199210</v>
      </c>
      <c r="Q21" s="0" t="n">
        <v>117666</v>
      </c>
      <c r="R21" s="0" t="n">
        <v>49938</v>
      </c>
      <c r="S21" s="0" t="n">
        <v>19709</v>
      </c>
      <c r="T21" s="0" t="n">
        <v>2429.4</v>
      </c>
      <c r="U21" s="0" t="n">
        <v>1400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271.95</v>
      </c>
    </row>
    <row r="3" customFormat="false" ht="15" hidden="false" customHeight="false" outlineLevel="0" collapsed="false">
      <c r="A3" s="0" t="s">
        <v>86</v>
      </c>
      <c r="B3" s="3" t="n">
        <v>2440.1</v>
      </c>
    </row>
    <row r="4" customFormat="false" ht="15" hidden="false" customHeight="false" outlineLevel="0" collapsed="false">
      <c r="A4" s="0" t="s">
        <v>87</v>
      </c>
      <c r="B4" s="3" t="n">
        <v>28278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94193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6</v>
      </c>
      <c r="D13" s="3" t="n">
        <v>3</v>
      </c>
      <c r="E13" s="3" t="n">
        <v>2</v>
      </c>
      <c r="F13" s="3" t="n">
        <v>1.5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107</v>
      </c>
      <c r="C14" s="3" t="n">
        <v>32.5</v>
      </c>
      <c r="D14" s="3" t="n">
        <v>32</v>
      </c>
      <c r="E14" s="3" t="n">
        <v>31.5</v>
      </c>
      <c r="F14" s="3" t="n">
        <v>31</v>
      </c>
      <c r="G14" s="3" t="n">
        <v>31</v>
      </c>
      <c r="H14" s="3" t="n">
        <v>31</v>
      </c>
      <c r="I14" s="3" t="n">
        <v>31</v>
      </c>
      <c r="J14" s="3" t="n">
        <v>31</v>
      </c>
      <c r="K14" s="3" t="n">
        <v>31</v>
      </c>
      <c r="L14" s="3" t="n">
        <v>31</v>
      </c>
    </row>
    <row r="15" customFormat="false" ht="15" hidden="false" customHeight="false" outlineLevel="0" collapsed="false">
      <c r="A15" s="0" t="s">
        <v>108</v>
      </c>
      <c r="C15" s="3" t="n">
        <v>1.45</v>
      </c>
      <c r="D15" s="3" t="n">
        <v>1.45</v>
      </c>
      <c r="E15" s="3" t="n">
        <v>1.45</v>
      </c>
      <c r="F15" s="3" t="n">
        <v>1.4</v>
      </c>
      <c r="G15" s="3" t="n">
        <v>1.4</v>
      </c>
      <c r="H15" s="3" t="n">
        <v>1.4</v>
      </c>
      <c r="I15" s="3" t="n">
        <v>1.4</v>
      </c>
      <c r="J15" s="3" t="n">
        <v>1.4</v>
      </c>
      <c r="K15" s="3" t="n">
        <v>1.4</v>
      </c>
      <c r="L15" s="3" t="n">
        <v>1.4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8</v>
      </c>
      <c r="D17" s="3" t="n">
        <v>7.8</v>
      </c>
      <c r="E17" s="3" t="n">
        <v>7.6</v>
      </c>
      <c r="F17" s="3" t="n">
        <v>7.4</v>
      </c>
      <c r="G17" s="3" t="n">
        <v>7.2</v>
      </c>
      <c r="H17" s="3" t="n">
        <v>7</v>
      </c>
      <c r="I17" s="3" t="n">
        <v>6.8</v>
      </c>
      <c r="J17" s="3" t="n">
        <v>6.6</v>
      </c>
      <c r="K17" s="3" t="n">
        <v>6.5</v>
      </c>
      <c r="L17" s="3" t="n">
        <v>6.5</v>
      </c>
    </row>
    <row r="18" customFormat="false" ht="15" hidden="false" customHeight="false" outlineLevel="0" collapsed="false">
      <c r="A18" s="0" t="s">
        <v>111</v>
      </c>
      <c r="C18" s="3" t="n">
        <v>5.2</v>
      </c>
      <c r="D18" s="3" t="n">
        <v>5.2</v>
      </c>
      <c r="E18" s="3" t="n">
        <v>5</v>
      </c>
      <c r="F18" s="3" t="n">
        <v>5</v>
      </c>
      <c r="G18" s="3" t="n">
        <v>4.8</v>
      </c>
      <c r="H18" s="3" t="n">
        <v>4.8</v>
      </c>
      <c r="I18" s="3" t="n">
        <v>4.6</v>
      </c>
      <c r="J18" s="3" t="n">
        <v>4.6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112</v>
      </c>
      <c r="C19" s="3" t="n">
        <v>18</v>
      </c>
      <c r="D19" s="3" t="n">
        <v>19</v>
      </c>
      <c r="E19" s="3" t="n">
        <v>20</v>
      </c>
      <c r="F19" s="3" t="n">
        <v>20.5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113</v>
      </c>
      <c r="B20" s="3" t="n">
        <v>7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-8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7</v>
      </c>
      <c r="D27" s="3" t="n">
        <v>5.5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33</v>
      </c>
      <c r="D28" s="3" t="n">
        <v>33.5</v>
      </c>
      <c r="E28" s="3" t="n">
        <v>34</v>
      </c>
      <c r="F28" s="3" t="n">
        <v>34</v>
      </c>
      <c r="G28" s="3" t="n">
        <v>34</v>
      </c>
      <c r="H28" s="3" t="n">
        <v>34</v>
      </c>
      <c r="I28" s="3" t="n">
        <v>34</v>
      </c>
      <c r="J28" s="3" t="n">
        <v>34</v>
      </c>
      <c r="K28" s="3" t="n">
        <v>34</v>
      </c>
      <c r="L28" s="3" t="n">
        <v>34</v>
      </c>
    </row>
    <row r="29" customFormat="false" ht="15" hidden="false" customHeight="false" outlineLevel="0" collapsed="false">
      <c r="A29" s="0" t="s">
        <v>108</v>
      </c>
      <c r="C29" s="3" t="n">
        <v>1.45</v>
      </c>
      <c r="D29" s="3" t="n">
        <v>1.45</v>
      </c>
      <c r="E29" s="3" t="n">
        <v>1.4</v>
      </c>
      <c r="F29" s="3" t="n">
        <v>1.4</v>
      </c>
      <c r="G29" s="3" t="n">
        <v>1.4</v>
      </c>
      <c r="H29" s="3" t="n">
        <v>1.35</v>
      </c>
      <c r="I29" s="3" t="n">
        <v>1.35</v>
      </c>
      <c r="J29" s="3" t="n">
        <v>1.3</v>
      </c>
      <c r="K29" s="3" t="n">
        <v>1.3</v>
      </c>
      <c r="L29" s="3" t="n">
        <v>1.3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8</v>
      </c>
      <c r="D31" s="3" t="n">
        <v>7.8</v>
      </c>
      <c r="E31" s="3" t="n">
        <v>7.6</v>
      </c>
      <c r="F31" s="3" t="n">
        <v>7.4</v>
      </c>
      <c r="G31" s="3" t="n">
        <v>7.2</v>
      </c>
      <c r="H31" s="3" t="n">
        <v>7</v>
      </c>
      <c r="I31" s="3" t="n">
        <v>6.8</v>
      </c>
      <c r="J31" s="3" t="n">
        <v>6.6</v>
      </c>
      <c r="K31" s="3" t="n">
        <v>6.5</v>
      </c>
      <c r="L31" s="3" t="n">
        <v>6.5</v>
      </c>
    </row>
    <row r="32" customFormat="false" ht="15" hidden="false" customHeight="false" outlineLevel="0" collapsed="false">
      <c r="A32" s="0" t="s">
        <v>111</v>
      </c>
      <c r="C32" s="3" t="n">
        <v>5.2</v>
      </c>
      <c r="D32" s="3" t="n">
        <v>5.2</v>
      </c>
      <c r="E32" s="3" t="n">
        <v>5</v>
      </c>
      <c r="F32" s="3" t="n">
        <v>5</v>
      </c>
      <c r="G32" s="3" t="n">
        <v>4.8</v>
      </c>
      <c r="H32" s="3" t="n">
        <v>4.8</v>
      </c>
      <c r="I32" s="3" t="n">
        <v>4.6</v>
      </c>
      <c r="J32" s="3" t="n">
        <v>4.6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112</v>
      </c>
      <c r="C33" s="3" t="n">
        <v>17</v>
      </c>
      <c r="D33" s="3" t="n">
        <v>18</v>
      </c>
      <c r="E33" s="3" t="n">
        <v>18.5</v>
      </c>
      <c r="F33" s="3" t="n">
        <v>19</v>
      </c>
      <c r="G33" s="3" t="n">
        <v>19.5</v>
      </c>
      <c r="H33" s="3" t="n">
        <v>19.5</v>
      </c>
      <c r="I33" s="3" t="n">
        <v>19.5</v>
      </c>
      <c r="J33" s="3" t="n">
        <v>19.5</v>
      </c>
      <c r="K33" s="3" t="n">
        <v>19.5</v>
      </c>
      <c r="L33" s="3" t="n">
        <v>19.5</v>
      </c>
    </row>
    <row r="34" customFormat="false" ht="15" hidden="false" customHeight="false" outlineLevel="0" collapsed="false">
      <c r="A34" s="0" t="s">
        <v>113</v>
      </c>
      <c r="B34" s="3" t="n">
        <v>7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-8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7.5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33.5</v>
      </c>
      <c r="D42" s="3" t="n">
        <v>34</v>
      </c>
      <c r="E42" s="3" t="n">
        <v>34.5</v>
      </c>
      <c r="F42" s="3" t="n">
        <v>35</v>
      </c>
      <c r="G42" s="3" t="n">
        <v>35.5</v>
      </c>
      <c r="H42" s="3" t="n">
        <v>36</v>
      </c>
      <c r="I42" s="3" t="n">
        <v>36</v>
      </c>
      <c r="J42" s="3" t="n">
        <v>36</v>
      </c>
      <c r="K42" s="3" t="n">
        <v>36</v>
      </c>
      <c r="L42" s="3" t="n">
        <v>36</v>
      </c>
    </row>
    <row r="43" customFormat="false" ht="15" hidden="false" customHeight="false" outlineLevel="0" collapsed="false">
      <c r="A43" s="0" t="s">
        <v>108</v>
      </c>
      <c r="C43" s="3" t="n">
        <v>1.45</v>
      </c>
      <c r="D43" s="3" t="n">
        <v>1.45</v>
      </c>
      <c r="E43" s="3" t="n">
        <v>1.4</v>
      </c>
      <c r="F43" s="3" t="n">
        <v>1.4</v>
      </c>
      <c r="G43" s="3" t="n">
        <v>1.4</v>
      </c>
      <c r="H43" s="3" t="n">
        <v>1.35</v>
      </c>
      <c r="I43" s="3" t="n">
        <v>1.35</v>
      </c>
      <c r="J43" s="3" t="n">
        <v>1.3</v>
      </c>
      <c r="K43" s="3" t="n">
        <v>1.3</v>
      </c>
      <c r="L43" s="3" t="n">
        <v>1.3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8</v>
      </c>
      <c r="D45" s="3" t="n">
        <v>7.8</v>
      </c>
      <c r="E45" s="3" t="n">
        <v>7.6</v>
      </c>
      <c r="F45" s="3" t="n">
        <v>7.4</v>
      </c>
      <c r="G45" s="3" t="n">
        <v>7.2</v>
      </c>
      <c r="H45" s="3" t="n">
        <v>7</v>
      </c>
      <c r="I45" s="3" t="n">
        <v>6.8</v>
      </c>
      <c r="J45" s="3" t="n">
        <v>6.6</v>
      </c>
      <c r="K45" s="3" t="n">
        <v>6.5</v>
      </c>
      <c r="L45" s="3" t="n">
        <v>6.5</v>
      </c>
    </row>
    <row r="46" customFormat="false" ht="15" hidden="false" customHeight="false" outlineLevel="0" collapsed="false">
      <c r="A46" s="0" t="s">
        <v>111</v>
      </c>
      <c r="C46" s="3" t="n">
        <v>5.2</v>
      </c>
      <c r="D46" s="3" t="n">
        <v>5.2</v>
      </c>
      <c r="E46" s="3" t="n">
        <v>5</v>
      </c>
      <c r="F46" s="3" t="n">
        <v>5</v>
      </c>
      <c r="G46" s="3" t="n">
        <v>4.8</v>
      </c>
      <c r="H46" s="3" t="n">
        <v>4.8</v>
      </c>
      <c r="I46" s="3" t="n">
        <v>4.6</v>
      </c>
      <c r="J46" s="3" t="n">
        <v>4.6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112</v>
      </c>
      <c r="C47" s="3" t="n">
        <v>16.5</v>
      </c>
      <c r="D47" s="3" t="n">
        <v>17</v>
      </c>
      <c r="E47" s="3" t="n">
        <v>17.5</v>
      </c>
      <c r="F47" s="3" t="n">
        <v>18</v>
      </c>
      <c r="G47" s="3" t="n">
        <v>18.5</v>
      </c>
      <c r="H47" s="3" t="n">
        <v>18.5</v>
      </c>
      <c r="I47" s="3" t="n">
        <v>18.5</v>
      </c>
      <c r="J47" s="3" t="n">
        <v>18.5</v>
      </c>
      <c r="K47" s="3" t="n">
        <v>18.5</v>
      </c>
      <c r="L47" s="3" t="n">
        <v>18.5</v>
      </c>
    </row>
    <row r="48" customFormat="false" ht="15" hidden="false" customHeight="false" outlineLevel="0" collapsed="false">
      <c r="A48" s="0" t="s">
        <v>113</v>
      </c>
      <c r="B48" s="3" t="n">
        <v>7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-8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6</v>
      </c>
      <c r="D5" s="4" t="n">
        <f aca="false">Assumptions!D13</f>
        <v>3</v>
      </c>
      <c r="E5" s="4" t="n">
        <f aca="false">Assumptions!E13</f>
        <v>2</v>
      </c>
      <c r="F5" s="4" t="n">
        <f aca="false">Assumptions!F13</f>
        <v>1.5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94193</v>
      </c>
      <c r="C6" s="0" t="n">
        <f aca="false">B6*(1+C5/100)</f>
        <v>99844.58</v>
      </c>
      <c r="D6" s="0" t="n">
        <f aca="false">C6*(1+D5/100)</f>
        <v>102839.9174</v>
      </c>
      <c r="E6" s="0" t="n">
        <f aca="false">D6*(1+E5/100)</f>
        <v>104896.715748</v>
      </c>
      <c r="F6" s="0" t="n">
        <f aca="false">E6*(1+F5/100)</f>
        <v>106470.16648422</v>
      </c>
      <c r="G6" s="0" t="n">
        <f aca="false">F6*(1+G5/100)</f>
        <v>107534.868149062</v>
      </c>
      <c r="H6" s="0" t="n">
        <f aca="false">G6*(1+H5/100)</f>
        <v>108610.216830553</v>
      </c>
      <c r="I6" s="0" t="n">
        <f aca="false">H6*(1+I5/100)</f>
        <v>109696.318998858</v>
      </c>
      <c r="J6" s="0" t="n">
        <f aca="false">I6*(1+J5/100)</f>
        <v>110793.282188847</v>
      </c>
      <c r="K6" s="0" t="n">
        <f aca="false">J6*(1+K5/100)</f>
        <v>111901.215010735</v>
      </c>
      <c r="L6" s="0" t="n">
        <f aca="false">K6*(1+L5/100)</f>
        <v>113020.227160843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32.5</v>
      </c>
      <c r="D7" s="4" t="n">
        <f aca="false">Assumptions!D14</f>
        <v>32</v>
      </c>
      <c r="E7" s="4" t="n">
        <f aca="false">Assumptions!E14</f>
        <v>31.5</v>
      </c>
      <c r="F7" s="4" t="n">
        <f aca="false">Assumptions!F14</f>
        <v>31</v>
      </c>
      <c r="G7" s="4" t="n">
        <f aca="false">Assumptions!G14</f>
        <v>31</v>
      </c>
      <c r="H7" s="4" t="n">
        <f aca="false">Assumptions!H14</f>
        <v>31</v>
      </c>
      <c r="I7" s="4" t="n">
        <f aca="false">Assumptions!I14</f>
        <v>31</v>
      </c>
      <c r="J7" s="4" t="n">
        <f aca="false">Assumptions!J14</f>
        <v>31</v>
      </c>
      <c r="K7" s="4" t="n">
        <f aca="false">Assumptions!K14</f>
        <v>31</v>
      </c>
      <c r="L7" s="4" t="n">
        <f aca="false">Assumptions!L14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32449.4885</v>
      </c>
      <c r="D8" s="0" t="n">
        <f aca="false">D6*D7/100</f>
        <v>32908.773568</v>
      </c>
      <c r="E8" s="0" t="n">
        <f aca="false">E6*E7/100</f>
        <v>33042.46546062</v>
      </c>
      <c r="F8" s="0" t="n">
        <f aca="false">F6*F7/100</f>
        <v>33005.7516101082</v>
      </c>
      <c r="G8" s="0" t="n">
        <f aca="false">G6*G7/100</f>
        <v>33335.8091262093</v>
      </c>
      <c r="H8" s="0" t="n">
        <f aca="false">H6*H7/100</f>
        <v>33669.1672174714</v>
      </c>
      <c r="I8" s="0" t="n">
        <f aca="false">I6*I7/100</f>
        <v>34005.8588896461</v>
      </c>
      <c r="J8" s="0" t="n">
        <f aca="false">J6*J7/100</f>
        <v>34345.9174785426</v>
      </c>
      <c r="K8" s="0" t="n">
        <f aca="false">K6*K7/100</f>
        <v>34689.376653328</v>
      </c>
      <c r="L8" s="0" t="n">
        <f aca="false">L6*L7/100</f>
        <v>35036.2704198613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1.45</v>
      </c>
      <c r="D9" s="4" t="n">
        <f aca="false">Assumptions!D15</f>
        <v>1.45</v>
      </c>
      <c r="E9" s="4" t="n">
        <f aca="false">Assumptions!E15</f>
        <v>1.45</v>
      </c>
      <c r="F9" s="4" t="n">
        <f aca="false">Assumptions!F15</f>
        <v>1.4</v>
      </c>
      <c r="G9" s="4" t="n">
        <f aca="false">Assumptions!G15</f>
        <v>1.4</v>
      </c>
      <c r="H9" s="4" t="n">
        <f aca="false">Assumptions!H15</f>
        <v>1.4</v>
      </c>
      <c r="I9" s="4" t="n">
        <f aca="false">Assumptions!I15</f>
        <v>1.4</v>
      </c>
      <c r="J9" s="4" t="n">
        <f aca="false">Assumptions!J15</f>
        <v>1.4</v>
      </c>
      <c r="K9" s="4" t="n">
        <f aca="false">Assumptions!K15</f>
        <v>1.4</v>
      </c>
      <c r="L9" s="4" t="n">
        <f aca="false">Assumptions!L15</f>
        <v>1.4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-1447.74641</v>
      </c>
      <c r="D10" s="0" t="n">
        <f aca="false">-D6*D9/100</f>
        <v>-1491.1788023</v>
      </c>
      <c r="E10" s="0" t="n">
        <f aca="false">-E6*E9/100</f>
        <v>-1521.002378346</v>
      </c>
      <c r="F10" s="0" t="n">
        <f aca="false">-F6*F9/100</f>
        <v>-1490.58233077908</v>
      </c>
      <c r="G10" s="0" t="n">
        <f aca="false">-G6*G9/100</f>
        <v>-1505.48815408687</v>
      </c>
      <c r="H10" s="0" t="n">
        <f aca="false">-H6*H9/100</f>
        <v>-1520.54303562774</v>
      </c>
      <c r="I10" s="0" t="n">
        <f aca="false">-I6*I9/100</f>
        <v>-1535.74846598402</v>
      </c>
      <c r="J10" s="0" t="n">
        <f aca="false">-J6*J9/100</f>
        <v>-1551.10595064386</v>
      </c>
      <c r="K10" s="0" t="n">
        <f aca="false">-K6*K9/100</f>
        <v>-1566.6170101503</v>
      </c>
      <c r="L10" s="0" t="n">
        <f aca="false">-L6*L9/100</f>
        <v>-1582.2831802518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31001.74209</v>
      </c>
      <c r="D11" s="0" t="n">
        <f aca="false">D8+D10+D24</f>
        <v>31417.5947657</v>
      </c>
      <c r="E11" s="0" t="n">
        <f aca="false">E8+E10+E24</f>
        <v>31521.463082274</v>
      </c>
      <c r="F11" s="0" t="n">
        <f aca="false">F8+F10+F24</f>
        <v>31515.1692793291</v>
      </c>
      <c r="G11" s="0" t="n">
        <f aca="false">G8+G10+G24</f>
        <v>31830.3209721224</v>
      </c>
      <c r="H11" s="0" t="n">
        <f aca="false">H8+H10+H24</f>
        <v>32148.6241818436</v>
      </c>
      <c r="I11" s="0" t="n">
        <f aca="false">I8+I10+I24</f>
        <v>32470.1104236621</v>
      </c>
      <c r="J11" s="0" t="n">
        <f aca="false">J8+J10+J24</f>
        <v>32794.8115278987</v>
      </c>
      <c r="K11" s="0" t="n">
        <f aca="false">K8+K10+K24</f>
        <v>33122.7596431777</v>
      </c>
      <c r="L11" s="0" t="n">
        <f aca="false">L8+L10+L24</f>
        <v>33453.9872396095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-7987.5664</v>
      </c>
      <c r="D12" s="4" t="n">
        <f aca="false">-D6*Assumptions!D17/100</f>
        <v>-8021.5135572</v>
      </c>
      <c r="E12" s="4" t="n">
        <f aca="false">-E6*Assumptions!E17/100</f>
        <v>-7972.150396848</v>
      </c>
      <c r="F12" s="4" t="n">
        <f aca="false">-F6*Assumptions!F17/100</f>
        <v>-7878.79231983228</v>
      </c>
      <c r="G12" s="4" t="n">
        <f aca="false">-G6*Assumptions!G17/100</f>
        <v>-7742.51050673248</v>
      </c>
      <c r="H12" s="4" t="n">
        <f aca="false">-H6*Assumptions!H17/100</f>
        <v>-7602.7151781387</v>
      </c>
      <c r="I12" s="4" t="n">
        <f aca="false">-I6*Assumptions!I17/100</f>
        <v>-7459.34969192237</v>
      </c>
      <c r="J12" s="4" t="n">
        <f aca="false">-J6*Assumptions!J17/100</f>
        <v>-7312.3566244639</v>
      </c>
      <c r="K12" s="4" t="n">
        <f aca="false">-K6*Assumptions!K17/100</f>
        <v>-7273.5789756978</v>
      </c>
      <c r="L12" s="4" t="n">
        <f aca="false">-L6*Assumptions!L17/100</f>
        <v>-7346.31476545478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23014.17569</v>
      </c>
      <c r="D13" s="0" t="n">
        <f aca="false">D11+D12</f>
        <v>23396.0812085</v>
      </c>
      <c r="E13" s="0" t="n">
        <f aca="false">E11+E12</f>
        <v>23549.312685426</v>
      </c>
      <c r="F13" s="0" t="n">
        <f aca="false">F11+F12</f>
        <v>23636.3769594968</v>
      </c>
      <c r="G13" s="0" t="n">
        <f aca="false">G11+G12</f>
        <v>24087.8104653899</v>
      </c>
      <c r="H13" s="0" t="n">
        <f aca="false">H11+H12</f>
        <v>24545.9090037049</v>
      </c>
      <c r="I13" s="0" t="n">
        <f aca="false">I11+I12</f>
        <v>25010.7607317397</v>
      </c>
      <c r="J13" s="0" t="n">
        <f aca="false">J11+J12</f>
        <v>25482.4549034348</v>
      </c>
      <c r="K13" s="0" t="n">
        <f aca="false">K11+K12</f>
        <v>25849.1806674799</v>
      </c>
      <c r="L13" s="0" t="n">
        <f aca="false">L11+L12</f>
        <v>26107.6724741547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18</v>
      </c>
      <c r="D14" s="4" t="n">
        <f aca="false">Assumptions!D19</f>
        <v>19</v>
      </c>
      <c r="E14" s="4" t="n">
        <f aca="false">Assumptions!E19</f>
        <v>20</v>
      </c>
      <c r="F14" s="4" t="n">
        <f aca="false">Assumptions!F19</f>
        <v>20.5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18871.6240658</v>
      </c>
      <c r="D15" s="0" t="n">
        <f aca="false">D13-MAX(0,D13)*D14/100</f>
        <v>18950.825778885</v>
      </c>
      <c r="E15" s="0" t="n">
        <f aca="false">E13-MAX(0,E13)*E14/100</f>
        <v>18839.4501483408</v>
      </c>
      <c r="F15" s="0" t="n">
        <f aca="false">F13-MAX(0,F13)*F14/100</f>
        <v>18790.9196828</v>
      </c>
      <c r="G15" s="0" t="n">
        <f aca="false">G13-MAX(0,G13)*G14/100</f>
        <v>19029.370267658</v>
      </c>
      <c r="H15" s="0" t="n">
        <f aca="false">H13-MAX(0,H13)*H14/100</f>
        <v>19391.2681129269</v>
      </c>
      <c r="I15" s="0" t="n">
        <f aca="false">I13-MAX(0,I13)*I14/100</f>
        <v>19758.5009780744</v>
      </c>
      <c r="J15" s="0" t="n">
        <f aca="false">J13-MAX(0,J13)*J14/100</f>
        <v>20131.1393737135</v>
      </c>
      <c r="K15" s="0" t="n">
        <f aca="false">K13-MAX(0,K13)*K14/100</f>
        <v>20420.8527273091</v>
      </c>
      <c r="L15" s="0" t="n">
        <f aca="false">L13-MAX(0,L13)*L14/100</f>
        <v>20625.0612545822</v>
      </c>
    </row>
    <row r="16" customFormat="false" ht="15" hidden="false" customHeight="false" outlineLevel="0" collapsed="false">
      <c r="A16" s="0" t="s">
        <v>128</v>
      </c>
      <c r="C16" s="0" t="n">
        <f aca="false">-C12</f>
        <v>7987.5664</v>
      </c>
      <c r="D16" s="0" t="n">
        <f aca="false">-D12</f>
        <v>8021.5135572</v>
      </c>
      <c r="E16" s="0" t="n">
        <f aca="false">-E12</f>
        <v>7972.150396848</v>
      </c>
      <c r="F16" s="0" t="n">
        <f aca="false">-F12</f>
        <v>7878.79231983228</v>
      </c>
      <c r="G16" s="0" t="n">
        <f aca="false">-G12</f>
        <v>7742.51050673248</v>
      </c>
      <c r="H16" s="0" t="n">
        <f aca="false">-H12</f>
        <v>7602.7151781387</v>
      </c>
      <c r="I16" s="0" t="n">
        <f aca="false">-I12</f>
        <v>7459.34969192237</v>
      </c>
      <c r="J16" s="0" t="n">
        <f aca="false">-J12</f>
        <v>7312.3566244639</v>
      </c>
      <c r="K16" s="0" t="n">
        <f aca="false">-K12</f>
        <v>7273.5789756978</v>
      </c>
      <c r="L16" s="0" t="n">
        <f aca="false">-L12</f>
        <v>7346.31476545478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-5191.91816</v>
      </c>
      <c r="D17" s="4" t="n">
        <f aca="false">-D6*Assumptions!D18/100</f>
        <v>-5347.6757048</v>
      </c>
      <c r="E17" s="4" t="n">
        <f aca="false">-E6*Assumptions!E18/100</f>
        <v>-5244.8357874</v>
      </c>
      <c r="F17" s="4" t="n">
        <f aca="false">-F6*Assumptions!F18/100</f>
        <v>-5323.508324211</v>
      </c>
      <c r="G17" s="4" t="n">
        <f aca="false">-G6*Assumptions!G18/100</f>
        <v>-5161.67367115499</v>
      </c>
      <c r="H17" s="4" t="n">
        <f aca="false">-H6*Assumptions!H18/100</f>
        <v>-5213.29040786654</v>
      </c>
      <c r="I17" s="4" t="n">
        <f aca="false">-I6*Assumptions!I18/100</f>
        <v>-5046.03067394748</v>
      </c>
      <c r="J17" s="4" t="n">
        <f aca="false">-J6*Assumptions!J18/100</f>
        <v>-5096.49098068696</v>
      </c>
      <c r="K17" s="4" t="n">
        <f aca="false">-K6*Assumptions!K18/100</f>
        <v>-5035.55467548309</v>
      </c>
      <c r="L17" s="4" t="n">
        <f aca="false">-L6*Assumptions!L18/100</f>
        <v>-5085.91022223792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-452.1264</v>
      </c>
      <c r="D18" s="4" t="n">
        <f aca="false">(D6-C6)*Assumptions!$B$23/100</f>
        <v>-239.626992</v>
      </c>
      <c r="E18" s="4" t="n">
        <f aca="false">(E6-D6)*Assumptions!$B$23/100</f>
        <v>-164.54386784</v>
      </c>
      <c r="F18" s="4" t="n">
        <f aca="false">(F6-E6)*Assumptions!$B$23/100</f>
        <v>-125.8760588976</v>
      </c>
      <c r="G18" s="4" t="n">
        <f aca="false">(G6-F6)*Assumptions!$B$23/100</f>
        <v>-85.176133187376</v>
      </c>
      <c r="H18" s="4" t="n">
        <f aca="false">(H6-G6)*Assumptions!$B$23/100</f>
        <v>-86.0278945192497</v>
      </c>
      <c r="I18" s="4" t="n">
        <f aca="false">(I6-H6)*Assumptions!$B$23/100</f>
        <v>-86.8881734644424</v>
      </c>
      <c r="J18" s="4" t="n">
        <f aca="false">(J6-I6)*Assumptions!$B$23/100</f>
        <v>-87.7570551990869</v>
      </c>
      <c r="K18" s="4" t="n">
        <f aca="false">(K6-J6)*Assumptions!$B$23/100</f>
        <v>-88.6346257510781</v>
      </c>
      <c r="L18" s="4" t="n">
        <f aca="false">(L6-K6)*Assumptions!$B$23/100</f>
        <v>-89.5209720085887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21215.1459058</v>
      </c>
      <c r="D19" s="0" t="n">
        <f aca="false">D15+D16+D17+D18</f>
        <v>21385.036639285</v>
      </c>
      <c r="E19" s="0" t="n">
        <f aca="false">E15+E16+E17+E18</f>
        <v>21402.2208899488</v>
      </c>
      <c r="F19" s="0" t="n">
        <f aca="false">F15+F16+F17+F18</f>
        <v>21220.3276195237</v>
      </c>
      <c r="G19" s="0" t="n">
        <f aca="false">G15+G16+G17+G18</f>
        <v>21525.0309700482</v>
      </c>
      <c r="H19" s="0" t="n">
        <f aca="false">H15+H16+H17+H18</f>
        <v>21694.6649886798</v>
      </c>
      <c r="I19" s="0" t="n">
        <f aca="false">I15+I16+I17+I18</f>
        <v>22084.9318225848</v>
      </c>
      <c r="J19" s="0" t="n">
        <f aca="false">J15+J16+J17+J18</f>
        <v>22259.2479622913</v>
      </c>
      <c r="K19" s="0" t="n">
        <f aca="false">K15+K16+K17+K18</f>
        <v>22570.2424017727</v>
      </c>
      <c r="L19" s="0" t="n">
        <f aca="false">L15+L16+L17+L18</f>
        <v>22795.9448257905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19827.2391642991</v>
      </c>
      <c r="D21" s="0" t="n">
        <f aca="false">D19*D20</f>
        <v>18678.5192062931</v>
      </c>
      <c r="E21" s="0" t="n">
        <f aca="false">E19*E20</f>
        <v>17470.5874732142</v>
      </c>
      <c r="F21" s="0" t="n">
        <f aca="false">F19*F20</f>
        <v>16188.8863390145</v>
      </c>
      <c r="G21" s="0" t="n">
        <f aca="false">G19*G20</f>
        <v>15347.0495946023</v>
      </c>
      <c r="H21" s="0" t="n">
        <f aca="false">H19*H20</f>
        <v>14456.0713135111</v>
      </c>
      <c r="I21" s="0" t="n">
        <f aca="false">I19*I20</f>
        <v>13753.3855920535</v>
      </c>
      <c r="J21" s="0" t="n">
        <f aca="false">J19*J20</f>
        <v>12955.0849748243</v>
      </c>
      <c r="K21" s="0" t="n">
        <f aca="false">K19*K20</f>
        <v>12276.7164206277</v>
      </c>
      <c r="L21" s="0" t="n">
        <f aca="false">L19*L20</f>
        <v>11588.3024157327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152541.842494172</v>
      </c>
    </row>
    <row r="31" customFormat="false" ht="15" hidden="false" customHeight="false" outlineLevel="0" collapsed="false">
      <c r="A31" s="0" t="s">
        <v>137</v>
      </c>
      <c r="B31" s="0" t="n">
        <f aca="false">L19</f>
        <v>22795.9448257905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465037.274446126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341939.172386857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341939.172386857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173824.53623599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326366.378730162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298088.378730162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122.162361677867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-0.550791095135626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10636.4638896349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16408.7917066085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133.246028575225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178860.490171587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51.0091998346673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7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94193</v>
      </c>
      <c r="C6" s="0" t="n">
        <f aca="false">B6*(1+C5/100)</f>
        <v>100786.51</v>
      </c>
      <c r="D6" s="0" t="n">
        <f aca="false">C6*(1+D5/100)</f>
        <v>106329.76805</v>
      </c>
      <c r="E6" s="0" t="n">
        <f aca="false">D6*(1+E5/100)</f>
        <v>111646.2564525</v>
      </c>
      <c r="F6" s="0" t="n">
        <f aca="false">E6*(1+F5/100)</f>
        <v>116670.337992862</v>
      </c>
      <c r="G6" s="0" t="n">
        <f aca="false">F6*(1+G5/100)</f>
        <v>121337.151512577</v>
      </c>
      <c r="H6" s="0" t="n">
        <f aca="false">G6*(1+H5/100)</f>
        <v>125583.951815517</v>
      </c>
      <c r="I6" s="0" t="n">
        <f aca="false">H6*(1+I5/100)</f>
        <v>129351.470369983</v>
      </c>
      <c r="J6" s="0" t="n">
        <f aca="false">I6*(1+J5/100)</f>
        <v>133232.014481082</v>
      </c>
      <c r="K6" s="0" t="n">
        <f aca="false">J6*(1+K5/100)</f>
        <v>136562.814843109</v>
      </c>
      <c r="L6" s="0" t="n">
        <f aca="false">K6*(1+L5/100)</f>
        <v>139976.885214187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33</v>
      </c>
      <c r="D7" s="4" t="n">
        <f aca="false">Assumptions!D28</f>
        <v>33.5</v>
      </c>
      <c r="E7" s="4" t="n">
        <f aca="false">Assumptions!E28</f>
        <v>34</v>
      </c>
      <c r="F7" s="4" t="n">
        <f aca="false">Assumptions!F28</f>
        <v>34</v>
      </c>
      <c r="G7" s="4" t="n">
        <f aca="false">Assumptions!G28</f>
        <v>34</v>
      </c>
      <c r="H7" s="4" t="n">
        <f aca="false">Assumptions!H28</f>
        <v>34</v>
      </c>
      <c r="I7" s="4" t="n">
        <f aca="false">Assumptions!I28</f>
        <v>34</v>
      </c>
      <c r="J7" s="4" t="n">
        <f aca="false">Assumptions!J28</f>
        <v>34</v>
      </c>
      <c r="K7" s="4" t="n">
        <f aca="false">Assumptions!K28</f>
        <v>34</v>
      </c>
      <c r="L7" s="4" t="n">
        <f aca="false">Assumptions!L28</f>
        <v>34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33259.5483</v>
      </c>
      <c r="D8" s="0" t="n">
        <f aca="false">D6*D7/100</f>
        <v>35620.47229675</v>
      </c>
      <c r="E8" s="0" t="n">
        <f aca="false">E6*E7/100</f>
        <v>37959.72719385</v>
      </c>
      <c r="F8" s="0" t="n">
        <f aca="false">F6*F7/100</f>
        <v>39667.9149175732</v>
      </c>
      <c r="G8" s="0" t="n">
        <f aca="false">G6*G7/100</f>
        <v>41254.6315142762</v>
      </c>
      <c r="H8" s="0" t="n">
        <f aca="false">H6*H7/100</f>
        <v>42698.5436172758</v>
      </c>
      <c r="I8" s="0" t="n">
        <f aca="false">I6*I7/100</f>
        <v>43979.4999257941</v>
      </c>
      <c r="J8" s="0" t="n">
        <f aca="false">J6*J7/100</f>
        <v>45298.8849235679</v>
      </c>
      <c r="K8" s="0" t="n">
        <f aca="false">K6*K7/100</f>
        <v>46431.3570466571</v>
      </c>
      <c r="L8" s="0" t="n">
        <f aca="false">L6*L7/100</f>
        <v>47592.1409728236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1.45</v>
      </c>
      <c r="D9" s="4" t="n">
        <f aca="false">Assumptions!D29</f>
        <v>1.45</v>
      </c>
      <c r="E9" s="4" t="n">
        <f aca="false">Assumptions!E29</f>
        <v>1.4</v>
      </c>
      <c r="F9" s="4" t="n">
        <f aca="false">Assumptions!F29</f>
        <v>1.4</v>
      </c>
      <c r="G9" s="4" t="n">
        <f aca="false">Assumptions!G29</f>
        <v>1.4</v>
      </c>
      <c r="H9" s="4" t="n">
        <f aca="false">Assumptions!H29</f>
        <v>1.35</v>
      </c>
      <c r="I9" s="4" t="n">
        <f aca="false">Assumptions!I29</f>
        <v>1.35</v>
      </c>
      <c r="J9" s="4" t="n">
        <f aca="false">Assumptions!J29</f>
        <v>1.3</v>
      </c>
      <c r="K9" s="4" t="n">
        <f aca="false">Assumptions!K29</f>
        <v>1.3</v>
      </c>
      <c r="L9" s="4" t="n">
        <f aca="false">Assumptions!L29</f>
        <v>1.3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-1461.404395</v>
      </c>
      <c r="D10" s="0" t="n">
        <f aca="false">-D6*D9/100</f>
        <v>-1541.781636725</v>
      </c>
      <c r="E10" s="0" t="n">
        <f aca="false">-E6*E9/100</f>
        <v>-1563.047590335</v>
      </c>
      <c r="F10" s="0" t="n">
        <f aca="false">-F6*F9/100</f>
        <v>-1633.38473190007</v>
      </c>
      <c r="G10" s="0" t="n">
        <f aca="false">-G6*G9/100</f>
        <v>-1698.72012117608</v>
      </c>
      <c r="H10" s="0" t="n">
        <f aca="false">-H6*H9/100</f>
        <v>-1695.38334950948</v>
      </c>
      <c r="I10" s="0" t="n">
        <f aca="false">-I6*I9/100</f>
        <v>-1746.24484999477</v>
      </c>
      <c r="J10" s="0" t="n">
        <f aca="false">-J6*J9/100</f>
        <v>-1732.01618825407</v>
      </c>
      <c r="K10" s="0" t="n">
        <f aca="false">-K6*K9/100</f>
        <v>-1775.31659296042</v>
      </c>
      <c r="L10" s="0" t="n">
        <f aca="false">-L6*L9/100</f>
        <v>-1819.69950778443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31798.143905</v>
      </c>
      <c r="D11" s="0" t="n">
        <f aca="false">D8+D10+D24</f>
        <v>34078.690660025</v>
      </c>
      <c r="E11" s="0" t="n">
        <f aca="false">E8+E10+E24</f>
        <v>36396.679603515</v>
      </c>
      <c r="F11" s="0" t="n">
        <f aca="false">F8+F10+F24</f>
        <v>38034.5301856732</v>
      </c>
      <c r="G11" s="0" t="n">
        <f aca="false">G8+G10+G24</f>
        <v>39555.9113931001</v>
      </c>
      <c r="H11" s="0" t="n">
        <f aca="false">H8+H10+H24</f>
        <v>41003.1602677664</v>
      </c>
      <c r="I11" s="0" t="n">
        <f aca="false">I8+I10+I24</f>
        <v>42233.2550757994</v>
      </c>
      <c r="J11" s="0" t="n">
        <f aca="false">J8+J10+J24</f>
        <v>43566.8687353139</v>
      </c>
      <c r="K11" s="0" t="n">
        <f aca="false">K8+K10+K24</f>
        <v>44656.0404536967</v>
      </c>
      <c r="L11" s="0" t="n">
        <f aca="false">L8+L10+L24</f>
        <v>45772.4414650391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-8062.9208</v>
      </c>
      <c r="D12" s="4" t="n">
        <f aca="false">-D6*Assumptions!D31/100</f>
        <v>-8293.7219079</v>
      </c>
      <c r="E12" s="4" t="n">
        <f aca="false">-E6*Assumptions!E31/100</f>
        <v>-8485.11549039</v>
      </c>
      <c r="F12" s="4" t="n">
        <f aca="false">-F6*Assumptions!F31/100</f>
        <v>-8633.60501147183</v>
      </c>
      <c r="G12" s="4" t="n">
        <f aca="false">-G6*Assumptions!G31/100</f>
        <v>-8736.27490890554</v>
      </c>
      <c r="H12" s="4" t="n">
        <f aca="false">-H6*Assumptions!H31/100</f>
        <v>-8790.8766270862</v>
      </c>
      <c r="I12" s="4" t="n">
        <f aca="false">-I6*Assumptions!I31/100</f>
        <v>-8795.89998515882</v>
      </c>
      <c r="J12" s="4" t="n">
        <f aca="false">-J6*Assumptions!J31/100</f>
        <v>-8793.31295575142</v>
      </c>
      <c r="K12" s="4" t="n">
        <f aca="false">-K6*Assumptions!K31/100</f>
        <v>-8876.5829648021</v>
      </c>
      <c r="L12" s="4" t="n">
        <f aca="false">-L6*Assumptions!L31/100</f>
        <v>-9098.49753892215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23735.223105</v>
      </c>
      <c r="D13" s="0" t="n">
        <f aca="false">D11+D12</f>
        <v>25784.968752125</v>
      </c>
      <c r="E13" s="0" t="n">
        <f aca="false">E11+E12</f>
        <v>27911.564113125</v>
      </c>
      <c r="F13" s="0" t="n">
        <f aca="false">F11+F12</f>
        <v>29400.9251742013</v>
      </c>
      <c r="G13" s="0" t="n">
        <f aca="false">G11+G12</f>
        <v>30819.6364841946</v>
      </c>
      <c r="H13" s="0" t="n">
        <f aca="false">H11+H12</f>
        <v>32212.2836406802</v>
      </c>
      <c r="I13" s="0" t="n">
        <f aca="false">I11+I12</f>
        <v>33437.3550906405</v>
      </c>
      <c r="J13" s="0" t="n">
        <f aca="false">J11+J12</f>
        <v>34773.5557795624</v>
      </c>
      <c r="K13" s="0" t="n">
        <f aca="false">K11+K12</f>
        <v>35779.4574888946</v>
      </c>
      <c r="L13" s="0" t="n">
        <f aca="false">L11+L12</f>
        <v>36673.943926117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17</v>
      </c>
      <c r="D14" s="4" t="n">
        <f aca="false">Assumptions!D33</f>
        <v>18</v>
      </c>
      <c r="E14" s="4" t="n">
        <f aca="false">Assumptions!E33</f>
        <v>18.5</v>
      </c>
      <c r="F14" s="4" t="n">
        <f aca="false">Assumptions!F33</f>
        <v>19</v>
      </c>
      <c r="G14" s="4" t="n">
        <f aca="false">Assumptions!G33</f>
        <v>19.5</v>
      </c>
      <c r="H14" s="4" t="n">
        <f aca="false">Assumptions!H33</f>
        <v>19.5</v>
      </c>
      <c r="I14" s="4" t="n">
        <f aca="false">Assumptions!I33</f>
        <v>19.5</v>
      </c>
      <c r="J14" s="4" t="n">
        <f aca="false">Assumptions!J33</f>
        <v>19.5</v>
      </c>
      <c r="K14" s="4" t="n">
        <f aca="false">Assumptions!K33</f>
        <v>19.5</v>
      </c>
      <c r="L14" s="4" t="n">
        <f aca="false">Assumptions!L33</f>
        <v>19.5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19700.23517715</v>
      </c>
      <c r="D15" s="0" t="n">
        <f aca="false">D13-MAX(0,D13)*D14/100</f>
        <v>21143.6743767425</v>
      </c>
      <c r="E15" s="0" t="n">
        <f aca="false">E13-MAX(0,E13)*E14/100</f>
        <v>22747.9247521969</v>
      </c>
      <c r="F15" s="0" t="n">
        <f aca="false">F13-MAX(0,F13)*F14/100</f>
        <v>23814.7493911031</v>
      </c>
      <c r="G15" s="0" t="n">
        <f aca="false">G13-MAX(0,G13)*G14/100</f>
        <v>24809.8073697766</v>
      </c>
      <c r="H15" s="0" t="n">
        <f aca="false">H13-MAX(0,H13)*H14/100</f>
        <v>25930.8883307475</v>
      </c>
      <c r="I15" s="0" t="n">
        <f aca="false">I13-MAX(0,I13)*I14/100</f>
        <v>26917.0708479656</v>
      </c>
      <c r="J15" s="0" t="n">
        <f aca="false">J13-MAX(0,J13)*J14/100</f>
        <v>27992.7124025478</v>
      </c>
      <c r="K15" s="0" t="n">
        <f aca="false">K13-MAX(0,K13)*K14/100</f>
        <v>28802.4632785602</v>
      </c>
      <c r="L15" s="0" t="n">
        <f aca="false">L13-MAX(0,L13)*L14/100</f>
        <v>29522.5248605242</v>
      </c>
    </row>
    <row r="16" customFormat="false" ht="15" hidden="false" customHeight="false" outlineLevel="0" collapsed="false">
      <c r="A16" s="0" t="s">
        <v>128</v>
      </c>
      <c r="C16" s="0" t="n">
        <f aca="false">-C12</f>
        <v>8062.9208</v>
      </c>
      <c r="D16" s="0" t="n">
        <f aca="false">-D12</f>
        <v>8293.7219079</v>
      </c>
      <c r="E16" s="0" t="n">
        <f aca="false">-E12</f>
        <v>8485.11549039</v>
      </c>
      <c r="F16" s="0" t="n">
        <f aca="false">-F12</f>
        <v>8633.60501147183</v>
      </c>
      <c r="G16" s="0" t="n">
        <f aca="false">-G12</f>
        <v>8736.27490890554</v>
      </c>
      <c r="H16" s="0" t="n">
        <f aca="false">-H12</f>
        <v>8790.8766270862</v>
      </c>
      <c r="I16" s="0" t="n">
        <f aca="false">-I12</f>
        <v>8795.89998515882</v>
      </c>
      <c r="J16" s="0" t="n">
        <f aca="false">-J12</f>
        <v>8793.31295575142</v>
      </c>
      <c r="K16" s="0" t="n">
        <f aca="false">-K12</f>
        <v>8876.5829648021</v>
      </c>
      <c r="L16" s="0" t="n">
        <f aca="false">-L12</f>
        <v>9098.49753892215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-5240.89852</v>
      </c>
      <c r="D17" s="4" t="n">
        <f aca="false">-D6*Assumptions!D32/100</f>
        <v>-5529.1479386</v>
      </c>
      <c r="E17" s="4" t="n">
        <f aca="false">-E6*Assumptions!E32/100</f>
        <v>-5582.312822625</v>
      </c>
      <c r="F17" s="4" t="n">
        <f aca="false">-F6*Assumptions!F32/100</f>
        <v>-5833.51689964313</v>
      </c>
      <c r="G17" s="4" t="n">
        <f aca="false">-G6*Assumptions!G32/100</f>
        <v>-5824.1832726037</v>
      </c>
      <c r="H17" s="4" t="n">
        <f aca="false">-H6*Assumptions!H32/100</f>
        <v>-6028.02968714483</v>
      </c>
      <c r="I17" s="4" t="n">
        <f aca="false">-I6*Assumptions!I32/100</f>
        <v>-5950.1676370192</v>
      </c>
      <c r="J17" s="4" t="n">
        <f aca="false">-J6*Assumptions!J32/100</f>
        <v>-6128.67266612978</v>
      </c>
      <c r="K17" s="4" t="n">
        <f aca="false">-K6*Assumptions!K32/100</f>
        <v>-6145.32666793992</v>
      </c>
      <c r="L17" s="4" t="n">
        <f aca="false">-L6*Assumptions!L32/100</f>
        <v>-6298.95983463841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-527.480800000001</v>
      </c>
      <c r="D18" s="4" t="n">
        <f aca="false">(D6-C6)*Assumptions!$B$37/100</f>
        <v>-443.460643999999</v>
      </c>
      <c r="E18" s="4" t="n">
        <f aca="false">(E6-D6)*Assumptions!$B$37/100</f>
        <v>-425.319072200001</v>
      </c>
      <c r="F18" s="4" t="n">
        <f aca="false">(F6-E6)*Assumptions!$B$37/100</f>
        <v>-401.926523228999</v>
      </c>
      <c r="G18" s="4" t="n">
        <f aca="false">(G6-F6)*Assumptions!$B$37/100</f>
        <v>-373.34508157716</v>
      </c>
      <c r="H18" s="4" t="n">
        <f aca="false">(H6-G6)*Assumptions!$B$37/100</f>
        <v>-339.744024235215</v>
      </c>
      <c r="I18" s="4" t="n">
        <f aca="false">(I6-H6)*Assumptions!$B$37/100</f>
        <v>-301.401484357242</v>
      </c>
      <c r="J18" s="4" t="n">
        <f aca="false">(J6-I6)*Assumptions!$B$37/100</f>
        <v>-310.443528887958</v>
      </c>
      <c r="K18" s="4" t="n">
        <f aca="false">(K6-J6)*Assumptions!$B$37/100</f>
        <v>-266.464028962164</v>
      </c>
      <c r="L18" s="4" t="n">
        <f aca="false">(L6-K6)*Assumptions!$B$37/100</f>
        <v>-273.125629686217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21994.77665715</v>
      </c>
      <c r="D19" s="0" t="n">
        <f aca="false">D15+D16+D17+D18</f>
        <v>23464.7877020425</v>
      </c>
      <c r="E19" s="0" t="n">
        <f aca="false">E15+E16+E17+E18</f>
        <v>25225.4083477619</v>
      </c>
      <c r="F19" s="0" t="n">
        <f aca="false">F15+F16+F17+F18</f>
        <v>26212.9109797028</v>
      </c>
      <c r="G19" s="0" t="n">
        <f aca="false">G15+G16+G17+G18</f>
        <v>27348.5539245013</v>
      </c>
      <c r="H19" s="0" t="n">
        <f aca="false">H15+H16+H17+H18</f>
        <v>28353.9912464537</v>
      </c>
      <c r="I19" s="0" t="n">
        <f aca="false">I15+I16+I17+I18</f>
        <v>29461.401711748</v>
      </c>
      <c r="J19" s="0" t="n">
        <f aca="false">J15+J16+J17+J18</f>
        <v>30346.9091632815</v>
      </c>
      <c r="K19" s="0" t="n">
        <f aca="false">K15+K16+K17+K18</f>
        <v>31267.2555464602</v>
      </c>
      <c r="L19" s="0" t="n">
        <f aca="false">L15+L16+L17+L18</f>
        <v>32048.9369351217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20555.8660347196</v>
      </c>
      <c r="D21" s="0" t="n">
        <f aca="false">D19*D20</f>
        <v>20495.0543296729</v>
      </c>
      <c r="E21" s="0" t="n">
        <f aca="false">E19*E20</f>
        <v>20591.4472779828</v>
      </c>
      <c r="F21" s="0" t="n">
        <f aca="false">F19*F20</f>
        <v>19997.7042802433</v>
      </c>
      <c r="G21" s="0" t="n">
        <f aca="false">G19*G20</f>
        <v>19499.1409770333</v>
      </c>
      <c r="H21" s="0" t="n">
        <f aca="false">H19*H20</f>
        <v>18893.4615812359</v>
      </c>
      <c r="I21" s="0" t="n">
        <f aca="false">I19*I20</f>
        <v>18347.0803115493</v>
      </c>
      <c r="J21" s="0" t="n">
        <f aca="false">J19*J20</f>
        <v>17662.177428438</v>
      </c>
      <c r="K21" s="0" t="n">
        <f aca="false">K19*K20</f>
        <v>17007.315329721</v>
      </c>
      <c r="L21" s="0" t="n">
        <f aca="false">L19*L20</f>
        <v>16292.0544046393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189341.301955235</v>
      </c>
    </row>
    <row r="31" customFormat="false" ht="15" hidden="false" customHeight="false" outlineLevel="0" collapsed="false">
      <c r="A31" s="0" t="s">
        <v>137</v>
      </c>
      <c r="B31" s="0" t="n">
        <f aca="false">L19</f>
        <v>32048.9369351217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730003.563522216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576880.86483219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576880.86483219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293256.979283508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482598.281238743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454320.281238743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186.189205868097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-0.315355006920034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11561.5538692472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21070.422902158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199.562418757489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262801.282867998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69.1717611502825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7.5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94193</v>
      </c>
      <c r="C6" s="0" t="n">
        <f aca="false">B6*(1+C5/100)</f>
        <v>101257.475</v>
      </c>
      <c r="D6" s="0" t="n">
        <f aca="false">C6*(1+D5/100)</f>
        <v>108345.49825</v>
      </c>
      <c r="E6" s="0" t="n">
        <f aca="false">D6*(1+E5/100)</f>
        <v>115387.95563625</v>
      </c>
      <c r="F6" s="0" t="n">
        <f aca="false">E6*(1+F5/100)</f>
        <v>122311.232974425</v>
      </c>
      <c r="G6" s="0" t="n">
        <f aca="false">F6*(1+G5/100)</f>
        <v>129038.350788018</v>
      </c>
      <c r="H6" s="0" t="n">
        <f aca="false">G6*(1+H5/100)</f>
        <v>135490.268327419</v>
      </c>
      <c r="I6" s="0" t="n">
        <f aca="false">H6*(1+I5/100)</f>
        <v>141587.330402153</v>
      </c>
      <c r="J6" s="0" t="n">
        <f aca="false">I6*(1+J5/100)</f>
        <v>147250.823618239</v>
      </c>
      <c r="K6" s="0" t="n">
        <f aca="false">J6*(1+K5/100)</f>
        <v>152404.602444878</v>
      </c>
      <c r="L6" s="0" t="n">
        <f aca="false">K6*(1+L5/100)</f>
        <v>156976.740518224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33.5</v>
      </c>
      <c r="D7" s="4" t="n">
        <f aca="false">Assumptions!D42</f>
        <v>34</v>
      </c>
      <c r="E7" s="4" t="n">
        <f aca="false">Assumptions!E42</f>
        <v>34.5</v>
      </c>
      <c r="F7" s="4" t="n">
        <f aca="false">Assumptions!F42</f>
        <v>35</v>
      </c>
      <c r="G7" s="4" t="n">
        <f aca="false">Assumptions!G42</f>
        <v>35.5</v>
      </c>
      <c r="H7" s="4" t="n">
        <f aca="false">Assumptions!H42</f>
        <v>36</v>
      </c>
      <c r="I7" s="4" t="n">
        <f aca="false">Assumptions!I42</f>
        <v>36</v>
      </c>
      <c r="J7" s="4" t="n">
        <f aca="false">Assumptions!J42</f>
        <v>36</v>
      </c>
      <c r="K7" s="4" t="n">
        <f aca="false">Assumptions!K42</f>
        <v>36</v>
      </c>
      <c r="L7" s="4" t="n">
        <f aca="false">Assumptions!L42</f>
        <v>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33921.254125</v>
      </c>
      <c r="D8" s="0" t="n">
        <f aca="false">D6*D7/100</f>
        <v>36837.469405</v>
      </c>
      <c r="E8" s="0" t="n">
        <f aca="false">E6*E7/100</f>
        <v>39808.8446945063</v>
      </c>
      <c r="F8" s="0" t="n">
        <f aca="false">F6*F7/100</f>
        <v>42808.9315410488</v>
      </c>
      <c r="G8" s="0" t="n">
        <f aca="false">G6*G7/100</f>
        <v>45808.6145297465</v>
      </c>
      <c r="H8" s="0" t="n">
        <f aca="false">H6*H7/100</f>
        <v>48776.4965978709</v>
      </c>
      <c r="I8" s="0" t="n">
        <f aca="false">I6*I7/100</f>
        <v>50971.4389447751</v>
      </c>
      <c r="J8" s="0" t="n">
        <f aca="false">J6*J7/100</f>
        <v>53010.2965025661</v>
      </c>
      <c r="K8" s="0" t="n">
        <f aca="false">K6*K7/100</f>
        <v>54865.656880156</v>
      </c>
      <c r="L8" s="0" t="n">
        <f aca="false">L6*L7/100</f>
        <v>56511.6265865606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1.45</v>
      </c>
      <c r="D9" s="4" t="n">
        <f aca="false">Assumptions!D43</f>
        <v>1.45</v>
      </c>
      <c r="E9" s="4" t="n">
        <f aca="false">Assumptions!E43</f>
        <v>1.4</v>
      </c>
      <c r="F9" s="4" t="n">
        <f aca="false">Assumptions!F43</f>
        <v>1.4</v>
      </c>
      <c r="G9" s="4" t="n">
        <f aca="false">Assumptions!G43</f>
        <v>1.4</v>
      </c>
      <c r="H9" s="4" t="n">
        <f aca="false">Assumptions!H43</f>
        <v>1.35</v>
      </c>
      <c r="I9" s="4" t="n">
        <f aca="false">Assumptions!I43</f>
        <v>1.35</v>
      </c>
      <c r="J9" s="4" t="n">
        <f aca="false">Assumptions!J43</f>
        <v>1.3</v>
      </c>
      <c r="K9" s="4" t="n">
        <f aca="false">Assumptions!K43</f>
        <v>1.3</v>
      </c>
      <c r="L9" s="4" t="n">
        <f aca="false">Assumptions!L43</f>
        <v>1.3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-1468.2333875</v>
      </c>
      <c r="D10" s="0" t="n">
        <f aca="false">-D6*D9/100</f>
        <v>-1571.009724625</v>
      </c>
      <c r="E10" s="0" t="n">
        <f aca="false">-E6*E9/100</f>
        <v>-1615.4313789075</v>
      </c>
      <c r="F10" s="0" t="n">
        <f aca="false">-F6*F9/100</f>
        <v>-1712.35726164195</v>
      </c>
      <c r="G10" s="0" t="n">
        <f aca="false">-G6*G9/100</f>
        <v>-1806.53691103226</v>
      </c>
      <c r="H10" s="0" t="n">
        <f aca="false">-H6*H9/100</f>
        <v>-1829.11862242016</v>
      </c>
      <c r="I10" s="0" t="n">
        <f aca="false">-I6*I9/100</f>
        <v>-1911.42896042907</v>
      </c>
      <c r="J10" s="0" t="n">
        <f aca="false">-J6*J9/100</f>
        <v>-1914.26070703711</v>
      </c>
      <c r="K10" s="0" t="n">
        <f aca="false">-K6*K9/100</f>
        <v>-1981.25983178341</v>
      </c>
      <c r="L10" s="0" t="n">
        <f aca="false">-L6*L9/100</f>
        <v>-2040.69762673691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32453.0207375</v>
      </c>
      <c r="D11" s="0" t="n">
        <f aca="false">D8+D10+D24</f>
        <v>35266.459680375</v>
      </c>
      <c r="E11" s="0" t="n">
        <f aca="false">E8+E10+E24</f>
        <v>38193.4133155988</v>
      </c>
      <c r="F11" s="0" t="n">
        <f aca="false">F8+F10+F24</f>
        <v>41096.5742794068</v>
      </c>
      <c r="G11" s="0" t="n">
        <f aca="false">G8+G10+G24</f>
        <v>44002.0776187143</v>
      </c>
      <c r="H11" s="0" t="n">
        <f aca="false">H8+H10+H24</f>
        <v>46947.3779754508</v>
      </c>
      <c r="I11" s="0" t="n">
        <f aca="false">I8+I10+I24</f>
        <v>49060.0099843461</v>
      </c>
      <c r="J11" s="0" t="n">
        <f aca="false">J8+J10+J24</f>
        <v>51096.035795529</v>
      </c>
      <c r="K11" s="0" t="n">
        <f aca="false">K8+K10+K24</f>
        <v>52884.3970483725</v>
      </c>
      <c r="L11" s="0" t="n">
        <f aca="false">L8+L10+L24</f>
        <v>54470.9289598237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-8100.598</v>
      </c>
      <c r="D12" s="4" t="n">
        <f aca="false">-D6*Assumptions!D45/100</f>
        <v>-8450.9488635</v>
      </c>
      <c r="E12" s="4" t="n">
        <f aca="false">-E6*Assumptions!E45/100</f>
        <v>-8769.484628355</v>
      </c>
      <c r="F12" s="4" t="n">
        <f aca="false">-F6*Assumptions!F45/100</f>
        <v>-9051.03124010745</v>
      </c>
      <c r="G12" s="4" t="n">
        <f aca="false">-G6*Assumptions!G45/100</f>
        <v>-9290.76125673732</v>
      </c>
      <c r="H12" s="4" t="n">
        <f aca="false">-H6*Assumptions!H45/100</f>
        <v>-9484.31878291935</v>
      </c>
      <c r="I12" s="4" t="n">
        <f aca="false">-I6*Assumptions!I45/100</f>
        <v>-9627.93846734642</v>
      </c>
      <c r="J12" s="4" t="n">
        <f aca="false">-J6*Assumptions!J45/100</f>
        <v>-9718.55435880379</v>
      </c>
      <c r="K12" s="4" t="n">
        <f aca="false">-K6*Assumptions!K45/100</f>
        <v>-9906.29915891705</v>
      </c>
      <c r="L12" s="4" t="n">
        <f aca="false">-L6*Assumptions!L45/100</f>
        <v>-10203.4881336846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24352.4227375</v>
      </c>
      <c r="D13" s="0" t="n">
        <f aca="false">D11+D12</f>
        <v>26815.510816875</v>
      </c>
      <c r="E13" s="0" t="n">
        <f aca="false">E11+E12</f>
        <v>29423.9286872438</v>
      </c>
      <c r="F13" s="0" t="n">
        <f aca="false">F11+F12</f>
        <v>32045.5430392994</v>
      </c>
      <c r="G13" s="0" t="n">
        <f aca="false">G11+G12</f>
        <v>34711.3163619769</v>
      </c>
      <c r="H13" s="0" t="n">
        <f aca="false">H11+H12</f>
        <v>37463.0591925314</v>
      </c>
      <c r="I13" s="0" t="n">
        <f aca="false">I11+I12</f>
        <v>39432.0715169997</v>
      </c>
      <c r="J13" s="0" t="n">
        <f aca="false">J11+J12</f>
        <v>41377.4814367252</v>
      </c>
      <c r="K13" s="0" t="n">
        <f aca="false">K11+K12</f>
        <v>42978.0978894555</v>
      </c>
      <c r="L13" s="0" t="n">
        <f aca="false">L11+L12</f>
        <v>44267.4408261392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16.5</v>
      </c>
      <c r="D14" s="4" t="n">
        <f aca="false">Assumptions!D47</f>
        <v>17</v>
      </c>
      <c r="E14" s="4" t="n">
        <f aca="false">Assumptions!E47</f>
        <v>17.5</v>
      </c>
      <c r="F14" s="4" t="n">
        <f aca="false">Assumptions!F47</f>
        <v>18</v>
      </c>
      <c r="G14" s="4" t="n">
        <f aca="false">Assumptions!G47</f>
        <v>18.5</v>
      </c>
      <c r="H14" s="4" t="n">
        <f aca="false">Assumptions!H47</f>
        <v>18.5</v>
      </c>
      <c r="I14" s="4" t="n">
        <f aca="false">Assumptions!I47</f>
        <v>18.5</v>
      </c>
      <c r="J14" s="4" t="n">
        <f aca="false">Assumptions!J47</f>
        <v>18.5</v>
      </c>
      <c r="K14" s="4" t="n">
        <f aca="false">Assumptions!K47</f>
        <v>18.5</v>
      </c>
      <c r="L14" s="4" t="n">
        <f aca="false">Assumptions!L47</f>
        <v>18.5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20334.2729858125</v>
      </c>
      <c r="D15" s="0" t="n">
        <f aca="false">D13-MAX(0,D13)*D14/100</f>
        <v>22256.8739780063</v>
      </c>
      <c r="E15" s="0" t="n">
        <f aca="false">E13-MAX(0,E13)*E14/100</f>
        <v>24274.7411669761</v>
      </c>
      <c r="F15" s="0" t="n">
        <f aca="false">F13-MAX(0,F13)*F14/100</f>
        <v>26277.3452922255</v>
      </c>
      <c r="G15" s="0" t="n">
        <f aca="false">G13-MAX(0,G13)*G14/100</f>
        <v>28289.7228350112</v>
      </c>
      <c r="H15" s="0" t="n">
        <f aca="false">H13-MAX(0,H13)*H14/100</f>
        <v>30532.3932419131</v>
      </c>
      <c r="I15" s="0" t="n">
        <f aca="false">I13-MAX(0,I13)*I14/100</f>
        <v>32137.1382863547</v>
      </c>
      <c r="J15" s="0" t="n">
        <f aca="false">J13-MAX(0,J13)*J14/100</f>
        <v>33722.6473709311</v>
      </c>
      <c r="K15" s="0" t="n">
        <f aca="false">K13-MAX(0,K13)*K14/100</f>
        <v>35027.1497799062</v>
      </c>
      <c r="L15" s="0" t="n">
        <f aca="false">L13-MAX(0,L13)*L14/100</f>
        <v>36077.9642733034</v>
      </c>
    </row>
    <row r="16" customFormat="false" ht="15" hidden="false" customHeight="false" outlineLevel="0" collapsed="false">
      <c r="A16" s="0" t="s">
        <v>128</v>
      </c>
      <c r="C16" s="0" t="n">
        <f aca="false">-C12</f>
        <v>8100.598</v>
      </c>
      <c r="D16" s="0" t="n">
        <f aca="false">-D12</f>
        <v>8450.9488635</v>
      </c>
      <c r="E16" s="0" t="n">
        <f aca="false">-E12</f>
        <v>8769.484628355</v>
      </c>
      <c r="F16" s="0" t="n">
        <f aca="false">-F12</f>
        <v>9051.03124010745</v>
      </c>
      <c r="G16" s="0" t="n">
        <f aca="false">-G12</f>
        <v>9290.76125673732</v>
      </c>
      <c r="H16" s="0" t="n">
        <f aca="false">-H12</f>
        <v>9484.31878291935</v>
      </c>
      <c r="I16" s="0" t="n">
        <f aca="false">-I12</f>
        <v>9627.93846734642</v>
      </c>
      <c r="J16" s="0" t="n">
        <f aca="false">-J12</f>
        <v>9718.55435880379</v>
      </c>
      <c r="K16" s="0" t="n">
        <f aca="false">-K12</f>
        <v>9906.29915891705</v>
      </c>
      <c r="L16" s="0" t="n">
        <f aca="false">-L12</f>
        <v>10203.4881336846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-5265.3887</v>
      </c>
      <c r="D17" s="4" t="n">
        <f aca="false">-D6*Assumptions!D46/100</f>
        <v>-5633.965909</v>
      </c>
      <c r="E17" s="4" t="n">
        <f aca="false">-E6*Assumptions!E46/100</f>
        <v>-5769.3977818125</v>
      </c>
      <c r="F17" s="4" t="n">
        <f aca="false">-F6*Assumptions!F46/100</f>
        <v>-6115.56164872125</v>
      </c>
      <c r="G17" s="4" t="n">
        <f aca="false">-G6*Assumptions!G46/100</f>
        <v>-6193.84083782488</v>
      </c>
      <c r="H17" s="4" t="n">
        <f aca="false">-H6*Assumptions!H46/100</f>
        <v>-6503.53287971613</v>
      </c>
      <c r="I17" s="4" t="n">
        <f aca="false">-I6*Assumptions!I46/100</f>
        <v>-6513.01719849905</v>
      </c>
      <c r="J17" s="4" t="n">
        <f aca="false">-J6*Assumptions!J46/100</f>
        <v>-6773.53788643901</v>
      </c>
      <c r="K17" s="4" t="n">
        <f aca="false">-K6*Assumptions!K46/100</f>
        <v>-6858.20711001949</v>
      </c>
      <c r="L17" s="4" t="n">
        <f aca="false">-L6*Assumptions!L46/100</f>
        <v>-7063.95332332008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-565.157999999999</v>
      </c>
      <c r="D18" s="4" t="n">
        <f aca="false">(D6-C6)*Assumptions!$B$51/100</f>
        <v>-567.041860000001</v>
      </c>
      <c r="E18" s="4" t="n">
        <f aca="false">(E6-D6)*Assumptions!$B$51/100</f>
        <v>-563.3965909</v>
      </c>
      <c r="F18" s="4" t="n">
        <f aca="false">(F6-E6)*Assumptions!$B$51/100</f>
        <v>-553.862187054</v>
      </c>
      <c r="G18" s="4" t="n">
        <f aca="false">(G6-F6)*Assumptions!$B$51/100</f>
        <v>-538.16942508747</v>
      </c>
      <c r="H18" s="4" t="n">
        <f aca="false">(H6-G6)*Assumptions!$B$51/100</f>
        <v>-516.153403152074</v>
      </c>
      <c r="I18" s="4" t="n">
        <f aca="false">(I6-H6)*Assumptions!$B$51/100</f>
        <v>-487.76496597871</v>
      </c>
      <c r="J18" s="4" t="n">
        <f aca="false">(J6-I6)*Assumptions!$B$51/100</f>
        <v>-453.07945728689</v>
      </c>
      <c r="K18" s="4" t="n">
        <f aca="false">(K6-J6)*Assumptions!$B$51/100</f>
        <v>-412.302306131069</v>
      </c>
      <c r="L18" s="4" t="n">
        <f aca="false">(L6-K6)*Assumptions!$B$51/100</f>
        <v>-365.771045867708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22604.3242858125</v>
      </c>
      <c r="D19" s="0" t="n">
        <f aca="false">D15+D16+D17+D18</f>
        <v>24506.8150725062</v>
      </c>
      <c r="E19" s="0" t="n">
        <f aca="false">E15+E16+E17+E18</f>
        <v>26711.4314226186</v>
      </c>
      <c r="F19" s="0" t="n">
        <f aca="false">F15+F16+F17+F18</f>
        <v>28658.9526965577</v>
      </c>
      <c r="G19" s="0" t="n">
        <f aca="false">G15+G16+G17+G18</f>
        <v>30848.4738288362</v>
      </c>
      <c r="H19" s="0" t="n">
        <f aca="false">H15+H16+H17+H18</f>
        <v>32997.0257419643</v>
      </c>
      <c r="I19" s="0" t="n">
        <f aca="false">I15+I16+I17+I18</f>
        <v>34764.2945892234</v>
      </c>
      <c r="J19" s="0" t="n">
        <f aca="false">J15+J16+J17+J18</f>
        <v>36214.584386009</v>
      </c>
      <c r="K19" s="0" t="n">
        <f aca="false">K15+K16+K17+K18</f>
        <v>37662.9395226727</v>
      </c>
      <c r="L19" s="0" t="n">
        <f aca="false">L15+L16+L17+L18</f>
        <v>38851.7280378002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21125.5367157126</v>
      </c>
      <c r="D21" s="0" t="n">
        <f aca="false">D19*D20</f>
        <v>21405.2013909566</v>
      </c>
      <c r="E21" s="0" t="n">
        <f aca="false">E19*E20</f>
        <v>21804.4847589991</v>
      </c>
      <c r="F21" s="0" t="n">
        <f aca="false">F19*F20</f>
        <v>21863.7777945004</v>
      </c>
      <c r="G21" s="0" t="n">
        <f aca="false">G19*G20</f>
        <v>21994.5354981238</v>
      </c>
      <c r="H21" s="0" t="n">
        <f aca="false">H19*H20</f>
        <v>21987.3115122312</v>
      </c>
      <c r="I21" s="0" t="n">
        <f aca="false">I19*I20</f>
        <v>21649.4554822387</v>
      </c>
      <c r="J21" s="0" t="n">
        <f aca="false">J19*J20</f>
        <v>21077.2178306961</v>
      </c>
      <c r="K21" s="0" t="n">
        <f aca="false">K19*K20</f>
        <v>20486.1436512878</v>
      </c>
      <c r="L21" s="0" t="n">
        <f aca="false">L19*L20</f>
        <v>19750.2484462263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213143.913080973</v>
      </c>
    </row>
    <row r="31" customFormat="false" ht="15" hidden="false" customHeight="false" outlineLevel="0" collapsed="false">
      <c r="A31" s="0" t="s">
        <v>137</v>
      </c>
      <c r="B31" s="0" t="n">
        <f aca="false">L19</f>
        <v>38851.7280378002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1000431.99697336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777034.560756004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777034.560756004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395004.968924526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608148.882005498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579870.882005498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237.642261384984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-0.126154582147514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12295.7589749208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26712.7202458272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253.628687851419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333477.332324452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82.4180688297124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122.162361677867</v>
      </c>
      <c r="C4" s="0" t="n">
        <f aca="false">B4/Assumptions!$B$2-1</f>
        <v>-0.550791095135626</v>
      </c>
      <c r="D4" s="4" t="n">
        <f aca="false">Assumptions!$B$24</f>
        <v>0.25</v>
      </c>
      <c r="E4" s="4" t="n">
        <f aca="false">DCF_Bear!$B$43</f>
        <v>133.246028575225</v>
      </c>
      <c r="F4" s="4" t="n">
        <f aca="false">DCF_Bear!$B$47</f>
        <v>51.0091998346673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186.189205868097</v>
      </c>
      <c r="C5" s="0" t="n">
        <f aca="false">B5/Assumptions!$B$2-1</f>
        <v>-0.315355006920034</v>
      </c>
      <c r="D5" s="4" t="n">
        <f aca="false">Assumptions!$B$38</f>
        <v>0.5</v>
      </c>
      <c r="E5" s="4" t="n">
        <f aca="false">DCF_Base!$B$43</f>
        <v>199.562418757489</v>
      </c>
      <c r="F5" s="4" t="n">
        <f aca="false">DCF_Base!$B$47</f>
        <v>69.1717611502825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237.642261384984</v>
      </c>
      <c r="C6" s="0" t="n">
        <f aca="false">B6/Assumptions!$B$2-1</f>
        <v>-0.126154582147514</v>
      </c>
      <c r="D6" s="4" t="n">
        <f aca="false">Assumptions!$B$52</f>
        <v>0.25</v>
      </c>
      <c r="E6" s="4" t="n">
        <f aca="false">DCF_Bull!$B$43</f>
        <v>253.628687851419</v>
      </c>
      <c r="F6" s="4" t="n">
        <f aca="false">DCF_Bull!$B$47</f>
        <v>82.4180688297124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183.045758699761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196.499888485405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-0.48569407962117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660.795181232019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67.9426977412362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186.189205868097</v>
      </c>
      <c r="C15" s="3" t="n">
        <v>7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146.363628927323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124.877194208262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108.463303497224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95.5191827953701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69.1717611502825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219.400071357656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219.400071357656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219.400071357656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219.400071357656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219.400071357656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201.994534879742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201.994534879742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201.994534879742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201.994534879742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201.994534879742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186.189205868097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186.189205868097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186.189205868097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186.189205868097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186.189205868097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157.312405315734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165.736002708998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171.819711937466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171.819711937466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171.819711937466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133.958739368239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139.718152377814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146.363628927323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154.11668490175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158.740066904849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2026-09-28T22:18:39Z</dcterms:created>
  <dc:creator>openpyxl</dc:creator>
  <dc:description/>
  <dc:language>en-NZ</dc:language>
  <cp:lastModifiedBy/>
  <dcterms:modified xsi:type="dcterms:W3CDTF">2026-09-28T22:18:39Z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