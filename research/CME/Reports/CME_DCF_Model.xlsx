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<sst xmlns="http://schemas.openxmlformats.org/spreadsheetml/2006/main" count="390" uniqueCount="175">
  <si>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</si>
  <si>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CME</t>
  </si>
  <si>
    <t xml:space="preserve">Company</t>
  </si>
  <si>
    <t xml:space="preserve">CME Group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</si>
  <si>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</si>
  <si>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</si>
  <si>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</si>
  <si>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</si>
  <si>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</si>
  <si>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</si>
  <si>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</si>
  <si>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</si>
  <si>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</si>
  <si>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</si>
  <si>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</si>
  <si>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</si>
  <si>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</si>
  <si>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</si>
  <si>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</si>
  <si>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</si>
  <si>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</si>
  <si>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2026-09-26T00:50:49Z</t>
  </si>
  <si>
    <t xml:space="preserve">Drivers file</t>
  </si>
  <si>
    <t xml:space="preserve">CME_Drivers.json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</si>
  <si>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</si>
  <si>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</si>
  <si>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</si>
  <si>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CME is valued as a capital-light operating franchise on owner FCF, with the rate-sensitive collateral spread and the S&amp;P DJI stake carried inside the flows rather than as separate balance-sheet assets, and amortization of acquired intangibles given no perpetual tax shield. At a 7.5% WACC the terminal cap binds in base and bull, so the value is largely a function of the exit multiple assumed on a ~3% grower.
key_risks_to_valuation: Collateral-income sensitivity to the Fed path: ~7-8% of revenue-equivalent that could halve in a cutting cycle; Volume normalisation from record FY2025-26 levels (base year may be near a cyclical peak); Competitive encroachment in equity index (Cboe, ICE) and event contracts (Kalshi, Polymarket); Terminal value dominance: the 20x cap on a ~3% terminal growth binds; a lower exit multiple moves value roughly one-for-one; CEO transition March 2027</t>
  </si>
  <si>
    <t xml:space="preserve">Data sources</t>
  </si>
  <si>
    <t xml:space="preserve">price: Yahoo Finance chart API at inputs.price_as_of; 52-week range 218.31-329.16
financials: research/CME/Reports/CME_Metrics.csv (SEC XBRL FY2006-FY2025 + quarterlies to Q2 2026); non-operating detail (InvestmentIncomeNonoperating, OtherNonoperatingIncomeExpense, IncomeLossFromEquityMethodInvestments, GainLossOnInvestments, InterestAndDebtExpense, AmortizationOfIntangibleAssets, UnsecuredLongTermDebt, diluted shares) from SEC XBRL companyfacts CIK 1156375
qualitative: research/CME/Reports/CME_Analysis.json (Q2 2026 earnings, FY2026 guidance, bull/bear cases)</t>
  </si>
  <si>
    <t xml:space="preserve">Scenario narrative: bear</t>
  </si>
  <si>
    <t xml:space="preserve">Volume is cyclical to rate and macro volatility: a Fed cutting cycle both compresses rate-futures activity and roughly halves the collateral spread. Competition bites at the margin -- Cboe's FTSE Russell options licence, ICE's MSCI/FTSE futures push, and Kalshi/Polymarket/DraftKings capturing event-contract volume outside CME -- while volume tiers erode rate per contract. FY2027 revenue is roughly flat after a strong FY2026 and long-run growth settles ~3%, all-in margin down ~5pp, and a lower exit multiple as the market re-rates CME as ex-growth.</t>
  </si>
  <si>
    <t xml:space="preserve">Scenario narrative: base</t>
  </si>
  <si>
    <t xml:space="preserve">CME's benchmark rate (SOFR/Treasury) and equity-index futures franchise keeps its liquidity network effect; FY2026 revenue lands ~+7.5% (H1 +7.6%, July ADV +18%), then growth fades to ~5% as volumes normalise off records, with market data and new products (24/7 crypto, event contracts, FTSE Russell licence secured to 2037) offsetting modest rate-per-contract erosion. The Fed eases gradually, so the collateral spread (~$540m) shrinks in dollars and from ~7.7% to ~5.4% of revenue; operating margin creeps up on the ~$1.7bn expense guide. The Duffy-&gt;Fitzpatrick handover (Mar-2027) is internal and uneventful.</t>
  </si>
  <si>
    <t xml:space="preserve">Scenario narrative: bull</t>
  </si>
  <si>
    <t xml:space="preserve">Rates stay high and volatile and fiscal/term-premium uncertainty keeps rate futures and Treasury hedging at record volumes; cleared-collateral balances keep growing so the collateral spread holds its dollars; crypto 24/7, event contracts and Google Cloud tokenised collateral scale into meaningful lines, and market data keeps compounding double digits. Revenue grows 7-9% early, operating margin approaches 75%.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</si>
  <si>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</si>
  <si>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</si>
  <si>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</si>
  <si>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</si>
  <si>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</si>
  <si>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</si>
  <si>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</si>
  <si>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</si>
  <si>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</si>
  <si>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</si>
  <si>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</si>
  <si>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</si>
  <si>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</si>
  <si>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</si>
  <si>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</si>
  <si>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</si>
  <si>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</si>
  <si>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</si>
  <si>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</si>
  <si>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</si>
  <si>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</si>
  <si>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</si>
  <si>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</si>
  <si>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</si>
  <si>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</si>
  <si>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</si>
  <si>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</si>
  <si>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</si>
  <si>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</si>
  <si>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</si>
  <si>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</si>
  <si>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</si>
  <si>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</si>
  <si>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</si>
  <si>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</si>
  <si>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</si>
  <si>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</si>
  <si>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</si>
  <si>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</si>
  <si>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</si>
  <si>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</si>
  <si>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</si>
  <si>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</si>
  <si>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</si>
  <si>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</si>
  <si>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</si>
  <si>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</si>
  <si>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</si>
  <si>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</si>
  <si>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</si>
  <si>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</si>
  <si>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</si>
  <si>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</si>
  <si>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</si>
  <si>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</si>
  <si>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</si>
  <si>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</si>
  <si>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</si>
  <si>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</si>
  <si>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</si>
  <si>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</si>
  <si>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</si>
  <si>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</si>
  <si>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</si>
  <si>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</si>
  <si>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</si>
  <si>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</si>
  <si>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</si>
  <si>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</si>
  <si>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</si>
  <si>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</si>
  <si>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</si>
  <si>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</si>
  <si>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</si>
  <si>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</si>
  <si>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</si>
  <si>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</si>
  <si>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</si>
  <si>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</si>
  <si>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</si>
  <si>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</si>
  <si>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</si>
  <si>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</si>
  <si>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</si>
  <si>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CME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</si>
  <si>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</si>
  <si>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</si>
  <si>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</si>
  <si>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</si>
  <si>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</si>
  <si>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</si>
  <si>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</si>
  <si>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</si>
  <si>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</si>
  <si>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</si>
  <si>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</si>
  <si>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</si>
  <si>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</si>
  <si>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</si>
  <si>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</si>
  <si>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</si>
  <si>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</si>
  <si>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</si>
  <si>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</si>
  <si>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</si>
  <si>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</si>
  <si>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</si>
  <si>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</si>
  <si>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</si>
  <si>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</si>
  <si>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</si>
  <si>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</si>
  <si>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</si>
  <si>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</si>
  <si>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</si>
  <si>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CME owner-FCF component DCF: base case (millions, USD)</t>
  </si>
  <si>
    <t xml:space="preserve">CME owner-FCF component DCF: bull case (millions, USD)</t>
  </si>
  <si>
    <t xml:space="preserve">CME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</si>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</sst>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264.48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1519.1</v>
      </c>
      <c r="S2" s="0" t="n">
        <v>969.5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1756.1</v>
      </c>
      <c r="F3" s="0" t="n">
        <v>1051.9</v>
      </c>
      <c r="G3" s="0" t="n">
        <v>59.8997779169751</v>
      </c>
      <c r="H3" s="0" t="n">
        <v>1157.6</v>
      </c>
      <c r="I3" s="0" t="n">
        <v>658.5</v>
      </c>
      <c r="J3" s="0" t="n">
        <v>37.4978645862992</v>
      </c>
      <c r="K3" s="0" t="n">
        <v>15.05</v>
      </c>
      <c r="L3" s="0" t="n">
        <v>814.4</v>
      </c>
      <c r="M3" s="0" t="n">
        <v>163.7</v>
      </c>
      <c r="N3" s="0" t="n">
        <v>650.7</v>
      </c>
      <c r="O3" s="0" t="n">
        <v>12305.6</v>
      </c>
      <c r="S3" s="0" t="n">
        <v>845.3</v>
      </c>
      <c r="T3" s="0" t="n">
        <v>44.107</v>
      </c>
      <c r="U3" s="0" t="n">
        <v>22.9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2561</v>
      </c>
      <c r="F4" s="0" t="n">
        <v>1582.2</v>
      </c>
      <c r="G4" s="0" t="n">
        <v>61.7805544709098</v>
      </c>
      <c r="H4" s="0" t="n">
        <v>1719.5</v>
      </c>
      <c r="I4" s="0" t="n">
        <v>715.5</v>
      </c>
      <c r="J4" s="0" t="n">
        <v>27.9383053494729</v>
      </c>
      <c r="K4" s="0" t="n">
        <v>12.18</v>
      </c>
      <c r="L4" s="0" t="n">
        <v>1197.2</v>
      </c>
      <c r="M4" s="0" t="n">
        <v>200.1</v>
      </c>
      <c r="N4" s="0" t="n">
        <v>997.1</v>
      </c>
      <c r="O4" s="0" t="n">
        <v>18688.6</v>
      </c>
      <c r="P4" s="0" t="n">
        <v>48158.7</v>
      </c>
      <c r="Q4" s="0" t="n">
        <v>29470.1</v>
      </c>
      <c r="S4" s="0" t="n">
        <v>297.9</v>
      </c>
      <c r="T4" s="0" t="n">
        <v>58.967</v>
      </c>
      <c r="U4" s="0" t="n">
        <v>37.6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2612.8</v>
      </c>
      <c r="F5" s="0" t="n">
        <v>1589.1</v>
      </c>
      <c r="G5" s="0" t="n">
        <v>60.8198101653399</v>
      </c>
      <c r="H5" s="0" t="n">
        <v>1715.4</v>
      </c>
      <c r="I5" s="0" t="n">
        <v>825.8</v>
      </c>
      <c r="J5" s="0" t="n">
        <v>31.6059399877526</v>
      </c>
      <c r="K5" s="0" t="n">
        <v>12.44</v>
      </c>
      <c r="L5" s="0" t="n">
        <v>1083.1</v>
      </c>
      <c r="M5" s="0" t="n">
        <v>157.9</v>
      </c>
      <c r="N5" s="0" t="n">
        <v>925.2</v>
      </c>
      <c r="O5" s="0" t="n">
        <v>19301</v>
      </c>
      <c r="P5" s="0" t="n">
        <v>35651</v>
      </c>
      <c r="Q5" s="0" t="n">
        <v>16350</v>
      </c>
      <c r="S5" s="0" t="n">
        <v>260.6</v>
      </c>
      <c r="T5" s="0" t="n">
        <v>66.548</v>
      </c>
      <c r="U5" s="0" t="n">
        <v>33.4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3003.7</v>
      </c>
      <c r="F6" s="0" t="n">
        <v>1831.1</v>
      </c>
      <c r="G6" s="0" t="n">
        <v>60.961480840297</v>
      </c>
      <c r="H6" s="0" t="n">
        <v>1961</v>
      </c>
      <c r="I6" s="0" t="n">
        <v>952.1</v>
      </c>
      <c r="J6" s="0" t="n">
        <v>31.6975729933083</v>
      </c>
      <c r="K6" s="0" t="n">
        <v>2.87</v>
      </c>
      <c r="L6" s="0" t="n">
        <v>1359.6</v>
      </c>
      <c r="M6" s="0" t="n">
        <v>160</v>
      </c>
      <c r="N6" s="0" t="n">
        <v>1199.6</v>
      </c>
      <c r="O6" s="0" t="n">
        <v>20060.1</v>
      </c>
      <c r="P6" s="0" t="n">
        <v>35046.1</v>
      </c>
      <c r="Q6" s="0" t="n">
        <v>14917.9</v>
      </c>
      <c r="S6" s="0" t="n">
        <v>855.2</v>
      </c>
      <c r="T6" s="0" t="n">
        <v>332.475</v>
      </c>
      <c r="U6" s="0" t="n">
        <v>40.9</v>
      </c>
      <c r="V6" s="0" t="n">
        <v>0.92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3280.6</v>
      </c>
      <c r="F7" s="0" t="n">
        <v>2021.1</v>
      </c>
      <c r="G7" s="0" t="n">
        <v>61.6076327501067</v>
      </c>
      <c r="H7" s="0" t="n">
        <v>2149.6</v>
      </c>
      <c r="I7" s="0" t="n">
        <v>1814.4</v>
      </c>
      <c r="J7" s="0" t="n">
        <v>55.306956044626</v>
      </c>
      <c r="K7" s="0" t="n">
        <v>5.45</v>
      </c>
      <c r="L7" s="0" t="n">
        <v>1346.3</v>
      </c>
      <c r="M7" s="0" t="n">
        <v>172.2</v>
      </c>
      <c r="N7" s="0" t="n">
        <v>1174.1</v>
      </c>
      <c r="O7" s="0" t="n">
        <v>21552</v>
      </c>
      <c r="P7" s="0" t="n">
        <v>40758.7</v>
      </c>
      <c r="Q7" s="0" t="n">
        <v>19136.4</v>
      </c>
      <c r="S7" s="0" t="n">
        <v>1042.3</v>
      </c>
      <c r="T7" s="0" t="n">
        <v>333.811</v>
      </c>
      <c r="U7" s="0" t="n">
        <v>51.3</v>
      </c>
      <c r="V7" s="0" t="n">
        <v>1.12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2914.6</v>
      </c>
      <c r="F8" s="0" t="n">
        <v>1692</v>
      </c>
      <c r="G8" s="0" t="n">
        <v>58.0525629588966</v>
      </c>
      <c r="H8" s="0" t="n">
        <v>1828.9</v>
      </c>
      <c r="I8" s="0" t="n">
        <v>906.7</v>
      </c>
      <c r="J8" s="0" t="n">
        <v>31.108900020586</v>
      </c>
      <c r="K8" s="0" t="n">
        <v>2.71</v>
      </c>
      <c r="L8" s="0" t="n">
        <v>1219.7</v>
      </c>
      <c r="M8" s="0" t="n">
        <v>141.8</v>
      </c>
      <c r="N8" s="0" t="n">
        <v>1077.9</v>
      </c>
      <c r="O8" s="0" t="n">
        <v>21424.9</v>
      </c>
      <c r="P8" s="0" t="n">
        <v>38863.2</v>
      </c>
      <c r="Q8" s="0" t="n">
        <v>17357.5</v>
      </c>
      <c r="S8" s="0" t="n">
        <v>1604.7</v>
      </c>
      <c r="T8" s="0" t="n">
        <v>332.319</v>
      </c>
      <c r="U8" s="0" t="n">
        <v>61.4</v>
      </c>
      <c r="V8" s="0" t="n">
        <v>3.7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2936.3</v>
      </c>
      <c r="F9" s="0" t="n">
        <v>1637</v>
      </c>
      <c r="G9" s="0" t="n">
        <v>55.7504342199367</v>
      </c>
      <c r="H9" s="0" t="n">
        <v>1772.1</v>
      </c>
      <c r="I9" s="0" t="n">
        <v>978.1</v>
      </c>
      <c r="J9" s="0" t="n">
        <v>33.31062902292</v>
      </c>
      <c r="K9" s="0" t="n">
        <v>2.94</v>
      </c>
      <c r="L9" s="0" t="n">
        <v>1280.5</v>
      </c>
      <c r="M9" s="0" t="n">
        <v>125.6</v>
      </c>
      <c r="N9" s="0" t="n">
        <v>1154.9</v>
      </c>
      <c r="O9" s="0" t="n">
        <v>21160.5</v>
      </c>
      <c r="P9" s="0" t="n">
        <v>54277.8</v>
      </c>
      <c r="Q9" s="0" t="n">
        <v>33117.3</v>
      </c>
      <c r="S9" s="0" t="n">
        <v>2469.7</v>
      </c>
      <c r="T9" s="0" t="n">
        <v>334.398</v>
      </c>
      <c r="U9" s="0" t="n">
        <v>54.4</v>
      </c>
      <c r="V9" s="0" t="n">
        <v>4.4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3112.5</v>
      </c>
      <c r="F10" s="0" t="n">
        <v>1768.4</v>
      </c>
      <c r="G10" s="0" t="n">
        <v>56.8160642570281</v>
      </c>
      <c r="H10" s="0" t="n">
        <v>1901</v>
      </c>
      <c r="I10" s="0" t="n">
        <v>1127.1</v>
      </c>
      <c r="J10" s="0" t="n">
        <v>36.2120481927711</v>
      </c>
      <c r="K10" s="0" t="n">
        <v>3.37</v>
      </c>
      <c r="L10" s="0" t="n">
        <v>1291.4</v>
      </c>
      <c r="M10" s="0" t="n">
        <v>140.7</v>
      </c>
      <c r="N10" s="0" t="n">
        <v>1150.7</v>
      </c>
      <c r="O10" s="0" t="n">
        <v>20923.5</v>
      </c>
      <c r="P10" s="0" t="n">
        <v>72241.5</v>
      </c>
      <c r="Q10" s="0" t="n">
        <v>51318</v>
      </c>
      <c r="S10" s="0" t="n">
        <v>1366.1</v>
      </c>
      <c r="T10" s="0" t="n">
        <v>336.063</v>
      </c>
      <c r="U10" s="0" t="n">
        <v>55</v>
      </c>
      <c r="V10" s="0" t="n">
        <v>4.4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3326.8</v>
      </c>
      <c r="F11" s="0" t="n">
        <v>1988.7</v>
      </c>
      <c r="G11" s="0" t="n">
        <v>59.7781652037995</v>
      </c>
      <c r="H11" s="0" t="n">
        <v>2117.9</v>
      </c>
      <c r="I11" s="0" t="n">
        <v>1247</v>
      </c>
      <c r="J11" s="0" t="n">
        <v>37.4834675964891</v>
      </c>
      <c r="K11" s="0" t="n">
        <v>3.71</v>
      </c>
      <c r="L11" s="0" t="n">
        <v>1532.5</v>
      </c>
      <c r="M11" s="0" t="n">
        <v>114.2</v>
      </c>
      <c r="N11" s="0" t="n">
        <v>1418.3</v>
      </c>
      <c r="O11" s="0" t="n">
        <v>20551.8</v>
      </c>
      <c r="P11" s="0" t="n">
        <v>67359.4</v>
      </c>
      <c r="Q11" s="0" t="n">
        <v>46807.6</v>
      </c>
      <c r="S11" s="0" t="n">
        <v>1692.6</v>
      </c>
      <c r="T11" s="0" t="n">
        <v>337.894</v>
      </c>
      <c r="U11" s="0" t="n">
        <v>61</v>
      </c>
      <c r="V11" s="0" t="n">
        <v>4.9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3595.2</v>
      </c>
      <c r="F12" s="0" t="n">
        <v>2200.5</v>
      </c>
      <c r="G12" s="0" t="n">
        <v>61.206608811749</v>
      </c>
      <c r="H12" s="0" t="n">
        <v>2329.7</v>
      </c>
      <c r="I12" s="0" t="n">
        <v>1534.1</v>
      </c>
      <c r="J12" s="0" t="n">
        <v>42.6707832665777</v>
      </c>
      <c r="K12" s="0" t="n">
        <v>4.55</v>
      </c>
      <c r="L12" s="0" t="n">
        <v>1732</v>
      </c>
      <c r="M12" s="0" t="n">
        <v>91.8</v>
      </c>
      <c r="N12" s="0" t="n">
        <v>1640.2</v>
      </c>
      <c r="O12" s="0" t="n">
        <v>20340.7</v>
      </c>
      <c r="P12" s="0" t="n">
        <v>69369.4</v>
      </c>
      <c r="Q12" s="0" t="n">
        <v>49028.7</v>
      </c>
      <c r="S12" s="0" t="n">
        <v>1868.6</v>
      </c>
      <c r="T12" s="0" t="n">
        <v>338.966</v>
      </c>
      <c r="U12" s="0" t="n">
        <v>66.4</v>
      </c>
      <c r="V12" s="0" t="n">
        <v>5.65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3644.7</v>
      </c>
      <c r="F13" s="0" t="n">
        <v>2310.6</v>
      </c>
      <c r="G13" s="0" t="n">
        <v>63.3961642933575</v>
      </c>
      <c r="H13" s="0" t="n">
        <v>2423.6</v>
      </c>
      <c r="I13" s="0" t="n">
        <v>4063.4</v>
      </c>
      <c r="J13" s="0" t="n">
        <v>111.487913957253</v>
      </c>
      <c r="K13" s="0" t="n">
        <v>12</v>
      </c>
      <c r="L13" s="0" t="n">
        <v>1751.1</v>
      </c>
      <c r="M13" s="0" t="n">
        <v>81.9</v>
      </c>
      <c r="N13" s="0" t="n">
        <v>1669.2</v>
      </c>
      <c r="O13" s="0" t="n">
        <v>22411.8</v>
      </c>
      <c r="P13" s="0" t="n">
        <v>75791.2</v>
      </c>
      <c r="Q13" s="0" t="n">
        <v>53379.4</v>
      </c>
      <c r="S13" s="0" t="n">
        <v>1903.6</v>
      </c>
      <c r="T13" s="0" t="n">
        <v>340.226</v>
      </c>
      <c r="U13" s="0" t="n">
        <v>58.3</v>
      </c>
      <c r="V13" s="0" t="n">
        <v>6.14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4309.4</v>
      </c>
      <c r="F14" s="0" t="n">
        <v>2607.6</v>
      </c>
      <c r="G14" s="0" t="n">
        <v>60.5095837007472</v>
      </c>
      <c r="H14" s="0" t="n">
        <v>2726.3</v>
      </c>
      <c r="I14" s="0" t="n">
        <v>1963.7</v>
      </c>
      <c r="J14" s="0" t="n">
        <v>45.5678284680002</v>
      </c>
      <c r="K14" s="0" t="n">
        <v>5.73</v>
      </c>
      <c r="L14" s="0" t="n">
        <v>2440.8</v>
      </c>
      <c r="M14" s="0" t="n">
        <v>116.7</v>
      </c>
      <c r="N14" s="0" t="n">
        <v>2324.1</v>
      </c>
      <c r="O14" s="0" t="n">
        <v>25965.3</v>
      </c>
      <c r="P14" s="0" t="n">
        <v>77475.7</v>
      </c>
      <c r="Q14" s="0" t="n">
        <v>51510.4</v>
      </c>
      <c r="S14" s="0" t="n">
        <v>1374.5</v>
      </c>
      <c r="T14" s="0" t="n">
        <v>343.737</v>
      </c>
      <c r="U14" s="0" t="n">
        <v>96.8</v>
      </c>
      <c r="V14" s="0" t="n">
        <v>4.55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4868</v>
      </c>
      <c r="F15" s="0" t="n">
        <v>2587.8</v>
      </c>
      <c r="G15" s="0" t="n">
        <v>53.1594083812654</v>
      </c>
      <c r="H15" s="0" t="n">
        <v>2746.4</v>
      </c>
      <c r="I15" s="0" t="n">
        <v>2116.5</v>
      </c>
      <c r="J15" s="0" t="n">
        <v>43.4778142974528</v>
      </c>
      <c r="K15" s="0" t="n">
        <v>5.93</v>
      </c>
      <c r="L15" s="0" t="n">
        <v>2672.8</v>
      </c>
      <c r="M15" s="0" t="n">
        <v>245.6</v>
      </c>
      <c r="N15" s="0" t="n">
        <v>2427.2</v>
      </c>
      <c r="O15" s="0" t="n">
        <v>26159.3</v>
      </c>
      <c r="P15" s="0" t="n">
        <v>75215.3</v>
      </c>
      <c r="Q15" s="0" t="n">
        <v>49056</v>
      </c>
      <c r="S15" s="0" t="n">
        <v>1551.4</v>
      </c>
      <c r="T15" s="0" t="n">
        <v>358.239</v>
      </c>
      <c r="U15" s="0" t="n">
        <v>85.8</v>
      </c>
      <c r="V15" s="0" t="n">
        <v>5.5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4883.6</v>
      </c>
      <c r="F16" s="0" t="n">
        <v>2637.4</v>
      </c>
      <c r="G16" s="0" t="n">
        <v>54.0052420345647</v>
      </c>
      <c r="H16" s="0" t="n">
        <v>2790.6</v>
      </c>
      <c r="I16" s="0" t="n">
        <v>2106.4</v>
      </c>
      <c r="J16" s="0" t="n">
        <v>43.1321156523876</v>
      </c>
      <c r="K16" s="0" t="n">
        <v>5.88</v>
      </c>
      <c r="L16" s="0" t="n">
        <v>2715.6</v>
      </c>
      <c r="M16" s="0" t="n">
        <v>197.5</v>
      </c>
      <c r="N16" s="0" t="n">
        <v>2518.1</v>
      </c>
      <c r="O16" s="0" t="n">
        <v>26351.5</v>
      </c>
      <c r="P16" s="0" t="n">
        <v>124659.6</v>
      </c>
      <c r="Q16" s="0" t="n">
        <v>98308.1</v>
      </c>
      <c r="S16" s="0" t="n">
        <v>1633.2</v>
      </c>
      <c r="T16" s="0" t="n">
        <v>358.524</v>
      </c>
      <c r="U16" s="0" t="n">
        <v>96.9</v>
      </c>
      <c r="V16" s="0" t="n">
        <v>5.9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4689.7</v>
      </c>
      <c r="F17" s="0" t="n">
        <v>2645.2</v>
      </c>
      <c r="G17" s="0" t="n">
        <v>56.4044608397126</v>
      </c>
      <c r="H17" s="0" t="n">
        <v>2793</v>
      </c>
      <c r="I17" s="0" t="n">
        <v>2636.9</v>
      </c>
      <c r="J17" s="0" t="n">
        <v>56.2274772373499</v>
      </c>
      <c r="K17" s="0" t="n">
        <v>7.3</v>
      </c>
      <c r="L17" s="0" t="n">
        <v>2402.4</v>
      </c>
      <c r="M17" s="0" t="n">
        <v>127.2</v>
      </c>
      <c r="N17" s="0" t="n">
        <v>2275.2</v>
      </c>
      <c r="O17" s="0" t="n">
        <v>27399.3</v>
      </c>
      <c r="P17" s="0" t="n">
        <v>196780.3</v>
      </c>
      <c r="Q17" s="0" t="n">
        <v>169381</v>
      </c>
      <c r="S17" s="0" t="n">
        <v>2834.9</v>
      </c>
      <c r="T17" s="0" t="n">
        <v>358.929</v>
      </c>
      <c r="U17" s="0" t="n">
        <v>76.4</v>
      </c>
      <c r="V17" s="0" t="n">
        <v>5.9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5019.4</v>
      </c>
      <c r="F18" s="0" t="n">
        <v>3015.9</v>
      </c>
      <c r="G18" s="0" t="n">
        <v>60.0848707016775</v>
      </c>
      <c r="H18" s="0" t="n">
        <v>3150.8</v>
      </c>
      <c r="I18" s="0" t="n">
        <v>2691</v>
      </c>
      <c r="J18" s="0" t="n">
        <v>53.6119854962745</v>
      </c>
      <c r="K18" s="0" t="n">
        <v>7.41</v>
      </c>
      <c r="L18" s="0" t="n">
        <v>3056</v>
      </c>
      <c r="M18" s="0" t="n">
        <v>89.7</v>
      </c>
      <c r="N18" s="0" t="n">
        <v>2966.3</v>
      </c>
      <c r="O18" s="0" t="n">
        <v>26878.7</v>
      </c>
      <c r="P18" s="0" t="n">
        <v>174175.7</v>
      </c>
      <c r="Q18" s="0" t="n">
        <v>147297</v>
      </c>
      <c r="S18" s="0" t="n">
        <v>2720.1</v>
      </c>
      <c r="T18" s="0" t="n">
        <v>359.181</v>
      </c>
      <c r="U18" s="0" t="n">
        <v>84.8</v>
      </c>
      <c r="V18" s="0" t="n">
        <v>8.5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5578.9</v>
      </c>
      <c r="F19" s="0" t="n">
        <v>3435.7</v>
      </c>
      <c r="G19" s="0" t="n">
        <v>61.5838247683235</v>
      </c>
      <c r="H19" s="0" t="n">
        <v>3561.7</v>
      </c>
      <c r="I19" s="0" t="n">
        <v>3226.2</v>
      </c>
      <c r="J19" s="0" t="n">
        <v>57.82860420513</v>
      </c>
      <c r="K19" s="0" t="n">
        <v>8.87</v>
      </c>
      <c r="L19" s="0" t="n">
        <v>3453.8</v>
      </c>
      <c r="M19" s="0" t="n">
        <v>76.4</v>
      </c>
      <c r="N19" s="0" t="n">
        <v>3377.4</v>
      </c>
      <c r="O19" s="0" t="n">
        <v>26737.9</v>
      </c>
      <c r="P19" s="0" t="n">
        <v>129706.1</v>
      </c>
      <c r="Q19" s="0" t="n">
        <v>102968.2</v>
      </c>
      <c r="S19" s="0" t="n">
        <v>2912</v>
      </c>
      <c r="T19" s="0" t="n">
        <v>359.5</v>
      </c>
      <c r="U19" s="0" t="n">
        <v>83.7</v>
      </c>
      <c r="V19" s="0" t="n">
        <v>9.65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6130.1</v>
      </c>
      <c r="F20" s="0" t="n">
        <v>3931.5</v>
      </c>
      <c r="G20" s="0" t="n">
        <v>64.1343534363224</v>
      </c>
      <c r="H20" s="0" t="n">
        <v>4046.6</v>
      </c>
      <c r="I20" s="0" t="n">
        <v>3525.8</v>
      </c>
      <c r="J20" s="0" t="n">
        <v>57.5161906004796</v>
      </c>
      <c r="K20" s="0" t="n">
        <v>9.69</v>
      </c>
      <c r="L20" s="0" t="n">
        <v>3690.5</v>
      </c>
      <c r="M20" s="0" t="n">
        <v>94</v>
      </c>
      <c r="N20" s="0" t="n">
        <v>3596.5</v>
      </c>
      <c r="O20" s="0" t="n">
        <v>26486.9</v>
      </c>
      <c r="P20" s="0" t="n">
        <v>137447</v>
      </c>
      <c r="Q20" s="0" t="n">
        <v>110960.1</v>
      </c>
      <c r="S20" s="0" t="n">
        <v>2892.4</v>
      </c>
      <c r="T20" s="0" t="n">
        <v>359.944</v>
      </c>
      <c r="U20" s="0" t="n">
        <v>90.4</v>
      </c>
      <c r="V20" s="0" t="n">
        <v>10.4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6520.6</v>
      </c>
      <c r="F21" s="0" t="n">
        <v>4229.5</v>
      </c>
      <c r="G21" s="0" t="n">
        <v>64.8636628531117</v>
      </c>
      <c r="H21" s="0" t="n">
        <v>4337</v>
      </c>
      <c r="I21" s="0" t="n">
        <v>4072.2</v>
      </c>
      <c r="J21" s="0" t="n">
        <v>62.4513081618256</v>
      </c>
      <c r="K21" s="0" t="n">
        <v>11.18</v>
      </c>
      <c r="L21" s="0" t="n">
        <v>4277.1</v>
      </c>
      <c r="M21" s="0" t="n">
        <v>83.5</v>
      </c>
      <c r="N21" s="0" t="n">
        <v>4193.6</v>
      </c>
      <c r="O21" s="0" t="n">
        <v>28728.2</v>
      </c>
      <c r="P21" s="0" t="n">
        <v>198424.2</v>
      </c>
      <c r="Q21" s="0" t="n">
        <v>169696</v>
      </c>
      <c r="S21" s="0" t="n">
        <v>4416.9</v>
      </c>
      <c r="T21" s="0" t="n">
        <v>360.31</v>
      </c>
      <c r="U21" s="0" t="n">
        <v>95.6</v>
      </c>
      <c r="V21" s="0" t="n">
        <v>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264.48</v>
      </c>
    </row>
    <row r="3" customFormat="false" ht="15" hidden="false" customHeight="false" outlineLevel="0" collapsed="false">
      <c r="A3" s="0" t="s">
        <v>86</v>
      </c>
      <c r="B3" s="3" t="n">
        <v>361.3</v>
      </c>
    </row>
    <row r="4" customFormat="false" ht="15" hidden="false" customHeight="false" outlineLevel="0" collapsed="false">
      <c r="A4" s="0" t="s">
        <v>87</v>
      </c>
      <c r="B4" s="3" t="n">
        <v>1280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6520.6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6</v>
      </c>
      <c r="D13" s="3" t="n">
        <v>2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85</v>
      </c>
      <c r="D14" s="3" t="n">
        <v>83</v>
      </c>
      <c r="E14" s="3" t="n">
        <v>82</v>
      </c>
      <c r="F14" s="3" t="n">
        <v>81.5</v>
      </c>
      <c r="G14" s="3" t="n">
        <v>81</v>
      </c>
      <c r="H14" s="3" t="n">
        <v>80.8</v>
      </c>
      <c r="I14" s="3" t="n">
        <v>80.6</v>
      </c>
      <c r="J14" s="3" t="n">
        <v>80.5</v>
      </c>
      <c r="K14" s="3" t="n">
        <v>80.5</v>
      </c>
      <c r="L14" s="3" t="n">
        <v>80.5</v>
      </c>
    </row>
    <row r="15" customFormat="false" ht="15" hidden="false" customHeight="false" outlineLevel="0" collapsed="false">
      <c r="A15" s="0" t="s">
        <v>108</v>
      </c>
      <c r="C15" s="3" t="n">
        <v>1.9</v>
      </c>
      <c r="D15" s="3" t="n">
        <v>2</v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1.5</v>
      </c>
      <c r="D17" s="3" t="n">
        <v>1.5</v>
      </c>
      <c r="E17" s="3" t="n">
        <v>1.5</v>
      </c>
      <c r="F17" s="3" t="n">
        <v>1.5</v>
      </c>
      <c r="G17" s="3" t="n">
        <v>1.5</v>
      </c>
      <c r="H17" s="3" t="n">
        <v>1.5</v>
      </c>
      <c r="I17" s="3" t="n">
        <v>1.5</v>
      </c>
      <c r="J17" s="3" t="n">
        <v>1.5</v>
      </c>
      <c r="K17" s="3" t="n">
        <v>1.5</v>
      </c>
      <c r="L17" s="3" t="n">
        <v>1.5</v>
      </c>
    </row>
    <row r="18" customFormat="false" ht="15" hidden="false" customHeight="false" outlineLevel="0" collapsed="false">
      <c r="A18" s="0" t="s">
        <v>111</v>
      </c>
      <c r="C18" s="3" t="n">
        <v>1.3</v>
      </c>
      <c r="D18" s="3" t="n">
        <v>1.4</v>
      </c>
      <c r="E18" s="3" t="n">
        <v>1.5</v>
      </c>
      <c r="F18" s="3" t="n">
        <v>1.5</v>
      </c>
      <c r="G18" s="3" t="n">
        <v>1.5</v>
      </c>
      <c r="H18" s="3" t="n">
        <v>1.5</v>
      </c>
      <c r="I18" s="3" t="n">
        <v>1.5</v>
      </c>
      <c r="J18" s="3" t="n">
        <v>1.5</v>
      </c>
      <c r="K18" s="3" t="n">
        <v>1.5</v>
      </c>
      <c r="L18" s="3" t="n">
        <v>1.5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24.5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16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7.5</v>
      </c>
      <c r="D27" s="3" t="n">
        <v>6</v>
      </c>
      <c r="E27" s="3" t="n">
        <v>5.5</v>
      </c>
      <c r="F27" s="3" t="n">
        <v>5</v>
      </c>
      <c r="G27" s="3" t="n">
        <v>5</v>
      </c>
      <c r="H27" s="3" t="n">
        <v>4.5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85.7</v>
      </c>
      <c r="D28" s="3" t="n">
        <v>85</v>
      </c>
      <c r="E28" s="3" t="n">
        <v>84.8</v>
      </c>
      <c r="F28" s="3" t="n">
        <v>84.7</v>
      </c>
      <c r="G28" s="3" t="n">
        <v>84.6</v>
      </c>
      <c r="H28" s="3" t="n">
        <v>84.6</v>
      </c>
      <c r="I28" s="3" t="n">
        <v>84.6</v>
      </c>
      <c r="J28" s="3" t="n">
        <v>84.6</v>
      </c>
      <c r="K28" s="3" t="n">
        <v>84.6</v>
      </c>
      <c r="L28" s="3" t="n">
        <v>84.6</v>
      </c>
    </row>
    <row r="29" customFormat="false" ht="15" hidden="false" customHeight="false" outlineLevel="0" collapsed="false">
      <c r="A29" s="0" t="s">
        <v>108</v>
      </c>
      <c r="C29" s="3" t="n">
        <v>1.9</v>
      </c>
      <c r="D29" s="3" t="n">
        <v>1.9</v>
      </c>
      <c r="E29" s="3" t="n">
        <v>1.9</v>
      </c>
      <c r="F29" s="3" t="n">
        <v>1.85</v>
      </c>
      <c r="G29" s="3" t="n">
        <v>1.85</v>
      </c>
      <c r="H29" s="3" t="n">
        <v>1.8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1.5</v>
      </c>
      <c r="D31" s="3" t="n">
        <v>1.45</v>
      </c>
      <c r="E31" s="3" t="n">
        <v>1.4</v>
      </c>
      <c r="F31" s="3" t="n">
        <v>1.35</v>
      </c>
      <c r="G31" s="3" t="n">
        <v>1.3</v>
      </c>
      <c r="H31" s="3" t="n">
        <v>1.3</v>
      </c>
      <c r="I31" s="3" t="n">
        <v>1.3</v>
      </c>
      <c r="J31" s="3" t="n">
        <v>1.3</v>
      </c>
      <c r="K31" s="3" t="n">
        <v>1.3</v>
      </c>
      <c r="L31" s="3" t="n">
        <v>1.3</v>
      </c>
    </row>
    <row r="32" customFormat="false" ht="15" hidden="false" customHeight="false" outlineLevel="0" collapsed="false">
      <c r="A32" s="0" t="s">
        <v>111</v>
      </c>
      <c r="C32" s="3" t="n">
        <v>1.2</v>
      </c>
      <c r="D32" s="3" t="n">
        <v>1.25</v>
      </c>
      <c r="E32" s="3" t="n">
        <v>1.3</v>
      </c>
      <c r="F32" s="3" t="n">
        <v>1.3</v>
      </c>
      <c r="G32" s="3" t="n">
        <v>1.3</v>
      </c>
      <c r="H32" s="3" t="n">
        <v>1.3</v>
      </c>
      <c r="I32" s="3" t="n">
        <v>1.3</v>
      </c>
      <c r="J32" s="3" t="n">
        <v>1.3</v>
      </c>
      <c r="K32" s="3" t="n">
        <v>1.3</v>
      </c>
      <c r="L32" s="3" t="n">
        <v>1.3</v>
      </c>
    </row>
    <row r="33" customFormat="false" ht="15" hidden="false" customHeight="false" outlineLevel="0" collapsed="false">
      <c r="A33" s="0" t="s">
        <v>112</v>
      </c>
      <c r="C33" s="3" t="n">
        <v>23.5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8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86</v>
      </c>
      <c r="D42" s="3" t="n">
        <v>85.8</v>
      </c>
      <c r="E42" s="3" t="n">
        <v>85.8</v>
      </c>
      <c r="F42" s="3" t="n">
        <v>85.8</v>
      </c>
      <c r="G42" s="3" t="n">
        <v>85.9</v>
      </c>
      <c r="H42" s="3" t="n">
        <v>86</v>
      </c>
      <c r="I42" s="3" t="n">
        <v>86</v>
      </c>
      <c r="J42" s="3" t="n">
        <v>86</v>
      </c>
      <c r="K42" s="3" t="n">
        <v>86</v>
      </c>
      <c r="L42" s="3" t="n">
        <v>86</v>
      </c>
    </row>
    <row r="43" customFormat="false" ht="15" hidden="false" customHeight="false" outlineLevel="0" collapsed="false">
      <c r="A43" s="0" t="s">
        <v>108</v>
      </c>
      <c r="C43" s="3" t="n">
        <v>1.9</v>
      </c>
      <c r="D43" s="3" t="n">
        <v>1.9</v>
      </c>
      <c r="E43" s="3" t="n">
        <v>1.85</v>
      </c>
      <c r="F43" s="3" t="n">
        <v>1.85</v>
      </c>
      <c r="G43" s="3" t="n">
        <v>1.8</v>
      </c>
      <c r="H43" s="3" t="n">
        <v>1.8</v>
      </c>
      <c r="I43" s="3" t="n">
        <v>1.75</v>
      </c>
      <c r="J43" s="3" t="n">
        <v>1.75</v>
      </c>
      <c r="K43" s="3" t="n">
        <v>1.75</v>
      </c>
      <c r="L43" s="3" t="n">
        <v>1.75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1.5</v>
      </c>
      <c r="D45" s="3" t="n">
        <v>1.45</v>
      </c>
      <c r="E45" s="3" t="n">
        <v>1.4</v>
      </c>
      <c r="F45" s="3" t="n">
        <v>1.35</v>
      </c>
      <c r="G45" s="3" t="n">
        <v>1.3</v>
      </c>
      <c r="H45" s="3" t="n">
        <v>1.3</v>
      </c>
      <c r="I45" s="3" t="n">
        <v>1.3</v>
      </c>
      <c r="J45" s="3" t="n">
        <v>1.3</v>
      </c>
      <c r="K45" s="3" t="n">
        <v>1.3</v>
      </c>
      <c r="L45" s="3" t="n">
        <v>1.3</v>
      </c>
    </row>
    <row r="46" customFormat="false" ht="15" hidden="false" customHeight="false" outlineLevel="0" collapsed="false">
      <c r="A46" s="0" t="s">
        <v>111</v>
      </c>
      <c r="C46" s="3" t="n">
        <v>1.2</v>
      </c>
      <c r="D46" s="3" t="n">
        <v>1.25</v>
      </c>
      <c r="E46" s="3" t="n">
        <v>1.3</v>
      </c>
      <c r="F46" s="3" t="n">
        <v>1.3</v>
      </c>
      <c r="G46" s="3" t="n">
        <v>1.3</v>
      </c>
      <c r="H46" s="3" t="n">
        <v>1.3</v>
      </c>
      <c r="I46" s="3" t="n">
        <v>1.3</v>
      </c>
      <c r="J46" s="3" t="n">
        <v>1.3</v>
      </c>
      <c r="K46" s="3" t="n">
        <v>1.3</v>
      </c>
      <c r="L46" s="3" t="n">
        <v>1.3</v>
      </c>
    </row>
    <row r="47" customFormat="false" ht="15" hidden="false" customHeight="false" outlineLevel="0" collapsed="false">
      <c r="A47" s="0" t="s">
        <v>112</v>
      </c>
      <c r="C47" s="3" t="n">
        <v>23.5</v>
      </c>
      <c r="D47" s="3" t="n">
        <v>23.5</v>
      </c>
      <c r="E47" s="3" t="n">
        <v>23.5</v>
      </c>
      <c r="F47" s="3" t="n">
        <v>23.5</v>
      </c>
      <c r="G47" s="3" t="n">
        <v>23.5</v>
      </c>
      <c r="H47" s="3" t="n">
        <v>23.5</v>
      </c>
      <c r="I47" s="3" t="n">
        <v>23.5</v>
      </c>
      <c r="J47" s="3" t="n">
        <v>23.5</v>
      </c>
      <c r="K47" s="3" t="n">
        <v>23.5</v>
      </c>
      <c r="L47" s="3" t="n">
        <v>23.5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6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6520.6</v>
      </c>
      <c r="C6" s="0" t="n">
        <f aca="false">B6*(1+C5/100)</f>
        <v>6911.836</v>
      </c>
      <c r="D6" s="0" t="n">
        <f aca="false">C6*(1+D5/100)</f>
        <v>7050.07272</v>
      </c>
      <c r="E6" s="0" t="n">
        <f aca="false">D6*(1+E5/100)</f>
        <v>7226.324538</v>
      </c>
      <c r="F6" s="0" t="n">
        <f aca="false">E6*(1+F5/100)</f>
        <v>7443.11427414</v>
      </c>
      <c r="G6" s="0" t="n">
        <f aca="false">F6*(1+G5/100)</f>
        <v>7666.4077023642</v>
      </c>
      <c r="H6" s="0" t="n">
        <f aca="false">G6*(1+H5/100)</f>
        <v>7896.39993343513</v>
      </c>
      <c r="I6" s="0" t="n">
        <f aca="false">H6*(1+I5/100)</f>
        <v>8133.29193143818</v>
      </c>
      <c r="J6" s="0" t="n">
        <f aca="false">I6*(1+J5/100)</f>
        <v>8336.62422972414</v>
      </c>
      <c r="K6" s="0" t="n">
        <f aca="false">J6*(1+K5/100)</f>
        <v>8545.03983546724</v>
      </c>
      <c r="L6" s="0" t="n">
        <f aca="false">K6*(1+L5/100)</f>
        <v>8758.66583135392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85</v>
      </c>
      <c r="D7" s="4" t="n">
        <f aca="false">Assumptions!D14</f>
        <v>83</v>
      </c>
      <c r="E7" s="4" t="n">
        <f aca="false">Assumptions!E14</f>
        <v>82</v>
      </c>
      <c r="F7" s="4" t="n">
        <f aca="false">Assumptions!F14</f>
        <v>81.5</v>
      </c>
      <c r="G7" s="4" t="n">
        <f aca="false">Assumptions!G14</f>
        <v>81</v>
      </c>
      <c r="H7" s="4" t="n">
        <f aca="false">Assumptions!H14</f>
        <v>80.8</v>
      </c>
      <c r="I7" s="4" t="n">
        <f aca="false">Assumptions!I14</f>
        <v>80.6</v>
      </c>
      <c r="J7" s="4" t="n">
        <f aca="false">Assumptions!J14</f>
        <v>80.5</v>
      </c>
      <c r="K7" s="4" t="n">
        <f aca="false">Assumptions!K14</f>
        <v>80.5</v>
      </c>
      <c r="L7" s="4" t="n">
        <f aca="false">Assumptions!L14</f>
        <v>80.5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5875.0606</v>
      </c>
      <c r="D8" s="0" t="n">
        <f aca="false">D6*D7/100</f>
        <v>5851.5603576</v>
      </c>
      <c r="E8" s="0" t="n">
        <f aca="false">E6*E7/100</f>
        <v>5925.58612116</v>
      </c>
      <c r="F8" s="0" t="n">
        <f aca="false">F6*F7/100</f>
        <v>6066.1381334241</v>
      </c>
      <c r="G8" s="0" t="n">
        <f aca="false">G6*G7/100</f>
        <v>6209.790238915</v>
      </c>
      <c r="H8" s="0" t="n">
        <f aca="false">H6*H7/100</f>
        <v>6380.29114621558</v>
      </c>
      <c r="I8" s="0" t="n">
        <f aca="false">I6*I7/100</f>
        <v>6555.43329673917</v>
      </c>
      <c r="J8" s="0" t="n">
        <f aca="false">J6*J7/100</f>
        <v>6710.98250492793</v>
      </c>
      <c r="K8" s="0" t="n">
        <f aca="false">K6*K7/100</f>
        <v>6878.75706755113</v>
      </c>
      <c r="L8" s="0" t="n">
        <f aca="false">L6*L7/100</f>
        <v>7050.7259942399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1.9</v>
      </c>
      <c r="D9" s="4" t="n">
        <f aca="false">Assumptions!D15</f>
        <v>2</v>
      </c>
      <c r="E9" s="4" t="n">
        <f aca="false">Assumptions!E15</f>
        <v>2</v>
      </c>
      <c r="F9" s="4" t="n">
        <f aca="false">Assumptions!F15</f>
        <v>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-131.324884</v>
      </c>
      <c r="D10" s="0" t="n">
        <f aca="false">-D6*D9/100</f>
        <v>-141.0014544</v>
      </c>
      <c r="E10" s="0" t="n">
        <f aca="false">-E6*E9/100</f>
        <v>-144.52649076</v>
      </c>
      <c r="F10" s="0" t="n">
        <f aca="false">-F6*F9/100</f>
        <v>-148.8622854828</v>
      </c>
      <c r="G10" s="0" t="n">
        <f aca="false">-G6*G9/100</f>
        <v>-153.328154047284</v>
      </c>
      <c r="H10" s="0" t="n">
        <f aca="false">-H6*H9/100</f>
        <v>-157.927998668703</v>
      </c>
      <c r="I10" s="0" t="n">
        <f aca="false">-I6*I9/100</f>
        <v>-162.665838628764</v>
      </c>
      <c r="J10" s="0" t="n">
        <f aca="false">-J6*J9/100</f>
        <v>-166.732484594483</v>
      </c>
      <c r="K10" s="0" t="n">
        <f aca="false">-K6*K9/100</f>
        <v>-170.900796709345</v>
      </c>
      <c r="L10" s="0" t="n">
        <f aca="false">-L6*L9/100</f>
        <v>-175.173316627078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5743.735716</v>
      </c>
      <c r="D11" s="0" t="n">
        <f aca="false">D8+D10+D24</f>
        <v>5710.5589032</v>
      </c>
      <c r="E11" s="0" t="n">
        <f aca="false">E8+E10+E24</f>
        <v>5781.0596304</v>
      </c>
      <c r="F11" s="0" t="n">
        <f aca="false">F8+F10+F24</f>
        <v>5917.2758479413</v>
      </c>
      <c r="G11" s="0" t="n">
        <f aca="false">G8+G10+G24</f>
        <v>6056.46208486772</v>
      </c>
      <c r="H11" s="0" t="n">
        <f aca="false">H8+H10+H24</f>
        <v>6222.36314754688</v>
      </c>
      <c r="I11" s="0" t="n">
        <f aca="false">I8+I10+I24</f>
        <v>6392.76745811041</v>
      </c>
      <c r="J11" s="0" t="n">
        <f aca="false">J8+J10+J24</f>
        <v>6544.25002033345</v>
      </c>
      <c r="K11" s="0" t="n">
        <f aca="false">K8+K10+K24</f>
        <v>6707.85627084178</v>
      </c>
      <c r="L11" s="0" t="n">
        <f aca="false">L8+L10+L24</f>
        <v>6875.55267761282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-103.67754</v>
      </c>
      <c r="D12" s="4" t="n">
        <f aca="false">-D6*Assumptions!D17/100</f>
        <v>-105.7510908</v>
      </c>
      <c r="E12" s="4" t="n">
        <f aca="false">-E6*Assumptions!E17/100</f>
        <v>-108.39486807</v>
      </c>
      <c r="F12" s="4" t="n">
        <f aca="false">-F6*Assumptions!F17/100</f>
        <v>-111.6467141121</v>
      </c>
      <c r="G12" s="4" t="n">
        <f aca="false">-G6*Assumptions!G17/100</f>
        <v>-114.996115535463</v>
      </c>
      <c r="H12" s="4" t="n">
        <f aca="false">-H6*Assumptions!H17/100</f>
        <v>-118.445999001527</v>
      </c>
      <c r="I12" s="4" t="n">
        <f aca="false">-I6*Assumptions!I17/100</f>
        <v>-121.999378971573</v>
      </c>
      <c r="J12" s="4" t="n">
        <f aca="false">-J6*Assumptions!J17/100</f>
        <v>-125.049363445862</v>
      </c>
      <c r="K12" s="4" t="n">
        <f aca="false">-K6*Assumptions!K17/100</f>
        <v>-128.175597532009</v>
      </c>
      <c r="L12" s="4" t="n">
        <f aca="false">-L6*Assumptions!L17/100</f>
        <v>-131.379987470309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5640.058176</v>
      </c>
      <c r="D13" s="0" t="n">
        <f aca="false">D11+D12</f>
        <v>5604.8078124</v>
      </c>
      <c r="E13" s="0" t="n">
        <f aca="false">E11+E12</f>
        <v>5672.66476233</v>
      </c>
      <c r="F13" s="0" t="n">
        <f aca="false">F11+F12</f>
        <v>5805.6291338292</v>
      </c>
      <c r="G13" s="0" t="n">
        <f aca="false">G11+G12</f>
        <v>5941.46596933226</v>
      </c>
      <c r="H13" s="0" t="n">
        <f aca="false">H11+H12</f>
        <v>6103.91714854535</v>
      </c>
      <c r="I13" s="0" t="n">
        <f aca="false">I11+I12</f>
        <v>6270.76807913884</v>
      </c>
      <c r="J13" s="0" t="n">
        <f aca="false">J11+J12</f>
        <v>6419.20065688758</v>
      </c>
      <c r="K13" s="0" t="n">
        <f aca="false">K11+K12</f>
        <v>6579.68067330977</v>
      </c>
      <c r="L13" s="0" t="n">
        <f aca="false">L11+L12</f>
        <v>6744.17269014252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24.5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4286.44421376</v>
      </c>
      <c r="D15" s="0" t="n">
        <f aca="false">D13-MAX(0,D13)*D14/100</f>
        <v>4231.629898362</v>
      </c>
      <c r="E15" s="0" t="n">
        <f aca="false">E13-MAX(0,E13)*E14/100</f>
        <v>4254.4985717475</v>
      </c>
      <c r="F15" s="0" t="n">
        <f aca="false">F13-MAX(0,F13)*F14/100</f>
        <v>4354.2218503719</v>
      </c>
      <c r="G15" s="0" t="n">
        <f aca="false">G13-MAX(0,G13)*G14/100</f>
        <v>4456.09947699919</v>
      </c>
      <c r="H15" s="0" t="n">
        <f aca="false">H13-MAX(0,H13)*H14/100</f>
        <v>4577.93786140902</v>
      </c>
      <c r="I15" s="0" t="n">
        <f aca="false">I13-MAX(0,I13)*I14/100</f>
        <v>4703.07605935413</v>
      </c>
      <c r="J15" s="0" t="n">
        <f aca="false">J13-MAX(0,J13)*J14/100</f>
        <v>4814.40049266569</v>
      </c>
      <c r="K15" s="0" t="n">
        <f aca="false">K13-MAX(0,K13)*K14/100</f>
        <v>4934.76050498233</v>
      </c>
      <c r="L15" s="0" t="n">
        <f aca="false">L13-MAX(0,L13)*L14/100</f>
        <v>5058.12951760689</v>
      </c>
    </row>
    <row r="16" customFormat="false" ht="15" hidden="false" customHeight="false" outlineLevel="0" collapsed="false">
      <c r="A16" s="0" t="s">
        <v>128</v>
      </c>
      <c r="C16" s="0" t="n">
        <f aca="false">-C12</f>
        <v>103.67754</v>
      </c>
      <c r="D16" s="0" t="n">
        <f aca="false">-D12</f>
        <v>105.7510908</v>
      </c>
      <c r="E16" s="0" t="n">
        <f aca="false">-E12</f>
        <v>108.39486807</v>
      </c>
      <c r="F16" s="0" t="n">
        <f aca="false">-F12</f>
        <v>111.6467141121</v>
      </c>
      <c r="G16" s="0" t="n">
        <f aca="false">-G12</f>
        <v>114.996115535463</v>
      </c>
      <c r="H16" s="0" t="n">
        <f aca="false">-H12</f>
        <v>118.445999001527</v>
      </c>
      <c r="I16" s="0" t="n">
        <f aca="false">-I12</f>
        <v>121.999378971573</v>
      </c>
      <c r="J16" s="0" t="n">
        <f aca="false">-J12</f>
        <v>125.049363445862</v>
      </c>
      <c r="K16" s="0" t="n">
        <f aca="false">-K12</f>
        <v>128.175597532009</v>
      </c>
      <c r="L16" s="0" t="n">
        <f aca="false">-L12</f>
        <v>131.379987470309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-89.853868</v>
      </c>
      <c r="D17" s="4" t="n">
        <f aca="false">-D6*Assumptions!D18/100</f>
        <v>-98.70101808</v>
      </c>
      <c r="E17" s="4" t="n">
        <f aca="false">-E6*Assumptions!E18/100</f>
        <v>-108.39486807</v>
      </c>
      <c r="F17" s="4" t="n">
        <f aca="false">-F6*Assumptions!F18/100</f>
        <v>-111.6467141121</v>
      </c>
      <c r="G17" s="4" t="n">
        <f aca="false">-G6*Assumptions!G18/100</f>
        <v>-114.996115535463</v>
      </c>
      <c r="H17" s="4" t="n">
        <f aca="false">-H6*Assumptions!H18/100</f>
        <v>-118.445999001527</v>
      </c>
      <c r="I17" s="4" t="n">
        <f aca="false">-I6*Assumptions!I18/100</f>
        <v>-121.999378971573</v>
      </c>
      <c r="J17" s="4" t="n">
        <f aca="false">-J6*Assumptions!J18/100</f>
        <v>-125.049363445862</v>
      </c>
      <c r="K17" s="4" t="n">
        <f aca="false">-K6*Assumptions!K18/100</f>
        <v>-128.175597532009</v>
      </c>
      <c r="L17" s="4" t="n">
        <f aca="false">-L6*Assumptions!L18/100</f>
        <v>-131.379987470309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4300.26788576</v>
      </c>
      <c r="D19" s="0" t="n">
        <f aca="false">D15+D16+D17+D18</f>
        <v>4238.679971082</v>
      </c>
      <c r="E19" s="0" t="n">
        <f aca="false">E15+E16+E17+E18</f>
        <v>4254.4985717475</v>
      </c>
      <c r="F19" s="0" t="n">
        <f aca="false">F15+F16+F17+F18</f>
        <v>4354.2218503719</v>
      </c>
      <c r="G19" s="0" t="n">
        <f aca="false">G15+G16+G17+G18</f>
        <v>4456.09947699919</v>
      </c>
      <c r="H19" s="0" t="n">
        <f aca="false">H15+H16+H17+H18</f>
        <v>4577.93786140902</v>
      </c>
      <c r="I19" s="0" t="n">
        <f aca="false">I15+I16+I17+I18</f>
        <v>4703.07605935413</v>
      </c>
      <c r="J19" s="0" t="n">
        <f aca="false">J15+J16+J17+J18</f>
        <v>4814.40049266569</v>
      </c>
      <c r="K19" s="0" t="n">
        <f aca="false">K15+K16+K17+K18</f>
        <v>4934.76050498233</v>
      </c>
      <c r="L19" s="0" t="n">
        <f aca="false">L15+L16+L17+L18</f>
        <v>5058.12951760689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4000.24919605581</v>
      </c>
      <c r="D21" s="0" t="n">
        <f aca="false">D19*D20</f>
        <v>3667.86801175295</v>
      </c>
      <c r="E21" s="0" t="n">
        <f aca="false">E19*E20</f>
        <v>3424.70359329166</v>
      </c>
      <c r="F21" s="0" t="n">
        <f aca="false">F19*F20</f>
        <v>3260.44362832235</v>
      </c>
      <c r="G21" s="0" t="n">
        <f aca="false">G19*G20</f>
        <v>3103.93455731463</v>
      </c>
      <c r="H21" s="0" t="n">
        <f aca="false">H19*H20</f>
        <v>2966.32756811803</v>
      </c>
      <c r="I21" s="0" t="n">
        <f aca="false">I19*I20</f>
        <v>2834.8021440712</v>
      </c>
      <c r="J21" s="0" t="n">
        <f aca="false">J19*J20</f>
        <v>2699.44510868784</v>
      </c>
      <c r="K21" s="0" t="n">
        <f aca="false">K19*K20</f>
        <v>2573.88952223724</v>
      </c>
      <c r="L21" s="0" t="n">
        <f aca="false">L19*L20</f>
        <v>2454.17373050528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30985.837060357</v>
      </c>
    </row>
    <row r="31" customFormat="false" ht="15" hidden="false" customHeight="false" outlineLevel="0" collapsed="false">
      <c r="A31" s="0" t="s">
        <v>137</v>
      </c>
      <c r="B31" s="0" t="n">
        <f aca="false">L19</f>
        <v>5058.12951760689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103691.655110941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80930.0722817102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80930.0722817102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39266.7796880844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70252.6167484414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68972.6167484414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190.901236502744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-0.278201616368935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1046.78240794254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1742.35710737171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198.620969454071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41476.6620443765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86.8899719278585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7.5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6520.6</v>
      </c>
      <c r="C6" s="0" t="n">
        <f aca="false">B6*(1+C5/100)</f>
        <v>7009.645</v>
      </c>
      <c r="D6" s="0" t="n">
        <f aca="false">C6*(1+D5/100)</f>
        <v>7430.2237</v>
      </c>
      <c r="E6" s="0" t="n">
        <f aca="false">D6*(1+E5/100)</f>
        <v>7838.8860035</v>
      </c>
      <c r="F6" s="0" t="n">
        <f aca="false">E6*(1+F5/100)</f>
        <v>8230.830303675</v>
      </c>
      <c r="G6" s="0" t="n">
        <f aca="false">F6*(1+G5/100)</f>
        <v>8642.37181885875</v>
      </c>
      <c r="H6" s="0" t="n">
        <f aca="false">G6*(1+H5/100)</f>
        <v>9031.27855070739</v>
      </c>
      <c r="I6" s="0" t="n">
        <f aca="false">H6*(1+I5/100)</f>
        <v>9437.68608548923</v>
      </c>
      <c r="J6" s="0" t="n">
        <f aca="false">I6*(1+J5/100)</f>
        <v>9815.19352890879</v>
      </c>
      <c r="K6" s="0" t="n">
        <f aca="false">J6*(1+K5/100)</f>
        <v>10158.7253024206</v>
      </c>
      <c r="L6" s="0" t="n">
        <f aca="false">K6*(1+L5/100)</f>
        <v>10463.4870614932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85.7</v>
      </c>
      <c r="D7" s="4" t="n">
        <f aca="false">Assumptions!D28</f>
        <v>85</v>
      </c>
      <c r="E7" s="4" t="n">
        <f aca="false">Assumptions!E28</f>
        <v>84.8</v>
      </c>
      <c r="F7" s="4" t="n">
        <f aca="false">Assumptions!F28</f>
        <v>84.7</v>
      </c>
      <c r="G7" s="4" t="n">
        <f aca="false">Assumptions!G28</f>
        <v>84.6</v>
      </c>
      <c r="H7" s="4" t="n">
        <f aca="false">Assumptions!H28</f>
        <v>84.6</v>
      </c>
      <c r="I7" s="4" t="n">
        <f aca="false">Assumptions!I28</f>
        <v>84.6</v>
      </c>
      <c r="J7" s="4" t="n">
        <f aca="false">Assumptions!J28</f>
        <v>84.6</v>
      </c>
      <c r="K7" s="4" t="n">
        <f aca="false">Assumptions!K28</f>
        <v>84.6</v>
      </c>
      <c r="L7" s="4" t="n">
        <f aca="false">Assumptions!L28</f>
        <v>84.6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6007.265765</v>
      </c>
      <c r="D8" s="0" t="n">
        <f aca="false">D6*D7/100</f>
        <v>6315.690145</v>
      </c>
      <c r="E8" s="0" t="n">
        <f aca="false">E6*E7/100</f>
        <v>6647.375330968</v>
      </c>
      <c r="F8" s="0" t="n">
        <f aca="false">F6*F7/100</f>
        <v>6971.51326721273</v>
      </c>
      <c r="G8" s="0" t="n">
        <f aca="false">G6*G7/100</f>
        <v>7311.4465587545</v>
      </c>
      <c r="H8" s="0" t="n">
        <f aca="false">H6*H7/100</f>
        <v>7640.46165389845</v>
      </c>
      <c r="I8" s="0" t="n">
        <f aca="false">I6*I7/100</f>
        <v>7984.28242832388</v>
      </c>
      <c r="J8" s="0" t="n">
        <f aca="false">J6*J7/100</f>
        <v>8303.65372545684</v>
      </c>
      <c r="K8" s="0" t="n">
        <f aca="false">K6*K7/100</f>
        <v>8594.28160584783</v>
      </c>
      <c r="L8" s="0" t="n">
        <f aca="false">L6*L7/100</f>
        <v>8852.11005402326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1.9</v>
      </c>
      <c r="D9" s="4" t="n">
        <f aca="false">Assumptions!D29</f>
        <v>1.9</v>
      </c>
      <c r="E9" s="4" t="n">
        <f aca="false">Assumptions!E29</f>
        <v>1.9</v>
      </c>
      <c r="F9" s="4" t="n">
        <f aca="false">Assumptions!F29</f>
        <v>1.85</v>
      </c>
      <c r="G9" s="4" t="n">
        <f aca="false">Assumptions!G29</f>
        <v>1.85</v>
      </c>
      <c r="H9" s="4" t="n">
        <f aca="false">Assumptions!H29</f>
        <v>1.8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-133.183255</v>
      </c>
      <c r="D10" s="0" t="n">
        <f aca="false">-D6*D9/100</f>
        <v>-141.1742503</v>
      </c>
      <c r="E10" s="0" t="n">
        <f aca="false">-E6*E9/100</f>
        <v>-148.9388340665</v>
      </c>
      <c r="F10" s="0" t="n">
        <f aca="false">-F6*F9/100</f>
        <v>-152.270360617988</v>
      </c>
      <c r="G10" s="0" t="n">
        <f aca="false">-G6*G9/100</f>
        <v>-159.883878648887</v>
      </c>
      <c r="H10" s="0" t="n">
        <f aca="false">-H6*H9/100</f>
        <v>-162.563013912733</v>
      </c>
      <c r="I10" s="0" t="n">
        <f aca="false">-I6*I9/100</f>
        <v>-169.878349538806</v>
      </c>
      <c r="J10" s="0" t="n">
        <f aca="false">-J6*J9/100</f>
        <v>-176.673483520358</v>
      </c>
      <c r="K10" s="0" t="n">
        <f aca="false">-K6*K9/100</f>
        <v>-182.857055443571</v>
      </c>
      <c r="L10" s="0" t="n">
        <f aca="false">-L6*L9/100</f>
        <v>-188.342767106878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5874.08251</v>
      </c>
      <c r="D11" s="0" t="n">
        <f aca="false">D8+D10+D24</f>
        <v>6174.5158947</v>
      </c>
      <c r="E11" s="0" t="n">
        <f aca="false">E8+E10+E24</f>
        <v>6498.4364969015</v>
      </c>
      <c r="F11" s="0" t="n">
        <f aca="false">F8+F10+F24</f>
        <v>6819.24290659474</v>
      </c>
      <c r="G11" s="0" t="n">
        <f aca="false">G8+G10+G24</f>
        <v>7151.56268010562</v>
      </c>
      <c r="H11" s="0" t="n">
        <f aca="false">H8+H10+H24</f>
        <v>7477.89863998572</v>
      </c>
      <c r="I11" s="0" t="n">
        <f aca="false">I8+I10+I24</f>
        <v>7814.40407878508</v>
      </c>
      <c r="J11" s="0" t="n">
        <f aca="false">J8+J10+J24</f>
        <v>8126.98024193648</v>
      </c>
      <c r="K11" s="0" t="n">
        <f aca="false">K8+K10+K24</f>
        <v>8411.42455040426</v>
      </c>
      <c r="L11" s="0" t="n">
        <f aca="false">L8+L10+L24</f>
        <v>8663.76728691639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-105.144675</v>
      </c>
      <c r="D12" s="4" t="n">
        <f aca="false">-D6*Assumptions!D31/100</f>
        <v>-107.73824365</v>
      </c>
      <c r="E12" s="4" t="n">
        <f aca="false">-E6*Assumptions!E31/100</f>
        <v>-109.744404049</v>
      </c>
      <c r="F12" s="4" t="n">
        <f aca="false">-F6*Assumptions!F31/100</f>
        <v>-111.116209099613</v>
      </c>
      <c r="G12" s="4" t="n">
        <f aca="false">-G6*Assumptions!G31/100</f>
        <v>-112.350833645164</v>
      </c>
      <c r="H12" s="4" t="n">
        <f aca="false">-H6*Assumptions!H31/100</f>
        <v>-117.406621159196</v>
      </c>
      <c r="I12" s="4" t="n">
        <f aca="false">-I6*Assumptions!I31/100</f>
        <v>-122.68991911136</v>
      </c>
      <c r="J12" s="4" t="n">
        <f aca="false">-J6*Assumptions!J31/100</f>
        <v>-127.597515875814</v>
      </c>
      <c r="K12" s="4" t="n">
        <f aca="false">-K6*Assumptions!K31/100</f>
        <v>-132.063428931468</v>
      </c>
      <c r="L12" s="4" t="n">
        <f aca="false">-L6*Assumptions!L31/100</f>
        <v>-136.025331799412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5768.937835</v>
      </c>
      <c r="D13" s="0" t="n">
        <f aca="false">D11+D12</f>
        <v>6066.77765105</v>
      </c>
      <c r="E13" s="0" t="n">
        <f aca="false">E11+E12</f>
        <v>6388.6920928525</v>
      </c>
      <c r="F13" s="0" t="n">
        <f aca="false">F11+F12</f>
        <v>6708.12669749513</v>
      </c>
      <c r="G13" s="0" t="n">
        <f aca="false">G11+G12</f>
        <v>7039.21184646045</v>
      </c>
      <c r="H13" s="0" t="n">
        <f aca="false">H11+H12</f>
        <v>7360.49201882652</v>
      </c>
      <c r="I13" s="0" t="n">
        <f aca="false">I11+I12</f>
        <v>7691.71415967372</v>
      </c>
      <c r="J13" s="0" t="n">
        <f aca="false">J11+J12</f>
        <v>7999.38272606067</v>
      </c>
      <c r="K13" s="0" t="n">
        <f aca="false">K11+K12</f>
        <v>8279.36112147279</v>
      </c>
      <c r="L13" s="0" t="n">
        <f aca="false">L11+L12</f>
        <v>8527.74195511697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23.5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4413.237443775</v>
      </c>
      <c r="D15" s="0" t="n">
        <f aca="false">D13-MAX(0,D13)*D14/100</f>
        <v>4610.751014798</v>
      </c>
      <c r="E15" s="0" t="n">
        <f aca="false">E13-MAX(0,E13)*E14/100</f>
        <v>4855.4059905679</v>
      </c>
      <c r="F15" s="0" t="n">
        <f aca="false">F13-MAX(0,F13)*F14/100</f>
        <v>5098.1762900963</v>
      </c>
      <c r="G15" s="0" t="n">
        <f aca="false">G13-MAX(0,G13)*G14/100</f>
        <v>5349.80100330994</v>
      </c>
      <c r="H15" s="0" t="n">
        <f aca="false">H13-MAX(0,H13)*H14/100</f>
        <v>5593.97393430816</v>
      </c>
      <c r="I15" s="0" t="n">
        <f aca="false">I13-MAX(0,I13)*I14/100</f>
        <v>5845.70276135203</v>
      </c>
      <c r="J15" s="0" t="n">
        <f aca="false">J13-MAX(0,J13)*J14/100</f>
        <v>6079.53087180611</v>
      </c>
      <c r="K15" s="0" t="n">
        <f aca="false">K13-MAX(0,K13)*K14/100</f>
        <v>6292.31445231932</v>
      </c>
      <c r="L15" s="0" t="n">
        <f aca="false">L13-MAX(0,L13)*L14/100</f>
        <v>6481.0838858889</v>
      </c>
    </row>
    <row r="16" customFormat="false" ht="15" hidden="false" customHeight="false" outlineLevel="0" collapsed="false">
      <c r="A16" s="0" t="s">
        <v>128</v>
      </c>
      <c r="C16" s="0" t="n">
        <f aca="false">-C12</f>
        <v>105.144675</v>
      </c>
      <c r="D16" s="0" t="n">
        <f aca="false">-D12</f>
        <v>107.73824365</v>
      </c>
      <c r="E16" s="0" t="n">
        <f aca="false">-E12</f>
        <v>109.744404049</v>
      </c>
      <c r="F16" s="0" t="n">
        <f aca="false">-F12</f>
        <v>111.116209099613</v>
      </c>
      <c r="G16" s="0" t="n">
        <f aca="false">-G12</f>
        <v>112.350833645164</v>
      </c>
      <c r="H16" s="0" t="n">
        <f aca="false">-H12</f>
        <v>117.406621159196</v>
      </c>
      <c r="I16" s="0" t="n">
        <f aca="false">-I12</f>
        <v>122.68991911136</v>
      </c>
      <c r="J16" s="0" t="n">
        <f aca="false">-J12</f>
        <v>127.597515875814</v>
      </c>
      <c r="K16" s="0" t="n">
        <f aca="false">-K12</f>
        <v>132.063428931468</v>
      </c>
      <c r="L16" s="0" t="n">
        <f aca="false">-L12</f>
        <v>136.025331799412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-84.11574</v>
      </c>
      <c r="D17" s="4" t="n">
        <f aca="false">-D6*Assumptions!D32/100</f>
        <v>-92.87779625</v>
      </c>
      <c r="E17" s="4" t="n">
        <f aca="false">-E6*Assumptions!E32/100</f>
        <v>-101.9055180455</v>
      </c>
      <c r="F17" s="4" t="n">
        <f aca="false">-F6*Assumptions!F32/100</f>
        <v>-107.000793947775</v>
      </c>
      <c r="G17" s="4" t="n">
        <f aca="false">-G6*Assumptions!G32/100</f>
        <v>-112.350833645164</v>
      </c>
      <c r="H17" s="4" t="n">
        <f aca="false">-H6*Assumptions!H32/100</f>
        <v>-117.406621159196</v>
      </c>
      <c r="I17" s="4" t="n">
        <f aca="false">-I6*Assumptions!I32/100</f>
        <v>-122.68991911136</v>
      </c>
      <c r="J17" s="4" t="n">
        <f aca="false">-J6*Assumptions!J32/100</f>
        <v>-127.597515875814</v>
      </c>
      <c r="K17" s="4" t="n">
        <f aca="false">-K6*Assumptions!K32/100</f>
        <v>-132.063428931468</v>
      </c>
      <c r="L17" s="4" t="n">
        <f aca="false">-L6*Assumptions!L32/100</f>
        <v>-136.025331799412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4434.266378775</v>
      </c>
      <c r="D19" s="0" t="n">
        <f aca="false">D15+D16+D17+D18</f>
        <v>4625.611462198</v>
      </c>
      <c r="E19" s="0" t="n">
        <f aca="false">E15+E16+E17+E18</f>
        <v>4863.2448765714</v>
      </c>
      <c r="F19" s="0" t="n">
        <f aca="false">F15+F16+F17+F18</f>
        <v>5102.29170524813</v>
      </c>
      <c r="G19" s="0" t="n">
        <f aca="false">G15+G16+G17+G18</f>
        <v>5349.80100330994</v>
      </c>
      <c r="H19" s="0" t="n">
        <f aca="false">H15+H16+H17+H18</f>
        <v>5593.97393430816</v>
      </c>
      <c r="I19" s="0" t="n">
        <f aca="false">I15+I16+I17+I18</f>
        <v>5845.70276135203</v>
      </c>
      <c r="J19" s="0" t="n">
        <f aca="false">J15+J16+J17+J18</f>
        <v>6079.53087180611</v>
      </c>
      <c r="K19" s="0" t="n">
        <f aca="false">K15+K16+K17+K18</f>
        <v>6292.31445231932</v>
      </c>
      <c r="L19" s="0" t="n">
        <f aca="false">L15+L16+L17+L18</f>
        <v>6481.0838858889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4124.898957</v>
      </c>
      <c r="D21" s="0" t="n">
        <f aca="false">D19*D20</f>
        <v>4002.69244971163</v>
      </c>
      <c r="E21" s="0" t="n">
        <f aca="false">E19*E20</f>
        <v>3914.72036550957</v>
      </c>
      <c r="F21" s="0" t="n">
        <f aca="false">F19*F20</f>
        <v>3820.59873196341</v>
      </c>
      <c r="G21" s="0" t="n">
        <f aca="false">G19*G20</f>
        <v>3726.45007021085</v>
      </c>
      <c r="H21" s="0" t="n">
        <f aca="false">H19*H20</f>
        <v>3624.6798447292</v>
      </c>
      <c r="I21" s="0" t="n">
        <f aca="false">I19*I20</f>
        <v>3523.52598859722</v>
      </c>
      <c r="J21" s="0" t="n">
        <f aca="false">J19*J20</f>
        <v>3408.80653780569</v>
      </c>
      <c r="K21" s="0" t="n">
        <f aca="false">K19*K20</f>
        <v>3281.96722477106</v>
      </c>
      <c r="L21" s="0" t="n">
        <f aca="false">L19*L20</f>
        <v>3144.58255024576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36572.9227205444</v>
      </c>
    </row>
    <row r="31" customFormat="false" ht="15" hidden="false" customHeight="false" outlineLevel="0" collapsed="false">
      <c r="A31" s="0" t="s">
        <v>137</v>
      </c>
      <c r="B31" s="0" t="n">
        <f aca="false">L19</f>
        <v>6481.0838858889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148344.808943679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129621.677717778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129621.677717778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62891.6510049151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99464.5737254595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98184.5737254595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271.753594590256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0.0275014919474288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1084.88138096953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2091.65000113215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280.545544167067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55629.3033538797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106.817278528045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6520.6</v>
      </c>
      <c r="C6" s="0" t="n">
        <f aca="false">B6*(1+C5/100)</f>
        <v>7107.454</v>
      </c>
      <c r="D6" s="0" t="n">
        <f aca="false">C6*(1+D5/100)</f>
        <v>7676.05032</v>
      </c>
      <c r="E6" s="0" t="n">
        <f aca="false">D6*(1+E5/100)</f>
        <v>8251.754094</v>
      </c>
      <c r="F6" s="0" t="n">
        <f aca="false">E6*(1+F5/100)</f>
        <v>8829.37688058</v>
      </c>
      <c r="G6" s="0" t="n">
        <f aca="false">F6*(1+G5/100)</f>
        <v>9403.2863778177</v>
      </c>
      <c r="H6" s="0" t="n">
        <f aca="false">G6*(1+H5/100)</f>
        <v>9967.48356048676</v>
      </c>
      <c r="I6" s="0" t="n">
        <f aca="false">H6*(1+I5/100)</f>
        <v>10515.6951563135</v>
      </c>
      <c r="J6" s="0" t="n">
        <f aca="false">I6*(1+J5/100)</f>
        <v>11041.4799141292</v>
      </c>
      <c r="K6" s="0" t="n">
        <f aca="false">J6*(1+K5/100)</f>
        <v>11538.346510265</v>
      </c>
      <c r="L6" s="0" t="n">
        <f aca="false">K6*(1+L5/100)</f>
        <v>11999.8803706756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86</v>
      </c>
      <c r="D7" s="4" t="n">
        <f aca="false">Assumptions!D42</f>
        <v>85.8</v>
      </c>
      <c r="E7" s="4" t="n">
        <f aca="false">Assumptions!E42</f>
        <v>85.8</v>
      </c>
      <c r="F7" s="4" t="n">
        <f aca="false">Assumptions!F42</f>
        <v>85.8</v>
      </c>
      <c r="G7" s="4" t="n">
        <f aca="false">Assumptions!G42</f>
        <v>85.9</v>
      </c>
      <c r="H7" s="4" t="n">
        <f aca="false">Assumptions!H42</f>
        <v>86</v>
      </c>
      <c r="I7" s="4" t="n">
        <f aca="false">Assumptions!I42</f>
        <v>86</v>
      </c>
      <c r="J7" s="4" t="n">
        <f aca="false">Assumptions!J42</f>
        <v>86</v>
      </c>
      <c r="K7" s="4" t="n">
        <f aca="false">Assumptions!K42</f>
        <v>86</v>
      </c>
      <c r="L7" s="4" t="n">
        <f aca="false">Assumptions!L42</f>
        <v>86</v>
      </c>
    </row>
    <row r="8" customFormat="false" ht="15" hidden="false" customHeight="false" outlineLevel="0" collapsed="false">
      <c r="A8" s="0" t="s">
        <v>43</v>
      </c>
      <c r="C8" s="0" t="n">
        <f aca="false">C6*C7/100</f>
        <v>6112.41044</v>
      </c>
      <c r="D8" s="0" t="n">
        <f aca="false">D6*D7/100</f>
        <v>6586.05117456</v>
      </c>
      <c r="E8" s="0" t="n">
        <f aca="false">E6*E7/100</f>
        <v>7080.005012652</v>
      </c>
      <c r="F8" s="0" t="n">
        <f aca="false">F6*F7/100</f>
        <v>7575.60536353764</v>
      </c>
      <c r="G8" s="0" t="n">
        <f aca="false">G6*G7/100</f>
        <v>8077.42299854541</v>
      </c>
      <c r="H8" s="0" t="n">
        <f aca="false">H6*H7/100</f>
        <v>8572.03586201862</v>
      </c>
      <c r="I8" s="0" t="n">
        <f aca="false">I6*I7/100</f>
        <v>9043.49783442964</v>
      </c>
      <c r="J8" s="0" t="n">
        <f aca="false">J6*J7/100</f>
        <v>9495.67272615112</v>
      </c>
      <c r="K8" s="0" t="n">
        <f aca="false">K6*K7/100</f>
        <v>9922.97799882792</v>
      </c>
      <c r="L8" s="0" t="n">
        <f aca="false">L6*L7/100</f>
        <v>10319.897118781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1.9</v>
      </c>
      <c r="D9" s="4" t="n">
        <f aca="false">Assumptions!D43</f>
        <v>1.9</v>
      </c>
      <c r="E9" s="4" t="n">
        <f aca="false">Assumptions!E43</f>
        <v>1.85</v>
      </c>
      <c r="F9" s="4" t="n">
        <f aca="false">Assumptions!F43</f>
        <v>1.85</v>
      </c>
      <c r="G9" s="4" t="n">
        <f aca="false">Assumptions!G43</f>
        <v>1.8</v>
      </c>
      <c r="H9" s="4" t="n">
        <f aca="false">Assumptions!H43</f>
        <v>1.8</v>
      </c>
      <c r="I9" s="4" t="n">
        <f aca="false">Assumptions!I43</f>
        <v>1.75</v>
      </c>
      <c r="J9" s="4" t="n">
        <f aca="false">Assumptions!J43</f>
        <v>1.75</v>
      </c>
      <c r="K9" s="4" t="n">
        <f aca="false">Assumptions!K43</f>
        <v>1.75</v>
      </c>
      <c r="L9" s="4" t="n">
        <f aca="false">Assumptions!L43</f>
        <v>1.75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-135.041626</v>
      </c>
      <c r="D10" s="0" t="n">
        <f aca="false">-D6*D9/100</f>
        <v>-145.84495608</v>
      </c>
      <c r="E10" s="0" t="n">
        <f aca="false">-E6*E9/100</f>
        <v>-152.657450739</v>
      </c>
      <c r="F10" s="0" t="n">
        <f aca="false">-F6*F9/100</f>
        <v>-163.34347229073</v>
      </c>
      <c r="G10" s="0" t="n">
        <f aca="false">-G6*G9/100</f>
        <v>-169.259154800719</v>
      </c>
      <c r="H10" s="0" t="n">
        <f aca="false">-H6*H9/100</f>
        <v>-179.414704088762</v>
      </c>
      <c r="I10" s="0" t="n">
        <f aca="false">-I6*I9/100</f>
        <v>-184.024665235487</v>
      </c>
      <c r="J10" s="0" t="n">
        <f aca="false">-J6*J9/100</f>
        <v>-193.225898497261</v>
      </c>
      <c r="K10" s="0" t="n">
        <f aca="false">-K6*K9/100</f>
        <v>-201.921063929638</v>
      </c>
      <c r="L10" s="0" t="n">
        <f aca="false">-L6*L9/100</f>
        <v>-209.997906486824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5977.368814</v>
      </c>
      <c r="D11" s="0" t="n">
        <f aca="false">D8+D10+D24</f>
        <v>6440.20621848</v>
      </c>
      <c r="E11" s="0" t="n">
        <f aca="false">E8+E10+E24</f>
        <v>6927.347561913</v>
      </c>
      <c r="F11" s="0" t="n">
        <f aca="false">F8+F10+F24</f>
        <v>7412.26189124691</v>
      </c>
      <c r="G11" s="0" t="n">
        <f aca="false">G8+G10+G24</f>
        <v>7908.16384374469</v>
      </c>
      <c r="H11" s="0" t="n">
        <f aca="false">H8+H10+H24</f>
        <v>8392.62115792986</v>
      </c>
      <c r="I11" s="0" t="n">
        <f aca="false">I8+I10+I24</f>
        <v>8859.47316919415</v>
      </c>
      <c r="J11" s="0" t="n">
        <f aca="false">J8+J10+J24</f>
        <v>9302.44682765386</v>
      </c>
      <c r="K11" s="0" t="n">
        <f aca="false">K8+K10+K24</f>
        <v>9721.05693489829</v>
      </c>
      <c r="L11" s="0" t="n">
        <f aca="false">L8+L10+L24</f>
        <v>10109.8992122942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-106.61181</v>
      </c>
      <c r="D12" s="4" t="n">
        <f aca="false">-D6*Assumptions!D45/100</f>
        <v>-111.30272964</v>
      </c>
      <c r="E12" s="4" t="n">
        <f aca="false">-E6*Assumptions!E45/100</f>
        <v>-115.524557316</v>
      </c>
      <c r="F12" s="4" t="n">
        <f aca="false">-F6*Assumptions!F45/100</f>
        <v>-119.19658788783</v>
      </c>
      <c r="G12" s="4" t="n">
        <f aca="false">-G6*Assumptions!G45/100</f>
        <v>-122.24272291163</v>
      </c>
      <c r="H12" s="4" t="n">
        <f aca="false">-H6*Assumptions!H45/100</f>
        <v>-129.577286286328</v>
      </c>
      <c r="I12" s="4" t="n">
        <f aca="false">-I6*Assumptions!I45/100</f>
        <v>-136.704037032076</v>
      </c>
      <c r="J12" s="4" t="n">
        <f aca="false">-J6*Assumptions!J45/100</f>
        <v>-143.53923888368</v>
      </c>
      <c r="K12" s="4" t="n">
        <f aca="false">-K6*Assumptions!K45/100</f>
        <v>-149.998504633445</v>
      </c>
      <c r="L12" s="4" t="n">
        <f aca="false">-L6*Assumptions!L45/100</f>
        <v>-155.998444818783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5870.757004</v>
      </c>
      <c r="D13" s="0" t="n">
        <f aca="false">D11+D12</f>
        <v>6328.90348884</v>
      </c>
      <c r="E13" s="0" t="n">
        <f aca="false">E11+E12</f>
        <v>6811.823004597</v>
      </c>
      <c r="F13" s="0" t="n">
        <f aca="false">F11+F12</f>
        <v>7293.06530335908</v>
      </c>
      <c r="G13" s="0" t="n">
        <f aca="false">G11+G12</f>
        <v>7785.92112083306</v>
      </c>
      <c r="H13" s="0" t="n">
        <f aca="false">H11+H12</f>
        <v>8263.04387164353</v>
      </c>
      <c r="I13" s="0" t="n">
        <f aca="false">I11+I12</f>
        <v>8722.76913216208</v>
      </c>
      <c r="J13" s="0" t="n">
        <f aca="false">J11+J12</f>
        <v>9158.90758877018</v>
      </c>
      <c r="K13" s="0" t="n">
        <f aca="false">K11+K12</f>
        <v>9571.05843026484</v>
      </c>
      <c r="L13" s="0" t="n">
        <f aca="false">L11+L12</f>
        <v>9953.90076747544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23.5</v>
      </c>
      <c r="D14" s="4" t="n">
        <f aca="false">Assumptions!D47</f>
        <v>23.5</v>
      </c>
      <c r="E14" s="4" t="n">
        <f aca="false">Assumptions!E47</f>
        <v>23.5</v>
      </c>
      <c r="F14" s="4" t="n">
        <f aca="false">Assumptions!F47</f>
        <v>23.5</v>
      </c>
      <c r="G14" s="4" t="n">
        <f aca="false">Assumptions!G47</f>
        <v>23.5</v>
      </c>
      <c r="H14" s="4" t="n">
        <f aca="false">Assumptions!H47</f>
        <v>23.5</v>
      </c>
      <c r="I14" s="4" t="n">
        <f aca="false">Assumptions!I47</f>
        <v>23.5</v>
      </c>
      <c r="J14" s="4" t="n">
        <f aca="false">Assumptions!J47</f>
        <v>23.5</v>
      </c>
      <c r="K14" s="4" t="n">
        <f aca="false">Assumptions!K47</f>
        <v>23.5</v>
      </c>
      <c r="L14" s="4" t="n">
        <f aca="false">Assumptions!L47</f>
        <v>23.5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4491.12910806</v>
      </c>
      <c r="D15" s="0" t="n">
        <f aca="false">D13-MAX(0,D13)*D14/100</f>
        <v>4841.6111689626</v>
      </c>
      <c r="E15" s="0" t="n">
        <f aca="false">E13-MAX(0,E13)*E14/100</f>
        <v>5211.04459851671</v>
      </c>
      <c r="F15" s="0" t="n">
        <f aca="false">F13-MAX(0,F13)*F14/100</f>
        <v>5579.1949570697</v>
      </c>
      <c r="G15" s="0" t="n">
        <f aca="false">G13-MAX(0,G13)*G14/100</f>
        <v>5956.22965743729</v>
      </c>
      <c r="H15" s="0" t="n">
        <f aca="false">H13-MAX(0,H13)*H14/100</f>
        <v>6321.2285618073</v>
      </c>
      <c r="I15" s="0" t="n">
        <f aca="false">I13-MAX(0,I13)*I14/100</f>
        <v>6672.91838610399</v>
      </c>
      <c r="J15" s="0" t="n">
        <f aca="false">J13-MAX(0,J13)*J14/100</f>
        <v>7006.56430540919</v>
      </c>
      <c r="K15" s="0" t="n">
        <f aca="false">K13-MAX(0,K13)*K14/100</f>
        <v>7321.8596991526</v>
      </c>
      <c r="L15" s="0" t="n">
        <f aca="false">L13-MAX(0,L13)*L14/100</f>
        <v>7614.73408711871</v>
      </c>
    </row>
    <row r="16" customFormat="false" ht="15" hidden="false" customHeight="false" outlineLevel="0" collapsed="false">
      <c r="A16" s="0" t="s">
        <v>128</v>
      </c>
      <c r="C16" s="0" t="n">
        <f aca="false">-C12</f>
        <v>106.61181</v>
      </c>
      <c r="D16" s="0" t="n">
        <f aca="false">-D12</f>
        <v>111.30272964</v>
      </c>
      <c r="E16" s="0" t="n">
        <f aca="false">-E12</f>
        <v>115.524557316</v>
      </c>
      <c r="F16" s="0" t="n">
        <f aca="false">-F12</f>
        <v>119.19658788783</v>
      </c>
      <c r="G16" s="0" t="n">
        <f aca="false">-G12</f>
        <v>122.24272291163</v>
      </c>
      <c r="H16" s="0" t="n">
        <f aca="false">-H12</f>
        <v>129.577286286328</v>
      </c>
      <c r="I16" s="0" t="n">
        <f aca="false">-I12</f>
        <v>136.704037032076</v>
      </c>
      <c r="J16" s="0" t="n">
        <f aca="false">-J12</f>
        <v>143.53923888368</v>
      </c>
      <c r="K16" s="0" t="n">
        <f aca="false">-K12</f>
        <v>149.998504633445</v>
      </c>
      <c r="L16" s="0" t="n">
        <f aca="false">-L12</f>
        <v>155.998444818783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-85.289448</v>
      </c>
      <c r="D17" s="4" t="n">
        <f aca="false">-D6*Assumptions!D46/100</f>
        <v>-95.950629</v>
      </c>
      <c r="E17" s="4" t="n">
        <f aca="false">-E6*Assumptions!E46/100</f>
        <v>-107.272803222</v>
      </c>
      <c r="F17" s="4" t="n">
        <f aca="false">-F6*Assumptions!F46/100</f>
        <v>-114.78189944754</v>
      </c>
      <c r="G17" s="4" t="n">
        <f aca="false">-G6*Assumptions!G46/100</f>
        <v>-122.24272291163</v>
      </c>
      <c r="H17" s="4" t="n">
        <f aca="false">-H6*Assumptions!H46/100</f>
        <v>-129.577286286328</v>
      </c>
      <c r="I17" s="4" t="n">
        <f aca="false">-I6*Assumptions!I46/100</f>
        <v>-136.704037032076</v>
      </c>
      <c r="J17" s="4" t="n">
        <f aca="false">-J6*Assumptions!J46/100</f>
        <v>-143.53923888368</v>
      </c>
      <c r="K17" s="4" t="n">
        <f aca="false">-K6*Assumptions!K46/100</f>
        <v>-149.998504633445</v>
      </c>
      <c r="L17" s="4" t="n">
        <f aca="false">-L6*Assumptions!L46/100</f>
        <v>-155.998444818783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4512.45147006</v>
      </c>
      <c r="D19" s="0" t="n">
        <f aca="false">D15+D16+D17+D18</f>
        <v>4856.9632696026</v>
      </c>
      <c r="E19" s="0" t="n">
        <f aca="false">E15+E16+E17+E18</f>
        <v>5219.29635261071</v>
      </c>
      <c r="F19" s="0" t="n">
        <f aca="false">F15+F16+F17+F18</f>
        <v>5583.60964550999</v>
      </c>
      <c r="G19" s="0" t="n">
        <f aca="false">G15+G16+G17+G18</f>
        <v>5956.22965743729</v>
      </c>
      <c r="H19" s="0" t="n">
        <f aca="false">H15+H16+H17+H18</f>
        <v>6321.2285618073</v>
      </c>
      <c r="I19" s="0" t="n">
        <f aca="false">I15+I16+I17+I18</f>
        <v>6672.91838610399</v>
      </c>
      <c r="J19" s="0" t="n">
        <f aca="false">J15+J16+J17+J18</f>
        <v>7006.56430540919</v>
      </c>
      <c r="K19" s="0" t="n">
        <f aca="false">K15+K16+K17+K18</f>
        <v>7321.8596991526</v>
      </c>
      <c r="L19" s="0" t="n">
        <f aca="false">L15+L16+L17+L18</f>
        <v>7614.73408711871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4197.62927447442</v>
      </c>
      <c r="D21" s="0" t="n">
        <f aca="false">D19*D20</f>
        <v>4202.88871355552</v>
      </c>
      <c r="E21" s="0" t="n">
        <f aca="false">E19*E20</f>
        <v>4201.32776443691</v>
      </c>
      <c r="F21" s="0" t="n">
        <f aca="false">F19*F20</f>
        <v>4181.00986062236</v>
      </c>
      <c r="G21" s="0" t="n">
        <f aca="false">G19*G20</f>
        <v>4148.86318414772</v>
      </c>
      <c r="H21" s="0" t="n">
        <f aca="false">H19*H20</f>
        <v>4095.9128574744</v>
      </c>
      <c r="I21" s="0" t="n">
        <f aca="false">I19*I20</f>
        <v>4022.13426051577</v>
      </c>
      <c r="J21" s="0" t="n">
        <f aca="false">J19*J20</f>
        <v>3928.59625445727</v>
      </c>
      <c r="K21" s="0" t="n">
        <f aca="false">K19*K20</f>
        <v>3818.96101014683</v>
      </c>
      <c r="L21" s="0" t="n">
        <f aca="false">L19*L20</f>
        <v>3694.62274470019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40491.9459245314</v>
      </c>
    </row>
    <row r="31" customFormat="false" ht="15" hidden="false" customHeight="false" outlineLevel="0" collapsed="false">
      <c r="A31" s="0" t="s">
        <v>137</v>
      </c>
      <c r="B31" s="0" t="n">
        <f aca="false">L19</f>
        <v>7614.73408711871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197031.244504197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167524.149916612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167524.149916612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81281.7003834042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121773.646307936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120493.646307936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333.500266559468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0.260965920143177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1157.64453124217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2636.39622512113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344.001348088289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68532.6067840684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122.716953488875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190.901236502744</v>
      </c>
      <c r="C4" s="0" t="n">
        <f aca="false">B4/Assumptions!$B$2-1</f>
        <v>-0.278201616368935</v>
      </c>
      <c r="D4" s="4" t="n">
        <f aca="false">Assumptions!$B$24</f>
        <v>0.2</v>
      </c>
      <c r="E4" s="4" t="n">
        <f aca="false">DCF_Bear!$B$43</f>
        <v>198.620969454071</v>
      </c>
      <c r="F4" s="4" t="n">
        <f aca="false">DCF_Bear!$B$47</f>
        <v>86.8899719278585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271.753594590256</v>
      </c>
      <c r="C5" s="0" t="n">
        <f aca="false">B5/Assumptions!$B$2-1</f>
        <v>0.0275014919474288</v>
      </c>
      <c r="D5" s="4" t="n">
        <f aca="false">Assumptions!$B$38</f>
        <v>0.55</v>
      </c>
      <c r="E5" s="4" t="n">
        <f aca="false">DCF_Base!$B$43</f>
        <v>280.545544167067</v>
      </c>
      <c r="F5" s="4" t="n">
        <f aca="false">DCF_Base!$B$47</f>
        <v>106.817278528045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333.500266559468</v>
      </c>
      <c r="C6" s="0" t="n">
        <f aca="false">B6/Assumptions!$B$2-1</f>
        <v>0.260965920143177</v>
      </c>
      <c r="D6" s="4" t="n">
        <f aca="false">Assumptions!$B$52</f>
        <v>0.25</v>
      </c>
      <c r="E6" s="4" t="n">
        <f aca="false">DCF_Bull!$B$43</f>
        <v>344.001348088289</v>
      </c>
      <c r="F6" s="4" t="n">
        <f aca="false">DCF_Bull!$B$47</f>
        <v>122.716953488875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271.019790965057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280.024580204773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0.0241303077600693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-72.6256971813624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106.806735948215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271.753594590256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220.715253335666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188.1055934895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163.674022483157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144.693035786958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106.817278528045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318.390740667666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318.390740667666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318.390740667666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318.390740667666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318.390740667666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293.947140525563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293.947140525563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293.947140525563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293.947140525563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293.947140525563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259.093926018701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271.753594590256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271.753594590256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271.753594590256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271.753594590256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217.402803847371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228.43894978352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241.481667708059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251.57925577867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251.57925577867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186.893714896216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194.442260956812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203.152121795961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213.313626108302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225.32267665925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2026-09-26T00:50:49Z</dcterms:created>
  <dc:creator>openpyxl</dc:creator>
  <dc:description/>
  <dc:language>en-NZ</dc:language>
  <cp:lastModifiedBy/>
  <dcterms:modified xsi:type="dcterms:W3CDTF">2026-09-26T00:50:49Z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