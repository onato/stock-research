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<sst xmlns="http://schemas.openxmlformats.org/spreadsheetml/2006/main" count="365" uniqueCount="168">
  <si>
    <t xml:space="preserve">Ticker</t>
  </si>
  <si>
    <t xml:space="preserve">GMG.AX</t>
  </si>
  <si>
    <t xml:space="preserve">Company</t>
  </si>
  <si>
    <t xml:space="preserve">Goodman Group</t>
  </si>
  <si>
    <t xml:space="preserve">Valuation date</t>
  </si>
  <si>
    <t xml:space="preserve">2026-09-22</t>
  </si>
  <si>
    <t xml:space="preserve">Current price</t>
  </si>
  <si>
    <t xml:space="preserve">Price as of</t>
  </si>
  <si>
    <t xml:space="preserve">2026-09-22T06:10:05Z (ASX regular close; Yahoo v8 chart meta; 52-week range 24.56-34.78)</t>
  </si>
  <si>
    <t xml:space="preserve">Balance sheet date</t>
  </si>
  <si>
    <t xml:space="preserve">2026-06-30</t>
  </si>
  <si>
    <t xml:space="preserve">Model</t>
  </si>
  <si>
    <t xml:space="preserve">REIT operating profit capitalisation at cost of equity (engine route; funds management plus IAS 40 co-investments)</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</si>
  <si>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</si>
  <si>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</si>
  <si>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</si>
  <si>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</si>
  <si>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</si>
  <si>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</si>
  <si>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</si>
  <si>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</si>
  <si>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2026-09-22T20:11:25Z</t>
  </si>
  <si>
    <t xml:space="preserve">Drivers file</t>
  </si>
  <si>
    <t xml:space="preserve">GMG.AX_Drivers.json</t>
  </si>
  <si>
    <t xml:space="preserve">Convention</t>
  </si>
  <si>
    <t xml:space="preserve">Percents stored as percents; formulas divide by 100. Blue = input, green = link, black = formula.</t>
  </si>
  <si>
    <t xml:space="preserve">Methodology</t>
  </si>
  <si>
    <t xml:space="preserve">summary: Goodman is valued on the flow it actually generates for securityholders, Operating Profit, discounted at the AUD cost of equity with no separate debt deduction (the flow is already after balance-sheet and Partnership-level interest). Two adjustments separate this from Goodman's own framing: the A$465.8m LTIP expense is charged in the flows, because Operating Profit excludes it and the Board's dilution-based offset covers only rights already tested; and the two-thirds of Operating Profit that is retained to fund development is charged as reinvestment, so the guided 9% growth is paid for rather than free. Together these are why the house value sits well below the 20x operating-EPS multiple the market is paying: a model that capitalises all of Operating Profit as free cash at the same rate would value the group roughly 2-3x higher. The street basis (LTIP as non-cash) is reported alongside and is the better comparison to sell-side targets; the sum-of-parts memo (NTA A$11.79 + management platform A$2.4 + development franchise A$2-4) brackets A$16-18 and corroborates the street base. The market price implies the data-centre pipeline leases at scale and retained capital keeps earning close to its historical ~20%.
key_risks_to_valuation: Incremental return on retained capital is the single largest lever: the base assumes 14% (FY26 Operating Profit on book equity 11.1%; FY16-FY26 incremental ~20%). At 18% the house base rises toward the bull value; at 10% retention creates no value and the base falls toward the bear.; LTIP treatment: charging the accounting expense (14.5% of Operating earnings, up 31% in FY26) rather than the dilution the Board points to is the house rule; the street values show what the valuation looks like on Goodman's own definition. The FY27 plan simplification may cut the charge faster than the modelled 0.5pp/yr glide.; FY26 Operating Profit includes 733.7 of realised prior-year revaluation gains (FY25 253.3); the base takes FY27 guidance at face value, which requires further large realisations. If transfers into Partnerships slow, year-1 growth disappoints even before the data-centre leasing question is answered.; Discount rate: value is terminal-heavy at a 10% cost of equity (Gordon 14.7x FCFE binds in base); each 1pp on the rate moves the base ~15%. The required-return table shows what the current price implies.; Data-centre execution: 78% of A$19.7bn WIP with 25% pre-commitment and first RFS mostly CY2028; leasing outcomes, grid connection delays (transformer lead times ~128 weeks) and community/planning opposition sit between committed capital and earnings.; Cap-rate reversal: FY26 valuation gains were driven by compression (5.08% to 4.96%); a reversal hits Partnership NTA, AUM-based fees and the realisable development margin at once, and the FX hedge (65-90% of net offshore investment) leaves a translation gap on ~56% of the portfolio.; Operating tax rate (9% on post-LTIP EBIT) depends on the trust/company earnings mix and on proposed stapled-structure tax reform; a shift toward taxed development and management income raises it.</t>
  </si>
  <si>
    <t xml:space="preserve">Data sources</t>
  </si>
  <si>
    <t xml:space="preserve">price: Yahoo Finance v8 chart API, GMG.AX regularMarketPrice at inputs.price_as_of (ASX regular close); 52-week range 24.56-34.78
financials: GMG.AX_Metrics.csv / core_metrics and kpis (FY2016-FY2026, OperatingProfit, ProfitBeforeTax, InterestIncome, DividendsPaid, WeightedAvgSecurities); GMG.AX_Annual_FY2026.txt: Analysis of operating profit and reconciliation to statutory profit (lines 896-945), operating-profit definition (669-674), LTIP treatment (1255-1295, 3136-3145), NTA per security 11.79 and 2,044.8m securities (632-635, 3235, 3294), interest-bearing liabilities 6,030.8 (1345), diluted EPS denominator 2,090.0m (9086-9088), lease liabilities 60.2 (11457), NCI 28.5 (14233)
qualitative: GMG.AX_Analysis.json (2026-09-22); FY26 Annual Report outlook and FY27 guidance (operating EPS +9.0%, DPS 30.0c, WIP to keep rising, majority of data-centre WIP RFS in CY2028)</t>
  </si>
  <si>
    <t xml:space="preserve">Scenario narrative: bear</t>
  </si>
  <si>
    <t xml:space="preserve">The speculative development book meets a cooler AI-infrastructure market: hyperscaler capex slows, community and grid constraints delay or cancel projects, the 75% uncommitted share of WIP leases slowly at lower rents, performance fees stay at zero, cap rates widen and the FY26-style realisation of prior revaluation gains stops. Development earnings fall ~30% over FY28-FY30, the platform's sticky costs compress the margin ~6pp, and retained capital earns only its cost. Rent from the 95.6%-occupied logistics book and 6.5% gearing keep this an earnings-and-multiple case, not a survival case; the trough is ~6.5% below FY26 Operating earnings, followed by a 3% recovery trend.</t>
  </si>
  <si>
    <t xml:space="preserve">Scenario narrative: base</t>
  </si>
  <si>
    <t xml:space="preserve">Goodman delivers FY27 guidance (operating EPS +9%, distribution held at 30c) and compounds Operating Profit at 9% through FY29 as the data-centre WIP reaches ready-for-service in CY2028 and Partnership AUM grows, then fades to 3% by FY36. Roughly two-thirds of Operating Profit continues to be retained and deployed into development and co-investment at a 14% incremental return, so free cash to securityholders starts near the distribution and rises as reinvestment needs fade. The LTIP is treated as the real cost it is (house basis), which takes ~17% off Goodman's own Operating Profit. The axes that matter are data-centre leasing conversion (25% pre-commitment on A$19.7bn WIP), the availability of third-party capital to keep the own-develop-manage model capital-light, and whether retained capital keeps earning well above the 10% cost of equity.</t>
  </si>
  <si>
    <t xml:space="preserve">Scenario narrative: bull</t>
  </si>
  <si>
    <t xml:space="preserve">The data-centre pivot works at scale: the 0.5GW in WIP and the 6.4GW power bank convert into long-dated hyperscale leases (the TYO05 20-year, 50MW lease repeated across Sydney, Tokyo, Frankfurt, LA and the DataBank JV), development earnings step up as CY2028 RFS dates land, AUM and base fees follow, and capital Partners keep funding the pipeline. Operating earnings grow 10-14% for four years and the LTIP charge moderates as the plan is simplified. Retained capital earns ~18%, close to the FY16-FY26 record. Value is capped at a 20x terminal multiple on free cash to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</si>
  <si>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</si>
  <si>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</si>
  <si>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</si>
  <si>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</si>
  <si>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</si>
  <si>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</si>
  <si>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</si>
  <si>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</si>
  <si>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</si>
  <si>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</si>
  <si>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</si>
  <si>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</si>
  <si>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</si>
  <si>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</si>
  <si>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</si>
  <si>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</si>
  <si>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</si>
  <si>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</si>
  <si>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</si>
  <si>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</si>
  <si>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</si>
  <si>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</si>
  <si>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</si>
  <si>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</si>
  <si>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</si>
  <si>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</si>
  <si>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</si>
  <si>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AssetsUnderManagement</t>
  </si>
  <si>
    <t xml:space="preserve">OperatingProfit</t>
  </si>
  <si>
    <t xml:space="preserve">WeightedAvgSecurities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</si>
  <si>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</si>
  <si>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</si>
  <si>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</si>
  <si>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</si>
  <si>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</si>
  <si>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</si>
  <si>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</si>
  <si>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</si>
  <si>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</si>
  <si>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</si>
  <si>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</si>
  <si>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</si>
  <si>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</si>
  <si>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</si>
  <si>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</si>
  <si>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</si>
  <si>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</si>
  <si>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</si>
  <si>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</si>
  <si>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</si>
  <si>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</si>
  <si>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</si>
  <si>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</si>
  <si>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</si>
  <si>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</si>
  <si>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</si>
  <si>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</si>
  <si>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</si>
  <si>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</si>
  <si>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</si>
  <si>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</si>
  <si>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</si>
  <si>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</si>
  <si>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</si>
  <si>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</si>
  <si>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</si>
  <si>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</si>
  <si>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</si>
  <si>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</si>
  <si>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</si>
  <si>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</si>
  <si>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</si>
  <si>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</si>
  <si>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</si>
  <si>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</si>
  <si>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</si>
  <si>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</si>
  <si>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</si>
  <si>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GMG.AX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</si>
  <si>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</si>
  <si>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</si>
  <si>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</si>
  <si>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</si>
  <si>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</si>
  <si>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</si>
  <si>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</si>
  <si>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</si>
  <si>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</si>
  <si>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</si>
  <si>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</si>
  <si>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</si>
  <si>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</si>
  <si>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</si>
  <si>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</si>
  <si>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</si>
  <si>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</si>
  <si>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</si>
  <si>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</si>
  <si>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</si>
  <si>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</si>
  <si>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</si>
  <si>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</si>
  <si>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</si>
  <si>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</si>
  <si>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</si>
  <si>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</si>
  <si>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</si>
  <si>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</si>
  <si>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</si>
  <si>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GMG.AX owner-FCF component DCF: base case (millions, AUD)</t>
  </si>
  <si>
    <t xml:space="preserve">GMG.AX owner-FCF component DCF: bull case (millions, AUD)</t>
  </si>
  <si>
    <t xml:space="preserve">GMG.AX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</si>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</sst>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1714.3</v>
      </c>
      <c r="F2" s="0" t="n">
        <v>1383.3</v>
      </c>
      <c r="G2" s="0" t="n">
        <v>80.7</v>
      </c>
      <c r="I2" s="0" t="n">
        <v>1294.7</v>
      </c>
      <c r="J2" s="0" t="n">
        <v>75.5</v>
      </c>
      <c r="K2" s="0" t="n">
        <v>0.698</v>
      </c>
      <c r="L2" s="0" t="n">
        <v>830.1</v>
      </c>
      <c r="M2" s="0" t="n">
        <v>8.4</v>
      </c>
      <c r="N2" s="0" t="n">
        <v>821.7</v>
      </c>
      <c r="O2" s="0" t="n">
        <v>8393.3</v>
      </c>
      <c r="P2" s="0" t="n">
        <v>12387.1</v>
      </c>
      <c r="Q2" s="0" t="n">
        <v>3993.8</v>
      </c>
      <c r="R2" s="0" t="n">
        <v>2865.2</v>
      </c>
      <c r="S2" s="0" t="n">
        <v>1337</v>
      </c>
      <c r="T2" s="0" t="n">
        <v>1778.3</v>
      </c>
      <c r="U2" s="0" t="n">
        <v>66.9</v>
      </c>
      <c r="AA2" s="0" t="s">
        <v>17</v>
      </c>
      <c r="AB2" s="0" t="s">
        <v>14</v>
      </c>
      <c r="AD2" s="0" t="n">
        <v>715</v>
      </c>
      <c r="AE2" s="0" t="n">
        <v>1770.3</v>
      </c>
    </row>
    <row r="3" customFormat="false" ht="15" hidden="false" customHeight="false" outlineLevel="0" collapsed="false">
      <c r="A3" s="0" t="s">
        <v>67</v>
      </c>
      <c r="B3" s="0" t="n">
        <v>1650.5</v>
      </c>
      <c r="F3" s="0" t="n">
        <v>1130.6</v>
      </c>
      <c r="G3" s="0" t="n">
        <v>68.5</v>
      </c>
      <c r="I3" s="0" t="n">
        <v>796.8</v>
      </c>
      <c r="J3" s="0" t="n">
        <v>48.3</v>
      </c>
      <c r="K3" s="0" t="n">
        <v>0.426</v>
      </c>
      <c r="L3" s="0" t="n">
        <v>586.4</v>
      </c>
      <c r="M3" s="0" t="n">
        <v>5.2</v>
      </c>
      <c r="N3" s="0" t="n">
        <v>581.2</v>
      </c>
      <c r="O3" s="0" t="n">
        <v>8622.2</v>
      </c>
      <c r="P3" s="0" t="n">
        <v>12711.2</v>
      </c>
      <c r="Q3" s="0" t="n">
        <v>4089</v>
      </c>
      <c r="R3" s="0" t="n">
        <v>2878.3</v>
      </c>
      <c r="S3" s="0" t="n">
        <v>2095.1</v>
      </c>
      <c r="T3" s="0" t="n">
        <v>1789.1</v>
      </c>
      <c r="U3" s="0" t="n">
        <v>85.4</v>
      </c>
      <c r="AA3" s="0" t="s">
        <v>17</v>
      </c>
      <c r="AB3" s="0" t="s">
        <v>14</v>
      </c>
      <c r="AD3" s="0" t="n">
        <v>776</v>
      </c>
      <c r="AE3" s="0" t="n">
        <v>1787.3</v>
      </c>
    </row>
    <row r="4" customFormat="false" ht="15" hidden="false" customHeight="false" outlineLevel="0" collapsed="false">
      <c r="A4" s="0" t="s">
        <v>68</v>
      </c>
      <c r="B4" s="0" t="n">
        <v>1582.7</v>
      </c>
      <c r="F4" s="0" t="n">
        <v>1452.5</v>
      </c>
      <c r="G4" s="0" t="n">
        <v>91.8</v>
      </c>
      <c r="I4" s="0" t="n">
        <v>1102.8</v>
      </c>
      <c r="J4" s="0" t="n">
        <v>69.7</v>
      </c>
      <c r="K4" s="0" t="n">
        <v>0.594</v>
      </c>
      <c r="L4" s="0" t="n">
        <v>1161.2</v>
      </c>
      <c r="M4" s="0" t="n">
        <v>5.4</v>
      </c>
      <c r="N4" s="0" t="n">
        <v>1155.8</v>
      </c>
      <c r="O4" s="0" t="n">
        <v>9173.7</v>
      </c>
      <c r="P4" s="0" t="n">
        <v>13459.4</v>
      </c>
      <c r="Q4" s="0" t="n">
        <v>4285.7</v>
      </c>
      <c r="R4" s="0" t="n">
        <v>3081.5</v>
      </c>
      <c r="S4" s="0" t="n">
        <v>2406.8</v>
      </c>
      <c r="T4" s="0" t="n">
        <v>1800.8</v>
      </c>
      <c r="U4" s="0" t="n">
        <v>125.6</v>
      </c>
      <c r="AA4" s="0" t="s">
        <v>17</v>
      </c>
      <c r="AB4" s="0" t="s">
        <v>14</v>
      </c>
      <c r="AD4" s="0" t="n">
        <v>845.9</v>
      </c>
      <c r="AE4" s="0" t="n">
        <v>1798.8</v>
      </c>
    </row>
    <row r="5" customFormat="false" ht="15" hidden="false" customHeight="false" outlineLevel="0" collapsed="false">
      <c r="A5" s="0" t="s">
        <v>69</v>
      </c>
      <c r="B5" s="0" t="n">
        <v>1718.6</v>
      </c>
      <c r="F5" s="0" t="n">
        <v>1794</v>
      </c>
      <c r="G5" s="0" t="n">
        <v>104.4</v>
      </c>
      <c r="I5" s="0" t="n">
        <v>1627.9</v>
      </c>
      <c r="J5" s="0" t="n">
        <v>94.7</v>
      </c>
      <c r="K5" s="0" t="n">
        <v>0.873</v>
      </c>
      <c r="L5" s="0" t="n">
        <v>827.5</v>
      </c>
      <c r="M5" s="0" t="n">
        <v>1.7</v>
      </c>
      <c r="N5" s="0" t="n">
        <v>825.8</v>
      </c>
      <c r="O5" s="0" t="n">
        <v>10522.5</v>
      </c>
      <c r="P5" s="0" t="n">
        <v>14912.8</v>
      </c>
      <c r="Q5" s="0" t="n">
        <v>4390.3</v>
      </c>
      <c r="R5" s="0" t="n">
        <v>2975</v>
      </c>
      <c r="S5" s="0" t="n">
        <v>1607.1</v>
      </c>
      <c r="T5" s="0" t="n">
        <v>1813.9</v>
      </c>
      <c r="U5" s="0" t="n">
        <v>196.6</v>
      </c>
      <c r="AA5" s="0" t="s">
        <v>17</v>
      </c>
      <c r="AB5" s="0" t="s">
        <v>14</v>
      </c>
      <c r="AD5" s="0" t="n">
        <v>942.3</v>
      </c>
      <c r="AE5" s="0" t="n">
        <v>1811.7</v>
      </c>
    </row>
    <row r="6" customFormat="false" ht="15" hidden="false" customHeight="false" outlineLevel="0" collapsed="false">
      <c r="A6" s="0" t="s">
        <v>70</v>
      </c>
      <c r="B6" s="0" t="n">
        <v>1510.9</v>
      </c>
      <c r="F6" s="0" t="n">
        <v>1697.3</v>
      </c>
      <c r="G6" s="0" t="n">
        <v>112.3</v>
      </c>
      <c r="I6" s="0" t="n">
        <v>1504.1</v>
      </c>
      <c r="J6" s="0" t="n">
        <v>99.5</v>
      </c>
      <c r="K6" s="0" t="n">
        <v>0.8</v>
      </c>
      <c r="L6" s="0" t="n">
        <v>1156.9</v>
      </c>
      <c r="M6" s="0" t="n">
        <v>2.5</v>
      </c>
      <c r="N6" s="0" t="n">
        <v>1154.4</v>
      </c>
      <c r="O6" s="0" t="n">
        <v>11520.6</v>
      </c>
      <c r="P6" s="0" t="n">
        <v>16138.2</v>
      </c>
      <c r="Q6" s="0" t="n">
        <v>4617.6</v>
      </c>
      <c r="R6" s="0" t="n">
        <v>2938.5</v>
      </c>
      <c r="S6" s="0" t="n">
        <v>1781.9</v>
      </c>
      <c r="T6" s="0" t="n">
        <v>1828.4</v>
      </c>
      <c r="U6" s="0" t="n">
        <v>164</v>
      </c>
      <c r="AA6" s="0" t="s">
        <v>17</v>
      </c>
      <c r="AB6" s="0" t="s">
        <v>14</v>
      </c>
      <c r="AD6" s="0" t="n">
        <v>1060.2</v>
      </c>
      <c r="AE6" s="0" t="n">
        <v>1826</v>
      </c>
    </row>
    <row r="7" customFormat="false" ht="15" hidden="false" customHeight="false" outlineLevel="0" collapsed="false">
      <c r="A7" s="0" t="s">
        <v>71</v>
      </c>
      <c r="B7" s="0" t="n">
        <v>1988.3</v>
      </c>
      <c r="F7" s="0" t="n">
        <v>2345.1</v>
      </c>
      <c r="G7" s="0" t="n">
        <v>117.9</v>
      </c>
      <c r="I7" s="0" t="n">
        <v>2311.9</v>
      </c>
      <c r="J7" s="0" t="n">
        <v>116.3</v>
      </c>
      <c r="K7" s="0" t="n">
        <v>1.221</v>
      </c>
      <c r="L7" s="0" t="n">
        <v>1114.7</v>
      </c>
      <c r="M7" s="0" t="n">
        <v>7</v>
      </c>
      <c r="N7" s="0" t="n">
        <v>1107.7</v>
      </c>
      <c r="O7" s="0" t="n">
        <v>13161.5</v>
      </c>
      <c r="P7" s="0" t="n">
        <v>16867</v>
      </c>
      <c r="Q7" s="0" t="n">
        <v>3705.5</v>
      </c>
      <c r="R7" s="0" t="n">
        <v>2060.3</v>
      </c>
      <c r="S7" s="0" t="n">
        <v>920.4</v>
      </c>
      <c r="T7" s="0" t="n">
        <v>1847.4</v>
      </c>
      <c r="U7" s="0" t="n">
        <v>268.8</v>
      </c>
      <c r="AA7" s="0" t="s">
        <v>17</v>
      </c>
      <c r="AB7" s="0" t="s">
        <v>14</v>
      </c>
      <c r="AD7" s="0" t="n">
        <v>1219.4</v>
      </c>
      <c r="AE7" s="0" t="n">
        <v>1844.2</v>
      </c>
    </row>
    <row r="8" customFormat="false" ht="15" hidden="false" customHeight="false" outlineLevel="0" collapsed="false">
      <c r="A8" s="0" t="s">
        <v>72</v>
      </c>
      <c r="B8" s="0" t="n">
        <v>2091.8</v>
      </c>
      <c r="F8" s="0" t="n">
        <v>3960.9</v>
      </c>
      <c r="G8" s="0" t="n">
        <v>189.4</v>
      </c>
      <c r="I8" s="0" t="n">
        <v>3414</v>
      </c>
      <c r="J8" s="0" t="n">
        <v>163.2</v>
      </c>
      <c r="K8" s="0" t="n">
        <v>1.788</v>
      </c>
      <c r="L8" s="0" t="n">
        <v>841</v>
      </c>
      <c r="M8" s="0" t="n">
        <v>5.9</v>
      </c>
      <c r="N8" s="0" t="n">
        <v>835.1</v>
      </c>
      <c r="O8" s="0" t="n">
        <v>16424.8</v>
      </c>
      <c r="P8" s="0" t="n">
        <v>21432.4</v>
      </c>
      <c r="Q8" s="0" t="n">
        <v>5007.6</v>
      </c>
      <c r="R8" s="0" t="n">
        <v>2832.2</v>
      </c>
      <c r="S8" s="0" t="n">
        <v>1056</v>
      </c>
      <c r="T8" s="0" t="n">
        <v>1868.2</v>
      </c>
      <c r="U8" s="0" t="n">
        <v>257.6</v>
      </c>
      <c r="AA8" s="0" t="s">
        <v>17</v>
      </c>
      <c r="AB8" s="0" t="s">
        <v>14</v>
      </c>
      <c r="AD8" s="0" t="n">
        <v>1528</v>
      </c>
      <c r="AE8" s="0" t="n">
        <v>1863.7</v>
      </c>
    </row>
    <row r="9" customFormat="false" ht="15" hidden="false" customHeight="false" outlineLevel="0" collapsed="false">
      <c r="A9" s="0" t="s">
        <v>73</v>
      </c>
      <c r="B9" s="0" t="n">
        <v>1968.9</v>
      </c>
      <c r="F9" s="0" t="n">
        <v>1976.9</v>
      </c>
      <c r="G9" s="0" t="n">
        <v>100.4</v>
      </c>
      <c r="I9" s="0" t="n">
        <v>1559.9</v>
      </c>
      <c r="J9" s="0" t="n">
        <v>79.2</v>
      </c>
      <c r="K9" s="0" t="n">
        <v>0.813</v>
      </c>
      <c r="L9" s="0" t="n">
        <v>1284.2</v>
      </c>
      <c r="M9" s="0" t="n">
        <v>13</v>
      </c>
      <c r="N9" s="0" t="n">
        <v>1271.2</v>
      </c>
      <c r="O9" s="0" t="n">
        <v>18024.8</v>
      </c>
      <c r="P9" s="0" t="n">
        <v>24027.2</v>
      </c>
      <c r="Q9" s="0" t="n">
        <v>6002.4</v>
      </c>
      <c r="R9" s="0" t="n">
        <v>3292.9</v>
      </c>
      <c r="S9" s="0" t="n">
        <v>1360.1</v>
      </c>
      <c r="T9" s="0" t="n">
        <v>1883.8</v>
      </c>
      <c r="U9" s="0" t="n">
        <v>286</v>
      </c>
      <c r="AA9" s="0" t="s">
        <v>17</v>
      </c>
      <c r="AB9" s="0" t="s">
        <v>14</v>
      </c>
      <c r="AD9" s="0" t="n">
        <v>1783.2</v>
      </c>
      <c r="AE9" s="0" t="n">
        <v>1878.6</v>
      </c>
    </row>
    <row r="10" customFormat="false" ht="15" hidden="false" customHeight="false" outlineLevel="0" collapsed="false">
      <c r="A10" s="0" t="s">
        <v>74</v>
      </c>
      <c r="B10" s="0" t="n">
        <v>1983.4</v>
      </c>
      <c r="F10" s="0" t="n">
        <v>-34.5</v>
      </c>
      <c r="G10" s="0" t="n">
        <v>-1.7</v>
      </c>
      <c r="I10" s="0" t="n">
        <v>-98.9</v>
      </c>
      <c r="J10" s="0" t="n">
        <v>-5</v>
      </c>
      <c r="K10" s="0" t="n">
        <v>-0.052</v>
      </c>
      <c r="L10" s="0" t="n">
        <v>1188.6</v>
      </c>
      <c r="M10" s="0" t="n">
        <v>10.5</v>
      </c>
      <c r="N10" s="0" t="n">
        <v>1178.1</v>
      </c>
      <c r="O10" s="0" t="n">
        <v>17537.9</v>
      </c>
      <c r="P10" s="0" t="n">
        <v>23828.1</v>
      </c>
      <c r="Q10" s="0" t="n">
        <v>6290.2</v>
      </c>
      <c r="R10" s="0" t="n">
        <v>3686.7</v>
      </c>
      <c r="S10" s="0" t="n">
        <v>1785.3</v>
      </c>
      <c r="T10" s="0" t="n">
        <v>1899.2</v>
      </c>
      <c r="U10" s="0" t="n">
        <v>501.4</v>
      </c>
      <c r="AA10" s="0" t="s">
        <v>17</v>
      </c>
      <c r="AB10" s="0" t="s">
        <v>14</v>
      </c>
      <c r="AD10" s="0" t="n">
        <v>2049.4</v>
      </c>
      <c r="AE10" s="0" t="n">
        <v>1896.7</v>
      </c>
    </row>
    <row r="11" customFormat="false" ht="15" hidden="false" customHeight="false" outlineLevel="0" collapsed="false">
      <c r="A11" s="0" t="s">
        <v>75</v>
      </c>
      <c r="B11" s="0" t="n">
        <v>2311</v>
      </c>
      <c r="F11" s="0" t="n">
        <v>2077</v>
      </c>
      <c r="G11" s="0" t="n">
        <v>89.9</v>
      </c>
      <c r="I11" s="0" t="n">
        <v>1666.4</v>
      </c>
      <c r="J11" s="0" t="n">
        <v>72.1</v>
      </c>
      <c r="K11" s="0" t="n">
        <v>0.844</v>
      </c>
      <c r="L11" s="0" t="n">
        <v>959.6</v>
      </c>
      <c r="M11" s="0" t="n">
        <v>6.4</v>
      </c>
      <c r="N11" s="0" t="n">
        <v>953.2</v>
      </c>
      <c r="O11" s="0" t="n">
        <v>23310.1</v>
      </c>
      <c r="P11" s="0" t="n">
        <v>31565.3</v>
      </c>
      <c r="Q11" s="0" t="n">
        <v>8255.2</v>
      </c>
      <c r="R11" s="0" t="n">
        <v>5235.5</v>
      </c>
      <c r="S11" s="0" t="n">
        <v>3957.1</v>
      </c>
      <c r="T11" s="0" t="n">
        <v>2031.2</v>
      </c>
      <c r="U11" s="0" t="n">
        <v>356.2</v>
      </c>
      <c r="AA11" s="0" t="s">
        <v>17</v>
      </c>
      <c r="AB11" s="0" t="s">
        <v>14</v>
      </c>
      <c r="AD11" s="0" t="n">
        <v>2311.2</v>
      </c>
      <c r="AE11" s="0" t="n">
        <v>1950.9</v>
      </c>
    </row>
    <row r="12" customFormat="false" ht="15" hidden="false" customHeight="false" outlineLevel="0" collapsed="false">
      <c r="A12" s="0" t="s">
        <v>76</v>
      </c>
      <c r="B12" s="0" t="n">
        <v>2562.7</v>
      </c>
      <c r="F12" s="0" t="n">
        <v>2493.1</v>
      </c>
      <c r="G12" s="0" t="n">
        <v>97.3</v>
      </c>
      <c r="I12" s="0" t="n">
        <v>2778.7</v>
      </c>
      <c r="J12" s="0" t="n">
        <v>108.4</v>
      </c>
      <c r="K12" s="0" t="n">
        <v>1.329</v>
      </c>
      <c r="L12" s="0" t="n">
        <v>1920.6</v>
      </c>
      <c r="M12" s="0" t="n">
        <v>39.5</v>
      </c>
      <c r="N12" s="0" t="n">
        <v>1881.1</v>
      </c>
      <c r="O12" s="0" t="n">
        <v>24948.2</v>
      </c>
      <c r="P12" s="0" t="n">
        <v>33432.5</v>
      </c>
      <c r="Q12" s="0" t="n">
        <v>8484.3</v>
      </c>
      <c r="R12" s="0" t="n">
        <v>6030.8</v>
      </c>
      <c r="S12" s="0" t="n">
        <v>4081.5</v>
      </c>
      <c r="T12" s="0" t="n">
        <v>2044.8</v>
      </c>
      <c r="U12" s="0" t="n">
        <v>465.8</v>
      </c>
      <c r="AA12" s="0" t="s">
        <v>17</v>
      </c>
      <c r="AB12" s="0" t="s">
        <v>14</v>
      </c>
      <c r="AC12" s="0" t="n">
        <v>75.4</v>
      </c>
      <c r="AD12" s="0" t="n">
        <v>2674.5</v>
      </c>
      <c r="AE12" s="0" t="n">
        <v>2042.6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26</v>
      </c>
    </row>
    <row r="3" customFormat="false" ht="15" hidden="false" customHeight="false" outlineLevel="0" collapsed="false">
      <c r="A3" s="0" t="s">
        <v>80</v>
      </c>
      <c r="B3" s="3" t="n">
        <v>2092.3</v>
      </c>
    </row>
    <row r="4" customFormat="false" ht="15" hidden="false" customHeight="false" outlineLevel="0" collapsed="false">
      <c r="A4" s="0" t="s">
        <v>81</v>
      </c>
      <c r="B4" s="3" t="n">
        <v>0</v>
      </c>
    </row>
    <row r="5" customFormat="false" ht="15" hidden="false" customHeight="false" outlineLevel="0" collapsed="false">
      <c r="A5" s="0" t="s">
        <v>82</v>
      </c>
      <c r="B5" s="3" t="n">
        <v>0</v>
      </c>
    </row>
    <row r="6" customFormat="false" ht="15" hidden="false" customHeight="false" outlineLevel="0" collapsed="false">
      <c r="A6" s="0" t="s">
        <v>83</v>
      </c>
      <c r="B6" s="3" t="n">
        <v>15</v>
      </c>
    </row>
    <row r="7" customFormat="false" ht="15" hidden="false" customHeight="false" outlineLevel="0" collapsed="false">
      <c r="A7" s="0" t="s">
        <v>84</v>
      </c>
      <c r="B7" s="3" t="n">
        <v>3204.4</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6</v>
      </c>
      <c r="D13" s="3" t="n">
        <v>2</v>
      </c>
      <c r="E13" s="3" t="n">
        <v>-6</v>
      </c>
      <c r="F13" s="3" t="n">
        <v>-8</v>
      </c>
      <c r="G13" s="3" t="n">
        <v>0</v>
      </c>
      <c r="H13" s="3" t="n">
        <v>3</v>
      </c>
      <c r="I13" s="3" t="n">
        <v>3</v>
      </c>
      <c r="J13" s="3" t="n">
        <v>3</v>
      </c>
      <c r="K13" s="3" t="n">
        <v>2.5</v>
      </c>
      <c r="L13" s="3" t="n">
        <v>2.5</v>
      </c>
    </row>
    <row r="14" customFormat="false" ht="15" hidden="false" customHeight="false" outlineLevel="0" collapsed="false">
      <c r="A14" s="0" t="s">
        <v>101</v>
      </c>
      <c r="C14" s="3" t="n">
        <v>89.5</v>
      </c>
      <c r="D14" s="3" t="n">
        <v>88</v>
      </c>
      <c r="E14" s="3" t="n">
        <v>85</v>
      </c>
      <c r="F14" s="3" t="n">
        <v>84</v>
      </c>
      <c r="G14" s="3" t="n">
        <v>85</v>
      </c>
      <c r="H14" s="3" t="n">
        <v>86</v>
      </c>
      <c r="I14" s="3" t="n">
        <v>86.5</v>
      </c>
      <c r="J14" s="3" t="n">
        <v>87</v>
      </c>
      <c r="K14" s="3" t="n">
        <v>87</v>
      </c>
      <c r="L14" s="3" t="n">
        <v>87</v>
      </c>
    </row>
    <row r="15" customFormat="false" ht="15" hidden="false" customHeight="false" outlineLevel="0" collapsed="false">
      <c r="A15" s="0" t="s">
        <v>102</v>
      </c>
      <c r="C15" s="3" t="n">
        <v>14.5</v>
      </c>
      <c r="D15" s="3" t="n">
        <v>13.5</v>
      </c>
      <c r="E15" s="3" t="n">
        <v>12</v>
      </c>
      <c r="F15" s="3" t="n">
        <v>11.5</v>
      </c>
      <c r="G15" s="3" t="n">
        <v>11.5</v>
      </c>
      <c r="H15" s="3" t="n">
        <v>11.5</v>
      </c>
      <c r="I15" s="3" t="n">
        <v>11.5</v>
      </c>
      <c r="J15" s="3" t="n">
        <v>11.5</v>
      </c>
      <c r="K15" s="3" t="n">
        <v>11.5</v>
      </c>
      <c r="L15" s="3" t="n">
        <v>11.5</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105</v>
      </c>
      <c r="C18" s="3" t="n">
        <v>57.4</v>
      </c>
      <c r="D18" s="3" t="n">
        <v>53.3</v>
      </c>
      <c r="E18" s="3" t="n">
        <v>36.9</v>
      </c>
      <c r="F18" s="3" t="n">
        <v>24.6</v>
      </c>
      <c r="G18" s="3" t="n">
        <v>24.6</v>
      </c>
      <c r="H18" s="3" t="n">
        <v>24.6</v>
      </c>
      <c r="I18" s="3" t="n">
        <v>24.6</v>
      </c>
      <c r="J18" s="3" t="n">
        <v>24.6</v>
      </c>
      <c r="K18" s="3" t="n">
        <v>20.5</v>
      </c>
      <c r="L18" s="3" t="n">
        <v>20.5</v>
      </c>
    </row>
    <row r="19" customFormat="false" ht="15" hidden="false" customHeight="false" outlineLevel="0" collapsed="false">
      <c r="A19" s="0" t="s">
        <v>106</v>
      </c>
      <c r="C19" s="3" t="n">
        <v>9</v>
      </c>
      <c r="D19" s="3" t="n">
        <v>9</v>
      </c>
      <c r="E19" s="3" t="n">
        <v>8.5</v>
      </c>
      <c r="F19" s="3" t="n">
        <v>8</v>
      </c>
      <c r="G19" s="3" t="n">
        <v>8</v>
      </c>
      <c r="H19" s="3" t="n">
        <v>8.5</v>
      </c>
      <c r="I19" s="3" t="n">
        <v>9</v>
      </c>
      <c r="J19" s="3" t="n">
        <v>9</v>
      </c>
      <c r="K19" s="3" t="n">
        <v>9</v>
      </c>
      <c r="L19" s="3" t="n">
        <v>9</v>
      </c>
    </row>
    <row r="20" customFormat="false" ht="15" hidden="false" customHeight="false" outlineLevel="0" collapsed="false">
      <c r="A20" s="0" t="s">
        <v>107</v>
      </c>
      <c r="B20" s="3" t="n">
        <v>10</v>
      </c>
    </row>
    <row r="21" customFormat="false" ht="15" hidden="false" customHeight="false" outlineLevel="0" collapsed="false">
      <c r="A21" s="0" t="s">
        <v>108</v>
      </c>
      <c r="B21" s="3" t="n">
        <v>2.5</v>
      </c>
    </row>
    <row r="22" customFormat="false" ht="15" hidden="false" customHeight="false" outlineLevel="0" collapsed="false">
      <c r="A22" s="0" t="s">
        <v>109</v>
      </c>
      <c r="B22" s="3" t="n">
        <v>15</v>
      </c>
    </row>
    <row r="23" customFormat="false" ht="15" hidden="false" customHeight="false" outlineLevel="0" collapsed="false">
      <c r="A23" s="0" t="s">
        <v>110</v>
      </c>
      <c r="B23" s="3" t="n">
        <v>0</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9</v>
      </c>
      <c r="D27" s="3" t="n">
        <v>9</v>
      </c>
      <c r="E27" s="3" t="n">
        <v>9</v>
      </c>
      <c r="F27" s="3" t="n">
        <v>8</v>
      </c>
      <c r="G27" s="3" t="n">
        <v>7</v>
      </c>
      <c r="H27" s="3" t="n">
        <v>6</v>
      </c>
      <c r="I27" s="3" t="n">
        <v>5</v>
      </c>
      <c r="J27" s="3" t="n">
        <v>4</v>
      </c>
      <c r="K27" s="3" t="n">
        <v>3.5</v>
      </c>
      <c r="L27" s="3" t="n">
        <v>3</v>
      </c>
    </row>
    <row r="28" customFormat="false" ht="15" hidden="false" customHeight="false" outlineLevel="0" collapsed="false">
      <c r="A28" s="0" t="s">
        <v>101</v>
      </c>
      <c r="C28" s="3" t="n">
        <v>90</v>
      </c>
      <c r="D28" s="3" t="n">
        <v>89</v>
      </c>
      <c r="E28" s="3" t="n">
        <v>88.5</v>
      </c>
      <c r="F28" s="3" t="n">
        <v>88</v>
      </c>
      <c r="G28" s="3" t="n">
        <v>88</v>
      </c>
      <c r="H28" s="3" t="n">
        <v>88</v>
      </c>
      <c r="I28" s="3" t="n">
        <v>88</v>
      </c>
      <c r="J28" s="3" t="n">
        <v>88</v>
      </c>
      <c r="K28" s="3" t="n">
        <v>88</v>
      </c>
      <c r="L28" s="3" t="n">
        <v>88</v>
      </c>
    </row>
    <row r="29" customFormat="false" ht="15" hidden="false" customHeight="false" outlineLevel="0" collapsed="false">
      <c r="A29" s="0" t="s">
        <v>102</v>
      </c>
      <c r="C29" s="3" t="n">
        <v>14.5</v>
      </c>
      <c r="D29" s="3" t="n">
        <v>14</v>
      </c>
      <c r="E29" s="3" t="n">
        <v>13.5</v>
      </c>
      <c r="F29" s="3" t="n">
        <v>13</v>
      </c>
      <c r="G29" s="3" t="n">
        <v>12.5</v>
      </c>
      <c r="H29" s="3" t="n">
        <v>12</v>
      </c>
      <c r="I29" s="3" t="n">
        <v>11.5</v>
      </c>
      <c r="J29" s="3" t="n">
        <v>11</v>
      </c>
      <c r="K29" s="3" t="n">
        <v>11</v>
      </c>
      <c r="L29" s="3" t="n">
        <v>11</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105</v>
      </c>
      <c r="C32" s="3" t="n">
        <v>53.7</v>
      </c>
      <c r="D32" s="3" t="n">
        <v>53.7</v>
      </c>
      <c r="E32" s="3" t="n">
        <v>47.7</v>
      </c>
      <c r="F32" s="3" t="n">
        <v>41.8</v>
      </c>
      <c r="G32" s="3" t="n">
        <v>35.8</v>
      </c>
      <c r="H32" s="3" t="n">
        <v>29.8</v>
      </c>
      <c r="I32" s="3" t="n">
        <v>23.9</v>
      </c>
      <c r="J32" s="3" t="n">
        <v>20.9</v>
      </c>
      <c r="K32" s="3" t="n">
        <v>17.9</v>
      </c>
      <c r="L32" s="3" t="n">
        <v>17.9</v>
      </c>
    </row>
    <row r="33" customFormat="false" ht="15" hidden="false" customHeight="false" outlineLevel="0" collapsed="false">
      <c r="A33" s="0" t="s">
        <v>106</v>
      </c>
      <c r="C33" s="3" t="n">
        <v>9</v>
      </c>
      <c r="D33" s="3" t="n">
        <v>9</v>
      </c>
      <c r="E33" s="3" t="n">
        <v>9</v>
      </c>
      <c r="F33" s="3" t="n">
        <v>9.5</v>
      </c>
      <c r="G33" s="3" t="n">
        <v>9.5</v>
      </c>
      <c r="H33" s="3" t="n">
        <v>9.5</v>
      </c>
      <c r="I33" s="3" t="n">
        <v>10</v>
      </c>
      <c r="J33" s="3" t="n">
        <v>10</v>
      </c>
      <c r="K33" s="3" t="n">
        <v>10</v>
      </c>
      <c r="L33" s="3" t="n">
        <v>10</v>
      </c>
    </row>
    <row r="34" customFormat="false" ht="15" hidden="false" customHeight="false" outlineLevel="0" collapsed="false">
      <c r="A34" s="0" t="s">
        <v>107</v>
      </c>
      <c r="B34" s="3" t="n">
        <v>10</v>
      </c>
    </row>
    <row r="35" customFormat="false" ht="15" hidden="false" customHeight="false" outlineLevel="0" collapsed="false">
      <c r="A35" s="0" t="s">
        <v>108</v>
      </c>
      <c r="B35" s="3" t="n">
        <v>3</v>
      </c>
    </row>
    <row r="36" customFormat="false" ht="15" hidden="false" customHeight="false" outlineLevel="0" collapsed="false">
      <c r="A36" s="0" t="s">
        <v>109</v>
      </c>
      <c r="B36" s="3" t="n">
        <v>18</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10</v>
      </c>
      <c r="D41" s="3" t="n">
        <v>12</v>
      </c>
      <c r="E41" s="3" t="n">
        <v>14</v>
      </c>
      <c r="F41" s="3" t="n">
        <v>13</v>
      </c>
      <c r="G41" s="3" t="n">
        <v>10</v>
      </c>
      <c r="H41" s="3" t="n">
        <v>8</v>
      </c>
      <c r="I41" s="3" t="n">
        <v>6</v>
      </c>
      <c r="J41" s="3" t="n">
        <v>5</v>
      </c>
      <c r="K41" s="3" t="n">
        <v>4</v>
      </c>
      <c r="L41" s="3" t="n">
        <v>3.5</v>
      </c>
    </row>
    <row r="42" customFormat="false" ht="15" hidden="false" customHeight="false" outlineLevel="0" collapsed="false">
      <c r="A42" s="0" t="s">
        <v>101</v>
      </c>
      <c r="C42" s="3" t="n">
        <v>90.5</v>
      </c>
      <c r="D42" s="3" t="n">
        <v>90.5</v>
      </c>
      <c r="E42" s="3" t="n">
        <v>90.5</v>
      </c>
      <c r="F42" s="3" t="n">
        <v>90.5</v>
      </c>
      <c r="G42" s="3" t="n">
        <v>90.5</v>
      </c>
      <c r="H42" s="3" t="n">
        <v>90.5</v>
      </c>
      <c r="I42" s="3" t="n">
        <v>90.5</v>
      </c>
      <c r="J42" s="3" t="n">
        <v>90.5</v>
      </c>
      <c r="K42" s="3" t="n">
        <v>90.5</v>
      </c>
      <c r="L42" s="3" t="n">
        <v>90.5</v>
      </c>
    </row>
    <row r="43" customFormat="false" ht="15" hidden="false" customHeight="false" outlineLevel="0" collapsed="false">
      <c r="A43" s="0" t="s">
        <v>102</v>
      </c>
      <c r="C43" s="3" t="n">
        <v>14.5</v>
      </c>
      <c r="D43" s="3" t="n">
        <v>13.5</v>
      </c>
      <c r="E43" s="3" t="n">
        <v>12.5</v>
      </c>
      <c r="F43" s="3" t="n">
        <v>11.5</v>
      </c>
      <c r="G43" s="3" t="n">
        <v>11</v>
      </c>
      <c r="H43" s="3" t="n">
        <v>10.5</v>
      </c>
      <c r="I43" s="3" t="n">
        <v>10</v>
      </c>
      <c r="J43" s="3" t="n">
        <v>10</v>
      </c>
      <c r="K43" s="3" t="n">
        <v>10</v>
      </c>
      <c r="L43" s="3" t="n">
        <v>10</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105</v>
      </c>
      <c r="C46" s="3" t="n">
        <v>56</v>
      </c>
      <c r="D46" s="3" t="n">
        <v>65.3</v>
      </c>
      <c r="E46" s="3" t="n">
        <v>60.7</v>
      </c>
      <c r="F46" s="3" t="n">
        <v>46.7</v>
      </c>
      <c r="G46" s="3" t="n">
        <v>37.3</v>
      </c>
      <c r="H46" s="3" t="n">
        <v>28</v>
      </c>
      <c r="I46" s="3" t="n">
        <v>23.3</v>
      </c>
      <c r="J46" s="3" t="n">
        <v>18.7</v>
      </c>
      <c r="K46" s="3" t="n">
        <v>16.3</v>
      </c>
      <c r="L46" s="3" t="n">
        <v>16.3</v>
      </c>
    </row>
    <row r="47" customFormat="false" ht="15" hidden="false" customHeight="false" outlineLevel="0" collapsed="false">
      <c r="A47" s="0" t="s">
        <v>106</v>
      </c>
      <c r="C47" s="3" t="n">
        <v>9</v>
      </c>
      <c r="D47" s="3" t="n">
        <v>9</v>
      </c>
      <c r="E47" s="3" t="n">
        <v>9</v>
      </c>
      <c r="F47" s="3" t="n">
        <v>9</v>
      </c>
      <c r="G47" s="3" t="n">
        <v>9.5</v>
      </c>
      <c r="H47" s="3" t="n">
        <v>9.5</v>
      </c>
      <c r="I47" s="3" t="n">
        <v>9.5</v>
      </c>
      <c r="J47" s="3" t="n">
        <v>9.5</v>
      </c>
      <c r="K47" s="3" t="n">
        <v>9.5</v>
      </c>
      <c r="L47" s="3" t="n">
        <v>9.5</v>
      </c>
    </row>
    <row r="48" customFormat="false" ht="15" hidden="false" customHeight="false" outlineLevel="0" collapsed="false">
      <c r="A48" s="0" t="s">
        <v>107</v>
      </c>
      <c r="B48" s="3" t="n">
        <v>10</v>
      </c>
    </row>
    <row r="49" customFormat="false" ht="15" hidden="false" customHeight="false" outlineLevel="0" collapsed="false">
      <c r="A49" s="0" t="s">
        <v>108</v>
      </c>
      <c r="B49" s="3" t="n">
        <v>3.5</v>
      </c>
    </row>
    <row r="50" customFormat="false" ht="15" hidden="false" customHeight="false" outlineLevel="0" collapsed="false">
      <c r="A50" s="0" t="s">
        <v>109</v>
      </c>
      <c r="B50" s="3" t="n">
        <v>20</v>
      </c>
    </row>
    <row r="51" customFormat="false" ht="15" hidden="false" customHeight="false" outlineLevel="0" collapsed="false">
      <c r="A51" s="0" t="s">
        <v>110</v>
      </c>
      <c r="B51" s="3" t="n">
        <v>0</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6</v>
      </c>
      <c r="D5" s="4" t="n">
        <f aca="false">Assumptions!D13</f>
        <v>2</v>
      </c>
      <c r="E5" s="4" t="n">
        <f aca="false">Assumptions!E13</f>
        <v>-6</v>
      </c>
      <c r="F5" s="4" t="n">
        <f aca="false">Assumptions!F13</f>
        <v>-8</v>
      </c>
      <c r="G5" s="4" t="n">
        <f aca="false">Assumptions!G13</f>
        <v>0</v>
      </c>
      <c r="H5" s="4" t="n">
        <f aca="false">Assumptions!H13</f>
        <v>3</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3204.4</v>
      </c>
      <c r="C6" s="0" t="n">
        <f aca="false">B6*(1+C5/100)</f>
        <v>3396.664</v>
      </c>
      <c r="D6" s="0" t="n">
        <f aca="false">C6*(1+D5/100)</f>
        <v>3464.59728</v>
      </c>
      <c r="E6" s="0" t="n">
        <f aca="false">D6*(1+E5/100)</f>
        <v>3256.7214432</v>
      </c>
      <c r="F6" s="0" t="n">
        <f aca="false">E6*(1+F5/100)</f>
        <v>2996.183727744</v>
      </c>
      <c r="G6" s="0" t="n">
        <f aca="false">F6*(1+G5/100)</f>
        <v>2996.183727744</v>
      </c>
      <c r="H6" s="0" t="n">
        <f aca="false">G6*(1+H5/100)</f>
        <v>3086.06923957632</v>
      </c>
      <c r="I6" s="0" t="n">
        <f aca="false">H6*(1+I5/100)</f>
        <v>3178.65131676361</v>
      </c>
      <c r="J6" s="0" t="n">
        <f aca="false">I6*(1+J5/100)</f>
        <v>3274.01085626652</v>
      </c>
      <c r="K6" s="0" t="n">
        <f aca="false">J6*(1+K5/100)</f>
        <v>3355.86112767318</v>
      </c>
      <c r="L6" s="0" t="n">
        <f aca="false">K6*(1+L5/100)</f>
        <v>3439.75765586501</v>
      </c>
    </row>
    <row r="7" customFormat="false" ht="15" hidden="false" customHeight="false" outlineLevel="0" collapsed="false">
      <c r="A7" s="0" t="s">
        <v>101</v>
      </c>
      <c r="C7" s="4" t="n">
        <f aca="false">Assumptions!C14</f>
        <v>89.5</v>
      </c>
      <c r="D7" s="4" t="n">
        <f aca="false">Assumptions!D14</f>
        <v>88</v>
      </c>
      <c r="E7" s="4" t="n">
        <f aca="false">Assumptions!E14</f>
        <v>85</v>
      </c>
      <c r="F7" s="4" t="n">
        <f aca="false">Assumptions!F14</f>
        <v>84</v>
      </c>
      <c r="G7" s="4" t="n">
        <f aca="false">Assumptions!G14</f>
        <v>85</v>
      </c>
      <c r="H7" s="4" t="n">
        <f aca="false">Assumptions!H14</f>
        <v>86</v>
      </c>
      <c r="I7" s="4" t="n">
        <f aca="false">Assumptions!I14</f>
        <v>86.5</v>
      </c>
      <c r="J7" s="4" t="n">
        <f aca="false">Assumptions!J14</f>
        <v>87</v>
      </c>
      <c r="K7" s="4" t="n">
        <f aca="false">Assumptions!K14</f>
        <v>87</v>
      </c>
      <c r="L7" s="4" t="n">
        <f aca="false">Assumptions!L14</f>
        <v>87</v>
      </c>
    </row>
    <row r="8" customFormat="false" ht="15" hidden="false" customHeight="false" outlineLevel="0" collapsed="false">
      <c r="A8" s="0" t="s">
        <v>43</v>
      </c>
      <c r="C8" s="0" t="n">
        <f aca="false">C6*C7/100</f>
        <v>3040.01428</v>
      </c>
      <c r="D8" s="0" t="n">
        <f aca="false">D6*D7/100</f>
        <v>3048.8456064</v>
      </c>
      <c r="E8" s="0" t="n">
        <f aca="false">E6*E7/100</f>
        <v>2768.21322672</v>
      </c>
      <c r="F8" s="0" t="n">
        <f aca="false">F6*F7/100</f>
        <v>2516.79433130496</v>
      </c>
      <c r="G8" s="0" t="n">
        <f aca="false">G6*G7/100</f>
        <v>2546.7561685824</v>
      </c>
      <c r="H8" s="0" t="n">
        <f aca="false">H6*H7/100</f>
        <v>2654.01954603564</v>
      </c>
      <c r="I8" s="0" t="n">
        <f aca="false">I6*I7/100</f>
        <v>2749.53338900052</v>
      </c>
      <c r="J8" s="0" t="n">
        <f aca="false">J6*J7/100</f>
        <v>2848.38944495187</v>
      </c>
      <c r="K8" s="0" t="n">
        <f aca="false">K6*K7/100</f>
        <v>2919.59918107567</v>
      </c>
      <c r="L8" s="0" t="n">
        <f aca="false">L6*L7/100</f>
        <v>2992.58916060256</v>
      </c>
    </row>
    <row r="9" customFormat="false" ht="15" hidden="false" customHeight="false" outlineLevel="0" collapsed="false">
      <c r="A9" s="0" t="s">
        <v>102</v>
      </c>
      <c r="C9" s="4" t="n">
        <f aca="false">Assumptions!C15</f>
        <v>14.5</v>
      </c>
      <c r="D9" s="4" t="n">
        <f aca="false">Assumptions!D15</f>
        <v>13.5</v>
      </c>
      <c r="E9" s="4" t="n">
        <f aca="false">Assumptions!E15</f>
        <v>12</v>
      </c>
      <c r="F9" s="4" t="n">
        <f aca="false">Assumptions!F15</f>
        <v>11.5</v>
      </c>
      <c r="G9" s="4" t="n">
        <f aca="false">Assumptions!G15</f>
        <v>11.5</v>
      </c>
      <c r="H9" s="4" t="n">
        <f aca="false">Assumptions!H15</f>
        <v>11.5</v>
      </c>
      <c r="I9" s="4" t="n">
        <f aca="false">Assumptions!I15</f>
        <v>11.5</v>
      </c>
      <c r="J9" s="4" t="n">
        <f aca="false">Assumptions!J15</f>
        <v>11.5</v>
      </c>
      <c r="K9" s="4" t="n">
        <f aca="false">Assumptions!K15</f>
        <v>11.5</v>
      </c>
      <c r="L9" s="4" t="n">
        <f aca="false">Assumptions!L15</f>
        <v>11.5</v>
      </c>
    </row>
    <row r="10" customFormat="false" ht="15" hidden="false" customHeight="false" outlineLevel="0" collapsed="false">
      <c r="A10" s="0" t="s">
        <v>117</v>
      </c>
      <c r="C10" s="0" t="n">
        <f aca="false">-C6*C9/100</f>
        <v>-492.51628</v>
      </c>
      <c r="D10" s="0" t="n">
        <f aca="false">-D6*D9/100</f>
        <v>-467.7206328</v>
      </c>
      <c r="E10" s="0" t="n">
        <f aca="false">-E6*E9/100</f>
        <v>-390.806573184</v>
      </c>
      <c r="F10" s="0" t="n">
        <f aca="false">-F6*F9/100</f>
        <v>-344.56112869056</v>
      </c>
      <c r="G10" s="0" t="n">
        <f aca="false">-G6*G9/100</f>
        <v>-344.56112869056</v>
      </c>
      <c r="H10" s="0" t="n">
        <f aca="false">-H6*H9/100</f>
        <v>-354.897962551277</v>
      </c>
      <c r="I10" s="0" t="n">
        <f aca="false">-I6*I9/100</f>
        <v>-365.544901427815</v>
      </c>
      <c r="J10" s="0" t="n">
        <f aca="false">-J6*J9/100</f>
        <v>-376.51124847065</v>
      </c>
      <c r="K10" s="0" t="n">
        <f aca="false">-K6*K9/100</f>
        <v>-385.924029682416</v>
      </c>
      <c r="L10" s="0" t="n">
        <f aca="false">-L6*L9/100</f>
        <v>-395.572130424476</v>
      </c>
    </row>
    <row r="11" customFormat="false" ht="15" hidden="false" customHeight="false" outlineLevel="0" collapsed="false">
      <c r="A11" s="0" t="s">
        <v>118</v>
      </c>
      <c r="C11" s="0" t="n">
        <f aca="false">C8+C10+C24</f>
        <v>2547.498</v>
      </c>
      <c r="D11" s="0" t="n">
        <f aca="false">D8+D10+D24</f>
        <v>2581.1249736</v>
      </c>
      <c r="E11" s="0" t="n">
        <f aca="false">E8+E10+E24</f>
        <v>2377.406653536</v>
      </c>
      <c r="F11" s="0" t="n">
        <f aca="false">F8+F10+F24</f>
        <v>2172.2332026144</v>
      </c>
      <c r="G11" s="0" t="n">
        <f aca="false">G8+G10+G24</f>
        <v>2202.19503989184</v>
      </c>
      <c r="H11" s="0" t="n">
        <f aca="false">H8+H10+H24</f>
        <v>2299.12158348436</v>
      </c>
      <c r="I11" s="0" t="n">
        <f aca="false">I8+I10+I24</f>
        <v>2383.98848757271</v>
      </c>
      <c r="J11" s="0" t="n">
        <f aca="false">J8+J10+J24</f>
        <v>2471.87819648122</v>
      </c>
      <c r="K11" s="0" t="n">
        <f aca="false">K8+K10+K24</f>
        <v>2533.67515139325</v>
      </c>
      <c r="L11" s="0" t="n">
        <f aca="false">L8+L10+L24</f>
        <v>2597.01703017808</v>
      </c>
    </row>
    <row r="12" customFormat="false" ht="15" hidden="false" customHeight="false" outlineLevel="0" collapsed="false">
      <c r="A12" s="0" t="s">
        <v>119</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120</v>
      </c>
      <c r="C13" s="0" t="n">
        <f aca="false">C11+C12</f>
        <v>2547.498</v>
      </c>
      <c r="D13" s="0" t="n">
        <f aca="false">D11+D12</f>
        <v>2581.1249736</v>
      </c>
      <c r="E13" s="0" t="n">
        <f aca="false">E11+E12</f>
        <v>2377.406653536</v>
      </c>
      <c r="F13" s="0" t="n">
        <f aca="false">F11+F12</f>
        <v>2172.2332026144</v>
      </c>
      <c r="G13" s="0" t="n">
        <f aca="false">G11+G12</f>
        <v>2202.19503989184</v>
      </c>
      <c r="H13" s="0" t="n">
        <f aca="false">H11+H12</f>
        <v>2299.12158348436</v>
      </c>
      <c r="I13" s="0" t="n">
        <f aca="false">I11+I12</f>
        <v>2383.98848757271</v>
      </c>
      <c r="J13" s="0" t="n">
        <f aca="false">J11+J12</f>
        <v>2471.87819648122</v>
      </c>
      <c r="K13" s="0" t="n">
        <f aca="false">K11+K12</f>
        <v>2533.67515139325</v>
      </c>
      <c r="L13" s="0" t="n">
        <f aca="false">L11+L12</f>
        <v>2597.01703017808</v>
      </c>
    </row>
    <row r="14" customFormat="false" ht="15" hidden="false" customHeight="false" outlineLevel="0" collapsed="false">
      <c r="A14" s="0" t="s">
        <v>106</v>
      </c>
      <c r="C14" s="4" t="n">
        <f aca="false">Assumptions!C19</f>
        <v>9</v>
      </c>
      <c r="D14" s="4" t="n">
        <f aca="false">Assumptions!D19</f>
        <v>9</v>
      </c>
      <c r="E14" s="4" t="n">
        <f aca="false">Assumptions!E19</f>
        <v>8.5</v>
      </c>
      <c r="F14" s="4" t="n">
        <f aca="false">Assumptions!F19</f>
        <v>8</v>
      </c>
      <c r="G14" s="4" t="n">
        <f aca="false">Assumptions!G19</f>
        <v>8</v>
      </c>
      <c r="H14" s="4" t="n">
        <f aca="false">Assumptions!H19</f>
        <v>8.5</v>
      </c>
      <c r="I14" s="4" t="n">
        <f aca="false">Assumptions!I19</f>
        <v>9</v>
      </c>
      <c r="J14" s="4" t="n">
        <f aca="false">Assumptions!J19</f>
        <v>9</v>
      </c>
      <c r="K14" s="4" t="n">
        <f aca="false">Assumptions!K19</f>
        <v>9</v>
      </c>
      <c r="L14" s="4" t="n">
        <f aca="false">Assumptions!L19</f>
        <v>9</v>
      </c>
    </row>
    <row r="15" customFormat="false" ht="15" hidden="false" customHeight="false" outlineLevel="0" collapsed="false">
      <c r="A15" s="0" t="s">
        <v>121</v>
      </c>
      <c r="C15" s="0" t="n">
        <f aca="false">C13-MAX(0,C13)*C14/100</f>
        <v>2318.22318</v>
      </c>
      <c r="D15" s="0" t="n">
        <f aca="false">D13-MAX(0,D13)*D14/100</f>
        <v>2348.823725976</v>
      </c>
      <c r="E15" s="0" t="n">
        <f aca="false">E13-MAX(0,E13)*E14/100</f>
        <v>2175.32708798544</v>
      </c>
      <c r="F15" s="0" t="n">
        <f aca="false">F13-MAX(0,F13)*F14/100</f>
        <v>1998.45454640525</v>
      </c>
      <c r="G15" s="0" t="n">
        <f aca="false">G13-MAX(0,G13)*G14/100</f>
        <v>2026.01943670049</v>
      </c>
      <c r="H15" s="0" t="n">
        <f aca="false">H13-MAX(0,H13)*H14/100</f>
        <v>2103.69624888819</v>
      </c>
      <c r="I15" s="0" t="n">
        <f aca="false">I13-MAX(0,I13)*I14/100</f>
        <v>2169.42952369116</v>
      </c>
      <c r="J15" s="0" t="n">
        <f aca="false">J13-MAX(0,J13)*J14/100</f>
        <v>2249.40915879791</v>
      </c>
      <c r="K15" s="0" t="n">
        <f aca="false">K13-MAX(0,K13)*K14/100</f>
        <v>2305.64438776786</v>
      </c>
      <c r="L15" s="0" t="n">
        <f aca="false">L13-MAX(0,L13)*L14/100</f>
        <v>2363.28549746206</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-C6*Assumptions!C18/100</f>
        <v>-1949.685136</v>
      </c>
      <c r="D17" s="4" t="n">
        <f aca="false">-D6*Assumptions!D18/100</f>
        <v>-1846.63035024</v>
      </c>
      <c r="E17" s="4" t="n">
        <f aca="false">-E6*Assumptions!E18/100</f>
        <v>-1201.7302125408</v>
      </c>
      <c r="F17" s="4" t="n">
        <f aca="false">-F6*Assumptions!F18/100</f>
        <v>-737.061197025024</v>
      </c>
      <c r="G17" s="4" t="n">
        <f aca="false">-G6*Assumptions!G18/100</f>
        <v>-737.061197025024</v>
      </c>
      <c r="H17" s="4" t="n">
        <f aca="false">-H6*Assumptions!H18/100</f>
        <v>-759.173032935775</v>
      </c>
      <c r="I17" s="4" t="n">
        <f aca="false">-I6*Assumptions!I18/100</f>
        <v>-781.948223923848</v>
      </c>
      <c r="J17" s="4" t="n">
        <f aca="false">-J6*Assumptions!J18/100</f>
        <v>-805.406670641564</v>
      </c>
      <c r="K17" s="4" t="n">
        <f aca="false">-K6*Assumptions!K18/100</f>
        <v>-687.951531173002</v>
      </c>
      <c r="L17" s="4" t="n">
        <f aca="false">-L6*Assumptions!L18/100</f>
        <v>-705.150319452327</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368.538044</v>
      </c>
      <c r="D19" s="0" t="n">
        <f aca="false">D15+D16+D17+D18</f>
        <v>502.193375736</v>
      </c>
      <c r="E19" s="0" t="n">
        <f aca="false">E15+E16+E17+E18</f>
        <v>973.59687544464</v>
      </c>
      <c r="F19" s="0" t="n">
        <f aca="false">F15+F16+F17+F18</f>
        <v>1261.39334938022</v>
      </c>
      <c r="G19" s="0" t="n">
        <f aca="false">G15+G16+G17+G18</f>
        <v>1288.95823967547</v>
      </c>
      <c r="H19" s="0" t="n">
        <f aca="false">H15+H16+H17+H18</f>
        <v>1344.52321595241</v>
      </c>
      <c r="I19" s="0" t="n">
        <f aca="false">I15+I16+I17+I18</f>
        <v>1387.48129976732</v>
      </c>
      <c r="J19" s="0" t="n">
        <f aca="false">J15+J16+J17+J18</f>
        <v>1444.00248815635</v>
      </c>
      <c r="K19" s="0" t="n">
        <f aca="false">K15+K16+K17+K18</f>
        <v>1617.69285659486</v>
      </c>
      <c r="L19" s="0" t="n">
        <f aca="false">L15+L16+L17+L18</f>
        <v>1658.13517800973</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335.034585454546</v>
      </c>
      <c r="D21" s="0" t="n">
        <f aca="false">D19*D20</f>
        <v>415.035847715702</v>
      </c>
      <c r="E21" s="0" t="n">
        <f aca="false">E19*E20</f>
        <v>731.477742633088</v>
      </c>
      <c r="F21" s="0" t="n">
        <f aca="false">F19*F20</f>
        <v>861.548630134707</v>
      </c>
      <c r="G21" s="0" t="n">
        <f aca="false">G19*G20</f>
        <v>800.341655547292</v>
      </c>
      <c r="H21" s="0" t="n">
        <f aca="false">H19*H20</f>
        <v>758.948303757202</v>
      </c>
      <c r="I21" s="0" t="n">
        <f aca="false">I19*I20</f>
        <v>711.99729286889</v>
      </c>
      <c r="J21" s="0" t="n">
        <f aca="false">J19*J20</f>
        <v>673.637817766154</v>
      </c>
      <c r="K21" s="0" t="n">
        <f aca="false">K19*K20</f>
        <v>686.05968774006</v>
      </c>
      <c r="L21" s="0" t="n">
        <f aca="false">L19*L20</f>
        <v>639.282890848692</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10</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15</v>
      </c>
    </row>
    <row r="30" customFormat="false" ht="15" hidden="false" customHeight="false" outlineLevel="0" collapsed="false">
      <c r="A30" s="0" t="s">
        <v>130</v>
      </c>
      <c r="B30" s="0" t="n">
        <f aca="false">SUM(C21:L21)</f>
        <v>6613.36445446633</v>
      </c>
    </row>
    <row r="31" customFormat="false" ht="15" hidden="false" customHeight="false" outlineLevel="0" collapsed="false">
      <c r="A31" s="0" t="s">
        <v>131</v>
      </c>
      <c r="B31" s="0" t="n">
        <f aca="false">L19</f>
        <v>1658.13517800973</v>
      </c>
    </row>
    <row r="32" customFormat="false" ht="15" hidden="false" customHeight="false" outlineLevel="0" collapsed="false">
      <c r="A32" s="0" t="s">
        <v>132</v>
      </c>
      <c r="B32" s="0" t="n">
        <f aca="false">IF(B27&gt;B28,B31*(1+B28/100)/((B27-B28)/100),B31*B29)</f>
        <v>22661.1807661329</v>
      </c>
    </row>
    <row r="33" customFormat="false" ht="15" hidden="false" customHeight="false" outlineLevel="0" collapsed="false">
      <c r="A33" s="0" t="s">
        <v>133</v>
      </c>
      <c r="B33" s="0" t="n">
        <f aca="false">B31*B29</f>
        <v>24872.0276701459</v>
      </c>
    </row>
    <row r="34" customFormat="false" ht="15" hidden="false" customHeight="false" outlineLevel="0" collapsed="false">
      <c r="A34" s="0" t="s">
        <v>134</v>
      </c>
      <c r="B34" s="0" t="n">
        <f aca="false">MAX(0,MIN(B32,B33))</f>
        <v>22661.1807661329</v>
      </c>
    </row>
    <row r="35" customFormat="false" ht="15" hidden="false" customHeight="false" outlineLevel="0" collapsed="false">
      <c r="A35" s="0" t="s">
        <v>135</v>
      </c>
      <c r="B35" s="0" t="n">
        <f aca="false">B34/(1+B27/100)^L4</f>
        <v>8736.86617493213</v>
      </c>
    </row>
    <row r="36" customFormat="false" ht="15" hidden="false" customHeight="false" outlineLevel="0" collapsed="false">
      <c r="A36" s="0" t="s">
        <v>136</v>
      </c>
      <c r="B36" s="0" t="n">
        <f aca="false">B30+B35</f>
        <v>15350.2306293985</v>
      </c>
    </row>
    <row r="37" customFormat="false" ht="15" hidden="false" customHeight="false" outlineLevel="0" collapsed="false">
      <c r="A37" s="0" t="s">
        <v>137</v>
      </c>
      <c r="B37" s="0" t="n">
        <f aca="false">B36+Assumptions!$B$5-Assumptions!$B$4</f>
        <v>15350.2306293985</v>
      </c>
    </row>
    <row r="38" customFormat="false" ht="15" hidden="false" customHeight="false" outlineLevel="0" collapsed="false">
      <c r="A38" s="0" t="s">
        <v>138</v>
      </c>
      <c r="B38" s="0" t="n">
        <f aca="false">B37/Assumptions!$B$3*Assumptions!$B$10</f>
        <v>7.33653425866198</v>
      </c>
    </row>
    <row r="39" customFormat="false" ht="15" hidden="false" customHeight="false" outlineLevel="0" collapsed="false">
      <c r="A39" s="0" t="s">
        <v>139</v>
      </c>
      <c r="B39" s="4" t="n">
        <f aca="false">B38/Assumptions!$B$2-1</f>
        <v>-0.717825605436078</v>
      </c>
    </row>
    <row r="41" customFormat="false" ht="15" hidden="false" customHeight="false" outlineLevel="0" collapsed="false">
      <c r="A41" s="0" t="s">
        <v>140</v>
      </c>
      <c r="B41" s="0" t="n">
        <f aca="false">SUMPRODUCT(-C10:L10/(1+$B$27/100)^C4:L4)</f>
        <v>2456.92995177341</v>
      </c>
    </row>
    <row r="42" customFormat="false" ht="15" hidden="false" customHeight="false" outlineLevel="0" collapsed="false">
      <c r="A42" s="0" t="s">
        <v>141</v>
      </c>
      <c r="B42" s="0" t="n">
        <f aca="false">IF(B27&gt;B28,-L10*(1+B28/100)/((B27-B28)/100),-L10*20)/(1+B27/100)^L4</f>
        <v>2084.30579839684</v>
      </c>
    </row>
    <row r="43" customFormat="false" ht="15" hidden="false" customHeight="false" outlineLevel="0" collapsed="false">
      <c r="A43" s="0" t="s">
        <v>142</v>
      </c>
      <c r="B43" s="0" t="n">
        <f aca="false">(B37+B41+B42)/Assumptions!$B$3*Assumptions!$B$10</f>
        <v>9.50698579532988</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13596.7084596798</v>
      </c>
    </row>
    <row r="47" customFormat="false" ht="15" hidden="false" customHeight="false" outlineLevel="0" collapsed="false">
      <c r="A47" s="0" t="s">
        <v>144</v>
      </c>
      <c r="B47" s="0" t="n">
        <f aca="false">(SUMPRODUCT(C19:L19/(1+B45/100)^C4:L4)+B46/(1+B45/100)^L4+Assumptions!$B$5-Assumptions!$B$4)/Assumptions!$B$3*Assumptions!$B$10</f>
        <v>4.06630986842566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9</v>
      </c>
      <c r="D5" s="4" t="n">
        <f aca="false">Assumptions!D27</f>
        <v>9</v>
      </c>
      <c r="E5" s="4" t="n">
        <f aca="false">Assumptions!E27</f>
        <v>9</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37</v>
      </c>
      <c r="B6" s="3" t="n">
        <v>3204.4</v>
      </c>
      <c r="C6" s="0" t="n">
        <f aca="false">B6*(1+C5/100)</f>
        <v>3492.796</v>
      </c>
      <c r="D6" s="0" t="n">
        <f aca="false">C6*(1+D5/100)</f>
        <v>3807.14764</v>
      </c>
      <c r="E6" s="0" t="n">
        <f aca="false">D6*(1+E5/100)</f>
        <v>4149.7909276</v>
      </c>
      <c r="F6" s="0" t="n">
        <f aca="false">E6*(1+F5/100)</f>
        <v>4481.774201808</v>
      </c>
      <c r="G6" s="0" t="n">
        <f aca="false">F6*(1+G5/100)</f>
        <v>4795.49839593456</v>
      </c>
      <c r="H6" s="0" t="n">
        <f aca="false">G6*(1+H5/100)</f>
        <v>5083.22829969064</v>
      </c>
      <c r="I6" s="0" t="n">
        <f aca="false">H6*(1+I5/100)</f>
        <v>5337.38971467517</v>
      </c>
      <c r="J6" s="0" t="n">
        <f aca="false">I6*(1+J5/100)</f>
        <v>5550.88530326218</v>
      </c>
      <c r="K6" s="0" t="n">
        <f aca="false">J6*(1+K5/100)</f>
        <v>5745.16628887635</v>
      </c>
      <c r="L6" s="0" t="n">
        <f aca="false">K6*(1+L5/100)</f>
        <v>5917.52127754264</v>
      </c>
    </row>
    <row r="7" customFormat="false" ht="15" hidden="false" customHeight="false" outlineLevel="0" collapsed="false">
      <c r="A7" s="0" t="s">
        <v>101</v>
      </c>
      <c r="C7" s="4" t="n">
        <f aca="false">Assumptions!C28</f>
        <v>90</v>
      </c>
      <c r="D7" s="4" t="n">
        <f aca="false">Assumptions!D28</f>
        <v>89</v>
      </c>
      <c r="E7" s="4" t="n">
        <f aca="false">Assumptions!E28</f>
        <v>88.5</v>
      </c>
      <c r="F7" s="4" t="n">
        <f aca="false">Assumptions!F28</f>
        <v>88</v>
      </c>
      <c r="G7" s="4" t="n">
        <f aca="false">Assumptions!G28</f>
        <v>88</v>
      </c>
      <c r="H7" s="4" t="n">
        <f aca="false">Assumptions!H28</f>
        <v>88</v>
      </c>
      <c r="I7" s="4" t="n">
        <f aca="false">Assumptions!I28</f>
        <v>88</v>
      </c>
      <c r="J7" s="4" t="n">
        <f aca="false">Assumptions!J28</f>
        <v>88</v>
      </c>
      <c r="K7" s="4" t="n">
        <f aca="false">Assumptions!K28</f>
        <v>88</v>
      </c>
      <c r="L7" s="4" t="n">
        <f aca="false">Assumptions!L28</f>
        <v>88</v>
      </c>
    </row>
    <row r="8" customFormat="false" ht="15" hidden="false" customHeight="false" outlineLevel="0" collapsed="false">
      <c r="A8" s="0" t="s">
        <v>43</v>
      </c>
      <c r="C8" s="0" t="n">
        <f aca="false">C6*C7/100</f>
        <v>3143.5164</v>
      </c>
      <c r="D8" s="0" t="n">
        <f aca="false">D6*D7/100</f>
        <v>3388.3613996</v>
      </c>
      <c r="E8" s="0" t="n">
        <f aca="false">E6*E7/100</f>
        <v>3672.564970926</v>
      </c>
      <c r="F8" s="0" t="n">
        <f aca="false">F6*F7/100</f>
        <v>3943.96129759104</v>
      </c>
      <c r="G8" s="0" t="n">
        <f aca="false">G6*G7/100</f>
        <v>4220.03858842241</v>
      </c>
      <c r="H8" s="0" t="n">
        <f aca="false">H6*H7/100</f>
        <v>4473.24090372776</v>
      </c>
      <c r="I8" s="0" t="n">
        <f aca="false">I6*I7/100</f>
        <v>4696.90294891415</v>
      </c>
      <c r="J8" s="0" t="n">
        <f aca="false">J6*J7/100</f>
        <v>4884.77906687071</v>
      </c>
      <c r="K8" s="0" t="n">
        <f aca="false">K6*K7/100</f>
        <v>5055.74633421119</v>
      </c>
      <c r="L8" s="0" t="n">
        <f aca="false">L6*L7/100</f>
        <v>5207.41872423752</v>
      </c>
    </row>
    <row r="9" customFormat="false" ht="15" hidden="false" customHeight="false" outlineLevel="0" collapsed="false">
      <c r="A9" s="0" t="s">
        <v>102</v>
      </c>
      <c r="C9" s="4" t="n">
        <f aca="false">Assumptions!C29</f>
        <v>14.5</v>
      </c>
      <c r="D9" s="4" t="n">
        <f aca="false">Assumptions!D29</f>
        <v>14</v>
      </c>
      <c r="E9" s="4" t="n">
        <f aca="false">Assumptions!E29</f>
        <v>13.5</v>
      </c>
      <c r="F9" s="4" t="n">
        <f aca="false">Assumptions!F29</f>
        <v>13</v>
      </c>
      <c r="G9" s="4" t="n">
        <f aca="false">Assumptions!G29</f>
        <v>12.5</v>
      </c>
      <c r="H9" s="4" t="n">
        <f aca="false">Assumptions!H29</f>
        <v>12</v>
      </c>
      <c r="I9" s="4" t="n">
        <f aca="false">Assumptions!I29</f>
        <v>11.5</v>
      </c>
      <c r="J9" s="4" t="n">
        <f aca="false">Assumptions!J29</f>
        <v>11</v>
      </c>
      <c r="K9" s="4" t="n">
        <f aca="false">Assumptions!K29</f>
        <v>11</v>
      </c>
      <c r="L9" s="4" t="n">
        <f aca="false">Assumptions!L29</f>
        <v>11</v>
      </c>
    </row>
    <row r="10" customFormat="false" ht="15" hidden="false" customHeight="false" outlineLevel="0" collapsed="false">
      <c r="A10" s="0" t="s">
        <v>117</v>
      </c>
      <c r="C10" s="0" t="n">
        <f aca="false">-C6*C9/100</f>
        <v>-506.45542</v>
      </c>
      <c r="D10" s="0" t="n">
        <f aca="false">-D6*D9/100</f>
        <v>-533.0006696</v>
      </c>
      <c r="E10" s="0" t="n">
        <f aca="false">-E6*E9/100</f>
        <v>-560.221775226</v>
      </c>
      <c r="F10" s="0" t="n">
        <f aca="false">-F6*F9/100</f>
        <v>-582.63064623504</v>
      </c>
      <c r="G10" s="0" t="n">
        <f aca="false">-G6*G9/100</f>
        <v>-599.43729949182</v>
      </c>
      <c r="H10" s="0" t="n">
        <f aca="false">-H6*H9/100</f>
        <v>-609.987395962876</v>
      </c>
      <c r="I10" s="0" t="n">
        <f aca="false">-I6*I9/100</f>
        <v>-613.799817187644</v>
      </c>
      <c r="J10" s="0" t="n">
        <f aca="false">-J6*J9/100</f>
        <v>-610.597383358839</v>
      </c>
      <c r="K10" s="0" t="n">
        <f aca="false">-K6*K9/100</f>
        <v>-631.968291776399</v>
      </c>
      <c r="L10" s="0" t="n">
        <f aca="false">-L6*L9/100</f>
        <v>-650.927340529691</v>
      </c>
    </row>
    <row r="11" customFormat="false" ht="15" hidden="false" customHeight="false" outlineLevel="0" collapsed="false">
      <c r="A11" s="0" t="s">
        <v>118</v>
      </c>
      <c r="C11" s="0" t="n">
        <f aca="false">C8+C10+C24</f>
        <v>2637.06098</v>
      </c>
      <c r="D11" s="0" t="n">
        <f aca="false">D8+D10+D24</f>
        <v>2855.36073</v>
      </c>
      <c r="E11" s="0" t="n">
        <f aca="false">E8+E10+E24</f>
        <v>3112.3431957</v>
      </c>
      <c r="F11" s="0" t="n">
        <f aca="false">F8+F10+F24</f>
        <v>3361.330651356</v>
      </c>
      <c r="G11" s="0" t="n">
        <f aca="false">G8+G10+G24</f>
        <v>3620.60128893059</v>
      </c>
      <c r="H11" s="0" t="n">
        <f aca="false">H8+H10+H24</f>
        <v>3863.25350776488</v>
      </c>
      <c r="I11" s="0" t="n">
        <f aca="false">I8+I10+I24</f>
        <v>4083.1031317265</v>
      </c>
      <c r="J11" s="0" t="n">
        <f aca="false">J8+J10+J24</f>
        <v>4274.18168351187</v>
      </c>
      <c r="K11" s="0" t="n">
        <f aca="false">K8+K10+K24</f>
        <v>4423.77804243479</v>
      </c>
      <c r="L11" s="0" t="n">
        <f aca="false">L8+L10+L24</f>
        <v>4556.49138370783</v>
      </c>
    </row>
    <row r="12" customFormat="false" ht="15" hidden="false" customHeight="false" outlineLevel="0" collapsed="false">
      <c r="A12" s="0" t="s">
        <v>119</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120</v>
      </c>
      <c r="C13" s="0" t="n">
        <f aca="false">C11+C12</f>
        <v>2637.06098</v>
      </c>
      <c r="D13" s="0" t="n">
        <f aca="false">D11+D12</f>
        <v>2855.36073</v>
      </c>
      <c r="E13" s="0" t="n">
        <f aca="false">E11+E12</f>
        <v>3112.3431957</v>
      </c>
      <c r="F13" s="0" t="n">
        <f aca="false">F11+F12</f>
        <v>3361.330651356</v>
      </c>
      <c r="G13" s="0" t="n">
        <f aca="false">G11+G12</f>
        <v>3620.60128893059</v>
      </c>
      <c r="H13" s="0" t="n">
        <f aca="false">H11+H12</f>
        <v>3863.25350776488</v>
      </c>
      <c r="I13" s="0" t="n">
        <f aca="false">I11+I12</f>
        <v>4083.1031317265</v>
      </c>
      <c r="J13" s="0" t="n">
        <f aca="false">J11+J12</f>
        <v>4274.18168351187</v>
      </c>
      <c r="K13" s="0" t="n">
        <f aca="false">K11+K12</f>
        <v>4423.77804243479</v>
      </c>
      <c r="L13" s="0" t="n">
        <f aca="false">L11+L12</f>
        <v>4556.49138370783</v>
      </c>
    </row>
    <row r="14" customFormat="false" ht="15" hidden="false" customHeight="false" outlineLevel="0" collapsed="false">
      <c r="A14" s="0" t="s">
        <v>106</v>
      </c>
      <c r="C14" s="4" t="n">
        <f aca="false">Assumptions!C33</f>
        <v>9</v>
      </c>
      <c r="D14" s="4" t="n">
        <f aca="false">Assumptions!D33</f>
        <v>9</v>
      </c>
      <c r="E14" s="4" t="n">
        <f aca="false">Assumptions!E33</f>
        <v>9</v>
      </c>
      <c r="F14" s="4" t="n">
        <f aca="false">Assumptions!F33</f>
        <v>9.5</v>
      </c>
      <c r="G14" s="4" t="n">
        <f aca="false">Assumptions!G33</f>
        <v>9.5</v>
      </c>
      <c r="H14" s="4" t="n">
        <f aca="false">Assumptions!H33</f>
        <v>9.5</v>
      </c>
      <c r="I14" s="4" t="n">
        <f aca="false">Assumptions!I33</f>
        <v>10</v>
      </c>
      <c r="J14" s="4" t="n">
        <f aca="false">Assumptions!J33</f>
        <v>10</v>
      </c>
      <c r="K14" s="4" t="n">
        <f aca="false">Assumptions!K33</f>
        <v>10</v>
      </c>
      <c r="L14" s="4" t="n">
        <f aca="false">Assumptions!L33</f>
        <v>10</v>
      </c>
    </row>
    <row r="15" customFormat="false" ht="15" hidden="false" customHeight="false" outlineLevel="0" collapsed="false">
      <c r="A15" s="0" t="s">
        <v>121</v>
      </c>
      <c r="C15" s="0" t="n">
        <f aca="false">C13-MAX(0,C13)*C14/100</f>
        <v>2399.7254918</v>
      </c>
      <c r="D15" s="0" t="n">
        <f aca="false">D13-MAX(0,D13)*D14/100</f>
        <v>2598.3782643</v>
      </c>
      <c r="E15" s="0" t="n">
        <f aca="false">E13-MAX(0,E13)*E14/100</f>
        <v>2832.232308087</v>
      </c>
      <c r="F15" s="0" t="n">
        <f aca="false">F13-MAX(0,F13)*F14/100</f>
        <v>3042.00423947718</v>
      </c>
      <c r="G15" s="0" t="n">
        <f aca="false">G13-MAX(0,G13)*G14/100</f>
        <v>3276.64416648219</v>
      </c>
      <c r="H15" s="0" t="n">
        <f aca="false">H13-MAX(0,H13)*H14/100</f>
        <v>3496.24442452722</v>
      </c>
      <c r="I15" s="0" t="n">
        <f aca="false">I13-MAX(0,I13)*I14/100</f>
        <v>3674.79281855385</v>
      </c>
      <c r="J15" s="0" t="n">
        <f aca="false">J13-MAX(0,J13)*J14/100</f>
        <v>3846.76351516069</v>
      </c>
      <c r="K15" s="0" t="n">
        <f aca="false">K13-MAX(0,K13)*K14/100</f>
        <v>3981.40023819131</v>
      </c>
      <c r="L15" s="0" t="n">
        <f aca="false">L13-MAX(0,L13)*L14/100</f>
        <v>4100.84224533705</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-C6*Assumptions!C32/100</f>
        <v>-1875.631452</v>
      </c>
      <c r="D17" s="4" t="n">
        <f aca="false">-D6*Assumptions!D32/100</f>
        <v>-2044.43828268</v>
      </c>
      <c r="E17" s="4" t="n">
        <f aca="false">-E6*Assumptions!E32/100</f>
        <v>-1979.4502724652</v>
      </c>
      <c r="F17" s="4" t="n">
        <f aca="false">-F6*Assumptions!F32/100</f>
        <v>-1873.38161635574</v>
      </c>
      <c r="G17" s="4" t="n">
        <f aca="false">-G6*Assumptions!G32/100</f>
        <v>-1716.78842574457</v>
      </c>
      <c r="H17" s="4" t="n">
        <f aca="false">-H6*Assumptions!H32/100</f>
        <v>-1514.80203330781</v>
      </c>
      <c r="I17" s="4" t="n">
        <f aca="false">-I6*Assumptions!I32/100</f>
        <v>-1275.63614180737</v>
      </c>
      <c r="J17" s="4" t="n">
        <f aca="false">-J6*Assumptions!J32/100</f>
        <v>-1160.13502838179</v>
      </c>
      <c r="K17" s="4" t="n">
        <f aca="false">-K6*Assumptions!K32/100</f>
        <v>-1028.38476570887</v>
      </c>
      <c r="L17" s="4" t="n">
        <f aca="false">-L6*Assumptions!L32/100</f>
        <v>-1059.23630868013</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524.0940398</v>
      </c>
      <c r="D19" s="0" t="n">
        <f aca="false">D15+D16+D17+D18</f>
        <v>553.93998162</v>
      </c>
      <c r="E19" s="0" t="n">
        <f aca="false">E15+E16+E17+E18</f>
        <v>852.7820356218</v>
      </c>
      <c r="F19" s="0" t="n">
        <f aca="false">F15+F16+F17+F18</f>
        <v>1168.62262312144</v>
      </c>
      <c r="G19" s="0" t="n">
        <f aca="false">G15+G16+G17+G18</f>
        <v>1559.85574073761</v>
      </c>
      <c r="H19" s="0" t="n">
        <f aca="false">H15+H16+H17+H18</f>
        <v>1981.44239121941</v>
      </c>
      <c r="I19" s="0" t="n">
        <f aca="false">I15+I16+I17+I18</f>
        <v>2399.15667674649</v>
      </c>
      <c r="J19" s="0" t="n">
        <f aca="false">J15+J16+J17+J18</f>
        <v>2686.62848677889</v>
      </c>
      <c r="K19" s="0" t="n">
        <f aca="false">K15+K16+K17+K18</f>
        <v>2953.01547248244</v>
      </c>
      <c r="L19" s="0" t="n">
        <f aca="false">L15+L16+L17+L18</f>
        <v>3041.60593665692</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476.449127090909</v>
      </c>
      <c r="D21" s="0" t="n">
        <f aca="false">D19*D20</f>
        <v>457.801637702479</v>
      </c>
      <c r="E21" s="0" t="n">
        <f aca="false">E19*E20</f>
        <v>640.707765305635</v>
      </c>
      <c r="F21" s="0" t="n">
        <f aca="false">F19*F20</f>
        <v>798.184975835965</v>
      </c>
      <c r="G21" s="0" t="n">
        <f aca="false">G19*G20</f>
        <v>968.547690320218</v>
      </c>
      <c r="H21" s="0" t="n">
        <f aca="false">H19*H20</f>
        <v>1118.47257374677</v>
      </c>
      <c r="I21" s="0" t="n">
        <f aca="false">I19*I20</f>
        <v>1231.14672557986</v>
      </c>
      <c r="J21" s="0" t="n">
        <f aca="false">J19*J20</f>
        <v>1253.33201696406</v>
      </c>
      <c r="K21" s="0" t="n">
        <f aca="false">K19*K20</f>
        <v>1252.3668288969</v>
      </c>
      <c r="L21" s="0" t="n">
        <f aca="false">L19*L20</f>
        <v>1172.6707579671</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10</v>
      </c>
    </row>
    <row r="28" customFormat="false" ht="15" hidden="false" customHeight="false" outlineLevel="0" collapsed="false">
      <c r="A28" s="0" t="s">
        <v>108</v>
      </c>
      <c r="B28" s="4" t="n">
        <f aca="false">Assumptions!$B$35</f>
        <v>3</v>
      </c>
    </row>
    <row r="29" customFormat="false" ht="15" hidden="false" customHeight="false" outlineLevel="0" collapsed="false">
      <c r="A29" s="0" t="s">
        <v>109</v>
      </c>
      <c r="B29" s="4" t="n">
        <f aca="false">Assumptions!$B$36</f>
        <v>18</v>
      </c>
    </row>
    <row r="30" customFormat="false" ht="15" hidden="false" customHeight="false" outlineLevel="0" collapsed="false">
      <c r="A30" s="0" t="s">
        <v>130</v>
      </c>
      <c r="B30" s="0" t="n">
        <f aca="false">SUM(C21:L21)</f>
        <v>9369.68009940991</v>
      </c>
    </row>
    <row r="31" customFormat="false" ht="15" hidden="false" customHeight="false" outlineLevel="0" collapsed="false">
      <c r="A31" s="0" t="s">
        <v>131</v>
      </c>
      <c r="B31" s="0" t="n">
        <f aca="false">L19</f>
        <v>3041.60593665692</v>
      </c>
    </row>
    <row r="32" customFormat="false" ht="15" hidden="false" customHeight="false" outlineLevel="0" collapsed="false">
      <c r="A32" s="0" t="s">
        <v>132</v>
      </c>
      <c r="B32" s="0" t="n">
        <f aca="false">IF(B27&gt;B28,B31*(1+B28/100)/((B27-B28)/100),B31*B29)</f>
        <v>44755.0587822375</v>
      </c>
    </row>
    <row r="33" customFormat="false" ht="15" hidden="false" customHeight="false" outlineLevel="0" collapsed="false">
      <c r="A33" s="0" t="s">
        <v>133</v>
      </c>
      <c r="B33" s="0" t="n">
        <f aca="false">B31*B29</f>
        <v>54748.9068598245</v>
      </c>
    </row>
    <row r="34" customFormat="false" ht="15" hidden="false" customHeight="false" outlineLevel="0" collapsed="false">
      <c r="A34" s="0" t="s">
        <v>134</v>
      </c>
      <c r="B34" s="0" t="n">
        <f aca="false">MAX(0,MIN(B32,B33))</f>
        <v>44755.0587822375</v>
      </c>
    </row>
    <row r="35" customFormat="false" ht="15" hidden="false" customHeight="false" outlineLevel="0" collapsed="false">
      <c r="A35" s="0" t="s">
        <v>135</v>
      </c>
      <c r="B35" s="0" t="n">
        <f aca="false">B34/(1+B27/100)^L4</f>
        <v>17255.0125815159</v>
      </c>
    </row>
    <row r="36" customFormat="false" ht="15" hidden="false" customHeight="false" outlineLevel="0" collapsed="false">
      <c r="A36" s="0" t="s">
        <v>136</v>
      </c>
      <c r="B36" s="0" t="n">
        <f aca="false">B30+B35</f>
        <v>26624.6926809258</v>
      </c>
    </row>
    <row r="37" customFormat="false" ht="15" hidden="false" customHeight="false" outlineLevel="0" collapsed="false">
      <c r="A37" s="0" t="s">
        <v>137</v>
      </c>
      <c r="B37" s="0" t="n">
        <f aca="false">B36+Assumptions!$B$5-Assumptions!$B$4</f>
        <v>26624.6926809258</v>
      </c>
    </row>
    <row r="38" customFormat="false" ht="15" hidden="false" customHeight="false" outlineLevel="0" collapsed="false">
      <c r="A38" s="0" t="s">
        <v>138</v>
      </c>
      <c r="B38" s="0" t="n">
        <f aca="false">B37/Assumptions!$B$3*Assumptions!$B$10</f>
        <v>12.7250837264856</v>
      </c>
    </row>
    <row r="39" customFormat="false" ht="15" hidden="false" customHeight="false" outlineLevel="0" collapsed="false">
      <c r="A39" s="0" t="s">
        <v>139</v>
      </c>
      <c r="B39" s="4" t="n">
        <f aca="false">B38/Assumptions!$B$2-1</f>
        <v>-0.510573702827478</v>
      </c>
    </row>
    <row r="41" customFormat="false" ht="15" hidden="false" customHeight="false" outlineLevel="0" collapsed="false">
      <c r="A41" s="0" t="s">
        <v>140</v>
      </c>
      <c r="B41" s="0" t="n">
        <f aca="false">SUMPRODUCT(-C10:L10/(1+$B$27/100)^C4:L4)</f>
        <v>3555.08476582272</v>
      </c>
    </row>
    <row r="42" customFormat="false" ht="15" hidden="false" customHeight="false" outlineLevel="0" collapsed="false">
      <c r="A42" s="0" t="s">
        <v>141</v>
      </c>
      <c r="B42" s="0" t="n">
        <f aca="false">IF(B27&gt;B28,-L10*(1+B28/100)/((B27-B28)/100),-L10*20)/(1+B27/100)^L4</f>
        <v>3692.70697269795</v>
      </c>
    </row>
    <row r="43" customFormat="false" ht="15" hidden="false" customHeight="false" outlineLevel="0" collapsed="false">
      <c r="A43" s="0" t="s">
        <v>142</v>
      </c>
      <c r="B43" s="0" t="n">
        <f aca="false">(B37+B41+B42)/Assumptions!$B$3*Assumptions!$B$10</f>
        <v>16.1891145722155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26107.1176229719</v>
      </c>
    </row>
    <row r="47" customFormat="false" ht="15" hidden="false" customHeight="false" outlineLevel="0" collapsed="false">
      <c r="A47" s="0" t="s">
        <v>144</v>
      </c>
      <c r="B47" s="0" t="n">
        <f aca="false">(SUMPRODUCT(C19:L19/(1+B45/100)^C4:L4)+B46/(1+B45/100)^L4+Assumptions!$B$5-Assumptions!$B$4)/Assumptions!$B$3*Assumptions!$B$10</f>
        <v>6.48108570522028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10</v>
      </c>
      <c r="D5" s="4" t="n">
        <f aca="false">Assumptions!D41</f>
        <v>12</v>
      </c>
      <c r="E5" s="4" t="n">
        <f aca="false">Assumptions!E41</f>
        <v>14</v>
      </c>
      <c r="F5" s="4" t="n">
        <f aca="false">Assumptions!F41</f>
        <v>13</v>
      </c>
      <c r="G5" s="4" t="n">
        <f aca="false">Assumptions!G41</f>
        <v>10</v>
      </c>
      <c r="H5" s="4" t="n">
        <f aca="false">Assumptions!H41</f>
        <v>8</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37</v>
      </c>
      <c r="B6" s="3" t="n">
        <v>3204.4</v>
      </c>
      <c r="C6" s="0" t="n">
        <f aca="false">B6*(1+C5/100)</f>
        <v>3524.84</v>
      </c>
      <c r="D6" s="0" t="n">
        <f aca="false">C6*(1+D5/100)</f>
        <v>3947.8208</v>
      </c>
      <c r="E6" s="0" t="n">
        <f aca="false">D6*(1+E5/100)</f>
        <v>4500.515712</v>
      </c>
      <c r="F6" s="0" t="n">
        <f aca="false">E6*(1+F5/100)</f>
        <v>5085.58275456</v>
      </c>
      <c r="G6" s="0" t="n">
        <f aca="false">F6*(1+G5/100)</f>
        <v>5594.141030016</v>
      </c>
      <c r="H6" s="0" t="n">
        <f aca="false">G6*(1+H5/100)</f>
        <v>6041.67231241728</v>
      </c>
      <c r="I6" s="0" t="n">
        <f aca="false">H6*(1+I5/100)</f>
        <v>6404.17265116232</v>
      </c>
      <c r="J6" s="0" t="n">
        <f aca="false">I6*(1+J5/100)</f>
        <v>6724.38128372044</v>
      </c>
      <c r="K6" s="0" t="n">
        <f aca="false">J6*(1+K5/100)</f>
        <v>6993.35653506925</v>
      </c>
      <c r="L6" s="0" t="n">
        <f aca="false">K6*(1+L5/100)</f>
        <v>7238.12401379668</v>
      </c>
    </row>
    <row r="7" customFormat="false" ht="15" hidden="false" customHeight="false" outlineLevel="0" collapsed="false">
      <c r="A7" s="0" t="s">
        <v>101</v>
      </c>
      <c r="C7" s="4" t="n">
        <f aca="false">Assumptions!C42</f>
        <v>90.5</v>
      </c>
      <c r="D7" s="4" t="n">
        <f aca="false">Assumptions!D42</f>
        <v>90.5</v>
      </c>
      <c r="E7" s="4" t="n">
        <f aca="false">Assumptions!E42</f>
        <v>90.5</v>
      </c>
      <c r="F7" s="4" t="n">
        <f aca="false">Assumptions!F42</f>
        <v>90.5</v>
      </c>
      <c r="G7" s="4" t="n">
        <f aca="false">Assumptions!G42</f>
        <v>90.5</v>
      </c>
      <c r="H7" s="4" t="n">
        <f aca="false">Assumptions!H42</f>
        <v>90.5</v>
      </c>
      <c r="I7" s="4" t="n">
        <f aca="false">Assumptions!I42</f>
        <v>90.5</v>
      </c>
      <c r="J7" s="4" t="n">
        <f aca="false">Assumptions!J42</f>
        <v>90.5</v>
      </c>
      <c r="K7" s="4" t="n">
        <f aca="false">Assumptions!K42</f>
        <v>90.5</v>
      </c>
      <c r="L7" s="4" t="n">
        <f aca="false">Assumptions!L42</f>
        <v>90.5</v>
      </c>
    </row>
    <row r="8" customFormat="false" ht="15" hidden="false" customHeight="false" outlineLevel="0" collapsed="false">
      <c r="A8" s="0" t="s">
        <v>43</v>
      </c>
      <c r="C8" s="0" t="n">
        <f aca="false">C6*C7/100</f>
        <v>3189.9802</v>
      </c>
      <c r="D8" s="0" t="n">
        <f aca="false">D6*D7/100</f>
        <v>3572.777824</v>
      </c>
      <c r="E8" s="0" t="n">
        <f aca="false">E6*E7/100</f>
        <v>4072.96671936</v>
      </c>
      <c r="F8" s="0" t="n">
        <f aca="false">F6*F7/100</f>
        <v>4602.4523928768</v>
      </c>
      <c r="G8" s="0" t="n">
        <f aca="false">G6*G7/100</f>
        <v>5062.69763216448</v>
      </c>
      <c r="H8" s="0" t="n">
        <f aca="false">H6*H7/100</f>
        <v>5467.71344273764</v>
      </c>
      <c r="I8" s="0" t="n">
        <f aca="false">I6*I7/100</f>
        <v>5795.7762493019</v>
      </c>
      <c r="J8" s="0" t="n">
        <f aca="false">J6*J7/100</f>
        <v>6085.565061767</v>
      </c>
      <c r="K8" s="0" t="n">
        <f aca="false">K6*K7/100</f>
        <v>6328.98766423768</v>
      </c>
      <c r="L8" s="0" t="n">
        <f aca="false">L6*L7/100</f>
        <v>6550.50223248599</v>
      </c>
    </row>
    <row r="9" customFormat="false" ht="15" hidden="false" customHeight="false" outlineLevel="0" collapsed="false">
      <c r="A9" s="0" t="s">
        <v>102</v>
      </c>
      <c r="C9" s="4" t="n">
        <f aca="false">Assumptions!C43</f>
        <v>14.5</v>
      </c>
      <c r="D9" s="4" t="n">
        <f aca="false">Assumptions!D43</f>
        <v>13.5</v>
      </c>
      <c r="E9" s="4" t="n">
        <f aca="false">Assumptions!E43</f>
        <v>12.5</v>
      </c>
      <c r="F9" s="4" t="n">
        <f aca="false">Assumptions!F43</f>
        <v>11.5</v>
      </c>
      <c r="G9" s="4" t="n">
        <f aca="false">Assumptions!G43</f>
        <v>11</v>
      </c>
      <c r="H9" s="4" t="n">
        <f aca="false">Assumptions!H43</f>
        <v>10.5</v>
      </c>
      <c r="I9" s="4" t="n">
        <f aca="false">Assumptions!I43</f>
        <v>10</v>
      </c>
      <c r="J9" s="4" t="n">
        <f aca="false">Assumptions!J43</f>
        <v>10</v>
      </c>
      <c r="K9" s="4" t="n">
        <f aca="false">Assumptions!K43</f>
        <v>10</v>
      </c>
      <c r="L9" s="4" t="n">
        <f aca="false">Assumptions!L43</f>
        <v>10</v>
      </c>
    </row>
    <row r="10" customFormat="false" ht="15" hidden="false" customHeight="false" outlineLevel="0" collapsed="false">
      <c r="A10" s="0" t="s">
        <v>117</v>
      </c>
      <c r="C10" s="0" t="n">
        <f aca="false">-C6*C9/100</f>
        <v>-511.1018</v>
      </c>
      <c r="D10" s="0" t="n">
        <f aca="false">-D6*D9/100</f>
        <v>-532.955808</v>
      </c>
      <c r="E10" s="0" t="n">
        <f aca="false">-E6*E9/100</f>
        <v>-562.564464</v>
      </c>
      <c r="F10" s="0" t="n">
        <f aca="false">-F6*F9/100</f>
        <v>-584.8420167744</v>
      </c>
      <c r="G10" s="0" t="n">
        <f aca="false">-G6*G9/100</f>
        <v>-615.35551330176</v>
      </c>
      <c r="H10" s="0" t="n">
        <f aca="false">-H6*H9/100</f>
        <v>-634.375592803815</v>
      </c>
      <c r="I10" s="0" t="n">
        <f aca="false">-I6*I9/100</f>
        <v>-640.417265116232</v>
      </c>
      <c r="J10" s="0" t="n">
        <f aca="false">-J6*J9/100</f>
        <v>-672.438128372044</v>
      </c>
      <c r="K10" s="0" t="n">
        <f aca="false">-K6*K9/100</f>
        <v>-699.335653506926</v>
      </c>
      <c r="L10" s="0" t="n">
        <f aca="false">-L6*L9/100</f>
        <v>-723.812401379668</v>
      </c>
    </row>
    <row r="11" customFormat="false" ht="15" hidden="false" customHeight="false" outlineLevel="0" collapsed="false">
      <c r="A11" s="0" t="s">
        <v>118</v>
      </c>
      <c r="C11" s="0" t="n">
        <f aca="false">C8+C10+C24</f>
        <v>2678.8784</v>
      </c>
      <c r="D11" s="0" t="n">
        <f aca="false">D8+D10+D24</f>
        <v>3039.822016</v>
      </c>
      <c r="E11" s="0" t="n">
        <f aca="false">E8+E10+E24</f>
        <v>3510.40225536</v>
      </c>
      <c r="F11" s="0" t="n">
        <f aca="false">F8+F10+F24</f>
        <v>4017.6103761024</v>
      </c>
      <c r="G11" s="0" t="n">
        <f aca="false">G8+G10+G24</f>
        <v>4447.34211886272</v>
      </c>
      <c r="H11" s="0" t="n">
        <f aca="false">H8+H10+H24</f>
        <v>4833.33784993383</v>
      </c>
      <c r="I11" s="0" t="n">
        <f aca="false">I8+I10+I24</f>
        <v>5155.35898418567</v>
      </c>
      <c r="J11" s="0" t="n">
        <f aca="false">J8+J10+J24</f>
        <v>5413.12693339495</v>
      </c>
      <c r="K11" s="0" t="n">
        <f aca="false">K8+K10+K24</f>
        <v>5629.65201073075</v>
      </c>
      <c r="L11" s="0" t="n">
        <f aca="false">L8+L10+L24</f>
        <v>5826.68983110633</v>
      </c>
    </row>
    <row r="12" customFormat="false" ht="15" hidden="false" customHeight="false" outlineLevel="0" collapsed="false">
      <c r="A12" s="0" t="s">
        <v>119</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120</v>
      </c>
      <c r="C13" s="0" t="n">
        <f aca="false">C11+C12</f>
        <v>2678.8784</v>
      </c>
      <c r="D13" s="0" t="n">
        <f aca="false">D11+D12</f>
        <v>3039.822016</v>
      </c>
      <c r="E13" s="0" t="n">
        <f aca="false">E11+E12</f>
        <v>3510.40225536</v>
      </c>
      <c r="F13" s="0" t="n">
        <f aca="false">F11+F12</f>
        <v>4017.6103761024</v>
      </c>
      <c r="G13" s="0" t="n">
        <f aca="false">G11+G12</f>
        <v>4447.34211886272</v>
      </c>
      <c r="H13" s="0" t="n">
        <f aca="false">H11+H12</f>
        <v>4833.33784993383</v>
      </c>
      <c r="I13" s="0" t="n">
        <f aca="false">I11+I12</f>
        <v>5155.35898418567</v>
      </c>
      <c r="J13" s="0" t="n">
        <f aca="false">J11+J12</f>
        <v>5413.12693339495</v>
      </c>
      <c r="K13" s="0" t="n">
        <f aca="false">K11+K12</f>
        <v>5629.65201073075</v>
      </c>
      <c r="L13" s="0" t="n">
        <f aca="false">L11+L12</f>
        <v>5826.68983110633</v>
      </c>
    </row>
    <row r="14" customFormat="false" ht="15" hidden="false" customHeight="false" outlineLevel="0" collapsed="false">
      <c r="A14" s="0" t="s">
        <v>106</v>
      </c>
      <c r="C14" s="4" t="n">
        <f aca="false">Assumptions!C47</f>
        <v>9</v>
      </c>
      <c r="D14" s="4" t="n">
        <f aca="false">Assumptions!D47</f>
        <v>9</v>
      </c>
      <c r="E14" s="4" t="n">
        <f aca="false">Assumptions!E47</f>
        <v>9</v>
      </c>
      <c r="F14" s="4" t="n">
        <f aca="false">Assumptions!F47</f>
        <v>9</v>
      </c>
      <c r="G14" s="4" t="n">
        <f aca="false">Assumptions!G47</f>
        <v>9.5</v>
      </c>
      <c r="H14" s="4" t="n">
        <f aca="false">Assumptions!H47</f>
        <v>9.5</v>
      </c>
      <c r="I14" s="4" t="n">
        <f aca="false">Assumptions!I47</f>
        <v>9.5</v>
      </c>
      <c r="J14" s="4" t="n">
        <f aca="false">Assumptions!J47</f>
        <v>9.5</v>
      </c>
      <c r="K14" s="4" t="n">
        <f aca="false">Assumptions!K47</f>
        <v>9.5</v>
      </c>
      <c r="L14" s="4" t="n">
        <f aca="false">Assumptions!L47</f>
        <v>9.5</v>
      </c>
    </row>
    <row r="15" customFormat="false" ht="15" hidden="false" customHeight="false" outlineLevel="0" collapsed="false">
      <c r="A15" s="0" t="s">
        <v>121</v>
      </c>
      <c r="C15" s="0" t="n">
        <f aca="false">C13-MAX(0,C13)*C14/100</f>
        <v>2437.779344</v>
      </c>
      <c r="D15" s="0" t="n">
        <f aca="false">D13-MAX(0,D13)*D14/100</f>
        <v>2766.23803456</v>
      </c>
      <c r="E15" s="0" t="n">
        <f aca="false">E13-MAX(0,E13)*E14/100</f>
        <v>3194.4660523776</v>
      </c>
      <c r="F15" s="0" t="n">
        <f aca="false">F13-MAX(0,F13)*F14/100</f>
        <v>3656.02544225319</v>
      </c>
      <c r="G15" s="0" t="n">
        <f aca="false">G13-MAX(0,G13)*G14/100</f>
        <v>4024.84461757076</v>
      </c>
      <c r="H15" s="0" t="n">
        <f aca="false">H13-MAX(0,H13)*H14/100</f>
        <v>4374.17075419011</v>
      </c>
      <c r="I15" s="0" t="n">
        <f aca="false">I13-MAX(0,I13)*I14/100</f>
        <v>4665.59988068803</v>
      </c>
      <c r="J15" s="0" t="n">
        <f aca="false">J13-MAX(0,J13)*J14/100</f>
        <v>4898.87987472243</v>
      </c>
      <c r="K15" s="0" t="n">
        <f aca="false">K13-MAX(0,K13)*K14/100</f>
        <v>5094.83506971133</v>
      </c>
      <c r="L15" s="0" t="n">
        <f aca="false">L13-MAX(0,L13)*L14/100</f>
        <v>5273.15429715122</v>
      </c>
    </row>
    <row r="16" customFormat="false" ht="15" hidden="false" customHeight="false" outlineLevel="0" collapsed="false">
      <c r="A16" s="0" t="s">
        <v>122</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123</v>
      </c>
      <c r="C17" s="4" t="n">
        <f aca="false">-C6*Assumptions!C46/100</f>
        <v>-1973.9104</v>
      </c>
      <c r="D17" s="4" t="n">
        <f aca="false">-D6*Assumptions!D46/100</f>
        <v>-2577.9269824</v>
      </c>
      <c r="E17" s="4" t="n">
        <f aca="false">-E6*Assumptions!E46/100</f>
        <v>-2731.813037184</v>
      </c>
      <c r="F17" s="4" t="n">
        <f aca="false">-F6*Assumptions!F46/100</f>
        <v>-2374.96714637952</v>
      </c>
      <c r="G17" s="4" t="n">
        <f aca="false">-G6*Assumptions!G46/100</f>
        <v>-2086.61460419597</v>
      </c>
      <c r="H17" s="4" t="n">
        <f aca="false">-H6*Assumptions!H46/100</f>
        <v>-1691.66824747684</v>
      </c>
      <c r="I17" s="4" t="n">
        <f aca="false">-I6*Assumptions!I46/100</f>
        <v>-1492.17222772082</v>
      </c>
      <c r="J17" s="4" t="n">
        <f aca="false">-J6*Assumptions!J46/100</f>
        <v>-1257.45930005572</v>
      </c>
      <c r="K17" s="4" t="n">
        <f aca="false">-K6*Assumptions!K46/100</f>
        <v>-1139.91711521629</v>
      </c>
      <c r="L17" s="4" t="n">
        <f aca="false">-L6*Assumptions!L46/100</f>
        <v>-1179.81421424886</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463.868944000001</v>
      </c>
      <c r="D19" s="0" t="n">
        <f aca="false">D15+D16+D17+D18</f>
        <v>188.31105216</v>
      </c>
      <c r="E19" s="0" t="n">
        <f aca="false">E15+E16+E17+E18</f>
        <v>462.6530151936</v>
      </c>
      <c r="F19" s="0" t="n">
        <f aca="false">F15+F16+F17+F18</f>
        <v>1281.05829587366</v>
      </c>
      <c r="G19" s="0" t="n">
        <f aca="false">G15+G16+G17+G18</f>
        <v>1938.23001337479</v>
      </c>
      <c r="H19" s="0" t="n">
        <f aca="false">H15+H16+H17+H18</f>
        <v>2682.50250671327</v>
      </c>
      <c r="I19" s="0" t="n">
        <f aca="false">I15+I16+I17+I18</f>
        <v>3173.42765296721</v>
      </c>
      <c r="J19" s="0" t="n">
        <f aca="false">J15+J16+J17+J18</f>
        <v>3641.42057466671</v>
      </c>
      <c r="K19" s="0" t="n">
        <f aca="false">K15+K16+K17+K18</f>
        <v>3954.91795449504</v>
      </c>
      <c r="L19" s="0" t="n">
        <f aca="false">L15+L16+L17+L18</f>
        <v>4093.34008290237</v>
      </c>
    </row>
    <row r="20" customFormat="false" ht="15" hidden="false" customHeight="false" outlineLevel="0" collapsed="false">
      <c r="A20" s="0" t="s">
        <v>126</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127</v>
      </c>
      <c r="C21" s="0" t="n">
        <f aca="false">C19*C20</f>
        <v>421.69904</v>
      </c>
      <c r="D21" s="0" t="n">
        <f aca="false">D19*D20</f>
        <v>155.628968727272</v>
      </c>
      <c r="E21" s="0" t="n">
        <f aca="false">E19*E20</f>
        <v>347.598057996694</v>
      </c>
      <c r="F21" s="0" t="n">
        <f aca="false">F19*F20</f>
        <v>874.98005318876</v>
      </c>
      <c r="G21" s="0" t="n">
        <f aca="false">G19*G20</f>
        <v>1203.48834429764</v>
      </c>
      <c r="H21" s="0" t="n">
        <f aca="false">H19*H20</f>
        <v>1514.20273234355</v>
      </c>
      <c r="I21" s="0" t="n">
        <f aca="false">I19*I20</f>
        <v>1628.47016273794</v>
      </c>
      <c r="J21" s="0" t="n">
        <f aca="false">J19*J20</f>
        <v>1698.74957252959</v>
      </c>
      <c r="K21" s="0" t="n">
        <f aca="false">K19*K20</f>
        <v>1677.27128535993</v>
      </c>
      <c r="L21" s="0" t="n">
        <f aca="false">L19*L20</f>
        <v>1578.15980031593</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10</v>
      </c>
    </row>
    <row r="28" customFormat="false" ht="15" hidden="false" customHeight="false" outlineLevel="0" collapsed="false">
      <c r="A28" s="0" t="s">
        <v>108</v>
      </c>
      <c r="B28" s="4" t="n">
        <f aca="false">Assumptions!$B$49</f>
        <v>3.5</v>
      </c>
    </row>
    <row r="29" customFormat="false" ht="15" hidden="false" customHeight="false" outlineLevel="0" collapsed="false">
      <c r="A29" s="0" t="s">
        <v>109</v>
      </c>
      <c r="B29" s="4" t="n">
        <f aca="false">Assumptions!$B$50</f>
        <v>20</v>
      </c>
    </row>
    <row r="30" customFormat="false" ht="15" hidden="false" customHeight="false" outlineLevel="0" collapsed="false">
      <c r="A30" s="0" t="s">
        <v>130</v>
      </c>
      <c r="B30" s="0" t="n">
        <f aca="false">SUM(C21:L21)</f>
        <v>11100.2480174973</v>
      </c>
    </row>
    <row r="31" customFormat="false" ht="15" hidden="false" customHeight="false" outlineLevel="0" collapsed="false">
      <c r="A31" s="0" t="s">
        <v>131</v>
      </c>
      <c r="B31" s="0" t="n">
        <f aca="false">L19</f>
        <v>4093.34008290237</v>
      </c>
    </row>
    <row r="32" customFormat="false" ht="15" hidden="false" customHeight="false" outlineLevel="0" collapsed="false">
      <c r="A32" s="0" t="s">
        <v>132</v>
      </c>
      <c r="B32" s="0" t="n">
        <f aca="false">IF(B27&gt;B28,B31*(1+B28/100)/((B27-B28)/100),B31*B29)</f>
        <v>65178.5690123684</v>
      </c>
    </row>
    <row r="33" customFormat="false" ht="15" hidden="false" customHeight="false" outlineLevel="0" collapsed="false">
      <c r="A33" s="0" t="s">
        <v>133</v>
      </c>
      <c r="B33" s="0" t="n">
        <f aca="false">B31*B29</f>
        <v>81866.8016580473</v>
      </c>
    </row>
    <row r="34" customFormat="false" ht="15" hidden="false" customHeight="false" outlineLevel="0" collapsed="false">
      <c r="A34" s="0" t="s">
        <v>134</v>
      </c>
      <c r="B34" s="0" t="n">
        <f aca="false">MAX(0,MIN(B32,B33))</f>
        <v>65178.5690123684</v>
      </c>
    </row>
    <row r="35" customFormat="false" ht="15" hidden="false" customHeight="false" outlineLevel="0" collapsed="false">
      <c r="A35" s="0" t="s">
        <v>135</v>
      </c>
      <c r="B35" s="0" t="n">
        <f aca="false">B34/(1+B27/100)^L4</f>
        <v>25129.1598973383</v>
      </c>
    </row>
    <row r="36" customFormat="false" ht="15" hidden="false" customHeight="false" outlineLevel="0" collapsed="false">
      <c r="A36" s="0" t="s">
        <v>136</v>
      </c>
      <c r="B36" s="0" t="n">
        <f aca="false">B30+B35</f>
        <v>36229.4079148356</v>
      </c>
    </row>
    <row r="37" customFormat="false" ht="15" hidden="false" customHeight="false" outlineLevel="0" collapsed="false">
      <c r="A37" s="0" t="s">
        <v>137</v>
      </c>
      <c r="B37" s="0" t="n">
        <f aca="false">B36+Assumptions!$B$5-Assumptions!$B$4</f>
        <v>36229.4079148356</v>
      </c>
    </row>
    <row r="38" customFormat="false" ht="15" hidden="false" customHeight="false" outlineLevel="0" collapsed="false">
      <c r="A38" s="0" t="s">
        <v>138</v>
      </c>
      <c r="B38" s="0" t="n">
        <f aca="false">B37/Assumptions!$B$3*Assumptions!$B$10</f>
        <v>17.3155895019049</v>
      </c>
    </row>
    <row r="39" customFormat="false" ht="15" hidden="false" customHeight="false" outlineLevel="0" collapsed="false">
      <c r="A39" s="0" t="s">
        <v>139</v>
      </c>
      <c r="B39" s="4" t="n">
        <f aca="false">B38/Assumptions!$B$2-1</f>
        <v>-0.334015788388275</v>
      </c>
    </row>
    <row r="41" customFormat="false" ht="15" hidden="false" customHeight="false" outlineLevel="0" collapsed="false">
      <c r="A41" s="0" t="s">
        <v>140</v>
      </c>
      <c r="B41" s="0" t="n">
        <f aca="false">SUMPRODUCT(-C10:L10/(1+$B$27/100)^C4:L4)</f>
        <v>3685.37143143254</v>
      </c>
    </row>
    <row r="42" customFormat="false" ht="15" hidden="false" customHeight="false" outlineLevel="0" collapsed="false">
      <c r="A42" s="0" t="s">
        <v>141</v>
      </c>
      <c r="B42" s="0" t="n">
        <f aca="false">IF(B27&gt;B28,-L10*(1+B28/100)/((B27-B28)/100),-L10*20)/(1+B27/100)^L4</f>
        <v>4443.50999466659</v>
      </c>
    </row>
    <row r="43" customFormat="false" ht="15" hidden="false" customHeight="false" outlineLevel="0" collapsed="false">
      <c r="A43" s="0" t="s">
        <v>142</v>
      </c>
      <c r="B43" s="0" t="n">
        <f aca="false">(B37+B41+B42)/Assumptions!$B$3*Assumptions!$B$10</f>
        <v>21.2007309376928</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36840.0607461213</v>
      </c>
    </row>
    <row r="47" customFormat="false" ht="15" hidden="false" customHeight="false" outlineLevel="0" collapsed="false">
      <c r="A47" s="0" t="s">
        <v>144</v>
      </c>
      <c r="B47" s="0" t="n">
        <f aca="false">(SUMPRODUCT(C19:L19/(1+B45/100)^C4:L4)+B46/(1+B45/100)^L4+Assumptions!$B$5-Assumptions!$B$4)/Assumptions!$B$3*Assumptions!$B$10</f>
        <v>8.28347242737591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7.33653425866198</v>
      </c>
      <c r="C4" s="0" t="n">
        <f aca="false">B4/Assumptions!$B$2-1</f>
        <v>-0.717825605436078</v>
      </c>
      <c r="D4" s="4" t="n">
        <f aca="false">Assumptions!$B$24</f>
        <v>0.3</v>
      </c>
      <c r="E4" s="4" t="n">
        <f aca="false">DCF_Bear!$B$43</f>
        <v>9.50698579532988</v>
      </c>
      <c r="F4" s="4" t="n">
        <f aca="false">DCF_Bear!$B$47</f>
        <v>4.06630986842566</v>
      </c>
    </row>
    <row r="5" customFormat="false" ht="15" hidden="false" customHeight="false" outlineLevel="0" collapsed="false">
      <c r="A5" s="0" t="s">
        <v>153</v>
      </c>
      <c r="B5" s="4" t="n">
        <f aca="false">DCF_Base!$B$38</f>
        <v>12.7250837264856</v>
      </c>
      <c r="C5" s="0" t="n">
        <f aca="false">B5/Assumptions!$B$2-1</f>
        <v>-0.510573702827478</v>
      </c>
      <c r="D5" s="4" t="n">
        <f aca="false">Assumptions!$B$38</f>
        <v>0.5</v>
      </c>
      <c r="E5" s="4" t="n">
        <f aca="false">DCF_Base!$B$43</f>
        <v>16.1891145722155</v>
      </c>
      <c r="F5" s="4" t="n">
        <f aca="false">DCF_Base!$B$47</f>
        <v>6.48108570522028</v>
      </c>
    </row>
    <row r="6" customFormat="false" ht="15" hidden="false" customHeight="false" outlineLevel="0" collapsed="false">
      <c r="A6" s="0" t="s">
        <v>154</v>
      </c>
      <c r="B6" s="4" t="n">
        <f aca="false">DCF_Bull!$B$38</f>
        <v>17.3155895019049</v>
      </c>
      <c r="C6" s="0" t="n">
        <f aca="false">B6/Assumptions!$B$2-1</f>
        <v>-0.334015788388275</v>
      </c>
      <c r="D6" s="4" t="n">
        <f aca="false">Assumptions!$B$52</f>
        <v>0.2</v>
      </c>
      <c r="E6" s="4" t="n">
        <f aca="false">DCF_Bull!$B$43</f>
        <v>21.2007309376928</v>
      </c>
      <c r="F6" s="4" t="n">
        <f aca="false">DCF_Bull!$B$47</f>
        <v>8.28347242737591</v>
      </c>
    </row>
    <row r="8" customFormat="false" ht="15" hidden="false" customHeight="false" outlineLevel="0" collapsed="false">
      <c r="A8" s="0" t="s">
        <v>155</v>
      </c>
      <c r="B8" s="0" t="n">
        <f aca="false">SUMPRODUCT(B4:B6,D4:D6)</f>
        <v>12.0266200412224</v>
      </c>
    </row>
    <row r="9" customFormat="false" ht="15" hidden="false" customHeight="false" outlineLevel="0" collapsed="false">
      <c r="A9" s="0" t="s">
        <v>156</v>
      </c>
      <c r="B9" s="0" t="n">
        <f aca="false">SUMPRODUCT(E4:E6,D4:D6)</f>
        <v>15.1867992122453</v>
      </c>
    </row>
    <row r="10" customFormat="false" ht="15" hidden="false" customHeight="false" outlineLevel="0" collapsed="false">
      <c r="A10" s="0" t="s">
        <v>157</v>
      </c>
      <c r="B10" s="0" t="n">
        <f aca="false">1-Assumptions!$B$2/B8</f>
        <v>-1.16187090894055</v>
      </c>
    </row>
    <row r="11" customFormat="false" ht="15" hidden="false" customHeight="false" outlineLevel="0" collapsed="false">
      <c r="A11" s="0" t="s">
        <v>158</v>
      </c>
      <c r="B11" s="0" t="n">
        <f aca="false">IF(ABS(B9-B8)&gt;0.01*ABS(B8),(Assumptions!$B$2-B8)/(B9-B8)*100,"n/a")</f>
        <v>442.170497385268</v>
      </c>
    </row>
    <row r="12" customFormat="false" ht="15" hidden="false" customHeight="false" outlineLevel="0" collapsed="false">
      <c r="A12" s="0" t="s">
        <v>159</v>
      </c>
      <c r="B12" s="0" t="n">
        <f aca="false">SUMPRODUCT(F4:F6,D4:D6)</f>
        <v>6.11713029861302</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15.2892887403255</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12.7250837264856</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10.8201162245499</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9.35355590929158</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6.48108570522028</v>
      </c>
      <c r="C19" s="3" t="n">
        <v>15</v>
      </c>
    </row>
    <row r="21" customFormat="false" ht="15" hidden="false" customHeight="false" outlineLevel="0" collapsed="false">
      <c r="A21" s="2" t="s">
        <v>167</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16.4863298993074</v>
      </c>
      <c r="C23" s="0" t="n">
        <f aca="false">(SUMPRODUCT(DCF_Base!$C$19:$L$19/(1+$A$23/100)^DCF_Base!$C$4:$L$4)+MAX(0,MIN(IF($A$23&gt;$C$22,DCF_Base!$L$19*(1+$C$22/100)/(($A$23-$C$22)/100),DCF_Base!$L$19*DCF_Base!$B$29),DCF_Base!$L$19*DCF_Base!$B$29))/(1+$A$23/100)^DCF_Base!$L$4+Assumptions!$B$5-Assumptions!$B$4)/Assumptions!$B$3*Assumptions!$B$10</f>
        <v>17.159680787411</v>
      </c>
      <c r="D23" s="0" t="n">
        <f aca="false">(SUMPRODUCT(DCF_Base!$C$19:$L$19/(1+$A$23/100)^DCF_Base!$C$4:$L$4)+MAX(0,MIN(IF($A$23&gt;$D$22,DCF_Base!$L$19*(1+$D$22/100)/(($A$23-$D$22)/100),DCF_Base!$L$19*DCF_Base!$B$29),DCF_Base!$L$19*DCF_Base!$B$29))/(1+$A$23/100)^DCF_Base!$L$4+Assumptions!$B$5-Assumptions!$B$4)/Assumptions!$B$3*Assumptions!$B$10</f>
        <v>17.159680787411</v>
      </c>
      <c r="E23" s="0" t="n">
        <f aca="false">(SUMPRODUCT(DCF_Base!$C$19:$L$19/(1+$A$23/100)^DCF_Base!$C$4:$L$4)+MAX(0,MIN(IF($A$23&gt;$E$22,DCF_Base!$L$19*(1+$E$22/100)/(($A$23-$E$22)/100),DCF_Base!$L$19*DCF_Base!$B$29),DCF_Base!$L$19*DCF_Base!$B$29))/(1+$A$23/100)^DCF_Base!$L$4+Assumptions!$B$5-Assumptions!$B$4)/Assumptions!$B$3*Assumptions!$B$10</f>
        <v>17.159680787411</v>
      </c>
      <c r="F23" s="0" t="n">
        <f aca="false">(SUMPRODUCT(DCF_Base!$C$19:$L$19/(1+$A$23/100)^DCF_Base!$C$4:$L$4)+MAX(0,MIN(IF($A$23&gt;$F$22,DCF_Base!$L$19*(1+$F$22/100)/(($A$23-$F$22)/100),DCF_Base!$L$19*DCF_Base!$B$29),DCF_Base!$L$19*DCF_Base!$B$29))/(1+$A$23/100)^DCF_Base!$L$4+Assumptions!$B$5-Assumptions!$B$4)/Assumptions!$B$3*Assumptions!$B$10</f>
        <v>17.159680787411</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13.6956450768491</v>
      </c>
      <c r="C24" s="0" t="n">
        <f aca="false">(SUMPRODUCT(DCF_Base!$C$19:$L$19/(1+$A$24/100)^DCF_Base!$C$4:$L$4)+MAX(0,MIN(IF($A$24&gt;$C$22,DCF_Base!$L$19*(1+$C$22/100)/(($A$24-$C$22)/100),DCF_Base!$L$19*DCF_Base!$B$29),DCF_Base!$L$19*DCF_Base!$B$29))/(1+$A$24/100)^DCF_Base!$L$4+Assumptions!$B$5-Assumptions!$B$4)/Assumptions!$B$3*Assumptions!$B$10</f>
        <v>14.4311729215305</v>
      </c>
      <c r="D24" s="0" t="n">
        <f aca="false">(SUMPRODUCT(DCF_Base!$C$19:$L$19/(1+$A$24/100)^DCF_Base!$C$4:$L$4)+MAX(0,MIN(IF($A$24&gt;$D$22,DCF_Base!$L$19*(1+$D$22/100)/(($A$24-$D$22)/100),DCF_Base!$L$19*DCF_Base!$B$29),DCF_Base!$L$19*DCF_Base!$B$29))/(1+$A$24/100)^DCF_Base!$L$4+Assumptions!$B$5-Assumptions!$B$4)/Assumptions!$B$3*Assumptions!$B$10</f>
        <v>15.2892887403255</v>
      </c>
      <c r="E24" s="0" t="n">
        <f aca="false">(SUMPRODUCT(DCF_Base!$C$19:$L$19/(1+$A$24/100)^DCF_Base!$C$4:$L$4)+MAX(0,MIN(IF($A$24&gt;$E$22,DCF_Base!$L$19*(1+$E$22/100)/(($A$24-$E$22)/100),DCF_Base!$L$19*DCF_Base!$B$29),DCF_Base!$L$19*DCF_Base!$B$29))/(1+$A$24/100)^DCF_Base!$L$4+Assumptions!$B$5-Assumptions!$B$4)/Assumptions!$B$3*Assumptions!$B$10</f>
        <v>15.8010091827262</v>
      </c>
      <c r="F24" s="0" t="n">
        <f aca="false">(SUMPRODUCT(DCF_Base!$C$19:$L$19/(1+$A$24/100)^DCF_Base!$C$4:$L$4)+MAX(0,MIN(IF($A$24&gt;$F$22,DCF_Base!$L$19*(1+$F$22/100)/(($A$24-$F$22)/100),DCF_Base!$L$19*DCF_Base!$B$29),DCF_Base!$L$19*DCF_Base!$B$29))/(1+$A$24/100)^DCF_Base!$L$4+Assumptions!$B$5-Assumptions!$B$4)/Assumptions!$B$3*Assumptions!$B$10</f>
        <v>15.8010091827262</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11.6241610971134</v>
      </c>
      <c r="C25" s="0" t="n">
        <f aca="false">(SUMPRODUCT(DCF_Base!$C$19:$L$19/(1+$A$25/100)^DCF_Base!$C$4:$L$4)+MAX(0,MIN(IF($A$25&gt;$C$22,DCF_Base!$L$19*(1+$C$22/100)/(($A$25-$C$22)/100),DCF_Base!$L$19*DCF_Base!$B$29),DCF_Base!$L$19*DCF_Base!$B$29))/(1+$A$25/100)^DCF_Base!$L$4+Assumptions!$B$5-Assumptions!$B$4)/Assumptions!$B$3*Assumptions!$B$10</f>
        <v>12.1379249908204</v>
      </c>
      <c r="D25" s="0" t="n">
        <f aca="false">(SUMPRODUCT(DCF_Base!$C$19:$L$19/(1+$A$25/100)^DCF_Base!$C$4:$L$4)+MAX(0,MIN(IF($A$25&gt;$D$22,DCF_Base!$L$19*(1+$D$22/100)/(($A$25-$D$22)/100),DCF_Base!$L$19*DCF_Base!$B$29),DCF_Base!$L$19*DCF_Base!$B$29))/(1+$A$25/100)^DCF_Base!$L$4+Assumptions!$B$5-Assumptions!$B$4)/Assumptions!$B$3*Assumptions!$B$10</f>
        <v>12.7250837264856</v>
      </c>
      <c r="E25" s="0" t="n">
        <f aca="false">(SUMPRODUCT(DCF_Base!$C$19:$L$19/(1+$A$25/100)^DCF_Base!$C$4:$L$4)+MAX(0,MIN(IF($A$25&gt;$E$22,DCF_Base!$L$19*(1+$E$22/100)/(($A$25-$E$22)/100),DCF_Base!$L$19*DCF_Base!$B$29),DCF_Base!$L$19*DCF_Base!$B$29))/(1+$A$25/100)^DCF_Base!$L$4+Assumptions!$B$5-Assumptions!$B$4)/Assumptions!$B$3*Assumptions!$B$10</f>
        <v>13.40257457533</v>
      </c>
      <c r="F25" s="0" t="n">
        <f aca="false">(SUMPRODUCT(DCF_Base!$C$19:$L$19/(1+$A$25/100)^DCF_Base!$C$4:$L$4)+MAX(0,MIN(IF($A$25&gt;$F$22,DCF_Base!$L$19*(1+$F$22/100)/(($A$25-$F$22)/100),DCF_Base!$L$19*DCF_Base!$B$29),DCF_Base!$L$19*DCF_Base!$B$29))/(1+$A$25/100)^DCF_Base!$L$4+Assumptions!$B$5-Assumptions!$B$4)/Assumptions!$B$3*Assumptions!$B$10</f>
        <v>14.1929805656485</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10.0308206157853</v>
      </c>
      <c r="C26" s="0" t="n">
        <f aca="false">(SUMPRODUCT(DCF_Base!$C$19:$L$19/(1+$A$26/100)^DCF_Base!$C$4:$L$4)+MAX(0,MIN(IF($A$26&gt;$C$22,DCF_Base!$L$19*(1+$C$22/100)/(($A$26-$C$22)/100),DCF_Base!$L$19*DCF_Base!$B$29),DCF_Base!$L$19*DCF_Base!$B$29))/(1+$A$26/100)^DCF_Base!$L$4+Assumptions!$B$5-Assumptions!$B$4)/Assumptions!$B$3*Assumptions!$B$10</f>
        <v>10.4022538434392</v>
      </c>
      <c r="D26" s="0" t="n">
        <f aca="false">(SUMPRODUCT(DCF_Base!$C$19:$L$19/(1+$A$26/100)^DCF_Base!$C$4:$L$4)+MAX(0,MIN(IF($A$26&gt;$D$22,DCF_Base!$L$19*(1+$D$22/100)/(($A$26-$D$22)/100),DCF_Base!$L$19*DCF_Base!$B$29),DCF_Base!$L$19*DCF_Base!$B$29))/(1+$A$26/100)^DCF_Base!$L$4+Assumptions!$B$5-Assumptions!$B$4)/Assumptions!$B$3*Assumptions!$B$10</f>
        <v>10.8201162245499</v>
      </c>
      <c r="E26" s="0" t="n">
        <f aca="false">(SUMPRODUCT(DCF_Base!$C$19:$L$19/(1+$A$26/100)^DCF_Base!$C$4:$L$4)+MAX(0,MIN(IF($A$26&gt;$E$22,DCF_Base!$L$19*(1+$E$22/100)/(($A$26-$E$22)/100),DCF_Base!$L$19*DCF_Base!$B$29),DCF_Base!$L$19*DCF_Base!$B$29))/(1+$A$26/100)^DCF_Base!$L$4+Assumptions!$B$5-Assumptions!$B$4)/Assumptions!$B$3*Assumptions!$B$10</f>
        <v>11.2936935898087</v>
      </c>
      <c r="F26" s="0" t="n">
        <f aca="false">(SUMPRODUCT(DCF_Base!$C$19:$L$19/(1+$A$26/100)^DCF_Base!$C$4:$L$4)+MAX(0,MIN(IF($A$26&gt;$F$22,DCF_Base!$L$19*(1+$F$22/100)/(($A$26-$F$22)/100),DCF_Base!$L$19*DCF_Base!$B$29),DCF_Base!$L$19*DCF_Base!$B$29))/(1+$A$26/100)^DCF_Base!$L$4+Assumptions!$B$5-Assumptions!$B$4)/Assumptions!$B$3*Assumptions!$B$10</f>
        <v>11.8349248643901</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8.77108494814729</v>
      </c>
      <c r="C27" s="0" t="n">
        <f aca="false">(SUMPRODUCT(DCF_Base!$C$19:$L$19/(1+$A$27/100)^DCF_Base!$C$4:$L$4)+MAX(0,MIN(IF($A$27&gt;$C$22,DCF_Base!$L$19*(1+$C$22/100)/(($A$27-$C$22)/100),DCF_Base!$L$19*DCF_Base!$B$29),DCF_Base!$L$19*DCF_Base!$B$29))/(1+$A$27/100)^DCF_Base!$L$4+Assumptions!$B$5-Assumptions!$B$4)/Assumptions!$B$3*Assumptions!$B$10</f>
        <v>9.04699224553142</v>
      </c>
      <c r="D27" s="0" t="n">
        <f aca="false">(SUMPRODUCT(DCF_Base!$C$19:$L$19/(1+$A$27/100)^DCF_Base!$C$4:$L$4)+MAX(0,MIN(IF($A$27&gt;$D$22,DCF_Base!$L$19*(1+$D$22/100)/(($A$27-$D$22)/100),DCF_Base!$L$19*DCF_Base!$B$29),DCF_Base!$L$19*DCF_Base!$B$29))/(1+$A$27/100)^DCF_Base!$L$4+Assumptions!$B$5-Assumptions!$B$4)/Assumptions!$B$3*Assumptions!$B$10</f>
        <v>9.35355590929158</v>
      </c>
      <c r="E27" s="0" t="n">
        <f aca="false">(SUMPRODUCT(DCF_Base!$C$19:$L$19/(1+$A$27/100)^DCF_Base!$C$4:$L$4)+MAX(0,MIN(IF($A$27&gt;$E$22,DCF_Base!$L$19*(1+$E$22/100)/(($A$27-$E$22)/100),DCF_Base!$L$19*DCF_Base!$B$29),DCF_Base!$L$19*DCF_Base!$B$29))/(1+$A$27/100)^DCF_Base!$L$4+Assumptions!$B$5-Assumptions!$B$4)/Assumptions!$B$3*Assumptions!$B$10</f>
        <v>9.69618588643527</v>
      </c>
      <c r="F27" s="0" t="n">
        <f aca="false">(SUMPRODUCT(DCF_Base!$C$19:$L$19/(1+$A$27/100)^DCF_Base!$C$4:$L$4)+MAX(0,MIN(IF($A$27&gt;$F$22,DCF_Base!$L$19*(1+$F$22/100)/(($A$27-$F$22)/100),DCF_Base!$L$19*DCF_Base!$B$29),DCF_Base!$L$19*DCF_Base!$B$29))/(1+$A$27/100)^DCF_Base!$L$4+Assumptions!$B$5-Assumptions!$B$4)/Assumptions!$B$3*Assumptions!$B$10</f>
        <v>10.0816446107219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2026-09-22T20:11:25Z</dcterms:created>
  <dc:creator>openpyxl</dc:creator>
  <dc:description/>
  <dc:language>en-NZ</dc:language>
  <cp:lastModifiedBy/>
  <dcterms:modified xsi:type="dcterms:W3CDTF">2026-09-22T20:11:25Z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