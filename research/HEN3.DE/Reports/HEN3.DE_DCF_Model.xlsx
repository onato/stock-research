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<sst xmlns="http://schemas.openxmlformats.org/spreadsheetml/2006/main" count="366" uniqueCount="167">
  <si>
    <t xml:space="preserve">Ticker</t>
  </si>
  <si>
    <t xml:space="preserve">HEN3.DE</t>
  </si>
  <si>
    <t xml:space="preserve">Company</t>
  </si>
  <si>
    <t xml:space="preserve">Henkel AG &amp; Co. KGaA (preferred shares)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</si>
  <si>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</si>
  <si>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</si>
  <si>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</si>
  <si>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</si>
  <si>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2026-10-23T15:35:19Z (Yahoo regularMarketTime, Xetra regular session; Friday close carried to Sunday valuation date)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</si>
  <si>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</si>
  <si>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</si>
  <si>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</si>
  <si>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</si>
  <si>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</si>
  <si>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</si>
  <si>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</si>
  <si>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</si>
  <si>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</si>
  <si>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</si>
  <si>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</si>
  <si>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</si>
  <si>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2026-10-24T23:39:57Z</t>
  </si>
  <si>
    <t xml:space="preserve">Drivers file</t>
  </si>
  <si>
    <t xml:space="preserve">HEN3.DE_Drivers.json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</si>
  <si>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</si>
  <si>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</si>
  <si>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</si>
  <si>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Henkel is a mature, low-growth, high-quality EUR compounder: the value is a ~10% owner-FCF margin on ~EUR20bn of sales, growing roughly with nominal GDP. The valuation is terminal-heavy and capped at 15x terminal FCF (Gordon at 7%/2% would be ~20x), so it does not rely on multiple expansion. The SBC band collapses (SBC-zero market). Largest judgment: acquisitions valued at cost.
key_risks_to_valuation: Acquisitions valued at purchase price: ~EUR5.3bn deployed in 2026 (ATP, NYM, Olaplex, Stahl); a 30% overpayment would be ~EUR4/share; FX translation: 62% of sales outside Europe; a weaker USD lowers EUR flows; Consumer Brands private-label erosion in Europe; Terminal value ~55-60% of EV and bound by the 15x cap in base/bull; Share count: 404.85M at Jun-2026 treasury count; parser history before FY2025 used a constant 434.278M (gross shares less older treasury) and back-solved FY2022-24 counts, which affects historical per-share series but not this valuation</t>
  </si>
  <si>
    <t xml:space="preserve">Data sources</t>
  </si>
  <si>
    <t xml:space="preserve">price: Yahoo Finance chart API at inputs.price_as_of; 52-week range 61.28-84.20
financials: HEN3.DE_Metrics.csv (core_metrics) FY2014-FY2025 and H1-2026; Henkel Annual Report FY2025; Half-Year Financial Report 2026 (net financial position, borrowings, treasury shares, acquisitions note, guidance)
qualitative: HEN3.DE_Analysis.json (2026-10 qualitative analysis); H1-2026 guidance and mid-term ambitions</t>
  </si>
  <si>
    <t xml:space="preserve">Scenario narrative: bear</t>
  </si>
  <si>
    <t xml:space="preserve">Consumer Brands proves sub-scale: retail consolidation and private label erode Laundry &amp; Home Care pricing in Europe, Olaplex keeps shrinking, and the European auto slump (~20% of Adhesive sales) persists. Raw-material inflation from the Middle East tensions and a weak dollar squeeze margins; reported EBITDA slides to 16% and organic growth stalls at ~1.5% nominal, while integrating four acquisitions at once raises capex and restructuring.</t>
  </si>
  <si>
    <t xml:space="preserve">Scenario narrative: base</t>
  </si>
  <si>
    <t xml:space="preserve">Henkel delivers its guidance and the bottom of its mid-term ambition: Adhesive Technologies grows ~3-4% organically on Mobility &amp; Electronics and packaging, Consumer Brands ~1-3% with Hair offsetting Laundry &amp; Home Care private-label pressure in Europe, FX costs ~3.5% of reported sales in 2026 then is neutral. Reported EBITDA margin edges from 17.3% to ~18.3% (adjusted EBIT ~16%) as the Consumer Brands merger savings complete, but recurring restructuring keeps reported margins below adjusted. Acquisitions (ATP, NYM, Olaplex, Stahl) earn roughly their cost of capital.</t>
  </si>
  <si>
    <t xml:space="preserve">Scenario narrative: bull</t>
  </si>
  <si>
    <t xml:space="preserve">The portfolio upgrade works: Stahl and ATP lift Adhesive Technologies toward high-teens margins and 4-5% organic growth on electronics/EV and specialty coatings, Hair (Olaplex, Not Your Mother's, Schwarzkopf) becomes a premium growth engine, and Consumer Brands holds mid-teens margins against P&amp;G/Unilever. Group organic growth reaches the top of the 3-4% ambition, reported EBITDA climbs to 19.5% as restructuring tails off, and capex stays lean.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</si>
  <si>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</si>
  <si>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</si>
  <si>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</si>
  <si>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</si>
  <si>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</si>
  <si>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</si>
  <si>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</si>
  <si>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</si>
  <si>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</si>
  <si>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</si>
  <si>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</si>
  <si>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</si>
  <si>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</si>
  <si>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</si>
  <si>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</si>
  <si>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</si>
  <si>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</si>
  <si>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</si>
  <si>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</si>
  <si>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</si>
  <si>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</si>
  <si>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</si>
  <si>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</si>
  <si>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</si>
  <si>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</si>
  <si>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</si>
  <si>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</si>
  <si>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</si>
  <si>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</si>
  <si>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</si>
  <si>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</si>
  <si>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</si>
  <si>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</si>
  <si>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</si>
  <si>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</si>
  <si>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</si>
  <si>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</si>
  <si>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</si>
  <si>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</si>
  <si>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</si>
  <si>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</si>
  <si>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</si>
  <si>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</si>
  <si>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</si>
  <si>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</si>
  <si>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</si>
  <si>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</si>
  <si>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</si>
  <si>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</si>
  <si>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</si>
  <si>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</si>
  <si>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</si>
  <si>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</si>
  <si>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</si>
  <si>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</si>
  <si>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</si>
  <si>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</si>
  <si>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</si>
  <si>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</si>
  <si>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</si>
  <si>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</si>
  <si>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</si>
  <si>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</si>
  <si>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</si>
  <si>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</si>
  <si>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</si>
  <si>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</si>
  <si>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</si>
  <si>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</si>
  <si>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</si>
  <si>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</si>
  <si>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</si>
  <si>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</si>
  <si>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</si>
  <si>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</si>
  <si>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</si>
  <si>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HEN3.DE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</si>
  <si>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</si>
  <si>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</si>
  <si>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</si>
  <si>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</si>
  <si>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</si>
  <si>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</si>
  <si>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</si>
  <si>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</si>
  <si>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</si>
  <si>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</si>
  <si>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</si>
  <si>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</si>
  <si>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</si>
  <si>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</si>
  <si>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</si>
  <si>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</si>
  <si>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</si>
  <si>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</si>
  <si>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</si>
  <si>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</si>
  <si>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</si>
  <si>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</si>
  <si>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</si>
  <si>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</si>
  <si>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</si>
  <si>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</si>
  <si>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</si>
  <si>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</si>
  <si>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</si>
  <si>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</si>
  <si>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HEN3.DE owner-FCF component DCF: base case (millions, EUR)</t>
  </si>
  <si>
    <t xml:space="preserve">HEN3.DE owner-FCF component DCF: bull case (millions, EUR)</t>
  </si>
  <si>
    <t xml:space="preserve">HEN3.DE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</si>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</sst>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78.7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16428</v>
      </c>
      <c r="C2" s="0" t="n">
        <v>8712</v>
      </c>
      <c r="D2" s="0" t="n">
        <v>7716</v>
      </c>
      <c r="E2" s="0" t="n">
        <v>47</v>
      </c>
      <c r="F2" s="0" t="n">
        <v>2244</v>
      </c>
      <c r="G2" s="0" t="n">
        <v>13.7</v>
      </c>
      <c r="H2" s="0" t="n">
        <v>2660</v>
      </c>
      <c r="I2" s="0" t="n">
        <v>1628</v>
      </c>
      <c r="J2" s="0" t="n">
        <v>9.9</v>
      </c>
      <c r="K2" s="0" t="n">
        <v>3.76</v>
      </c>
      <c r="L2" s="0" t="n">
        <v>1914</v>
      </c>
      <c r="M2" s="0" t="n">
        <v>531</v>
      </c>
      <c r="N2" s="0" t="n">
        <v>1383</v>
      </c>
      <c r="O2" s="0" t="n">
        <v>11644</v>
      </c>
      <c r="P2" s="0" t="n">
        <v>20961</v>
      </c>
      <c r="Q2" s="0" t="n">
        <v>9317</v>
      </c>
      <c r="R2" s="0" t="n">
        <v>1744</v>
      </c>
      <c r="S2" s="0" t="n">
        <v>1228</v>
      </c>
      <c r="T2" s="0" t="n">
        <v>434.278</v>
      </c>
      <c r="U2" s="0" t="n">
        <v>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18089</v>
      </c>
      <c r="C3" s="0" t="n">
        <v>9368</v>
      </c>
      <c r="D3" s="0" t="n">
        <v>8721</v>
      </c>
      <c r="E3" s="0" t="n">
        <v>48.2</v>
      </c>
      <c r="F3" s="0" t="n">
        <v>2645</v>
      </c>
      <c r="G3" s="0" t="n">
        <v>14.6</v>
      </c>
      <c r="H3" s="0" t="n">
        <v>3105</v>
      </c>
      <c r="I3" s="0" t="n">
        <v>1921</v>
      </c>
      <c r="J3" s="0" t="n">
        <v>10.6</v>
      </c>
      <c r="K3" s="0" t="n">
        <v>4.44</v>
      </c>
      <c r="L3" s="0" t="n">
        <v>2384</v>
      </c>
      <c r="M3" s="0" t="n">
        <v>625</v>
      </c>
      <c r="N3" s="0" t="n">
        <v>1759</v>
      </c>
      <c r="O3" s="0" t="n">
        <v>13811</v>
      </c>
      <c r="P3" s="0" t="n">
        <v>22323</v>
      </c>
      <c r="Q3" s="0" t="n">
        <v>8512</v>
      </c>
      <c r="R3" s="0" t="n">
        <v>884</v>
      </c>
      <c r="S3" s="0" t="n">
        <v>1176</v>
      </c>
      <c r="T3" s="0" t="n">
        <v>434.278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18714</v>
      </c>
      <c r="C4" s="0" t="n">
        <v>9742</v>
      </c>
      <c r="D4" s="0" t="n">
        <v>8972</v>
      </c>
      <c r="E4" s="0" t="n">
        <v>47.9</v>
      </c>
      <c r="F4" s="0" t="n">
        <v>2775</v>
      </c>
      <c r="G4" s="0" t="n">
        <v>14.8</v>
      </c>
      <c r="H4" s="0" t="n">
        <v>3345</v>
      </c>
      <c r="I4" s="0" t="n">
        <v>2053</v>
      </c>
      <c r="J4" s="0" t="n">
        <v>11</v>
      </c>
      <c r="K4" s="0" t="n">
        <v>4.74</v>
      </c>
      <c r="L4" s="0" t="n">
        <v>2850</v>
      </c>
      <c r="M4" s="0" t="n">
        <v>557</v>
      </c>
      <c r="N4" s="0" t="n">
        <v>2293</v>
      </c>
      <c r="O4" s="0" t="n">
        <v>15183</v>
      </c>
      <c r="P4" s="0" t="n">
        <v>27917</v>
      </c>
      <c r="Q4" s="0" t="n">
        <v>12734</v>
      </c>
      <c r="R4" s="0" t="n">
        <v>3725</v>
      </c>
      <c r="S4" s="0" t="n">
        <v>1389</v>
      </c>
      <c r="T4" s="0" t="n">
        <v>434.278</v>
      </c>
      <c r="U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20029</v>
      </c>
      <c r="C5" s="0" t="n">
        <v>10680</v>
      </c>
      <c r="D5" s="0" t="n">
        <v>9349</v>
      </c>
      <c r="E5" s="0" t="n">
        <v>46.7</v>
      </c>
      <c r="F5" s="0" t="n">
        <v>3055</v>
      </c>
      <c r="G5" s="0" t="n">
        <v>15.3</v>
      </c>
      <c r="H5" s="0" t="n">
        <v>3727</v>
      </c>
      <c r="I5" s="0" t="n">
        <v>2519</v>
      </c>
      <c r="J5" s="0" t="n">
        <v>12.6</v>
      </c>
      <c r="K5" s="0" t="n">
        <v>5.81</v>
      </c>
      <c r="L5" s="0" t="n">
        <v>2468</v>
      </c>
      <c r="M5" s="0" t="n">
        <v>700</v>
      </c>
      <c r="N5" s="0" t="n">
        <v>1768</v>
      </c>
      <c r="O5" s="0" t="n">
        <v>15650</v>
      </c>
      <c r="P5" s="0" t="n">
        <v>28307</v>
      </c>
      <c r="Q5" s="0" t="n">
        <v>12657</v>
      </c>
      <c r="R5" s="0" t="n">
        <v>4344</v>
      </c>
      <c r="S5" s="0" t="n">
        <v>916</v>
      </c>
      <c r="T5" s="0" t="n">
        <v>434.278</v>
      </c>
      <c r="U5" s="0" t="n">
        <v>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19899</v>
      </c>
      <c r="C6" s="0" t="n">
        <v>10743</v>
      </c>
      <c r="D6" s="0" t="n">
        <v>9156</v>
      </c>
      <c r="E6" s="0" t="n">
        <v>46</v>
      </c>
      <c r="F6" s="0" t="n">
        <v>3116</v>
      </c>
      <c r="G6" s="0" t="n">
        <v>15.7</v>
      </c>
      <c r="H6" s="0" t="n">
        <v>3694</v>
      </c>
      <c r="I6" s="0" t="n">
        <v>2311</v>
      </c>
      <c r="J6" s="0" t="n">
        <v>11.6</v>
      </c>
      <c r="K6" s="0" t="n">
        <v>5.33</v>
      </c>
      <c r="L6" s="0" t="n">
        <v>2698</v>
      </c>
      <c r="M6" s="0" t="n">
        <v>837</v>
      </c>
      <c r="N6" s="0" t="n">
        <v>1861</v>
      </c>
      <c r="O6" s="0" t="n">
        <v>17093</v>
      </c>
      <c r="P6" s="0" t="n">
        <v>29623</v>
      </c>
      <c r="Q6" s="0" t="n">
        <v>12530</v>
      </c>
      <c r="R6" s="0" t="n">
        <v>4175</v>
      </c>
      <c r="S6" s="0" t="n">
        <v>1063</v>
      </c>
      <c r="T6" s="0" t="n">
        <v>434.278</v>
      </c>
      <c r="U6" s="0" t="n">
        <v>0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20114</v>
      </c>
      <c r="C7" s="0" t="n">
        <v>10883</v>
      </c>
      <c r="D7" s="0" t="n">
        <v>9231</v>
      </c>
      <c r="E7" s="0" t="n">
        <v>45.9</v>
      </c>
      <c r="F7" s="0" t="n">
        <v>2899</v>
      </c>
      <c r="G7" s="0" t="n">
        <v>14.4</v>
      </c>
      <c r="H7" s="0" t="n">
        <v>3656</v>
      </c>
      <c r="I7" s="0" t="n">
        <v>2085</v>
      </c>
      <c r="J7" s="0" t="n">
        <v>10.4</v>
      </c>
      <c r="K7" s="0" t="n">
        <v>4.81</v>
      </c>
      <c r="L7" s="0" t="n">
        <v>3241</v>
      </c>
      <c r="M7" s="0" t="n">
        <v>677</v>
      </c>
      <c r="N7" s="0" t="n">
        <v>2564</v>
      </c>
      <c r="O7" s="0" t="n">
        <v>18611</v>
      </c>
      <c r="P7" s="0" t="n">
        <v>31403</v>
      </c>
      <c r="Q7" s="0" t="n">
        <v>12792</v>
      </c>
      <c r="R7" s="0" t="n">
        <v>3958</v>
      </c>
      <c r="S7" s="0" t="n">
        <v>1462</v>
      </c>
      <c r="T7" s="0" t="n">
        <v>434.278</v>
      </c>
      <c r="U7" s="0" t="n">
        <v>0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19250</v>
      </c>
      <c r="C8" s="0" t="n">
        <v>10379</v>
      </c>
      <c r="D8" s="0" t="n">
        <v>8871</v>
      </c>
      <c r="E8" s="0" t="n">
        <v>46.1</v>
      </c>
      <c r="F8" s="0" t="n">
        <v>2019</v>
      </c>
      <c r="G8" s="0" t="n">
        <v>10.5</v>
      </c>
      <c r="H8" s="0" t="n">
        <v>3115</v>
      </c>
      <c r="I8" s="0" t="n">
        <v>1408</v>
      </c>
      <c r="J8" s="0" t="n">
        <v>7.3</v>
      </c>
      <c r="K8" s="0" t="n">
        <v>3.25</v>
      </c>
      <c r="L8" s="0" t="n">
        <v>3080</v>
      </c>
      <c r="M8" s="0" t="n">
        <v>715</v>
      </c>
      <c r="N8" s="0" t="n">
        <v>2365</v>
      </c>
      <c r="O8" s="0" t="n">
        <v>17879</v>
      </c>
      <c r="P8" s="0" t="n">
        <v>30250</v>
      </c>
      <c r="Q8" s="0" t="n">
        <v>12371</v>
      </c>
      <c r="R8" s="0" t="n">
        <v>3084</v>
      </c>
      <c r="S8" s="0" t="n">
        <v>1727</v>
      </c>
      <c r="T8" s="0" t="n">
        <v>434.278</v>
      </c>
      <c r="U8" s="0" t="n">
        <v>0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20066</v>
      </c>
      <c r="C9" s="0" t="n">
        <v>11091</v>
      </c>
      <c r="D9" s="0" t="n">
        <v>8975</v>
      </c>
      <c r="E9" s="0" t="n">
        <v>44.7</v>
      </c>
      <c r="F9" s="0" t="n">
        <v>2213</v>
      </c>
      <c r="G9" s="0" t="n">
        <v>11</v>
      </c>
      <c r="H9" s="0" t="n">
        <v>3191</v>
      </c>
      <c r="I9" s="0" t="n">
        <v>1634</v>
      </c>
      <c r="J9" s="0" t="n">
        <v>8.1</v>
      </c>
      <c r="K9" s="0" t="n">
        <v>3.78</v>
      </c>
      <c r="L9" s="0" t="n">
        <v>2141</v>
      </c>
      <c r="M9" s="0" t="n">
        <v>647</v>
      </c>
      <c r="N9" s="0" t="n">
        <v>1494</v>
      </c>
      <c r="O9" s="0" t="n">
        <v>19794</v>
      </c>
      <c r="P9" s="0" t="n">
        <v>32669</v>
      </c>
      <c r="Q9" s="0" t="n">
        <v>12875</v>
      </c>
      <c r="R9" s="0" t="n">
        <v>2838</v>
      </c>
      <c r="S9" s="0" t="n">
        <v>2116</v>
      </c>
      <c r="T9" s="0" t="n">
        <v>434.278</v>
      </c>
      <c r="U9" s="0" t="n">
        <v>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22397</v>
      </c>
      <c r="C10" s="0" t="n">
        <v>13030</v>
      </c>
      <c r="D10" s="0" t="n">
        <v>9367</v>
      </c>
      <c r="E10" s="0" t="n">
        <v>41.8</v>
      </c>
      <c r="F10" s="0" t="n">
        <v>1810</v>
      </c>
      <c r="G10" s="0" t="n">
        <v>8.1</v>
      </c>
      <c r="H10" s="0" t="n">
        <v>2685</v>
      </c>
      <c r="I10" s="0" t="n">
        <v>1259</v>
      </c>
      <c r="J10" s="0" t="n">
        <v>5.6</v>
      </c>
      <c r="K10" s="0" t="n">
        <v>2.95</v>
      </c>
      <c r="L10" s="0" t="n">
        <v>1247</v>
      </c>
      <c r="M10" s="0" t="n">
        <v>593</v>
      </c>
      <c r="N10" s="0" t="n">
        <v>654</v>
      </c>
      <c r="O10" s="0" t="n">
        <v>20157</v>
      </c>
      <c r="P10" s="0" t="n">
        <v>33178</v>
      </c>
      <c r="Q10" s="0" t="n">
        <v>13021</v>
      </c>
      <c r="R10" s="0" t="n">
        <v>2907</v>
      </c>
      <c r="S10" s="0" t="n">
        <v>1088</v>
      </c>
      <c r="T10" s="0" t="n">
        <v>426.8</v>
      </c>
      <c r="U10" s="0" t="n">
        <v>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21514</v>
      </c>
      <c r="C11" s="0" t="n">
        <v>11853</v>
      </c>
      <c r="D11" s="0" t="n">
        <v>9661</v>
      </c>
      <c r="E11" s="0" t="n">
        <v>44.9</v>
      </c>
      <c r="F11" s="0" t="n">
        <v>2011</v>
      </c>
      <c r="G11" s="0" t="n">
        <v>9.3</v>
      </c>
      <c r="H11" s="0" t="n">
        <v>2929</v>
      </c>
      <c r="I11" s="0" t="n">
        <v>1318</v>
      </c>
      <c r="J11" s="0" t="n">
        <v>6.1</v>
      </c>
      <c r="K11" s="0" t="n">
        <v>3.15</v>
      </c>
      <c r="L11" s="0" t="n">
        <v>3255</v>
      </c>
      <c r="M11" s="0" t="n">
        <v>608</v>
      </c>
      <c r="N11" s="0" t="n">
        <v>2647</v>
      </c>
      <c r="O11" s="0" t="n">
        <v>19999</v>
      </c>
      <c r="P11" s="0" t="n">
        <v>31728</v>
      </c>
      <c r="Q11" s="0" t="n">
        <v>11729</v>
      </c>
      <c r="R11" s="0" t="n">
        <v>2269</v>
      </c>
      <c r="S11" s="0" t="n">
        <v>1951</v>
      </c>
      <c r="T11" s="0" t="n">
        <v>418.4</v>
      </c>
      <c r="U11" s="0" t="n">
        <v>0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21586</v>
      </c>
      <c r="C12" s="0" t="n">
        <v>10766</v>
      </c>
      <c r="D12" s="0" t="n">
        <v>10820</v>
      </c>
      <c r="E12" s="0" t="n">
        <v>50.1</v>
      </c>
      <c r="F12" s="0" t="n">
        <v>2831</v>
      </c>
      <c r="G12" s="0" t="n">
        <v>13.1</v>
      </c>
      <c r="H12" s="0" t="n">
        <v>3657</v>
      </c>
      <c r="I12" s="0" t="n">
        <v>2007</v>
      </c>
      <c r="J12" s="0" t="n">
        <v>9.3</v>
      </c>
      <c r="K12" s="0" t="n">
        <v>4.8</v>
      </c>
      <c r="L12" s="0" t="n">
        <v>3120</v>
      </c>
      <c r="M12" s="0" t="n">
        <v>626</v>
      </c>
      <c r="N12" s="0" t="n">
        <v>2494</v>
      </c>
      <c r="O12" s="0" t="n">
        <v>21822</v>
      </c>
      <c r="P12" s="0" t="n">
        <v>35267</v>
      </c>
      <c r="Q12" s="0" t="n">
        <v>13445</v>
      </c>
      <c r="R12" s="0" t="n">
        <v>3576</v>
      </c>
      <c r="S12" s="0" t="n">
        <v>2889</v>
      </c>
      <c r="T12" s="0" t="n">
        <v>418.1</v>
      </c>
      <c r="U12" s="0" t="n">
        <v>0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20495</v>
      </c>
      <c r="C13" s="0" t="n">
        <v>10074</v>
      </c>
      <c r="D13" s="0" t="n">
        <v>10421</v>
      </c>
      <c r="E13" s="0" t="n">
        <v>50.8</v>
      </c>
      <c r="F13" s="0" t="n">
        <v>2816</v>
      </c>
      <c r="G13" s="0" t="n">
        <v>13.7</v>
      </c>
      <c r="H13" s="0" t="n">
        <v>3494</v>
      </c>
      <c r="I13" s="0" t="n">
        <v>2035</v>
      </c>
      <c r="J13" s="0" t="n">
        <v>9.9</v>
      </c>
      <c r="K13" s="0" t="n">
        <v>4.92</v>
      </c>
      <c r="L13" s="0" t="n">
        <v>2535</v>
      </c>
      <c r="M13" s="0" t="n">
        <v>693</v>
      </c>
      <c r="N13" s="0" t="n">
        <v>1842</v>
      </c>
      <c r="O13" s="0" t="n">
        <v>20581</v>
      </c>
      <c r="P13" s="0" t="n">
        <v>32533</v>
      </c>
      <c r="Q13" s="0" t="n">
        <v>11952</v>
      </c>
      <c r="R13" s="0" t="n">
        <v>3042</v>
      </c>
      <c r="S13" s="0" t="n">
        <v>2708</v>
      </c>
      <c r="T13" s="0" t="n">
        <v>406.788</v>
      </c>
      <c r="U13" s="0" t="n">
        <v>0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78.7</v>
      </c>
    </row>
    <row r="3" customFormat="false" ht="15" hidden="false" customHeight="false" outlineLevel="0" collapsed="false">
      <c r="A3" s="0" t="s">
        <v>78</v>
      </c>
      <c r="B3" s="3" t="n">
        <v>404.85</v>
      </c>
    </row>
    <row r="4" customFormat="false" ht="15" hidden="false" customHeight="false" outlineLevel="0" collapsed="false">
      <c r="A4" s="0" t="s">
        <v>79</v>
      </c>
      <c r="B4" s="3" t="n">
        <v>1855</v>
      </c>
    </row>
    <row r="5" customFormat="false" ht="15" hidden="false" customHeight="false" outlineLevel="0" collapsed="false">
      <c r="A5" s="0" t="s">
        <v>80</v>
      </c>
      <c r="B5" s="3" t="n">
        <v>1259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20495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-1.5</v>
      </c>
      <c r="D13" s="3" t="n">
        <v>1</v>
      </c>
      <c r="E13" s="3" t="n">
        <v>1.5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99</v>
      </c>
      <c r="C14" s="3" t="n">
        <v>17</v>
      </c>
      <c r="D14" s="3" t="n">
        <v>16.8</v>
      </c>
      <c r="E14" s="3" t="n">
        <v>16.5</v>
      </c>
      <c r="F14" s="3" t="n">
        <v>16.3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0.7</v>
      </c>
      <c r="D16" s="3" t="n">
        <v>0.7</v>
      </c>
      <c r="E16" s="3" t="n">
        <v>0.7</v>
      </c>
      <c r="F16" s="3" t="n">
        <v>0.7</v>
      </c>
      <c r="G16" s="3" t="n">
        <v>0.7</v>
      </c>
      <c r="H16" s="3" t="n">
        <v>0.7</v>
      </c>
      <c r="I16" s="3" t="n">
        <v>0.7</v>
      </c>
      <c r="J16" s="3" t="n">
        <v>0.7</v>
      </c>
      <c r="K16" s="3" t="n">
        <v>0.7</v>
      </c>
      <c r="L16" s="3" t="n">
        <v>0.7</v>
      </c>
    </row>
    <row r="17" customFormat="false" ht="15" hidden="false" customHeight="false" outlineLevel="0" collapsed="false">
      <c r="A17" s="0" t="s">
        <v>102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103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104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7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-4</v>
      </c>
    </row>
    <row r="24" customFormat="false" ht="15" hidden="false" customHeight="false" outlineLevel="0" collapsed="false">
      <c r="A24" s="0" t="s">
        <v>109</v>
      </c>
      <c r="B24" s="3" t="n">
        <v>0.2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2.75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17.3</v>
      </c>
      <c r="D28" s="3" t="n">
        <v>17.6</v>
      </c>
      <c r="E28" s="3" t="n">
        <v>17.9</v>
      </c>
      <c r="F28" s="3" t="n">
        <v>18</v>
      </c>
      <c r="G28" s="3" t="n">
        <v>18.2</v>
      </c>
      <c r="H28" s="3" t="n">
        <v>18.3</v>
      </c>
      <c r="I28" s="3" t="n">
        <v>18.3</v>
      </c>
      <c r="J28" s="3" t="n">
        <v>18.3</v>
      </c>
      <c r="K28" s="3" t="n">
        <v>18.3</v>
      </c>
      <c r="L28" s="3" t="n">
        <v>18.3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0.7</v>
      </c>
      <c r="D30" s="3" t="n">
        <v>0.7</v>
      </c>
      <c r="E30" s="3" t="n">
        <v>0.7</v>
      </c>
      <c r="F30" s="3" t="n">
        <v>0.7</v>
      </c>
      <c r="G30" s="3" t="n">
        <v>0.7</v>
      </c>
      <c r="H30" s="3" t="n">
        <v>0.7</v>
      </c>
      <c r="I30" s="3" t="n">
        <v>0.7</v>
      </c>
      <c r="J30" s="3" t="n">
        <v>0.7</v>
      </c>
      <c r="K30" s="3" t="n">
        <v>0.7</v>
      </c>
      <c r="L30" s="3" t="n">
        <v>0.7</v>
      </c>
    </row>
    <row r="31" customFormat="false" ht="15" hidden="false" customHeight="false" outlineLevel="0" collapsed="false">
      <c r="A31" s="0" t="s">
        <v>102</v>
      </c>
      <c r="C31" s="3" t="n">
        <v>2.8</v>
      </c>
      <c r="D31" s="3" t="n">
        <v>2.8</v>
      </c>
      <c r="E31" s="3" t="n">
        <v>2.8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103</v>
      </c>
      <c r="C32" s="3" t="n">
        <v>3.3</v>
      </c>
      <c r="D32" s="3" t="n">
        <v>3.3</v>
      </c>
      <c r="E32" s="3" t="n">
        <v>3.3</v>
      </c>
      <c r="F32" s="3" t="n">
        <v>3.3</v>
      </c>
      <c r="G32" s="3" t="n">
        <v>3.3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104</v>
      </c>
      <c r="C33" s="3" t="n">
        <v>24.5</v>
      </c>
      <c r="D33" s="3" t="n">
        <v>24.5</v>
      </c>
      <c r="E33" s="3" t="n">
        <v>24.5</v>
      </c>
      <c r="F33" s="3" t="n">
        <v>24.5</v>
      </c>
      <c r="G33" s="3" t="n">
        <v>24.5</v>
      </c>
      <c r="H33" s="3" t="n">
        <v>24.5</v>
      </c>
      <c r="I33" s="3" t="n">
        <v>24.5</v>
      </c>
      <c r="J33" s="3" t="n">
        <v>24.5</v>
      </c>
      <c r="K33" s="3" t="n">
        <v>24.5</v>
      </c>
      <c r="L33" s="3" t="n">
        <v>24.5</v>
      </c>
    </row>
    <row r="34" customFormat="false" ht="15" hidden="false" customHeight="false" outlineLevel="0" collapsed="false">
      <c r="A34" s="0" t="s">
        <v>105</v>
      </c>
      <c r="B34" s="3" t="n">
        <v>7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-4</v>
      </c>
    </row>
    <row r="38" customFormat="false" ht="15" hidden="false" customHeight="false" outlineLevel="0" collapsed="false">
      <c r="A38" s="0" t="s">
        <v>109</v>
      </c>
      <c r="B38" s="3" t="n">
        <v>0.55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-0.5</v>
      </c>
      <c r="D41" s="3" t="n">
        <v>4</v>
      </c>
      <c r="E41" s="3" t="n">
        <v>4</v>
      </c>
      <c r="F41" s="3" t="n">
        <v>4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17.5</v>
      </c>
      <c r="D42" s="3" t="n">
        <v>18</v>
      </c>
      <c r="E42" s="3" t="n">
        <v>18.5</v>
      </c>
      <c r="F42" s="3" t="n">
        <v>19</v>
      </c>
      <c r="G42" s="3" t="n">
        <v>19.3</v>
      </c>
      <c r="H42" s="3" t="n">
        <v>19.5</v>
      </c>
      <c r="I42" s="3" t="n">
        <v>19.5</v>
      </c>
      <c r="J42" s="3" t="n">
        <v>19.5</v>
      </c>
      <c r="K42" s="3" t="n">
        <v>19.5</v>
      </c>
      <c r="L42" s="3" t="n">
        <v>19.5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0.7</v>
      </c>
      <c r="D44" s="3" t="n">
        <v>0.7</v>
      </c>
      <c r="E44" s="3" t="n">
        <v>0.7</v>
      </c>
      <c r="F44" s="3" t="n">
        <v>0.7</v>
      </c>
      <c r="G44" s="3" t="n">
        <v>0.7</v>
      </c>
      <c r="H44" s="3" t="n">
        <v>0.7</v>
      </c>
      <c r="I44" s="3" t="n">
        <v>0.7</v>
      </c>
      <c r="J44" s="3" t="n">
        <v>0.7</v>
      </c>
      <c r="K44" s="3" t="n">
        <v>0.7</v>
      </c>
      <c r="L44" s="3" t="n">
        <v>0.7</v>
      </c>
    </row>
    <row r="45" customFormat="false" ht="15" hidden="false" customHeight="false" outlineLevel="0" collapsed="false">
      <c r="A45" s="0" t="s">
        <v>102</v>
      </c>
      <c r="C45" s="3" t="n">
        <v>2.8</v>
      </c>
      <c r="D45" s="3" t="n">
        <v>2.8</v>
      </c>
      <c r="E45" s="3" t="n">
        <v>2.8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103</v>
      </c>
      <c r="C46" s="3" t="n">
        <v>3.2</v>
      </c>
      <c r="D46" s="3" t="n">
        <v>3.2</v>
      </c>
      <c r="E46" s="3" t="n">
        <v>3.2</v>
      </c>
      <c r="F46" s="3" t="n">
        <v>3.2</v>
      </c>
      <c r="G46" s="3" t="n">
        <v>3.2</v>
      </c>
      <c r="H46" s="3" t="n">
        <v>3.2</v>
      </c>
      <c r="I46" s="3" t="n">
        <v>3.2</v>
      </c>
      <c r="J46" s="3" t="n">
        <v>3.2</v>
      </c>
      <c r="K46" s="3" t="n">
        <v>3.2</v>
      </c>
      <c r="L46" s="3" t="n">
        <v>3.2</v>
      </c>
    </row>
    <row r="47" customFormat="false" ht="15" hidden="false" customHeight="false" outlineLevel="0" collapsed="false">
      <c r="A47" s="0" t="s">
        <v>104</v>
      </c>
      <c r="C47" s="3" t="n">
        <v>24.5</v>
      </c>
      <c r="D47" s="3" t="n">
        <v>24.5</v>
      </c>
      <c r="E47" s="3" t="n">
        <v>24.5</v>
      </c>
      <c r="F47" s="3" t="n">
        <v>24.5</v>
      </c>
      <c r="G47" s="3" t="n">
        <v>24.5</v>
      </c>
      <c r="H47" s="3" t="n">
        <v>24.5</v>
      </c>
      <c r="I47" s="3" t="n">
        <v>24.5</v>
      </c>
      <c r="J47" s="3" t="n">
        <v>24.5</v>
      </c>
      <c r="K47" s="3" t="n">
        <v>24.5</v>
      </c>
      <c r="L47" s="3" t="n">
        <v>24.5</v>
      </c>
    </row>
    <row r="48" customFormat="false" ht="15" hidden="false" customHeight="false" outlineLevel="0" collapsed="false">
      <c r="A48" s="0" t="s">
        <v>105</v>
      </c>
      <c r="B48" s="3" t="n">
        <v>7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-4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-1.5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20495</v>
      </c>
      <c r="C6" s="0" t="n">
        <f aca="false">B6*(1+C5/100)</f>
        <v>20187.575</v>
      </c>
      <c r="D6" s="0" t="n">
        <f aca="false">C6*(1+D5/100)</f>
        <v>20389.45075</v>
      </c>
      <c r="E6" s="0" t="n">
        <f aca="false">D6*(1+E5/100)</f>
        <v>20695.29251125</v>
      </c>
      <c r="F6" s="0" t="n">
        <f aca="false">E6*(1+F5/100)</f>
        <v>21005.7218989187</v>
      </c>
      <c r="G6" s="0" t="n">
        <f aca="false">F6*(1+G5/100)</f>
        <v>21320.8077274025</v>
      </c>
      <c r="H6" s="0" t="n">
        <f aca="false">G6*(1+H5/100)</f>
        <v>21640.6198433136</v>
      </c>
      <c r="I6" s="0" t="n">
        <f aca="false">H6*(1+I5/100)</f>
        <v>21965.2291409633</v>
      </c>
      <c r="J6" s="0" t="n">
        <f aca="false">I6*(1+J5/100)</f>
        <v>22294.7075780777</v>
      </c>
      <c r="K6" s="0" t="n">
        <f aca="false">J6*(1+K5/100)</f>
        <v>22629.1281917489</v>
      </c>
      <c r="L6" s="0" t="n">
        <f aca="false">K6*(1+L5/100)</f>
        <v>22968.5651146251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17</v>
      </c>
      <c r="D7" s="4" t="n">
        <f aca="false">Assumptions!D14</f>
        <v>16.8</v>
      </c>
      <c r="E7" s="4" t="n">
        <f aca="false">Assumptions!E14</f>
        <v>16.5</v>
      </c>
      <c r="F7" s="4" t="n">
        <f aca="false">Assumptions!F14</f>
        <v>16.3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3431.88775</v>
      </c>
      <c r="D8" s="0" t="n">
        <f aca="false">D6*D7/100</f>
        <v>3425.427726</v>
      </c>
      <c r="E8" s="0" t="n">
        <f aca="false">E6*E7/100</f>
        <v>3414.72326435625</v>
      </c>
      <c r="F8" s="0" t="n">
        <f aca="false">F6*F7/100</f>
        <v>3423.93266952376</v>
      </c>
      <c r="G8" s="0" t="n">
        <f aca="false">G6*G7/100</f>
        <v>3411.3292363844</v>
      </c>
      <c r="H8" s="0" t="n">
        <f aca="false">H6*H7/100</f>
        <v>3462.49917493017</v>
      </c>
      <c r="I8" s="0" t="n">
        <f aca="false">I6*I7/100</f>
        <v>3514.43666255412</v>
      </c>
      <c r="J8" s="0" t="n">
        <f aca="false">J6*J7/100</f>
        <v>3567.15321249243</v>
      </c>
      <c r="K8" s="0" t="n">
        <f aca="false">K6*K7/100</f>
        <v>3620.66051067982</v>
      </c>
      <c r="L8" s="0" t="n">
        <f aca="false">L6*L7/100</f>
        <v>3674.97041834002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3290.574725</v>
      </c>
      <c r="D11" s="0" t="n">
        <f aca="false">D8+D10+D24</f>
        <v>3282.70157075</v>
      </c>
      <c r="E11" s="0" t="n">
        <f aca="false">E8+E10+E24</f>
        <v>3269.8562167775</v>
      </c>
      <c r="F11" s="0" t="n">
        <f aca="false">F8+F10+F24</f>
        <v>3276.89261623132</v>
      </c>
      <c r="G11" s="0" t="n">
        <f aca="false">G8+G10+G24</f>
        <v>3262.08358229259</v>
      </c>
      <c r="H11" s="0" t="n">
        <f aca="false">H8+H10+H24</f>
        <v>3311.01483602697</v>
      </c>
      <c r="I11" s="0" t="n">
        <f aca="false">I8+I10+I24</f>
        <v>3360.68005856738</v>
      </c>
      <c r="J11" s="0" t="n">
        <f aca="false">J8+J10+J24</f>
        <v>3411.09025944589</v>
      </c>
      <c r="K11" s="0" t="n">
        <f aca="false">K8+K10+K24</f>
        <v>3462.25661333758</v>
      </c>
      <c r="L11" s="0" t="n">
        <f aca="false">L8+L10+L24</f>
        <v>3514.19046253764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-565.2521</v>
      </c>
      <c r="D12" s="4" t="n">
        <f aca="false">-D6*Assumptions!D17/100</f>
        <v>-570.904621</v>
      </c>
      <c r="E12" s="4" t="n">
        <f aca="false">-E6*Assumptions!E17/100</f>
        <v>-579.468190315</v>
      </c>
      <c r="F12" s="4" t="n">
        <f aca="false">-F6*Assumptions!F17/100</f>
        <v>-588.160213169725</v>
      </c>
      <c r="G12" s="4" t="n">
        <f aca="false">-G6*Assumptions!G17/100</f>
        <v>-596.982616367271</v>
      </c>
      <c r="H12" s="4" t="n">
        <f aca="false">-H6*Assumptions!H17/100</f>
        <v>-605.93735561278</v>
      </c>
      <c r="I12" s="4" t="n">
        <f aca="false">-I6*Assumptions!I17/100</f>
        <v>-615.026415946971</v>
      </c>
      <c r="J12" s="4" t="n">
        <f aca="false">-J6*Assumptions!J17/100</f>
        <v>-624.251812186176</v>
      </c>
      <c r="K12" s="4" t="n">
        <f aca="false">-K6*Assumptions!K17/100</f>
        <v>-633.615589368968</v>
      </c>
      <c r="L12" s="4" t="n">
        <f aca="false">-L6*Assumptions!L17/100</f>
        <v>-643.119823209503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2725.322625</v>
      </c>
      <c r="D13" s="0" t="n">
        <f aca="false">D11+D12</f>
        <v>2711.79694975</v>
      </c>
      <c r="E13" s="0" t="n">
        <f aca="false">E11+E12</f>
        <v>2690.3880264625</v>
      </c>
      <c r="F13" s="0" t="n">
        <f aca="false">F11+F12</f>
        <v>2688.7324030616</v>
      </c>
      <c r="G13" s="0" t="n">
        <f aca="false">G11+G12</f>
        <v>2665.10096592532</v>
      </c>
      <c r="H13" s="0" t="n">
        <f aca="false">H11+H12</f>
        <v>2705.07748041419</v>
      </c>
      <c r="I13" s="0" t="n">
        <f aca="false">I11+I12</f>
        <v>2745.65364262041</v>
      </c>
      <c r="J13" s="0" t="n">
        <f aca="false">J11+J12</f>
        <v>2786.83844725971</v>
      </c>
      <c r="K13" s="0" t="n">
        <f aca="false">K11+K12</f>
        <v>2828.64102396861</v>
      </c>
      <c r="L13" s="0" t="n">
        <f aca="false">L11+L12</f>
        <v>2871.07063932814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2043.99196875</v>
      </c>
      <c r="D15" s="0" t="n">
        <f aca="false">D13-MAX(0,D13)*D14/100</f>
        <v>2033.8477123125</v>
      </c>
      <c r="E15" s="0" t="n">
        <f aca="false">E13-MAX(0,E13)*E14/100</f>
        <v>2017.79101984687</v>
      </c>
      <c r="F15" s="0" t="n">
        <f aca="false">F13-MAX(0,F13)*F14/100</f>
        <v>2016.5493022962</v>
      </c>
      <c r="G15" s="0" t="n">
        <f aca="false">G13-MAX(0,G13)*G14/100</f>
        <v>1998.82572444399</v>
      </c>
      <c r="H15" s="0" t="n">
        <f aca="false">H13-MAX(0,H13)*H14/100</f>
        <v>2028.80811031065</v>
      </c>
      <c r="I15" s="0" t="n">
        <f aca="false">I13-MAX(0,I13)*I14/100</f>
        <v>2059.24023196531</v>
      </c>
      <c r="J15" s="0" t="n">
        <f aca="false">J13-MAX(0,J13)*J14/100</f>
        <v>2090.12883544479</v>
      </c>
      <c r="K15" s="0" t="n">
        <f aca="false">K13-MAX(0,K13)*K14/100</f>
        <v>2121.48076797646</v>
      </c>
      <c r="L15" s="0" t="n">
        <f aca="false">L13-MAX(0,L13)*L14/100</f>
        <v>2153.3029794961</v>
      </c>
    </row>
    <row r="16" customFormat="false" ht="15" hidden="false" customHeight="false" outlineLevel="0" collapsed="false">
      <c r="A16" s="0" t="s">
        <v>120</v>
      </c>
      <c r="C16" s="0" t="n">
        <f aca="false">-C12</f>
        <v>565.2521</v>
      </c>
      <c r="D16" s="0" t="n">
        <f aca="false">-D12</f>
        <v>570.904621</v>
      </c>
      <c r="E16" s="0" t="n">
        <f aca="false">-E12</f>
        <v>579.468190315</v>
      </c>
      <c r="F16" s="0" t="n">
        <f aca="false">-F12</f>
        <v>588.160213169725</v>
      </c>
      <c r="G16" s="0" t="n">
        <f aca="false">-G12</f>
        <v>596.982616367271</v>
      </c>
      <c r="H16" s="0" t="n">
        <f aca="false">-H12</f>
        <v>605.93735561278</v>
      </c>
      <c r="I16" s="0" t="n">
        <f aca="false">-I12</f>
        <v>615.026415946971</v>
      </c>
      <c r="J16" s="0" t="n">
        <f aca="false">-J12</f>
        <v>624.251812186176</v>
      </c>
      <c r="K16" s="0" t="n">
        <f aca="false">-K12</f>
        <v>633.615589368968</v>
      </c>
      <c r="L16" s="0" t="n">
        <f aca="false">-L12</f>
        <v>643.119823209503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-706.565125</v>
      </c>
      <c r="D17" s="4" t="n">
        <f aca="false">-D6*Assumptions!D18/100</f>
        <v>-713.63077625</v>
      </c>
      <c r="E17" s="4" t="n">
        <f aca="false">-E6*Assumptions!E18/100</f>
        <v>-724.33523789375</v>
      </c>
      <c r="F17" s="4" t="n">
        <f aca="false">-F6*Assumptions!F18/100</f>
        <v>-735.200266462156</v>
      </c>
      <c r="G17" s="4" t="n">
        <f aca="false">-G6*Assumptions!G18/100</f>
        <v>-746.228270459088</v>
      </c>
      <c r="H17" s="4" t="n">
        <f aca="false">-H6*Assumptions!H18/100</f>
        <v>-757.421694515975</v>
      </c>
      <c r="I17" s="4" t="n">
        <f aca="false">-I6*Assumptions!I18/100</f>
        <v>-768.783019933714</v>
      </c>
      <c r="J17" s="4" t="n">
        <f aca="false">-J6*Assumptions!J18/100</f>
        <v>-780.31476523272</v>
      </c>
      <c r="K17" s="4" t="n">
        <f aca="false">-K6*Assumptions!K18/100</f>
        <v>-792.01948671121</v>
      </c>
      <c r="L17" s="4" t="n">
        <f aca="false">-L6*Assumptions!L18/100</f>
        <v>-803.899779011878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12.297</v>
      </c>
      <c r="D18" s="4" t="n">
        <f aca="false">(D6-C6)*Assumptions!$B$23/100</f>
        <v>-8.07502999999997</v>
      </c>
      <c r="E18" s="4" t="n">
        <f aca="false">(E6-D6)*Assumptions!$B$23/100</f>
        <v>-12.2336704499999</v>
      </c>
      <c r="F18" s="4" t="n">
        <f aca="false">(F6-E6)*Assumptions!$B$23/100</f>
        <v>-12.4171755067499</v>
      </c>
      <c r="G18" s="4" t="n">
        <f aca="false">(G6-F6)*Assumptions!$B$23/100</f>
        <v>-12.6034331393511</v>
      </c>
      <c r="H18" s="4" t="n">
        <f aca="false">(H6-G6)*Assumptions!$B$23/100</f>
        <v>-12.7924846364414</v>
      </c>
      <c r="I18" s="4" t="n">
        <f aca="false">(I6-H6)*Assumptions!$B$23/100</f>
        <v>-12.9843719059881</v>
      </c>
      <c r="J18" s="4" t="n">
        <f aca="false">(J6-I6)*Assumptions!$B$23/100</f>
        <v>-13.1791374845778</v>
      </c>
      <c r="K18" s="4" t="n">
        <f aca="false">(K6-J6)*Assumptions!$B$23/100</f>
        <v>-13.3768245468465</v>
      </c>
      <c r="L18" s="4" t="n">
        <f aca="false">(L6-K6)*Assumptions!$B$23/100</f>
        <v>-13.5774769150492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1914.97594375</v>
      </c>
      <c r="D19" s="0" t="n">
        <f aca="false">D15+D16+D17+D18</f>
        <v>1883.0465270625</v>
      </c>
      <c r="E19" s="0" t="n">
        <f aca="false">E15+E16+E17+E18</f>
        <v>1860.69030181813</v>
      </c>
      <c r="F19" s="0" t="n">
        <f aca="false">F15+F16+F17+F18</f>
        <v>1857.09207349702</v>
      </c>
      <c r="G19" s="0" t="n">
        <f aca="false">G15+G16+G17+G18</f>
        <v>1836.97663721282</v>
      </c>
      <c r="H19" s="0" t="n">
        <f aca="false">H15+H16+H17+H18</f>
        <v>1864.53128677101</v>
      </c>
      <c r="I19" s="0" t="n">
        <f aca="false">I15+I16+I17+I18</f>
        <v>1892.49925607257</v>
      </c>
      <c r="J19" s="0" t="n">
        <f aca="false">J15+J16+J17+J18</f>
        <v>1920.88674491366</v>
      </c>
      <c r="K19" s="0" t="n">
        <f aca="false">K15+K16+K17+K18</f>
        <v>1949.70004608737</v>
      </c>
      <c r="L19" s="0" t="n">
        <f aca="false">L15+L16+L17+L18</f>
        <v>1978.94554677868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1789.69714369159</v>
      </c>
      <c r="D21" s="0" t="n">
        <f aca="false">D19*D20</f>
        <v>1644.72576387676</v>
      </c>
      <c r="E21" s="0" t="n">
        <f aca="false">E19*E20</f>
        <v>1518.87754292553</v>
      </c>
      <c r="F21" s="0" t="n">
        <f aca="false">F19*F20</f>
        <v>1416.76665120229</v>
      </c>
      <c r="G21" s="0" t="n">
        <f aca="false">G19*G20</f>
        <v>1309.73895436712</v>
      </c>
      <c r="H21" s="0" t="n">
        <f aca="false">H19*H20</f>
        <v>1242.41592400246</v>
      </c>
      <c r="I21" s="0" t="n">
        <f aca="false">I19*I20</f>
        <v>1178.55342323598</v>
      </c>
      <c r="J21" s="0" t="n">
        <f aca="false">J19*J20</f>
        <v>1117.97357437805</v>
      </c>
      <c r="K21" s="0" t="n">
        <f aca="false">K19*K20</f>
        <v>1060.50764298479</v>
      </c>
      <c r="L21" s="0" t="n">
        <f aca="false">L19*L20</f>
        <v>1005.99556787809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0.7</v>
      </c>
      <c r="D23" s="4" t="n">
        <f aca="false">Assumptions!D16</f>
        <v>0.7</v>
      </c>
      <c r="E23" s="4" t="n">
        <f aca="false">Assumptions!E16</f>
        <v>0.7</v>
      </c>
      <c r="F23" s="4" t="n">
        <f aca="false">Assumptions!F16</f>
        <v>0.7</v>
      </c>
      <c r="G23" s="4" t="n">
        <f aca="false">Assumptions!G16</f>
        <v>0.7</v>
      </c>
      <c r="H23" s="4" t="n">
        <f aca="false">Assumptions!H16</f>
        <v>0.7</v>
      </c>
      <c r="I23" s="4" t="n">
        <f aca="false">Assumptions!I16</f>
        <v>0.7</v>
      </c>
      <c r="J23" s="4" t="n">
        <f aca="false">Assumptions!J16</f>
        <v>0.7</v>
      </c>
      <c r="K23" s="4" t="n">
        <f aca="false">Assumptions!K16</f>
        <v>0.7</v>
      </c>
      <c r="L23" s="4" t="n">
        <f aca="false">Assumptions!L16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-141.313025</v>
      </c>
      <c r="D24" s="0" t="n">
        <f aca="false">-D6*D23/100</f>
        <v>-142.72615525</v>
      </c>
      <c r="E24" s="0" t="n">
        <f aca="false">-E6*E23/100</f>
        <v>-144.86704757875</v>
      </c>
      <c r="F24" s="0" t="n">
        <f aca="false">-F6*F23/100</f>
        <v>-147.040053292431</v>
      </c>
      <c r="G24" s="0" t="n">
        <f aca="false">-G6*G23/100</f>
        <v>-149.245654091818</v>
      </c>
      <c r="H24" s="0" t="n">
        <f aca="false">-H6*H23/100</f>
        <v>-151.484338903195</v>
      </c>
      <c r="I24" s="0" t="n">
        <f aca="false">-I6*I23/100</f>
        <v>-153.756603986743</v>
      </c>
      <c r="J24" s="0" t="n">
        <f aca="false">-J6*J23/100</f>
        <v>-156.062953046544</v>
      </c>
      <c r="K24" s="0" t="n">
        <f aca="false">-K6*K23/100</f>
        <v>-158.403897342242</v>
      </c>
      <c r="L24" s="0" t="n">
        <f aca="false">-L6*L23/100</f>
        <v>-160.779955802376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13285.2521885427</v>
      </c>
    </row>
    <row r="31" customFormat="false" ht="15" hidden="false" customHeight="false" outlineLevel="0" collapsed="false">
      <c r="A31" s="0" t="s">
        <v>129</v>
      </c>
      <c r="B31" s="0" t="n">
        <f aca="false">L19</f>
        <v>1978.94554677868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36520.5405450974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29684.1832016802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29684.1832016802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15089.9335181714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28375.185706714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27779.185706714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68.6159953234878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-0.128132206817181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68.6159953234878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14878.7387405952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31.0195457079186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2.75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20495</v>
      </c>
      <c r="C6" s="0" t="n">
        <f aca="false">B6*(1+C5/100)</f>
        <v>20290.05</v>
      </c>
      <c r="D6" s="0" t="n">
        <f aca="false">C6*(1+D5/100)</f>
        <v>20898.7515</v>
      </c>
      <c r="E6" s="0" t="n">
        <f aca="false">D6*(1+E5/100)</f>
        <v>21525.714045</v>
      </c>
      <c r="F6" s="0" t="n">
        <f aca="false">E6*(1+F5/100)</f>
        <v>22171.48546635</v>
      </c>
      <c r="G6" s="0" t="n">
        <f aca="false">F6*(1+G5/100)</f>
        <v>22836.6300303405</v>
      </c>
      <c r="H6" s="0" t="n">
        <f aca="false">G6*(1+H5/100)</f>
        <v>23464.6373561749</v>
      </c>
      <c r="I6" s="0" t="n">
        <f aca="false">H6*(1+I5/100)</f>
        <v>24051.2532900792</v>
      </c>
      <c r="J6" s="0" t="n">
        <f aca="false">I6*(1+J5/100)</f>
        <v>24652.5346223312</v>
      </c>
      <c r="K6" s="0" t="n">
        <f aca="false">J6*(1+K5/100)</f>
        <v>25268.8479878895</v>
      </c>
      <c r="L6" s="0" t="n">
        <f aca="false">K6*(1+L5/100)</f>
        <v>25900.5691875867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17.3</v>
      </c>
      <c r="D7" s="4" t="n">
        <f aca="false">Assumptions!D28</f>
        <v>17.6</v>
      </c>
      <c r="E7" s="4" t="n">
        <f aca="false">Assumptions!E28</f>
        <v>17.9</v>
      </c>
      <c r="F7" s="4" t="n">
        <f aca="false">Assumptions!F28</f>
        <v>18</v>
      </c>
      <c r="G7" s="4" t="n">
        <f aca="false">Assumptions!G28</f>
        <v>18.2</v>
      </c>
      <c r="H7" s="4" t="n">
        <f aca="false">Assumptions!H28</f>
        <v>18.3</v>
      </c>
      <c r="I7" s="4" t="n">
        <f aca="false">Assumptions!I28</f>
        <v>18.3</v>
      </c>
      <c r="J7" s="4" t="n">
        <f aca="false">Assumptions!J28</f>
        <v>18.3</v>
      </c>
      <c r="K7" s="4" t="n">
        <f aca="false">Assumptions!K28</f>
        <v>18.3</v>
      </c>
      <c r="L7" s="4" t="n">
        <f aca="false">Assumptions!L28</f>
        <v>18.3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3510.17865</v>
      </c>
      <c r="D8" s="0" t="n">
        <f aca="false">D6*D7/100</f>
        <v>3678.180264</v>
      </c>
      <c r="E8" s="0" t="n">
        <f aca="false">E6*E7/100</f>
        <v>3853.102814055</v>
      </c>
      <c r="F8" s="0" t="n">
        <f aca="false">F6*F7/100</f>
        <v>3990.867383943</v>
      </c>
      <c r="G8" s="0" t="n">
        <f aca="false">G6*G7/100</f>
        <v>4156.26666552197</v>
      </c>
      <c r="H8" s="0" t="n">
        <f aca="false">H6*H7/100</f>
        <v>4294.02863618</v>
      </c>
      <c r="I8" s="0" t="n">
        <f aca="false">I6*I7/100</f>
        <v>4401.3793520845</v>
      </c>
      <c r="J8" s="0" t="n">
        <f aca="false">J6*J7/100</f>
        <v>4511.41383588661</v>
      </c>
      <c r="K8" s="0" t="n">
        <f aca="false">K6*K7/100</f>
        <v>4624.19918178378</v>
      </c>
      <c r="L8" s="0" t="n">
        <f aca="false">L6*L7/100</f>
        <v>4739.80416132837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3368.1483</v>
      </c>
      <c r="D11" s="0" t="n">
        <f aca="false">D8+D10+D24</f>
        <v>3531.8890035</v>
      </c>
      <c r="E11" s="0" t="n">
        <f aca="false">E8+E10+E24</f>
        <v>3702.42281574</v>
      </c>
      <c r="F11" s="0" t="n">
        <f aca="false">F8+F10+F24</f>
        <v>3835.66698567855</v>
      </c>
      <c r="G11" s="0" t="n">
        <f aca="false">G8+G10+G24</f>
        <v>3996.41025530959</v>
      </c>
      <c r="H11" s="0" t="n">
        <f aca="false">H8+H10+H24</f>
        <v>4129.77617468678</v>
      </c>
      <c r="I11" s="0" t="n">
        <f aca="false">I8+I10+I24</f>
        <v>4233.02057905395</v>
      </c>
      <c r="J11" s="0" t="n">
        <f aca="false">J8+J10+J24</f>
        <v>4338.8460935303</v>
      </c>
      <c r="K11" s="0" t="n">
        <f aca="false">K8+K10+K24</f>
        <v>4447.31724586855</v>
      </c>
      <c r="L11" s="0" t="n">
        <f aca="false">L8+L10+L24</f>
        <v>4558.50017701527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-568.1214</v>
      </c>
      <c r="D12" s="4" t="n">
        <f aca="false">-D6*Assumptions!D31/100</f>
        <v>-585.165042</v>
      </c>
      <c r="E12" s="4" t="n">
        <f aca="false">-E6*Assumptions!E31/100</f>
        <v>-602.71999326</v>
      </c>
      <c r="F12" s="4" t="n">
        <f aca="false">-F6*Assumptions!F31/100</f>
        <v>-620.8015930578</v>
      </c>
      <c r="G12" s="4" t="n">
        <f aca="false">-G6*Assumptions!G31/100</f>
        <v>-639.425640849534</v>
      </c>
      <c r="H12" s="4" t="n">
        <f aca="false">-H6*Assumptions!H31/100</f>
        <v>-657.009845972896</v>
      </c>
      <c r="I12" s="4" t="n">
        <f aca="false">-I6*Assumptions!I31/100</f>
        <v>-673.435092122219</v>
      </c>
      <c r="J12" s="4" t="n">
        <f aca="false">-J6*Assumptions!J31/100</f>
        <v>-690.270969425274</v>
      </c>
      <c r="K12" s="4" t="n">
        <f aca="false">-K6*Assumptions!K31/100</f>
        <v>-707.527743660906</v>
      </c>
      <c r="L12" s="4" t="n">
        <f aca="false">-L6*Assumptions!L31/100</f>
        <v>-725.215937252428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2800.0269</v>
      </c>
      <c r="D13" s="0" t="n">
        <f aca="false">D11+D12</f>
        <v>2946.7239615</v>
      </c>
      <c r="E13" s="0" t="n">
        <f aca="false">E11+E12</f>
        <v>3099.70282248</v>
      </c>
      <c r="F13" s="0" t="n">
        <f aca="false">F11+F12</f>
        <v>3214.86539262075</v>
      </c>
      <c r="G13" s="0" t="n">
        <f aca="false">G11+G12</f>
        <v>3356.98461446005</v>
      </c>
      <c r="H13" s="0" t="n">
        <f aca="false">H11+H12</f>
        <v>3472.76632871388</v>
      </c>
      <c r="I13" s="0" t="n">
        <f aca="false">I11+I12</f>
        <v>3559.58548693173</v>
      </c>
      <c r="J13" s="0" t="n">
        <f aca="false">J11+J12</f>
        <v>3648.57512410502</v>
      </c>
      <c r="K13" s="0" t="n">
        <f aca="false">K11+K12</f>
        <v>3739.78950220764</v>
      </c>
      <c r="L13" s="0" t="n">
        <f aca="false">L11+L12</f>
        <v>3833.28423976284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24.5</v>
      </c>
      <c r="D14" s="4" t="n">
        <f aca="false">Assumptions!D33</f>
        <v>24.5</v>
      </c>
      <c r="E14" s="4" t="n">
        <f aca="false">Assumptions!E33</f>
        <v>24.5</v>
      </c>
      <c r="F14" s="4" t="n">
        <f aca="false">Assumptions!F33</f>
        <v>24.5</v>
      </c>
      <c r="G14" s="4" t="n">
        <f aca="false">Assumptions!G33</f>
        <v>24.5</v>
      </c>
      <c r="H14" s="4" t="n">
        <f aca="false">Assumptions!H33</f>
        <v>24.5</v>
      </c>
      <c r="I14" s="4" t="n">
        <f aca="false">Assumptions!I33</f>
        <v>24.5</v>
      </c>
      <c r="J14" s="4" t="n">
        <f aca="false">Assumptions!J33</f>
        <v>24.5</v>
      </c>
      <c r="K14" s="4" t="n">
        <f aca="false">Assumptions!K33</f>
        <v>24.5</v>
      </c>
      <c r="L14" s="4" t="n">
        <f aca="false">Assumptions!L33</f>
        <v>24.5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2114.0203095</v>
      </c>
      <c r="D15" s="0" t="n">
        <f aca="false">D13-MAX(0,D13)*D14/100</f>
        <v>2224.7765909325</v>
      </c>
      <c r="E15" s="0" t="n">
        <f aca="false">E13-MAX(0,E13)*E14/100</f>
        <v>2340.2756309724</v>
      </c>
      <c r="F15" s="0" t="n">
        <f aca="false">F13-MAX(0,F13)*F14/100</f>
        <v>2427.22337142867</v>
      </c>
      <c r="G15" s="0" t="n">
        <f aca="false">G13-MAX(0,G13)*G14/100</f>
        <v>2534.52338391734</v>
      </c>
      <c r="H15" s="0" t="n">
        <f aca="false">H13-MAX(0,H13)*H14/100</f>
        <v>2621.93857817898</v>
      </c>
      <c r="I15" s="0" t="n">
        <f aca="false">I13-MAX(0,I13)*I14/100</f>
        <v>2687.48704263345</v>
      </c>
      <c r="J15" s="0" t="n">
        <f aca="false">J13-MAX(0,J13)*J14/100</f>
        <v>2754.67421869929</v>
      </c>
      <c r="K15" s="0" t="n">
        <f aca="false">K13-MAX(0,K13)*K14/100</f>
        <v>2823.54107416677</v>
      </c>
      <c r="L15" s="0" t="n">
        <f aca="false">L13-MAX(0,L13)*L14/100</f>
        <v>2894.12960102094</v>
      </c>
    </row>
    <row r="16" customFormat="false" ht="15" hidden="false" customHeight="false" outlineLevel="0" collapsed="false">
      <c r="A16" s="0" t="s">
        <v>120</v>
      </c>
      <c r="C16" s="0" t="n">
        <f aca="false">-C12</f>
        <v>568.1214</v>
      </c>
      <c r="D16" s="0" t="n">
        <f aca="false">-D12</f>
        <v>585.165042</v>
      </c>
      <c r="E16" s="0" t="n">
        <f aca="false">-E12</f>
        <v>602.71999326</v>
      </c>
      <c r="F16" s="0" t="n">
        <f aca="false">-F12</f>
        <v>620.8015930578</v>
      </c>
      <c r="G16" s="0" t="n">
        <f aca="false">-G12</f>
        <v>639.425640849534</v>
      </c>
      <c r="H16" s="0" t="n">
        <f aca="false">-H12</f>
        <v>657.009845972896</v>
      </c>
      <c r="I16" s="0" t="n">
        <f aca="false">-I12</f>
        <v>673.435092122219</v>
      </c>
      <c r="J16" s="0" t="n">
        <f aca="false">-J12</f>
        <v>690.270969425274</v>
      </c>
      <c r="K16" s="0" t="n">
        <f aca="false">-K12</f>
        <v>707.527743660906</v>
      </c>
      <c r="L16" s="0" t="n">
        <f aca="false">-L12</f>
        <v>725.215937252428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-669.57165</v>
      </c>
      <c r="D17" s="4" t="n">
        <f aca="false">-D6*Assumptions!D32/100</f>
        <v>-689.6587995</v>
      </c>
      <c r="E17" s="4" t="n">
        <f aca="false">-E6*Assumptions!E32/100</f>
        <v>-710.348563485</v>
      </c>
      <c r="F17" s="4" t="n">
        <f aca="false">-F6*Assumptions!F32/100</f>
        <v>-731.65902038955</v>
      </c>
      <c r="G17" s="4" t="n">
        <f aca="false">-G6*Assumptions!G32/100</f>
        <v>-753.608791001237</v>
      </c>
      <c r="H17" s="4" t="n">
        <f aca="false">-H6*Assumptions!H32/100</f>
        <v>-774.333032753771</v>
      </c>
      <c r="I17" s="4" t="n">
        <f aca="false">-I6*Assumptions!I32/100</f>
        <v>-793.691358572615</v>
      </c>
      <c r="J17" s="4" t="n">
        <f aca="false">-J6*Assumptions!J32/100</f>
        <v>-813.53364253693</v>
      </c>
      <c r="K17" s="4" t="n">
        <f aca="false">-K6*Assumptions!K32/100</f>
        <v>-833.871983600353</v>
      </c>
      <c r="L17" s="4" t="n">
        <f aca="false">-L6*Assumptions!L32/100</f>
        <v>-854.718783190362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8.19800000000003</v>
      </c>
      <c r="D18" s="4" t="n">
        <f aca="false">(D6-C6)*Assumptions!$B$37/100</f>
        <v>-24.34806</v>
      </c>
      <c r="E18" s="4" t="n">
        <f aca="false">(E6-D6)*Assumptions!$B$37/100</f>
        <v>-25.0785018000001</v>
      </c>
      <c r="F18" s="4" t="n">
        <f aca="false">(F6-E6)*Assumptions!$B$37/100</f>
        <v>-25.830856854</v>
      </c>
      <c r="G18" s="4" t="n">
        <f aca="false">(G6-F6)*Assumptions!$B$37/100</f>
        <v>-26.60578255962</v>
      </c>
      <c r="H18" s="4" t="n">
        <f aca="false">(H6-G6)*Assumptions!$B$37/100</f>
        <v>-25.1202930333746</v>
      </c>
      <c r="I18" s="4" t="n">
        <f aca="false">(I6-H6)*Assumptions!$B$37/100</f>
        <v>-23.4646373561748</v>
      </c>
      <c r="J18" s="4" t="n">
        <f aca="false">(J6-I6)*Assumptions!$B$37/100</f>
        <v>-24.0512532900792</v>
      </c>
      <c r="K18" s="4" t="n">
        <f aca="false">(K6-J6)*Assumptions!$B$37/100</f>
        <v>-24.6525346223312</v>
      </c>
      <c r="L18" s="4" t="n">
        <f aca="false">(L6-K6)*Assumptions!$B$37/100</f>
        <v>-25.2688479878895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2020.7680595</v>
      </c>
      <c r="D19" s="0" t="n">
        <f aca="false">D15+D16+D17+D18</f>
        <v>2095.9347734325</v>
      </c>
      <c r="E19" s="0" t="n">
        <f aca="false">E15+E16+E17+E18</f>
        <v>2207.5685589474</v>
      </c>
      <c r="F19" s="0" t="n">
        <f aca="false">F15+F16+F17+F18</f>
        <v>2290.53508724292</v>
      </c>
      <c r="G19" s="0" t="n">
        <f aca="false">G15+G16+G17+G18</f>
        <v>2393.73445120602</v>
      </c>
      <c r="H19" s="0" t="n">
        <f aca="false">H15+H16+H17+H18</f>
        <v>2479.49509836473</v>
      </c>
      <c r="I19" s="0" t="n">
        <f aca="false">I15+I16+I17+I18</f>
        <v>2543.76613882688</v>
      </c>
      <c r="J19" s="0" t="n">
        <f aca="false">J15+J16+J17+J18</f>
        <v>2607.36029229756</v>
      </c>
      <c r="K19" s="0" t="n">
        <f aca="false">K15+K16+K17+K18</f>
        <v>2672.54429960499</v>
      </c>
      <c r="L19" s="0" t="n">
        <f aca="false">L15+L16+L17+L18</f>
        <v>2739.35790709512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1888.56827990654</v>
      </c>
      <c r="D21" s="0" t="n">
        <f aca="false">D19*D20</f>
        <v>1830.67060305049</v>
      </c>
      <c r="E21" s="0" t="n">
        <f aca="false">E19*E20</f>
        <v>1802.03352775976</v>
      </c>
      <c r="F21" s="0" t="n">
        <f aca="false">F19*F20</f>
        <v>1747.43825108448</v>
      </c>
      <c r="G21" s="0" t="n">
        <f aca="false">G19*G20</f>
        <v>1706.69958106381</v>
      </c>
      <c r="H21" s="0" t="n">
        <f aca="false">H19*H20</f>
        <v>1652.1922777865</v>
      </c>
      <c r="I21" s="0" t="n">
        <f aca="false">I19*I20</f>
        <v>1584.1297063692</v>
      </c>
      <c r="J21" s="0" t="n">
        <f aca="false">J19*J20</f>
        <v>1517.50742899854</v>
      </c>
      <c r="K21" s="0" t="n">
        <f aca="false">K19*K20</f>
        <v>1453.68702310607</v>
      </c>
      <c r="L21" s="0" t="n">
        <f aca="false">L19*L20</f>
        <v>1392.55065297545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0.7</v>
      </c>
      <c r="D23" s="4" t="n">
        <f aca="false">Assumptions!D30</f>
        <v>0.7</v>
      </c>
      <c r="E23" s="4" t="n">
        <f aca="false">Assumptions!E30</f>
        <v>0.7</v>
      </c>
      <c r="F23" s="4" t="n">
        <f aca="false">Assumptions!F30</f>
        <v>0.7</v>
      </c>
      <c r="G23" s="4" t="n">
        <f aca="false">Assumptions!G30</f>
        <v>0.7</v>
      </c>
      <c r="H23" s="4" t="n">
        <f aca="false">Assumptions!H30</f>
        <v>0.7</v>
      </c>
      <c r="I23" s="4" t="n">
        <f aca="false">Assumptions!I30</f>
        <v>0.7</v>
      </c>
      <c r="J23" s="4" t="n">
        <f aca="false">Assumptions!J30</f>
        <v>0.7</v>
      </c>
      <c r="K23" s="4" t="n">
        <f aca="false">Assumptions!K30</f>
        <v>0.7</v>
      </c>
      <c r="L23" s="4" t="n">
        <f aca="false">Assumptions!L30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-142.03035</v>
      </c>
      <c r="D24" s="0" t="n">
        <f aca="false">-D6*D23/100</f>
        <v>-146.2912605</v>
      </c>
      <c r="E24" s="0" t="n">
        <f aca="false">-E6*E23/100</f>
        <v>-150.679998315</v>
      </c>
      <c r="F24" s="0" t="n">
        <f aca="false">-F6*F23/100</f>
        <v>-155.20039826445</v>
      </c>
      <c r="G24" s="0" t="n">
        <f aca="false">-G6*G23/100</f>
        <v>-159.856410212383</v>
      </c>
      <c r="H24" s="0" t="n">
        <f aca="false">-H6*H23/100</f>
        <v>-164.252461493224</v>
      </c>
      <c r="I24" s="0" t="n">
        <f aca="false">-I6*I23/100</f>
        <v>-168.358773030555</v>
      </c>
      <c r="J24" s="0" t="n">
        <f aca="false">-J6*J23/100</f>
        <v>-172.567742356319</v>
      </c>
      <c r="K24" s="0" t="n">
        <f aca="false">-K6*K23/100</f>
        <v>-176.881935915226</v>
      </c>
      <c r="L24" s="0" t="n">
        <f aca="false">-L6*L23/100</f>
        <v>-181.303984313107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16575.4773321008</v>
      </c>
    </row>
    <row r="31" customFormat="false" ht="15" hidden="false" customHeight="false" outlineLevel="0" collapsed="false">
      <c r="A31" s="0" t="s">
        <v>129</v>
      </c>
      <c r="B31" s="0" t="n">
        <f aca="false">L19</f>
        <v>2739.35790709512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55882.9013047404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41090.3686064268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41090.3686064268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20888.2597946317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37463.7371267325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36867.7371267325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91.0651775391688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0.157117884868727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91.0651775391688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21493.4235787463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40.3298435608135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-0.5</v>
      </c>
      <c r="D5" s="4" t="n">
        <f aca="false">Assumptions!D41</f>
        <v>4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20495</v>
      </c>
      <c r="C6" s="0" t="n">
        <f aca="false">B6*(1+C5/100)</f>
        <v>20392.525</v>
      </c>
      <c r="D6" s="0" t="n">
        <f aca="false">C6*(1+D5/100)</f>
        <v>21208.226</v>
      </c>
      <c r="E6" s="0" t="n">
        <f aca="false">D6*(1+E5/100)</f>
        <v>22056.55504</v>
      </c>
      <c r="F6" s="0" t="n">
        <f aca="false">E6*(1+F5/100)</f>
        <v>22938.8172416</v>
      </c>
      <c r="G6" s="0" t="n">
        <f aca="false">F6*(1+G5/100)</f>
        <v>23741.675845056</v>
      </c>
      <c r="H6" s="0" t="n">
        <f aca="false">G6*(1+H5/100)</f>
        <v>24572.634499633</v>
      </c>
      <c r="I6" s="0" t="n">
        <f aca="false">H6*(1+I5/100)</f>
        <v>25309.813534622</v>
      </c>
      <c r="J6" s="0" t="n">
        <f aca="false">I6*(1+J5/100)</f>
        <v>26069.1079406606</v>
      </c>
      <c r="K6" s="0" t="n">
        <f aca="false">J6*(1+K5/100)</f>
        <v>26720.8356391771</v>
      </c>
      <c r="L6" s="0" t="n">
        <f aca="false">K6*(1+L5/100)</f>
        <v>27388.8565301566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17.5</v>
      </c>
      <c r="D7" s="4" t="n">
        <f aca="false">Assumptions!D42</f>
        <v>18</v>
      </c>
      <c r="E7" s="4" t="n">
        <f aca="false">Assumptions!E42</f>
        <v>18.5</v>
      </c>
      <c r="F7" s="4" t="n">
        <f aca="false">Assumptions!F42</f>
        <v>19</v>
      </c>
      <c r="G7" s="4" t="n">
        <f aca="false">Assumptions!G42</f>
        <v>19.3</v>
      </c>
      <c r="H7" s="4" t="n">
        <f aca="false">Assumptions!H42</f>
        <v>19.5</v>
      </c>
      <c r="I7" s="4" t="n">
        <f aca="false">Assumptions!I42</f>
        <v>19.5</v>
      </c>
      <c r="J7" s="4" t="n">
        <f aca="false">Assumptions!J42</f>
        <v>19.5</v>
      </c>
      <c r="K7" s="4" t="n">
        <f aca="false">Assumptions!K42</f>
        <v>19.5</v>
      </c>
      <c r="L7" s="4" t="n">
        <f aca="false">Assumptions!L42</f>
        <v>19.5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3568.691875</v>
      </c>
      <c r="D8" s="0" t="n">
        <f aca="false">D6*D7/100</f>
        <v>3817.48068</v>
      </c>
      <c r="E8" s="0" t="n">
        <f aca="false">E6*E7/100</f>
        <v>4080.4626824</v>
      </c>
      <c r="F8" s="0" t="n">
        <f aca="false">F6*F7/100</f>
        <v>4358.375275904</v>
      </c>
      <c r="G8" s="0" t="n">
        <f aca="false">G6*G7/100</f>
        <v>4582.14343809581</v>
      </c>
      <c r="H8" s="0" t="n">
        <f aca="false">H6*H7/100</f>
        <v>4791.66372742843</v>
      </c>
      <c r="I8" s="0" t="n">
        <f aca="false">I6*I7/100</f>
        <v>4935.41363925128</v>
      </c>
      <c r="J8" s="0" t="n">
        <f aca="false">J6*J7/100</f>
        <v>5083.47604842882</v>
      </c>
      <c r="K8" s="0" t="n">
        <f aca="false">K6*K7/100</f>
        <v>5210.56294963954</v>
      </c>
      <c r="L8" s="0" t="n">
        <f aca="false">L6*L7/100</f>
        <v>5340.82702338053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3425.9442</v>
      </c>
      <c r="D11" s="0" t="n">
        <f aca="false">D8+D10+D24</f>
        <v>3669.023098</v>
      </c>
      <c r="E11" s="0" t="n">
        <f aca="false">E8+E10+E24</f>
        <v>3926.06679712</v>
      </c>
      <c r="F11" s="0" t="n">
        <f aca="false">F8+F10+F24</f>
        <v>4197.8035552128</v>
      </c>
      <c r="G11" s="0" t="n">
        <f aca="false">G8+G10+G24</f>
        <v>4415.95170718042</v>
      </c>
      <c r="H11" s="0" t="n">
        <f aca="false">H8+H10+H24</f>
        <v>4619.655285931</v>
      </c>
      <c r="I11" s="0" t="n">
        <f aca="false">I8+I10+I24</f>
        <v>4758.24494450893</v>
      </c>
      <c r="J11" s="0" t="n">
        <f aca="false">J8+J10+J24</f>
        <v>4900.9922928442</v>
      </c>
      <c r="K11" s="0" t="n">
        <f aca="false">K8+K10+K24</f>
        <v>5023.5171001653</v>
      </c>
      <c r="L11" s="0" t="n">
        <f aca="false">L8+L10+L24</f>
        <v>5149.10502766943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-570.9907</v>
      </c>
      <c r="D12" s="4" t="n">
        <f aca="false">-D6*Assumptions!D45/100</f>
        <v>-593.830328</v>
      </c>
      <c r="E12" s="4" t="n">
        <f aca="false">-E6*Assumptions!E45/100</f>
        <v>-617.58354112</v>
      </c>
      <c r="F12" s="4" t="n">
        <f aca="false">-F6*Assumptions!F45/100</f>
        <v>-642.2868827648</v>
      </c>
      <c r="G12" s="4" t="n">
        <f aca="false">-G6*Assumptions!G45/100</f>
        <v>-664.766923661568</v>
      </c>
      <c r="H12" s="4" t="n">
        <f aca="false">-H6*Assumptions!H45/100</f>
        <v>-688.033765989723</v>
      </c>
      <c r="I12" s="4" t="n">
        <f aca="false">-I6*Assumptions!I45/100</f>
        <v>-708.674778969415</v>
      </c>
      <c r="J12" s="4" t="n">
        <f aca="false">-J6*Assumptions!J45/100</f>
        <v>-729.935022338497</v>
      </c>
      <c r="K12" s="4" t="n">
        <f aca="false">-K6*Assumptions!K45/100</f>
        <v>-748.183397896959</v>
      </c>
      <c r="L12" s="4" t="n">
        <f aca="false">-L6*Assumptions!L45/100</f>
        <v>-766.887982844383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2854.9535</v>
      </c>
      <c r="D13" s="0" t="n">
        <f aca="false">D11+D12</f>
        <v>3075.19277</v>
      </c>
      <c r="E13" s="0" t="n">
        <f aca="false">E11+E12</f>
        <v>3308.483256</v>
      </c>
      <c r="F13" s="0" t="n">
        <f aca="false">F11+F12</f>
        <v>3555.516672448</v>
      </c>
      <c r="G13" s="0" t="n">
        <f aca="false">G11+G12</f>
        <v>3751.18478351885</v>
      </c>
      <c r="H13" s="0" t="n">
        <f aca="false">H11+H12</f>
        <v>3931.62151994127</v>
      </c>
      <c r="I13" s="0" t="n">
        <f aca="false">I11+I12</f>
        <v>4049.57016553951</v>
      </c>
      <c r="J13" s="0" t="n">
        <f aca="false">J11+J12</f>
        <v>4171.0572705057</v>
      </c>
      <c r="K13" s="0" t="n">
        <f aca="false">K11+K12</f>
        <v>4275.33370226834</v>
      </c>
      <c r="L13" s="0" t="n">
        <f aca="false">L11+L12</f>
        <v>4382.21704482505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24.5</v>
      </c>
      <c r="D14" s="4" t="n">
        <f aca="false">Assumptions!D47</f>
        <v>24.5</v>
      </c>
      <c r="E14" s="4" t="n">
        <f aca="false">Assumptions!E47</f>
        <v>24.5</v>
      </c>
      <c r="F14" s="4" t="n">
        <f aca="false">Assumptions!F47</f>
        <v>24.5</v>
      </c>
      <c r="G14" s="4" t="n">
        <f aca="false">Assumptions!G47</f>
        <v>24.5</v>
      </c>
      <c r="H14" s="4" t="n">
        <f aca="false">Assumptions!H47</f>
        <v>24.5</v>
      </c>
      <c r="I14" s="4" t="n">
        <f aca="false">Assumptions!I47</f>
        <v>24.5</v>
      </c>
      <c r="J14" s="4" t="n">
        <f aca="false">Assumptions!J47</f>
        <v>24.5</v>
      </c>
      <c r="K14" s="4" t="n">
        <f aca="false">Assumptions!K47</f>
        <v>24.5</v>
      </c>
      <c r="L14" s="4" t="n">
        <f aca="false">Assumptions!L47</f>
        <v>24.5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2155.4898925</v>
      </c>
      <c r="D15" s="0" t="n">
        <f aca="false">D13-MAX(0,D13)*D14/100</f>
        <v>2321.77054135</v>
      </c>
      <c r="E15" s="0" t="n">
        <f aca="false">E13-MAX(0,E13)*E14/100</f>
        <v>2497.90485828</v>
      </c>
      <c r="F15" s="0" t="n">
        <f aca="false">F13-MAX(0,F13)*F14/100</f>
        <v>2684.41508769824</v>
      </c>
      <c r="G15" s="0" t="n">
        <f aca="false">G13-MAX(0,G13)*G14/100</f>
        <v>2832.14451155673</v>
      </c>
      <c r="H15" s="0" t="n">
        <f aca="false">H13-MAX(0,H13)*H14/100</f>
        <v>2968.37424755566</v>
      </c>
      <c r="I15" s="0" t="n">
        <f aca="false">I13-MAX(0,I13)*I14/100</f>
        <v>3057.42547498233</v>
      </c>
      <c r="J15" s="0" t="n">
        <f aca="false">J13-MAX(0,J13)*J14/100</f>
        <v>3149.1482392318</v>
      </c>
      <c r="K15" s="0" t="n">
        <f aca="false">K13-MAX(0,K13)*K14/100</f>
        <v>3227.8769452126</v>
      </c>
      <c r="L15" s="0" t="n">
        <f aca="false">L13-MAX(0,L13)*L14/100</f>
        <v>3308.57386884291</v>
      </c>
    </row>
    <row r="16" customFormat="false" ht="15" hidden="false" customHeight="false" outlineLevel="0" collapsed="false">
      <c r="A16" s="0" t="s">
        <v>120</v>
      </c>
      <c r="C16" s="0" t="n">
        <f aca="false">-C12</f>
        <v>570.9907</v>
      </c>
      <c r="D16" s="0" t="n">
        <f aca="false">-D12</f>
        <v>593.830328</v>
      </c>
      <c r="E16" s="0" t="n">
        <f aca="false">-E12</f>
        <v>617.58354112</v>
      </c>
      <c r="F16" s="0" t="n">
        <f aca="false">-F12</f>
        <v>642.2868827648</v>
      </c>
      <c r="G16" s="0" t="n">
        <f aca="false">-G12</f>
        <v>664.766923661568</v>
      </c>
      <c r="H16" s="0" t="n">
        <f aca="false">-H12</f>
        <v>688.033765989723</v>
      </c>
      <c r="I16" s="0" t="n">
        <f aca="false">-I12</f>
        <v>708.674778969415</v>
      </c>
      <c r="J16" s="0" t="n">
        <f aca="false">-J12</f>
        <v>729.935022338497</v>
      </c>
      <c r="K16" s="0" t="n">
        <f aca="false">-K12</f>
        <v>748.183397896959</v>
      </c>
      <c r="L16" s="0" t="n">
        <f aca="false">-L12</f>
        <v>766.887982844383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-652.5608</v>
      </c>
      <c r="D17" s="4" t="n">
        <f aca="false">-D6*Assumptions!D46/100</f>
        <v>-678.663232</v>
      </c>
      <c r="E17" s="4" t="n">
        <f aca="false">-E6*Assumptions!E46/100</f>
        <v>-705.80976128</v>
      </c>
      <c r="F17" s="4" t="n">
        <f aca="false">-F6*Assumptions!F46/100</f>
        <v>-734.0421517312</v>
      </c>
      <c r="G17" s="4" t="n">
        <f aca="false">-G6*Assumptions!G46/100</f>
        <v>-759.733627041792</v>
      </c>
      <c r="H17" s="4" t="n">
        <f aca="false">-H6*Assumptions!H46/100</f>
        <v>-786.324303988255</v>
      </c>
      <c r="I17" s="4" t="n">
        <f aca="false">-I6*Assumptions!I46/100</f>
        <v>-809.914033107903</v>
      </c>
      <c r="J17" s="4" t="n">
        <f aca="false">-J6*Assumptions!J46/100</f>
        <v>-834.21145410114</v>
      </c>
      <c r="K17" s="4" t="n">
        <f aca="false">-K6*Assumptions!K46/100</f>
        <v>-855.066740453668</v>
      </c>
      <c r="L17" s="4" t="n">
        <f aca="false">-L6*Assumptions!L46/100</f>
        <v>-876.44340896501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4.09899999999994</v>
      </c>
      <c r="D18" s="4" t="n">
        <f aca="false">(D6-C6)*Assumptions!$B$51/100</f>
        <v>-32.62804</v>
      </c>
      <c r="E18" s="4" t="n">
        <f aca="false">(E6-D6)*Assumptions!$B$51/100</f>
        <v>-33.9331616</v>
      </c>
      <c r="F18" s="4" t="n">
        <f aca="false">(F6-E6)*Assumptions!$B$51/100</f>
        <v>-35.2904880640001</v>
      </c>
      <c r="G18" s="4" t="n">
        <f aca="false">(G6-F6)*Assumptions!$B$51/100</f>
        <v>-32.11434413824</v>
      </c>
      <c r="H18" s="4" t="n">
        <f aca="false">(H6-G6)*Assumptions!$B$51/100</f>
        <v>-33.2383461830784</v>
      </c>
      <c r="I18" s="4" t="n">
        <f aca="false">(I6-H6)*Assumptions!$B$51/100</f>
        <v>-29.4871613995596</v>
      </c>
      <c r="J18" s="4" t="n">
        <f aca="false">(J6-I6)*Assumptions!$B$51/100</f>
        <v>-30.3717762415463</v>
      </c>
      <c r="K18" s="4" t="n">
        <f aca="false">(K6-J6)*Assumptions!$B$51/100</f>
        <v>-26.0691079406605</v>
      </c>
      <c r="L18" s="4" t="n">
        <f aca="false">(L6-K6)*Assumptions!$B$51/100</f>
        <v>-26.7208356391771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2078.0187925</v>
      </c>
      <c r="D19" s="0" t="n">
        <f aca="false">D15+D16+D17+D18</f>
        <v>2204.30959735</v>
      </c>
      <c r="E19" s="0" t="n">
        <f aca="false">E15+E16+E17+E18</f>
        <v>2375.74547652</v>
      </c>
      <c r="F19" s="0" t="n">
        <f aca="false">F15+F16+F17+F18</f>
        <v>2557.36933066784</v>
      </c>
      <c r="G19" s="0" t="n">
        <f aca="false">G15+G16+G17+G18</f>
        <v>2705.06346403827</v>
      </c>
      <c r="H19" s="0" t="n">
        <f aca="false">H15+H16+H17+H18</f>
        <v>2836.84536337405</v>
      </c>
      <c r="I19" s="0" t="n">
        <f aca="false">I15+I16+I17+I18</f>
        <v>2926.69905944428</v>
      </c>
      <c r="J19" s="0" t="n">
        <f aca="false">J15+J16+J17+J18</f>
        <v>3014.50003122761</v>
      </c>
      <c r="K19" s="0" t="n">
        <f aca="false">K15+K16+K17+K18</f>
        <v>3094.92449471523</v>
      </c>
      <c r="L19" s="0" t="n">
        <f aca="false">L15+L16+L17+L18</f>
        <v>3172.29760708311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1942.07363785047</v>
      </c>
      <c r="D21" s="0" t="n">
        <f aca="false">D19*D20</f>
        <v>1925.32937142982</v>
      </c>
      <c r="E21" s="0" t="n">
        <f aca="false">E19*E20</f>
        <v>1939.31598851632</v>
      </c>
      <c r="F21" s="0" t="n">
        <f aca="false">F19*F20</f>
        <v>1951.00481780368</v>
      </c>
      <c r="G21" s="0" t="n">
        <f aca="false">G19*G20</f>
        <v>1928.6728644855</v>
      </c>
      <c r="H21" s="0" t="n">
        <f aca="false">H19*H20</f>
        <v>1890.30984805423</v>
      </c>
      <c r="I21" s="0" t="n">
        <f aca="false">I19*I20</f>
        <v>1822.6010838428</v>
      </c>
      <c r="J21" s="0" t="n">
        <f aca="false">J19*J20</f>
        <v>1754.46646388606</v>
      </c>
      <c r="K21" s="0" t="n">
        <f aca="false">K19*K20</f>
        <v>1683.43386342581</v>
      </c>
      <c r="L21" s="0" t="n">
        <f aca="false">L19*L20</f>
        <v>1612.63524300136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0.7</v>
      </c>
      <c r="D23" s="4" t="n">
        <f aca="false">Assumptions!D44</f>
        <v>0.7</v>
      </c>
      <c r="E23" s="4" t="n">
        <f aca="false">Assumptions!E44</f>
        <v>0.7</v>
      </c>
      <c r="F23" s="4" t="n">
        <f aca="false">Assumptions!F44</f>
        <v>0.7</v>
      </c>
      <c r="G23" s="4" t="n">
        <f aca="false">Assumptions!G44</f>
        <v>0.7</v>
      </c>
      <c r="H23" s="4" t="n">
        <f aca="false">Assumptions!H44</f>
        <v>0.7</v>
      </c>
      <c r="I23" s="4" t="n">
        <f aca="false">Assumptions!I44</f>
        <v>0.7</v>
      </c>
      <c r="J23" s="4" t="n">
        <f aca="false">Assumptions!J44</f>
        <v>0.7</v>
      </c>
      <c r="K23" s="4" t="n">
        <f aca="false">Assumptions!K44</f>
        <v>0.7</v>
      </c>
      <c r="L23" s="4" t="n">
        <f aca="false">Assumptions!L44</f>
        <v>0.7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-142.747675</v>
      </c>
      <c r="D24" s="0" t="n">
        <f aca="false">-D6*D23/100</f>
        <v>-148.457582</v>
      </c>
      <c r="E24" s="0" t="n">
        <f aca="false">-E6*E23/100</f>
        <v>-154.39588528</v>
      </c>
      <c r="F24" s="0" t="n">
        <f aca="false">-F6*F23/100</f>
        <v>-160.5717206912</v>
      </c>
      <c r="G24" s="0" t="n">
        <f aca="false">-G6*G23/100</f>
        <v>-166.191730915392</v>
      </c>
      <c r="H24" s="0" t="n">
        <f aca="false">-H6*H23/100</f>
        <v>-172.008441497431</v>
      </c>
      <c r="I24" s="0" t="n">
        <f aca="false">-I6*I23/100</f>
        <v>-177.168694742354</v>
      </c>
      <c r="J24" s="0" t="n">
        <f aca="false">-J6*J23/100</f>
        <v>-182.483755584624</v>
      </c>
      <c r="K24" s="0" t="n">
        <f aca="false">-K6*K23/100</f>
        <v>-187.04584947424</v>
      </c>
      <c r="L24" s="0" t="n">
        <f aca="false">-L6*L23/100</f>
        <v>-191.721995711096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18449.843182296</v>
      </c>
    </row>
    <row r="31" customFormat="false" ht="15" hidden="false" customHeight="false" outlineLevel="0" collapsed="false">
      <c r="A31" s="0" t="s">
        <v>129</v>
      </c>
      <c r="B31" s="0" t="n">
        <f aca="false">L19</f>
        <v>3172.29760708311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72257.8899391152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47584.4641062466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47584.4641062466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24189.5286450203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42639.3718273164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42043.3718273164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103.849257323247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0.319558542862092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103.849257323247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26012.8403780815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46.0737424727052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68.6159953234878</v>
      </c>
      <c r="C4" s="0" t="n">
        <f aca="false">B4/Assumptions!$B$2-1</f>
        <v>-0.128132206817181</v>
      </c>
      <c r="D4" s="4" t="n">
        <f aca="false">Assumptions!$B$24</f>
        <v>0.2</v>
      </c>
      <c r="E4" s="4" t="n">
        <f aca="false">DCF_Bear!$B$43</f>
        <v>68.6159953234878</v>
      </c>
      <c r="F4" s="4" t="n">
        <f aca="false">DCF_Bear!$B$47</f>
        <v>31.0195457079186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91.0651775391688</v>
      </c>
      <c r="C5" s="0" t="n">
        <f aca="false">B5/Assumptions!$B$2-1</f>
        <v>0.157117884868727</v>
      </c>
      <c r="D5" s="4" t="n">
        <f aca="false">Assumptions!$B$38</f>
        <v>0.55</v>
      </c>
      <c r="E5" s="4" t="n">
        <f aca="false">DCF_Base!$B$43</f>
        <v>91.0651775391688</v>
      </c>
      <c r="F5" s="4" t="n">
        <f aca="false">DCF_Base!$B$47</f>
        <v>40.3298435608135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103.849257323247</v>
      </c>
      <c r="C6" s="0" t="n">
        <f aca="false">B6/Assumptions!$B$2-1</f>
        <v>0.319558542862092</v>
      </c>
      <c r="D6" s="4" t="n">
        <f aca="false">Assumptions!$B$52</f>
        <v>0.25</v>
      </c>
      <c r="E6" s="4" t="n">
        <f aca="false">DCF_Bull!$B$43</f>
        <v>103.849257323247</v>
      </c>
      <c r="F6" s="4" t="n">
        <f aca="false">DCF_Bull!$B$47</f>
        <v>46.0737424727052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89.7713610420521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89.7713610420521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0.123328430287092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39.9037587182074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91.0651775391688</v>
      </c>
      <c r="C15" s="3" t="n">
        <v>7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77.392541185887</v>
      </c>
      <c r="C16" s="3" t="n">
        <v>9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67.3318068004709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59.5156638470827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53.2702174162012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40.3298435608135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106.088139576175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106.088139576175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106.088139576175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106.088139576175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106.088139576175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98.2193005746687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98.2193005746687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98.2193005746687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98.2193005746687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98.2193005746687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91.0651775391688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91.0651775391688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91.0651775391688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91.0651775391688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91.0651775391688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82.7619067808969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84.5528385109553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84.5528385109553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84.5528385109553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84.5528385109553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71.8292969575827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74.4254775974581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77.392541185887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78.6174756948714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78.6174756948714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2026-10-24T23:39:57Z</dcterms:created>
  <dc:creator>openpyxl</dc:creator>
  <dc:description/>
  <dc:language>en-NZ</dc:language>
  <cp:lastModifiedBy/>
  <dcterms:modified xsi:type="dcterms:W3CDTF">2026-10-24T23:39:57Z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