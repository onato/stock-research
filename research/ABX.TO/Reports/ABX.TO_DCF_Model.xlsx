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<sst xmlns="http://schemas.openxmlformats.org/spreadsheetml/2006/main" count="367" uniqueCount="171">
  <si>
    <t xml:space="preserve">Ticker</t>
  </si>
  <si>
    <t xml:space="preserve">ABX.TO</t>
  </si>
  <si>
    <t xml:space="preserve">Company</t>
  </si>
  <si>
    <t xml:space="preserve">Barrick Mining Corporation (formerly Barrick Gold Corporation)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</si>
  <si>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</si>
  <si>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</si>
  <si>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</si>
  <si>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</si>
  <si>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close (TSX)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</si>
  <si>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</si>
  <si>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</si>
  <si>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</si>
  <si>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</si>
  <si>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</si>
  <si>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</si>
  <si>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</si>
  <si>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CAD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</si>
  <si>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</si>
  <si>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</si>
  <si>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</si>
  <si>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</si>
  <si>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</si>
  <si>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2026-10-10T06:23:38Z</t>
  </si>
  <si>
    <t xml:space="preserve">Drivers file</t>
  </si>
  <si>
    <t xml:space="preserve">ABX.TO_Drivers.json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</si>
  <si>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</si>
  <si>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</si>
  <si>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</si>
  <si>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Barrick on what a mid-cycle gold and copper price pays its shareholders, not on the FY2025/H1-2026 peak. All flows are attributable (Barrick's own basis) so Newmont's 38.5% of NGM and the host-government minorities are charged once and never deducted again at book. SBC is cash-settled and already inside the flows, so it is not deducted twice; the share count is flat. Cyclical and jurisdiction risk live in the scenario decks and weights, not in the discount rate, which is the same 9% USD WACC in all three cases. Terminal value is capped at 13x owner FCF because a buyer of a cyclical does not pay a Gordon multiple built on a trough-free perpetuity. The hurdle entry price is the price that returns 15% if the weighted scenario plays out with the terminal value rebuilt at 15%.
key_risks_to_valuation: The mid-cycle gold assumption ($3,400/oz base) is the single largest driver: each $100/oz changes attributable EBITDA by ~$300m/yr (company sensitivity) and the base value by roughly US$1.3/share; Reko Diq capital cost and timing (50% share of an $8.83bn+ Phase 1 under security review) - the base assumes a two-year slip and ~25% overrun; Resource nationalism: Mali's 2023 code, the 10-year-only Loulo licence, Tanzania/DRC/Zambia/PNG exposures - modelled as a 250koz/yr loss in the bear case only; Capex intensity: FY2026-28 attributable capex of ~$4.0-4.2bn/yr means owner FCF troughs near $2.4bn even at $3,500 gold; any further escalation hits the near-term flows directly; Corporate restructuring (North American Barrick IPO, expanded NGM JV) could change the consolidation basis; attributable flows are robust to that but the headline consolidated statements will not be comparable; Timing convention: FY2026 is discounted a full year with nine months elapsed, and the H1-2026 cash is removed in the bridge - both conservative</t>
  </si>
  <si>
    <t xml:space="preserve">Data sources</t>
  </si>
  <si>
    <t xml:space="preserve">price: Yahoo Finance chart API at inputs.price_as_of (TSX regular close); 52-week range C$42.62-74.00; parity-checked against NYSE 'B' at USDCAD 1.4253. Gold/copper spot from Yahoo GC=F / HG=F same date.
financials: ABX.TO_Metrics.csv (consolidated, USD millions, FY2015-Q2 2026); FY2025 annual MD&amp;A (attributable EBITDA/FCF/capex reconciliations p.58, 2026 guidance p.9-10, three-year outlook); Q2-2026 MD&amp;A (revised capex guidance $3.8-4.2bn, Reko Diq review, H1 attributable flows, balance sheet, share count, buyback); FY2023/FY2024 annuals for the attributable history.
qualitative: ABX.TO_Analysis.json (2026-10-10): Mali resolution, Fourmile/NGM-Newmont settlement, Reko Diq review, leadership change, 50%-of-attributable-FCF dividend policy.</t>
  </si>
  <si>
    <t xml:space="preserve">Scenario narrative: bear</t>
  </si>
  <si>
    <t xml:space="preserve">Gold reverses as it did in 2013: real rates and the dollar turn, central-bank buying slows, and the realised price falls to $2,700/oz by FY2029 with copper at $4.00/lb on a Chinese slowdown. A second resource-nationalism episode (Tanzania, DRC, Zambia royalty, or the Mali code being applied in full) removes ~250koz a year and the review shelves Reko Diq after FY2027 capex has been sunk. Margins fall to ~35%, unit costs rise on fixed-cost dilution, cash tax creeps to 29%, and owner FCF settles near $1bn a year. The balance sheet survives comfortably (net cash, $5.9bn liquidity); this is a value-compression case, not a solvency case.</t>
  </si>
  <si>
    <t xml:space="preserve">Scenario narrative: base</t>
  </si>
  <si>
    <t xml:space="preserve">Gold mean-reverts from the $4,200-4,600 of 2026 to a $3,400/oz mid-cycle by FY2029 while Barrick delivers the three-year outlook: Loulo-Gounkoto back at full rate, Goldrush/Cortez and Kibali lift gold to ~3.6Moz, Lumwana Super Pit takes copper to ~290kt by FY2030, and a slowed Reko Diq Phase 1 adds ~110kt copper and ~150koz gold at 50% from FY2031. Attributable EBITDA margin compresses from 63% to ~50% as the price falls faster than TCC (royalty relief offsets some inflation). Capex peaks at ~$4.2bn attributable in FY2027-28 then falls to ~$3bn sustaining-plus-replacement, so owner FCF troughs at ~$2.4bn in FY2028-29 before recovering to ~$4.5bn. Dividend policy (50% of attributable FCF) and the $3bn buyback are value-neutral distributions of these flows. Axes: the gold price deck, Reko Diq timing/cost, and whether the African portfolio stays operable.</t>
  </si>
  <si>
    <t xml:space="preserve">Scenario narrative: bull</t>
  </si>
  <si>
    <t xml:space="preserve">The central-bank-driven gold regime holds: gold stays ~$4,200/oz and copper ~$5.50/lb (both still below the 2026 peaks). Reko Diq clears its review and starts on the original FY2029 schedule, Fourmile is fast-tracked inside the expanded NGM, Pueblo Viejo expansion and Lumwana deliver, and gold volumes reach ~4Moz with copper ~460kt. Margins hold near 60% and owner FCF climbs toward $8bn. The North American Barrick IPO crystallises a Tier One premium on NGM/Pueblo Viejo, but that is a multiple event and is not in the flows. This needs the price regime, the Pakistan project and the African jurisdictions all to go right at once.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</si>
  <si>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</si>
  <si>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</si>
  <si>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</si>
  <si>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</si>
  <si>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</si>
  <si>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</si>
  <si>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</si>
  <si>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</si>
  <si>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</si>
  <si>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</si>
  <si>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</si>
  <si>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</si>
  <si>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</si>
  <si>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</si>
  <si>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</si>
  <si>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</si>
  <si>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</si>
  <si>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</si>
  <si>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</si>
  <si>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</si>
  <si>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</si>
  <si>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</si>
  <si>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</si>
  <si>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</si>
  <si>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</si>
  <si>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</si>
  <si>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</si>
  <si>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</si>
  <si>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CopperProduction</t>
  </si>
  <si>
    <t xml:space="preserve">GoldPriceAchieved</t>
  </si>
  <si>
    <t xml:space="preserve">GoldProduction</t>
  </si>
  <si>
    <t xml:space="preserve">GoldSoldManagedOz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</si>
  <si>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</si>
  <si>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</si>
  <si>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</si>
  <si>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</si>
  <si>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</si>
  <si>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</si>
  <si>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</si>
  <si>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</si>
  <si>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</si>
  <si>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</si>
  <si>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</si>
  <si>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</si>
  <si>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</si>
  <si>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</si>
  <si>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</si>
  <si>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</si>
  <si>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</si>
  <si>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</si>
  <si>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</si>
  <si>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</si>
  <si>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</si>
  <si>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</si>
  <si>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</si>
  <si>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</si>
  <si>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</si>
  <si>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</si>
  <si>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</si>
  <si>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</si>
  <si>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</si>
  <si>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</si>
  <si>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</si>
  <si>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</si>
  <si>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</si>
  <si>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</si>
  <si>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</si>
  <si>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</si>
  <si>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</si>
  <si>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</si>
  <si>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</si>
  <si>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</si>
  <si>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</si>
  <si>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</si>
  <si>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</si>
  <si>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</si>
  <si>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</si>
  <si>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</si>
  <si>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</si>
  <si>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</si>
  <si>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ABX.TO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</si>
  <si>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</si>
  <si>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</si>
  <si>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</si>
  <si>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</si>
  <si>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</si>
  <si>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</si>
  <si>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</si>
  <si>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</si>
  <si>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</si>
  <si>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</si>
  <si>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</si>
  <si>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</si>
  <si>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</si>
  <si>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</si>
  <si>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</si>
  <si>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</si>
  <si>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</si>
  <si>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</si>
  <si>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</si>
  <si>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</si>
  <si>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</si>
  <si>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</si>
  <si>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</si>
  <si>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</si>
  <si>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</si>
  <si>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</si>
  <si>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</si>
  <si>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</si>
  <si>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</si>
  <si>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</si>
  <si>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ABX.TO owner-FCF component DCF: base case (millions, USD)</t>
  </si>
  <si>
    <t xml:space="preserve">ABX.TO owner-FCF component DCF: bull case (millions, USD)</t>
  </si>
  <si>
    <t xml:space="preserve">ABX.TO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</si>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</sst>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58.53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9029</v>
      </c>
      <c r="C2" s="0" t="n">
        <v>6907</v>
      </c>
      <c r="D2" s="0" t="n">
        <v>2122</v>
      </c>
      <c r="E2" s="0" t="n">
        <v>23.5</v>
      </c>
      <c r="F2" s="0" t="n">
        <v>-2418</v>
      </c>
      <c r="G2" s="0" t="n">
        <v>-26.8</v>
      </c>
      <c r="H2" s="0" t="n">
        <v>-647</v>
      </c>
      <c r="I2" s="0" t="n">
        <v>-2838</v>
      </c>
      <c r="J2" s="0" t="n">
        <v>-31.4</v>
      </c>
      <c r="K2" s="0" t="n">
        <v>-2.44</v>
      </c>
      <c r="L2" s="0" t="n">
        <v>2794</v>
      </c>
      <c r="M2" s="0" t="n">
        <v>1713</v>
      </c>
      <c r="N2" s="0" t="n">
        <v>1081</v>
      </c>
      <c r="O2" s="0" t="n">
        <v>7178</v>
      </c>
      <c r="P2" s="0" t="n">
        <v>26308</v>
      </c>
      <c r="Q2" s="0" t="n">
        <v>16853</v>
      </c>
      <c r="R2" s="0" t="n">
        <v>9968</v>
      </c>
      <c r="S2" s="0" t="n">
        <v>2455</v>
      </c>
      <c r="T2" s="0" t="n">
        <v>1165</v>
      </c>
      <c r="U2" s="0" t="n">
        <v>18</v>
      </c>
      <c r="AA2" s="0" t="s">
        <v>18</v>
      </c>
      <c r="AB2" s="0" t="s">
        <v>14</v>
      </c>
      <c r="AE2" s="0" t="n">
        <v>1157</v>
      </c>
    </row>
    <row r="3" customFormat="false" ht="15" hidden="false" customHeight="false" outlineLevel="0" collapsed="false">
      <c r="A3" s="0" t="s">
        <v>70</v>
      </c>
      <c r="B3" s="0" t="n">
        <v>8558</v>
      </c>
      <c r="C3" s="0" t="n">
        <v>5405</v>
      </c>
      <c r="D3" s="0" t="n">
        <v>3153</v>
      </c>
      <c r="E3" s="0" t="n">
        <v>36.8</v>
      </c>
      <c r="F3" s="0" t="n">
        <v>2553</v>
      </c>
      <c r="G3" s="0" t="n">
        <v>29.8</v>
      </c>
      <c r="H3" s="0" t="n">
        <v>4127</v>
      </c>
      <c r="I3" s="0" t="n">
        <v>655</v>
      </c>
      <c r="J3" s="0" t="n">
        <v>7.7</v>
      </c>
      <c r="K3" s="0" t="n">
        <v>0.56</v>
      </c>
      <c r="L3" s="0" t="n">
        <v>2640</v>
      </c>
      <c r="M3" s="0" t="n">
        <v>1126</v>
      </c>
      <c r="N3" s="0" t="n">
        <v>1514</v>
      </c>
      <c r="O3" s="0" t="n">
        <v>7935</v>
      </c>
      <c r="P3" s="0" t="n">
        <v>25264</v>
      </c>
      <c r="Q3" s="0" t="n">
        <v>14951</v>
      </c>
      <c r="R3" s="0" t="n">
        <v>7931</v>
      </c>
      <c r="S3" s="0" t="n">
        <v>2389</v>
      </c>
      <c r="T3" s="0" t="n">
        <v>1165</v>
      </c>
      <c r="U3" s="0" t="n">
        <v>82</v>
      </c>
      <c r="AA3" s="0" t="s">
        <v>18</v>
      </c>
      <c r="AB3" s="0" t="s">
        <v>14</v>
      </c>
      <c r="AE3" s="0" t="n">
        <v>1248</v>
      </c>
    </row>
    <row r="4" customFormat="false" ht="15" hidden="false" customHeight="false" outlineLevel="0" collapsed="false">
      <c r="A4" s="0" t="s">
        <v>71</v>
      </c>
      <c r="B4" s="0" t="n">
        <v>8374</v>
      </c>
      <c r="C4" s="0" t="n">
        <v>5300</v>
      </c>
      <c r="D4" s="0" t="n">
        <v>3074</v>
      </c>
      <c r="E4" s="0" t="n">
        <v>36.7</v>
      </c>
      <c r="F4" s="0" t="n">
        <v>3438</v>
      </c>
      <c r="G4" s="0" t="n">
        <v>41.1</v>
      </c>
      <c r="H4" s="0" t="n">
        <v>5085</v>
      </c>
      <c r="I4" s="0" t="n">
        <v>1438</v>
      </c>
      <c r="J4" s="0" t="n">
        <v>17.2</v>
      </c>
      <c r="K4" s="0" t="n">
        <v>1.23</v>
      </c>
      <c r="L4" s="0" t="n">
        <v>2065</v>
      </c>
      <c r="M4" s="0" t="n">
        <v>1396</v>
      </c>
      <c r="N4" s="0" t="n">
        <v>669</v>
      </c>
      <c r="O4" s="0" t="n">
        <v>9286</v>
      </c>
      <c r="P4" s="0" t="n">
        <v>25308</v>
      </c>
      <c r="Q4" s="0" t="n">
        <v>14241</v>
      </c>
      <c r="R4" s="0" t="n">
        <v>6423</v>
      </c>
      <c r="S4" s="0" t="n">
        <v>2234</v>
      </c>
      <c r="T4" s="0" t="n">
        <v>1166</v>
      </c>
      <c r="U4" s="0" t="n">
        <v>80</v>
      </c>
      <c r="AA4" s="0" t="s">
        <v>18</v>
      </c>
      <c r="AB4" s="0" t="s">
        <v>14</v>
      </c>
      <c r="AC4" s="0" t="n">
        <v>750</v>
      </c>
      <c r="AD4" s="0" t="n">
        <v>187.3</v>
      </c>
      <c r="AE4" s="0" t="n">
        <v>1258</v>
      </c>
      <c r="AF4" s="0" t="n">
        <v>5323</v>
      </c>
      <c r="AG4" s="0" t="n">
        <v>5302</v>
      </c>
    </row>
    <row r="5" customFormat="false" ht="15" hidden="false" customHeight="false" outlineLevel="0" collapsed="false">
      <c r="A5" s="0" t="s">
        <v>72</v>
      </c>
      <c r="B5" s="0" t="n">
        <v>7243</v>
      </c>
      <c r="C5" s="0" t="n">
        <v>5220</v>
      </c>
      <c r="D5" s="0" t="n">
        <v>2023</v>
      </c>
      <c r="E5" s="0" t="n">
        <v>27.9</v>
      </c>
      <c r="F5" s="0" t="n">
        <v>308</v>
      </c>
      <c r="G5" s="0" t="n">
        <v>4.3</v>
      </c>
      <c r="H5" s="0" t="n">
        <v>1765</v>
      </c>
      <c r="I5" s="0" t="n">
        <v>-1545</v>
      </c>
      <c r="J5" s="0" t="n">
        <v>-21.3</v>
      </c>
      <c r="K5" s="0" t="n">
        <v>-1.32</v>
      </c>
      <c r="L5" s="0" t="n">
        <v>1765</v>
      </c>
      <c r="M5" s="0" t="n">
        <v>1400</v>
      </c>
      <c r="N5" s="0" t="n">
        <v>365</v>
      </c>
      <c r="O5" s="0" t="n">
        <v>7593</v>
      </c>
      <c r="P5" s="0" t="n">
        <v>22631</v>
      </c>
      <c r="Q5" s="0" t="n">
        <v>13246</v>
      </c>
      <c r="R5" s="0" t="n">
        <v>5738</v>
      </c>
      <c r="S5" s="0" t="n">
        <v>1571</v>
      </c>
      <c r="T5" s="0" t="n">
        <v>1167</v>
      </c>
      <c r="U5" s="0" t="n">
        <v>33</v>
      </c>
      <c r="AA5" s="0" t="s">
        <v>18</v>
      </c>
      <c r="AB5" s="0" t="s">
        <v>14</v>
      </c>
      <c r="AD5" s="0" t="n">
        <v>173.7</v>
      </c>
      <c r="AE5" s="0" t="n">
        <v>1270</v>
      </c>
      <c r="AF5" s="0" t="n">
        <v>4527</v>
      </c>
      <c r="AG5" s="0" t="n">
        <v>4544</v>
      </c>
    </row>
    <row r="6" customFormat="false" ht="15" hidden="false" customHeight="false" outlineLevel="0" collapsed="false">
      <c r="A6" s="0" t="s">
        <v>73</v>
      </c>
      <c r="B6" s="0" t="n">
        <v>9717</v>
      </c>
      <c r="C6" s="0" t="n">
        <v>6911</v>
      </c>
      <c r="D6" s="0" t="n">
        <v>2806</v>
      </c>
      <c r="E6" s="0" t="n">
        <v>28.9</v>
      </c>
      <c r="F6" s="0" t="n">
        <v>6826</v>
      </c>
      <c r="G6" s="0" t="n">
        <v>70.2</v>
      </c>
      <c r="H6" s="0" t="n">
        <v>8858</v>
      </c>
      <c r="I6" s="0" t="n">
        <v>3969</v>
      </c>
      <c r="J6" s="0" t="n">
        <v>40.8</v>
      </c>
      <c r="K6" s="0" t="n">
        <v>2.26</v>
      </c>
      <c r="L6" s="0" t="n">
        <v>2833</v>
      </c>
      <c r="M6" s="0" t="n">
        <v>1701</v>
      </c>
      <c r="N6" s="0" t="n">
        <v>1132</v>
      </c>
      <c r="O6" s="0" t="n">
        <v>21432</v>
      </c>
      <c r="P6" s="0" t="n">
        <v>44392</v>
      </c>
      <c r="Q6" s="0" t="n">
        <v>14565</v>
      </c>
      <c r="R6" s="0" t="n">
        <v>5536</v>
      </c>
      <c r="S6" s="0" t="n">
        <v>3314</v>
      </c>
      <c r="T6" s="0" t="n">
        <v>1758</v>
      </c>
      <c r="U6" s="0" t="n">
        <v>71</v>
      </c>
      <c r="AA6" s="0" t="s">
        <v>18</v>
      </c>
      <c r="AB6" s="0" t="s">
        <v>14</v>
      </c>
      <c r="AC6" s="0" t="n">
        <v>894</v>
      </c>
      <c r="AD6" s="0" t="n">
        <v>196</v>
      </c>
      <c r="AE6" s="0" t="n">
        <v>1396</v>
      </c>
      <c r="AF6" s="0" t="n">
        <v>5465</v>
      </c>
      <c r="AG6" s="0" t="n">
        <v>5467</v>
      </c>
    </row>
    <row r="7" customFormat="false" ht="15" hidden="false" customHeight="false" outlineLevel="0" collapsed="false">
      <c r="A7" s="0" t="s">
        <v>74</v>
      </c>
      <c r="B7" s="0" t="n">
        <v>12595</v>
      </c>
      <c r="C7" s="0" t="n">
        <v>7417</v>
      </c>
      <c r="D7" s="0" t="n">
        <v>5178</v>
      </c>
      <c r="E7" s="0" t="n">
        <v>41.1</v>
      </c>
      <c r="F7" s="0" t="n">
        <v>5293</v>
      </c>
      <c r="G7" s="0" t="n">
        <v>42</v>
      </c>
      <c r="H7" s="0" t="n">
        <v>7501</v>
      </c>
      <c r="I7" s="0" t="n">
        <v>2324</v>
      </c>
      <c r="J7" s="0" t="n">
        <v>18.5</v>
      </c>
      <c r="K7" s="0" t="n">
        <v>1.31</v>
      </c>
      <c r="L7" s="0" t="n">
        <v>5417</v>
      </c>
      <c r="M7" s="0" t="n">
        <v>2054</v>
      </c>
      <c r="N7" s="0" t="n">
        <v>3363</v>
      </c>
      <c r="O7" s="0" t="n">
        <v>23341</v>
      </c>
      <c r="P7" s="0" t="n">
        <v>46506</v>
      </c>
      <c r="Q7" s="0" t="n">
        <v>14796</v>
      </c>
      <c r="R7" s="0" t="n">
        <v>5155</v>
      </c>
      <c r="S7" s="0" t="n">
        <v>5188</v>
      </c>
      <c r="T7" s="0" t="n">
        <v>1778</v>
      </c>
      <c r="U7" s="0" t="n">
        <v>87</v>
      </c>
      <c r="AA7" s="0" t="s">
        <v>18</v>
      </c>
      <c r="AB7" s="0" t="s">
        <v>14</v>
      </c>
      <c r="AD7" s="0" t="n">
        <v>207.3</v>
      </c>
      <c r="AE7" s="0" t="n">
        <v>1778</v>
      </c>
      <c r="AF7" s="0" t="n">
        <v>4760</v>
      </c>
      <c r="AG7" s="0" t="n">
        <v>4879</v>
      </c>
    </row>
    <row r="8" customFormat="false" ht="15" hidden="false" customHeight="false" outlineLevel="0" collapsed="false">
      <c r="A8" s="0" t="s">
        <v>75</v>
      </c>
      <c r="B8" s="0" t="n">
        <v>11985</v>
      </c>
      <c r="C8" s="0" t="n">
        <v>7089</v>
      </c>
      <c r="D8" s="0" t="n">
        <v>4896</v>
      </c>
      <c r="E8" s="0" t="n">
        <v>40.9</v>
      </c>
      <c r="F8" s="0" t="n">
        <v>4987</v>
      </c>
      <c r="G8" s="0" t="n">
        <v>41.6</v>
      </c>
      <c r="H8" s="0" t="n">
        <v>7089</v>
      </c>
      <c r="I8" s="0" t="n">
        <v>2022</v>
      </c>
      <c r="J8" s="0" t="n">
        <v>16.9</v>
      </c>
      <c r="K8" s="0" t="n">
        <v>1.14</v>
      </c>
      <c r="L8" s="0" t="n">
        <v>4378</v>
      </c>
      <c r="M8" s="0" t="n">
        <v>2435</v>
      </c>
      <c r="N8" s="0" t="n">
        <v>1943</v>
      </c>
      <c r="O8" s="0" t="n">
        <v>23857</v>
      </c>
      <c r="P8" s="0" t="n">
        <v>46890</v>
      </c>
      <c r="Q8" s="0" t="n">
        <v>14583</v>
      </c>
      <c r="R8" s="0" t="n">
        <v>5150</v>
      </c>
      <c r="S8" s="0" t="n">
        <v>5280</v>
      </c>
      <c r="T8" s="0" t="n">
        <v>1779</v>
      </c>
      <c r="U8" s="0" t="n">
        <v>81</v>
      </c>
      <c r="AA8" s="0" t="s">
        <v>18</v>
      </c>
      <c r="AB8" s="0" t="s">
        <v>14</v>
      </c>
      <c r="AC8" s="0" t="n">
        <v>1026</v>
      </c>
      <c r="AD8" s="0" t="n">
        <v>188.2</v>
      </c>
      <c r="AE8" s="0" t="n">
        <v>1790</v>
      </c>
      <c r="AF8" s="0" t="n">
        <v>4437</v>
      </c>
      <c r="AG8" s="0" t="n">
        <v>4468</v>
      </c>
    </row>
    <row r="9" customFormat="false" ht="15" hidden="false" customHeight="false" outlineLevel="0" collapsed="false">
      <c r="A9" s="0" t="s">
        <v>76</v>
      </c>
      <c r="B9" s="0" t="n">
        <v>11013</v>
      </c>
      <c r="C9" s="0" t="n">
        <v>7497</v>
      </c>
      <c r="D9" s="0" t="n">
        <v>3516</v>
      </c>
      <c r="E9" s="0" t="n">
        <v>31.9</v>
      </c>
      <c r="F9" s="0" t="n">
        <v>1982</v>
      </c>
      <c r="G9" s="0" t="n">
        <v>18</v>
      </c>
      <c r="H9" s="0" t="n">
        <v>3979</v>
      </c>
      <c r="I9" s="0" t="n">
        <v>432</v>
      </c>
      <c r="J9" s="0" t="n">
        <v>3.9</v>
      </c>
      <c r="K9" s="0" t="n">
        <v>0.24</v>
      </c>
      <c r="L9" s="0" t="n">
        <v>3481</v>
      </c>
      <c r="M9" s="0" t="n">
        <v>3049</v>
      </c>
      <c r="N9" s="0" t="n">
        <v>432</v>
      </c>
      <c r="O9" s="0" t="n">
        <v>22771</v>
      </c>
      <c r="P9" s="0" t="n">
        <v>45965</v>
      </c>
      <c r="Q9" s="0" t="n">
        <v>14676</v>
      </c>
      <c r="R9" s="0" t="n">
        <v>4782</v>
      </c>
      <c r="S9" s="0" t="n">
        <v>4440</v>
      </c>
      <c r="T9" s="0" t="n">
        <v>1771</v>
      </c>
      <c r="U9" s="0" t="n">
        <v>55</v>
      </c>
      <c r="AA9" s="0" t="s">
        <v>18</v>
      </c>
      <c r="AB9" s="0" t="s">
        <v>14</v>
      </c>
      <c r="AD9" s="0" t="n">
        <v>199.6</v>
      </c>
      <c r="AE9" s="0" t="n">
        <v>1795</v>
      </c>
      <c r="AF9" s="0" t="n">
        <v>4141</v>
      </c>
      <c r="AG9" s="0" t="n">
        <v>4141</v>
      </c>
    </row>
    <row r="10" customFormat="false" ht="15" hidden="false" customHeight="false" outlineLevel="0" collapsed="false">
      <c r="A10" s="0" t="s">
        <v>77</v>
      </c>
      <c r="B10" s="0" t="n">
        <v>11397</v>
      </c>
      <c r="C10" s="0" t="n">
        <v>7932</v>
      </c>
      <c r="D10" s="0" t="n">
        <v>3465</v>
      </c>
      <c r="E10" s="0" t="n">
        <v>30.4</v>
      </c>
      <c r="F10" s="0" t="n">
        <v>2984</v>
      </c>
      <c r="G10" s="0" t="n">
        <v>26.2</v>
      </c>
      <c r="H10" s="0" t="n">
        <v>5027</v>
      </c>
      <c r="I10" s="0" t="n">
        <v>1272</v>
      </c>
      <c r="J10" s="0" t="n">
        <v>11.2</v>
      </c>
      <c r="K10" s="0" t="n">
        <v>0.72</v>
      </c>
      <c r="L10" s="0" t="n">
        <v>3732</v>
      </c>
      <c r="M10" s="0" t="n">
        <v>3086</v>
      </c>
      <c r="N10" s="0" t="n">
        <v>646</v>
      </c>
      <c r="O10" s="0" t="n">
        <v>23341</v>
      </c>
      <c r="P10" s="0" t="n">
        <v>45811</v>
      </c>
      <c r="Q10" s="0" t="n">
        <v>13809</v>
      </c>
      <c r="R10" s="0" t="n">
        <v>4726</v>
      </c>
      <c r="S10" s="0" t="n">
        <v>4148</v>
      </c>
      <c r="T10" s="0" t="n">
        <v>1755</v>
      </c>
      <c r="U10" s="0" t="n">
        <v>66</v>
      </c>
      <c r="AA10" s="0" t="s">
        <v>18</v>
      </c>
      <c r="AB10" s="0" t="s">
        <v>14</v>
      </c>
      <c r="AC10" s="0" t="n">
        <v>1335</v>
      </c>
      <c r="AD10" s="0" t="n">
        <v>191</v>
      </c>
      <c r="AE10" s="0" t="n">
        <v>1948</v>
      </c>
      <c r="AF10" s="0" t="n">
        <v>4054</v>
      </c>
      <c r="AG10" s="0" t="n">
        <v>4024</v>
      </c>
    </row>
    <row r="11" customFormat="false" ht="15" hidden="false" customHeight="false" outlineLevel="0" collapsed="false">
      <c r="A11" s="0" t="s">
        <v>78</v>
      </c>
      <c r="B11" s="0" t="n">
        <v>12922</v>
      </c>
      <c r="C11" s="0" t="n">
        <v>7961</v>
      </c>
      <c r="D11" s="0" t="n">
        <v>4961</v>
      </c>
      <c r="E11" s="0" t="n">
        <v>38.4</v>
      </c>
      <c r="F11" s="0" t="n">
        <v>4840</v>
      </c>
      <c r="G11" s="0" t="n">
        <v>37.5</v>
      </c>
      <c r="H11" s="0" t="n">
        <v>6755</v>
      </c>
      <c r="I11" s="0" t="n">
        <v>2144</v>
      </c>
      <c r="J11" s="0" t="n">
        <v>16.6</v>
      </c>
      <c r="K11" s="0" t="n">
        <v>1.22</v>
      </c>
      <c r="L11" s="0" t="n">
        <v>4491</v>
      </c>
      <c r="M11" s="0" t="n">
        <v>3174</v>
      </c>
      <c r="N11" s="0" t="n">
        <v>1317</v>
      </c>
      <c r="O11" s="0" t="n">
        <v>24290</v>
      </c>
      <c r="P11" s="0" t="n">
        <v>47626</v>
      </c>
      <c r="Q11" s="0" t="n">
        <v>14370</v>
      </c>
      <c r="R11" s="0" t="n">
        <v>4729</v>
      </c>
      <c r="S11" s="0" t="n">
        <v>4074</v>
      </c>
      <c r="T11" s="0" t="n">
        <v>1751</v>
      </c>
      <c r="U11" s="0" t="n">
        <v>65</v>
      </c>
      <c r="AA11" s="0" t="s">
        <v>18</v>
      </c>
      <c r="AB11" s="0" t="s">
        <v>14</v>
      </c>
      <c r="AD11" s="0" t="n">
        <v>195</v>
      </c>
      <c r="AE11" s="0" t="n">
        <v>2397</v>
      </c>
      <c r="AF11" s="0" t="n">
        <v>3911</v>
      </c>
      <c r="AG11" s="0" t="n">
        <v>3798</v>
      </c>
    </row>
    <row r="12" customFormat="false" ht="15" hidden="false" customHeight="false" outlineLevel="0" collapsed="false">
      <c r="A12" s="0" t="s">
        <v>79</v>
      </c>
      <c r="B12" s="0" t="n">
        <v>16956</v>
      </c>
      <c r="C12" s="0" t="n">
        <v>8265</v>
      </c>
      <c r="D12" s="0" t="n">
        <v>8691</v>
      </c>
      <c r="E12" s="0" t="n">
        <v>51.3</v>
      </c>
      <c r="F12" s="0" t="n">
        <v>9032</v>
      </c>
      <c r="G12" s="0" t="n">
        <v>53.3</v>
      </c>
      <c r="H12" s="0" t="n">
        <v>10938</v>
      </c>
      <c r="I12" s="0" t="n">
        <v>4993</v>
      </c>
      <c r="J12" s="0" t="n">
        <v>29.4</v>
      </c>
      <c r="K12" s="0" t="n">
        <v>2.93</v>
      </c>
      <c r="L12" s="0" t="n">
        <v>7689</v>
      </c>
      <c r="M12" s="0" t="n">
        <v>3821</v>
      </c>
      <c r="N12" s="0" t="n">
        <v>3868</v>
      </c>
      <c r="O12" s="0" t="n">
        <v>26557</v>
      </c>
      <c r="P12" s="0" t="n">
        <v>51577</v>
      </c>
      <c r="Q12" s="0" t="n">
        <v>15661</v>
      </c>
      <c r="R12" s="0" t="n">
        <v>4703</v>
      </c>
      <c r="S12" s="0" t="n">
        <v>6706</v>
      </c>
      <c r="T12" s="0" t="n">
        <v>1707</v>
      </c>
      <c r="U12" s="0" t="n">
        <v>270</v>
      </c>
      <c r="AA12" s="0" t="s">
        <v>18</v>
      </c>
      <c r="AB12" s="0" t="s">
        <v>14</v>
      </c>
      <c r="AC12" s="0" t="n">
        <v>1637</v>
      </c>
      <c r="AD12" s="0" t="n">
        <v>220</v>
      </c>
      <c r="AE12" s="0" t="n">
        <v>3501</v>
      </c>
      <c r="AF12" s="0" t="n">
        <v>3255</v>
      </c>
      <c r="AG12" s="0" t="n">
        <v>3318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58.53</v>
      </c>
    </row>
    <row r="3" customFormat="false" ht="15" hidden="false" customHeight="false" outlineLevel="0" collapsed="false">
      <c r="A3" s="0" t="s">
        <v>83</v>
      </c>
      <c r="B3" s="3" t="n">
        <v>1646</v>
      </c>
    </row>
    <row r="4" customFormat="false" ht="15" hidden="false" customHeight="false" outlineLevel="0" collapsed="false">
      <c r="A4" s="0" t="s">
        <v>84</v>
      </c>
      <c r="B4" s="3" t="n">
        <v>-1245</v>
      </c>
    </row>
    <row r="5" customFormat="false" ht="15" hidden="false" customHeight="false" outlineLevel="0" collapsed="false">
      <c r="A5" s="0" t="s">
        <v>85</v>
      </c>
      <c r="B5" s="3" t="n">
        <v>166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13950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1.4253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13.9</v>
      </c>
      <c r="D13" s="3" t="n">
        <v>-16.95</v>
      </c>
      <c r="E13" s="3" t="n">
        <v>-9.73</v>
      </c>
      <c r="F13" s="3" t="n">
        <v>-5.96</v>
      </c>
      <c r="G13" s="3" t="n">
        <v>0.39</v>
      </c>
      <c r="H13" s="3" t="n">
        <v>2</v>
      </c>
      <c r="I13" s="3" t="n">
        <v>3.22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62.12</v>
      </c>
      <c r="D14" s="3" t="n">
        <v>50.27</v>
      </c>
      <c r="E14" s="3" t="n">
        <v>41.73</v>
      </c>
      <c r="F14" s="3" t="n">
        <v>36.49</v>
      </c>
      <c r="G14" s="3" t="n">
        <v>34.98</v>
      </c>
      <c r="H14" s="3" t="n">
        <v>34.68</v>
      </c>
      <c r="I14" s="3" t="n">
        <v>34.47</v>
      </c>
      <c r="J14" s="3" t="n">
        <v>34.2</v>
      </c>
      <c r="K14" s="3" t="n">
        <v>33.96</v>
      </c>
      <c r="L14" s="3" t="n">
        <v>33.62</v>
      </c>
    </row>
    <row r="15" customFormat="false" ht="15" hidden="false" customHeight="false" outlineLevel="0" collapsed="false">
      <c r="A15" s="0" t="s">
        <v>105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12.27</v>
      </c>
      <c r="D17" s="3" t="n">
        <v>15.53</v>
      </c>
      <c r="E17" s="3" t="n">
        <v>18.05</v>
      </c>
      <c r="F17" s="3" t="n">
        <v>19.64</v>
      </c>
      <c r="G17" s="3" t="n">
        <v>19.56</v>
      </c>
      <c r="H17" s="3" t="n">
        <v>19.18</v>
      </c>
      <c r="I17" s="3" t="n">
        <v>18.58</v>
      </c>
      <c r="J17" s="3" t="n">
        <v>18.21</v>
      </c>
      <c r="K17" s="3" t="n">
        <v>17.86</v>
      </c>
      <c r="L17" s="3" t="n">
        <v>17.51</v>
      </c>
    </row>
    <row r="18" customFormat="false" ht="15" hidden="false" customHeight="false" outlineLevel="0" collapsed="false">
      <c r="A18" s="0" t="s">
        <v>108</v>
      </c>
      <c r="C18" s="3" t="n">
        <v>24.86</v>
      </c>
      <c r="D18" s="3" t="n">
        <v>29.55</v>
      </c>
      <c r="E18" s="3" t="n">
        <v>27.7</v>
      </c>
      <c r="F18" s="3" t="n">
        <v>24.99</v>
      </c>
      <c r="G18" s="3" t="n">
        <v>22.23</v>
      </c>
      <c r="H18" s="3" t="n">
        <v>20.92</v>
      </c>
      <c r="I18" s="3" t="n">
        <v>20.27</v>
      </c>
      <c r="J18" s="3" t="n">
        <v>20.28</v>
      </c>
      <c r="K18" s="3" t="n">
        <v>20.29</v>
      </c>
      <c r="L18" s="3" t="n">
        <v>20.29</v>
      </c>
    </row>
    <row r="19" customFormat="false" ht="15" hidden="false" customHeight="false" outlineLevel="0" collapsed="false">
      <c r="A19" s="0" t="s">
        <v>109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110</v>
      </c>
      <c r="B20" s="3" t="n">
        <v>9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13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17.58</v>
      </c>
      <c r="D27" s="3" t="n">
        <v>-2.44</v>
      </c>
      <c r="E27" s="3" t="n">
        <v>-4.09</v>
      </c>
      <c r="F27" s="3" t="n">
        <v>-1.13</v>
      </c>
      <c r="G27" s="3" t="n">
        <v>0.69</v>
      </c>
      <c r="H27" s="3" t="n">
        <v>8.47</v>
      </c>
      <c r="I27" s="3" t="n">
        <v>6.35</v>
      </c>
      <c r="J27" s="3" t="n">
        <v>2.63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104</v>
      </c>
      <c r="C28" s="3" t="n">
        <v>63.05</v>
      </c>
      <c r="D28" s="3" t="n">
        <v>58.11</v>
      </c>
      <c r="E28" s="3" t="n">
        <v>53.23</v>
      </c>
      <c r="F28" s="3" t="n">
        <v>50.91</v>
      </c>
      <c r="G28" s="3" t="n">
        <v>49.65</v>
      </c>
      <c r="H28" s="3" t="n">
        <v>51.32</v>
      </c>
      <c r="I28" s="3" t="n">
        <v>51.57</v>
      </c>
      <c r="J28" s="3" t="n">
        <v>51.24</v>
      </c>
      <c r="K28" s="3" t="n">
        <v>50.88</v>
      </c>
      <c r="L28" s="3" t="n">
        <v>50.56</v>
      </c>
    </row>
    <row r="29" customFormat="false" ht="15" hidden="false" customHeight="false" outlineLevel="0" collapsed="false">
      <c r="A29" s="0" t="s">
        <v>105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11.89</v>
      </c>
      <c r="D31" s="3" t="n">
        <v>13.12</v>
      </c>
      <c r="E31" s="3" t="n">
        <v>14.66</v>
      </c>
      <c r="F31" s="3" t="n">
        <v>15.49</v>
      </c>
      <c r="G31" s="3" t="n">
        <v>15.71</v>
      </c>
      <c r="H31" s="3" t="n">
        <v>15.99</v>
      </c>
      <c r="I31" s="3" t="n">
        <v>16.17</v>
      </c>
      <c r="J31" s="3" t="n">
        <v>16.03</v>
      </c>
      <c r="K31" s="3" t="n">
        <v>15.99</v>
      </c>
      <c r="L31" s="3" t="n">
        <v>15.94</v>
      </c>
    </row>
    <row r="32" customFormat="false" ht="15" hidden="false" customHeight="false" outlineLevel="0" collapsed="false">
      <c r="A32" s="0" t="s">
        <v>108</v>
      </c>
      <c r="C32" s="3" t="n">
        <v>24.39</v>
      </c>
      <c r="D32" s="3" t="n">
        <v>26.25</v>
      </c>
      <c r="E32" s="3" t="n">
        <v>27.37</v>
      </c>
      <c r="F32" s="3" t="n">
        <v>25.71</v>
      </c>
      <c r="G32" s="3" t="n">
        <v>23.57</v>
      </c>
      <c r="H32" s="3" t="n">
        <v>19.31</v>
      </c>
      <c r="I32" s="3" t="n">
        <v>16.46</v>
      </c>
      <c r="J32" s="3" t="n">
        <v>16.31</v>
      </c>
      <c r="K32" s="3" t="n">
        <v>16.26</v>
      </c>
      <c r="L32" s="3" t="n">
        <v>16.21</v>
      </c>
    </row>
    <row r="33" customFormat="false" ht="15" hidden="false" customHeight="false" outlineLevel="0" collapsed="false">
      <c r="A33" s="0" t="s">
        <v>109</v>
      </c>
      <c r="C33" s="3" t="n">
        <v>27</v>
      </c>
      <c r="D33" s="3" t="n">
        <v>27</v>
      </c>
      <c r="E33" s="3" t="n">
        <v>27</v>
      </c>
      <c r="F33" s="3" t="n">
        <v>27</v>
      </c>
      <c r="G33" s="3" t="n">
        <v>27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110</v>
      </c>
      <c r="B34" s="3" t="n">
        <v>9</v>
      </c>
    </row>
    <row r="35" customFormat="false" ht="15" hidden="false" customHeight="false" outlineLevel="0" collapsed="false">
      <c r="A35" s="0" t="s">
        <v>111</v>
      </c>
      <c r="B35" s="3" t="n">
        <v>2</v>
      </c>
    </row>
    <row r="36" customFormat="false" ht="15" hidden="false" customHeight="false" outlineLevel="0" collapsed="false">
      <c r="A36" s="0" t="s">
        <v>112</v>
      </c>
      <c r="B36" s="3" t="n">
        <v>13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19.63</v>
      </c>
      <c r="D41" s="3" t="n">
        <v>8.91</v>
      </c>
      <c r="E41" s="3" t="n">
        <v>3.53</v>
      </c>
      <c r="F41" s="3" t="n">
        <v>3.21</v>
      </c>
      <c r="G41" s="3" t="n">
        <v>4.83</v>
      </c>
      <c r="H41" s="3" t="n">
        <v>8.19</v>
      </c>
      <c r="I41" s="3" t="n">
        <v>5.13</v>
      </c>
      <c r="J41" s="3" t="n">
        <v>3.52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104</v>
      </c>
      <c r="C42" s="3" t="n">
        <v>63.28</v>
      </c>
      <c r="D42" s="3" t="n">
        <v>61.66</v>
      </c>
      <c r="E42" s="3" t="n">
        <v>60.14</v>
      </c>
      <c r="F42" s="3" t="n">
        <v>59.27</v>
      </c>
      <c r="G42" s="3" t="n">
        <v>58.7</v>
      </c>
      <c r="H42" s="3" t="n">
        <v>60</v>
      </c>
      <c r="I42" s="3" t="n">
        <v>60.08</v>
      </c>
      <c r="J42" s="3" t="n">
        <v>59.9</v>
      </c>
      <c r="K42" s="3" t="n">
        <v>59.68</v>
      </c>
      <c r="L42" s="3" t="n">
        <v>59.47</v>
      </c>
    </row>
    <row r="43" customFormat="false" ht="15" hidden="false" customHeight="false" outlineLevel="0" collapsed="false">
      <c r="A43" s="0" t="s">
        <v>105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11.68</v>
      </c>
      <c r="D45" s="3" t="n">
        <v>11.55</v>
      </c>
      <c r="E45" s="3" t="n">
        <v>12.22</v>
      </c>
      <c r="F45" s="3" t="n">
        <v>12.87</v>
      </c>
      <c r="G45" s="3" t="n">
        <v>13.26</v>
      </c>
      <c r="H45" s="3" t="n">
        <v>13.39</v>
      </c>
      <c r="I45" s="3" t="n">
        <v>13.39</v>
      </c>
      <c r="J45" s="3" t="n">
        <v>13.14</v>
      </c>
      <c r="K45" s="3" t="n">
        <v>13.09</v>
      </c>
      <c r="L45" s="3" t="n">
        <v>13.03</v>
      </c>
    </row>
    <row r="46" customFormat="false" ht="15" hidden="false" customHeight="false" outlineLevel="0" collapsed="false">
      <c r="A46" s="0" t="s">
        <v>108</v>
      </c>
      <c r="C46" s="3" t="n">
        <v>24.57</v>
      </c>
      <c r="D46" s="3" t="n">
        <v>24.76</v>
      </c>
      <c r="E46" s="3" t="n">
        <v>23.92</v>
      </c>
      <c r="F46" s="3" t="n">
        <v>21.63</v>
      </c>
      <c r="G46" s="3" t="n">
        <v>18.67</v>
      </c>
      <c r="H46" s="3" t="n">
        <v>15.44</v>
      </c>
      <c r="I46" s="3" t="n">
        <v>13.82</v>
      </c>
      <c r="J46" s="3" t="n">
        <v>13.56</v>
      </c>
      <c r="K46" s="3" t="n">
        <v>13.5</v>
      </c>
      <c r="L46" s="3" t="n">
        <v>13.43</v>
      </c>
    </row>
    <row r="47" customFormat="false" ht="15" hidden="false" customHeight="false" outlineLevel="0" collapsed="false">
      <c r="A47" s="0" t="s">
        <v>109</v>
      </c>
      <c r="C47" s="3" t="n">
        <v>26</v>
      </c>
      <c r="D47" s="3" t="n">
        <v>26</v>
      </c>
      <c r="E47" s="3" t="n">
        <v>26</v>
      </c>
      <c r="F47" s="3" t="n">
        <v>26</v>
      </c>
      <c r="G47" s="3" t="n">
        <v>26</v>
      </c>
      <c r="H47" s="3" t="n">
        <v>26</v>
      </c>
      <c r="I47" s="3" t="n">
        <v>26</v>
      </c>
      <c r="J47" s="3" t="n">
        <v>26</v>
      </c>
      <c r="K47" s="3" t="n">
        <v>26</v>
      </c>
      <c r="L47" s="3" t="n">
        <v>26</v>
      </c>
    </row>
    <row r="48" customFormat="false" ht="15" hidden="false" customHeight="false" outlineLevel="0" collapsed="false">
      <c r="A48" s="0" t="s">
        <v>110</v>
      </c>
      <c r="B48" s="3" t="n">
        <v>9</v>
      </c>
    </row>
    <row r="49" customFormat="false" ht="15" hidden="false" customHeight="false" outlineLevel="0" collapsed="false">
      <c r="A49" s="0" t="s">
        <v>111</v>
      </c>
      <c r="B49" s="3" t="n">
        <v>2</v>
      </c>
    </row>
    <row r="50" customFormat="false" ht="15" hidden="false" customHeight="false" outlineLevel="0" collapsed="false">
      <c r="A50" s="0" t="s">
        <v>112</v>
      </c>
      <c r="B50" s="3" t="n">
        <v>13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13.9</v>
      </c>
      <c r="D5" s="4" t="n">
        <f aca="false">Assumptions!D13</f>
        <v>-16.95</v>
      </c>
      <c r="E5" s="4" t="n">
        <f aca="false">Assumptions!E13</f>
        <v>-9.73</v>
      </c>
      <c r="F5" s="4" t="n">
        <f aca="false">Assumptions!F13</f>
        <v>-5.96</v>
      </c>
      <c r="G5" s="4" t="n">
        <f aca="false">Assumptions!G13</f>
        <v>0.39</v>
      </c>
      <c r="H5" s="4" t="n">
        <f aca="false">Assumptions!H13</f>
        <v>2</v>
      </c>
      <c r="I5" s="4" t="n">
        <f aca="false">Assumptions!I13</f>
        <v>3.22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13950</v>
      </c>
      <c r="C6" s="0" t="n">
        <f aca="false">B6*(1+C5/100)</f>
        <v>15889.05</v>
      </c>
      <c r="D6" s="0" t="n">
        <f aca="false">C6*(1+D5/100)</f>
        <v>13195.856025</v>
      </c>
      <c r="E6" s="0" t="n">
        <f aca="false">D6*(1+E5/100)</f>
        <v>11911.8992337675</v>
      </c>
      <c r="F6" s="0" t="n">
        <f aca="false">E6*(1+F5/100)</f>
        <v>11201.950039435</v>
      </c>
      <c r="G6" s="0" t="n">
        <f aca="false">F6*(1+G5/100)</f>
        <v>11245.6376445888</v>
      </c>
      <c r="H6" s="0" t="n">
        <f aca="false">G6*(1+H5/100)</f>
        <v>11470.5503974805</v>
      </c>
      <c r="I6" s="0" t="n">
        <f aca="false">H6*(1+I5/100)</f>
        <v>11839.9021202794</v>
      </c>
      <c r="J6" s="0" t="n">
        <f aca="false">I6*(1+J5/100)</f>
        <v>12076.700162685</v>
      </c>
      <c r="K6" s="0" t="n">
        <f aca="false">J6*(1+K5/100)</f>
        <v>12318.2341659387</v>
      </c>
      <c r="L6" s="0" t="n">
        <f aca="false">K6*(1+L5/100)</f>
        <v>12564.5988492575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62.12</v>
      </c>
      <c r="D7" s="4" t="n">
        <f aca="false">Assumptions!D14</f>
        <v>50.27</v>
      </c>
      <c r="E7" s="4" t="n">
        <f aca="false">Assumptions!E14</f>
        <v>41.73</v>
      </c>
      <c r="F7" s="4" t="n">
        <f aca="false">Assumptions!F14</f>
        <v>36.49</v>
      </c>
      <c r="G7" s="4" t="n">
        <f aca="false">Assumptions!G14</f>
        <v>34.98</v>
      </c>
      <c r="H7" s="4" t="n">
        <f aca="false">Assumptions!H14</f>
        <v>34.68</v>
      </c>
      <c r="I7" s="4" t="n">
        <f aca="false">Assumptions!I14</f>
        <v>34.47</v>
      </c>
      <c r="J7" s="4" t="n">
        <f aca="false">Assumptions!J14</f>
        <v>34.2</v>
      </c>
      <c r="K7" s="4" t="n">
        <f aca="false">Assumptions!K14</f>
        <v>33.96</v>
      </c>
      <c r="L7" s="4" t="n">
        <f aca="false">Assumptions!L14</f>
        <v>33.62</v>
      </c>
    </row>
    <row r="8" customFormat="false" ht="15" hidden="false" customHeight="false" outlineLevel="0" collapsed="false">
      <c r="A8" s="0" t="s">
        <v>44</v>
      </c>
      <c r="C8" s="0" t="n">
        <f aca="false">C6*C7/100</f>
        <v>9870.27786</v>
      </c>
      <c r="D8" s="0" t="n">
        <f aca="false">D6*D7/100</f>
        <v>6633.5568237675</v>
      </c>
      <c r="E8" s="0" t="n">
        <f aca="false">E6*E7/100</f>
        <v>4970.83555025118</v>
      </c>
      <c r="F8" s="0" t="n">
        <f aca="false">F6*F7/100</f>
        <v>4087.59156938982</v>
      </c>
      <c r="G8" s="0" t="n">
        <f aca="false">G6*G7/100</f>
        <v>3933.72404807715</v>
      </c>
      <c r="H8" s="0" t="n">
        <f aca="false">H6*H7/100</f>
        <v>3977.98687784625</v>
      </c>
      <c r="I8" s="0" t="n">
        <f aca="false">I6*I7/100</f>
        <v>4081.21426086031</v>
      </c>
      <c r="J8" s="0" t="n">
        <f aca="false">J6*J7/100</f>
        <v>4130.23145563827</v>
      </c>
      <c r="K8" s="0" t="n">
        <f aca="false">K6*K7/100</f>
        <v>4183.27232275278</v>
      </c>
      <c r="L8" s="0" t="n">
        <f aca="false">L6*L7/100</f>
        <v>4224.21813312036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9870.27786</v>
      </c>
      <c r="D11" s="0" t="n">
        <f aca="false">D8+D10+D24</f>
        <v>6633.5568237675</v>
      </c>
      <c r="E11" s="0" t="n">
        <f aca="false">E8+E10+E24</f>
        <v>4970.83555025118</v>
      </c>
      <c r="F11" s="0" t="n">
        <f aca="false">F8+F10+F24</f>
        <v>4087.59156938982</v>
      </c>
      <c r="G11" s="0" t="n">
        <f aca="false">G8+G10+G24</f>
        <v>3933.72404807715</v>
      </c>
      <c r="H11" s="0" t="n">
        <f aca="false">H8+H10+H24</f>
        <v>3977.98687784625</v>
      </c>
      <c r="I11" s="0" t="n">
        <f aca="false">I8+I10+I24</f>
        <v>4081.21426086031</v>
      </c>
      <c r="J11" s="0" t="n">
        <f aca="false">J8+J10+J24</f>
        <v>4130.23145563827</v>
      </c>
      <c r="K11" s="0" t="n">
        <f aca="false">K8+K10+K24</f>
        <v>4183.27232275278</v>
      </c>
      <c r="L11" s="0" t="n">
        <f aca="false">L8+L10+L24</f>
        <v>4224.21813312036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-1949.586435</v>
      </c>
      <c r="D12" s="4" t="n">
        <f aca="false">-D6*Assumptions!D17/100</f>
        <v>-2049.3164406825</v>
      </c>
      <c r="E12" s="4" t="n">
        <f aca="false">-E6*Assumptions!E17/100</f>
        <v>-2150.09781169503</v>
      </c>
      <c r="F12" s="4" t="n">
        <f aca="false">-F6*Assumptions!F17/100</f>
        <v>-2200.06298774503</v>
      </c>
      <c r="G12" s="4" t="n">
        <f aca="false">-G6*Assumptions!G17/100</f>
        <v>-2199.64672328156</v>
      </c>
      <c r="H12" s="4" t="n">
        <f aca="false">-H6*Assumptions!H17/100</f>
        <v>-2200.05156623677</v>
      </c>
      <c r="I12" s="4" t="n">
        <f aca="false">-I6*Assumptions!I17/100</f>
        <v>-2199.85381394791</v>
      </c>
      <c r="J12" s="4" t="n">
        <f aca="false">-J6*Assumptions!J17/100</f>
        <v>-2199.16709962494</v>
      </c>
      <c r="K12" s="4" t="n">
        <f aca="false">-K6*Assumptions!K17/100</f>
        <v>-2200.03662203665</v>
      </c>
      <c r="L12" s="4" t="n">
        <f aca="false">-L6*Assumptions!L17/100</f>
        <v>-2200.06125850498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7920.691425</v>
      </c>
      <c r="D13" s="0" t="n">
        <f aca="false">D11+D12</f>
        <v>4584.240383085</v>
      </c>
      <c r="E13" s="0" t="n">
        <f aca="false">E11+E12</f>
        <v>2820.73773855614</v>
      </c>
      <c r="F13" s="0" t="n">
        <f aca="false">F11+F12</f>
        <v>1887.52858164479</v>
      </c>
      <c r="G13" s="0" t="n">
        <f aca="false">G11+G12</f>
        <v>1734.07732479559</v>
      </c>
      <c r="H13" s="0" t="n">
        <f aca="false">H11+H12</f>
        <v>1777.93531160948</v>
      </c>
      <c r="I13" s="0" t="n">
        <f aca="false">I11+I12</f>
        <v>1881.3604469124</v>
      </c>
      <c r="J13" s="0" t="n">
        <f aca="false">J11+J12</f>
        <v>1931.06435601333</v>
      </c>
      <c r="K13" s="0" t="n">
        <f aca="false">K11+K12</f>
        <v>1983.23570071613</v>
      </c>
      <c r="L13" s="0" t="n">
        <f aca="false">L11+L12</f>
        <v>2024.15687461538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5623.69091175</v>
      </c>
      <c r="D15" s="0" t="n">
        <f aca="false">D13-MAX(0,D13)*D14/100</f>
        <v>3254.81067199035</v>
      </c>
      <c r="E15" s="0" t="n">
        <f aca="false">E13-MAX(0,E13)*E14/100</f>
        <v>2002.72379437486</v>
      </c>
      <c r="F15" s="0" t="n">
        <f aca="false">F13-MAX(0,F13)*F14/100</f>
        <v>1340.1452929678</v>
      </c>
      <c r="G15" s="0" t="n">
        <f aca="false">G13-MAX(0,G13)*G14/100</f>
        <v>1231.19490060487</v>
      </c>
      <c r="H15" s="0" t="n">
        <f aca="false">H13-MAX(0,H13)*H14/100</f>
        <v>1262.33407124273</v>
      </c>
      <c r="I15" s="0" t="n">
        <f aca="false">I13-MAX(0,I13)*I14/100</f>
        <v>1335.7659173078</v>
      </c>
      <c r="J15" s="0" t="n">
        <f aca="false">J13-MAX(0,J13)*J14/100</f>
        <v>1371.05569276946</v>
      </c>
      <c r="K15" s="0" t="n">
        <f aca="false">K13-MAX(0,K13)*K14/100</f>
        <v>1408.09734750845</v>
      </c>
      <c r="L15" s="0" t="n">
        <f aca="false">L13-MAX(0,L13)*L14/100</f>
        <v>1437.15138097692</v>
      </c>
    </row>
    <row r="16" customFormat="false" ht="15" hidden="false" customHeight="false" outlineLevel="0" collapsed="false">
      <c r="A16" s="0" t="s">
        <v>125</v>
      </c>
      <c r="C16" s="0" t="n">
        <f aca="false">-C12</f>
        <v>1949.586435</v>
      </c>
      <c r="D16" s="0" t="n">
        <f aca="false">-D12</f>
        <v>2049.3164406825</v>
      </c>
      <c r="E16" s="0" t="n">
        <f aca="false">-E12</f>
        <v>2150.09781169503</v>
      </c>
      <c r="F16" s="0" t="n">
        <f aca="false">-F12</f>
        <v>2200.06298774503</v>
      </c>
      <c r="G16" s="0" t="n">
        <f aca="false">-G12</f>
        <v>2199.64672328156</v>
      </c>
      <c r="H16" s="0" t="n">
        <f aca="false">-H12</f>
        <v>2200.05156623677</v>
      </c>
      <c r="I16" s="0" t="n">
        <f aca="false">-I12</f>
        <v>2199.85381394791</v>
      </c>
      <c r="J16" s="0" t="n">
        <f aca="false">-J12</f>
        <v>2199.16709962494</v>
      </c>
      <c r="K16" s="0" t="n">
        <f aca="false">-K12</f>
        <v>2200.03662203665</v>
      </c>
      <c r="L16" s="0" t="n">
        <f aca="false">-L12</f>
        <v>2200.06125850498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-3950.01783</v>
      </c>
      <c r="D17" s="4" t="n">
        <f aca="false">-D6*Assumptions!D18/100</f>
        <v>-3899.3754553875</v>
      </c>
      <c r="E17" s="4" t="n">
        <f aca="false">-E6*Assumptions!E18/100</f>
        <v>-3299.5960877536</v>
      </c>
      <c r="F17" s="4" t="n">
        <f aca="false">-F6*Assumptions!F18/100</f>
        <v>-2799.3673148548</v>
      </c>
      <c r="G17" s="4" t="n">
        <f aca="false">-G6*Assumptions!G18/100</f>
        <v>-2499.90524839208</v>
      </c>
      <c r="H17" s="4" t="n">
        <f aca="false">-H6*Assumptions!H18/100</f>
        <v>-2399.63914315293</v>
      </c>
      <c r="I17" s="4" t="n">
        <f aca="false">-I6*Assumptions!I18/100</f>
        <v>-2399.94815978064</v>
      </c>
      <c r="J17" s="4" t="n">
        <f aca="false">-J6*Assumptions!J18/100</f>
        <v>-2449.15479299252</v>
      </c>
      <c r="K17" s="4" t="n">
        <f aca="false">-K6*Assumptions!K18/100</f>
        <v>-2499.36971226896</v>
      </c>
      <c r="L17" s="4" t="n">
        <f aca="false">-L6*Assumptions!L18/100</f>
        <v>-2549.35710651434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3623.25951675</v>
      </c>
      <c r="D19" s="0" t="n">
        <f aca="false">D15+D16+D17+D18</f>
        <v>1404.75165728535</v>
      </c>
      <c r="E19" s="0" t="n">
        <f aca="false">E15+E16+E17+E18</f>
        <v>853.225518316298</v>
      </c>
      <c r="F19" s="0" t="n">
        <f aca="false">F15+F16+F17+F18</f>
        <v>740.840965858031</v>
      </c>
      <c r="G19" s="0" t="n">
        <f aca="false">G15+G16+G17+G18</f>
        <v>930.936375494345</v>
      </c>
      <c r="H19" s="0" t="n">
        <f aca="false">H15+H16+H17+H18</f>
        <v>1062.74649432657</v>
      </c>
      <c r="I19" s="0" t="n">
        <f aca="false">I15+I16+I17+I18</f>
        <v>1135.67157147508</v>
      </c>
      <c r="J19" s="0" t="n">
        <f aca="false">J15+J16+J17+J18</f>
        <v>1121.06799940188</v>
      </c>
      <c r="K19" s="0" t="n">
        <f aca="false">K15+K16+K17+K18</f>
        <v>1108.76425727614</v>
      </c>
      <c r="L19" s="0" t="n">
        <f aca="false">L15+L16+L17+L18</f>
        <v>1087.85553296756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3324.09129977064</v>
      </c>
      <c r="D21" s="0" t="n">
        <f aca="false">D19*D20</f>
        <v>1182.35136544512</v>
      </c>
      <c r="E21" s="0" t="n">
        <f aca="false">E19*E20</f>
        <v>658.846650010385</v>
      </c>
      <c r="F21" s="0" t="n">
        <f aca="false">F19*F20</f>
        <v>524.83041760372</v>
      </c>
      <c r="G21" s="0" t="n">
        <f aca="false">G19*G20</f>
        <v>605.044769080597</v>
      </c>
      <c r="H21" s="0" t="n">
        <f aca="false">H19*H20</f>
        <v>633.681011322362</v>
      </c>
      <c r="I21" s="0" t="n">
        <f aca="false">I19*I20</f>
        <v>621.251240491894</v>
      </c>
      <c r="J21" s="0" t="n">
        <f aca="false">J19*J20</f>
        <v>562.626226120017</v>
      </c>
      <c r="K21" s="0" t="n">
        <f aca="false">K19*K20</f>
        <v>510.505864984694</v>
      </c>
      <c r="L21" s="0" t="n">
        <f aca="false">L19*L20</f>
        <v>459.521933466767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9082.7507782962</v>
      </c>
    </row>
    <row r="31" customFormat="false" ht="15" hidden="false" customHeight="false" outlineLevel="0" collapsed="false">
      <c r="A31" s="0" t="s">
        <v>134</v>
      </c>
      <c r="B31" s="0" t="n">
        <f aca="false">L19</f>
        <v>1087.85553296756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15851.6091946702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14142.1219285783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14142.1219285783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5973.78513506797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15056.5359133642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16467.5359133642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14.259525478322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-0.756372364969726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14.259525478322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8535.48187405316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9.54074594327963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17.58</v>
      </c>
      <c r="D5" s="4" t="n">
        <f aca="false">Assumptions!D27</f>
        <v>-2.44</v>
      </c>
      <c r="E5" s="4" t="n">
        <f aca="false">Assumptions!E27</f>
        <v>-4.09</v>
      </c>
      <c r="F5" s="4" t="n">
        <f aca="false">Assumptions!F27</f>
        <v>-1.13</v>
      </c>
      <c r="G5" s="4" t="n">
        <f aca="false">Assumptions!G27</f>
        <v>0.69</v>
      </c>
      <c r="H5" s="4" t="n">
        <f aca="false">Assumptions!H27</f>
        <v>8.47</v>
      </c>
      <c r="I5" s="4" t="n">
        <f aca="false">Assumptions!I27</f>
        <v>6.35</v>
      </c>
      <c r="J5" s="4" t="n">
        <f aca="false">Assumptions!J27</f>
        <v>2.63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13950</v>
      </c>
      <c r="C6" s="0" t="n">
        <f aca="false">B6*(1+C5/100)</f>
        <v>16402.41</v>
      </c>
      <c r="D6" s="0" t="n">
        <f aca="false">C6*(1+D5/100)</f>
        <v>16002.191196</v>
      </c>
      <c r="E6" s="0" t="n">
        <f aca="false">D6*(1+E5/100)</f>
        <v>15347.7015760836</v>
      </c>
      <c r="F6" s="0" t="n">
        <f aca="false">E6*(1+F5/100)</f>
        <v>15174.2725482739</v>
      </c>
      <c r="G6" s="0" t="n">
        <f aca="false">F6*(1+G5/100)</f>
        <v>15278.9750288569</v>
      </c>
      <c r="H6" s="0" t="n">
        <f aca="false">G6*(1+H5/100)</f>
        <v>16573.1042138011</v>
      </c>
      <c r="I6" s="0" t="n">
        <f aca="false">H6*(1+I5/100)</f>
        <v>17625.4963313775</v>
      </c>
      <c r="J6" s="0" t="n">
        <f aca="false">I6*(1+J5/100)</f>
        <v>18089.0468848927</v>
      </c>
      <c r="K6" s="0" t="n">
        <f aca="false">J6*(1+K5/100)</f>
        <v>18450.8278225906</v>
      </c>
      <c r="L6" s="0" t="n">
        <f aca="false">K6*(1+L5/100)</f>
        <v>18819.8443790424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63.05</v>
      </c>
      <c r="D7" s="4" t="n">
        <f aca="false">Assumptions!D28</f>
        <v>58.11</v>
      </c>
      <c r="E7" s="4" t="n">
        <f aca="false">Assumptions!E28</f>
        <v>53.23</v>
      </c>
      <c r="F7" s="4" t="n">
        <f aca="false">Assumptions!F28</f>
        <v>50.91</v>
      </c>
      <c r="G7" s="4" t="n">
        <f aca="false">Assumptions!G28</f>
        <v>49.65</v>
      </c>
      <c r="H7" s="4" t="n">
        <f aca="false">Assumptions!H28</f>
        <v>51.32</v>
      </c>
      <c r="I7" s="4" t="n">
        <f aca="false">Assumptions!I28</f>
        <v>51.57</v>
      </c>
      <c r="J7" s="4" t="n">
        <f aca="false">Assumptions!J28</f>
        <v>51.24</v>
      </c>
      <c r="K7" s="4" t="n">
        <f aca="false">Assumptions!K28</f>
        <v>50.88</v>
      </c>
      <c r="L7" s="4" t="n">
        <f aca="false">Assumptions!L28</f>
        <v>50.56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10341.719505</v>
      </c>
      <c r="D8" s="0" t="n">
        <f aca="false">D6*D7/100</f>
        <v>9298.8733039956</v>
      </c>
      <c r="E8" s="0" t="n">
        <f aca="false">E6*E7/100</f>
        <v>8169.5815489493</v>
      </c>
      <c r="F8" s="0" t="n">
        <f aca="false">F6*F7/100</f>
        <v>7725.22215432622</v>
      </c>
      <c r="G8" s="0" t="n">
        <f aca="false">G6*G7/100</f>
        <v>7586.01110182747</v>
      </c>
      <c r="H8" s="0" t="n">
        <f aca="false">H6*H7/100</f>
        <v>8505.31708252274</v>
      </c>
      <c r="I8" s="0" t="n">
        <f aca="false">I6*I7/100</f>
        <v>9089.46845809137</v>
      </c>
      <c r="J8" s="0" t="n">
        <f aca="false">J6*J7/100</f>
        <v>9268.82762381903</v>
      </c>
      <c r="K8" s="0" t="n">
        <f aca="false">K6*K7/100</f>
        <v>9387.78119613409</v>
      </c>
      <c r="L8" s="0" t="n">
        <f aca="false">L6*L7/100</f>
        <v>9515.31331804383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10341.719505</v>
      </c>
      <c r="D11" s="0" t="n">
        <f aca="false">D8+D10+D24</f>
        <v>9298.8733039956</v>
      </c>
      <c r="E11" s="0" t="n">
        <f aca="false">E8+E10+E24</f>
        <v>8169.5815489493</v>
      </c>
      <c r="F11" s="0" t="n">
        <f aca="false">F8+F10+F24</f>
        <v>7725.22215432622</v>
      </c>
      <c r="G11" s="0" t="n">
        <f aca="false">G8+G10+G24</f>
        <v>7586.01110182747</v>
      </c>
      <c r="H11" s="0" t="n">
        <f aca="false">H8+H10+H24</f>
        <v>8505.31708252274</v>
      </c>
      <c r="I11" s="0" t="n">
        <f aca="false">I8+I10+I24</f>
        <v>9089.46845809137</v>
      </c>
      <c r="J11" s="0" t="n">
        <f aca="false">J8+J10+J24</f>
        <v>9268.82762381903</v>
      </c>
      <c r="K11" s="0" t="n">
        <f aca="false">K8+K10+K24</f>
        <v>9387.78119613409</v>
      </c>
      <c r="L11" s="0" t="n">
        <f aca="false">L8+L10+L24</f>
        <v>9515.31331804383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-1950.246549</v>
      </c>
      <c r="D12" s="4" t="n">
        <f aca="false">-D6*Assumptions!D31/100</f>
        <v>-2099.4874849152</v>
      </c>
      <c r="E12" s="4" t="n">
        <f aca="false">-E6*Assumptions!E31/100</f>
        <v>-2249.97305105386</v>
      </c>
      <c r="F12" s="4" t="n">
        <f aca="false">-F6*Assumptions!F31/100</f>
        <v>-2350.49481772762</v>
      </c>
      <c r="G12" s="4" t="n">
        <f aca="false">-G6*Assumptions!G31/100</f>
        <v>-2400.32697703343</v>
      </c>
      <c r="H12" s="4" t="n">
        <f aca="false">-H6*Assumptions!H31/100</f>
        <v>-2650.0393637868</v>
      </c>
      <c r="I12" s="4" t="n">
        <f aca="false">-I6*Assumptions!I31/100</f>
        <v>-2850.04275678374</v>
      </c>
      <c r="J12" s="4" t="n">
        <f aca="false">-J6*Assumptions!J31/100</f>
        <v>-2899.6742156483</v>
      </c>
      <c r="K12" s="4" t="n">
        <f aca="false">-K6*Assumptions!K31/100</f>
        <v>-2950.28736883223</v>
      </c>
      <c r="L12" s="4" t="n">
        <f aca="false">-L6*Assumptions!L31/100</f>
        <v>-2999.88319401936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8391.472956</v>
      </c>
      <c r="D13" s="0" t="n">
        <f aca="false">D11+D12</f>
        <v>7199.3858190804</v>
      </c>
      <c r="E13" s="0" t="n">
        <f aca="false">E11+E12</f>
        <v>5919.60849789544</v>
      </c>
      <c r="F13" s="0" t="n">
        <f aca="false">F11+F12</f>
        <v>5374.7273365986</v>
      </c>
      <c r="G13" s="0" t="n">
        <f aca="false">G11+G12</f>
        <v>5185.68412479405</v>
      </c>
      <c r="H13" s="0" t="n">
        <f aca="false">H11+H12</f>
        <v>5855.27771873594</v>
      </c>
      <c r="I13" s="0" t="n">
        <f aca="false">I11+I12</f>
        <v>6239.42570130763</v>
      </c>
      <c r="J13" s="0" t="n">
        <f aca="false">J11+J12</f>
        <v>6369.15340817073</v>
      </c>
      <c r="K13" s="0" t="n">
        <f aca="false">K11+K12</f>
        <v>6437.49382730185</v>
      </c>
      <c r="L13" s="0" t="n">
        <f aca="false">L11+L12</f>
        <v>6515.43012402448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27</v>
      </c>
      <c r="D14" s="4" t="n">
        <f aca="false">Assumptions!D33</f>
        <v>27</v>
      </c>
      <c r="E14" s="4" t="n">
        <f aca="false">Assumptions!E33</f>
        <v>27</v>
      </c>
      <c r="F14" s="4" t="n">
        <f aca="false">Assumptions!F33</f>
        <v>27</v>
      </c>
      <c r="G14" s="4" t="n">
        <f aca="false">Assumptions!G33</f>
        <v>27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6125.77525788</v>
      </c>
      <c r="D15" s="0" t="n">
        <f aca="false">D13-MAX(0,D13)*D14/100</f>
        <v>5255.55164792869</v>
      </c>
      <c r="E15" s="0" t="n">
        <f aca="false">E13-MAX(0,E13)*E14/100</f>
        <v>4321.31420346367</v>
      </c>
      <c r="F15" s="0" t="n">
        <f aca="false">F13-MAX(0,F13)*F14/100</f>
        <v>3923.55095571698</v>
      </c>
      <c r="G15" s="0" t="n">
        <f aca="false">G13-MAX(0,G13)*G14/100</f>
        <v>3785.54941109965</v>
      </c>
      <c r="H15" s="0" t="n">
        <f aca="false">H13-MAX(0,H13)*H14/100</f>
        <v>4274.35273467723</v>
      </c>
      <c r="I15" s="0" t="n">
        <f aca="false">I13-MAX(0,I13)*I14/100</f>
        <v>4554.78076195457</v>
      </c>
      <c r="J15" s="0" t="n">
        <f aca="false">J13-MAX(0,J13)*J14/100</f>
        <v>4649.48198796463</v>
      </c>
      <c r="K15" s="0" t="n">
        <f aca="false">K13-MAX(0,K13)*K14/100</f>
        <v>4699.37049393035</v>
      </c>
      <c r="L15" s="0" t="n">
        <f aca="false">L13-MAX(0,L13)*L14/100</f>
        <v>4756.26399053787</v>
      </c>
    </row>
    <row r="16" customFormat="false" ht="15" hidden="false" customHeight="false" outlineLevel="0" collapsed="false">
      <c r="A16" s="0" t="s">
        <v>125</v>
      </c>
      <c r="C16" s="0" t="n">
        <f aca="false">-C12</f>
        <v>1950.246549</v>
      </c>
      <c r="D16" s="0" t="n">
        <f aca="false">-D12</f>
        <v>2099.4874849152</v>
      </c>
      <c r="E16" s="0" t="n">
        <f aca="false">-E12</f>
        <v>2249.97305105386</v>
      </c>
      <c r="F16" s="0" t="n">
        <f aca="false">-F12</f>
        <v>2350.49481772762</v>
      </c>
      <c r="G16" s="0" t="n">
        <f aca="false">-G12</f>
        <v>2400.32697703343</v>
      </c>
      <c r="H16" s="0" t="n">
        <f aca="false">-H12</f>
        <v>2650.0393637868</v>
      </c>
      <c r="I16" s="0" t="n">
        <f aca="false">-I12</f>
        <v>2850.04275678374</v>
      </c>
      <c r="J16" s="0" t="n">
        <f aca="false">-J12</f>
        <v>2899.6742156483</v>
      </c>
      <c r="K16" s="0" t="n">
        <f aca="false">-K12</f>
        <v>2950.28736883223</v>
      </c>
      <c r="L16" s="0" t="n">
        <f aca="false">-L12</f>
        <v>2999.88319401936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-4000.547799</v>
      </c>
      <c r="D17" s="4" t="n">
        <f aca="false">-D6*Assumptions!D32/100</f>
        <v>-4200.57518895</v>
      </c>
      <c r="E17" s="4" t="n">
        <f aca="false">-E6*Assumptions!E32/100</f>
        <v>-4200.66592137408</v>
      </c>
      <c r="F17" s="4" t="n">
        <f aca="false">-F6*Assumptions!F32/100</f>
        <v>-3901.30547216121</v>
      </c>
      <c r="G17" s="4" t="n">
        <f aca="false">-G6*Assumptions!G32/100</f>
        <v>-3601.25441430158</v>
      </c>
      <c r="H17" s="4" t="n">
        <f aca="false">-H6*Assumptions!H32/100</f>
        <v>-3200.266423685</v>
      </c>
      <c r="I17" s="4" t="n">
        <f aca="false">-I6*Assumptions!I32/100</f>
        <v>-2901.15669614474</v>
      </c>
      <c r="J17" s="4" t="n">
        <f aca="false">-J6*Assumptions!J32/100</f>
        <v>-2950.323546926</v>
      </c>
      <c r="K17" s="4" t="n">
        <f aca="false">-K6*Assumptions!K32/100</f>
        <v>-3000.10460395323</v>
      </c>
      <c r="L17" s="4" t="n">
        <f aca="false">-L6*Assumptions!L32/100</f>
        <v>-3050.69677384277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-0</v>
      </c>
      <c r="F18" s="4" t="n">
        <f aca="false">(F6-E6)*Assumptions!$B$37/100</f>
        <v>-0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4075.47400788</v>
      </c>
      <c r="D19" s="0" t="n">
        <f aca="false">D15+D16+D17+D18</f>
        <v>3154.46394389389</v>
      </c>
      <c r="E19" s="0" t="n">
        <f aca="false">E15+E16+E17+E18</f>
        <v>2370.62133314345</v>
      </c>
      <c r="F19" s="0" t="n">
        <f aca="false">F15+F16+F17+F18</f>
        <v>2372.74030128339</v>
      </c>
      <c r="G19" s="0" t="n">
        <f aca="false">G15+G16+G17+G18</f>
        <v>2584.6219738315</v>
      </c>
      <c r="H19" s="0" t="n">
        <f aca="false">H15+H16+H17+H18</f>
        <v>3724.12567477904</v>
      </c>
      <c r="I19" s="0" t="n">
        <f aca="false">I15+I16+I17+I18</f>
        <v>4503.66682259358</v>
      </c>
      <c r="J19" s="0" t="n">
        <f aca="false">J15+J16+J17+J18</f>
        <v>4598.83265668693</v>
      </c>
      <c r="K19" s="0" t="n">
        <f aca="false">K15+K16+K17+K18</f>
        <v>4649.55325880936</v>
      </c>
      <c r="L19" s="0" t="n">
        <f aca="false">L15+L16+L17+L18</f>
        <v>4705.45041071445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3738.96697970642</v>
      </c>
      <c r="D21" s="0" t="n">
        <f aca="false">D19*D20</f>
        <v>2655.04919105622</v>
      </c>
      <c r="E21" s="0" t="n">
        <f aca="false">E19*E20</f>
        <v>1830.55463093371</v>
      </c>
      <c r="F21" s="0" t="n">
        <f aca="false">F19*F20</f>
        <v>1680.90904873958</v>
      </c>
      <c r="G21" s="0" t="n">
        <f aca="false">G19*G20</f>
        <v>1679.82694250947</v>
      </c>
      <c r="H21" s="0" t="n">
        <f aca="false">H19*H20</f>
        <v>2220.57446106275</v>
      </c>
      <c r="I21" s="0" t="n">
        <f aca="false">I19*I20</f>
        <v>2463.65997932338</v>
      </c>
      <c r="J21" s="0" t="n">
        <f aca="false">J19*J20</f>
        <v>2307.9990362491</v>
      </c>
      <c r="K21" s="0" t="n">
        <f aca="false">K19*K20</f>
        <v>2140.78348269637</v>
      </c>
      <c r="L21" s="0" t="n">
        <f aca="false">L19*L20</f>
        <v>1987.63310479754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22705.9568570745</v>
      </c>
    </row>
    <row r="31" customFormat="false" ht="15" hidden="false" customHeight="false" outlineLevel="0" collapsed="false">
      <c r="A31" s="0" t="s">
        <v>134</v>
      </c>
      <c r="B31" s="0" t="n">
        <f aca="false">L19</f>
        <v>4705.45041071445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68565.1345561249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61170.8553392879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61170.8553392879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25839.2303623681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48545.1872194426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49956.1872194426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43.2579305248308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-0.260927207845023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43.2579305248308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36919.6878379134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24.2091197603968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19.63</v>
      </c>
      <c r="D5" s="4" t="n">
        <f aca="false">Assumptions!D41</f>
        <v>8.91</v>
      </c>
      <c r="E5" s="4" t="n">
        <f aca="false">Assumptions!E41</f>
        <v>3.53</v>
      </c>
      <c r="F5" s="4" t="n">
        <f aca="false">Assumptions!F41</f>
        <v>3.21</v>
      </c>
      <c r="G5" s="4" t="n">
        <f aca="false">Assumptions!G41</f>
        <v>4.83</v>
      </c>
      <c r="H5" s="4" t="n">
        <f aca="false">Assumptions!H41</f>
        <v>8.19</v>
      </c>
      <c r="I5" s="4" t="n">
        <f aca="false">Assumptions!I41</f>
        <v>5.13</v>
      </c>
      <c r="J5" s="4" t="n">
        <f aca="false">Assumptions!J41</f>
        <v>3.52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13950</v>
      </c>
      <c r="C6" s="0" t="n">
        <f aca="false">B6*(1+C5/100)</f>
        <v>16688.385</v>
      </c>
      <c r="D6" s="0" t="n">
        <f aca="false">C6*(1+D5/100)</f>
        <v>18175.3201035</v>
      </c>
      <c r="E6" s="0" t="n">
        <f aca="false">D6*(1+E5/100)</f>
        <v>18816.9089031535</v>
      </c>
      <c r="F6" s="0" t="n">
        <f aca="false">E6*(1+F5/100)</f>
        <v>19420.9316789448</v>
      </c>
      <c r="G6" s="0" t="n">
        <f aca="false">F6*(1+G5/100)</f>
        <v>20358.9626790378</v>
      </c>
      <c r="H6" s="0" t="n">
        <f aca="false">G6*(1+H5/100)</f>
        <v>22026.361722451</v>
      </c>
      <c r="I6" s="0" t="n">
        <f aca="false">H6*(1+I5/100)</f>
        <v>23156.3140788127</v>
      </c>
      <c r="J6" s="0" t="n">
        <f aca="false">I6*(1+J5/100)</f>
        <v>23971.4163343869</v>
      </c>
      <c r="K6" s="0" t="n">
        <f aca="false">J6*(1+K5/100)</f>
        <v>24450.8446610747</v>
      </c>
      <c r="L6" s="0" t="n">
        <f aca="false">K6*(1+L5/100)</f>
        <v>24939.8615542962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63.28</v>
      </c>
      <c r="D7" s="4" t="n">
        <f aca="false">Assumptions!D42</f>
        <v>61.66</v>
      </c>
      <c r="E7" s="4" t="n">
        <f aca="false">Assumptions!E42</f>
        <v>60.14</v>
      </c>
      <c r="F7" s="4" t="n">
        <f aca="false">Assumptions!F42</f>
        <v>59.27</v>
      </c>
      <c r="G7" s="4" t="n">
        <f aca="false">Assumptions!G42</f>
        <v>58.7</v>
      </c>
      <c r="H7" s="4" t="n">
        <f aca="false">Assumptions!H42</f>
        <v>60</v>
      </c>
      <c r="I7" s="4" t="n">
        <f aca="false">Assumptions!I42</f>
        <v>60.08</v>
      </c>
      <c r="J7" s="4" t="n">
        <f aca="false">Assumptions!J42</f>
        <v>59.9</v>
      </c>
      <c r="K7" s="4" t="n">
        <f aca="false">Assumptions!K42</f>
        <v>59.68</v>
      </c>
      <c r="L7" s="4" t="n">
        <f aca="false">Assumptions!L42</f>
        <v>59.47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10560.410028</v>
      </c>
      <c r="D8" s="0" t="n">
        <f aca="false">D6*D7/100</f>
        <v>11206.9023758181</v>
      </c>
      <c r="E8" s="0" t="n">
        <f aca="false">E6*E7/100</f>
        <v>11316.4890143565</v>
      </c>
      <c r="F8" s="0" t="n">
        <f aca="false">F6*F7/100</f>
        <v>11510.7862061106</v>
      </c>
      <c r="G8" s="0" t="n">
        <f aca="false">G6*G7/100</f>
        <v>11950.7110925952</v>
      </c>
      <c r="H8" s="0" t="n">
        <f aca="false">H6*H7/100</f>
        <v>13215.8170334706</v>
      </c>
      <c r="I8" s="0" t="n">
        <f aca="false">I6*I7/100</f>
        <v>13912.3134985507</v>
      </c>
      <c r="J8" s="0" t="n">
        <f aca="false">J6*J7/100</f>
        <v>14358.8783842978</v>
      </c>
      <c r="K8" s="0" t="n">
        <f aca="false">K6*K7/100</f>
        <v>14592.2640937294</v>
      </c>
      <c r="L8" s="0" t="n">
        <f aca="false">L6*L7/100</f>
        <v>14831.7356663399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10560.410028</v>
      </c>
      <c r="D11" s="0" t="n">
        <f aca="false">D8+D10+D24</f>
        <v>11206.9023758181</v>
      </c>
      <c r="E11" s="0" t="n">
        <f aca="false">E8+E10+E24</f>
        <v>11316.4890143565</v>
      </c>
      <c r="F11" s="0" t="n">
        <f aca="false">F8+F10+F24</f>
        <v>11510.7862061106</v>
      </c>
      <c r="G11" s="0" t="n">
        <f aca="false">G8+G10+G24</f>
        <v>11950.7110925952</v>
      </c>
      <c r="H11" s="0" t="n">
        <f aca="false">H8+H10+H24</f>
        <v>13215.8170334706</v>
      </c>
      <c r="I11" s="0" t="n">
        <f aca="false">I8+I10+I24</f>
        <v>13912.3134985507</v>
      </c>
      <c r="J11" s="0" t="n">
        <f aca="false">J8+J10+J24</f>
        <v>14358.8783842978</v>
      </c>
      <c r="K11" s="0" t="n">
        <f aca="false">K8+K10+K24</f>
        <v>14592.2640937294</v>
      </c>
      <c r="L11" s="0" t="n">
        <f aca="false">L8+L10+L24</f>
        <v>14831.7356663399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-1949.203368</v>
      </c>
      <c r="D12" s="4" t="n">
        <f aca="false">-D6*Assumptions!D45/100</f>
        <v>-2099.24947195425</v>
      </c>
      <c r="E12" s="4" t="n">
        <f aca="false">-E6*Assumptions!E45/100</f>
        <v>-2299.42626796536</v>
      </c>
      <c r="F12" s="4" t="n">
        <f aca="false">-F6*Assumptions!F45/100</f>
        <v>-2499.47390708019</v>
      </c>
      <c r="G12" s="4" t="n">
        <f aca="false">-G6*Assumptions!G45/100</f>
        <v>-2699.59845124041</v>
      </c>
      <c r="H12" s="4" t="n">
        <f aca="false">-H6*Assumptions!H45/100</f>
        <v>-2949.32983463619</v>
      </c>
      <c r="I12" s="4" t="n">
        <f aca="false">-I6*Assumptions!I45/100</f>
        <v>-3100.63045515303</v>
      </c>
      <c r="J12" s="4" t="n">
        <f aca="false">-J6*Assumptions!J45/100</f>
        <v>-3149.84410633845</v>
      </c>
      <c r="K12" s="4" t="n">
        <f aca="false">-K6*Assumptions!K45/100</f>
        <v>-3200.61556613468</v>
      </c>
      <c r="L12" s="4" t="n">
        <f aca="false">-L6*Assumptions!L45/100</f>
        <v>-3249.66396052479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8611.20666</v>
      </c>
      <c r="D13" s="0" t="n">
        <f aca="false">D11+D12</f>
        <v>9107.65290386385</v>
      </c>
      <c r="E13" s="0" t="n">
        <f aca="false">E11+E12</f>
        <v>9017.06274639118</v>
      </c>
      <c r="F13" s="0" t="n">
        <f aca="false">F11+F12</f>
        <v>9011.31229903038</v>
      </c>
      <c r="G13" s="0" t="n">
        <f aca="false">G11+G12</f>
        <v>9251.11264135478</v>
      </c>
      <c r="H13" s="0" t="n">
        <f aca="false">H11+H12</f>
        <v>10266.4871988344</v>
      </c>
      <c r="I13" s="0" t="n">
        <f aca="false">I11+I12</f>
        <v>10811.6830433977</v>
      </c>
      <c r="J13" s="0" t="n">
        <f aca="false">J11+J12</f>
        <v>11209.0342779593</v>
      </c>
      <c r="K13" s="0" t="n">
        <f aca="false">K11+K12</f>
        <v>11391.6485275947</v>
      </c>
      <c r="L13" s="0" t="n">
        <f aca="false">L11+L12</f>
        <v>11582.0717058151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26</v>
      </c>
      <c r="D14" s="4" t="n">
        <f aca="false">Assumptions!D47</f>
        <v>26</v>
      </c>
      <c r="E14" s="4" t="n">
        <f aca="false">Assumptions!E47</f>
        <v>26</v>
      </c>
      <c r="F14" s="4" t="n">
        <f aca="false">Assumptions!F47</f>
        <v>26</v>
      </c>
      <c r="G14" s="4" t="n">
        <f aca="false">Assumptions!G47</f>
        <v>26</v>
      </c>
      <c r="H14" s="4" t="n">
        <f aca="false">Assumptions!H47</f>
        <v>26</v>
      </c>
      <c r="I14" s="4" t="n">
        <f aca="false">Assumptions!I47</f>
        <v>26</v>
      </c>
      <c r="J14" s="4" t="n">
        <f aca="false">Assumptions!J47</f>
        <v>26</v>
      </c>
      <c r="K14" s="4" t="n">
        <f aca="false">Assumptions!K47</f>
        <v>26</v>
      </c>
      <c r="L14" s="4" t="n">
        <f aca="false">Assumptions!L47</f>
        <v>26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6372.2929284</v>
      </c>
      <c r="D15" s="0" t="n">
        <f aca="false">D13-MAX(0,D13)*D14/100</f>
        <v>6739.66314885925</v>
      </c>
      <c r="E15" s="0" t="n">
        <f aca="false">E13-MAX(0,E13)*E14/100</f>
        <v>6672.62643232947</v>
      </c>
      <c r="F15" s="0" t="n">
        <f aca="false">F13-MAX(0,F13)*F14/100</f>
        <v>6668.37110128248</v>
      </c>
      <c r="G15" s="0" t="n">
        <f aca="false">G13-MAX(0,G13)*G14/100</f>
        <v>6845.82335460254</v>
      </c>
      <c r="H15" s="0" t="n">
        <f aca="false">H13-MAX(0,H13)*H14/100</f>
        <v>7597.20052713747</v>
      </c>
      <c r="I15" s="0" t="n">
        <f aca="false">I13-MAX(0,I13)*I14/100</f>
        <v>8000.64545211428</v>
      </c>
      <c r="J15" s="0" t="n">
        <f aca="false">J13-MAX(0,J13)*J14/100</f>
        <v>8294.68536568991</v>
      </c>
      <c r="K15" s="0" t="n">
        <f aca="false">K13-MAX(0,K13)*K14/100</f>
        <v>8429.81991042008</v>
      </c>
      <c r="L15" s="0" t="n">
        <f aca="false">L13-MAX(0,L13)*L14/100</f>
        <v>8570.73306230321</v>
      </c>
    </row>
    <row r="16" customFormat="false" ht="15" hidden="false" customHeight="false" outlineLevel="0" collapsed="false">
      <c r="A16" s="0" t="s">
        <v>125</v>
      </c>
      <c r="C16" s="0" t="n">
        <f aca="false">-C12</f>
        <v>1949.203368</v>
      </c>
      <c r="D16" s="0" t="n">
        <f aca="false">-D12</f>
        <v>2099.24947195425</v>
      </c>
      <c r="E16" s="0" t="n">
        <f aca="false">-E12</f>
        <v>2299.42626796536</v>
      </c>
      <c r="F16" s="0" t="n">
        <f aca="false">-F12</f>
        <v>2499.47390708019</v>
      </c>
      <c r="G16" s="0" t="n">
        <f aca="false">-G12</f>
        <v>2699.59845124041</v>
      </c>
      <c r="H16" s="0" t="n">
        <f aca="false">-H12</f>
        <v>2949.32983463619</v>
      </c>
      <c r="I16" s="0" t="n">
        <f aca="false">-I12</f>
        <v>3100.63045515303</v>
      </c>
      <c r="J16" s="0" t="n">
        <f aca="false">-J12</f>
        <v>3149.84410633845</v>
      </c>
      <c r="K16" s="0" t="n">
        <f aca="false">-K12</f>
        <v>3200.61556613468</v>
      </c>
      <c r="L16" s="0" t="n">
        <f aca="false">-L12</f>
        <v>3249.66396052479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-4100.3361945</v>
      </c>
      <c r="D17" s="4" t="n">
        <f aca="false">-D6*Assumptions!D46/100</f>
        <v>-4500.2092576266</v>
      </c>
      <c r="E17" s="4" t="n">
        <f aca="false">-E6*Assumptions!E46/100</f>
        <v>-4501.00460963433</v>
      </c>
      <c r="F17" s="4" t="n">
        <f aca="false">-F6*Assumptions!F46/100</f>
        <v>-4200.74752215576</v>
      </c>
      <c r="G17" s="4" t="n">
        <f aca="false">-G6*Assumptions!G46/100</f>
        <v>-3801.01833217636</v>
      </c>
      <c r="H17" s="4" t="n">
        <f aca="false">-H6*Assumptions!H46/100</f>
        <v>-3400.87024994644</v>
      </c>
      <c r="I17" s="4" t="n">
        <f aca="false">-I6*Assumptions!I46/100</f>
        <v>-3200.20260569192</v>
      </c>
      <c r="J17" s="4" t="n">
        <f aca="false">-J6*Assumptions!J46/100</f>
        <v>-3250.52405494287</v>
      </c>
      <c r="K17" s="4" t="n">
        <f aca="false">-K6*Assumptions!K46/100</f>
        <v>-3300.86402924508</v>
      </c>
      <c r="L17" s="4" t="n">
        <f aca="false">-L6*Assumptions!L46/100</f>
        <v>-3349.42340674198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4221.1601019</v>
      </c>
      <c r="D19" s="0" t="n">
        <f aca="false">D15+D16+D17+D18</f>
        <v>4338.7033631869</v>
      </c>
      <c r="E19" s="0" t="n">
        <f aca="false">E15+E16+E17+E18</f>
        <v>4471.04809066051</v>
      </c>
      <c r="F19" s="0" t="n">
        <f aca="false">F15+F16+F17+F18</f>
        <v>4967.09748620692</v>
      </c>
      <c r="G19" s="0" t="n">
        <f aca="false">G15+G16+G17+G18</f>
        <v>5744.40347366659</v>
      </c>
      <c r="H19" s="0" t="n">
        <f aca="false">H15+H16+H17+H18</f>
        <v>7145.66011182722</v>
      </c>
      <c r="I19" s="0" t="n">
        <f aca="false">I15+I16+I17+I18</f>
        <v>7901.07330157538</v>
      </c>
      <c r="J19" s="0" t="n">
        <f aca="false">J15+J16+J17+J18</f>
        <v>8194.00541708548</v>
      </c>
      <c r="K19" s="0" t="n">
        <f aca="false">K15+K16+K17+K18</f>
        <v>8329.57144730967</v>
      </c>
      <c r="L19" s="0" t="n">
        <f aca="false">L15+L16+L17+L18</f>
        <v>8470.97361608603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3872.62394669725</v>
      </c>
      <c r="D21" s="0" t="n">
        <f aca="false">D19*D20</f>
        <v>3651.79981751275</v>
      </c>
      <c r="E21" s="0" t="n">
        <f aca="false">E19*E20</f>
        <v>3452.46947416661</v>
      </c>
      <c r="F21" s="0" t="n">
        <f aca="false">F19*F20</f>
        <v>3518.81708504754</v>
      </c>
      <c r="G21" s="0" t="n">
        <f aca="false">G19*G20</f>
        <v>3733.46811309716</v>
      </c>
      <c r="H21" s="0" t="n">
        <f aca="false">H19*H20</f>
        <v>4260.72365366666</v>
      </c>
      <c r="I21" s="0" t="n">
        <f aca="false">I19*I20</f>
        <v>4322.15766697898</v>
      </c>
      <c r="J21" s="0" t="n">
        <f aca="false">J19*J20</f>
        <v>4112.2950142912</v>
      </c>
      <c r="K21" s="0" t="n">
        <f aca="false">K19*K20</f>
        <v>3835.16608580717</v>
      </c>
      <c r="L21" s="0" t="n">
        <f aca="false">L19*L20</f>
        <v>3578.23080036299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38337.7516576283</v>
      </c>
    </row>
    <row r="31" customFormat="false" ht="15" hidden="false" customHeight="false" outlineLevel="0" collapsed="false">
      <c r="A31" s="0" t="s">
        <v>134</v>
      </c>
      <c r="B31" s="0" t="n">
        <f aca="false">L19</f>
        <v>8470.97361608603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123434.186977254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110122.657009118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110122.657009118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46517.0004047189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84854.7520623472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86265.7520623472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74.6990136175355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0.276251727618922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74.6990136175355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66464.5622185211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40.375035245187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14.259525478322</v>
      </c>
      <c r="C4" s="0" t="n">
        <f aca="false">B4/Assumptions!$B$2-1</f>
        <v>-0.756372364969726</v>
      </c>
      <c r="D4" s="4" t="n">
        <f aca="false">Assumptions!$B$24</f>
        <v>0.25</v>
      </c>
      <c r="E4" s="4" t="n">
        <f aca="false">DCF_Bear!$B$43</f>
        <v>14.259525478322</v>
      </c>
      <c r="F4" s="4" t="n">
        <f aca="false">DCF_Bear!$B$47</f>
        <v>9.54074594327963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43.2579305248308</v>
      </c>
      <c r="C5" s="0" t="n">
        <f aca="false">B5/Assumptions!$B$2-1</f>
        <v>-0.260927207845023</v>
      </c>
      <c r="D5" s="4" t="n">
        <f aca="false">Assumptions!$B$38</f>
        <v>0.5</v>
      </c>
      <c r="E5" s="4" t="n">
        <f aca="false">DCF_Base!$B$43</f>
        <v>43.2579305248308</v>
      </c>
      <c r="F5" s="4" t="n">
        <f aca="false">DCF_Base!$B$47</f>
        <v>24.2091197603968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74.6990136175355</v>
      </c>
      <c r="C6" s="0" t="n">
        <f aca="false">B6/Assumptions!$B$2-1</f>
        <v>0.276251727618922</v>
      </c>
      <c r="D6" s="4" t="n">
        <f aca="false">Assumptions!$B$52</f>
        <v>0.25</v>
      </c>
      <c r="E6" s="4" t="n">
        <f aca="false">DCF_Bull!$B$43</f>
        <v>74.6990136175355</v>
      </c>
      <c r="F6" s="4" t="n">
        <f aca="false">DCF_Bull!$B$47</f>
        <v>40.375035245187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43.8686000363798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43.8686000363798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-0.334211712966944</v>
      </c>
    </row>
    <row r="11" customFormat="false" ht="15" hidden="false" customHeight="false" outlineLevel="0" collapsed="false">
      <c r="A11" s="0" t="s">
        <v>161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24.5835051773151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43.2579305248308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40.0094200864989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35.4031782011475</v>
      </c>
      <c r="C17" s="3" t="n">
        <v>11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31.738279973594</v>
      </c>
      <c r="C18" s="3" t="n">
        <v>12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24.2091197603968</v>
      </c>
      <c r="C19" s="3" t="n">
        <v>15</v>
      </c>
    </row>
    <row r="21" customFormat="false" ht="15" hidden="false" customHeight="false" outlineLevel="0" collapsed="false">
      <c r="A21" s="2" t="s">
        <v>170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49.8276174284264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49.8276174284264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49.8276174284264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49.8276174284264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49.8276174284264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46.3895194799499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46.3895194799499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46.3895194799499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46.3895194799499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46.3895194799499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42.6125082592777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43.2579305248308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43.2579305248308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43.2579305248308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43.2579305248308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37.6094214648547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38.7388325809226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40.0094200864989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40.4021471336771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40.4021471336771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33.6333613062123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34.4716956248659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35.4031782011475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36.4442469628741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37.6154493198165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2026-10-10T06:23:38Z</dcterms:created>
  <dc:creator>openpyxl</dc:creator>
  <dc:description/>
  <dc:language>en-NZ</dc:language>
  <cp:lastModifiedBy/>
  <dcterms:modified xsi:type="dcterms:W3CDTF">2026-10-10T06:23:38Z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