
<file path=[Content_Types].xml><?xml version="1.0" encoding="utf-8"?>
<Types xmlns="http://schemas.openxmlformats.org/package/2006/content-types">
  <Default Extension="fntdata" ContentType="application/x-fontdata"/>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xl/sharedStrings.xml" ContentType="application/vnd.openxmlformats-officedocument.spreadsheetml.sharedString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5.xml" ContentType="application/vnd.openxmlformats-officedocument.spreadsheetml.worksheet+xml"/>
  <Override PartName="/xl/worksheets/sheet3.xml" ContentType="application/vnd.openxmlformats-officedocument.spreadsheetml.worksheet+xml"/>
  <Override PartName="/xl/worksheets/sheet6.xml" ContentType="application/vnd.openxmlformats-officedocument.spreadsheetml.worksheet+xml"/>
  <Override PartName="/xl/worksheets/sheet4.xml" ContentType="application/vnd.openxmlformats-officedocument.spreadsheetml.worksheet+xml"/>
  <Override PartName="/xl/worksheets/sheet7.xml" ContentType="application/vnd.openxmlformats-officedocument.spreadsheetml.worksheet+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fileVersion appName="Calc"/>
  <workbookPr backupFile="false" showObjects="all" date1904="false"/>
  <workbookProtection/>
  <bookViews>
    <workbookView showHorizontalScroll="true" showVerticalScroll="true" showSheetTabs="true" xWindow="0" yWindow="0" windowWidth="16384" windowHeight="8192" tabRatio="600" firstSheet="0" activeTab="0"/>
  </bookViews>
  <sheets>
    <sheet name="Model_Info" sheetId="1" state="visible" r:id="rId3"/>
    <sheet name="Actuals" sheetId="2" state="visible" r:id="rId4"/>
    <sheet name="Assumptions" sheetId="3" state="visible" r:id="rId5"/>
    <sheet name="DCF_Bear" sheetId="4" state="visible" r:id="rId6"/>
    <sheet name="DCF_Base" sheetId="5" state="visible" r:id="rId7"/>
    <sheet name="DCF_Bull" sheetId="6" state="visible" r:id="rId8"/>
    <sheet name="Valuation" sheetId="7" state="visible" r:id="rId9"/>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<sst xmlns="http://schemas.openxmlformats.org/spreadsheetml/2006/main" count="380" uniqueCount="171">
  <si>
    <t xml:space="preserve">Ticker</t>
  </si>
  <si>
    <t xml:space="preserve">ETN</t>
  </si>
  <si>
    <t xml:space="preserve">Company</t>
  </si>
  <si>
    <t xml:space="preserve">Eaton Corporation plc</t>
  </si>
  <si>
    <t xml:space="preserve">Valuation date</t>
  </si>
  <si>
    <t xml:space="preserve">2026-09-28</t>
  </si>
  <si>
    <t xml:space="preserve">Current price</t>
  </si>
  <si>
    <t xml:space="preserve">Price as of</t>
  </si>
  <si>
    <t xml:space="preserve">2026-09-25T20:00:03Z regular close (Friday); valuation dated Monday 2026-09-28 before the open</t>
  </si>
  <si>
    <t xml:space="preserve">Balance sheet date</t>
  </si>
  <si>
    <t xml:space="preserve">2026-06-30</t>
  </si>
  <si>
    <t xml:space="preserve">Model</t>
  </si>
  <si>
    <t xml:space="preserve">owner_fcf_dcf_component</t>
  </si>
  <si>
    <t xml:space="preserve">Currency (model)</t>
  </si>
  <si>
    <t xml:space="preserve">USD</t>
  </si>
  <si>
    <t xml:space="preserve">Currency (quote)</t>
  </si>
  <si>
    <t xml:space="preserve">Units</t>
  </si>
  <si>
    <t xml:space="preserve">millions</t>
  </si>
  <si>
    <t xml:space="preserve">Engine</t>
  </si>
  <si>
    <t xml:space="preserve">dcf_engine v1</t>
  </si>
  <si>
    <t xml:space="preserve">Built at</t>
  </si>
  <si>
    <t xml:space="preserve">2026-09-28T07:52:31Z</t>
  </si>
  <si>
    <t xml:space="preserve">Drivers file</t>
  </si>
  <si>
    <t xml:space="preserve">ETN_Drivers.json</t>
  </si>
  <si>
    <t xml:space="preserve">Convention</t>
  </si>
  <si>
    <t xml:space="preserve">Percents stored as percents; formulas divide by 100. Blue = input, green = link, black = formula.</t>
  </si>
  <si>
    <t xml:space="preserve">Methodology</t>
  </si>
  <si>
    <t xml:space="preserve">summary: House owner-FCF DCF on consolidated Eaton, SBC expensed (immaterial here at ~0.65% of revenue), interest income not stripped because the company is a large net borrower, 9% USD WACC held constant across scenarios with risk carried in the flows and the weights. The key finding is the gap between what the flows support and what the price pays: at ~US$440 the market is capitalising owner FCF of ~US$3.4bn (FY2025) at ~55x EV/FCF and ~44x trailing earnings, which a 10-year explicit build with 20% first-year growth and a Gordon terminal at 9%/3% cannot reach without assuming either a sub-7% discount rate or a terminal multiple above the 20x cap. The valuation should be read as 'what does the price already assume', and the required-return table is the more useful output than the point estimate. The pending Mobility/Dana Reverse Morris Trust (expected close by end-Q1 2027) is deliberately left inside the consolidated flows: it is a distribution in kind (&gt;=50.1% of combined Dana to Eaton holders plus ~US$1.1bn cash to Eaton), so it moves value between pockets rather than creating or destroying it for the present shareholder; after it closes this model should be rebuilt on a continuing-operations (Electrical + Aerospace) base with the retained Dana stake and the cash in the equity bridge, and the pure-play margin uplift taken only then.
key_risks_to_valuation: Data-centre capex cycle: the fastest-growing ~15-20% of revenue and most of the multiple depend on hyperscale/colocation spending continuing; a 2027-28 digestion is the bear case and is weighted 25%; Acquisition returns: US$11bn deployed in Q1 2026 (Boyd Thermal ~22.5x EBITDA, Ultra PCS) at low first-year cash returns; net debt ~US$19.9bn, buybacks paused; Terminal assumptions dominate: with 20% year-1 growth decelerating over 10 years, most of the value sits in the terminal; each 1pp of WACC or 0.5pp of terminal growth moves the base value materially (see sensitivity grid); Mobility/Dana RMT: regulatory and shareholder approvals through Q1 2027; the model neither credits the US$250m synergies nor charges separation dis-synergies or stranded corporate cost; Margin path assumes M&amp;A and restructuring charges (~1pp of revenue in FY2025) continue; the street's adjusted-EPS basis excludes them and reads ~1pp higher; Tariffs, copper and component inflation are only partly passed through; Pillar Two could lift the ~17% Irish-domiciled tax rate faster than the 19% terminal assumed</t>
  </si>
  <si>
    <t xml:space="preserve">Data sources</t>
  </si>
  <si>
    <t xml:space="preserve">price: Yahoo Finance chart API at inputs.price_as_of; 52-week range 311.92-478.00
financials: SEC XBRL companyfacts (CIK 1551182) via ETN_Metrics.csv / ETN.duckdb for FY2010-Q2 2026; FY2025 10-K (filed 2026-02-26) Note 14 for equity-based compensation, segment table for segment operating profit and intangible amortisation, Note on leases; FY2022 10-K Note 14 for FY2020-22 SBC; Q2 2026 10-Q (period 2026-06-30) for debt, cash, short-term investments, NCI and diluted shares
qualitative: ETN_Analysis.json (2026-09-28): Q2 2026 results and raised FY2026 guidance, Boyd Thermal and Ultra PCS acquisitions, Dana Mobility Group Reverse Morris Trust, data-centre backlog commentary</t>
  </si>
  <si>
    <t xml:space="preserve">Scenario narrative: bear</t>
  </si>
  <si>
    <t xml:space="preserve">See assumptions.bear.narrative: 2027-28 hyperscale digestion, under-absorbed capacity, Boyd multiple not earned, RMT slips, margin troughs at 20.5%, cyclical 18x cap.</t>
  </si>
  <si>
    <t xml:space="preserve">Scenario narrative: base</t>
  </si>
  <si>
    <t xml:space="preserve">Eaton executes its 2026 guide (11-13% organic, adjusted EPS US$13.40-13.60) and the acquired businesses annualise, taking FY2026 revenue to ~US$32.8bn. Data-centre backlog converts steadily rather than in a rush, so growth steps down from ~20% to high-single digits by 2028 and to GDP-plus by year 10. Pre-SBC EBITDA margin recovers from the deal-cost-laden 23.0% to 24.5% as Electrical mix and Boyd/Fibrebond synergies come through, but not further, because acquisition and restructuring charges recur for a serial acquirer. Capex stays at 3.5% while capacity is built, then 3.4%. The Mobility Group remains in the consolidated flows; the Dana RMT is treated as an in-kind distribution that neither adds nor removes value for today's holder.</t>
  </si>
  <si>
    <t xml:space="preserve">Scenario narrative: bull</t>
  </si>
  <si>
    <t xml:space="preserve">See assumptions.bull.narrative: sustained AI capex through 2029, faster backlog conversion, Boyd wins the thermal transitions, margin to 26.5%, RMT synergies realised.</t>
  </si>
  <si>
    <t xml:space="preserve">Period</t>
  </si>
  <si>
    <t xml:space="preserve">Revenue</t>
  </si>
  <si>
    <t xml:space="preserve">CostOfRevenue</t>
  </si>
  <si>
    <t xml:space="preserve">GrossProfit</t>
  </si>
  <si>
    <t xml:space="preserve">GrossMargin</t>
  </si>
  <si>
    <t xml:space="preserve">OperatingIncome</t>
  </si>
  <si>
    <t xml:space="preserve">OperatingMargin</t>
  </si>
  <si>
    <t xml:space="preserve">EBITDA</t>
  </si>
  <si>
    <t xml:space="preserve">NetIncome</t>
  </si>
  <si>
    <t xml:space="preserve">NetMargin</t>
  </si>
  <si>
    <t xml:space="preserve">EPS</t>
  </si>
  <si>
    <t xml:space="preserve">OperatingCashFlow</t>
  </si>
  <si>
    <t xml:space="preserve">CapEx</t>
  </si>
  <si>
    <t xml:space="preserve">FreeCashFlow</t>
  </si>
  <si>
    <t xml:space="preserve">ShareholdersEquity</t>
  </si>
  <si>
    <t xml:space="preserve">TotalAssets</t>
  </si>
  <si>
    <t xml:space="preserve">TotalLiabilities</t>
  </si>
  <si>
    <t xml:space="preserve">TotalDebt</t>
  </si>
  <si>
    <t xml:space="preserve">CashAndEquivalents</t>
  </si>
  <si>
    <t xml:space="preserve">SharesOutstanding</t>
  </si>
  <si>
    <t xml:space="preserve">StockBasedComp</t>
  </si>
  <si>
    <t xml:space="preserve">DividendPerShare</t>
  </si>
  <si>
    <t xml:space="preserve">EBITDABeforeSignificant</t>
  </si>
  <si>
    <t xml:space="preserve">RevenueContinuing</t>
  </si>
  <si>
    <t xml:space="preserve">EBITDAContinuingBeforeSignificant</t>
  </si>
  <si>
    <t xml:space="preserve">EBITContinuingBeforeSignificant</t>
  </si>
  <si>
    <t xml:space="preserve">Currency</t>
  </si>
  <si>
    <t xml:space="preserve">FY2009</t>
  </si>
  <si>
    <t xml:space="preserve">FY2010</t>
  </si>
  <si>
    <t xml:space="preserve">FY2011</t>
  </si>
  <si>
    <t xml:space="preserve">FY2012</t>
  </si>
  <si>
    <t xml:space="preserve">FY2013</t>
  </si>
  <si>
    <t xml:space="preserve">FY2014</t>
  </si>
  <si>
    <t xml:space="preserve">FY2015</t>
  </si>
  <si>
    <t xml:space="preserve">FY2016</t>
  </si>
  <si>
    <t xml:space="preserve">FY2017</t>
  </si>
  <si>
    <t xml:space="preserve">FY2018</t>
  </si>
  <si>
    <t xml:space="preserve">FY2019</t>
  </si>
  <si>
    <t xml:space="preserve">FY2020</t>
  </si>
  <si>
    <t xml:space="preserve">FY2021</t>
  </si>
  <si>
    <t xml:space="preserve">FY2022</t>
  </si>
  <si>
    <t xml:space="preserve">FY2023</t>
  </si>
  <si>
    <t xml:space="preserve">FY2024</t>
  </si>
  <si>
    <t xml:space="preserve">FY2025</t>
  </si>
  <si>
    <t xml:space="preserve">Input</t>
  </si>
  <si>
    <t xml:space="preserve">Value</t>
  </si>
  <si>
    <t xml:space="preserve">Current price (quote currency)</t>
  </si>
  <si>
    <t xml:space="preserve">Shares, final projected (m)</t>
  </si>
  <si>
    <t xml:space="preserve">Net debt (m, model currency)</t>
  </si>
  <si>
    <t xml:space="preserve">Equity bridge total (m, + adds)</t>
  </si>
  <si>
    <t xml:space="preserve">Hurdle rate (%)</t>
  </si>
  <si>
    <t xml:space="preserve">Base revenue FY0 (m)</t>
  </si>
  <si>
    <t xml:space="preserve">FY0</t>
  </si>
  <si>
    <t xml:space="preserve">Currency / units</t>
  </si>
  <si>
    <t xml:space="preserve">USD millions</t>
  </si>
  <si>
    <t xml:space="preserve">FX rate (model -&gt; quote)</t>
  </si>
  <si>
    <t xml:space="preserve">BEAR</t>
  </si>
  <si>
    <t xml:space="preserve">FY2026</t>
  </si>
  <si>
    <t xml:space="preserve">FY2027</t>
  </si>
  <si>
    <t xml:space="preserve">FY2028</t>
  </si>
  <si>
    <t xml:space="preserve">FY2029</t>
  </si>
  <si>
    <t xml:space="preserve">FY2030</t>
  </si>
  <si>
    <t xml:space="preserve">FY2031</t>
  </si>
  <si>
    <t xml:space="preserve">FY2032</t>
  </si>
  <si>
    <t xml:space="preserve">FY2033</t>
  </si>
  <si>
    <t xml:space="preserve">FY2034</t>
  </si>
  <si>
    <t xml:space="preserve">FY2035</t>
  </si>
  <si>
    <t xml:space="preserve">Revenue growth (%)</t>
  </si>
  <si>
    <t xml:space="preserve">EBITDA margin (%)</t>
  </si>
  <si>
    <t xml:space="preserve">SBC (% of revenue)</t>
  </si>
  <si>
    <t xml:space="preserve">Lease cost (% of revenue)</t>
  </si>
  <si>
    <t xml:space="preserve">D&amp;A (% of revenue)</t>
  </si>
  <si>
    <t xml:space="preserve">Capex (% of revenue)</t>
  </si>
  <si>
    <t xml:space="preserve">Cash tax rate (%)</t>
  </si>
  <si>
    <t xml:space="preserve">WACC (%)</t>
  </si>
  <si>
    <t xml:space="preserve">Terminal growth (%)</t>
  </si>
  <si>
    <t xml:space="preserve">Terminal cap multiple (x FCF)</t>
  </si>
  <si>
    <t xml:space="preserve">Working-capital capture (% of revenue change)</t>
  </si>
  <si>
    <t xml:space="preserve">Scenario weight</t>
  </si>
  <si>
    <t xml:space="preserve">BASE</t>
  </si>
  <si>
    <t xml:space="preserve">BULL</t>
  </si>
  <si>
    <t xml:space="preserve">ETN owner-FCF component DCF: bear case (millions, USD)</t>
  </si>
  <si>
    <t xml:space="preserve">Line</t>
  </si>
  <si>
    <t xml:space="preserve">Year index (discount exponent)</t>
  </si>
  <si>
    <t xml:space="preserve">SBC charge</t>
  </si>
  <si>
    <t xml:space="preserve">Owner EBITDA (after SBC and leases)</t>
  </si>
  <si>
    <t xml:space="preserve">D&amp;A</t>
  </si>
  <si>
    <t xml:space="preserve">EBIT</t>
  </si>
  <si>
    <t xml:space="preserve">NOPAT</t>
  </si>
  <si>
    <t xml:space="preserve">D&amp;A add-back</t>
  </si>
  <si>
    <t xml:space="preserve">Capex</t>
  </si>
  <si>
    <t xml:space="preserve">Working capital</t>
  </si>
  <si>
    <t xml:space="preserve">Unlevered owner FCF</t>
  </si>
  <si>
    <t xml:space="preserve">Discount factor</t>
  </si>
  <si>
    <t xml:space="preserve">PV of FCF</t>
  </si>
  <si>
    <t xml:space="preserve">Lease cost</t>
  </si>
  <si>
    <t xml:space="preserve">Valuation</t>
  </si>
  <si>
    <t xml:space="preserve">Sum of PV of FCF</t>
  </si>
  <si>
    <t xml:space="preserve">Terminal-year FCF</t>
  </si>
  <si>
    <t xml:space="preserve">Gordon terminal value</t>
  </si>
  <si>
    <t xml:space="preserve">Cap terminal value</t>
  </si>
  <si>
    <t xml:space="preserve">Terminal value used: MAX(0,MIN(Gordon,cap))</t>
  </si>
  <si>
    <t xml:space="preserve">PV of terminal value</t>
  </si>
  <si>
    <t xml:space="preserve">Enterprise value</t>
  </si>
  <si>
    <t xml:space="preserve">Equity value (EV + bridge - net debt)</t>
  </si>
  <si>
    <t xml:space="preserve">Value per share (quote currency)</t>
  </si>
  <si>
    <t xml:space="preserve">Upside vs price</t>
  </si>
  <si>
    <t xml:space="preserve">Street memo: PV of explicit-period SBC</t>
  </si>
  <si>
    <t xml:space="preserve">Street memo: PV of terminal SBC (Gordon)</t>
  </si>
  <si>
    <t xml:space="preserve">Street value per share</t>
  </si>
  <si>
    <t xml:space="preserve">Terminal value at hurdle: MAX(0,MIN(Gordon@hurdle,cap))</t>
  </si>
  <si>
    <t xml:space="preserve">Hurdle entry price (quote currency)</t>
  </si>
  <si>
    <t xml:space="preserve">ETN owner-FCF component DCF: base case (millions, USD)</t>
  </si>
  <si>
    <t xml:space="preserve">ETN owner-FCF component DCF: bull case (millions, USD)</t>
  </si>
  <si>
    <t xml:space="preserve">ETN valuation summary</t>
  </si>
  <si>
    <t xml:space="preserve">Scenario</t>
  </si>
  <si>
    <t xml:space="preserve">Value per share</t>
  </si>
  <si>
    <t xml:space="preserve">Weight</t>
  </si>
  <si>
    <t xml:space="preserve">Hurdle entry price</t>
  </si>
  <si>
    <t xml:space="preserve">Bear</t>
  </si>
  <si>
    <t xml:space="preserve">Base</t>
  </si>
  <si>
    <t xml:space="preserve">Bull</t>
  </si>
  <si>
    <t xml:space="preserve">Probability-weighted value per share</t>
  </si>
  <si>
    <t xml:space="preserve">Street weighted value per share</t>
  </si>
  <si>
    <t xml:space="preserve">Margin of safety (1 - price/weighted)</t>
  </si>
  <si>
    <t xml:space="preserve">Band position (%; 0 = house, 100 = street)</t>
  </si>
  <si>
    <t xml:space="preserve">Weighted 15% hurdle entry price</t>
  </si>
  <si>
    <t xml:space="preserve">Required-return table (base case; each row rebuilds its own terminal value)</t>
  </si>
  <si>
    <t xml:space="preserve">Rate (%)</t>
  </si>
  <si>
    <t xml:space="preserve">Value per share at 9% (WACC)</t>
  </si>
  <si>
    <t xml:space="preserve">Value per share at 10%</t>
  </si>
  <si>
    <t xml:space="preserve">Value per share at 11%</t>
  </si>
  <si>
    <t xml:space="preserve">Value per share at 12%</t>
  </si>
  <si>
    <t xml:space="preserve">Value per share at 15%</t>
  </si>
  <si>
    <t xml:space="preserve">Sensitivity: value per share, rows WACC (%) x columns terminal growth (%)</t>
  </si>
</sst>
</file>

<file path=xl/styles.xml><?xml version="1.0" encoding="utf-8"?>
<styleSheet xmlns="http://schemas.openxmlformats.org/spreadsheetml/2006/main">
  <numFmts count="1">
    <numFmt numFmtId="164" formatCode="General"/>
  </numFmts>
  <fonts count="7">
    <font>
      <sz val="11"/>
      <color theme="1"/>
      <name val="Calibri"/>
      <family val="2"/>
      <charset val="1"/>
    </font>
    <font>
      <sz val="10"/>
      <name val="Arial"/>
      <family val="0"/>
    </font>
    <font>
      <sz val="10"/>
      <name val="Arial"/>
      <family val="0"/>
    </font>
    <font>
      <sz val="10"/>
      <name val="Arial"/>
      <family val="0"/>
    </font>
    <font>
      <b val="true"/>
      <sz val="11"/>
      <name val="Cambria"/>
      <family val="0"/>
      <charset val="1"/>
    </font>
    <font>
      <sz val="11"/>
      <color rgb="FF0000FF"/>
      <name val="Cambria"/>
      <family val="0"/>
      <charset val="1"/>
    </font>
    <font>
      <sz val="11"/>
      <color rgb="FF008000"/>
      <name val="Cambria"/>
      <family val="0"/>
      <charset val="1"/>
    </font>
  </fonts>
  <fills count="2">
    <fill>
      <patternFill patternType="none"/>
    </fill>
    <fill>
      <patternFill patternType="gray125"/>
    </fill>
  </fills>
  <borders count="1">
    <border diagonalUp="false" diagonalDown="false">
      <left/>
      <right/>
      <top/>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5">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true" applyBorder="false" applyAlignment="true" applyProtection="false">
      <alignment horizontal="general" vertical="bottom" textRotation="0" wrapText="true" indent="0" shrinkToFit="false"/>
      <protection locked="true" hidden="false"/>
    </xf>
    <xf numFmtId="164" fontId="4" fillId="0" borderId="0" xfId="0" applyFont="true" applyBorder="false" applyAlignment="false" applyProtection="false">
      <alignment horizontal="general" vertical="bottom" textRotation="0" wrapText="false" indent="0" shrinkToFit="false"/>
      <protection locked="true" hidden="false"/>
    </xf>
    <xf numFmtId="164" fontId="5" fillId="0" borderId="0" xfId="0" applyFont="true" applyBorder="false" applyAlignment="false" applyProtection="false">
      <alignment horizontal="general" vertical="bottom" textRotation="0" wrapText="false" indent="0" shrinkToFit="false"/>
      <protection locked="true" hidden="false"/>
    </xf>
    <xf numFmtId="164" fontId="6" fillId="0" borderId="0" xfId="0" applyFont="true" applyBorder="false" applyAlignment="fals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19"/>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0" width="26"/>
    <col collapsed="false" customWidth="true" hidden="false" outlineLevel="0" max="2" min="2" style="0" width="100"/>
  </cols>
  <sheetData>
    <row r="1" customFormat="false" ht="15" hidden="false" customHeight="false" outlineLevel="0" collapsed="false">
      <c r="A1" s="0" t="s">
        <v>0</v>
      </c>
      <c r="B1" s="0" t="s">
        <v>1</v>
      </c>
    </row>
    <row r="2" customFormat="false" ht="15" hidden="false" customHeight="false" outlineLevel="0" collapsed="false">
      <c r="A2" s="0" t="s">
        <v>2</v>
      </c>
      <c r="B2" s="0" t="s">
        <v>3</v>
      </c>
    </row>
    <row r="3" customFormat="false" ht="15" hidden="false" customHeight="false" outlineLevel="0" collapsed="false">
      <c r="A3" s="0" t="s">
        <v>4</v>
      </c>
      <c r="B3" s="0" t="s">
        <v>5</v>
      </c>
    </row>
    <row r="4" customFormat="false" ht="15" hidden="false" customHeight="false" outlineLevel="0" collapsed="false">
      <c r="A4" s="0" t="s">
        <v>6</v>
      </c>
      <c r="B4" s="0" t="n">
        <v>439.98</v>
      </c>
    </row>
    <row r="5" customFormat="false" ht="15" hidden="false" customHeight="false" outlineLevel="0" collapsed="false">
      <c r="A5" s="0" t="s">
        <v>7</v>
      </c>
      <c r="B5" s="0" t="s">
        <v>8</v>
      </c>
    </row>
    <row r="6" customFormat="false" ht="15" hidden="false" customHeight="false" outlineLevel="0" collapsed="false">
      <c r="A6" s="0" t="s">
        <v>9</v>
      </c>
      <c r="B6" s="0" t="s">
        <v>10</v>
      </c>
    </row>
    <row r="7" customFormat="false" ht="15" hidden="false" customHeight="false" outlineLevel="0" collapsed="false">
      <c r="A7" s="0" t="s">
        <v>11</v>
      </c>
      <c r="B7" s="0" t="s">
        <v>12</v>
      </c>
    </row>
    <row r="8" customFormat="false" ht="15" hidden="false" customHeight="false" outlineLevel="0" collapsed="false">
      <c r="A8" s="0" t="s">
        <v>13</v>
      </c>
      <c r="B8" s="0" t="s">
        <v>14</v>
      </c>
    </row>
    <row r="9" customFormat="false" ht="15" hidden="false" customHeight="false" outlineLevel="0" collapsed="false">
      <c r="A9" s="0" t="s">
        <v>15</v>
      </c>
      <c r="B9" s="0" t="s">
        <v>14</v>
      </c>
    </row>
    <row r="10" customFormat="false" ht="15" hidden="false" customHeight="false" outlineLevel="0" collapsed="false">
      <c r="A10" s="0" t="s">
        <v>16</v>
      </c>
      <c r="B10" s="0" t="s">
        <v>17</v>
      </c>
    </row>
    <row r="11" customFormat="false" ht="15" hidden="false" customHeight="false" outlineLevel="0" collapsed="false">
      <c r="A11" s="0" t="s">
        <v>18</v>
      </c>
      <c r="B11" s="0" t="s">
        <v>19</v>
      </c>
    </row>
    <row r="12" customFormat="false" ht="15" hidden="false" customHeight="false" outlineLevel="0" collapsed="false">
      <c r="A12" s="0" t="s">
        <v>20</v>
      </c>
      <c r="B12" s="0" t="s">
        <v>21</v>
      </c>
    </row>
    <row r="13" customFormat="false" ht="15" hidden="false" customHeight="false" outlineLevel="0" collapsed="false">
      <c r="A13" s="0" t="s">
        <v>22</v>
      </c>
      <c r="B13" s="0" t="s">
        <v>23</v>
      </c>
    </row>
    <row r="14" customFormat="false" ht="15" hidden="false" customHeight="false" outlineLevel="0" collapsed="false">
      <c r="A14" s="0" t="s">
        <v>24</v>
      </c>
      <c r="B14" s="0" t="s">
        <v>25</v>
      </c>
    </row>
    <row r="15" customFormat="false" ht="23.85" hidden="false" customHeight="false" outlineLevel="0" collapsed="false">
      <c r="A15" s="0" t="s">
        <v>26</v>
      </c>
      <c r="B15" s="1" t="s">
        <v>27</v>
      </c>
    </row>
    <row r="16" customFormat="false" ht="35.05" hidden="false" customHeight="false" outlineLevel="0" collapsed="false">
      <c r="A16" s="0" t="s">
        <v>28</v>
      </c>
      <c r="B16" s="1" t="s">
        <v>29</v>
      </c>
    </row>
    <row r="17" customFormat="false" ht="15" hidden="false" customHeight="false" outlineLevel="0" collapsed="false">
      <c r="A17" s="0" t="s">
        <v>30</v>
      </c>
      <c r="B17" s="0" t="s">
        <v>31</v>
      </c>
    </row>
    <row r="18" customFormat="false" ht="15" hidden="false" customHeight="false" outlineLevel="0" collapsed="false">
      <c r="A18" s="0" t="s">
        <v>32</v>
      </c>
      <c r="B18" s="0" t="s">
        <v>33</v>
      </c>
    </row>
    <row r="19" customFormat="false" ht="15" hidden="false" customHeight="false" outlineLevel="0" collapsed="false">
      <c r="A19" s="0" t="s">
        <v>34</v>
      </c>
      <c r="B19" s="0" t="s">
        <v>35</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B18"/>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sheetData>
    <row r="1" customFormat="false" ht="15" hidden="false" customHeight="false" outlineLevel="0" collapsed="false">
      <c r="A1" s="2" t="s">
        <v>36</v>
      </c>
      <c r="B1" s="2" t="s">
        <v>37</v>
      </c>
      <c r="C1" s="2" t="s">
        <v>38</v>
      </c>
      <c r="D1" s="2" t="s">
        <v>39</v>
      </c>
      <c r="E1" s="2" t="s">
        <v>40</v>
      </c>
      <c r="F1" s="2" t="s">
        <v>41</v>
      </c>
      <c r="G1" s="2" t="s">
        <v>42</v>
      </c>
      <c r="H1" s="2" t="s">
        <v>43</v>
      </c>
      <c r="I1" s="2" t="s">
        <v>44</v>
      </c>
      <c r="J1" s="2" t="s">
        <v>45</v>
      </c>
      <c r="K1" s="2" t="s">
        <v>46</v>
      </c>
      <c r="L1" s="2" t="s">
        <v>47</v>
      </c>
      <c r="M1" s="2" t="s">
        <v>48</v>
      </c>
      <c r="N1" s="2" t="s">
        <v>49</v>
      </c>
      <c r="O1" s="2" t="s">
        <v>50</v>
      </c>
      <c r="P1" s="2" t="s">
        <v>51</v>
      </c>
      <c r="Q1" s="2" t="s">
        <v>52</v>
      </c>
      <c r="R1" s="2" t="s">
        <v>53</v>
      </c>
      <c r="S1" s="2" t="s">
        <v>54</v>
      </c>
      <c r="T1" s="2" t="s">
        <v>55</v>
      </c>
      <c r="U1" s="2" t="s">
        <v>56</v>
      </c>
      <c r="V1" s="2" t="s">
        <v>57</v>
      </c>
      <c r="W1" s="2" t="s">
        <v>58</v>
      </c>
      <c r="X1" s="2" t="s">
        <v>59</v>
      </c>
      <c r="Y1" s="2" t="s">
        <v>60</v>
      </c>
      <c r="Z1" s="2" t="s">
        <v>61</v>
      </c>
      <c r="AA1" s="2" t="s">
        <v>16</v>
      </c>
      <c r="AB1" s="2" t="s">
        <v>62</v>
      </c>
    </row>
    <row r="2" customFormat="false" ht="15" hidden="false" customHeight="false" outlineLevel="0" collapsed="false">
      <c r="A2" s="0" t="s">
        <v>63</v>
      </c>
      <c r="O2" s="0" t="n">
        <v>6818</v>
      </c>
      <c r="S2" s="0" t="n">
        <v>340</v>
      </c>
      <c r="AA2" s="0" t="s">
        <v>17</v>
      </c>
      <c r="AB2" s="0" t="s">
        <v>14</v>
      </c>
    </row>
    <row r="3" customFormat="false" ht="15" hidden="false" customHeight="false" outlineLevel="0" collapsed="false">
      <c r="A3" s="0" t="s">
        <v>64</v>
      </c>
      <c r="B3" s="0" t="n">
        <v>13715</v>
      </c>
      <c r="C3" s="0" t="n">
        <v>9633</v>
      </c>
      <c r="F3" s="0" t="n">
        <v>1700</v>
      </c>
      <c r="G3" s="0" t="n">
        <v>12.395187750638</v>
      </c>
      <c r="H3" s="0" t="n">
        <v>2251</v>
      </c>
      <c r="I3" s="0" t="n">
        <v>937</v>
      </c>
      <c r="J3" s="0" t="n">
        <v>6.83193583667517</v>
      </c>
      <c r="K3" s="0" t="n">
        <v>2.76</v>
      </c>
      <c r="L3" s="0" t="n">
        <v>1282</v>
      </c>
      <c r="M3" s="0" t="n">
        <v>394</v>
      </c>
      <c r="N3" s="0" t="n">
        <v>888</v>
      </c>
      <c r="O3" s="0" t="n">
        <v>7403</v>
      </c>
      <c r="P3" s="0" t="n">
        <v>17252</v>
      </c>
      <c r="S3" s="0" t="n">
        <v>333</v>
      </c>
      <c r="T3" s="0" t="n">
        <v>339.5</v>
      </c>
      <c r="U3" s="0" t="n">
        <v>11</v>
      </c>
      <c r="AA3" s="0" t="s">
        <v>17</v>
      </c>
      <c r="AB3" s="0" t="s">
        <v>14</v>
      </c>
    </row>
    <row r="4" customFormat="false" ht="15" hidden="false" customHeight="false" outlineLevel="0" collapsed="false">
      <c r="A4" s="0" t="s">
        <v>65</v>
      </c>
      <c r="B4" s="0" t="n">
        <v>16049</v>
      </c>
      <c r="C4" s="0" t="n">
        <v>11261</v>
      </c>
      <c r="F4" s="0" t="n">
        <v>2260</v>
      </c>
      <c r="G4" s="0" t="n">
        <v>14.0818742600785</v>
      </c>
      <c r="H4" s="0" t="n">
        <v>2816</v>
      </c>
      <c r="I4" s="0" t="n">
        <v>1352</v>
      </c>
      <c r="J4" s="0" t="n">
        <v>8.42420088479033</v>
      </c>
      <c r="K4" s="0" t="n">
        <v>3.98</v>
      </c>
      <c r="L4" s="0" t="n">
        <v>1248</v>
      </c>
      <c r="M4" s="0" t="n">
        <v>568</v>
      </c>
      <c r="N4" s="0" t="n">
        <v>680</v>
      </c>
      <c r="O4" s="0" t="n">
        <v>7492</v>
      </c>
      <c r="P4" s="0" t="n">
        <v>17873</v>
      </c>
      <c r="R4" s="0" t="n">
        <v>4008</v>
      </c>
      <c r="S4" s="0" t="n">
        <v>385</v>
      </c>
      <c r="T4" s="0" t="n">
        <v>342.8</v>
      </c>
      <c r="U4" s="0" t="n">
        <v>5</v>
      </c>
      <c r="V4" s="0" t="n">
        <v>1.36</v>
      </c>
      <c r="AA4" s="0" t="s">
        <v>17</v>
      </c>
      <c r="AB4" s="0" t="s">
        <v>14</v>
      </c>
    </row>
    <row r="5" customFormat="false" ht="15" hidden="false" customHeight="false" outlineLevel="0" collapsed="false">
      <c r="A5" s="0" t="s">
        <v>66</v>
      </c>
      <c r="B5" s="0" t="n">
        <v>16311</v>
      </c>
      <c r="C5" s="0" t="n">
        <v>11448</v>
      </c>
      <c r="F5" s="0" t="n">
        <v>2216</v>
      </c>
      <c r="G5" s="0" t="n">
        <v>13.5859236098339</v>
      </c>
      <c r="H5" s="0" t="n">
        <v>2814</v>
      </c>
      <c r="I5" s="0" t="n">
        <v>1220</v>
      </c>
      <c r="J5" s="0" t="n">
        <v>7.4796149837533</v>
      </c>
      <c r="K5" s="0" t="n">
        <v>3.54</v>
      </c>
      <c r="L5" s="0" t="n">
        <v>1664</v>
      </c>
      <c r="M5" s="0" t="n">
        <v>593</v>
      </c>
      <c r="N5" s="0" t="n">
        <v>1071</v>
      </c>
      <c r="O5" s="0" t="n">
        <v>15178</v>
      </c>
      <c r="P5" s="0" t="n">
        <v>35810</v>
      </c>
      <c r="R5" s="0" t="n">
        <v>10393</v>
      </c>
      <c r="S5" s="0" t="n">
        <v>577</v>
      </c>
      <c r="T5" s="0" t="n">
        <v>470.7</v>
      </c>
      <c r="U5" s="0" t="n">
        <v>7</v>
      </c>
      <c r="V5" s="0" t="n">
        <v>1.52</v>
      </c>
      <c r="AA5" s="0" t="s">
        <v>17</v>
      </c>
      <c r="AB5" s="0" t="s">
        <v>14</v>
      </c>
    </row>
    <row r="6" customFormat="false" ht="15" hidden="false" customHeight="false" outlineLevel="0" collapsed="false">
      <c r="A6" s="0" t="s">
        <v>67</v>
      </c>
      <c r="B6" s="0" t="n">
        <v>22046</v>
      </c>
      <c r="C6" s="0" t="n">
        <v>15369</v>
      </c>
      <c r="F6" s="0" t="n">
        <v>3178</v>
      </c>
      <c r="G6" s="0" t="n">
        <v>14.4153134355439</v>
      </c>
      <c r="H6" s="0" t="n">
        <v>4175</v>
      </c>
      <c r="I6" s="0" t="n">
        <v>1873</v>
      </c>
      <c r="J6" s="0" t="n">
        <v>8.49587226707793</v>
      </c>
      <c r="K6" s="0" t="n">
        <v>3.93</v>
      </c>
      <c r="L6" s="0" t="n">
        <v>2285</v>
      </c>
      <c r="M6" s="0" t="n">
        <v>614</v>
      </c>
      <c r="N6" s="0" t="n">
        <v>1671</v>
      </c>
      <c r="O6" s="0" t="n">
        <v>16863</v>
      </c>
      <c r="P6" s="0" t="n">
        <v>35491</v>
      </c>
      <c r="R6" s="0" t="n">
        <v>10103</v>
      </c>
      <c r="S6" s="0" t="n">
        <v>915</v>
      </c>
      <c r="T6" s="0" t="n">
        <v>476.7</v>
      </c>
      <c r="U6" s="0" t="n">
        <v>11</v>
      </c>
      <c r="V6" s="0" t="n">
        <v>1.68</v>
      </c>
      <c r="AA6" s="0" t="s">
        <v>17</v>
      </c>
      <c r="AB6" s="0" t="s">
        <v>14</v>
      </c>
    </row>
    <row r="7" customFormat="false" ht="15" hidden="false" customHeight="false" outlineLevel="0" collapsed="false">
      <c r="A7" s="0" t="s">
        <v>68</v>
      </c>
      <c r="B7" s="0" t="n">
        <v>22552</v>
      </c>
      <c r="C7" s="0" t="n">
        <v>15646</v>
      </c>
      <c r="F7" s="0" t="n">
        <v>3312</v>
      </c>
      <c r="G7" s="0" t="n">
        <v>14.6860588861298</v>
      </c>
      <c r="H7" s="0" t="n">
        <v>4295</v>
      </c>
      <c r="I7" s="0" t="n">
        <v>1803</v>
      </c>
      <c r="J7" s="0" t="n">
        <v>7.99485633203264</v>
      </c>
      <c r="K7" s="0" t="n">
        <v>3.78</v>
      </c>
      <c r="L7" s="0" t="n">
        <v>1878</v>
      </c>
      <c r="M7" s="0" t="n">
        <v>632</v>
      </c>
      <c r="N7" s="0" t="n">
        <v>1246</v>
      </c>
      <c r="O7" s="0" t="n">
        <v>15839</v>
      </c>
      <c r="P7" s="0" t="n">
        <v>33487</v>
      </c>
      <c r="R7" s="0" t="n">
        <v>10040</v>
      </c>
      <c r="S7" s="0" t="n">
        <v>781</v>
      </c>
      <c r="T7" s="0" t="n">
        <v>476.8</v>
      </c>
      <c r="U7" s="0" t="n">
        <v>12</v>
      </c>
      <c r="V7" s="0" t="n">
        <v>1.96</v>
      </c>
      <c r="AA7" s="0" t="s">
        <v>17</v>
      </c>
      <c r="AB7" s="0" t="s">
        <v>14</v>
      </c>
    </row>
    <row r="8" customFormat="false" ht="15" hidden="false" customHeight="false" outlineLevel="0" collapsed="false">
      <c r="A8" s="0" t="s">
        <v>69</v>
      </c>
      <c r="B8" s="0" t="n">
        <v>20855</v>
      </c>
      <c r="C8" s="0" t="n">
        <v>14304</v>
      </c>
      <c r="F8" s="0" t="n">
        <v>3133</v>
      </c>
      <c r="G8" s="0" t="n">
        <v>15.0227763126349</v>
      </c>
      <c r="H8" s="0" t="n">
        <v>4058</v>
      </c>
      <c r="I8" s="0" t="n">
        <v>1974</v>
      </c>
      <c r="J8" s="0" t="n">
        <v>9.46535602972908</v>
      </c>
      <c r="K8" s="0" t="n">
        <v>4.23</v>
      </c>
      <c r="L8" s="0" t="n">
        <v>2409</v>
      </c>
      <c r="M8" s="0" t="n">
        <v>506</v>
      </c>
      <c r="N8" s="0" t="n">
        <v>1903</v>
      </c>
      <c r="O8" s="0" t="n">
        <v>15294</v>
      </c>
      <c r="P8" s="0" t="n">
        <v>31059</v>
      </c>
      <c r="R8" s="0" t="n">
        <v>8230</v>
      </c>
      <c r="S8" s="0" t="n">
        <v>268</v>
      </c>
      <c r="T8" s="0" t="n">
        <v>467.1</v>
      </c>
      <c r="U8" s="0" t="n">
        <v>12</v>
      </c>
      <c r="V8" s="0" t="n">
        <v>2.2</v>
      </c>
      <c r="AA8" s="0" t="s">
        <v>17</v>
      </c>
      <c r="AB8" s="0" t="s">
        <v>14</v>
      </c>
    </row>
    <row r="9" customFormat="false" ht="15" hidden="false" customHeight="false" outlineLevel="0" collapsed="false">
      <c r="A9" s="0" t="s">
        <v>70</v>
      </c>
      <c r="B9" s="0" t="n">
        <v>19747</v>
      </c>
      <c r="C9" s="0" t="n">
        <v>13396</v>
      </c>
      <c r="F9" s="0" t="n">
        <v>2958</v>
      </c>
      <c r="G9" s="0" t="n">
        <v>14.9794905555274</v>
      </c>
      <c r="H9" s="0" t="n">
        <v>3887</v>
      </c>
      <c r="I9" s="0" t="n">
        <v>1919</v>
      </c>
      <c r="J9" s="0" t="n">
        <v>9.71793183774751</v>
      </c>
      <c r="K9" s="0" t="n">
        <v>4.21</v>
      </c>
      <c r="L9" s="0" t="n">
        <v>2570</v>
      </c>
      <c r="M9" s="0" t="n">
        <v>497</v>
      </c>
      <c r="N9" s="0" t="n">
        <v>2073</v>
      </c>
      <c r="O9" s="0" t="n">
        <v>14998</v>
      </c>
      <c r="P9" s="0" t="n">
        <v>30476</v>
      </c>
      <c r="R9" s="0" t="n">
        <v>9815</v>
      </c>
      <c r="S9" s="0" t="n">
        <v>543</v>
      </c>
      <c r="T9" s="0" t="n">
        <v>456.5</v>
      </c>
      <c r="U9" s="0" t="n">
        <v>14</v>
      </c>
      <c r="V9" s="0" t="n">
        <v>2.28</v>
      </c>
      <c r="AA9" s="0" t="s">
        <v>17</v>
      </c>
      <c r="AB9" s="0" t="s">
        <v>14</v>
      </c>
    </row>
    <row r="10" customFormat="false" ht="15" hidden="false" customHeight="false" outlineLevel="0" collapsed="false">
      <c r="A10" s="0" t="s">
        <v>71</v>
      </c>
      <c r="B10" s="0" t="n">
        <v>20404</v>
      </c>
      <c r="C10" s="0" t="n">
        <v>13756</v>
      </c>
      <c r="F10" s="0" t="n">
        <v>3214</v>
      </c>
      <c r="G10" s="0" t="n">
        <v>15.7518133699275</v>
      </c>
      <c r="H10" s="0" t="n">
        <v>4128</v>
      </c>
      <c r="I10" s="0" t="n">
        <v>2986</v>
      </c>
      <c r="J10" s="0" t="n">
        <v>14.6343854146246</v>
      </c>
      <c r="K10" s="0" t="n">
        <v>6.71</v>
      </c>
      <c r="L10" s="0" t="n">
        <v>2666</v>
      </c>
      <c r="M10" s="0" t="n">
        <v>520</v>
      </c>
      <c r="N10" s="0" t="n">
        <v>2146</v>
      </c>
      <c r="O10" s="0" t="n">
        <v>17290</v>
      </c>
      <c r="P10" s="0" t="n">
        <v>32623</v>
      </c>
      <c r="R10" s="0" t="n">
        <v>8323</v>
      </c>
      <c r="S10" s="0" t="n">
        <v>561</v>
      </c>
      <c r="T10" s="0" t="n">
        <v>447</v>
      </c>
      <c r="U10" s="0" t="n">
        <v>11</v>
      </c>
      <c r="V10" s="0" t="n">
        <v>2.4</v>
      </c>
      <c r="AA10" s="0" t="s">
        <v>17</v>
      </c>
      <c r="AB10" s="0" t="s">
        <v>14</v>
      </c>
    </row>
    <row r="11" customFormat="false" ht="15" hidden="false" customHeight="false" outlineLevel="0" collapsed="false">
      <c r="A11" s="0" t="s">
        <v>72</v>
      </c>
      <c r="B11" s="0" t="n">
        <v>21609</v>
      </c>
      <c r="C11" s="0" t="n">
        <v>14511</v>
      </c>
      <c r="F11" s="0" t="n">
        <v>3630</v>
      </c>
      <c r="G11" s="0" t="n">
        <v>16.7985561571567</v>
      </c>
      <c r="H11" s="0" t="n">
        <v>4533</v>
      </c>
      <c r="I11" s="0" t="n">
        <v>2146</v>
      </c>
      <c r="J11" s="0" t="n">
        <v>9.93104724883151</v>
      </c>
      <c r="K11" s="0" t="n">
        <v>4.93</v>
      </c>
      <c r="L11" s="0" t="n">
        <v>2658</v>
      </c>
      <c r="M11" s="0" t="n">
        <v>565</v>
      </c>
      <c r="N11" s="0" t="n">
        <v>2093</v>
      </c>
      <c r="O11" s="0" t="n">
        <v>16142</v>
      </c>
      <c r="P11" s="0" t="n">
        <v>31092</v>
      </c>
      <c r="R11" s="0" t="n">
        <v>7446</v>
      </c>
      <c r="S11" s="0" t="n">
        <v>283</v>
      </c>
      <c r="T11" s="0" t="n">
        <v>436.9</v>
      </c>
      <c r="U11" s="0" t="n">
        <v>11</v>
      </c>
      <c r="V11" s="0" t="n">
        <v>2.64</v>
      </c>
      <c r="AA11" s="0" t="s">
        <v>17</v>
      </c>
      <c r="AB11" s="0" t="s">
        <v>14</v>
      </c>
    </row>
    <row r="12" customFormat="false" ht="15" hidden="false" customHeight="false" outlineLevel="0" collapsed="false">
      <c r="A12" s="0" t="s">
        <v>73</v>
      </c>
      <c r="B12" s="0" t="n">
        <v>21390</v>
      </c>
      <c r="C12" s="0" t="n">
        <v>14338</v>
      </c>
      <c r="F12" s="0" t="n">
        <v>3675</v>
      </c>
      <c r="G12" s="0" t="n">
        <v>17.1809256661992</v>
      </c>
      <c r="H12" s="0" t="n">
        <v>4559</v>
      </c>
      <c r="I12" s="0" t="n">
        <v>2213</v>
      </c>
      <c r="J12" s="0" t="n">
        <v>10.345956054231</v>
      </c>
      <c r="K12" s="0" t="n">
        <v>5.28</v>
      </c>
      <c r="L12" s="0" t="n">
        <v>3451</v>
      </c>
      <c r="M12" s="0" t="n">
        <v>587</v>
      </c>
      <c r="N12" s="0" t="n">
        <v>2864</v>
      </c>
      <c r="O12" s="0" t="n">
        <v>16133</v>
      </c>
      <c r="P12" s="0" t="n">
        <v>32805</v>
      </c>
      <c r="R12" s="0" t="n">
        <v>8315</v>
      </c>
      <c r="S12" s="0" t="n">
        <v>370</v>
      </c>
      <c r="T12" s="0" t="n">
        <v>420.8</v>
      </c>
      <c r="U12" s="0" t="n">
        <v>9</v>
      </c>
      <c r="V12" s="0" t="n">
        <v>2.84</v>
      </c>
      <c r="AA12" s="0" t="s">
        <v>17</v>
      </c>
      <c r="AB12" s="0" t="s">
        <v>14</v>
      </c>
    </row>
    <row r="13" customFormat="false" ht="15" hidden="false" customHeight="false" outlineLevel="0" collapsed="false">
      <c r="A13" s="0" t="s">
        <v>74</v>
      </c>
      <c r="B13" s="0" t="n">
        <v>17858</v>
      </c>
      <c r="C13" s="0" t="n">
        <v>12408</v>
      </c>
      <c r="I13" s="0" t="n">
        <v>1415</v>
      </c>
      <c r="J13" s="0" t="n">
        <v>7.92361966625602</v>
      </c>
      <c r="K13" s="0" t="n">
        <v>3.51</v>
      </c>
      <c r="L13" s="0" t="n">
        <v>2944</v>
      </c>
      <c r="M13" s="0" t="n">
        <v>389</v>
      </c>
      <c r="N13" s="0" t="n">
        <v>2555</v>
      </c>
      <c r="O13" s="0" t="n">
        <v>14973</v>
      </c>
      <c r="P13" s="0" t="n">
        <v>31824</v>
      </c>
      <c r="R13" s="0" t="n">
        <v>9104</v>
      </c>
      <c r="S13" s="0" t="n">
        <v>438</v>
      </c>
      <c r="T13" s="0" t="n">
        <v>404</v>
      </c>
      <c r="V13" s="0" t="n">
        <v>2.92</v>
      </c>
      <c r="AA13" s="0" t="s">
        <v>17</v>
      </c>
      <c r="AB13" s="0" t="s">
        <v>14</v>
      </c>
    </row>
    <row r="14" customFormat="false" ht="15" hidden="false" customHeight="false" outlineLevel="0" collapsed="false">
      <c r="A14" s="0" t="s">
        <v>75</v>
      </c>
      <c r="B14" s="0" t="n">
        <v>19628</v>
      </c>
      <c r="C14" s="0" t="n">
        <v>13293</v>
      </c>
      <c r="I14" s="0" t="n">
        <v>2146</v>
      </c>
      <c r="J14" s="0" t="n">
        <v>10.9333605054005</v>
      </c>
      <c r="K14" s="0" t="n">
        <v>5.38</v>
      </c>
      <c r="L14" s="0" t="n">
        <v>2163</v>
      </c>
      <c r="M14" s="0" t="n">
        <v>575</v>
      </c>
      <c r="N14" s="0" t="n">
        <v>1588</v>
      </c>
      <c r="O14" s="0" t="n">
        <v>16451</v>
      </c>
      <c r="P14" s="0" t="n">
        <v>34027</v>
      </c>
      <c r="R14" s="0" t="n">
        <v>10301</v>
      </c>
      <c r="S14" s="0" t="n">
        <v>297</v>
      </c>
      <c r="T14" s="0" t="n">
        <v>401.6</v>
      </c>
      <c r="V14" s="0" t="n">
        <v>3.04</v>
      </c>
      <c r="AA14" s="0" t="s">
        <v>17</v>
      </c>
      <c r="AB14" s="0" t="s">
        <v>14</v>
      </c>
    </row>
    <row r="15" customFormat="false" ht="15" hidden="false" customHeight="false" outlineLevel="0" collapsed="false">
      <c r="A15" s="0" t="s">
        <v>76</v>
      </c>
      <c r="B15" s="0" t="n">
        <v>20752</v>
      </c>
      <c r="C15" s="0" t="n">
        <v>13865</v>
      </c>
      <c r="I15" s="0" t="n">
        <v>2465</v>
      </c>
      <c r="J15" s="0" t="n">
        <v>11.8783731688512</v>
      </c>
      <c r="K15" s="0" t="n">
        <v>6.17</v>
      </c>
      <c r="L15" s="0" t="n">
        <v>2533</v>
      </c>
      <c r="M15" s="0" t="n">
        <v>598</v>
      </c>
      <c r="N15" s="0" t="n">
        <v>1935</v>
      </c>
      <c r="O15" s="0" t="n">
        <v>17075</v>
      </c>
      <c r="P15" s="0" t="n">
        <v>35014</v>
      </c>
      <c r="R15" s="0" t="n">
        <v>8341</v>
      </c>
      <c r="S15" s="0" t="n">
        <v>294</v>
      </c>
      <c r="T15" s="0" t="n">
        <v>400.8</v>
      </c>
      <c r="V15" s="0" t="n">
        <v>3.24</v>
      </c>
      <c r="AA15" s="0" t="s">
        <v>17</v>
      </c>
      <c r="AB15" s="0" t="s">
        <v>14</v>
      </c>
    </row>
    <row r="16" customFormat="false" ht="15" hidden="false" customHeight="false" outlineLevel="0" collapsed="false">
      <c r="A16" s="0" t="s">
        <v>77</v>
      </c>
      <c r="B16" s="0" t="n">
        <v>23196</v>
      </c>
      <c r="C16" s="0" t="n">
        <v>14762</v>
      </c>
      <c r="I16" s="0" t="n">
        <v>3223</v>
      </c>
      <c r="J16" s="0" t="n">
        <v>13.8946370063804</v>
      </c>
      <c r="K16" s="0" t="n">
        <v>8.06</v>
      </c>
      <c r="L16" s="0" t="n">
        <v>3624</v>
      </c>
      <c r="M16" s="0" t="n">
        <v>757</v>
      </c>
      <c r="N16" s="0" t="n">
        <v>2867</v>
      </c>
      <c r="O16" s="0" t="n">
        <v>19069</v>
      </c>
      <c r="P16" s="0" t="n">
        <v>38432</v>
      </c>
      <c r="R16" s="0" t="n">
        <v>10278</v>
      </c>
      <c r="S16" s="0" t="n">
        <v>488</v>
      </c>
      <c r="T16" s="0" t="n">
        <v>401.1</v>
      </c>
      <c r="V16" s="0" t="n">
        <v>3.44</v>
      </c>
      <c r="AA16" s="0" t="s">
        <v>17</v>
      </c>
      <c r="AB16" s="0" t="s">
        <v>14</v>
      </c>
    </row>
    <row r="17" customFormat="false" ht="15" hidden="false" customHeight="false" outlineLevel="0" collapsed="false">
      <c r="A17" s="0" t="s">
        <v>78</v>
      </c>
      <c r="B17" s="0" t="n">
        <v>24878</v>
      </c>
      <c r="C17" s="0" t="n">
        <v>15375</v>
      </c>
      <c r="I17" s="0" t="n">
        <v>3798</v>
      </c>
      <c r="J17" s="0" t="n">
        <v>15.26650052255</v>
      </c>
      <c r="K17" s="0" t="n">
        <v>9.54</v>
      </c>
      <c r="L17" s="0" t="n">
        <v>4327</v>
      </c>
      <c r="M17" s="0" t="n">
        <v>808</v>
      </c>
      <c r="N17" s="0" t="n">
        <v>3519</v>
      </c>
      <c r="O17" s="0" t="n">
        <v>18531</v>
      </c>
      <c r="P17" s="0" t="n">
        <v>38381</v>
      </c>
      <c r="R17" s="0" t="n">
        <v>9826</v>
      </c>
      <c r="S17" s="0" t="n">
        <v>555</v>
      </c>
      <c r="T17" s="0" t="n">
        <v>399.4</v>
      </c>
      <c r="V17" s="0" t="n">
        <v>3.76</v>
      </c>
      <c r="AA17" s="0" t="s">
        <v>17</v>
      </c>
      <c r="AB17" s="0" t="s">
        <v>14</v>
      </c>
    </row>
    <row r="18" customFormat="false" ht="15" hidden="false" customHeight="false" outlineLevel="0" collapsed="false">
      <c r="A18" s="0" t="s">
        <v>79</v>
      </c>
      <c r="B18" s="0" t="n">
        <v>27448</v>
      </c>
      <c r="C18" s="0" t="n">
        <v>17131</v>
      </c>
      <c r="I18" s="0" t="n">
        <v>4090</v>
      </c>
      <c r="J18" s="0" t="n">
        <v>14.9009035266686</v>
      </c>
      <c r="K18" s="0" t="n">
        <v>10.48</v>
      </c>
      <c r="L18" s="0" t="n">
        <v>4472</v>
      </c>
      <c r="M18" s="0" t="n">
        <v>919</v>
      </c>
      <c r="N18" s="0" t="n">
        <v>3553</v>
      </c>
      <c r="O18" s="0" t="n">
        <v>19469</v>
      </c>
      <c r="P18" s="0" t="n">
        <v>41251</v>
      </c>
      <c r="R18" s="0" t="n">
        <v>11030</v>
      </c>
      <c r="S18" s="0" t="n">
        <v>622</v>
      </c>
      <c r="T18" s="0" t="n">
        <v>391.2</v>
      </c>
      <c r="V18" s="0" t="n">
        <v>4.16</v>
      </c>
      <c r="AA18" s="0" t="s">
        <v>17</v>
      </c>
      <c r="AB18" s="0" t="s">
        <v>14</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L5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0" width="44"/>
  </cols>
  <sheetData>
    <row r="1" customFormat="false" ht="15" hidden="false" customHeight="false" outlineLevel="0" collapsed="false">
      <c r="A1" s="2" t="s">
        <v>80</v>
      </c>
      <c r="B1" s="2" t="s">
        <v>81</v>
      </c>
    </row>
    <row r="2" customFormat="false" ht="15" hidden="false" customHeight="false" outlineLevel="0" collapsed="false">
      <c r="A2" s="0" t="s">
        <v>82</v>
      </c>
      <c r="B2" s="3" t="n">
        <v>439.98</v>
      </c>
    </row>
    <row r="3" customFormat="false" ht="15" hidden="false" customHeight="false" outlineLevel="0" collapsed="false">
      <c r="A3" s="0" t="s">
        <v>83</v>
      </c>
      <c r="B3" s="3" t="n">
        <v>389.5</v>
      </c>
    </row>
    <row r="4" customFormat="false" ht="15" hidden="false" customHeight="false" outlineLevel="0" collapsed="false">
      <c r="A4" s="0" t="s">
        <v>84</v>
      </c>
      <c r="B4" s="3" t="n">
        <v>19927</v>
      </c>
    </row>
    <row r="5" customFormat="false" ht="15" hidden="false" customHeight="false" outlineLevel="0" collapsed="false">
      <c r="A5" s="0" t="s">
        <v>85</v>
      </c>
      <c r="B5" s="3" t="n">
        <v>-45</v>
      </c>
    </row>
    <row r="6" customFormat="false" ht="15" hidden="false" customHeight="false" outlineLevel="0" collapsed="false">
      <c r="A6" s="0" t="s">
        <v>86</v>
      </c>
      <c r="B6" s="3" t="n">
        <v>15</v>
      </c>
    </row>
    <row r="7" customFormat="false" ht="15" hidden="false" customHeight="false" outlineLevel="0" collapsed="false">
      <c r="A7" s="0" t="s">
        <v>87</v>
      </c>
      <c r="B7" s="3" t="n">
        <v>27448</v>
      </c>
    </row>
    <row r="8" customFormat="false" ht="15" hidden="false" customHeight="false" outlineLevel="0" collapsed="false">
      <c r="A8" s="0" t="s">
        <v>88</v>
      </c>
      <c r="B8" s="3" t="s">
        <v>79</v>
      </c>
    </row>
    <row r="9" customFormat="false" ht="15" hidden="false" customHeight="false" outlineLevel="0" collapsed="false">
      <c r="A9" s="0" t="s">
        <v>89</v>
      </c>
      <c r="B9" s="3" t="s">
        <v>90</v>
      </c>
    </row>
    <row r="10" customFormat="false" ht="15" hidden="false" customHeight="false" outlineLevel="0" collapsed="false">
      <c r="A10" s="0" t="s">
        <v>91</v>
      </c>
      <c r="B10" s="3" t="n">
        <v>1</v>
      </c>
    </row>
    <row r="12" customFormat="false" ht="15" hidden="false" customHeight="false" outlineLevel="0" collapsed="false">
      <c r="A12" s="2" t="s">
        <v>92</v>
      </c>
      <c r="C12" s="2" t="s">
        <v>93</v>
      </c>
      <c r="D12" s="2" t="s">
        <v>94</v>
      </c>
      <c r="E12" s="2" t="s">
        <v>95</v>
      </c>
      <c r="F12" s="2" t="s">
        <v>96</v>
      </c>
      <c r="G12" s="2" t="s">
        <v>97</v>
      </c>
      <c r="H12" s="2" t="s">
        <v>98</v>
      </c>
      <c r="I12" s="2" t="s">
        <v>99</v>
      </c>
      <c r="J12" s="2" t="s">
        <v>100</v>
      </c>
      <c r="K12" s="2" t="s">
        <v>101</v>
      </c>
      <c r="L12" s="2" t="s">
        <v>102</v>
      </c>
    </row>
    <row r="13" customFormat="false" ht="15" hidden="false" customHeight="false" outlineLevel="0" collapsed="false">
      <c r="A13" s="0" t="s">
        <v>103</v>
      </c>
      <c r="C13" s="3" t="n">
        <v>17</v>
      </c>
      <c r="D13" s="3" t="n">
        <v>4</v>
      </c>
      <c r="E13" s="3" t="n">
        <v>0</v>
      </c>
      <c r="F13" s="3" t="n">
        <v>2.5</v>
      </c>
      <c r="G13" s="3" t="n">
        <v>3.5</v>
      </c>
      <c r="H13" s="3" t="n">
        <v>4</v>
      </c>
      <c r="I13" s="3" t="n">
        <v>3.5</v>
      </c>
      <c r="J13" s="3" t="n">
        <v>3</v>
      </c>
      <c r="K13" s="3" t="n">
        <v>3</v>
      </c>
      <c r="L13" s="3" t="n">
        <v>3</v>
      </c>
    </row>
    <row r="14" customFormat="false" ht="15" hidden="false" customHeight="false" outlineLevel="0" collapsed="false">
      <c r="A14" s="0" t="s">
        <v>104</v>
      </c>
      <c r="C14" s="3" t="n">
        <v>22</v>
      </c>
      <c r="D14" s="3" t="n">
        <v>21.5</v>
      </c>
      <c r="E14" s="3" t="n">
        <v>20.5</v>
      </c>
      <c r="F14" s="3" t="n">
        <v>20.5</v>
      </c>
      <c r="G14" s="3" t="n">
        <v>21</v>
      </c>
      <c r="H14" s="3" t="n">
        <v>21.5</v>
      </c>
      <c r="I14" s="3" t="n">
        <v>22</v>
      </c>
      <c r="J14" s="3" t="n">
        <v>22</v>
      </c>
      <c r="K14" s="3" t="n">
        <v>22</v>
      </c>
      <c r="L14" s="3" t="n">
        <v>22</v>
      </c>
    </row>
    <row r="15" customFormat="false" ht="15" hidden="false" customHeight="false" outlineLevel="0" collapsed="false">
      <c r="A15" s="0" t="s">
        <v>105</v>
      </c>
      <c r="C15" s="3" t="n">
        <v>0.65</v>
      </c>
      <c r="D15" s="3" t="n">
        <v>0.65</v>
      </c>
      <c r="E15" s="3" t="n">
        <v>0.65</v>
      </c>
      <c r="F15" s="3" t="n">
        <v>0.65</v>
      </c>
      <c r="G15" s="3" t="n">
        <v>0.65</v>
      </c>
      <c r="H15" s="3" t="n">
        <v>0.6</v>
      </c>
      <c r="I15" s="3" t="n">
        <v>0.6</v>
      </c>
      <c r="J15" s="3" t="n">
        <v>0.6</v>
      </c>
      <c r="K15" s="3" t="n">
        <v>0.6</v>
      </c>
      <c r="L15" s="3" t="n">
        <v>0.6</v>
      </c>
    </row>
    <row r="16" customFormat="false" ht="15" hidden="false" customHeight="false" outlineLevel="0" collapsed="false">
      <c r="A16" s="0" t="s">
        <v>106</v>
      </c>
      <c r="C16" s="3" t="n">
        <v>0</v>
      </c>
      <c r="D16" s="3" t="n">
        <v>0</v>
      </c>
      <c r="E16" s="3" t="n">
        <v>0</v>
      </c>
      <c r="F16" s="3" t="n">
        <v>0</v>
      </c>
      <c r="G16" s="3" t="n">
        <v>0</v>
      </c>
      <c r="H16" s="3" t="n">
        <v>0</v>
      </c>
      <c r="I16" s="3" t="n">
        <v>0</v>
      </c>
      <c r="J16" s="3" t="n">
        <v>0</v>
      </c>
      <c r="K16" s="3" t="n">
        <v>0</v>
      </c>
      <c r="L16" s="3" t="n">
        <v>0</v>
      </c>
    </row>
    <row r="17" customFormat="false" ht="15" hidden="false" customHeight="false" outlineLevel="0" collapsed="false">
      <c r="A17" s="0" t="s">
        <v>107</v>
      </c>
      <c r="C17" s="3" t="n">
        <v>4.5</v>
      </c>
      <c r="D17" s="3" t="n">
        <v>4.5</v>
      </c>
      <c r="E17" s="3" t="n">
        <v>4.5</v>
      </c>
      <c r="F17" s="3" t="n">
        <v>4.3</v>
      </c>
      <c r="G17" s="3" t="n">
        <v>4.1</v>
      </c>
      <c r="H17" s="3" t="n">
        <v>4</v>
      </c>
      <c r="I17" s="3" t="n">
        <v>3.9</v>
      </c>
      <c r="J17" s="3" t="n">
        <v>3.8</v>
      </c>
      <c r="K17" s="3" t="n">
        <v>3.7</v>
      </c>
      <c r="L17" s="3" t="n">
        <v>3.6</v>
      </c>
    </row>
    <row r="18" customFormat="false" ht="15" hidden="false" customHeight="false" outlineLevel="0" collapsed="false">
      <c r="A18" s="0" t="s">
        <v>108</v>
      </c>
      <c r="C18" s="3" t="n">
        <v>3.7</v>
      </c>
      <c r="D18" s="3" t="n">
        <v>3.7</v>
      </c>
      <c r="E18" s="3" t="n">
        <v>3.6</v>
      </c>
      <c r="F18" s="3" t="n">
        <v>3.5</v>
      </c>
      <c r="G18" s="3" t="n">
        <v>3.5</v>
      </c>
      <c r="H18" s="3" t="n">
        <v>3.5</v>
      </c>
      <c r="I18" s="3" t="n">
        <v>3.5</v>
      </c>
      <c r="J18" s="3" t="n">
        <v>3.5</v>
      </c>
      <c r="K18" s="3" t="n">
        <v>3.5</v>
      </c>
      <c r="L18" s="3" t="n">
        <v>3.5</v>
      </c>
    </row>
    <row r="19" customFormat="false" ht="15" hidden="false" customHeight="false" outlineLevel="0" collapsed="false">
      <c r="A19" s="0" t="s">
        <v>109</v>
      </c>
      <c r="C19" s="3" t="n">
        <v>18</v>
      </c>
      <c r="D19" s="3" t="n">
        <v>18.5</v>
      </c>
      <c r="E19" s="3" t="n">
        <v>19</v>
      </c>
      <c r="F19" s="3" t="n">
        <v>19.5</v>
      </c>
      <c r="G19" s="3" t="n">
        <v>20</v>
      </c>
      <c r="H19" s="3" t="n">
        <v>20</v>
      </c>
      <c r="I19" s="3" t="n">
        <v>20</v>
      </c>
      <c r="J19" s="3" t="n">
        <v>20</v>
      </c>
      <c r="K19" s="3" t="n">
        <v>20</v>
      </c>
      <c r="L19" s="3" t="n">
        <v>20</v>
      </c>
    </row>
    <row r="20" customFormat="false" ht="15" hidden="false" customHeight="false" outlineLevel="0" collapsed="false">
      <c r="A20" s="0" t="s">
        <v>110</v>
      </c>
      <c r="B20" s="3" t="n">
        <v>9</v>
      </c>
    </row>
    <row r="21" customFormat="false" ht="15" hidden="false" customHeight="false" outlineLevel="0" collapsed="false">
      <c r="A21" s="0" t="s">
        <v>111</v>
      </c>
      <c r="B21" s="3" t="n">
        <v>2.5</v>
      </c>
    </row>
    <row r="22" customFormat="false" ht="15" hidden="false" customHeight="false" outlineLevel="0" collapsed="false">
      <c r="A22" s="0" t="s">
        <v>112</v>
      </c>
      <c r="B22" s="3" t="n">
        <v>18</v>
      </c>
    </row>
    <row r="23" customFormat="false" ht="15" hidden="false" customHeight="false" outlineLevel="0" collapsed="false">
      <c r="A23" s="0" t="s">
        <v>113</v>
      </c>
      <c r="B23" s="3" t="n">
        <v>-20</v>
      </c>
    </row>
    <row r="24" customFormat="false" ht="15" hidden="false" customHeight="false" outlineLevel="0" collapsed="false">
      <c r="A24" s="0" t="s">
        <v>114</v>
      </c>
      <c r="B24" s="3" t="n">
        <v>0.25</v>
      </c>
    </row>
    <row r="26" customFormat="false" ht="15" hidden="false" customHeight="false" outlineLevel="0" collapsed="false">
      <c r="A26" s="2" t="s">
        <v>115</v>
      </c>
      <c r="C26" s="2" t="s">
        <v>93</v>
      </c>
      <c r="D26" s="2" t="s">
        <v>94</v>
      </c>
      <c r="E26" s="2" t="s">
        <v>95</v>
      </c>
      <c r="F26" s="2" t="s">
        <v>96</v>
      </c>
      <c r="G26" s="2" t="s">
        <v>97</v>
      </c>
      <c r="H26" s="2" t="s">
        <v>98</v>
      </c>
      <c r="I26" s="2" t="s">
        <v>99</v>
      </c>
      <c r="J26" s="2" t="s">
        <v>100</v>
      </c>
      <c r="K26" s="2" t="s">
        <v>101</v>
      </c>
      <c r="L26" s="2" t="s">
        <v>102</v>
      </c>
    </row>
    <row r="27" customFormat="false" ht="15" hidden="false" customHeight="false" outlineLevel="0" collapsed="false">
      <c r="A27" s="0" t="s">
        <v>103</v>
      </c>
      <c r="C27" s="3" t="n">
        <v>19.5</v>
      </c>
      <c r="D27" s="3" t="n">
        <v>11</v>
      </c>
      <c r="E27" s="3" t="n">
        <v>9</v>
      </c>
      <c r="F27" s="3" t="n">
        <v>7.5</v>
      </c>
      <c r="G27" s="3" t="n">
        <v>6.5</v>
      </c>
      <c r="H27" s="3" t="n">
        <v>5.5</v>
      </c>
      <c r="I27" s="3" t="n">
        <v>5</v>
      </c>
      <c r="J27" s="3" t="n">
        <v>4.5</v>
      </c>
      <c r="K27" s="3" t="n">
        <v>4</v>
      </c>
      <c r="L27" s="3" t="n">
        <v>3.5</v>
      </c>
    </row>
    <row r="28" customFormat="false" ht="15" hidden="false" customHeight="false" outlineLevel="0" collapsed="false">
      <c r="A28" s="0" t="s">
        <v>104</v>
      </c>
      <c r="C28" s="3" t="n">
        <v>23</v>
      </c>
      <c r="D28" s="3" t="n">
        <v>23.8</v>
      </c>
      <c r="E28" s="3" t="n">
        <v>24.2</v>
      </c>
      <c r="F28" s="3" t="n">
        <v>24.5</v>
      </c>
      <c r="G28" s="3" t="n">
        <v>24.5</v>
      </c>
      <c r="H28" s="3" t="n">
        <v>24.5</v>
      </c>
      <c r="I28" s="3" t="n">
        <v>24.5</v>
      </c>
      <c r="J28" s="3" t="n">
        <v>24.5</v>
      </c>
      <c r="K28" s="3" t="n">
        <v>24.5</v>
      </c>
      <c r="L28" s="3" t="n">
        <v>24.5</v>
      </c>
    </row>
    <row r="29" customFormat="false" ht="15" hidden="false" customHeight="false" outlineLevel="0" collapsed="false">
      <c r="A29" s="0" t="s">
        <v>105</v>
      </c>
      <c r="C29" s="3" t="n">
        <v>0.65</v>
      </c>
      <c r="D29" s="3" t="n">
        <v>0.65</v>
      </c>
      <c r="E29" s="3" t="n">
        <v>0.65</v>
      </c>
      <c r="F29" s="3" t="n">
        <v>0.65</v>
      </c>
      <c r="G29" s="3" t="n">
        <v>0.65</v>
      </c>
      <c r="H29" s="3" t="n">
        <v>0.6</v>
      </c>
      <c r="I29" s="3" t="n">
        <v>0.6</v>
      </c>
      <c r="J29" s="3" t="n">
        <v>0.6</v>
      </c>
      <c r="K29" s="3" t="n">
        <v>0.6</v>
      </c>
      <c r="L29" s="3" t="n">
        <v>0.6</v>
      </c>
    </row>
    <row r="30" customFormat="false" ht="15" hidden="false" customHeight="false" outlineLevel="0" collapsed="false">
      <c r="A30" s="0" t="s">
        <v>106</v>
      </c>
      <c r="C30" s="3" t="n">
        <v>0</v>
      </c>
      <c r="D30" s="3" t="n">
        <v>0</v>
      </c>
      <c r="E30" s="3" t="n">
        <v>0</v>
      </c>
      <c r="F30" s="3" t="n">
        <v>0</v>
      </c>
      <c r="G30" s="3" t="n">
        <v>0</v>
      </c>
      <c r="H30" s="3" t="n">
        <v>0</v>
      </c>
      <c r="I30" s="3" t="n">
        <v>0</v>
      </c>
      <c r="J30" s="3" t="n">
        <v>0</v>
      </c>
      <c r="K30" s="3" t="n">
        <v>0</v>
      </c>
      <c r="L30" s="3" t="n">
        <v>0</v>
      </c>
    </row>
    <row r="31" customFormat="false" ht="15" hidden="false" customHeight="false" outlineLevel="0" collapsed="false">
      <c r="A31" s="0" t="s">
        <v>107</v>
      </c>
      <c r="C31" s="3" t="n">
        <v>4.4</v>
      </c>
      <c r="D31" s="3" t="n">
        <v>4.3</v>
      </c>
      <c r="E31" s="3" t="n">
        <v>4.2</v>
      </c>
      <c r="F31" s="3" t="n">
        <v>4</v>
      </c>
      <c r="G31" s="3" t="n">
        <v>3.9</v>
      </c>
      <c r="H31" s="3" t="n">
        <v>3.8</v>
      </c>
      <c r="I31" s="3" t="n">
        <v>3.7</v>
      </c>
      <c r="J31" s="3" t="n">
        <v>3.6</v>
      </c>
      <c r="K31" s="3" t="n">
        <v>3.5</v>
      </c>
      <c r="L31" s="3" t="n">
        <v>3.4</v>
      </c>
    </row>
    <row r="32" customFormat="false" ht="15" hidden="false" customHeight="false" outlineLevel="0" collapsed="false">
      <c r="A32" s="0" t="s">
        <v>108</v>
      </c>
      <c r="C32" s="3" t="n">
        <v>3.5</v>
      </c>
      <c r="D32" s="3" t="n">
        <v>3.5</v>
      </c>
      <c r="E32" s="3" t="n">
        <v>3.5</v>
      </c>
      <c r="F32" s="3" t="n">
        <v>3.4</v>
      </c>
      <c r="G32" s="3" t="n">
        <v>3.4</v>
      </c>
      <c r="H32" s="3" t="n">
        <v>3.4</v>
      </c>
      <c r="I32" s="3" t="n">
        <v>3.4</v>
      </c>
      <c r="J32" s="3" t="n">
        <v>3.4</v>
      </c>
      <c r="K32" s="3" t="n">
        <v>3.4</v>
      </c>
      <c r="L32" s="3" t="n">
        <v>3.4</v>
      </c>
    </row>
    <row r="33" customFormat="false" ht="15" hidden="false" customHeight="false" outlineLevel="0" collapsed="false">
      <c r="A33" s="0" t="s">
        <v>109</v>
      </c>
      <c r="C33" s="3" t="n">
        <v>18</v>
      </c>
      <c r="D33" s="3" t="n">
        <v>18</v>
      </c>
      <c r="E33" s="3" t="n">
        <v>18</v>
      </c>
      <c r="F33" s="3" t="n">
        <v>18.5</v>
      </c>
      <c r="G33" s="3" t="n">
        <v>18.5</v>
      </c>
      <c r="H33" s="3" t="n">
        <v>19</v>
      </c>
      <c r="I33" s="3" t="n">
        <v>19</v>
      </c>
      <c r="J33" s="3" t="n">
        <v>19</v>
      </c>
      <c r="K33" s="3" t="n">
        <v>19</v>
      </c>
      <c r="L33" s="3" t="n">
        <v>19</v>
      </c>
    </row>
    <row r="34" customFormat="false" ht="15" hidden="false" customHeight="false" outlineLevel="0" collapsed="false">
      <c r="A34" s="0" t="s">
        <v>110</v>
      </c>
      <c r="B34" s="3" t="n">
        <v>9</v>
      </c>
    </row>
    <row r="35" customFormat="false" ht="15" hidden="false" customHeight="false" outlineLevel="0" collapsed="false">
      <c r="A35" s="0" t="s">
        <v>111</v>
      </c>
      <c r="B35" s="3" t="n">
        <v>3</v>
      </c>
    </row>
    <row r="36" customFormat="false" ht="15" hidden="false" customHeight="false" outlineLevel="0" collapsed="false">
      <c r="A36" s="0" t="s">
        <v>112</v>
      </c>
      <c r="B36" s="3" t="n">
        <v>20</v>
      </c>
    </row>
    <row r="37" customFormat="false" ht="15" hidden="false" customHeight="false" outlineLevel="0" collapsed="false">
      <c r="A37" s="0" t="s">
        <v>113</v>
      </c>
      <c r="B37" s="3" t="n">
        <v>-15</v>
      </c>
    </row>
    <row r="38" customFormat="false" ht="15" hidden="false" customHeight="false" outlineLevel="0" collapsed="false">
      <c r="A38" s="0" t="s">
        <v>114</v>
      </c>
      <c r="B38" s="3" t="n">
        <v>0.5</v>
      </c>
    </row>
    <row r="40" customFormat="false" ht="15" hidden="false" customHeight="false" outlineLevel="0" collapsed="false">
      <c r="A40" s="2" t="s">
        <v>116</v>
      </c>
      <c r="C40" s="2" t="s">
        <v>93</v>
      </c>
      <c r="D40" s="2" t="s">
        <v>94</v>
      </c>
      <c r="E40" s="2" t="s">
        <v>95</v>
      </c>
      <c r="F40" s="2" t="s">
        <v>96</v>
      </c>
      <c r="G40" s="2" t="s">
        <v>97</v>
      </c>
      <c r="H40" s="2" t="s">
        <v>98</v>
      </c>
      <c r="I40" s="2" t="s">
        <v>99</v>
      </c>
      <c r="J40" s="2" t="s">
        <v>100</v>
      </c>
      <c r="K40" s="2" t="s">
        <v>101</v>
      </c>
      <c r="L40" s="2" t="s">
        <v>102</v>
      </c>
    </row>
    <row r="41" customFormat="false" ht="15" hidden="false" customHeight="false" outlineLevel="0" collapsed="false">
      <c r="A41" s="0" t="s">
        <v>103</v>
      </c>
      <c r="C41" s="3" t="n">
        <v>20.5</v>
      </c>
      <c r="D41" s="3" t="n">
        <v>14</v>
      </c>
      <c r="E41" s="3" t="n">
        <v>12.5</v>
      </c>
      <c r="F41" s="3" t="n">
        <v>10.5</v>
      </c>
      <c r="G41" s="3" t="n">
        <v>9</v>
      </c>
      <c r="H41" s="3" t="n">
        <v>7.5</v>
      </c>
      <c r="I41" s="3" t="n">
        <v>6.5</v>
      </c>
      <c r="J41" s="3" t="n">
        <v>5.5</v>
      </c>
      <c r="K41" s="3" t="n">
        <v>4.5</v>
      </c>
      <c r="L41" s="3" t="n">
        <v>4</v>
      </c>
    </row>
    <row r="42" customFormat="false" ht="15" hidden="false" customHeight="false" outlineLevel="0" collapsed="false">
      <c r="A42" s="0" t="s">
        <v>104</v>
      </c>
      <c r="C42" s="3" t="n">
        <v>23.5</v>
      </c>
      <c r="D42" s="3" t="n">
        <v>24.8</v>
      </c>
      <c r="E42" s="3" t="n">
        <v>25.5</v>
      </c>
      <c r="F42" s="3" t="n">
        <v>26</v>
      </c>
      <c r="G42" s="3" t="n">
        <v>26.5</v>
      </c>
      <c r="H42" s="3" t="n">
        <v>26.5</v>
      </c>
      <c r="I42" s="3" t="n">
        <v>26.5</v>
      </c>
      <c r="J42" s="3" t="n">
        <v>26.5</v>
      </c>
      <c r="K42" s="3" t="n">
        <v>26.5</v>
      </c>
      <c r="L42" s="3" t="n">
        <v>26.5</v>
      </c>
    </row>
    <row r="43" customFormat="false" ht="15" hidden="false" customHeight="false" outlineLevel="0" collapsed="false">
      <c r="A43" s="0" t="s">
        <v>105</v>
      </c>
      <c r="C43" s="3" t="n">
        <v>0.65</v>
      </c>
      <c r="D43" s="3" t="n">
        <v>0.65</v>
      </c>
      <c r="E43" s="3" t="n">
        <v>0.65</v>
      </c>
      <c r="F43" s="3" t="n">
        <v>0.65</v>
      </c>
      <c r="G43" s="3" t="n">
        <v>0.65</v>
      </c>
      <c r="H43" s="3" t="n">
        <v>0.6</v>
      </c>
      <c r="I43" s="3" t="n">
        <v>0.6</v>
      </c>
      <c r="J43" s="3" t="n">
        <v>0.6</v>
      </c>
      <c r="K43" s="3" t="n">
        <v>0.6</v>
      </c>
      <c r="L43" s="3" t="n">
        <v>0.6</v>
      </c>
    </row>
    <row r="44" customFormat="false" ht="15" hidden="false" customHeight="false" outlineLevel="0" collapsed="false">
      <c r="A44" s="0" t="s">
        <v>106</v>
      </c>
      <c r="C44" s="3" t="n">
        <v>0</v>
      </c>
      <c r="D44" s="3" t="n">
        <v>0</v>
      </c>
      <c r="E44" s="3" t="n">
        <v>0</v>
      </c>
      <c r="F44" s="3" t="n">
        <v>0</v>
      </c>
      <c r="G44" s="3" t="n">
        <v>0</v>
      </c>
      <c r="H44" s="3" t="n">
        <v>0</v>
      </c>
      <c r="I44" s="3" t="n">
        <v>0</v>
      </c>
      <c r="J44" s="3" t="n">
        <v>0</v>
      </c>
      <c r="K44" s="3" t="n">
        <v>0</v>
      </c>
      <c r="L44" s="3" t="n">
        <v>0</v>
      </c>
    </row>
    <row r="45" customFormat="false" ht="15" hidden="false" customHeight="false" outlineLevel="0" collapsed="false">
      <c r="A45" s="0" t="s">
        <v>107</v>
      </c>
      <c r="C45" s="3" t="n">
        <v>4.4</v>
      </c>
      <c r="D45" s="3" t="n">
        <v>4.3</v>
      </c>
      <c r="E45" s="3" t="n">
        <v>4.2</v>
      </c>
      <c r="F45" s="3" t="n">
        <v>4</v>
      </c>
      <c r="G45" s="3" t="n">
        <v>3.9</v>
      </c>
      <c r="H45" s="3" t="n">
        <v>3.8</v>
      </c>
      <c r="I45" s="3" t="n">
        <v>3.7</v>
      </c>
      <c r="J45" s="3" t="n">
        <v>3.6</v>
      </c>
      <c r="K45" s="3" t="n">
        <v>3.5</v>
      </c>
      <c r="L45" s="3" t="n">
        <v>3.4</v>
      </c>
    </row>
    <row r="46" customFormat="false" ht="15" hidden="false" customHeight="false" outlineLevel="0" collapsed="false">
      <c r="A46" s="0" t="s">
        <v>108</v>
      </c>
      <c r="C46" s="3" t="n">
        <v>3.5</v>
      </c>
      <c r="D46" s="3" t="n">
        <v>3.5</v>
      </c>
      <c r="E46" s="3" t="n">
        <v>3.5</v>
      </c>
      <c r="F46" s="3" t="n">
        <v>3.4</v>
      </c>
      <c r="G46" s="3" t="n">
        <v>3.4</v>
      </c>
      <c r="H46" s="3" t="n">
        <v>3.4</v>
      </c>
      <c r="I46" s="3" t="n">
        <v>3.4</v>
      </c>
      <c r="J46" s="3" t="n">
        <v>3.4</v>
      </c>
      <c r="K46" s="3" t="n">
        <v>3.4</v>
      </c>
      <c r="L46" s="3" t="n">
        <v>3.4</v>
      </c>
    </row>
    <row r="47" customFormat="false" ht="15" hidden="false" customHeight="false" outlineLevel="0" collapsed="false">
      <c r="A47" s="0" t="s">
        <v>109</v>
      </c>
      <c r="C47" s="3" t="n">
        <v>17.5</v>
      </c>
      <c r="D47" s="3" t="n">
        <v>17.5</v>
      </c>
      <c r="E47" s="3" t="n">
        <v>17.5</v>
      </c>
      <c r="F47" s="3" t="n">
        <v>18</v>
      </c>
      <c r="G47" s="3" t="n">
        <v>18</v>
      </c>
      <c r="H47" s="3" t="n">
        <v>18.5</v>
      </c>
      <c r="I47" s="3" t="n">
        <v>18.5</v>
      </c>
      <c r="J47" s="3" t="n">
        <v>18.5</v>
      </c>
      <c r="K47" s="3" t="n">
        <v>18.5</v>
      </c>
      <c r="L47" s="3" t="n">
        <v>18.5</v>
      </c>
    </row>
    <row r="48" customFormat="false" ht="15" hidden="false" customHeight="false" outlineLevel="0" collapsed="false">
      <c r="A48" s="0" t="s">
        <v>110</v>
      </c>
      <c r="B48" s="3" t="n">
        <v>9</v>
      </c>
    </row>
    <row r="49" customFormat="false" ht="15" hidden="false" customHeight="false" outlineLevel="0" collapsed="false">
      <c r="A49" s="0" t="s">
        <v>111</v>
      </c>
      <c r="B49" s="3" t="n">
        <v>3.5</v>
      </c>
    </row>
    <row r="50" customFormat="false" ht="15" hidden="false" customHeight="false" outlineLevel="0" collapsed="false">
      <c r="A50" s="0" t="s">
        <v>112</v>
      </c>
      <c r="B50" s="3" t="n">
        <v>20</v>
      </c>
    </row>
    <row r="51" customFormat="false" ht="15" hidden="false" customHeight="false" outlineLevel="0" collapsed="false">
      <c r="A51" s="0" t="s">
        <v>113</v>
      </c>
      <c r="B51" s="3" t="n">
        <v>-12</v>
      </c>
    </row>
    <row r="52" customFormat="false" ht="15" hidden="false" customHeight="false" outlineLevel="0" collapsed="false">
      <c r="A52" s="0" t="s">
        <v>114</v>
      </c>
      <c r="B52" s="3" t="n">
        <v>0.25</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L4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0" width="52"/>
  </cols>
  <sheetData>
    <row r="1" customFormat="false" ht="15" hidden="false" customHeight="false" outlineLevel="0" collapsed="false">
      <c r="A1" s="2" t="s">
        <v>117</v>
      </c>
    </row>
    <row r="3" customFormat="false" ht="15" hidden="false" customHeight="false" outlineLevel="0" collapsed="false">
      <c r="A3" s="0" t="s">
        <v>118</v>
      </c>
      <c r="B3" s="0" t="s">
        <v>79</v>
      </c>
      <c r="C3" s="2" t="s">
        <v>93</v>
      </c>
      <c r="D3" s="2" t="s">
        <v>94</v>
      </c>
      <c r="E3" s="2" t="s">
        <v>95</v>
      </c>
      <c r="F3" s="2" t="s">
        <v>96</v>
      </c>
      <c r="G3" s="2" t="s">
        <v>97</v>
      </c>
      <c r="H3" s="2" t="s">
        <v>98</v>
      </c>
      <c r="I3" s="2" t="s">
        <v>99</v>
      </c>
      <c r="J3" s="2" t="s">
        <v>100</v>
      </c>
      <c r="K3" s="2" t="s">
        <v>101</v>
      </c>
      <c r="L3" s="2" t="s">
        <v>102</v>
      </c>
    </row>
    <row r="4" customFormat="false" ht="15" hidden="false" customHeight="false" outlineLevel="0" collapsed="false">
      <c r="A4" s="0" t="s">
        <v>119</v>
      </c>
      <c r="B4" s="0" t="n">
        <v>0</v>
      </c>
      <c r="C4" s="0" t="n">
        <f aca="false">B4+1</f>
        <v>1</v>
      </c>
      <c r="D4" s="0" t="n">
        <f aca="false">C4+1</f>
        <v>2</v>
      </c>
      <c r="E4" s="0" t="n">
        <f aca="false">D4+1</f>
        <v>3</v>
      </c>
      <c r="F4" s="0" t="n">
        <f aca="false">E4+1</f>
        <v>4</v>
      </c>
      <c r="G4" s="0" t="n">
        <f aca="false">F4+1</f>
        <v>5</v>
      </c>
      <c r="H4" s="0" t="n">
        <f aca="false">G4+1</f>
        <v>6</v>
      </c>
      <c r="I4" s="0" t="n">
        <f aca="false">H4+1</f>
        <v>7</v>
      </c>
      <c r="J4" s="0" t="n">
        <f aca="false">I4+1</f>
        <v>8</v>
      </c>
      <c r="K4" s="0" t="n">
        <f aca="false">J4+1</f>
        <v>9</v>
      </c>
      <c r="L4" s="0" t="n">
        <f aca="false">K4+1</f>
        <v>10</v>
      </c>
    </row>
    <row r="5" customFormat="false" ht="15" hidden="false" customHeight="false" outlineLevel="0" collapsed="false">
      <c r="A5" s="0" t="s">
        <v>103</v>
      </c>
      <c r="C5" s="4" t="n">
        <f aca="false">Assumptions!C13</f>
        <v>17</v>
      </c>
      <c r="D5" s="4" t="n">
        <f aca="false">Assumptions!D13</f>
        <v>4</v>
      </c>
      <c r="E5" s="4" t="n">
        <f aca="false">Assumptions!E13</f>
        <v>0</v>
      </c>
      <c r="F5" s="4" t="n">
        <f aca="false">Assumptions!F13</f>
        <v>2.5</v>
      </c>
      <c r="G5" s="4" t="n">
        <f aca="false">Assumptions!G13</f>
        <v>3.5</v>
      </c>
      <c r="H5" s="4" t="n">
        <f aca="false">Assumptions!H13</f>
        <v>4</v>
      </c>
      <c r="I5" s="4" t="n">
        <f aca="false">Assumptions!I13</f>
        <v>3.5</v>
      </c>
      <c r="J5" s="4" t="n">
        <f aca="false">Assumptions!J13</f>
        <v>3</v>
      </c>
      <c r="K5" s="4" t="n">
        <f aca="false">Assumptions!K13</f>
        <v>3</v>
      </c>
      <c r="L5" s="4" t="n">
        <f aca="false">Assumptions!L13</f>
        <v>3</v>
      </c>
    </row>
    <row r="6" customFormat="false" ht="15" hidden="false" customHeight="false" outlineLevel="0" collapsed="false">
      <c r="A6" s="0" t="s">
        <v>37</v>
      </c>
      <c r="B6" s="3" t="n">
        <v>27448</v>
      </c>
      <c r="C6" s="0" t="n">
        <f aca="false">B6*(1+C5/100)</f>
        <v>32114.16</v>
      </c>
      <c r="D6" s="0" t="n">
        <f aca="false">C6*(1+D5/100)</f>
        <v>33398.7264</v>
      </c>
      <c r="E6" s="0" t="n">
        <f aca="false">D6*(1+E5/100)</f>
        <v>33398.7264</v>
      </c>
      <c r="F6" s="0" t="n">
        <f aca="false">E6*(1+F5/100)</f>
        <v>34233.69456</v>
      </c>
      <c r="G6" s="0" t="n">
        <f aca="false">F6*(1+G5/100)</f>
        <v>35431.8738696</v>
      </c>
      <c r="H6" s="0" t="n">
        <f aca="false">G6*(1+H5/100)</f>
        <v>36849.148824384</v>
      </c>
      <c r="I6" s="0" t="n">
        <f aca="false">H6*(1+I5/100)</f>
        <v>38138.8690332374</v>
      </c>
      <c r="J6" s="0" t="n">
        <f aca="false">I6*(1+J5/100)</f>
        <v>39283.0351042346</v>
      </c>
      <c r="K6" s="0" t="n">
        <f aca="false">J6*(1+K5/100)</f>
        <v>40461.5261573616</v>
      </c>
      <c r="L6" s="0" t="n">
        <f aca="false">K6*(1+L5/100)</f>
        <v>41675.3719420824</v>
      </c>
    </row>
    <row r="7" customFormat="false" ht="15" hidden="false" customHeight="false" outlineLevel="0" collapsed="false">
      <c r="A7" s="0" t="s">
        <v>104</v>
      </c>
      <c r="C7" s="4" t="n">
        <f aca="false">Assumptions!C14</f>
        <v>22</v>
      </c>
      <c r="D7" s="4" t="n">
        <f aca="false">Assumptions!D14</f>
        <v>21.5</v>
      </c>
      <c r="E7" s="4" t="n">
        <f aca="false">Assumptions!E14</f>
        <v>20.5</v>
      </c>
      <c r="F7" s="4" t="n">
        <f aca="false">Assumptions!F14</f>
        <v>20.5</v>
      </c>
      <c r="G7" s="4" t="n">
        <f aca="false">Assumptions!G14</f>
        <v>21</v>
      </c>
      <c r="H7" s="4" t="n">
        <f aca="false">Assumptions!H14</f>
        <v>21.5</v>
      </c>
      <c r="I7" s="4" t="n">
        <f aca="false">Assumptions!I14</f>
        <v>22</v>
      </c>
      <c r="J7" s="4" t="n">
        <f aca="false">Assumptions!J14</f>
        <v>22</v>
      </c>
      <c r="K7" s="4" t="n">
        <f aca="false">Assumptions!K14</f>
        <v>22</v>
      </c>
      <c r="L7" s="4" t="n">
        <f aca="false">Assumptions!L14</f>
        <v>22</v>
      </c>
    </row>
    <row r="8" customFormat="false" ht="15" hidden="false" customHeight="false" outlineLevel="0" collapsed="false">
      <c r="A8" s="0" t="s">
        <v>43</v>
      </c>
      <c r="C8" s="0" t="n">
        <f aca="false">C6*C7/100</f>
        <v>7065.1152</v>
      </c>
      <c r="D8" s="0" t="n">
        <f aca="false">D6*D7/100</f>
        <v>7180.726176</v>
      </c>
      <c r="E8" s="0" t="n">
        <f aca="false">E6*E7/100</f>
        <v>6846.738912</v>
      </c>
      <c r="F8" s="0" t="n">
        <f aca="false">F6*F7/100</f>
        <v>7017.9073848</v>
      </c>
      <c r="G8" s="0" t="n">
        <f aca="false">G6*G7/100</f>
        <v>7440.693512616</v>
      </c>
      <c r="H8" s="0" t="n">
        <f aca="false">H6*H7/100</f>
        <v>7922.56699724256</v>
      </c>
      <c r="I8" s="0" t="n">
        <f aca="false">I6*I7/100</f>
        <v>8390.55118731224</v>
      </c>
      <c r="J8" s="0" t="n">
        <f aca="false">J6*J7/100</f>
        <v>8642.2677229316</v>
      </c>
      <c r="K8" s="0" t="n">
        <f aca="false">K6*K7/100</f>
        <v>8901.53575461955</v>
      </c>
      <c r="L8" s="0" t="n">
        <f aca="false">L6*L7/100</f>
        <v>9168.58182725814</v>
      </c>
    </row>
    <row r="9" customFormat="false" ht="15" hidden="false" customHeight="false" outlineLevel="0" collapsed="false">
      <c r="A9" s="0" t="s">
        <v>105</v>
      </c>
      <c r="C9" s="4" t="n">
        <f aca="false">Assumptions!C15</f>
        <v>0.65</v>
      </c>
      <c r="D9" s="4" t="n">
        <f aca="false">Assumptions!D15</f>
        <v>0.65</v>
      </c>
      <c r="E9" s="4" t="n">
        <f aca="false">Assumptions!E15</f>
        <v>0.65</v>
      </c>
      <c r="F9" s="4" t="n">
        <f aca="false">Assumptions!F15</f>
        <v>0.65</v>
      </c>
      <c r="G9" s="4" t="n">
        <f aca="false">Assumptions!G15</f>
        <v>0.65</v>
      </c>
      <c r="H9" s="4" t="n">
        <f aca="false">Assumptions!H15</f>
        <v>0.6</v>
      </c>
      <c r="I9" s="4" t="n">
        <f aca="false">Assumptions!I15</f>
        <v>0.6</v>
      </c>
      <c r="J9" s="4" t="n">
        <f aca="false">Assumptions!J15</f>
        <v>0.6</v>
      </c>
      <c r="K9" s="4" t="n">
        <f aca="false">Assumptions!K15</f>
        <v>0.6</v>
      </c>
      <c r="L9" s="4" t="n">
        <f aca="false">Assumptions!L15</f>
        <v>0.6</v>
      </c>
    </row>
    <row r="10" customFormat="false" ht="15" hidden="false" customHeight="false" outlineLevel="0" collapsed="false">
      <c r="A10" s="0" t="s">
        <v>120</v>
      </c>
      <c r="C10" s="0" t="n">
        <f aca="false">-C6*C9/100</f>
        <v>-208.74204</v>
      </c>
      <c r="D10" s="0" t="n">
        <f aca="false">-D6*D9/100</f>
        <v>-217.0917216</v>
      </c>
      <c r="E10" s="0" t="n">
        <f aca="false">-E6*E9/100</f>
        <v>-217.0917216</v>
      </c>
      <c r="F10" s="0" t="n">
        <f aca="false">-F6*F9/100</f>
        <v>-222.51901464</v>
      </c>
      <c r="G10" s="0" t="n">
        <f aca="false">-G6*G9/100</f>
        <v>-230.3071801524</v>
      </c>
      <c r="H10" s="0" t="n">
        <f aca="false">-H6*H9/100</f>
        <v>-221.094892946304</v>
      </c>
      <c r="I10" s="0" t="n">
        <f aca="false">-I6*I9/100</f>
        <v>-228.833214199425</v>
      </c>
      <c r="J10" s="0" t="n">
        <f aca="false">-J6*J9/100</f>
        <v>-235.698210625407</v>
      </c>
      <c r="K10" s="0" t="n">
        <f aca="false">-K6*K9/100</f>
        <v>-242.76915694417</v>
      </c>
      <c r="L10" s="0" t="n">
        <f aca="false">-L6*L9/100</f>
        <v>-250.052231652495</v>
      </c>
    </row>
    <row r="11" customFormat="false" ht="15" hidden="false" customHeight="false" outlineLevel="0" collapsed="false">
      <c r="A11" s="0" t="s">
        <v>121</v>
      </c>
      <c r="C11" s="0" t="n">
        <f aca="false">C8+C10+C24</f>
        <v>6856.37316</v>
      </c>
      <c r="D11" s="0" t="n">
        <f aca="false">D8+D10+D24</f>
        <v>6963.6344544</v>
      </c>
      <c r="E11" s="0" t="n">
        <f aca="false">E8+E10+E24</f>
        <v>6629.6471904</v>
      </c>
      <c r="F11" s="0" t="n">
        <f aca="false">F8+F10+F24</f>
        <v>6795.38837016</v>
      </c>
      <c r="G11" s="0" t="n">
        <f aca="false">G8+G10+G24</f>
        <v>7210.3863324636</v>
      </c>
      <c r="H11" s="0" t="n">
        <f aca="false">H8+H10+H24</f>
        <v>7701.47210429626</v>
      </c>
      <c r="I11" s="0" t="n">
        <f aca="false">I8+I10+I24</f>
        <v>8161.71797311281</v>
      </c>
      <c r="J11" s="0" t="n">
        <f aca="false">J8+J10+J24</f>
        <v>8406.56951230619</v>
      </c>
      <c r="K11" s="0" t="n">
        <f aca="false">K8+K10+K24</f>
        <v>8658.76659767538</v>
      </c>
      <c r="L11" s="0" t="n">
        <f aca="false">L8+L10+L24</f>
        <v>8918.52959560564</v>
      </c>
    </row>
    <row r="12" customFormat="false" ht="15" hidden="false" customHeight="false" outlineLevel="0" collapsed="false">
      <c r="A12" s="0" t="s">
        <v>122</v>
      </c>
      <c r="C12" s="4" t="n">
        <f aca="false">-C6*Assumptions!C17/100</f>
        <v>-1445.1372</v>
      </c>
      <c r="D12" s="4" t="n">
        <f aca="false">-D6*Assumptions!D17/100</f>
        <v>-1502.942688</v>
      </c>
      <c r="E12" s="4" t="n">
        <f aca="false">-E6*Assumptions!E17/100</f>
        <v>-1502.942688</v>
      </c>
      <c r="F12" s="4" t="n">
        <f aca="false">-F6*Assumptions!F17/100</f>
        <v>-1472.04886608</v>
      </c>
      <c r="G12" s="4" t="n">
        <f aca="false">-G6*Assumptions!G17/100</f>
        <v>-1452.7068286536</v>
      </c>
      <c r="H12" s="4" t="n">
        <f aca="false">-H6*Assumptions!H17/100</f>
        <v>-1473.96595297536</v>
      </c>
      <c r="I12" s="4" t="n">
        <f aca="false">-I6*Assumptions!I17/100</f>
        <v>-1487.41589229626</v>
      </c>
      <c r="J12" s="4" t="n">
        <f aca="false">-J6*Assumptions!J17/100</f>
        <v>-1492.75533396091</v>
      </c>
      <c r="K12" s="4" t="n">
        <f aca="false">-K6*Assumptions!K17/100</f>
        <v>-1497.07646782238</v>
      </c>
      <c r="L12" s="4" t="n">
        <f aca="false">-L6*Assumptions!L17/100</f>
        <v>-1500.31338991497</v>
      </c>
    </row>
    <row r="13" customFormat="false" ht="15" hidden="false" customHeight="false" outlineLevel="0" collapsed="false">
      <c r="A13" s="0" t="s">
        <v>123</v>
      </c>
      <c r="C13" s="0" t="n">
        <f aca="false">C11+C12</f>
        <v>5411.23596</v>
      </c>
      <c r="D13" s="0" t="n">
        <f aca="false">D11+D12</f>
        <v>5460.6917664</v>
      </c>
      <c r="E13" s="0" t="n">
        <f aca="false">E11+E12</f>
        <v>5126.7045024</v>
      </c>
      <c r="F13" s="0" t="n">
        <f aca="false">F11+F12</f>
        <v>5323.33950408</v>
      </c>
      <c r="G13" s="0" t="n">
        <f aca="false">G11+G12</f>
        <v>5757.67950381</v>
      </c>
      <c r="H13" s="0" t="n">
        <f aca="false">H11+H12</f>
        <v>6227.5061513209</v>
      </c>
      <c r="I13" s="0" t="n">
        <f aca="false">I11+I12</f>
        <v>6674.30208081655</v>
      </c>
      <c r="J13" s="0" t="n">
        <f aca="false">J11+J12</f>
        <v>6913.81417834528</v>
      </c>
      <c r="K13" s="0" t="n">
        <f aca="false">K11+K12</f>
        <v>7161.690129853</v>
      </c>
      <c r="L13" s="0" t="n">
        <f aca="false">L11+L12</f>
        <v>7418.21620569067</v>
      </c>
    </row>
    <row r="14" customFormat="false" ht="15" hidden="false" customHeight="false" outlineLevel="0" collapsed="false">
      <c r="A14" s="0" t="s">
        <v>109</v>
      </c>
      <c r="C14" s="4" t="n">
        <f aca="false">Assumptions!C19</f>
        <v>18</v>
      </c>
      <c r="D14" s="4" t="n">
        <f aca="false">Assumptions!D19</f>
        <v>18.5</v>
      </c>
      <c r="E14" s="4" t="n">
        <f aca="false">Assumptions!E19</f>
        <v>19</v>
      </c>
      <c r="F14" s="4" t="n">
        <f aca="false">Assumptions!F19</f>
        <v>19.5</v>
      </c>
      <c r="G14" s="4" t="n">
        <f aca="false">Assumptions!G19</f>
        <v>20</v>
      </c>
      <c r="H14" s="4" t="n">
        <f aca="false">Assumptions!H19</f>
        <v>20</v>
      </c>
      <c r="I14" s="4" t="n">
        <f aca="false">Assumptions!I19</f>
        <v>20</v>
      </c>
      <c r="J14" s="4" t="n">
        <f aca="false">Assumptions!J19</f>
        <v>20</v>
      </c>
      <c r="K14" s="4" t="n">
        <f aca="false">Assumptions!K19</f>
        <v>20</v>
      </c>
      <c r="L14" s="4" t="n">
        <f aca="false">Assumptions!L19</f>
        <v>20</v>
      </c>
    </row>
    <row r="15" customFormat="false" ht="15" hidden="false" customHeight="false" outlineLevel="0" collapsed="false">
      <c r="A15" s="0" t="s">
        <v>124</v>
      </c>
      <c r="C15" s="0" t="n">
        <f aca="false">C13-MAX(0,C13)*C14/100</f>
        <v>4437.2134872</v>
      </c>
      <c r="D15" s="0" t="n">
        <f aca="false">D13-MAX(0,D13)*D14/100</f>
        <v>4450.463789616</v>
      </c>
      <c r="E15" s="0" t="n">
        <f aca="false">E13-MAX(0,E13)*E14/100</f>
        <v>4152.630646944</v>
      </c>
      <c r="F15" s="0" t="n">
        <f aca="false">F13-MAX(0,F13)*F14/100</f>
        <v>4285.2883007844</v>
      </c>
      <c r="G15" s="0" t="n">
        <f aca="false">G13-MAX(0,G13)*G14/100</f>
        <v>4606.143603048</v>
      </c>
      <c r="H15" s="0" t="n">
        <f aca="false">H13-MAX(0,H13)*H14/100</f>
        <v>4982.00492105672</v>
      </c>
      <c r="I15" s="0" t="n">
        <f aca="false">I13-MAX(0,I13)*I14/100</f>
        <v>5339.44166465324</v>
      </c>
      <c r="J15" s="0" t="n">
        <f aca="false">J13-MAX(0,J13)*J14/100</f>
        <v>5531.05134267622</v>
      </c>
      <c r="K15" s="0" t="n">
        <f aca="false">K13-MAX(0,K13)*K14/100</f>
        <v>5729.3521038824</v>
      </c>
      <c r="L15" s="0" t="n">
        <f aca="false">L13-MAX(0,L13)*L14/100</f>
        <v>5934.57296455254</v>
      </c>
    </row>
    <row r="16" customFormat="false" ht="15" hidden="false" customHeight="false" outlineLevel="0" collapsed="false">
      <c r="A16" s="0" t="s">
        <v>125</v>
      </c>
      <c r="C16" s="0" t="n">
        <f aca="false">-C12</f>
        <v>1445.1372</v>
      </c>
      <c r="D16" s="0" t="n">
        <f aca="false">-D12</f>
        <v>1502.942688</v>
      </c>
      <c r="E16" s="0" t="n">
        <f aca="false">-E12</f>
        <v>1502.942688</v>
      </c>
      <c r="F16" s="0" t="n">
        <f aca="false">-F12</f>
        <v>1472.04886608</v>
      </c>
      <c r="G16" s="0" t="n">
        <f aca="false">-G12</f>
        <v>1452.7068286536</v>
      </c>
      <c r="H16" s="0" t="n">
        <f aca="false">-H12</f>
        <v>1473.96595297536</v>
      </c>
      <c r="I16" s="0" t="n">
        <f aca="false">-I12</f>
        <v>1487.41589229626</v>
      </c>
      <c r="J16" s="0" t="n">
        <f aca="false">-J12</f>
        <v>1492.75533396091</v>
      </c>
      <c r="K16" s="0" t="n">
        <f aca="false">-K12</f>
        <v>1497.07646782238</v>
      </c>
      <c r="L16" s="0" t="n">
        <f aca="false">-L12</f>
        <v>1500.31338991497</v>
      </c>
    </row>
    <row r="17" customFormat="false" ht="15" hidden="false" customHeight="false" outlineLevel="0" collapsed="false">
      <c r="A17" s="0" t="s">
        <v>126</v>
      </c>
      <c r="C17" s="4" t="n">
        <f aca="false">-C6*Assumptions!C18/100</f>
        <v>-1188.22392</v>
      </c>
      <c r="D17" s="4" t="n">
        <f aca="false">-D6*Assumptions!D18/100</f>
        <v>-1235.7528768</v>
      </c>
      <c r="E17" s="4" t="n">
        <f aca="false">-E6*Assumptions!E18/100</f>
        <v>-1202.3541504</v>
      </c>
      <c r="F17" s="4" t="n">
        <f aca="false">-F6*Assumptions!F18/100</f>
        <v>-1198.1793096</v>
      </c>
      <c r="G17" s="4" t="n">
        <f aca="false">-G6*Assumptions!G18/100</f>
        <v>-1240.115585436</v>
      </c>
      <c r="H17" s="4" t="n">
        <f aca="false">-H6*Assumptions!H18/100</f>
        <v>-1289.72020885344</v>
      </c>
      <c r="I17" s="4" t="n">
        <f aca="false">-I6*Assumptions!I18/100</f>
        <v>-1334.86041616331</v>
      </c>
      <c r="J17" s="4" t="n">
        <f aca="false">-J6*Assumptions!J18/100</f>
        <v>-1374.90622864821</v>
      </c>
      <c r="K17" s="4" t="n">
        <f aca="false">-K6*Assumptions!K18/100</f>
        <v>-1416.15341550766</v>
      </c>
      <c r="L17" s="4" t="n">
        <f aca="false">-L6*Assumptions!L18/100</f>
        <v>-1458.63801797289</v>
      </c>
    </row>
    <row r="18" customFormat="false" ht="15" hidden="false" customHeight="false" outlineLevel="0" collapsed="false">
      <c r="A18" s="0" t="s">
        <v>127</v>
      </c>
      <c r="C18" s="4" t="n">
        <f aca="false">(C6-B6)*Assumptions!$B$23/100</f>
        <v>-933.232</v>
      </c>
      <c r="D18" s="4" t="n">
        <f aca="false">(D6-C6)*Assumptions!$B$23/100</f>
        <v>-256.91328</v>
      </c>
      <c r="E18" s="4" t="n">
        <f aca="false">(E6-D6)*Assumptions!$B$23/100</f>
        <v>-0</v>
      </c>
      <c r="F18" s="4" t="n">
        <f aca="false">(F6-E6)*Assumptions!$B$23/100</f>
        <v>-166.993631999999</v>
      </c>
      <c r="G18" s="4" t="n">
        <f aca="false">(G6-F6)*Assumptions!$B$23/100</f>
        <v>-239.635861919999</v>
      </c>
      <c r="H18" s="4" t="n">
        <f aca="false">(H6-G6)*Assumptions!$B$23/100</f>
        <v>-283.4549909568</v>
      </c>
      <c r="I18" s="4" t="n">
        <f aca="false">(I6-H6)*Assumptions!$B$23/100</f>
        <v>-257.944041770688</v>
      </c>
      <c r="J18" s="4" t="n">
        <f aca="false">(J6-I6)*Assumptions!$B$23/100</f>
        <v>-228.833214199425</v>
      </c>
      <c r="K18" s="4" t="n">
        <f aca="false">(K6-J6)*Assumptions!$B$23/100</f>
        <v>-235.698210625407</v>
      </c>
      <c r="L18" s="4" t="n">
        <f aca="false">(L6-K6)*Assumptions!$B$23/100</f>
        <v>-242.76915694417</v>
      </c>
    </row>
    <row r="19" customFormat="false" ht="15" hidden="false" customHeight="false" outlineLevel="0" collapsed="false">
      <c r="A19" s="0" t="s">
        <v>128</v>
      </c>
      <c r="C19" s="0" t="n">
        <f aca="false">C15+C16+C17+C18</f>
        <v>3760.8947672</v>
      </c>
      <c r="D19" s="0" t="n">
        <f aca="false">D15+D16+D17+D18</f>
        <v>4460.740320816</v>
      </c>
      <c r="E19" s="0" t="n">
        <f aca="false">E15+E16+E17+E18</f>
        <v>4453.219184544</v>
      </c>
      <c r="F19" s="0" t="n">
        <f aca="false">F15+F16+F17+F18</f>
        <v>4392.1642252644</v>
      </c>
      <c r="G19" s="0" t="n">
        <f aca="false">G15+G16+G17+G18</f>
        <v>4579.0989843456</v>
      </c>
      <c r="H19" s="0" t="n">
        <f aca="false">H15+H16+H17+H18</f>
        <v>4882.79567422184</v>
      </c>
      <c r="I19" s="0" t="n">
        <f aca="false">I15+I16+I17+I18</f>
        <v>5234.0530990155</v>
      </c>
      <c r="J19" s="0" t="n">
        <f aca="false">J15+J16+J17+J18</f>
        <v>5420.0672337895</v>
      </c>
      <c r="K19" s="0" t="n">
        <f aca="false">K15+K16+K17+K18</f>
        <v>5574.57694557172</v>
      </c>
      <c r="L19" s="0" t="n">
        <f aca="false">L15+L16+L17+L18</f>
        <v>5733.47917955045</v>
      </c>
    </row>
    <row r="20" customFormat="false" ht="15" hidden="false" customHeight="false" outlineLevel="0" collapsed="false">
      <c r="A20" s="0" t="s">
        <v>129</v>
      </c>
      <c r="C20" s="0" t="n">
        <f aca="false">1/(1+$B$27/100)^C4</f>
        <v>0.91743119266055</v>
      </c>
      <c r="D20" s="0" t="n">
        <f aca="false">1/(1+$B$27/100)^D4</f>
        <v>0.84167999326656</v>
      </c>
      <c r="E20" s="0" t="n">
        <f aca="false">1/(1+$B$27/100)^E4</f>
        <v>0.772183480061064</v>
      </c>
      <c r="F20" s="0" t="n">
        <f aca="false">1/(1+$B$27/100)^F4</f>
        <v>0.708425211065196</v>
      </c>
      <c r="G20" s="0" t="n">
        <f aca="false">1/(1+$B$27/100)^G4</f>
        <v>0.649931386298345</v>
      </c>
      <c r="H20" s="0" t="n">
        <f aca="false">1/(1+$B$27/100)^H4</f>
        <v>0.596267326879216</v>
      </c>
      <c r="I20" s="0" t="n">
        <f aca="false">1/(1+$B$27/100)^I4</f>
        <v>0.547034244843317</v>
      </c>
      <c r="J20" s="0" t="n">
        <f aca="false">1/(1+$B$27/100)^J4</f>
        <v>0.501866279672768</v>
      </c>
      <c r="K20" s="0" t="n">
        <f aca="false">1/(1+$B$27/100)^K4</f>
        <v>0.460427779516301</v>
      </c>
      <c r="L20" s="0" t="n">
        <f aca="false">1/(1+$B$27/100)^L4</f>
        <v>0.422410806895689</v>
      </c>
    </row>
    <row r="21" customFormat="false" ht="15" hidden="false" customHeight="false" outlineLevel="0" collapsed="false">
      <c r="A21" s="0" t="s">
        <v>130</v>
      </c>
      <c r="C21" s="0" t="n">
        <f aca="false">C19*C20</f>
        <v>3450.36217174312</v>
      </c>
      <c r="D21" s="0" t="n">
        <f aca="false">D19*D20</f>
        <v>3754.51588318828</v>
      </c>
      <c r="E21" s="0" t="n">
        <f aca="false">E19*E20</f>
        <v>3438.70228739588</v>
      </c>
      <c r="F21" s="0" t="n">
        <f aca="false">F19*F20</f>
        <v>3111.51986831594</v>
      </c>
      <c r="G21" s="0" t="n">
        <f aca="false">G19*G20</f>
        <v>2976.10015089308</v>
      </c>
      <c r="H21" s="0" t="n">
        <f aca="false">H19*H20</f>
        <v>2911.45152436565</v>
      </c>
      <c r="I21" s="0" t="n">
        <f aca="false">I19*I20</f>
        <v>2863.20628448977</v>
      </c>
      <c r="J21" s="0" t="n">
        <f aca="false">J19*J20</f>
        <v>2720.14897819821</v>
      </c>
      <c r="K21" s="0" t="n">
        <f aca="false">K19*K20</f>
        <v>2566.69008479235</v>
      </c>
      <c r="L21" s="0" t="n">
        <f aca="false">L19*L20</f>
        <v>2421.88356655354</v>
      </c>
    </row>
    <row r="23" customFormat="false" ht="15" hidden="false" customHeight="false" outlineLevel="0" collapsed="false">
      <c r="A23" s="0" t="s">
        <v>106</v>
      </c>
      <c r="C23" s="4" t="n">
        <f aca="false">Assumptions!C16</f>
        <v>0</v>
      </c>
      <c r="D23" s="4" t="n">
        <f aca="false">Assumptions!D16</f>
        <v>0</v>
      </c>
      <c r="E23" s="4" t="n">
        <f aca="false">Assumptions!E16</f>
        <v>0</v>
      </c>
      <c r="F23" s="4" t="n">
        <f aca="false">Assumptions!F16</f>
        <v>0</v>
      </c>
      <c r="G23" s="4" t="n">
        <f aca="false">Assumptions!G16</f>
        <v>0</v>
      </c>
      <c r="H23" s="4" t="n">
        <f aca="false">Assumptions!H16</f>
        <v>0</v>
      </c>
      <c r="I23" s="4" t="n">
        <f aca="false">Assumptions!I16</f>
        <v>0</v>
      </c>
      <c r="J23" s="4" t="n">
        <f aca="false">Assumptions!J16</f>
        <v>0</v>
      </c>
      <c r="K23" s="4" t="n">
        <f aca="false">Assumptions!K16</f>
        <v>0</v>
      </c>
      <c r="L23" s="4" t="n">
        <f aca="false">Assumptions!L16</f>
        <v>0</v>
      </c>
    </row>
    <row r="24" customFormat="false" ht="15" hidden="false" customHeight="false" outlineLevel="0" collapsed="false">
      <c r="A24" s="0" t="s">
        <v>131</v>
      </c>
      <c r="C24" s="0" t="n">
        <f aca="false">-C6*C23/100</f>
        <v>-0</v>
      </c>
      <c r="D24" s="0" t="n">
        <f aca="false">-D6*D23/100</f>
        <v>-0</v>
      </c>
      <c r="E24" s="0" t="n">
        <f aca="false">-E6*E23/100</f>
        <v>-0</v>
      </c>
      <c r="F24" s="0" t="n">
        <f aca="false">-F6*F23/100</f>
        <v>-0</v>
      </c>
      <c r="G24" s="0" t="n">
        <f aca="false">-G6*G23/100</f>
        <v>-0</v>
      </c>
      <c r="H24" s="0" t="n">
        <f aca="false">-H6*H23/100</f>
        <v>-0</v>
      </c>
      <c r="I24" s="0" t="n">
        <f aca="false">-I6*I23/100</f>
        <v>-0</v>
      </c>
      <c r="J24" s="0" t="n">
        <f aca="false">-J6*J23/100</f>
        <v>-0</v>
      </c>
      <c r="K24" s="0" t="n">
        <f aca="false">-K6*K23/100</f>
        <v>-0</v>
      </c>
      <c r="L24" s="0" t="n">
        <f aca="false">-L6*L23/100</f>
        <v>-0</v>
      </c>
    </row>
    <row r="26" customFormat="false" ht="15" hidden="false" customHeight="false" outlineLevel="0" collapsed="false">
      <c r="A26" s="2" t="s">
        <v>132</v>
      </c>
    </row>
    <row r="27" customFormat="false" ht="15" hidden="false" customHeight="false" outlineLevel="0" collapsed="false">
      <c r="A27" s="0" t="s">
        <v>110</v>
      </c>
      <c r="B27" s="4" t="n">
        <f aca="false">Assumptions!$B$20</f>
        <v>9</v>
      </c>
    </row>
    <row r="28" customFormat="false" ht="15" hidden="false" customHeight="false" outlineLevel="0" collapsed="false">
      <c r="A28" s="0" t="s">
        <v>111</v>
      </c>
      <c r="B28" s="4" t="n">
        <f aca="false">Assumptions!$B$21</f>
        <v>2.5</v>
      </c>
    </row>
    <row r="29" customFormat="false" ht="15" hidden="false" customHeight="false" outlineLevel="0" collapsed="false">
      <c r="A29" s="0" t="s">
        <v>112</v>
      </c>
      <c r="B29" s="4" t="n">
        <f aca="false">Assumptions!$B$22</f>
        <v>18</v>
      </c>
    </row>
    <row r="30" customFormat="false" ht="15" hidden="false" customHeight="false" outlineLevel="0" collapsed="false">
      <c r="A30" s="0" t="s">
        <v>133</v>
      </c>
      <c r="B30" s="0" t="n">
        <f aca="false">SUM(C21:L21)</f>
        <v>30214.5807999358</v>
      </c>
    </row>
    <row r="31" customFormat="false" ht="15" hidden="false" customHeight="false" outlineLevel="0" collapsed="false">
      <c r="A31" s="0" t="s">
        <v>134</v>
      </c>
      <c r="B31" s="0" t="n">
        <f aca="false">L19</f>
        <v>5733.47917955045</v>
      </c>
    </row>
    <row r="32" customFormat="false" ht="15" hidden="false" customHeight="false" outlineLevel="0" collapsed="false">
      <c r="A32" s="0" t="s">
        <v>135</v>
      </c>
      <c r="B32" s="0" t="n">
        <f aca="false">IF(B27&gt;B28,B31*(1+B28/100)/((B27-B28)/100),B31*B29)</f>
        <v>90412.5562929109</v>
      </c>
    </row>
    <row r="33" customFormat="false" ht="15" hidden="false" customHeight="false" outlineLevel="0" collapsed="false">
      <c r="A33" s="0" t="s">
        <v>136</v>
      </c>
      <c r="B33" s="0" t="n">
        <f aca="false">B31*B29</f>
        <v>103202.625231908</v>
      </c>
    </row>
    <row r="34" customFormat="false" ht="15" hidden="false" customHeight="false" outlineLevel="0" collapsed="false">
      <c r="A34" s="0" t="s">
        <v>137</v>
      </c>
      <c r="B34" s="0" t="n">
        <f aca="false">MAX(0,MIN(B32,B33))</f>
        <v>90412.5562929109</v>
      </c>
    </row>
    <row r="35" customFormat="false" ht="15" hidden="false" customHeight="false" outlineLevel="0" collapsed="false">
      <c r="A35" s="0" t="s">
        <v>138</v>
      </c>
      <c r="B35" s="0" t="n">
        <f aca="false">B34/(1+B27/100)^L4</f>
        <v>38191.2408571904</v>
      </c>
    </row>
    <row r="36" customFormat="false" ht="15" hidden="false" customHeight="false" outlineLevel="0" collapsed="false">
      <c r="A36" s="0" t="s">
        <v>139</v>
      </c>
      <c r="B36" s="0" t="n">
        <f aca="false">B30+B35</f>
        <v>68405.8216571262</v>
      </c>
    </row>
    <row r="37" customFormat="false" ht="15" hidden="false" customHeight="false" outlineLevel="0" collapsed="false">
      <c r="A37" s="0" t="s">
        <v>140</v>
      </c>
      <c r="B37" s="0" t="n">
        <f aca="false">B36+Assumptions!$B$5-Assumptions!$B$4</f>
        <v>48433.8216571262</v>
      </c>
    </row>
    <row r="38" customFormat="false" ht="15" hidden="false" customHeight="false" outlineLevel="0" collapsed="false">
      <c r="A38" s="0" t="s">
        <v>141</v>
      </c>
      <c r="B38" s="0" t="n">
        <f aca="false">B37/Assumptions!$B$3*Assumptions!$B$10</f>
        <v>124.348707720478</v>
      </c>
    </row>
    <row r="39" customFormat="false" ht="15" hidden="false" customHeight="false" outlineLevel="0" collapsed="false">
      <c r="A39" s="0" t="s">
        <v>142</v>
      </c>
      <c r="B39" s="4" t="n">
        <f aca="false">B38/Assumptions!$B$2-1</f>
        <v>-0.717376454110464</v>
      </c>
    </row>
    <row r="41" customFormat="false" ht="15" hidden="false" customHeight="false" outlineLevel="0" collapsed="false">
      <c r="A41" s="0" t="s">
        <v>143</v>
      </c>
      <c r="B41" s="0" t="n">
        <f aca="false">SUMPRODUCT(-C10:L10/(1+$B$27/100)^C4:L4)</f>
        <v>1441.88748157666</v>
      </c>
    </row>
    <row r="42" customFormat="false" ht="15" hidden="false" customHeight="false" outlineLevel="0" collapsed="false">
      <c r="A42" s="0" t="s">
        <v>144</v>
      </c>
      <c r="B42" s="0" t="n">
        <f aca="false">IF(B27&gt;B28,-L10*(1+B28/100)/((B27-B28)/100),-L10*20)/(1+B27/100)^L4</f>
        <v>1665.62129325935</v>
      </c>
    </row>
    <row r="43" customFormat="false" ht="15" hidden="false" customHeight="false" outlineLevel="0" collapsed="false">
      <c r="A43" s="0" t="s">
        <v>145</v>
      </c>
      <c r="B43" s="0" t="n">
        <f aca="false">(B37+B41+B42)/Assumptions!$B$3*Assumptions!$B$10</f>
        <v>132.326907399133</v>
      </c>
    </row>
    <row r="45" customFormat="false" ht="15" hidden="false" customHeight="false" outlineLevel="0" collapsed="false">
      <c r="A45" s="0" t="s">
        <v>86</v>
      </c>
      <c r="B45" s="4" t="n">
        <f aca="false">Assumptions!$B$6</f>
        <v>15</v>
      </c>
    </row>
    <row r="46" customFormat="false" ht="15" hidden="false" customHeight="false" outlineLevel="0" collapsed="false">
      <c r="A46" s="0" t="s">
        <v>146</v>
      </c>
      <c r="B46" s="0" t="n">
        <f aca="false">MAX(0,MIN(IF(B45&gt;B28,B31*(1+B28/100)/((B45-B28)/100),B31*B29),B31*B29))</f>
        <v>47014.5292723137</v>
      </c>
    </row>
    <row r="47" customFormat="false" ht="15" hidden="false" customHeight="false" outlineLevel="0" collapsed="false">
      <c r="A47" s="0" t="s">
        <v>147</v>
      </c>
      <c r="B47" s="0" t="n">
        <f aca="false">(SUMPRODUCT(C19:L19/(1+B45/100)^C4:L4)+B46/(1+B45/100)^L4+Assumptions!$B$5-Assumptions!$B$4)/Assumptions!$B$3*Assumptions!$B$10</f>
        <v>38.1536286247431</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L4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0" width="52"/>
  </cols>
  <sheetData>
    <row r="1" customFormat="false" ht="15" hidden="false" customHeight="false" outlineLevel="0" collapsed="false">
      <c r="A1" s="2" t="s">
        <v>148</v>
      </c>
    </row>
    <row r="3" customFormat="false" ht="15" hidden="false" customHeight="false" outlineLevel="0" collapsed="false">
      <c r="A3" s="0" t="s">
        <v>118</v>
      </c>
      <c r="B3" s="0" t="s">
        <v>79</v>
      </c>
      <c r="C3" s="2" t="s">
        <v>93</v>
      </c>
      <c r="D3" s="2" t="s">
        <v>94</v>
      </c>
      <c r="E3" s="2" t="s">
        <v>95</v>
      </c>
      <c r="F3" s="2" t="s">
        <v>96</v>
      </c>
      <c r="G3" s="2" t="s">
        <v>97</v>
      </c>
      <c r="H3" s="2" t="s">
        <v>98</v>
      </c>
      <c r="I3" s="2" t="s">
        <v>99</v>
      </c>
      <c r="J3" s="2" t="s">
        <v>100</v>
      </c>
      <c r="K3" s="2" t="s">
        <v>101</v>
      </c>
      <c r="L3" s="2" t="s">
        <v>102</v>
      </c>
    </row>
    <row r="4" customFormat="false" ht="15" hidden="false" customHeight="false" outlineLevel="0" collapsed="false">
      <c r="A4" s="0" t="s">
        <v>119</v>
      </c>
      <c r="B4" s="0" t="n">
        <v>0</v>
      </c>
      <c r="C4" s="0" t="n">
        <f aca="false">B4+1</f>
        <v>1</v>
      </c>
      <c r="D4" s="0" t="n">
        <f aca="false">C4+1</f>
        <v>2</v>
      </c>
      <c r="E4" s="0" t="n">
        <f aca="false">D4+1</f>
        <v>3</v>
      </c>
      <c r="F4" s="0" t="n">
        <f aca="false">E4+1</f>
        <v>4</v>
      </c>
      <c r="G4" s="0" t="n">
        <f aca="false">F4+1</f>
        <v>5</v>
      </c>
      <c r="H4" s="0" t="n">
        <f aca="false">G4+1</f>
        <v>6</v>
      </c>
      <c r="I4" s="0" t="n">
        <f aca="false">H4+1</f>
        <v>7</v>
      </c>
      <c r="J4" s="0" t="n">
        <f aca="false">I4+1</f>
        <v>8</v>
      </c>
      <c r="K4" s="0" t="n">
        <f aca="false">J4+1</f>
        <v>9</v>
      </c>
      <c r="L4" s="0" t="n">
        <f aca="false">K4+1</f>
        <v>10</v>
      </c>
    </row>
    <row r="5" customFormat="false" ht="15" hidden="false" customHeight="false" outlineLevel="0" collapsed="false">
      <c r="A5" s="0" t="s">
        <v>103</v>
      </c>
      <c r="C5" s="4" t="n">
        <f aca="false">Assumptions!C27</f>
        <v>19.5</v>
      </c>
      <c r="D5" s="4" t="n">
        <f aca="false">Assumptions!D27</f>
        <v>11</v>
      </c>
      <c r="E5" s="4" t="n">
        <f aca="false">Assumptions!E27</f>
        <v>9</v>
      </c>
      <c r="F5" s="4" t="n">
        <f aca="false">Assumptions!F27</f>
        <v>7.5</v>
      </c>
      <c r="G5" s="4" t="n">
        <f aca="false">Assumptions!G27</f>
        <v>6.5</v>
      </c>
      <c r="H5" s="4" t="n">
        <f aca="false">Assumptions!H27</f>
        <v>5.5</v>
      </c>
      <c r="I5" s="4" t="n">
        <f aca="false">Assumptions!I27</f>
        <v>5</v>
      </c>
      <c r="J5" s="4" t="n">
        <f aca="false">Assumptions!J27</f>
        <v>4.5</v>
      </c>
      <c r="K5" s="4" t="n">
        <f aca="false">Assumptions!K27</f>
        <v>4</v>
      </c>
      <c r="L5" s="4" t="n">
        <f aca="false">Assumptions!L27</f>
        <v>3.5</v>
      </c>
    </row>
    <row r="6" customFormat="false" ht="15" hidden="false" customHeight="false" outlineLevel="0" collapsed="false">
      <c r="A6" s="0" t="s">
        <v>37</v>
      </c>
      <c r="B6" s="3" t="n">
        <v>27448</v>
      </c>
      <c r="C6" s="0" t="n">
        <f aca="false">B6*(1+C5/100)</f>
        <v>32800.36</v>
      </c>
      <c r="D6" s="0" t="n">
        <f aca="false">C6*(1+D5/100)</f>
        <v>36408.3996</v>
      </c>
      <c r="E6" s="0" t="n">
        <f aca="false">D6*(1+E5/100)</f>
        <v>39685.155564</v>
      </c>
      <c r="F6" s="0" t="n">
        <f aca="false">E6*(1+F5/100)</f>
        <v>42661.5422313</v>
      </c>
      <c r="G6" s="0" t="n">
        <f aca="false">F6*(1+G5/100)</f>
        <v>45434.5424763345</v>
      </c>
      <c r="H6" s="0" t="n">
        <f aca="false">G6*(1+H5/100)</f>
        <v>47933.4423125329</v>
      </c>
      <c r="I6" s="0" t="n">
        <f aca="false">H6*(1+I5/100)</f>
        <v>50330.1144281596</v>
      </c>
      <c r="J6" s="0" t="n">
        <f aca="false">I6*(1+J5/100)</f>
        <v>52594.9695774267</v>
      </c>
      <c r="K6" s="0" t="n">
        <f aca="false">J6*(1+K5/100)</f>
        <v>54698.7683605238</v>
      </c>
      <c r="L6" s="0" t="n">
        <f aca="false">K6*(1+L5/100)</f>
        <v>56613.2252531421</v>
      </c>
    </row>
    <row r="7" customFormat="false" ht="15" hidden="false" customHeight="false" outlineLevel="0" collapsed="false">
      <c r="A7" s="0" t="s">
        <v>104</v>
      </c>
      <c r="C7" s="4" t="n">
        <f aca="false">Assumptions!C28</f>
        <v>23</v>
      </c>
      <c r="D7" s="4" t="n">
        <f aca="false">Assumptions!D28</f>
        <v>23.8</v>
      </c>
      <c r="E7" s="4" t="n">
        <f aca="false">Assumptions!E28</f>
        <v>24.2</v>
      </c>
      <c r="F7" s="4" t="n">
        <f aca="false">Assumptions!F28</f>
        <v>24.5</v>
      </c>
      <c r="G7" s="4" t="n">
        <f aca="false">Assumptions!G28</f>
        <v>24.5</v>
      </c>
      <c r="H7" s="4" t="n">
        <f aca="false">Assumptions!H28</f>
        <v>24.5</v>
      </c>
      <c r="I7" s="4" t="n">
        <f aca="false">Assumptions!I28</f>
        <v>24.5</v>
      </c>
      <c r="J7" s="4" t="n">
        <f aca="false">Assumptions!J28</f>
        <v>24.5</v>
      </c>
      <c r="K7" s="4" t="n">
        <f aca="false">Assumptions!K28</f>
        <v>24.5</v>
      </c>
      <c r="L7" s="4" t="n">
        <f aca="false">Assumptions!L28</f>
        <v>24.5</v>
      </c>
    </row>
    <row r="8" customFormat="false" ht="15" hidden="false" customHeight="false" outlineLevel="0" collapsed="false">
      <c r="A8" s="0" t="s">
        <v>43</v>
      </c>
      <c r="C8" s="0" t="n">
        <f aca="false">C6*C7/100</f>
        <v>7544.0828</v>
      </c>
      <c r="D8" s="0" t="n">
        <f aca="false">D6*D7/100</f>
        <v>8665.1991048</v>
      </c>
      <c r="E8" s="0" t="n">
        <f aca="false">E6*E7/100</f>
        <v>9603.807646488</v>
      </c>
      <c r="F8" s="0" t="n">
        <f aca="false">F6*F7/100</f>
        <v>10452.0778466685</v>
      </c>
      <c r="G8" s="0" t="n">
        <f aca="false">G6*G7/100</f>
        <v>11131.462906702</v>
      </c>
      <c r="H8" s="0" t="n">
        <f aca="false">H6*H7/100</f>
        <v>11743.6933665706</v>
      </c>
      <c r="I8" s="0" t="n">
        <f aca="false">I6*I7/100</f>
        <v>12330.8780348991</v>
      </c>
      <c r="J8" s="0" t="n">
        <f aca="false">J6*J7/100</f>
        <v>12885.7675464695</v>
      </c>
      <c r="K8" s="0" t="n">
        <f aca="false">K6*K7/100</f>
        <v>13401.1982483283</v>
      </c>
      <c r="L8" s="0" t="n">
        <f aca="false">L6*L7/100</f>
        <v>13870.2401870198</v>
      </c>
    </row>
    <row r="9" customFormat="false" ht="15" hidden="false" customHeight="false" outlineLevel="0" collapsed="false">
      <c r="A9" s="0" t="s">
        <v>105</v>
      </c>
      <c r="C9" s="4" t="n">
        <f aca="false">Assumptions!C29</f>
        <v>0.65</v>
      </c>
      <c r="D9" s="4" t="n">
        <f aca="false">Assumptions!D29</f>
        <v>0.65</v>
      </c>
      <c r="E9" s="4" t="n">
        <f aca="false">Assumptions!E29</f>
        <v>0.65</v>
      </c>
      <c r="F9" s="4" t="n">
        <f aca="false">Assumptions!F29</f>
        <v>0.65</v>
      </c>
      <c r="G9" s="4" t="n">
        <f aca="false">Assumptions!G29</f>
        <v>0.65</v>
      </c>
      <c r="H9" s="4" t="n">
        <f aca="false">Assumptions!H29</f>
        <v>0.6</v>
      </c>
      <c r="I9" s="4" t="n">
        <f aca="false">Assumptions!I29</f>
        <v>0.6</v>
      </c>
      <c r="J9" s="4" t="n">
        <f aca="false">Assumptions!J29</f>
        <v>0.6</v>
      </c>
      <c r="K9" s="4" t="n">
        <f aca="false">Assumptions!K29</f>
        <v>0.6</v>
      </c>
      <c r="L9" s="4" t="n">
        <f aca="false">Assumptions!L29</f>
        <v>0.6</v>
      </c>
    </row>
    <row r="10" customFormat="false" ht="15" hidden="false" customHeight="false" outlineLevel="0" collapsed="false">
      <c r="A10" s="0" t="s">
        <v>120</v>
      </c>
      <c r="C10" s="0" t="n">
        <f aca="false">-C6*C9/100</f>
        <v>-213.20234</v>
      </c>
      <c r="D10" s="0" t="n">
        <f aca="false">-D6*D9/100</f>
        <v>-236.6545974</v>
      </c>
      <c r="E10" s="0" t="n">
        <f aca="false">-E6*E9/100</f>
        <v>-257.953511166</v>
      </c>
      <c r="F10" s="0" t="n">
        <f aca="false">-F6*F9/100</f>
        <v>-277.30002450345</v>
      </c>
      <c r="G10" s="0" t="n">
        <f aca="false">-G6*G9/100</f>
        <v>-295.324526096174</v>
      </c>
      <c r="H10" s="0" t="n">
        <f aca="false">-H6*H9/100</f>
        <v>-287.600653875197</v>
      </c>
      <c r="I10" s="0" t="n">
        <f aca="false">-I6*I9/100</f>
        <v>-301.980686568957</v>
      </c>
      <c r="J10" s="0" t="n">
        <f aca="false">-J6*J9/100</f>
        <v>-315.56981746456</v>
      </c>
      <c r="K10" s="0" t="n">
        <f aca="false">-K6*K9/100</f>
        <v>-328.192610163143</v>
      </c>
      <c r="L10" s="0" t="n">
        <f aca="false">-L6*L9/100</f>
        <v>-339.679351518853</v>
      </c>
    </row>
    <row r="11" customFormat="false" ht="15" hidden="false" customHeight="false" outlineLevel="0" collapsed="false">
      <c r="A11" s="0" t="s">
        <v>121</v>
      </c>
      <c r="C11" s="0" t="n">
        <f aca="false">C8+C10+C24</f>
        <v>7330.88046</v>
      </c>
      <c r="D11" s="0" t="n">
        <f aca="false">D8+D10+D24</f>
        <v>8428.5445074</v>
      </c>
      <c r="E11" s="0" t="n">
        <f aca="false">E8+E10+E24</f>
        <v>9345.854135322</v>
      </c>
      <c r="F11" s="0" t="n">
        <f aca="false">F8+F10+F24</f>
        <v>10174.7778221651</v>
      </c>
      <c r="G11" s="0" t="n">
        <f aca="false">G8+G10+G24</f>
        <v>10836.1383806058</v>
      </c>
      <c r="H11" s="0" t="n">
        <f aca="false">H8+H10+H24</f>
        <v>11456.0927126954</v>
      </c>
      <c r="I11" s="0" t="n">
        <f aca="false">I8+I10+I24</f>
        <v>12028.8973483301</v>
      </c>
      <c r="J11" s="0" t="n">
        <f aca="false">J8+J10+J24</f>
        <v>12570.197729005</v>
      </c>
      <c r="K11" s="0" t="n">
        <f aca="false">K8+K10+K24</f>
        <v>13073.0056381652</v>
      </c>
      <c r="L11" s="0" t="n">
        <f aca="false">L8+L10+L24</f>
        <v>13530.560835501</v>
      </c>
    </row>
    <row r="12" customFormat="false" ht="15" hidden="false" customHeight="false" outlineLevel="0" collapsed="false">
      <c r="A12" s="0" t="s">
        <v>122</v>
      </c>
      <c r="C12" s="4" t="n">
        <f aca="false">-C6*Assumptions!C31/100</f>
        <v>-1443.21584</v>
      </c>
      <c r="D12" s="4" t="n">
        <f aca="false">-D6*Assumptions!D31/100</f>
        <v>-1565.5611828</v>
      </c>
      <c r="E12" s="4" t="n">
        <f aca="false">-E6*Assumptions!E31/100</f>
        <v>-1666.776533688</v>
      </c>
      <c r="F12" s="4" t="n">
        <f aca="false">-F6*Assumptions!F31/100</f>
        <v>-1706.461689252</v>
      </c>
      <c r="G12" s="4" t="n">
        <f aca="false">-G6*Assumptions!G31/100</f>
        <v>-1771.94715657705</v>
      </c>
      <c r="H12" s="4" t="n">
        <f aca="false">-H6*Assumptions!H31/100</f>
        <v>-1821.47080787625</v>
      </c>
      <c r="I12" s="4" t="n">
        <f aca="false">-I6*Assumptions!I31/100</f>
        <v>-1862.2142338419</v>
      </c>
      <c r="J12" s="4" t="n">
        <f aca="false">-J6*Assumptions!J31/100</f>
        <v>-1893.41890478736</v>
      </c>
      <c r="K12" s="4" t="n">
        <f aca="false">-K6*Assumptions!K31/100</f>
        <v>-1914.45689261833</v>
      </c>
      <c r="L12" s="4" t="n">
        <f aca="false">-L6*Assumptions!L31/100</f>
        <v>-1924.84965860683</v>
      </c>
    </row>
    <row r="13" customFormat="false" ht="15" hidden="false" customHeight="false" outlineLevel="0" collapsed="false">
      <c r="A13" s="0" t="s">
        <v>123</v>
      </c>
      <c r="C13" s="0" t="n">
        <f aca="false">C11+C12</f>
        <v>5887.66462</v>
      </c>
      <c r="D13" s="0" t="n">
        <f aca="false">D11+D12</f>
        <v>6862.9833246</v>
      </c>
      <c r="E13" s="0" t="n">
        <f aca="false">E11+E12</f>
        <v>7679.077601634</v>
      </c>
      <c r="F13" s="0" t="n">
        <f aca="false">F11+F12</f>
        <v>8468.31613291305</v>
      </c>
      <c r="G13" s="0" t="n">
        <f aca="false">G11+G12</f>
        <v>9064.19122402874</v>
      </c>
      <c r="H13" s="0" t="n">
        <f aca="false">H11+H12</f>
        <v>9634.62190481911</v>
      </c>
      <c r="I13" s="0" t="n">
        <f aca="false">I11+I12</f>
        <v>10166.6831144882</v>
      </c>
      <c r="J13" s="0" t="n">
        <f aca="false">J11+J12</f>
        <v>10676.7788242176</v>
      </c>
      <c r="K13" s="0" t="n">
        <f aca="false">K11+K12</f>
        <v>11158.5487455469</v>
      </c>
      <c r="L13" s="0" t="n">
        <f aca="false">L11+L12</f>
        <v>11605.7111768941</v>
      </c>
    </row>
    <row r="14" customFormat="false" ht="15" hidden="false" customHeight="false" outlineLevel="0" collapsed="false">
      <c r="A14" s="0" t="s">
        <v>109</v>
      </c>
      <c r="C14" s="4" t="n">
        <f aca="false">Assumptions!C33</f>
        <v>18</v>
      </c>
      <c r="D14" s="4" t="n">
        <f aca="false">Assumptions!D33</f>
        <v>18</v>
      </c>
      <c r="E14" s="4" t="n">
        <f aca="false">Assumptions!E33</f>
        <v>18</v>
      </c>
      <c r="F14" s="4" t="n">
        <f aca="false">Assumptions!F33</f>
        <v>18.5</v>
      </c>
      <c r="G14" s="4" t="n">
        <f aca="false">Assumptions!G33</f>
        <v>18.5</v>
      </c>
      <c r="H14" s="4" t="n">
        <f aca="false">Assumptions!H33</f>
        <v>19</v>
      </c>
      <c r="I14" s="4" t="n">
        <f aca="false">Assumptions!I33</f>
        <v>19</v>
      </c>
      <c r="J14" s="4" t="n">
        <f aca="false">Assumptions!J33</f>
        <v>19</v>
      </c>
      <c r="K14" s="4" t="n">
        <f aca="false">Assumptions!K33</f>
        <v>19</v>
      </c>
      <c r="L14" s="4" t="n">
        <f aca="false">Assumptions!L33</f>
        <v>19</v>
      </c>
    </row>
    <row r="15" customFormat="false" ht="15" hidden="false" customHeight="false" outlineLevel="0" collapsed="false">
      <c r="A15" s="0" t="s">
        <v>124</v>
      </c>
      <c r="C15" s="0" t="n">
        <f aca="false">C13-MAX(0,C13)*C14/100</f>
        <v>4827.8849884</v>
      </c>
      <c r="D15" s="0" t="n">
        <f aca="false">D13-MAX(0,D13)*D14/100</f>
        <v>5627.646326172</v>
      </c>
      <c r="E15" s="0" t="n">
        <f aca="false">E13-MAX(0,E13)*E14/100</f>
        <v>6296.84363333988</v>
      </c>
      <c r="F15" s="0" t="n">
        <f aca="false">F13-MAX(0,F13)*F14/100</f>
        <v>6901.67764832414</v>
      </c>
      <c r="G15" s="0" t="n">
        <f aca="false">G13-MAX(0,G13)*G14/100</f>
        <v>7387.31584758342</v>
      </c>
      <c r="H15" s="0" t="n">
        <f aca="false">H13-MAX(0,H13)*H14/100</f>
        <v>7804.04374290348</v>
      </c>
      <c r="I15" s="0" t="n">
        <f aca="false">I13-MAX(0,I13)*I14/100</f>
        <v>8235.01332273547</v>
      </c>
      <c r="J15" s="0" t="n">
        <f aca="false">J13-MAX(0,J13)*J14/100</f>
        <v>8648.19084761628</v>
      </c>
      <c r="K15" s="0" t="n">
        <f aca="false">K13-MAX(0,K13)*K14/100</f>
        <v>9038.42448389295</v>
      </c>
      <c r="L15" s="0" t="n">
        <f aca="false">L13-MAX(0,L13)*L14/100</f>
        <v>9400.62605328425</v>
      </c>
    </row>
    <row r="16" customFormat="false" ht="15" hidden="false" customHeight="false" outlineLevel="0" collapsed="false">
      <c r="A16" s="0" t="s">
        <v>125</v>
      </c>
      <c r="C16" s="0" t="n">
        <f aca="false">-C12</f>
        <v>1443.21584</v>
      </c>
      <c r="D16" s="0" t="n">
        <f aca="false">-D12</f>
        <v>1565.5611828</v>
      </c>
      <c r="E16" s="0" t="n">
        <f aca="false">-E12</f>
        <v>1666.776533688</v>
      </c>
      <c r="F16" s="0" t="n">
        <f aca="false">-F12</f>
        <v>1706.461689252</v>
      </c>
      <c r="G16" s="0" t="n">
        <f aca="false">-G12</f>
        <v>1771.94715657705</v>
      </c>
      <c r="H16" s="0" t="n">
        <f aca="false">-H12</f>
        <v>1821.47080787625</v>
      </c>
      <c r="I16" s="0" t="n">
        <f aca="false">-I12</f>
        <v>1862.2142338419</v>
      </c>
      <c r="J16" s="0" t="n">
        <f aca="false">-J12</f>
        <v>1893.41890478736</v>
      </c>
      <c r="K16" s="0" t="n">
        <f aca="false">-K12</f>
        <v>1914.45689261833</v>
      </c>
      <c r="L16" s="0" t="n">
        <f aca="false">-L12</f>
        <v>1924.84965860683</v>
      </c>
    </row>
    <row r="17" customFormat="false" ht="15" hidden="false" customHeight="false" outlineLevel="0" collapsed="false">
      <c r="A17" s="0" t="s">
        <v>126</v>
      </c>
      <c r="C17" s="4" t="n">
        <f aca="false">-C6*Assumptions!C32/100</f>
        <v>-1148.0126</v>
      </c>
      <c r="D17" s="4" t="n">
        <f aca="false">-D6*Assumptions!D32/100</f>
        <v>-1274.293986</v>
      </c>
      <c r="E17" s="4" t="n">
        <f aca="false">-E6*Assumptions!E32/100</f>
        <v>-1388.98044474</v>
      </c>
      <c r="F17" s="4" t="n">
        <f aca="false">-F6*Assumptions!F32/100</f>
        <v>-1450.4924358642</v>
      </c>
      <c r="G17" s="4" t="n">
        <f aca="false">-G6*Assumptions!G32/100</f>
        <v>-1544.77444419537</v>
      </c>
      <c r="H17" s="4" t="n">
        <f aca="false">-H6*Assumptions!H32/100</f>
        <v>-1629.73703862612</v>
      </c>
      <c r="I17" s="4" t="n">
        <f aca="false">-I6*Assumptions!I32/100</f>
        <v>-1711.22389055742</v>
      </c>
      <c r="J17" s="4" t="n">
        <f aca="false">-J6*Assumptions!J32/100</f>
        <v>-1788.22896563251</v>
      </c>
      <c r="K17" s="4" t="n">
        <f aca="false">-K6*Assumptions!K32/100</f>
        <v>-1859.75812425781</v>
      </c>
      <c r="L17" s="4" t="n">
        <f aca="false">-L6*Assumptions!L32/100</f>
        <v>-1924.84965860683</v>
      </c>
    </row>
    <row r="18" customFormat="false" ht="15" hidden="false" customHeight="false" outlineLevel="0" collapsed="false">
      <c r="A18" s="0" t="s">
        <v>127</v>
      </c>
      <c r="C18" s="4" t="n">
        <f aca="false">(C6-B6)*Assumptions!$B$37/100</f>
        <v>-802.854</v>
      </c>
      <c r="D18" s="4" t="n">
        <f aca="false">(D6-C6)*Assumptions!$B$37/100</f>
        <v>-541.205940000001</v>
      </c>
      <c r="E18" s="4" t="n">
        <f aca="false">(E6-D6)*Assumptions!$B$37/100</f>
        <v>-491.513394600001</v>
      </c>
      <c r="F18" s="4" t="n">
        <f aca="false">(F6-E6)*Assumptions!$B$37/100</f>
        <v>-446.458000095</v>
      </c>
      <c r="G18" s="4" t="n">
        <f aca="false">(G6-F6)*Assumptions!$B$37/100</f>
        <v>-415.950036755175</v>
      </c>
      <c r="H18" s="4" t="n">
        <f aca="false">(H6-G6)*Assumptions!$B$37/100</f>
        <v>-374.83497542976</v>
      </c>
      <c r="I18" s="4" t="n">
        <f aca="false">(I6-H6)*Assumptions!$B$37/100</f>
        <v>-359.500817343998</v>
      </c>
      <c r="J18" s="4" t="n">
        <f aca="false">(J6-I6)*Assumptions!$B$37/100</f>
        <v>-339.728272390076</v>
      </c>
      <c r="K18" s="4" t="n">
        <f aca="false">(K6-J6)*Assumptions!$B$37/100</f>
        <v>-315.569817464561</v>
      </c>
      <c r="L18" s="4" t="n">
        <f aca="false">(L6-K6)*Assumptions!$B$37/100</f>
        <v>-287.168533892749</v>
      </c>
    </row>
    <row r="19" customFormat="false" ht="15" hidden="false" customHeight="false" outlineLevel="0" collapsed="false">
      <c r="A19" s="0" t="s">
        <v>128</v>
      </c>
      <c r="C19" s="0" t="n">
        <f aca="false">C15+C16+C17+C18</f>
        <v>4320.2342284</v>
      </c>
      <c r="D19" s="0" t="n">
        <f aca="false">D15+D16+D17+D18</f>
        <v>5377.707582972</v>
      </c>
      <c r="E19" s="0" t="n">
        <f aca="false">E15+E16+E17+E18</f>
        <v>6083.12632768788</v>
      </c>
      <c r="F19" s="0" t="n">
        <f aca="false">F15+F16+F17+F18</f>
        <v>6711.18890161694</v>
      </c>
      <c r="G19" s="0" t="n">
        <f aca="false">G15+G16+G17+G18</f>
        <v>7198.53852320992</v>
      </c>
      <c r="H19" s="0" t="n">
        <f aca="false">H15+H16+H17+H18</f>
        <v>7620.94253672386</v>
      </c>
      <c r="I19" s="0" t="n">
        <f aca="false">I15+I16+I17+I18</f>
        <v>8026.50284867595</v>
      </c>
      <c r="J19" s="0" t="n">
        <f aca="false">J15+J16+J17+J18</f>
        <v>8413.65251438105</v>
      </c>
      <c r="K19" s="0" t="n">
        <f aca="false">K15+K16+K17+K18</f>
        <v>8777.55343478892</v>
      </c>
      <c r="L19" s="0" t="n">
        <f aca="false">L15+L16+L17+L18</f>
        <v>9113.4575193915</v>
      </c>
    </row>
    <row r="20" customFormat="false" ht="15" hidden="false" customHeight="false" outlineLevel="0" collapsed="false">
      <c r="A20" s="0" t="s">
        <v>129</v>
      </c>
      <c r="C20" s="0" t="n">
        <f aca="false">1/(1+$B$27/100)^C4</f>
        <v>0.91743119266055</v>
      </c>
      <c r="D20" s="0" t="n">
        <f aca="false">1/(1+$B$27/100)^D4</f>
        <v>0.84167999326656</v>
      </c>
      <c r="E20" s="0" t="n">
        <f aca="false">1/(1+$B$27/100)^E4</f>
        <v>0.772183480061064</v>
      </c>
      <c r="F20" s="0" t="n">
        <f aca="false">1/(1+$B$27/100)^F4</f>
        <v>0.708425211065196</v>
      </c>
      <c r="G20" s="0" t="n">
        <f aca="false">1/(1+$B$27/100)^G4</f>
        <v>0.649931386298345</v>
      </c>
      <c r="H20" s="0" t="n">
        <f aca="false">1/(1+$B$27/100)^H4</f>
        <v>0.596267326879216</v>
      </c>
      <c r="I20" s="0" t="n">
        <f aca="false">1/(1+$B$27/100)^I4</f>
        <v>0.547034244843317</v>
      </c>
      <c r="J20" s="0" t="n">
        <f aca="false">1/(1+$B$27/100)^J4</f>
        <v>0.501866279672768</v>
      </c>
      <c r="K20" s="0" t="n">
        <f aca="false">1/(1+$B$27/100)^K4</f>
        <v>0.460427779516301</v>
      </c>
      <c r="L20" s="0" t="n">
        <f aca="false">1/(1+$B$27/100)^L4</f>
        <v>0.422410806895689</v>
      </c>
    </row>
    <row r="21" customFormat="false" ht="15" hidden="false" customHeight="false" outlineLevel="0" collapsed="false">
      <c r="A21" s="0" t="s">
        <v>130</v>
      </c>
      <c r="C21" s="0" t="n">
        <f aca="false">C19*C20</f>
        <v>3963.51764073394</v>
      </c>
      <c r="D21" s="0" t="n">
        <f aca="false">D19*D20</f>
        <v>4526.3088822254</v>
      </c>
      <c r="E21" s="0" t="n">
        <f aca="false">E19*E20</f>
        <v>4697.28965736511</v>
      </c>
      <c r="F21" s="0" t="n">
        <f aca="false">F19*F20</f>
        <v>4754.37541412638</v>
      </c>
      <c r="G21" s="0" t="n">
        <f aca="false">G19*G20</f>
        <v>4678.55612171186</v>
      </c>
      <c r="H21" s="0" t="n">
        <f aca="false">H19*H20</f>
        <v>4544.11903467244</v>
      </c>
      <c r="I21" s="0" t="n">
        <f aca="false">I19*I20</f>
        <v>4390.77192455818</v>
      </c>
      <c r="J21" s="0" t="n">
        <f aca="false">J19*J20</f>
        <v>4222.52848585185</v>
      </c>
      <c r="K21" s="0" t="n">
        <f aca="false">K19*K20</f>
        <v>4041.42943756554</v>
      </c>
      <c r="L21" s="0" t="n">
        <f aca="false">L19*L20</f>
        <v>3849.62294437575</v>
      </c>
    </row>
    <row r="23" customFormat="false" ht="15" hidden="false" customHeight="false" outlineLevel="0" collapsed="false">
      <c r="A23" s="0" t="s">
        <v>106</v>
      </c>
      <c r="C23" s="4" t="n">
        <f aca="false">Assumptions!C30</f>
        <v>0</v>
      </c>
      <c r="D23" s="4" t="n">
        <f aca="false">Assumptions!D30</f>
        <v>0</v>
      </c>
      <c r="E23" s="4" t="n">
        <f aca="false">Assumptions!E30</f>
        <v>0</v>
      </c>
      <c r="F23" s="4" t="n">
        <f aca="false">Assumptions!F30</f>
        <v>0</v>
      </c>
      <c r="G23" s="4" t="n">
        <f aca="false">Assumptions!G30</f>
        <v>0</v>
      </c>
      <c r="H23" s="4" t="n">
        <f aca="false">Assumptions!H30</f>
        <v>0</v>
      </c>
      <c r="I23" s="4" t="n">
        <f aca="false">Assumptions!I30</f>
        <v>0</v>
      </c>
      <c r="J23" s="4" t="n">
        <f aca="false">Assumptions!J30</f>
        <v>0</v>
      </c>
      <c r="K23" s="4" t="n">
        <f aca="false">Assumptions!K30</f>
        <v>0</v>
      </c>
      <c r="L23" s="4" t="n">
        <f aca="false">Assumptions!L30</f>
        <v>0</v>
      </c>
    </row>
    <row r="24" customFormat="false" ht="15" hidden="false" customHeight="false" outlineLevel="0" collapsed="false">
      <c r="A24" s="0" t="s">
        <v>131</v>
      </c>
      <c r="C24" s="0" t="n">
        <f aca="false">-C6*C23/100</f>
        <v>-0</v>
      </c>
      <c r="D24" s="0" t="n">
        <f aca="false">-D6*D23/100</f>
        <v>-0</v>
      </c>
      <c r="E24" s="0" t="n">
        <f aca="false">-E6*E23/100</f>
        <v>-0</v>
      </c>
      <c r="F24" s="0" t="n">
        <f aca="false">-F6*F23/100</f>
        <v>-0</v>
      </c>
      <c r="G24" s="0" t="n">
        <f aca="false">-G6*G23/100</f>
        <v>-0</v>
      </c>
      <c r="H24" s="0" t="n">
        <f aca="false">-H6*H23/100</f>
        <v>-0</v>
      </c>
      <c r="I24" s="0" t="n">
        <f aca="false">-I6*I23/100</f>
        <v>-0</v>
      </c>
      <c r="J24" s="0" t="n">
        <f aca="false">-J6*J23/100</f>
        <v>-0</v>
      </c>
      <c r="K24" s="0" t="n">
        <f aca="false">-K6*K23/100</f>
        <v>-0</v>
      </c>
      <c r="L24" s="0" t="n">
        <f aca="false">-L6*L23/100</f>
        <v>-0</v>
      </c>
    </row>
    <row r="26" customFormat="false" ht="15" hidden="false" customHeight="false" outlineLevel="0" collapsed="false">
      <c r="A26" s="2" t="s">
        <v>132</v>
      </c>
    </row>
    <row r="27" customFormat="false" ht="15" hidden="false" customHeight="false" outlineLevel="0" collapsed="false">
      <c r="A27" s="0" t="s">
        <v>110</v>
      </c>
      <c r="B27" s="4" t="n">
        <f aca="false">Assumptions!$B$34</f>
        <v>9</v>
      </c>
    </row>
    <row r="28" customFormat="false" ht="15" hidden="false" customHeight="false" outlineLevel="0" collapsed="false">
      <c r="A28" s="0" t="s">
        <v>111</v>
      </c>
      <c r="B28" s="4" t="n">
        <f aca="false">Assumptions!$B$35</f>
        <v>3</v>
      </c>
    </row>
    <row r="29" customFormat="false" ht="15" hidden="false" customHeight="false" outlineLevel="0" collapsed="false">
      <c r="A29" s="0" t="s">
        <v>112</v>
      </c>
      <c r="B29" s="4" t="n">
        <f aca="false">Assumptions!$B$36</f>
        <v>20</v>
      </c>
    </row>
    <row r="30" customFormat="false" ht="15" hidden="false" customHeight="false" outlineLevel="0" collapsed="false">
      <c r="A30" s="0" t="s">
        <v>133</v>
      </c>
      <c r="B30" s="0" t="n">
        <f aca="false">SUM(C21:L21)</f>
        <v>43668.5195431865</v>
      </c>
    </row>
    <row r="31" customFormat="false" ht="15" hidden="false" customHeight="false" outlineLevel="0" collapsed="false">
      <c r="A31" s="0" t="s">
        <v>134</v>
      </c>
      <c r="B31" s="0" t="n">
        <f aca="false">L19</f>
        <v>9113.4575193915</v>
      </c>
    </row>
    <row r="32" customFormat="false" ht="15" hidden="false" customHeight="false" outlineLevel="0" collapsed="false">
      <c r="A32" s="0" t="s">
        <v>135</v>
      </c>
      <c r="B32" s="0" t="n">
        <f aca="false">IF(B27&gt;B28,B31*(1+B28/100)/((B27-B28)/100),B31*B29)</f>
        <v>156447.687416221</v>
      </c>
    </row>
    <row r="33" customFormat="false" ht="15" hidden="false" customHeight="false" outlineLevel="0" collapsed="false">
      <c r="A33" s="0" t="s">
        <v>136</v>
      </c>
      <c r="B33" s="0" t="n">
        <f aca="false">B31*B29</f>
        <v>182269.15038783</v>
      </c>
    </row>
    <row r="34" customFormat="false" ht="15" hidden="false" customHeight="false" outlineLevel="0" collapsed="false">
      <c r="A34" s="0" t="s">
        <v>137</v>
      </c>
      <c r="B34" s="0" t="n">
        <f aca="false">MAX(0,MIN(B32,B33))</f>
        <v>156447.687416221</v>
      </c>
    </row>
    <row r="35" customFormat="false" ht="15" hidden="false" customHeight="false" outlineLevel="0" collapsed="false">
      <c r="A35" s="0" t="s">
        <v>138</v>
      </c>
      <c r="B35" s="0" t="n">
        <f aca="false">B34/(1+B27/100)^L4</f>
        <v>66085.1938784503</v>
      </c>
    </row>
    <row r="36" customFormat="false" ht="15" hidden="false" customHeight="false" outlineLevel="0" collapsed="false">
      <c r="A36" s="0" t="s">
        <v>139</v>
      </c>
      <c r="B36" s="0" t="n">
        <f aca="false">B30+B35</f>
        <v>109753.713421637</v>
      </c>
    </row>
    <row r="37" customFormat="false" ht="15" hidden="false" customHeight="false" outlineLevel="0" collapsed="false">
      <c r="A37" s="0" t="s">
        <v>140</v>
      </c>
      <c r="B37" s="0" t="n">
        <f aca="false">B36+Assumptions!$B$5-Assumptions!$B$4</f>
        <v>89781.7134216368</v>
      </c>
    </row>
    <row r="38" customFormat="false" ht="15" hidden="false" customHeight="false" outlineLevel="0" collapsed="false">
      <c r="A38" s="0" t="s">
        <v>141</v>
      </c>
      <c r="B38" s="0" t="n">
        <f aca="false">B37/Assumptions!$B$3*Assumptions!$B$10</f>
        <v>230.505040877116</v>
      </c>
    </row>
    <row r="39" customFormat="false" ht="15" hidden="false" customHeight="false" outlineLevel="0" collapsed="false">
      <c r="A39" s="0" t="s">
        <v>142</v>
      </c>
      <c r="B39" s="4" t="n">
        <f aca="false">B38/Assumptions!$B$2-1</f>
        <v>-0.476101093510804</v>
      </c>
    </row>
    <row r="41" customFormat="false" ht="15" hidden="false" customHeight="false" outlineLevel="0" collapsed="false">
      <c r="A41" s="0" t="s">
        <v>143</v>
      </c>
      <c r="B41" s="0" t="n">
        <f aca="false">SUMPRODUCT(-C10:L10/(1+$B$27/100)^C4:L4)</f>
        <v>1772.00808790662</v>
      </c>
    </row>
    <row r="42" customFormat="false" ht="15" hidden="false" customHeight="false" outlineLevel="0" collapsed="false">
      <c r="A42" s="0" t="s">
        <v>144</v>
      </c>
      <c r="B42" s="0" t="n">
        <f aca="false">IF(B27&gt;B28,-L10*(1+B28/100)/((B27-B28)/100),-L10*20)/(1+B27/100)^L4</f>
        <v>2463.14593049516</v>
      </c>
    </row>
    <row r="43" customFormat="false" ht="15" hidden="false" customHeight="false" outlineLevel="0" collapsed="false">
      <c r="A43" s="0" t="s">
        <v>145</v>
      </c>
      <c r="B43" s="0" t="n">
        <f aca="false">(B37+B41+B42)/Assumptions!$B$3*Assumptions!$B$10</f>
        <v>241.378350295349</v>
      </c>
    </row>
    <row r="45" customFormat="false" ht="15" hidden="false" customHeight="false" outlineLevel="0" collapsed="false">
      <c r="A45" s="0" t="s">
        <v>86</v>
      </c>
      <c r="B45" s="4" t="n">
        <f aca="false">Assumptions!$B$6</f>
        <v>15</v>
      </c>
    </row>
    <row r="46" customFormat="false" ht="15" hidden="false" customHeight="false" outlineLevel="0" collapsed="false">
      <c r="A46" s="0" t="s">
        <v>146</v>
      </c>
      <c r="B46" s="0" t="n">
        <f aca="false">MAX(0,MIN(IF(B45&gt;B28,B31*(1+B28/100)/((B45-B28)/100),B31*B29),B31*B29))</f>
        <v>78223.8437081104</v>
      </c>
    </row>
    <row r="47" customFormat="false" ht="15" hidden="false" customHeight="false" outlineLevel="0" collapsed="false">
      <c r="A47" s="0" t="s">
        <v>147</v>
      </c>
      <c r="B47" s="0" t="n">
        <f aca="false">(SUMPRODUCT(C19:L19/(1+B45/100)^C4:L4)+B46/(1+B45/100)^L4+Assumptions!$B$5-Assumptions!$B$4)/Assumptions!$B$3*Assumptions!$B$10</f>
        <v>83.2172124246687</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L4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0" width="52"/>
  </cols>
  <sheetData>
    <row r="1" customFormat="false" ht="15" hidden="false" customHeight="false" outlineLevel="0" collapsed="false">
      <c r="A1" s="2" t="s">
        <v>149</v>
      </c>
    </row>
    <row r="3" customFormat="false" ht="15" hidden="false" customHeight="false" outlineLevel="0" collapsed="false">
      <c r="A3" s="0" t="s">
        <v>118</v>
      </c>
      <c r="B3" s="0" t="s">
        <v>79</v>
      </c>
      <c r="C3" s="2" t="s">
        <v>93</v>
      </c>
      <c r="D3" s="2" t="s">
        <v>94</v>
      </c>
      <c r="E3" s="2" t="s">
        <v>95</v>
      </c>
      <c r="F3" s="2" t="s">
        <v>96</v>
      </c>
      <c r="G3" s="2" t="s">
        <v>97</v>
      </c>
      <c r="H3" s="2" t="s">
        <v>98</v>
      </c>
      <c r="I3" s="2" t="s">
        <v>99</v>
      </c>
      <c r="J3" s="2" t="s">
        <v>100</v>
      </c>
      <c r="K3" s="2" t="s">
        <v>101</v>
      </c>
      <c r="L3" s="2" t="s">
        <v>102</v>
      </c>
    </row>
    <row r="4" customFormat="false" ht="15" hidden="false" customHeight="false" outlineLevel="0" collapsed="false">
      <c r="A4" s="0" t="s">
        <v>119</v>
      </c>
      <c r="B4" s="0" t="n">
        <v>0</v>
      </c>
      <c r="C4" s="0" t="n">
        <f aca="false">B4+1</f>
        <v>1</v>
      </c>
      <c r="D4" s="0" t="n">
        <f aca="false">C4+1</f>
        <v>2</v>
      </c>
      <c r="E4" s="0" t="n">
        <f aca="false">D4+1</f>
        <v>3</v>
      </c>
      <c r="F4" s="0" t="n">
        <f aca="false">E4+1</f>
        <v>4</v>
      </c>
      <c r="G4" s="0" t="n">
        <f aca="false">F4+1</f>
        <v>5</v>
      </c>
      <c r="H4" s="0" t="n">
        <f aca="false">G4+1</f>
        <v>6</v>
      </c>
      <c r="I4" s="0" t="n">
        <f aca="false">H4+1</f>
        <v>7</v>
      </c>
      <c r="J4" s="0" t="n">
        <f aca="false">I4+1</f>
        <v>8</v>
      </c>
      <c r="K4" s="0" t="n">
        <f aca="false">J4+1</f>
        <v>9</v>
      </c>
      <c r="L4" s="0" t="n">
        <f aca="false">K4+1</f>
        <v>10</v>
      </c>
    </row>
    <row r="5" customFormat="false" ht="15" hidden="false" customHeight="false" outlineLevel="0" collapsed="false">
      <c r="A5" s="0" t="s">
        <v>103</v>
      </c>
      <c r="C5" s="4" t="n">
        <f aca="false">Assumptions!C41</f>
        <v>20.5</v>
      </c>
      <c r="D5" s="4" t="n">
        <f aca="false">Assumptions!D41</f>
        <v>14</v>
      </c>
      <c r="E5" s="4" t="n">
        <f aca="false">Assumptions!E41</f>
        <v>12.5</v>
      </c>
      <c r="F5" s="4" t="n">
        <f aca="false">Assumptions!F41</f>
        <v>10.5</v>
      </c>
      <c r="G5" s="4" t="n">
        <f aca="false">Assumptions!G41</f>
        <v>9</v>
      </c>
      <c r="H5" s="4" t="n">
        <f aca="false">Assumptions!H41</f>
        <v>7.5</v>
      </c>
      <c r="I5" s="4" t="n">
        <f aca="false">Assumptions!I41</f>
        <v>6.5</v>
      </c>
      <c r="J5" s="4" t="n">
        <f aca="false">Assumptions!J41</f>
        <v>5.5</v>
      </c>
      <c r="K5" s="4" t="n">
        <f aca="false">Assumptions!K41</f>
        <v>4.5</v>
      </c>
      <c r="L5" s="4" t="n">
        <f aca="false">Assumptions!L41</f>
        <v>4</v>
      </c>
    </row>
    <row r="6" customFormat="false" ht="15" hidden="false" customHeight="false" outlineLevel="0" collapsed="false">
      <c r="A6" s="0" t="s">
        <v>37</v>
      </c>
      <c r="B6" s="3" t="n">
        <v>27448</v>
      </c>
      <c r="C6" s="0" t="n">
        <f aca="false">B6*(1+C5/100)</f>
        <v>33074.84</v>
      </c>
      <c r="D6" s="0" t="n">
        <f aca="false">C6*(1+D5/100)</f>
        <v>37705.3176</v>
      </c>
      <c r="E6" s="0" t="n">
        <f aca="false">D6*(1+E5/100)</f>
        <v>42418.4823</v>
      </c>
      <c r="F6" s="0" t="n">
        <f aca="false">E6*(1+F5/100)</f>
        <v>46872.4229415</v>
      </c>
      <c r="G6" s="0" t="n">
        <f aca="false">F6*(1+G5/100)</f>
        <v>51090.941006235</v>
      </c>
      <c r="H6" s="0" t="n">
        <f aca="false">G6*(1+H5/100)</f>
        <v>54922.7615817026</v>
      </c>
      <c r="I6" s="0" t="n">
        <f aca="false">H6*(1+I5/100)</f>
        <v>58492.7410845133</v>
      </c>
      <c r="J6" s="0" t="n">
        <f aca="false">I6*(1+J5/100)</f>
        <v>61709.8418441615</v>
      </c>
      <c r="K6" s="0" t="n">
        <f aca="false">J6*(1+K5/100)</f>
        <v>64486.7847271488</v>
      </c>
      <c r="L6" s="0" t="n">
        <f aca="false">K6*(1+L5/100)</f>
        <v>67066.2561162348</v>
      </c>
    </row>
    <row r="7" customFormat="false" ht="15" hidden="false" customHeight="false" outlineLevel="0" collapsed="false">
      <c r="A7" s="0" t="s">
        <v>104</v>
      </c>
      <c r="C7" s="4" t="n">
        <f aca="false">Assumptions!C42</f>
        <v>23.5</v>
      </c>
      <c r="D7" s="4" t="n">
        <f aca="false">Assumptions!D42</f>
        <v>24.8</v>
      </c>
      <c r="E7" s="4" t="n">
        <f aca="false">Assumptions!E42</f>
        <v>25.5</v>
      </c>
      <c r="F7" s="4" t="n">
        <f aca="false">Assumptions!F42</f>
        <v>26</v>
      </c>
      <c r="G7" s="4" t="n">
        <f aca="false">Assumptions!G42</f>
        <v>26.5</v>
      </c>
      <c r="H7" s="4" t="n">
        <f aca="false">Assumptions!H42</f>
        <v>26.5</v>
      </c>
      <c r="I7" s="4" t="n">
        <f aca="false">Assumptions!I42</f>
        <v>26.5</v>
      </c>
      <c r="J7" s="4" t="n">
        <f aca="false">Assumptions!J42</f>
        <v>26.5</v>
      </c>
      <c r="K7" s="4" t="n">
        <f aca="false">Assumptions!K42</f>
        <v>26.5</v>
      </c>
      <c r="L7" s="4" t="n">
        <f aca="false">Assumptions!L42</f>
        <v>26.5</v>
      </c>
    </row>
    <row r="8" customFormat="false" ht="15" hidden="false" customHeight="false" outlineLevel="0" collapsed="false">
      <c r="A8" s="0" t="s">
        <v>43</v>
      </c>
      <c r="C8" s="0" t="n">
        <f aca="false">C6*C7/100</f>
        <v>7772.5874</v>
      </c>
      <c r="D8" s="0" t="n">
        <f aca="false">D6*D7/100</f>
        <v>9350.9187648</v>
      </c>
      <c r="E8" s="0" t="n">
        <f aca="false">E6*E7/100</f>
        <v>10816.7129865</v>
      </c>
      <c r="F8" s="0" t="n">
        <f aca="false">F6*F7/100</f>
        <v>12186.82996479</v>
      </c>
      <c r="G8" s="0" t="n">
        <f aca="false">G6*G7/100</f>
        <v>13539.0993666523</v>
      </c>
      <c r="H8" s="0" t="n">
        <f aca="false">H6*H7/100</f>
        <v>14554.5318191512</v>
      </c>
      <c r="I8" s="0" t="n">
        <f aca="false">I6*I7/100</f>
        <v>15500.576387396</v>
      </c>
      <c r="J8" s="0" t="n">
        <f aca="false">J6*J7/100</f>
        <v>16353.1080887028</v>
      </c>
      <c r="K8" s="0" t="n">
        <f aca="false">K6*K7/100</f>
        <v>17088.9979526944</v>
      </c>
      <c r="L8" s="0" t="n">
        <f aca="false">L6*L7/100</f>
        <v>17772.5578708022</v>
      </c>
    </row>
    <row r="9" customFormat="false" ht="15" hidden="false" customHeight="false" outlineLevel="0" collapsed="false">
      <c r="A9" s="0" t="s">
        <v>105</v>
      </c>
      <c r="C9" s="4" t="n">
        <f aca="false">Assumptions!C43</f>
        <v>0.65</v>
      </c>
      <c r="D9" s="4" t="n">
        <f aca="false">Assumptions!D43</f>
        <v>0.65</v>
      </c>
      <c r="E9" s="4" t="n">
        <f aca="false">Assumptions!E43</f>
        <v>0.65</v>
      </c>
      <c r="F9" s="4" t="n">
        <f aca="false">Assumptions!F43</f>
        <v>0.65</v>
      </c>
      <c r="G9" s="4" t="n">
        <f aca="false">Assumptions!G43</f>
        <v>0.65</v>
      </c>
      <c r="H9" s="4" t="n">
        <f aca="false">Assumptions!H43</f>
        <v>0.6</v>
      </c>
      <c r="I9" s="4" t="n">
        <f aca="false">Assumptions!I43</f>
        <v>0.6</v>
      </c>
      <c r="J9" s="4" t="n">
        <f aca="false">Assumptions!J43</f>
        <v>0.6</v>
      </c>
      <c r="K9" s="4" t="n">
        <f aca="false">Assumptions!K43</f>
        <v>0.6</v>
      </c>
      <c r="L9" s="4" t="n">
        <f aca="false">Assumptions!L43</f>
        <v>0.6</v>
      </c>
    </row>
    <row r="10" customFormat="false" ht="15" hidden="false" customHeight="false" outlineLevel="0" collapsed="false">
      <c r="A10" s="0" t="s">
        <v>120</v>
      </c>
      <c r="C10" s="0" t="n">
        <f aca="false">-C6*C9/100</f>
        <v>-214.98646</v>
      </c>
      <c r="D10" s="0" t="n">
        <f aca="false">-D6*D9/100</f>
        <v>-245.0845644</v>
      </c>
      <c r="E10" s="0" t="n">
        <f aca="false">-E6*E9/100</f>
        <v>-275.72013495</v>
      </c>
      <c r="F10" s="0" t="n">
        <f aca="false">-F6*F9/100</f>
        <v>-304.67074911975</v>
      </c>
      <c r="G10" s="0" t="n">
        <f aca="false">-G6*G9/100</f>
        <v>-332.091116540528</v>
      </c>
      <c r="H10" s="0" t="n">
        <f aca="false">-H6*H9/100</f>
        <v>-329.536569490216</v>
      </c>
      <c r="I10" s="0" t="n">
        <f aca="false">-I6*I9/100</f>
        <v>-350.95644650708</v>
      </c>
      <c r="J10" s="0" t="n">
        <f aca="false">-J6*J9/100</f>
        <v>-370.259051064969</v>
      </c>
      <c r="K10" s="0" t="n">
        <f aca="false">-K6*K9/100</f>
        <v>-386.920708362893</v>
      </c>
      <c r="L10" s="0" t="n">
        <f aca="false">-L6*L9/100</f>
        <v>-402.397536697409</v>
      </c>
    </row>
    <row r="11" customFormat="false" ht="15" hidden="false" customHeight="false" outlineLevel="0" collapsed="false">
      <c r="A11" s="0" t="s">
        <v>121</v>
      </c>
      <c r="C11" s="0" t="n">
        <f aca="false">C8+C10+C24</f>
        <v>7557.60094</v>
      </c>
      <c r="D11" s="0" t="n">
        <f aca="false">D8+D10+D24</f>
        <v>9105.8342004</v>
      </c>
      <c r="E11" s="0" t="n">
        <f aca="false">E8+E10+E24</f>
        <v>10540.99285155</v>
      </c>
      <c r="F11" s="0" t="n">
        <f aca="false">F8+F10+F24</f>
        <v>11882.1592156703</v>
      </c>
      <c r="G11" s="0" t="n">
        <f aca="false">G8+G10+G24</f>
        <v>13207.0082501118</v>
      </c>
      <c r="H11" s="0" t="n">
        <f aca="false">H8+H10+H24</f>
        <v>14224.995249661</v>
      </c>
      <c r="I11" s="0" t="n">
        <f aca="false">I8+I10+I24</f>
        <v>15149.6199408889</v>
      </c>
      <c r="J11" s="0" t="n">
        <f aca="false">J8+J10+J24</f>
        <v>15982.8490376378</v>
      </c>
      <c r="K11" s="0" t="n">
        <f aca="false">K8+K10+K24</f>
        <v>16702.0772443315</v>
      </c>
      <c r="L11" s="0" t="n">
        <f aca="false">L8+L10+L24</f>
        <v>17370.1603341048</v>
      </c>
    </row>
    <row r="12" customFormat="false" ht="15" hidden="false" customHeight="false" outlineLevel="0" collapsed="false">
      <c r="A12" s="0" t="s">
        <v>122</v>
      </c>
      <c r="C12" s="4" t="n">
        <f aca="false">-C6*Assumptions!C45/100</f>
        <v>-1455.29296</v>
      </c>
      <c r="D12" s="4" t="n">
        <f aca="false">-D6*Assumptions!D45/100</f>
        <v>-1621.3286568</v>
      </c>
      <c r="E12" s="4" t="n">
        <f aca="false">-E6*Assumptions!E45/100</f>
        <v>-1781.5762566</v>
      </c>
      <c r="F12" s="4" t="n">
        <f aca="false">-F6*Assumptions!F45/100</f>
        <v>-1874.89691766</v>
      </c>
      <c r="G12" s="4" t="n">
        <f aca="false">-G6*Assumptions!G45/100</f>
        <v>-1992.54669924317</v>
      </c>
      <c r="H12" s="4" t="n">
        <f aca="false">-H6*Assumptions!H45/100</f>
        <v>-2087.0649401047</v>
      </c>
      <c r="I12" s="4" t="n">
        <f aca="false">-I6*Assumptions!I45/100</f>
        <v>-2164.23142012699</v>
      </c>
      <c r="J12" s="4" t="n">
        <f aca="false">-J6*Assumptions!J45/100</f>
        <v>-2221.55430638982</v>
      </c>
      <c r="K12" s="4" t="n">
        <f aca="false">-K6*Assumptions!K45/100</f>
        <v>-2257.03746545021</v>
      </c>
      <c r="L12" s="4" t="n">
        <f aca="false">-L6*Assumptions!L45/100</f>
        <v>-2280.25270795198</v>
      </c>
    </row>
    <row r="13" customFormat="false" ht="15" hidden="false" customHeight="false" outlineLevel="0" collapsed="false">
      <c r="A13" s="0" t="s">
        <v>123</v>
      </c>
      <c r="C13" s="0" t="n">
        <f aca="false">C11+C12</f>
        <v>6102.30798</v>
      </c>
      <c r="D13" s="0" t="n">
        <f aca="false">D11+D12</f>
        <v>7484.5055436</v>
      </c>
      <c r="E13" s="0" t="n">
        <f aca="false">E11+E12</f>
        <v>8759.41659495</v>
      </c>
      <c r="F13" s="0" t="n">
        <f aca="false">F11+F12</f>
        <v>10007.2622980103</v>
      </c>
      <c r="G13" s="0" t="n">
        <f aca="false">G11+G12</f>
        <v>11214.4615508686</v>
      </c>
      <c r="H13" s="0" t="n">
        <f aca="false">H11+H12</f>
        <v>12137.9303095563</v>
      </c>
      <c r="I13" s="0" t="n">
        <f aca="false">I11+I12</f>
        <v>12985.388520762</v>
      </c>
      <c r="J13" s="0" t="n">
        <f aca="false">J11+J12</f>
        <v>13761.294731248</v>
      </c>
      <c r="K13" s="0" t="n">
        <f aca="false">K11+K12</f>
        <v>14445.0397788813</v>
      </c>
      <c r="L13" s="0" t="n">
        <f aca="false">L11+L12</f>
        <v>15089.9076261528</v>
      </c>
    </row>
    <row r="14" customFormat="false" ht="15" hidden="false" customHeight="false" outlineLevel="0" collapsed="false">
      <c r="A14" s="0" t="s">
        <v>109</v>
      </c>
      <c r="C14" s="4" t="n">
        <f aca="false">Assumptions!C47</f>
        <v>17.5</v>
      </c>
      <c r="D14" s="4" t="n">
        <f aca="false">Assumptions!D47</f>
        <v>17.5</v>
      </c>
      <c r="E14" s="4" t="n">
        <f aca="false">Assumptions!E47</f>
        <v>17.5</v>
      </c>
      <c r="F14" s="4" t="n">
        <f aca="false">Assumptions!F47</f>
        <v>18</v>
      </c>
      <c r="G14" s="4" t="n">
        <f aca="false">Assumptions!G47</f>
        <v>18</v>
      </c>
      <c r="H14" s="4" t="n">
        <f aca="false">Assumptions!H47</f>
        <v>18.5</v>
      </c>
      <c r="I14" s="4" t="n">
        <f aca="false">Assumptions!I47</f>
        <v>18.5</v>
      </c>
      <c r="J14" s="4" t="n">
        <f aca="false">Assumptions!J47</f>
        <v>18.5</v>
      </c>
      <c r="K14" s="4" t="n">
        <f aca="false">Assumptions!K47</f>
        <v>18.5</v>
      </c>
      <c r="L14" s="4" t="n">
        <f aca="false">Assumptions!L47</f>
        <v>18.5</v>
      </c>
    </row>
    <row r="15" customFormat="false" ht="15" hidden="false" customHeight="false" outlineLevel="0" collapsed="false">
      <c r="A15" s="0" t="s">
        <v>124</v>
      </c>
      <c r="C15" s="0" t="n">
        <f aca="false">C13-MAX(0,C13)*C14/100</f>
        <v>5034.4040835</v>
      </c>
      <c r="D15" s="0" t="n">
        <f aca="false">D13-MAX(0,D13)*D14/100</f>
        <v>6174.71707347</v>
      </c>
      <c r="E15" s="0" t="n">
        <f aca="false">E13-MAX(0,E13)*E14/100</f>
        <v>7226.51869083375</v>
      </c>
      <c r="F15" s="0" t="n">
        <f aca="false">F13-MAX(0,F13)*F14/100</f>
        <v>8205.95508436841</v>
      </c>
      <c r="G15" s="0" t="n">
        <f aca="false">G13-MAX(0,G13)*G14/100</f>
        <v>9195.85847171224</v>
      </c>
      <c r="H15" s="0" t="n">
        <f aca="false">H13-MAX(0,H13)*H14/100</f>
        <v>9892.41320228837</v>
      </c>
      <c r="I15" s="0" t="n">
        <f aca="false">I13-MAX(0,I13)*I14/100</f>
        <v>10583.091644421</v>
      </c>
      <c r="J15" s="0" t="n">
        <f aca="false">J13-MAX(0,J13)*J14/100</f>
        <v>11215.4552059671</v>
      </c>
      <c r="K15" s="0" t="n">
        <f aca="false">K13-MAX(0,K13)*K14/100</f>
        <v>11772.7074197883</v>
      </c>
      <c r="L15" s="0" t="n">
        <f aca="false">L13-MAX(0,L13)*L14/100</f>
        <v>12298.2747153145</v>
      </c>
    </row>
    <row r="16" customFormat="false" ht="15" hidden="false" customHeight="false" outlineLevel="0" collapsed="false">
      <c r="A16" s="0" t="s">
        <v>125</v>
      </c>
      <c r="C16" s="0" t="n">
        <f aca="false">-C12</f>
        <v>1455.29296</v>
      </c>
      <c r="D16" s="0" t="n">
        <f aca="false">-D12</f>
        <v>1621.3286568</v>
      </c>
      <c r="E16" s="0" t="n">
        <f aca="false">-E12</f>
        <v>1781.5762566</v>
      </c>
      <c r="F16" s="0" t="n">
        <f aca="false">-F12</f>
        <v>1874.89691766</v>
      </c>
      <c r="G16" s="0" t="n">
        <f aca="false">-G12</f>
        <v>1992.54669924317</v>
      </c>
      <c r="H16" s="0" t="n">
        <f aca="false">-H12</f>
        <v>2087.0649401047</v>
      </c>
      <c r="I16" s="0" t="n">
        <f aca="false">-I12</f>
        <v>2164.23142012699</v>
      </c>
      <c r="J16" s="0" t="n">
        <f aca="false">-J12</f>
        <v>2221.55430638982</v>
      </c>
      <c r="K16" s="0" t="n">
        <f aca="false">-K12</f>
        <v>2257.03746545021</v>
      </c>
      <c r="L16" s="0" t="n">
        <f aca="false">-L12</f>
        <v>2280.25270795198</v>
      </c>
    </row>
    <row r="17" customFormat="false" ht="15" hidden="false" customHeight="false" outlineLevel="0" collapsed="false">
      <c r="A17" s="0" t="s">
        <v>126</v>
      </c>
      <c r="C17" s="4" t="n">
        <f aca="false">-C6*Assumptions!C46/100</f>
        <v>-1157.6194</v>
      </c>
      <c r="D17" s="4" t="n">
        <f aca="false">-D6*Assumptions!D46/100</f>
        <v>-1319.686116</v>
      </c>
      <c r="E17" s="4" t="n">
        <f aca="false">-E6*Assumptions!E46/100</f>
        <v>-1484.6468805</v>
      </c>
      <c r="F17" s="4" t="n">
        <f aca="false">-F6*Assumptions!F46/100</f>
        <v>-1593.662380011</v>
      </c>
      <c r="G17" s="4" t="n">
        <f aca="false">-G6*Assumptions!G46/100</f>
        <v>-1737.09199421199</v>
      </c>
      <c r="H17" s="4" t="n">
        <f aca="false">-H6*Assumptions!H46/100</f>
        <v>-1867.37389377789</v>
      </c>
      <c r="I17" s="4" t="n">
        <f aca="false">-I6*Assumptions!I46/100</f>
        <v>-1988.75319687345</v>
      </c>
      <c r="J17" s="4" t="n">
        <f aca="false">-J6*Assumptions!J46/100</f>
        <v>-2098.13462270149</v>
      </c>
      <c r="K17" s="4" t="n">
        <f aca="false">-K6*Assumptions!K46/100</f>
        <v>-2192.55068072306</v>
      </c>
      <c r="L17" s="4" t="n">
        <f aca="false">-L6*Assumptions!L46/100</f>
        <v>-2280.25270795198</v>
      </c>
    </row>
    <row r="18" customFormat="false" ht="15" hidden="false" customHeight="false" outlineLevel="0" collapsed="false">
      <c r="A18" s="0" t="s">
        <v>127</v>
      </c>
      <c r="C18" s="4" t="n">
        <f aca="false">(C6-B6)*Assumptions!$B$51/100</f>
        <v>-675.220800000001</v>
      </c>
      <c r="D18" s="4" t="n">
        <f aca="false">(D6-C6)*Assumptions!$B$51/100</f>
        <v>-555.657312000001</v>
      </c>
      <c r="E18" s="4" t="n">
        <f aca="false">(E6-D6)*Assumptions!$B$51/100</f>
        <v>-565.579764</v>
      </c>
      <c r="F18" s="4" t="n">
        <f aca="false">(F6-E6)*Assumptions!$B$51/100</f>
        <v>-534.47287698</v>
      </c>
      <c r="G18" s="4" t="n">
        <f aca="false">(G6-F6)*Assumptions!$B$51/100</f>
        <v>-506.222167768201</v>
      </c>
      <c r="H18" s="4" t="n">
        <f aca="false">(H6-G6)*Assumptions!$B$51/100</f>
        <v>-459.818469056115</v>
      </c>
      <c r="I18" s="4" t="n">
        <f aca="false">(I6-H6)*Assumptions!$B$51/100</f>
        <v>-428.39754033728</v>
      </c>
      <c r="J18" s="4" t="n">
        <f aca="false">(J6-I6)*Assumptions!$B$51/100</f>
        <v>-386.052091157788</v>
      </c>
      <c r="K18" s="4" t="n">
        <f aca="false">(K6-J6)*Assumptions!$B$51/100</f>
        <v>-333.233145958472</v>
      </c>
      <c r="L18" s="4" t="n">
        <f aca="false">(L6-K6)*Assumptions!$B$51/100</f>
        <v>-309.536566690315</v>
      </c>
    </row>
    <row r="19" customFormat="false" ht="15" hidden="false" customHeight="false" outlineLevel="0" collapsed="false">
      <c r="A19" s="0" t="s">
        <v>128</v>
      </c>
      <c r="C19" s="0" t="n">
        <f aca="false">C15+C16+C17+C18</f>
        <v>4656.8568435</v>
      </c>
      <c r="D19" s="0" t="n">
        <f aca="false">D15+D16+D17+D18</f>
        <v>5920.70230227</v>
      </c>
      <c r="E19" s="0" t="n">
        <f aca="false">E15+E16+E17+E18</f>
        <v>6957.86830293375</v>
      </c>
      <c r="F19" s="0" t="n">
        <f aca="false">F15+F16+F17+F18</f>
        <v>7952.71674503741</v>
      </c>
      <c r="G19" s="0" t="n">
        <f aca="false">G15+G16+G17+G18</f>
        <v>8945.09100897521</v>
      </c>
      <c r="H19" s="0" t="n">
        <f aca="false">H15+H16+H17+H18</f>
        <v>9652.28577955907</v>
      </c>
      <c r="I19" s="0" t="n">
        <f aca="false">I15+I16+I17+I18</f>
        <v>10330.1723273373</v>
      </c>
      <c r="J19" s="0" t="n">
        <f aca="false">J15+J16+J17+J18</f>
        <v>10952.8227984977</v>
      </c>
      <c r="K19" s="0" t="n">
        <f aca="false">K15+K16+K17+K18</f>
        <v>11503.961058557</v>
      </c>
      <c r="L19" s="0" t="n">
        <f aca="false">L15+L16+L17+L18</f>
        <v>11988.7381486242</v>
      </c>
    </row>
    <row r="20" customFormat="false" ht="15" hidden="false" customHeight="false" outlineLevel="0" collapsed="false">
      <c r="A20" s="0" t="s">
        <v>129</v>
      </c>
      <c r="C20" s="0" t="n">
        <f aca="false">1/(1+$B$27/100)^C4</f>
        <v>0.91743119266055</v>
      </c>
      <c r="D20" s="0" t="n">
        <f aca="false">1/(1+$B$27/100)^D4</f>
        <v>0.84167999326656</v>
      </c>
      <c r="E20" s="0" t="n">
        <f aca="false">1/(1+$B$27/100)^E4</f>
        <v>0.772183480061064</v>
      </c>
      <c r="F20" s="0" t="n">
        <f aca="false">1/(1+$B$27/100)^F4</f>
        <v>0.708425211065196</v>
      </c>
      <c r="G20" s="0" t="n">
        <f aca="false">1/(1+$B$27/100)^G4</f>
        <v>0.649931386298345</v>
      </c>
      <c r="H20" s="0" t="n">
        <f aca="false">1/(1+$B$27/100)^H4</f>
        <v>0.596267326879216</v>
      </c>
      <c r="I20" s="0" t="n">
        <f aca="false">1/(1+$B$27/100)^I4</f>
        <v>0.547034244843317</v>
      </c>
      <c r="J20" s="0" t="n">
        <f aca="false">1/(1+$B$27/100)^J4</f>
        <v>0.501866279672768</v>
      </c>
      <c r="K20" s="0" t="n">
        <f aca="false">1/(1+$B$27/100)^K4</f>
        <v>0.460427779516301</v>
      </c>
      <c r="L20" s="0" t="n">
        <f aca="false">1/(1+$B$27/100)^L4</f>
        <v>0.422410806895689</v>
      </c>
    </row>
    <row r="21" customFormat="false" ht="15" hidden="false" customHeight="false" outlineLevel="0" collapsed="false">
      <c r="A21" s="0" t="s">
        <v>130</v>
      </c>
      <c r="C21" s="0" t="n">
        <f aca="false">C19*C20</f>
        <v>4272.34572798165</v>
      </c>
      <c r="D21" s="0" t="n">
        <f aca="false">D19*D20</f>
        <v>4983.33667390792</v>
      </c>
      <c r="E21" s="0" t="n">
        <f aca="false">E19*E20</f>
        <v>5372.75095996596</v>
      </c>
      <c r="F21" s="0" t="n">
        <f aca="false">F19*F20</f>
        <v>5633.90503864485</v>
      </c>
      <c r="G21" s="0" t="n">
        <f aca="false">G19*G20</f>
        <v>5813.69540002813</v>
      </c>
      <c r="H21" s="0" t="n">
        <f aca="false">H19*H20</f>
        <v>5755.34264005195</v>
      </c>
      <c r="I21" s="0" t="n">
        <f aca="false">I19*I20</f>
        <v>5650.95801818627</v>
      </c>
      <c r="J21" s="0" t="n">
        <f aca="false">J19*J20</f>
        <v>5496.8524297971</v>
      </c>
      <c r="K21" s="0" t="n">
        <f aca="false">K19*K20</f>
        <v>5296.74324583338</v>
      </c>
      <c r="L21" s="0" t="n">
        <f aca="false">L19*L20</f>
        <v>5064.17255502149</v>
      </c>
    </row>
    <row r="23" customFormat="false" ht="15" hidden="false" customHeight="false" outlineLevel="0" collapsed="false">
      <c r="A23" s="0" t="s">
        <v>106</v>
      </c>
      <c r="C23" s="4" t="n">
        <f aca="false">Assumptions!C44</f>
        <v>0</v>
      </c>
      <c r="D23" s="4" t="n">
        <f aca="false">Assumptions!D44</f>
        <v>0</v>
      </c>
      <c r="E23" s="4" t="n">
        <f aca="false">Assumptions!E44</f>
        <v>0</v>
      </c>
      <c r="F23" s="4" t="n">
        <f aca="false">Assumptions!F44</f>
        <v>0</v>
      </c>
      <c r="G23" s="4" t="n">
        <f aca="false">Assumptions!G44</f>
        <v>0</v>
      </c>
      <c r="H23" s="4" t="n">
        <f aca="false">Assumptions!H44</f>
        <v>0</v>
      </c>
      <c r="I23" s="4" t="n">
        <f aca="false">Assumptions!I44</f>
        <v>0</v>
      </c>
      <c r="J23" s="4" t="n">
        <f aca="false">Assumptions!J44</f>
        <v>0</v>
      </c>
      <c r="K23" s="4" t="n">
        <f aca="false">Assumptions!K44</f>
        <v>0</v>
      </c>
      <c r="L23" s="4" t="n">
        <f aca="false">Assumptions!L44</f>
        <v>0</v>
      </c>
    </row>
    <row r="24" customFormat="false" ht="15" hidden="false" customHeight="false" outlineLevel="0" collapsed="false">
      <c r="A24" s="0" t="s">
        <v>131</v>
      </c>
      <c r="C24" s="0" t="n">
        <f aca="false">-C6*C23/100</f>
        <v>-0</v>
      </c>
      <c r="D24" s="0" t="n">
        <f aca="false">-D6*D23/100</f>
        <v>-0</v>
      </c>
      <c r="E24" s="0" t="n">
        <f aca="false">-E6*E23/100</f>
        <v>-0</v>
      </c>
      <c r="F24" s="0" t="n">
        <f aca="false">-F6*F23/100</f>
        <v>-0</v>
      </c>
      <c r="G24" s="0" t="n">
        <f aca="false">-G6*G23/100</f>
        <v>-0</v>
      </c>
      <c r="H24" s="0" t="n">
        <f aca="false">-H6*H23/100</f>
        <v>-0</v>
      </c>
      <c r="I24" s="0" t="n">
        <f aca="false">-I6*I23/100</f>
        <v>-0</v>
      </c>
      <c r="J24" s="0" t="n">
        <f aca="false">-J6*J23/100</f>
        <v>-0</v>
      </c>
      <c r="K24" s="0" t="n">
        <f aca="false">-K6*K23/100</f>
        <v>-0</v>
      </c>
      <c r="L24" s="0" t="n">
        <f aca="false">-L6*L23/100</f>
        <v>-0</v>
      </c>
    </row>
    <row r="26" customFormat="false" ht="15" hidden="false" customHeight="false" outlineLevel="0" collapsed="false">
      <c r="A26" s="2" t="s">
        <v>132</v>
      </c>
    </row>
    <row r="27" customFormat="false" ht="15" hidden="false" customHeight="false" outlineLevel="0" collapsed="false">
      <c r="A27" s="0" t="s">
        <v>110</v>
      </c>
      <c r="B27" s="4" t="n">
        <f aca="false">Assumptions!$B$48</f>
        <v>9</v>
      </c>
    </row>
    <row r="28" customFormat="false" ht="15" hidden="false" customHeight="false" outlineLevel="0" collapsed="false">
      <c r="A28" s="0" t="s">
        <v>111</v>
      </c>
      <c r="B28" s="4" t="n">
        <f aca="false">Assumptions!$B$49</f>
        <v>3.5</v>
      </c>
    </row>
    <row r="29" customFormat="false" ht="15" hidden="false" customHeight="false" outlineLevel="0" collapsed="false">
      <c r="A29" s="0" t="s">
        <v>112</v>
      </c>
      <c r="B29" s="4" t="n">
        <f aca="false">Assumptions!$B$50</f>
        <v>20</v>
      </c>
    </row>
    <row r="30" customFormat="false" ht="15" hidden="false" customHeight="false" outlineLevel="0" collapsed="false">
      <c r="A30" s="0" t="s">
        <v>133</v>
      </c>
      <c r="B30" s="0" t="n">
        <f aca="false">SUM(C21:L21)</f>
        <v>53340.1026894187</v>
      </c>
    </row>
    <row r="31" customFormat="false" ht="15" hidden="false" customHeight="false" outlineLevel="0" collapsed="false">
      <c r="A31" s="0" t="s">
        <v>134</v>
      </c>
      <c r="B31" s="0" t="n">
        <f aca="false">L19</f>
        <v>11988.7381486242</v>
      </c>
    </row>
    <row r="32" customFormat="false" ht="15" hidden="false" customHeight="false" outlineLevel="0" collapsed="false">
      <c r="A32" s="0" t="s">
        <v>135</v>
      </c>
      <c r="B32" s="0" t="n">
        <f aca="false">IF(B27&gt;B28,B31*(1+B28/100)/((B27-B28)/100),B31*B29)</f>
        <v>225606.254251383</v>
      </c>
    </row>
    <row r="33" customFormat="false" ht="15" hidden="false" customHeight="false" outlineLevel="0" collapsed="false">
      <c r="A33" s="0" t="s">
        <v>136</v>
      </c>
      <c r="B33" s="0" t="n">
        <f aca="false">B31*B29</f>
        <v>239774.762972485</v>
      </c>
    </row>
    <row r="34" customFormat="false" ht="15" hidden="false" customHeight="false" outlineLevel="0" collapsed="false">
      <c r="A34" s="0" t="s">
        <v>137</v>
      </c>
      <c r="B34" s="0" t="n">
        <f aca="false">MAX(0,MIN(B32,B33))</f>
        <v>225606.254251383</v>
      </c>
    </row>
    <row r="35" customFormat="false" ht="15" hidden="false" customHeight="false" outlineLevel="0" collapsed="false">
      <c r="A35" s="0" t="s">
        <v>138</v>
      </c>
      <c r="B35" s="0" t="n">
        <f aca="false">B34/(1+B27/100)^L4</f>
        <v>95298.5198990407</v>
      </c>
    </row>
    <row r="36" customFormat="false" ht="15" hidden="false" customHeight="false" outlineLevel="0" collapsed="false">
      <c r="A36" s="0" t="s">
        <v>139</v>
      </c>
      <c r="B36" s="0" t="n">
        <f aca="false">B30+B35</f>
        <v>148638.622588459</v>
      </c>
    </row>
    <row r="37" customFormat="false" ht="15" hidden="false" customHeight="false" outlineLevel="0" collapsed="false">
      <c r="A37" s="0" t="s">
        <v>140</v>
      </c>
      <c r="B37" s="0" t="n">
        <f aca="false">B36+Assumptions!$B$5-Assumptions!$B$4</f>
        <v>128666.622588459</v>
      </c>
    </row>
    <row r="38" customFormat="false" ht="15" hidden="false" customHeight="false" outlineLevel="0" collapsed="false">
      <c r="A38" s="0" t="s">
        <v>141</v>
      </c>
      <c r="B38" s="0" t="n">
        <f aca="false">B37/Assumptions!$B$3*Assumptions!$B$10</f>
        <v>330.337927056378</v>
      </c>
    </row>
    <row r="39" customFormat="false" ht="15" hidden="false" customHeight="false" outlineLevel="0" collapsed="false">
      <c r="A39" s="0" t="s">
        <v>142</v>
      </c>
      <c r="B39" s="4" t="n">
        <f aca="false">B38/Assumptions!$B$2-1</f>
        <v>-0.249197856592622</v>
      </c>
    </row>
    <row r="41" customFormat="false" ht="15" hidden="false" customHeight="false" outlineLevel="0" collapsed="false">
      <c r="A41" s="0" t="s">
        <v>143</v>
      </c>
      <c r="B41" s="0" t="n">
        <f aca="false">SUMPRODUCT(-C10:L10/(1+$B$27/100)^C4:L4)</f>
        <v>1970.52119907681</v>
      </c>
    </row>
    <row r="42" customFormat="false" ht="15" hidden="false" customHeight="false" outlineLevel="0" collapsed="false">
      <c r="A42" s="0" t="s">
        <v>144</v>
      </c>
      <c r="B42" s="0" t="n">
        <f aca="false">IF(B27&gt;B28,-L10*(1+B28/100)/((B27-B28)/100),-L10*20)/(1+B27/100)^L4</f>
        <v>3198.6593737293</v>
      </c>
    </row>
    <row r="43" customFormat="false" ht="15" hidden="false" customHeight="false" outlineLevel="0" collapsed="false">
      <c r="A43" s="0" t="s">
        <v>145</v>
      </c>
      <c r="B43" s="0" t="n">
        <f aca="false">(B37+B41+B42)/Assumptions!$B$3*Assumptions!$B$10</f>
        <v>343.609250734956</v>
      </c>
    </row>
    <row r="45" customFormat="false" ht="15" hidden="false" customHeight="false" outlineLevel="0" collapsed="false">
      <c r="A45" s="0" t="s">
        <v>86</v>
      </c>
      <c r="B45" s="4" t="n">
        <f aca="false">Assumptions!$B$6</f>
        <v>15</v>
      </c>
    </row>
    <row r="46" customFormat="false" ht="15" hidden="false" customHeight="false" outlineLevel="0" collapsed="false">
      <c r="A46" s="0" t="s">
        <v>146</v>
      </c>
      <c r="B46" s="0" t="n">
        <f aca="false">MAX(0,MIN(IF(B45&gt;B28,B31*(1+B28/100)/((B45-B28)/100),B31*B29),B31*B29))</f>
        <v>107898.643337618</v>
      </c>
    </row>
    <row r="47" customFormat="false" ht="15" hidden="false" customHeight="false" outlineLevel="0" collapsed="false">
      <c r="A47" s="0" t="s">
        <v>147</v>
      </c>
      <c r="B47" s="0" t="n">
        <f aca="false">(SUMPRODUCT(C19:L19/(1+B45/100)^C4:L4)+B46/(1+B45/100)^L4+Assumptions!$B$5-Assumptions!$B$4)/Assumptions!$B$3*Assumptions!$B$10</f>
        <v>119.807312928807</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2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0" width="60"/>
  </cols>
  <sheetData>
    <row r="1" customFormat="false" ht="15" hidden="false" customHeight="false" outlineLevel="0" collapsed="false">
      <c r="A1" s="2" t="s">
        <v>150</v>
      </c>
    </row>
    <row r="3" customFormat="false" ht="15" hidden="false" customHeight="false" outlineLevel="0" collapsed="false">
      <c r="A3" s="2" t="s">
        <v>151</v>
      </c>
      <c r="B3" s="2" t="s">
        <v>152</v>
      </c>
      <c r="C3" s="2" t="s">
        <v>142</v>
      </c>
      <c r="D3" s="2" t="s">
        <v>153</v>
      </c>
      <c r="E3" s="2" t="s">
        <v>145</v>
      </c>
      <c r="F3" s="2" t="s">
        <v>154</v>
      </c>
    </row>
    <row r="4" customFormat="false" ht="15" hidden="false" customHeight="false" outlineLevel="0" collapsed="false">
      <c r="A4" s="0" t="s">
        <v>155</v>
      </c>
      <c r="B4" s="4" t="n">
        <f aca="false">DCF_Bear!$B$38</f>
        <v>124.348707720478</v>
      </c>
      <c r="C4" s="0" t="n">
        <f aca="false">B4/Assumptions!$B$2-1</f>
        <v>-0.717376454110464</v>
      </c>
      <c r="D4" s="4" t="n">
        <f aca="false">Assumptions!$B$24</f>
        <v>0.25</v>
      </c>
      <c r="E4" s="4" t="n">
        <f aca="false">DCF_Bear!$B$43</f>
        <v>132.326907399133</v>
      </c>
      <c r="F4" s="4" t="n">
        <f aca="false">DCF_Bear!$B$47</f>
        <v>38.1536286247431</v>
      </c>
    </row>
    <row r="5" customFormat="false" ht="15" hidden="false" customHeight="false" outlineLevel="0" collapsed="false">
      <c r="A5" s="0" t="s">
        <v>156</v>
      </c>
      <c r="B5" s="4" t="n">
        <f aca="false">DCF_Base!$B$38</f>
        <v>230.505040877116</v>
      </c>
      <c r="C5" s="0" t="n">
        <f aca="false">B5/Assumptions!$B$2-1</f>
        <v>-0.476101093510804</v>
      </c>
      <c r="D5" s="4" t="n">
        <f aca="false">Assumptions!$B$38</f>
        <v>0.5</v>
      </c>
      <c r="E5" s="4" t="n">
        <f aca="false">DCF_Base!$B$43</f>
        <v>241.378350295349</v>
      </c>
      <c r="F5" s="4" t="n">
        <f aca="false">DCF_Base!$B$47</f>
        <v>83.2172124246687</v>
      </c>
    </row>
    <row r="6" customFormat="false" ht="15" hidden="false" customHeight="false" outlineLevel="0" collapsed="false">
      <c r="A6" s="0" t="s">
        <v>157</v>
      </c>
      <c r="B6" s="4" t="n">
        <f aca="false">DCF_Bull!$B$38</f>
        <v>330.337927056378</v>
      </c>
      <c r="C6" s="0" t="n">
        <f aca="false">B6/Assumptions!$B$2-1</f>
        <v>-0.249197856592622</v>
      </c>
      <c r="D6" s="4" t="n">
        <f aca="false">Assumptions!$B$52</f>
        <v>0.25</v>
      </c>
      <c r="E6" s="4" t="n">
        <f aca="false">DCF_Bull!$B$43</f>
        <v>343.609250734956</v>
      </c>
      <c r="F6" s="4" t="n">
        <f aca="false">DCF_Bull!$B$47</f>
        <v>119.807312928807</v>
      </c>
    </row>
    <row r="8" customFormat="false" ht="15" hidden="false" customHeight="false" outlineLevel="0" collapsed="false">
      <c r="A8" s="0" t="s">
        <v>158</v>
      </c>
      <c r="B8" s="0" t="n">
        <f aca="false">SUMPRODUCT(B4:B6,D4:D6)</f>
        <v>228.924179132772</v>
      </c>
    </row>
    <row r="9" customFormat="false" ht="15" hidden="false" customHeight="false" outlineLevel="0" collapsed="false">
      <c r="A9" s="0" t="s">
        <v>159</v>
      </c>
      <c r="B9" s="0" t="n">
        <f aca="false">SUMPRODUCT(E4:E6,D4:D6)</f>
        <v>239.673214681197</v>
      </c>
    </row>
    <row r="10" customFormat="false" ht="15" hidden="false" customHeight="false" outlineLevel="0" collapsed="false">
      <c r="A10" s="0" t="s">
        <v>160</v>
      </c>
      <c r="B10" s="0" t="n">
        <f aca="false">1-Assumptions!$B$2/B8</f>
        <v>-0.921946391450502</v>
      </c>
    </row>
    <row r="11" customFormat="false" ht="15" hidden="false" customHeight="false" outlineLevel="0" collapsed="false">
      <c r="A11" s="0" t="s">
        <v>161</v>
      </c>
      <c r="B11" s="0" t="n">
        <f aca="false">IF(ABS(B9-B8)&gt;0.01*ABS(B8),(Assumptions!$B$2-B8)/(B9-B8)*100,"n/a")</f>
        <v>1963.48611851189</v>
      </c>
    </row>
    <row r="12" customFormat="false" ht="15" hidden="false" customHeight="false" outlineLevel="0" collapsed="false">
      <c r="A12" s="0" t="s">
        <v>162</v>
      </c>
      <c r="B12" s="0" t="n">
        <f aca="false">SUMPRODUCT(F4:F6,D4:D6)</f>
        <v>81.0988416007218</v>
      </c>
    </row>
    <row r="14" customFormat="false" ht="15" hidden="false" customHeight="false" outlineLevel="0" collapsed="false">
      <c r="A14" s="2" t="s">
        <v>163</v>
      </c>
      <c r="C14" s="0" t="s">
        <v>164</v>
      </c>
    </row>
    <row r="15" customFormat="false" ht="15" hidden="false" customHeight="false" outlineLevel="0" collapsed="false">
      <c r="A15" s="0" t="s">
        <v>165</v>
      </c>
      <c r="B15" s="0" t="n">
        <f aca="false">(SUMPRODUCT(DCF_Base!$C$19:$L$19/(1+$C$15/100)^DCF_Base!$C$4:$L$4)+MAX(0,MIN(IF($C$15&gt;DCF_Base!$B$28,DCF_Base!$L$19*(1+DCF_Base!$B$28/100)/(($C$15-DCF_Base!$B$28)/100),DCF_Base!$L$19*DCF_Base!$B$29),DCF_Base!$L$19*DCF_Base!$B$29))/(1+$C$15/100)^DCF_Base!$L$4+Assumptions!$B$5-Assumptions!$B$4)/Assumptions!$B$3*Assumptions!$B$10</f>
        <v>230.505040877116</v>
      </c>
      <c r="C15" s="3" t="n">
        <v>9</v>
      </c>
    </row>
    <row r="16" customFormat="false" ht="15" hidden="false" customHeight="false" outlineLevel="0" collapsed="false">
      <c r="A16" s="0" t="s">
        <v>166</v>
      </c>
      <c r="B16" s="0" t="n">
        <f aca="false">(SUMPRODUCT(DCF_Base!$C$19:$L$19/(1+$C$16/100)^DCF_Base!$C$4:$L$4)+MAX(0,MIN(IF($C$16&gt;DCF_Base!$B$28,DCF_Base!$L$19*(1+DCF_Base!$B$28/100)/(($C$16-DCF_Base!$B$28)/100),DCF_Base!$L$19*DCF_Base!$B$29),DCF_Base!$L$19*DCF_Base!$B$29))/(1+$C$16/100)^DCF_Base!$L$4+Assumptions!$B$5-Assumptions!$B$4)/Assumptions!$B$3*Assumptions!$B$10</f>
        <v>188.206047701999</v>
      </c>
      <c r="C16" s="3" t="n">
        <v>10</v>
      </c>
    </row>
    <row r="17" customFormat="false" ht="15" hidden="false" customHeight="false" outlineLevel="0" collapsed="false">
      <c r="A17" s="0" t="s">
        <v>167</v>
      </c>
      <c r="B17" s="0" t="n">
        <f aca="false">(SUMPRODUCT(DCF_Base!$C$19:$L$19/(1+$C$17/100)^DCF_Base!$C$4:$L$4)+MAX(0,MIN(IF($C$17&gt;DCF_Base!$B$28,DCF_Base!$L$19*(1+DCF_Base!$B$28/100)/(($C$17-DCF_Base!$B$28)/100),DCF_Base!$L$19*DCF_Base!$B$29),DCF_Base!$L$19*DCF_Base!$B$29))/(1+$C$17/100)^DCF_Base!$L$4+Assumptions!$B$5-Assumptions!$B$4)/Assumptions!$B$3*Assumptions!$B$10</f>
        <v>156.564246623835</v>
      </c>
      <c r="C17" s="3" t="n">
        <v>11</v>
      </c>
    </row>
    <row r="18" customFormat="false" ht="15" hidden="false" customHeight="false" outlineLevel="0" collapsed="false">
      <c r="A18" s="0" t="s">
        <v>168</v>
      </c>
      <c r="B18" s="0" t="n">
        <f aca="false">(SUMPRODUCT(DCF_Base!$C$19:$L$19/(1+$C$18/100)^DCF_Base!$C$4:$L$4)+MAX(0,MIN(IF($C$18&gt;DCF_Base!$B$28,DCF_Base!$L$19*(1+DCF_Base!$B$28/100)/(($C$18-DCF_Base!$B$28)/100),DCF_Base!$L$19*DCF_Base!$B$29),DCF_Base!$L$19*DCF_Base!$B$29))/(1+$C$18/100)^DCF_Base!$L$4+Assumptions!$B$5-Assumptions!$B$4)/Assumptions!$B$3*Assumptions!$B$10</f>
        <v>132.022593309344</v>
      </c>
      <c r="C18" s="3" t="n">
        <v>12</v>
      </c>
    </row>
    <row r="19" customFormat="false" ht="15" hidden="false" customHeight="false" outlineLevel="0" collapsed="false">
      <c r="A19" s="0" t="s">
        <v>169</v>
      </c>
      <c r="B19" s="0" t="n">
        <f aca="false">(SUMPRODUCT(DCF_Base!$C$19:$L$19/(1+$C$19/100)^DCF_Base!$C$4:$L$4)+MAX(0,MIN(IF($C$19&gt;DCF_Base!$B$28,DCF_Base!$L$19*(1+DCF_Base!$B$28/100)/(($C$19-DCF_Base!$B$28)/100),DCF_Base!$L$19*DCF_Base!$B$29),DCF_Base!$L$19*DCF_Base!$B$29))/(1+$C$19/100)^DCF_Base!$L$4+Assumptions!$B$5-Assumptions!$B$4)/Assumptions!$B$3*Assumptions!$B$10</f>
        <v>83.2172124246687</v>
      </c>
      <c r="C19" s="3" t="n">
        <v>15</v>
      </c>
    </row>
    <row r="21" customFormat="false" ht="15" hidden="false" customHeight="false" outlineLevel="0" collapsed="false">
      <c r="A21" s="2" t="s">
        <v>170</v>
      </c>
    </row>
    <row r="22" customFormat="false" ht="15" hidden="false" customHeight="false" outlineLevel="0" collapsed="false">
      <c r="B22" s="3" t="n">
        <v>2</v>
      </c>
      <c r="C22" s="3" t="n">
        <v>2.5</v>
      </c>
      <c r="D22" s="3" t="n">
        <v>3</v>
      </c>
      <c r="E22" s="3" t="n">
        <v>3.5</v>
      </c>
      <c r="F22" s="3" t="n">
        <v>4</v>
      </c>
    </row>
    <row r="23" customFormat="false" ht="15" hidden="false" customHeight="false" outlineLevel="0" collapsed="false">
      <c r="A23" s="3" t="n">
        <v>7</v>
      </c>
      <c r="B23" s="0" t="n">
        <f aca="false">(SUMPRODUCT(DCF_Base!$C$19:$L$19/(1+$A$23/100)^DCF_Base!$C$4:$L$4)+MAX(0,MIN(IF($A$23&gt;$B$22,DCF_Base!$L$19*(1+$B$22/100)/(($A$23-$B$22)/100),DCF_Base!$L$19*DCF_Base!$B$29),DCF_Base!$L$19*DCF_Base!$B$29))/(1+$A$23/100)^DCF_Base!$L$4+Assumptions!$B$5-Assumptions!$B$4)/Assumptions!$B$3*Assumptions!$B$10</f>
        <v>310.700480381504</v>
      </c>
      <c r="C23" s="0" t="n">
        <f aca="false">(SUMPRODUCT(DCF_Base!$C$19:$L$19/(1+$A$23/100)^DCF_Base!$C$4:$L$4)+MAX(0,MIN(IF($A$23&gt;$C$22,DCF_Base!$L$19*(1+$C$22/100)/(($A$23-$C$22)/100),DCF_Base!$L$19*DCF_Base!$B$29),DCF_Base!$L$19*DCF_Base!$B$29))/(1+$A$23/100)^DCF_Base!$L$4+Assumptions!$B$5-Assumptions!$B$4)/Assumptions!$B$3*Assumptions!$B$10</f>
        <v>310.700480381504</v>
      </c>
      <c r="D23" s="0" t="n">
        <f aca="false">(SUMPRODUCT(DCF_Base!$C$19:$L$19/(1+$A$23/100)^DCF_Base!$C$4:$L$4)+MAX(0,MIN(IF($A$23&gt;$D$22,DCF_Base!$L$19*(1+$D$22/100)/(($A$23-$D$22)/100),DCF_Base!$L$19*DCF_Base!$B$29),DCF_Base!$L$19*DCF_Base!$B$29))/(1+$A$23/100)^DCF_Base!$L$4+Assumptions!$B$5-Assumptions!$B$4)/Assumptions!$B$3*Assumptions!$B$10</f>
        <v>310.700480381504</v>
      </c>
      <c r="E23" s="0" t="n">
        <f aca="false">(SUMPRODUCT(DCF_Base!$C$19:$L$19/(1+$A$23/100)^DCF_Base!$C$4:$L$4)+MAX(0,MIN(IF($A$23&gt;$E$22,DCF_Base!$L$19*(1+$E$22/100)/(($A$23-$E$22)/100),DCF_Base!$L$19*DCF_Base!$B$29),DCF_Base!$L$19*DCF_Base!$B$29))/(1+$A$23/100)^DCF_Base!$L$4+Assumptions!$B$5-Assumptions!$B$4)/Assumptions!$B$3*Assumptions!$B$10</f>
        <v>310.700480381504</v>
      </c>
      <c r="F23" s="0" t="n">
        <f aca="false">(SUMPRODUCT(DCF_Base!$C$19:$L$19/(1+$A$23/100)^DCF_Base!$C$4:$L$4)+MAX(0,MIN(IF($A$23&gt;$F$22,DCF_Base!$L$19*(1+$F$22/100)/(($A$23-$F$22)/100),DCF_Base!$L$19*DCF_Base!$B$29),DCF_Base!$L$19*DCF_Base!$B$29))/(1+$A$23/100)^DCF_Base!$L$4+Assumptions!$B$5-Assumptions!$B$4)/Assumptions!$B$3*Assumptions!$B$10</f>
        <v>310.700480381504</v>
      </c>
    </row>
    <row r="24" customFormat="false" ht="15" hidden="false" customHeight="false" outlineLevel="0" collapsed="false">
      <c r="A24" s="3" t="n">
        <v>8</v>
      </c>
      <c r="B24" s="0" t="n">
        <f aca="false">(SUMPRODUCT(DCF_Base!$C$19:$L$19/(1+$A$24/100)^DCF_Base!$C$4:$L$4)+MAX(0,MIN(IF($A$24&gt;$B$22,DCF_Base!$L$19*(1+$B$22/100)/(($A$24-$B$22)/100),DCF_Base!$L$19*DCF_Base!$B$29),DCF_Base!$L$19*DCF_Base!$B$29))/(1+$A$24/100)^DCF_Base!$L$4+Assumptions!$B$5-Assumptions!$B$4)/Assumptions!$B$3*Assumptions!$B$10</f>
        <v>250.848807261339</v>
      </c>
      <c r="C24" s="0" t="n">
        <f aca="false">(SUMPRODUCT(DCF_Base!$C$19:$L$19/(1+$A$24/100)^DCF_Base!$C$4:$L$4)+MAX(0,MIN(IF($A$24&gt;$C$22,DCF_Base!$L$19*(1+$C$22/100)/(($A$24-$C$22)/100),DCF_Base!$L$19*DCF_Base!$B$29),DCF_Base!$L$19*DCF_Base!$B$29))/(1+$A$24/100)^DCF_Base!$L$4+Assumptions!$B$5-Assumptions!$B$4)/Assumptions!$B$3*Assumptions!$B$10</f>
        <v>268.58326756815</v>
      </c>
      <c r="D24" s="0" t="n">
        <f aca="false">(SUMPRODUCT(DCF_Base!$C$19:$L$19/(1+$A$24/100)^DCF_Base!$C$4:$L$4)+MAX(0,MIN(IF($A$24&gt;$D$22,DCF_Base!$L$19*(1+$D$22/100)/(($A$24-$D$22)/100),DCF_Base!$L$19*DCF_Base!$B$29),DCF_Base!$L$19*DCF_Base!$B$29))/(1+$A$24/100)^DCF_Base!$L$4+Assumptions!$B$5-Assumptions!$B$4)/Assumptions!$B$3*Assumptions!$B$10</f>
        <v>283.361984490493</v>
      </c>
      <c r="E24" s="0" t="n">
        <f aca="false">(SUMPRODUCT(DCF_Base!$C$19:$L$19/(1+$A$24/100)^DCF_Base!$C$4:$L$4)+MAX(0,MIN(IF($A$24&gt;$E$22,DCF_Base!$L$19*(1+$E$22/100)/(($A$24-$E$22)/100),DCF_Base!$L$19*DCF_Base!$B$29),DCF_Base!$L$19*DCF_Base!$B$29))/(1+$A$24/100)^DCF_Base!$L$4+Assumptions!$B$5-Assumptions!$B$4)/Assumptions!$B$3*Assumptions!$B$10</f>
        <v>283.361984490493</v>
      </c>
      <c r="F24" s="0" t="n">
        <f aca="false">(SUMPRODUCT(DCF_Base!$C$19:$L$19/(1+$A$24/100)^DCF_Base!$C$4:$L$4)+MAX(0,MIN(IF($A$24&gt;$F$22,DCF_Base!$L$19*(1+$F$22/100)/(($A$24-$F$22)/100),DCF_Base!$L$19*DCF_Base!$B$29),DCF_Base!$L$19*DCF_Base!$B$29))/(1+$A$24/100)^DCF_Base!$L$4+Assumptions!$B$5-Assumptions!$B$4)/Assumptions!$B$3*Assumptions!$B$10</f>
        <v>283.361984490493</v>
      </c>
    </row>
    <row r="25" customFormat="false" ht="15" hidden="false" customHeight="false" outlineLevel="0" collapsed="false">
      <c r="A25" s="3" t="n">
        <v>9</v>
      </c>
      <c r="B25" s="0" t="n">
        <f aca="false">(SUMPRODUCT(DCF_Base!$C$19:$L$19/(1+$A$25/100)^DCF_Base!$C$4:$L$4)+MAX(0,MIN(IF($A$25&gt;$B$22,DCF_Base!$L$19*(1+$B$22/100)/(($A$25-$B$22)/100),DCF_Base!$L$19*DCF_Base!$B$29),DCF_Base!$L$19*DCF_Base!$B$29))/(1+$A$25/100)^DCF_Base!$L$4+Assumptions!$B$5-Assumptions!$B$4)/Assumptions!$B$3*Assumptions!$B$10</f>
        <v>204.855007199205</v>
      </c>
      <c r="C25" s="0" t="n">
        <f aca="false">(SUMPRODUCT(DCF_Base!$C$19:$L$19/(1+$A$25/100)^DCF_Base!$C$4:$L$4)+MAX(0,MIN(IF($A$25&gt;$C$22,DCF_Base!$L$19*(1+$C$22/100)/(($A$25-$C$22)/100),DCF_Base!$L$19*DCF_Base!$B$29),DCF_Base!$L$19*DCF_Base!$B$29))/(1+$A$25/100)^DCF_Base!$L$4+Assumptions!$B$5-Assumptions!$B$4)/Assumptions!$B$3*Assumptions!$B$10</f>
        <v>216.693484281318</v>
      </c>
      <c r="D25" s="0" t="n">
        <f aca="false">(SUMPRODUCT(DCF_Base!$C$19:$L$19/(1+$A$25/100)^DCF_Base!$C$4:$L$4)+MAX(0,MIN(IF($A$25&gt;$D$22,DCF_Base!$L$19*(1+$D$22/100)/(($A$25-$D$22)/100),DCF_Base!$L$19*DCF_Base!$B$29),DCF_Base!$L$19*DCF_Base!$B$29))/(1+$A$25/100)^DCF_Base!$L$4+Assumptions!$B$5-Assumptions!$B$4)/Assumptions!$B$3*Assumptions!$B$10</f>
        <v>230.505040877116</v>
      </c>
      <c r="E25" s="0" t="n">
        <f aca="false">(SUMPRODUCT(DCF_Base!$C$19:$L$19/(1+$A$25/100)^DCF_Base!$C$4:$L$4)+MAX(0,MIN(IF($A$25&gt;$E$22,DCF_Base!$L$19*(1+$E$22/100)/(($A$25-$E$22)/100),DCF_Base!$L$19*DCF_Base!$B$29),DCF_Base!$L$19*DCF_Base!$B$29))/(1+$A$25/100)^DCF_Base!$L$4+Assumptions!$B$5-Assumptions!$B$4)/Assumptions!$B$3*Assumptions!$B$10</f>
        <v>246.827789581242</v>
      </c>
      <c r="F25" s="0" t="n">
        <f aca="false">(SUMPRODUCT(DCF_Base!$C$19:$L$19/(1+$A$25/100)^DCF_Base!$C$4:$L$4)+MAX(0,MIN(IF($A$25&gt;$F$22,DCF_Base!$L$19*(1+$F$22/100)/(($A$25-$F$22)/100),DCF_Base!$L$19*DCF_Base!$B$29),DCF_Base!$L$19*DCF_Base!$B$29))/(1+$A$25/100)^DCF_Base!$L$4+Assumptions!$B$5-Assumptions!$B$4)/Assumptions!$B$3*Assumptions!$B$10</f>
        <v>258.508288653919</v>
      </c>
    </row>
    <row r="26" customFormat="false" ht="15" hidden="false" customHeight="false" outlineLevel="0" collapsed="false">
      <c r="A26" s="3" t="n">
        <v>10</v>
      </c>
      <c r="B26" s="0" t="n">
        <f aca="false">(SUMPRODUCT(DCF_Base!$C$19:$L$19/(1+$A$26/100)^DCF_Base!$C$4:$L$4)+MAX(0,MIN(IF($A$26&gt;$B$22,DCF_Base!$L$19*(1+$B$22/100)/(($A$26-$B$22)/100),DCF_Base!$L$19*DCF_Base!$B$29),DCF_Base!$L$19*DCF_Base!$B$29))/(1+$A$26/100)^DCF_Base!$L$4+Assumptions!$B$5-Assumptions!$B$4)/Assumptions!$B$3*Assumptions!$B$10</f>
        <v>170.486463853142</v>
      </c>
      <c r="C26" s="0" t="n">
        <f aca="false">(SUMPRODUCT(DCF_Base!$C$19:$L$19/(1+$A$26/100)^DCF_Base!$C$4:$L$4)+MAX(0,MIN(IF($A$26&gt;$C$22,DCF_Base!$L$19*(1+$C$22/100)/(($A$26-$C$22)/100),DCF_Base!$L$19*DCF_Base!$B$29),DCF_Base!$L$19*DCF_Base!$B$29))/(1+$A$26/100)^DCF_Base!$L$4+Assumptions!$B$5-Assumptions!$B$4)/Assumptions!$B$3*Assumptions!$B$10</f>
        <v>178.755602982609</v>
      </c>
      <c r="D26" s="0" t="n">
        <f aca="false">(SUMPRODUCT(DCF_Base!$C$19:$L$19/(1+$A$26/100)^DCF_Base!$C$4:$L$4)+MAX(0,MIN(IF($A$26&gt;$D$22,DCF_Base!$L$19*(1+$D$22/100)/(($A$26-$D$22)/100),DCF_Base!$L$19*DCF_Base!$B$29),DCF_Base!$L$19*DCF_Base!$B$29))/(1+$A$26/100)^DCF_Base!$L$4+Assumptions!$B$5-Assumptions!$B$4)/Assumptions!$B$3*Assumptions!$B$10</f>
        <v>188.206047701999</v>
      </c>
      <c r="E26" s="0" t="n">
        <f aca="false">(SUMPRODUCT(DCF_Base!$C$19:$L$19/(1+$A$26/100)^DCF_Base!$C$4:$L$4)+MAX(0,MIN(IF($A$26&gt;$E$22,DCF_Base!$L$19*(1+$E$22/100)/(($A$26-$E$22)/100),DCF_Base!$L$19*DCF_Base!$B$29),DCF_Base!$L$19*DCF_Base!$B$29))/(1+$A$26/100)^DCF_Base!$L$4+Assumptions!$B$5-Assumptions!$B$4)/Assumptions!$B$3*Assumptions!$B$10</f>
        <v>199.110406993604</v>
      </c>
      <c r="F26" s="0" t="n">
        <f aca="false">(SUMPRODUCT(DCF_Base!$C$19:$L$19/(1+$A$26/100)^DCF_Base!$C$4:$L$4)+MAX(0,MIN(IF($A$26&gt;$F$22,DCF_Base!$L$19*(1+$F$22/100)/(($A$26-$F$22)/100),DCF_Base!$L$19*DCF_Base!$B$29),DCF_Base!$L$19*DCF_Base!$B$29))/(1+$A$26/100)^DCF_Base!$L$4+Assumptions!$B$5-Assumptions!$B$4)/Assumptions!$B$3*Assumptions!$B$10</f>
        <v>211.832159500476</v>
      </c>
    </row>
    <row r="27" customFormat="false" ht="15" hidden="false" customHeight="false" outlineLevel="0" collapsed="false">
      <c r="A27" s="3" t="n">
        <v>11</v>
      </c>
      <c r="B27" s="0" t="n">
        <f aca="false">(SUMPRODUCT(DCF_Base!$C$19:$L$19/(1+$A$27/100)^DCF_Base!$C$4:$L$4)+MAX(0,MIN(IF($A$27&gt;$B$22,DCF_Base!$L$19*(1+$B$22/100)/(($A$27-$B$22)/100),DCF_Base!$L$19*DCF_Base!$B$29),DCF_Base!$L$19*DCF_Base!$B$29))/(1+$A$27/100)^DCF_Base!$L$4+Assumptions!$B$5-Assumptions!$B$4)/Assumptions!$B$3*Assumptions!$B$10</f>
        <v>143.860365944214</v>
      </c>
      <c r="C27" s="0" t="n">
        <f aca="false">(SUMPRODUCT(DCF_Base!$C$19:$L$19/(1+$A$27/100)^DCF_Base!$C$4:$L$4)+MAX(0,MIN(IF($A$27&gt;$C$22,DCF_Base!$L$19*(1+$C$22/100)/(($A$27-$C$22)/100),DCF_Base!$L$19*DCF_Base!$B$29),DCF_Base!$L$19*DCF_Base!$B$29))/(1+$A$27/100)^DCF_Base!$L$4+Assumptions!$B$5-Assumptions!$B$4)/Assumptions!$B$3*Assumptions!$B$10</f>
        <v>149.838662734624</v>
      </c>
      <c r="D27" s="0" t="n">
        <f aca="false">(SUMPRODUCT(DCF_Base!$C$19:$L$19/(1+$A$27/100)^DCF_Base!$C$4:$L$4)+MAX(0,MIN(IF($A$27&gt;$D$22,DCF_Base!$L$19*(1+$D$22/100)/(($A$27-$D$22)/100),DCF_Base!$L$19*DCF_Base!$B$29),DCF_Base!$L$19*DCF_Base!$B$29))/(1+$A$27/100)^DCF_Base!$L$4+Assumptions!$B$5-Assumptions!$B$4)/Assumptions!$B$3*Assumptions!$B$10</f>
        <v>156.564246623835</v>
      </c>
      <c r="E27" s="0" t="n">
        <f aca="false">(SUMPRODUCT(DCF_Base!$C$19:$L$19/(1+$A$27/100)^DCF_Base!$C$4:$L$4)+MAX(0,MIN(IF($A$27&gt;$E$22,DCF_Base!$L$19*(1+$E$22/100)/(($A$27-$E$22)/100),DCF_Base!$L$19*DCF_Base!$B$29),DCF_Base!$L$19*DCF_Base!$B$29))/(1+$A$27/100)^DCF_Base!$L$4+Assumptions!$B$5-Assumptions!$B$4)/Assumptions!$B$3*Assumptions!$B$10</f>
        <v>164.186575031609</v>
      </c>
      <c r="F27" s="0" t="n">
        <f aca="false">(SUMPRODUCT(DCF_Base!$C$19:$L$19/(1+$A$27/100)^DCF_Base!$C$4:$L$4)+MAX(0,MIN(IF($A$27&gt;$F$22,DCF_Base!$L$19*(1+$F$22/100)/(($A$27-$F$22)/100),DCF_Base!$L$19*DCF_Base!$B$29),DCF_Base!$L$19*DCF_Base!$B$29))/(1+$A$27/100)^DCF_Base!$L$4+Assumptions!$B$5-Assumptions!$B$4)/Assumptions!$B$3*Assumptions!$B$10</f>
        <v>172.897807497635</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LibreOffice/26.2.5.2$MacOSX_AARCH64 LibreOffice_project/cd7284b4cbbfeb507e630c1aac019f4157393acb</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2026-09-28T07:52:31Z</dcterms:created>
  <dc:creator>openpyxl</dc:creator>
  <dc:description/>
  <dc:language>en-NZ</dc:language>
  <cp:lastModifiedBy/>
  <dcterms:modified xsi:type="dcterms:W3CDTF">2026-09-28T07:52:31Z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