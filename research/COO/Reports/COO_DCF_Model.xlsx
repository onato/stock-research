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<sst xmlns="http://schemas.openxmlformats.org/spreadsheetml/2006/main" count="387" uniqueCount="174">
  <si>
    <t xml:space="preserve">Ticker</t>
  </si>
  <si>
    <t xml:space="preserve">COO</t>
  </si>
  <si>
    <t xml:space="preserve">Company</t>
  </si>
  <si>
    <t xml:space="preserve">The Cooper Companies,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</si>
  <si>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</si>
  <si>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</si>
  <si>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</si>
  <si>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</si>
  <si>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2026-09-25T20:00:01Z regular close (Yahoo Finance chart API)</t>
  </si>
  <si>
    <t xml:space="preserve">Balance sheet date</t>
  </si>
  <si>
    <t xml:space="preserve">2026-07-31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</si>
  <si>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</si>
  <si>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</si>
  <si>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</si>
  <si>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</si>
  <si>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</si>
  <si>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</si>
  <si>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</si>
  <si>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</si>
  <si>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</si>
  <si>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</si>
  <si>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2026-09-26T00:57:06Z</t>
  </si>
  <si>
    <t xml:space="preserve">Drivers file</t>
  </si>
  <si>
    <t xml:space="preserve">COO_Drivers.json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</si>
  <si>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</si>
  <si>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</si>
  <si>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</si>
  <si>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Unlevered owner-FCF DCF with SBC and equity-award withholding taxes expensed and the share count held flat (Cooper is an active repurchaser). Margins built from GAAP-inclusive components so Cooper's recurring 'one-time' charges stay in the flows; the one quantified litigation liability is deducted in the bridge. Street basis (SBC as non-cash) reported as a memo band.
key_risks_to_valuation: Paragard MDL: 4,000+ cases, loss probable, exposure potentially above insurance; only the $272M net accrual is deducted; CooperVision revenue flat for several quarters; destock vs share loss unresolved; China myopia-management softness; Terminal value dominates: a 10-year fade at 8.5% WACC with an 18x cap; FY2027 tax step-up to ~17.5% and potential Pillar Two creep; Recurring restructuring/litigation charges historically 2-4pp of revenue; margin path assumes they shrink</t>
  </si>
  <si>
    <t xml:space="preserve">Data sources</t>
  </si>
  <si>
    <t xml:space="preserve">price: Yahoo Finance chart API at inputs.price_as_of; 52-week range 51.01-89.83
financials: SEC XBRL companyfacts (CIK 711404) via COO_Metrics.csv / COO.duckdb; litigation accrual, insurance receivable, D&amp;A split, taxes paid, interest expense, diluted shares and working-capital balances read directly from companyfacts (10-K FY2025, 10-Q Q3 FY2026)
qualitative: COO_Analysis.json (2026-09-26): Q3 FY2026 results, FY2026 guidance, strategic review outcome, Paragard litigation status</t>
  </si>
  <si>
    <t xml:space="preserve">Scenario narrative: bear</t>
  </si>
  <si>
    <t xml:space="preserve">Contact-lens share loss to J&amp;J Vision and Alcon is structural, not timing; China myopia stays soft and competitors narrow MiSight's clinical lead; Paragard's monopoly ends and the MDL (4,000+ cases, exposure potentially above insurance) produces further settlements beyond the $272M net accrual already deducted. Growth ~2.5%, margin compresses to 29.5%, cash tax 20%, 14x terminal cap.</t>
  </si>
  <si>
    <t xml:space="preserve">Scenario narrative: base</t>
  </si>
  <si>
    <t xml:space="preserve">CooperVision consumption growth (mid-single-digit per management) reappears in reported revenue after the FY2026 US channel inventory reduction laps; MiSight grows ~15-20% ex-China; CooperSurgical fertility offsets IUD competition. Revenue compounds ~4-5% for five years, fading to 3%; pre-SBC EBITDA margin drifts from 31% to 32.5% as capex steps down from the FY2023-25 capacity build (10.9% -&gt; ~6%). Cash tax follows guidance to ~17.5-18%.</t>
  </si>
  <si>
    <t xml:space="preserve">Scenario narrative: bull</t>
  </si>
  <si>
    <t xml:space="preserve">Myopia management is the axis: MiSight/MyDay MiSight approvals in Japan, UK and Europe and a China recovery turn it into a multi-hundred-million-dollar double-digit grower; the expanded US sales footprint and pulled-forward pipeline regain share in torics/multifocals; fertility genomics compounds. Growth 6.5-7% for four years, margins to 34.5%, capex to 5.5%.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</si>
  <si>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</si>
  <si>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</si>
  <si>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</si>
  <si>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</si>
  <si>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</si>
  <si>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</si>
  <si>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</si>
  <si>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</si>
  <si>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</si>
  <si>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</si>
  <si>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</si>
  <si>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</si>
  <si>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</si>
  <si>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</si>
  <si>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</si>
  <si>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</si>
  <si>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</si>
  <si>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</si>
  <si>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</si>
  <si>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</si>
  <si>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</si>
  <si>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</si>
  <si>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</si>
  <si>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</si>
  <si>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</si>
  <si>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</si>
  <si>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</si>
  <si>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</si>
  <si>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</si>
  <si>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</si>
  <si>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</si>
  <si>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</si>
  <si>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</si>
  <si>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</si>
  <si>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</si>
  <si>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</si>
  <si>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</si>
  <si>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</si>
  <si>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</si>
  <si>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</si>
  <si>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</si>
  <si>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</si>
  <si>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</si>
  <si>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</si>
  <si>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</si>
  <si>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</si>
  <si>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</si>
  <si>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</si>
  <si>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</si>
  <si>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</si>
  <si>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</si>
  <si>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</si>
  <si>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</si>
  <si>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</si>
  <si>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</si>
  <si>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</si>
  <si>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</si>
  <si>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</si>
  <si>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</si>
  <si>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</si>
  <si>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</si>
  <si>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</si>
  <si>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</si>
  <si>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</si>
  <si>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</si>
  <si>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</si>
  <si>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</si>
  <si>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</si>
  <si>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</si>
  <si>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</si>
  <si>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</si>
  <si>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</si>
  <si>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</si>
  <si>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</si>
  <si>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</si>
  <si>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</si>
  <si>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</si>
  <si>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</si>
  <si>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</si>
  <si>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</si>
  <si>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</si>
  <si>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</si>
  <si>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</si>
  <si>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COO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</si>
  <si>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</si>
  <si>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</si>
  <si>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</si>
  <si>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</si>
  <si>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</si>
  <si>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</si>
  <si>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</si>
  <si>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</si>
  <si>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</si>
  <si>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</si>
  <si>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</si>
  <si>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</si>
  <si>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</si>
  <si>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</si>
  <si>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</si>
  <si>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</si>
  <si>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</si>
  <si>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</si>
  <si>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</si>
  <si>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</si>
  <si>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</si>
  <si>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</si>
  <si>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</si>
  <si>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</si>
  <si>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</si>
  <si>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</si>
  <si>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</si>
  <si>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</si>
  <si>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</si>
  <si>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</si>
  <si>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COO owner-FCF component DCF: base case (millions, USD)</t>
  </si>
  <si>
    <t xml:space="preserve">COO owner-FCF component DCF: bull case (millions, USD)</t>
  </si>
  <si>
    <t xml:space="preserve">COO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</si>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</sst>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55.38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1461.007</v>
      </c>
      <c r="S2" s="0" t="n">
        <v>3.226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1047.375</v>
      </c>
      <c r="C3" s="0" t="n">
        <v>437.345</v>
      </c>
      <c r="D3" s="0" t="n">
        <v>610.03</v>
      </c>
      <c r="E3" s="0" t="n">
        <v>58.2437044993436</v>
      </c>
      <c r="F3" s="0" t="n">
        <v>126.963</v>
      </c>
      <c r="G3" s="0" t="n">
        <v>12.1220193340494</v>
      </c>
      <c r="H3" s="0" t="n">
        <v>209.148</v>
      </c>
      <c r="I3" s="0" t="n">
        <v>63.956</v>
      </c>
      <c r="J3" s="0" t="n">
        <v>6.106313402554</v>
      </c>
      <c r="K3" s="0" t="n">
        <v>1.42</v>
      </c>
      <c r="L3" s="0" t="n">
        <v>96.528</v>
      </c>
      <c r="M3" s="0" t="n">
        <v>124.885</v>
      </c>
      <c r="N3" s="0" t="n">
        <v>-28.357</v>
      </c>
      <c r="O3" s="0" t="n">
        <v>1417.076</v>
      </c>
      <c r="S3" s="0" t="n">
        <v>1.944</v>
      </c>
      <c r="T3" s="0" t="n">
        <v>45.117</v>
      </c>
      <c r="U3" s="0" t="n">
        <v>13.567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1080.421</v>
      </c>
      <c r="C4" s="0" t="n">
        <v>483.927</v>
      </c>
      <c r="D4" s="0" t="n">
        <v>596.494</v>
      </c>
      <c r="E4" s="0" t="n">
        <v>55.2094044821417</v>
      </c>
      <c r="F4" s="0" t="n">
        <v>149.856</v>
      </c>
      <c r="G4" s="0" t="n">
        <v>13.8701487660829</v>
      </c>
      <c r="H4" s="0" t="n">
        <v>242.458</v>
      </c>
      <c r="I4" s="0" t="n">
        <v>100.548</v>
      </c>
      <c r="J4" s="0" t="n">
        <v>9.30637223822936</v>
      </c>
      <c r="K4" s="0" t="n">
        <v>2.23</v>
      </c>
      <c r="L4" s="0" t="n">
        <v>223.128</v>
      </c>
      <c r="M4" s="0" t="n">
        <v>93.906</v>
      </c>
      <c r="N4" s="0" t="n">
        <v>129.222</v>
      </c>
      <c r="O4" s="0" t="n">
        <v>1540.342</v>
      </c>
      <c r="P4" s="0" t="n">
        <v>2551.907</v>
      </c>
      <c r="Q4" s="0" t="n">
        <v>1011.565</v>
      </c>
      <c r="R4" s="0" t="n">
        <v>774.423</v>
      </c>
      <c r="S4" s="0" t="n">
        <v>3.932</v>
      </c>
      <c r="T4" s="0" t="n">
        <v>45.478</v>
      </c>
      <c r="U4" s="0" t="n">
        <v>12.037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1158.517</v>
      </c>
      <c r="C5" s="0" t="n">
        <v>481.794</v>
      </c>
      <c r="D5" s="0" t="n">
        <v>676.723</v>
      </c>
      <c r="E5" s="0" t="n">
        <v>58.4128674848966</v>
      </c>
      <c r="F5" s="0" t="n">
        <v>189.912</v>
      </c>
      <c r="G5" s="0" t="n">
        <v>16.3926813331181</v>
      </c>
      <c r="H5" s="0" t="n">
        <v>283.913</v>
      </c>
      <c r="I5" s="0" t="n">
        <v>112.803</v>
      </c>
      <c r="J5" s="0" t="n">
        <v>9.73684460392036</v>
      </c>
      <c r="K5" s="0" t="n">
        <v>2.48</v>
      </c>
      <c r="L5" s="0" t="n">
        <v>267.663</v>
      </c>
      <c r="M5" s="0" t="n">
        <v>73.757</v>
      </c>
      <c r="N5" s="0" t="n">
        <v>193.906</v>
      </c>
      <c r="O5" s="0" t="n">
        <v>1666.776</v>
      </c>
      <c r="P5" s="0" t="n">
        <v>2525.018</v>
      </c>
      <c r="Q5" s="0" t="n">
        <v>858.242</v>
      </c>
      <c r="R5" s="0" t="n">
        <v>611.136</v>
      </c>
      <c r="S5" s="0" t="n">
        <v>3.573</v>
      </c>
      <c r="T5" s="0" t="n">
        <v>46.505</v>
      </c>
      <c r="U5" s="0" t="n">
        <v>10.2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1330.835</v>
      </c>
      <c r="C6" s="0" t="n">
        <v>526.031</v>
      </c>
      <c r="D6" s="0" t="n">
        <v>804.804</v>
      </c>
      <c r="E6" s="0" t="n">
        <v>60.4736124312931</v>
      </c>
      <c r="F6" s="0" t="n">
        <v>227.556</v>
      </c>
      <c r="G6" s="0" t="n">
        <v>17.0987387617548</v>
      </c>
      <c r="H6" s="0" t="n">
        <v>325.705</v>
      </c>
      <c r="I6" s="0" t="n">
        <v>175.43</v>
      </c>
      <c r="J6" s="0" t="n">
        <v>13.1819496782095</v>
      </c>
      <c r="K6" s="0" t="n">
        <v>3.74</v>
      </c>
      <c r="L6" s="0" t="n">
        <v>336.281</v>
      </c>
      <c r="M6" s="0" t="n">
        <v>103.665</v>
      </c>
      <c r="N6" s="0" t="n">
        <v>232.616</v>
      </c>
      <c r="O6" s="0" t="n">
        <v>1937.488</v>
      </c>
      <c r="P6" s="0" t="n">
        <v>2624.518</v>
      </c>
      <c r="Q6" s="0" t="n">
        <v>687.03</v>
      </c>
      <c r="R6" s="0" t="n">
        <v>380.432</v>
      </c>
      <c r="S6" s="0" t="n">
        <v>5.175</v>
      </c>
      <c r="T6" s="0" t="n">
        <v>48.309</v>
      </c>
      <c r="U6" s="0" t="n">
        <v>14.7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1445.136</v>
      </c>
      <c r="C7" s="0" t="n">
        <v>521.126</v>
      </c>
      <c r="D7" s="0" t="n">
        <v>924.01</v>
      </c>
      <c r="E7" s="0" t="n">
        <v>63.9393109022265</v>
      </c>
      <c r="F7" s="0" t="n">
        <v>283.398</v>
      </c>
      <c r="G7" s="0" t="n">
        <v>19.6104726475571</v>
      </c>
      <c r="H7" s="0" t="n">
        <v>394.612</v>
      </c>
      <c r="I7" s="0" t="n">
        <v>248.644</v>
      </c>
      <c r="J7" s="0" t="n">
        <v>17.2055778833272</v>
      </c>
      <c r="K7" s="0" t="n">
        <v>5.18</v>
      </c>
      <c r="L7" s="0" t="n">
        <v>315.121</v>
      </c>
      <c r="M7" s="0" t="n">
        <v>99.779</v>
      </c>
      <c r="N7" s="0" t="n">
        <v>215.342</v>
      </c>
      <c r="O7" s="0" t="n">
        <v>2213.158</v>
      </c>
      <c r="P7" s="0" t="n">
        <v>2941.384</v>
      </c>
      <c r="Q7" s="0" t="n">
        <v>728.226</v>
      </c>
      <c r="R7" s="0" t="n">
        <v>373.706</v>
      </c>
      <c r="S7" s="0" t="n">
        <v>12.84</v>
      </c>
      <c r="T7" s="0" t="n">
        <v>49.152</v>
      </c>
      <c r="U7" s="0" t="n">
        <v>22.8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1587.725</v>
      </c>
      <c r="C8" s="0" t="n">
        <v>560.917</v>
      </c>
      <c r="D8" s="0" t="n">
        <v>1026.808</v>
      </c>
      <c r="E8" s="0" t="n">
        <v>64.6716528366058</v>
      </c>
      <c r="F8" s="0" t="n">
        <v>305.945</v>
      </c>
      <c r="G8" s="0" t="n">
        <v>19.2693948889134</v>
      </c>
      <c r="H8" s="0" t="n">
        <v>431.294</v>
      </c>
      <c r="I8" s="0" t="n">
        <v>296.906</v>
      </c>
      <c r="J8" s="0" t="n">
        <v>18.7000897510589</v>
      </c>
      <c r="K8" s="0" t="n">
        <v>6.09</v>
      </c>
      <c r="L8" s="0" t="n">
        <v>415.925</v>
      </c>
      <c r="M8" s="0" t="n">
        <v>178.127</v>
      </c>
      <c r="N8" s="0" t="n">
        <v>237.798</v>
      </c>
      <c r="O8" s="0" t="n">
        <v>2423.494</v>
      </c>
      <c r="P8" s="0" t="n">
        <v>3137.3</v>
      </c>
      <c r="Q8" s="0" t="n">
        <v>713.767</v>
      </c>
      <c r="R8" s="0" t="n">
        <v>301.67</v>
      </c>
      <c r="S8" s="0" t="n">
        <v>77.393</v>
      </c>
      <c r="T8" s="0" t="n">
        <v>49.685</v>
      </c>
      <c r="U8" s="0" t="n">
        <v>30.4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1717.776</v>
      </c>
      <c r="C9" s="0" t="n">
        <v>626.206</v>
      </c>
      <c r="D9" s="0" t="n">
        <v>1091.57</v>
      </c>
      <c r="E9" s="0" t="n">
        <v>63.5455379513976</v>
      </c>
      <c r="F9" s="0" t="n">
        <v>306.486</v>
      </c>
      <c r="G9" s="0" t="n">
        <v>17.8420236398692</v>
      </c>
      <c r="H9" s="0" t="n">
        <v>444.687</v>
      </c>
      <c r="I9" s="0" t="n">
        <v>271.829</v>
      </c>
      <c r="J9" s="0" t="n">
        <v>15.8244730395581</v>
      </c>
      <c r="K9" s="0" t="n">
        <v>5.61</v>
      </c>
      <c r="L9" s="0" t="n">
        <v>454.823</v>
      </c>
      <c r="M9" s="0" t="n">
        <v>238.065</v>
      </c>
      <c r="N9" s="0" t="n">
        <v>216.758</v>
      </c>
      <c r="O9" s="0" t="n">
        <v>2588.4</v>
      </c>
      <c r="P9" s="0" t="n">
        <v>4458.3</v>
      </c>
      <c r="Q9" s="0" t="n">
        <v>1869.9</v>
      </c>
      <c r="R9" s="0" t="n">
        <v>1280.833</v>
      </c>
      <c r="S9" s="0" t="n">
        <v>25.2</v>
      </c>
      <c r="T9" s="0" t="n">
        <v>48.96</v>
      </c>
      <c r="U9" s="0" t="n">
        <v>38.7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1797.1</v>
      </c>
      <c r="C10" s="0" t="n">
        <v>726.8</v>
      </c>
      <c r="D10" s="0" t="n">
        <v>1070.3</v>
      </c>
      <c r="E10" s="0" t="n">
        <v>59.5570641589227</v>
      </c>
      <c r="F10" s="0" t="n">
        <v>236.7</v>
      </c>
      <c r="G10" s="0" t="n">
        <v>13.1712202993712</v>
      </c>
      <c r="H10" s="0" t="n">
        <v>428.1</v>
      </c>
      <c r="I10" s="0" t="n">
        <v>205.1</v>
      </c>
      <c r="J10" s="0" t="n">
        <v>11.4128317845418</v>
      </c>
      <c r="K10" s="0" t="n">
        <v>4.2</v>
      </c>
      <c r="L10" s="0" t="n">
        <v>390.9</v>
      </c>
      <c r="M10" s="0" t="n">
        <v>243</v>
      </c>
      <c r="N10" s="0" t="n">
        <v>147.9</v>
      </c>
      <c r="O10" s="0" t="n">
        <v>2669.8</v>
      </c>
      <c r="P10" s="0" t="n">
        <v>4462.5</v>
      </c>
      <c r="Q10" s="0" t="n">
        <v>1785.96</v>
      </c>
      <c r="R10" s="0" t="n">
        <v>1109.208</v>
      </c>
      <c r="S10" s="0" t="n">
        <v>16.4</v>
      </c>
      <c r="T10" s="0" t="n">
        <v>49.2</v>
      </c>
      <c r="U10" s="0" t="n">
        <v>32.9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1966.8</v>
      </c>
      <c r="C11" s="0" t="n">
        <v>793.7</v>
      </c>
      <c r="D11" s="0" t="n">
        <v>1173.1</v>
      </c>
      <c r="E11" s="0" t="n">
        <v>59.6451088061826</v>
      </c>
      <c r="F11" s="0" t="n">
        <v>324.1</v>
      </c>
      <c r="G11" s="0" t="n">
        <v>16.4785438275371</v>
      </c>
      <c r="H11" s="0" t="n">
        <v>522.4</v>
      </c>
      <c r="I11" s="0" t="n">
        <v>274.9</v>
      </c>
      <c r="J11" s="0" t="n">
        <v>13.9770185072199</v>
      </c>
      <c r="K11" s="0" t="n">
        <v>5.65</v>
      </c>
      <c r="L11" s="0" t="n">
        <v>509.6</v>
      </c>
      <c r="M11" s="0" t="n">
        <v>152.6</v>
      </c>
      <c r="N11" s="0" t="n">
        <v>357</v>
      </c>
      <c r="O11" s="0" t="n">
        <v>2695.9</v>
      </c>
      <c r="P11" s="0" t="n">
        <v>4478.6</v>
      </c>
      <c r="Q11" s="0" t="n">
        <v>1782.7</v>
      </c>
      <c r="R11" s="0" t="n">
        <v>1318.1</v>
      </c>
      <c r="S11" s="0" t="n">
        <v>100.8</v>
      </c>
      <c r="T11" s="0" t="n">
        <v>49</v>
      </c>
      <c r="U11" s="0" t="n">
        <v>29.9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2139</v>
      </c>
      <c r="C12" s="0" t="n">
        <v>773.2</v>
      </c>
      <c r="D12" s="0" t="n">
        <v>1365.8</v>
      </c>
      <c r="E12" s="0" t="n">
        <v>63.8522674146798</v>
      </c>
      <c r="F12" s="0" t="n">
        <v>429.1</v>
      </c>
      <c r="G12" s="0" t="n">
        <v>20.0607760635811</v>
      </c>
      <c r="H12" s="0" t="n">
        <v>617.5</v>
      </c>
      <c r="I12" s="0" t="n">
        <v>372.9</v>
      </c>
      <c r="J12" s="0" t="n">
        <v>17.4333800841515</v>
      </c>
      <c r="K12" s="0" t="n">
        <v>7.63</v>
      </c>
      <c r="L12" s="0" t="n">
        <v>593.6</v>
      </c>
      <c r="M12" s="0" t="n">
        <v>127.2</v>
      </c>
      <c r="N12" s="0" t="n">
        <v>466.4</v>
      </c>
      <c r="O12" s="0" t="n">
        <v>3175.8</v>
      </c>
      <c r="P12" s="0" t="n">
        <v>4858.7</v>
      </c>
      <c r="Q12" s="0" t="n">
        <v>1682.9</v>
      </c>
      <c r="R12" s="0" t="n">
        <v>1149.3</v>
      </c>
      <c r="S12" s="0" t="n">
        <v>88.8</v>
      </c>
      <c r="T12" s="0" t="n">
        <v>49.6</v>
      </c>
      <c r="U12" s="0" t="n">
        <v>37.2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2532.8</v>
      </c>
      <c r="C13" s="0" t="n">
        <v>900.5</v>
      </c>
      <c r="D13" s="0" t="n">
        <v>1632.3</v>
      </c>
      <c r="E13" s="0" t="n">
        <v>64.4464624131396</v>
      </c>
      <c r="F13" s="0" t="n">
        <v>403.1</v>
      </c>
      <c r="G13" s="0" t="n">
        <v>15.9151926721415</v>
      </c>
      <c r="H13" s="0" t="n">
        <v>678.2</v>
      </c>
      <c r="I13" s="0" t="n">
        <v>139.9</v>
      </c>
      <c r="J13" s="0" t="n">
        <v>5.523531269741</v>
      </c>
      <c r="K13" s="0" t="n">
        <v>2.85</v>
      </c>
      <c r="L13" s="0" t="n">
        <v>668.9</v>
      </c>
      <c r="M13" s="0" t="n">
        <v>193.6</v>
      </c>
      <c r="N13" s="0" t="n">
        <v>475.3</v>
      </c>
      <c r="O13" s="0" t="n">
        <v>3307.8</v>
      </c>
      <c r="P13" s="0" t="n">
        <v>6112.8</v>
      </c>
      <c r="Q13" s="0" t="n">
        <v>2805</v>
      </c>
      <c r="R13" s="0" t="n">
        <v>2022.8</v>
      </c>
      <c r="S13" s="0" t="n">
        <v>77.7</v>
      </c>
      <c r="T13" s="0" t="n">
        <v>49.7</v>
      </c>
      <c r="U13" s="0" t="n">
        <v>43.2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2653.4</v>
      </c>
      <c r="C14" s="0" t="n">
        <v>896.6</v>
      </c>
      <c r="D14" s="0" t="n">
        <v>1756.8</v>
      </c>
      <c r="E14" s="0" t="n">
        <v>66.209391723826</v>
      </c>
      <c r="F14" s="0" t="n">
        <v>546.7</v>
      </c>
      <c r="G14" s="0" t="n">
        <v>20.6037536745308</v>
      </c>
      <c r="H14" s="0" t="n">
        <v>827.5</v>
      </c>
      <c r="I14" s="0" t="n">
        <v>466.7</v>
      </c>
      <c r="J14" s="0" t="n">
        <v>17.5887540514057</v>
      </c>
      <c r="K14" s="0" t="n">
        <v>9.44</v>
      </c>
      <c r="L14" s="0" t="n">
        <v>713.2</v>
      </c>
      <c r="M14" s="0" t="n">
        <v>292.1</v>
      </c>
      <c r="N14" s="0" t="n">
        <v>421.1</v>
      </c>
      <c r="O14" s="0" t="n">
        <v>3628.6</v>
      </c>
      <c r="P14" s="0" t="n">
        <v>6274.5</v>
      </c>
      <c r="Q14" s="0" t="n">
        <v>2645.9</v>
      </c>
      <c r="R14" s="0" t="n">
        <v>1826.3</v>
      </c>
      <c r="S14" s="0" t="n">
        <v>89</v>
      </c>
      <c r="T14" s="0" t="n">
        <v>50</v>
      </c>
      <c r="U14" s="0" t="n">
        <v>36.3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2430.9</v>
      </c>
      <c r="C15" s="0" t="n">
        <v>896.1</v>
      </c>
      <c r="D15" s="0" t="n">
        <v>1534.8</v>
      </c>
      <c r="E15" s="0" t="n">
        <v>63.1371097124522</v>
      </c>
      <c r="F15" s="0" t="n">
        <v>311.8</v>
      </c>
      <c r="G15" s="0" t="n">
        <v>12.8265251552923</v>
      </c>
      <c r="I15" s="0" t="n">
        <v>238.4</v>
      </c>
      <c r="J15" s="0" t="n">
        <v>9.80706734131392</v>
      </c>
      <c r="K15" s="0" t="n">
        <v>4.85</v>
      </c>
      <c r="L15" s="0" t="n">
        <v>486.6</v>
      </c>
      <c r="M15" s="0" t="n">
        <v>310.4</v>
      </c>
      <c r="N15" s="0" t="n">
        <v>176.2</v>
      </c>
      <c r="O15" s="0" t="n">
        <v>3824.8</v>
      </c>
      <c r="P15" s="0" t="n">
        <v>6737.5</v>
      </c>
      <c r="Q15" s="0" t="n">
        <v>2912.7</v>
      </c>
      <c r="R15" s="0" t="n">
        <v>1793.2</v>
      </c>
      <c r="S15" s="0" t="n">
        <v>115.9</v>
      </c>
      <c r="T15" s="0" t="n">
        <v>49.6</v>
      </c>
      <c r="U15" s="0" t="n">
        <v>38.6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2922.5</v>
      </c>
      <c r="C16" s="0" t="n">
        <v>966.7</v>
      </c>
      <c r="D16" s="0" t="n">
        <v>1955.8</v>
      </c>
      <c r="E16" s="0" t="n">
        <v>66.9221556886228</v>
      </c>
      <c r="F16" s="0" t="n">
        <v>505.8</v>
      </c>
      <c r="G16" s="0" t="n">
        <v>17.3071000855432</v>
      </c>
      <c r="H16" s="0" t="n">
        <v>815.1</v>
      </c>
      <c r="I16" s="0" t="n">
        <v>2944.7</v>
      </c>
      <c r="J16" s="0" t="n">
        <v>100.759623609923</v>
      </c>
      <c r="K16" s="0" t="n">
        <v>59.8</v>
      </c>
      <c r="L16" s="0" t="n">
        <v>738.6</v>
      </c>
      <c r="M16" s="0" t="n">
        <v>214.4</v>
      </c>
      <c r="N16" s="0" t="n">
        <v>524.2</v>
      </c>
      <c r="O16" s="0" t="n">
        <v>6942</v>
      </c>
      <c r="P16" s="0" t="n">
        <v>9606.2</v>
      </c>
      <c r="Q16" s="0" t="n">
        <v>2664.2</v>
      </c>
      <c r="R16" s="0" t="n">
        <v>1481</v>
      </c>
      <c r="S16" s="0" t="n">
        <v>95.9</v>
      </c>
      <c r="T16" s="0" t="n">
        <v>49.8</v>
      </c>
      <c r="U16" s="0" t="n">
        <v>44.7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3308.4</v>
      </c>
      <c r="C17" s="0" t="n">
        <v>1168.8</v>
      </c>
      <c r="D17" s="0" t="n">
        <v>2139.6</v>
      </c>
      <c r="E17" s="0" t="n">
        <v>64.6717446499819</v>
      </c>
      <c r="F17" s="0" t="n">
        <v>507.6</v>
      </c>
      <c r="G17" s="0" t="n">
        <v>15.3427638737758</v>
      </c>
      <c r="H17" s="0" t="n">
        <v>853.7</v>
      </c>
      <c r="I17" s="0" t="n">
        <v>385.8</v>
      </c>
      <c r="J17" s="0" t="n">
        <v>11.6612259702575</v>
      </c>
      <c r="K17" s="0" t="n">
        <v>1.95</v>
      </c>
      <c r="L17" s="0" t="n">
        <v>692.4</v>
      </c>
      <c r="M17" s="0" t="n">
        <v>242</v>
      </c>
      <c r="N17" s="0" t="n">
        <v>450.4</v>
      </c>
      <c r="O17" s="0" t="n">
        <v>7174.7</v>
      </c>
      <c r="P17" s="0" t="n">
        <v>11492.3</v>
      </c>
      <c r="Q17" s="0" t="n">
        <v>4317.6</v>
      </c>
      <c r="R17" s="0" t="n">
        <v>2763.4</v>
      </c>
      <c r="S17" s="0" t="n">
        <v>138.2</v>
      </c>
      <c r="T17" s="0" t="n">
        <v>198.8</v>
      </c>
      <c r="U17" s="0" t="n">
        <v>54.2</v>
      </c>
      <c r="V17" s="0" t="n">
        <v>0.01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3593.2</v>
      </c>
      <c r="C18" s="0" t="n">
        <v>1235.3</v>
      </c>
      <c r="D18" s="0" t="n">
        <v>2357.9</v>
      </c>
      <c r="E18" s="0" t="n">
        <v>65.6211733273962</v>
      </c>
      <c r="F18" s="0" t="n">
        <v>533.1</v>
      </c>
      <c r="G18" s="0" t="n">
        <v>14.8363575642881</v>
      </c>
      <c r="H18" s="0" t="n">
        <v>900.8</v>
      </c>
      <c r="I18" s="0" t="n">
        <v>294.2</v>
      </c>
      <c r="J18" s="0" t="n">
        <v>8.18768785483692</v>
      </c>
      <c r="K18" s="0" t="n">
        <v>1.49</v>
      </c>
      <c r="L18" s="0" t="n">
        <v>607.5</v>
      </c>
      <c r="M18" s="0" t="n">
        <v>392.5</v>
      </c>
      <c r="N18" s="0" t="n">
        <v>215</v>
      </c>
      <c r="O18" s="0" t="n">
        <v>7551</v>
      </c>
      <c r="P18" s="0" t="n">
        <v>11658.9</v>
      </c>
      <c r="Q18" s="0" t="n">
        <v>4107.9</v>
      </c>
      <c r="R18" s="0" t="n">
        <v>2569.2</v>
      </c>
      <c r="S18" s="0" t="n">
        <v>120.8</v>
      </c>
      <c r="T18" s="0" t="n">
        <v>199.3</v>
      </c>
      <c r="U18" s="0" t="n">
        <v>62.1</v>
      </c>
      <c r="V18" s="0" t="n">
        <v>0.01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3895.4</v>
      </c>
      <c r="C19" s="0" t="n">
        <v>1299.7</v>
      </c>
      <c r="D19" s="0" t="n">
        <v>2595.7</v>
      </c>
      <c r="E19" s="0" t="n">
        <v>66.635005390974</v>
      </c>
      <c r="F19" s="0" t="n">
        <v>705.7</v>
      </c>
      <c r="G19" s="0" t="n">
        <v>18.1162396672999</v>
      </c>
      <c r="H19" s="0" t="n">
        <v>1080.8</v>
      </c>
      <c r="I19" s="0" t="n">
        <v>392.3</v>
      </c>
      <c r="J19" s="0" t="n">
        <v>10.0708528007393</v>
      </c>
      <c r="K19" s="0" t="n">
        <v>1.97</v>
      </c>
      <c r="L19" s="0" t="n">
        <v>709.3</v>
      </c>
      <c r="M19" s="0" t="n">
        <v>421.2</v>
      </c>
      <c r="N19" s="0" t="n">
        <v>288.1</v>
      </c>
      <c r="O19" s="0" t="n">
        <v>8083.6</v>
      </c>
      <c r="P19" s="0" t="n">
        <v>12315.2</v>
      </c>
      <c r="Q19" s="0" t="n">
        <v>4231.6</v>
      </c>
      <c r="R19" s="0" t="n">
        <v>2583.7</v>
      </c>
      <c r="S19" s="0" t="n">
        <v>107.6</v>
      </c>
      <c r="T19" s="0" t="n">
        <v>200.4</v>
      </c>
      <c r="U19" s="0" t="n">
        <v>75.1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4092.4</v>
      </c>
      <c r="C20" s="0" t="n">
        <v>1410.3</v>
      </c>
      <c r="D20" s="0" t="n">
        <v>2682.1</v>
      </c>
      <c r="E20" s="0" t="n">
        <v>65.5385592806177</v>
      </c>
      <c r="F20" s="0" t="n">
        <v>682.9</v>
      </c>
      <c r="G20" s="0" t="n">
        <v>16.6870296158733</v>
      </c>
      <c r="H20" s="0" t="n">
        <v>1060.3</v>
      </c>
      <c r="I20" s="0" t="n">
        <v>374.9</v>
      </c>
      <c r="J20" s="0" t="n">
        <v>9.16088358909197</v>
      </c>
      <c r="K20" s="0" t="n">
        <v>1.88</v>
      </c>
      <c r="L20" s="0" t="n">
        <v>796.1</v>
      </c>
      <c r="M20" s="0" t="n">
        <v>362.4</v>
      </c>
      <c r="N20" s="0" t="n">
        <v>433.7</v>
      </c>
      <c r="O20" s="0" t="n">
        <v>8239.1</v>
      </c>
      <c r="P20" s="0" t="n">
        <v>12394.8</v>
      </c>
      <c r="Q20" s="0" t="n">
        <v>4155.7</v>
      </c>
      <c r="R20" s="0" t="n">
        <v>2505.3</v>
      </c>
      <c r="S20" s="0" t="n">
        <v>110.6</v>
      </c>
      <c r="T20" s="0" t="n">
        <v>200</v>
      </c>
      <c r="U20" s="0" t="n">
        <v>70.5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55.38</v>
      </c>
    </row>
    <row r="3" customFormat="false" ht="15" hidden="false" customHeight="false" outlineLevel="0" collapsed="false">
      <c r="A3" s="0" t="s">
        <v>85</v>
      </c>
      <c r="B3" s="3" t="n">
        <v>193.4</v>
      </c>
    </row>
    <row r="4" customFormat="false" ht="15" hidden="false" customHeight="false" outlineLevel="0" collapsed="false">
      <c r="A4" s="0" t="s">
        <v>86</v>
      </c>
      <c r="B4" s="3" t="n">
        <v>2389.5</v>
      </c>
    </row>
    <row r="5" customFormat="false" ht="15" hidden="false" customHeight="false" outlineLevel="0" collapsed="false">
      <c r="A5" s="0" t="s">
        <v>87</v>
      </c>
      <c r="B5" s="3" t="n">
        <v>-272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4092.4</v>
      </c>
    </row>
    <row r="8" customFormat="false" ht="15" hidden="false" customHeight="false" outlineLevel="0" collapsed="false">
      <c r="A8" s="0" t="s">
        <v>90</v>
      </c>
      <c r="B8" s="3" t="s">
        <v>81</v>
      </c>
    </row>
    <row r="9" customFormat="false" ht="15" hidden="false" customHeight="false" outlineLevel="0" collapsed="false">
      <c r="A9" s="0" t="s">
        <v>91</v>
      </c>
      <c r="B9" s="3" t="s">
        <v>92</v>
      </c>
    </row>
    <row r="10" customFormat="false" ht="15" hidden="false" customHeight="false" outlineLevel="0" collapsed="false">
      <c r="A10" s="0" t="s">
        <v>93</v>
      </c>
      <c r="B10" s="3" t="n">
        <v>1</v>
      </c>
    </row>
    <row r="12" customFormat="false" ht="15" hidden="false" customHeight="false" outlineLevel="0" collapsed="false">
      <c r="A12" s="2" t="s">
        <v>94</v>
      </c>
      <c r="C12" s="2" t="s">
        <v>95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  <c r="J12" s="2" t="s">
        <v>102</v>
      </c>
      <c r="K12" s="2" t="s">
        <v>103</v>
      </c>
      <c r="L12" s="2" t="s">
        <v>104</v>
      </c>
    </row>
    <row r="13" customFormat="false" ht="15" hidden="false" customHeight="false" outlineLevel="0" collapsed="false">
      <c r="A13" s="0" t="s">
        <v>105</v>
      </c>
      <c r="C13" s="3" t="n">
        <v>3.6</v>
      </c>
      <c r="D13" s="3" t="n">
        <v>2</v>
      </c>
      <c r="E13" s="3" t="n">
        <v>2.5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106</v>
      </c>
      <c r="C14" s="3" t="n">
        <v>30.5</v>
      </c>
      <c r="D14" s="3" t="n">
        <v>30</v>
      </c>
      <c r="E14" s="3" t="n">
        <v>29.8</v>
      </c>
      <c r="F14" s="3" t="n">
        <v>29.6</v>
      </c>
      <c r="G14" s="3" t="n">
        <v>29.5</v>
      </c>
      <c r="H14" s="3" t="n">
        <v>29.5</v>
      </c>
      <c r="I14" s="3" t="n">
        <v>29.5</v>
      </c>
      <c r="J14" s="3" t="n">
        <v>29.5</v>
      </c>
      <c r="K14" s="3" t="n">
        <v>29.5</v>
      </c>
      <c r="L14" s="3" t="n">
        <v>29.5</v>
      </c>
    </row>
    <row r="15" customFormat="false" ht="15" hidden="false" customHeight="false" outlineLevel="0" collapsed="false">
      <c r="A15" s="0" t="s">
        <v>107</v>
      </c>
      <c r="C15" s="3" t="n">
        <v>2.2</v>
      </c>
      <c r="D15" s="3" t="n">
        <v>2.3</v>
      </c>
      <c r="E15" s="3" t="n">
        <v>2.3</v>
      </c>
      <c r="F15" s="3" t="n">
        <v>2.3</v>
      </c>
      <c r="G15" s="3" t="n">
        <v>2.3</v>
      </c>
      <c r="H15" s="3" t="n">
        <v>2.3</v>
      </c>
      <c r="I15" s="3" t="n">
        <v>2.3</v>
      </c>
      <c r="J15" s="3" t="n">
        <v>2.3</v>
      </c>
      <c r="K15" s="3" t="n">
        <v>2.3</v>
      </c>
      <c r="L15" s="3" t="n">
        <v>2.3</v>
      </c>
    </row>
    <row r="16" customFormat="false" ht="15" hidden="false" customHeight="false" outlineLevel="0" collapsed="false">
      <c r="A16" s="0" t="s">
        <v>108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109</v>
      </c>
      <c r="C17" s="3" t="n">
        <v>9</v>
      </c>
      <c r="D17" s="3" t="n">
        <v>8.8</v>
      </c>
      <c r="E17" s="3" t="n">
        <v>8.6</v>
      </c>
      <c r="F17" s="3" t="n">
        <v>8.4</v>
      </c>
      <c r="G17" s="3" t="n">
        <v>8.2</v>
      </c>
      <c r="H17" s="3" t="n">
        <v>8</v>
      </c>
      <c r="I17" s="3" t="n">
        <v>7.8</v>
      </c>
      <c r="J17" s="3" t="n">
        <v>7.6</v>
      </c>
      <c r="K17" s="3" t="n">
        <v>7.4</v>
      </c>
      <c r="L17" s="3" t="n">
        <v>7.2</v>
      </c>
    </row>
    <row r="18" customFormat="false" ht="15" hidden="false" customHeight="false" outlineLevel="0" collapsed="false">
      <c r="A18" s="0" t="s">
        <v>110</v>
      </c>
      <c r="C18" s="3" t="n">
        <v>8</v>
      </c>
      <c r="D18" s="3" t="n">
        <v>7.8</v>
      </c>
      <c r="E18" s="3" t="n">
        <v>7.5</v>
      </c>
      <c r="F18" s="3" t="n">
        <v>7.5</v>
      </c>
      <c r="G18" s="3" t="n">
        <v>7.2</v>
      </c>
      <c r="H18" s="3" t="n">
        <v>7</v>
      </c>
      <c r="I18" s="3" t="n">
        <v>7</v>
      </c>
      <c r="J18" s="3" t="n">
        <v>7</v>
      </c>
      <c r="K18" s="3" t="n">
        <v>7</v>
      </c>
      <c r="L18" s="3" t="n">
        <v>7</v>
      </c>
    </row>
    <row r="19" customFormat="false" ht="15" hidden="false" customHeight="false" outlineLevel="0" collapsed="false">
      <c r="A19" s="0" t="s">
        <v>111</v>
      </c>
      <c r="C19" s="3" t="n">
        <v>15</v>
      </c>
      <c r="D19" s="3" t="n">
        <v>18.5</v>
      </c>
      <c r="E19" s="3" t="n">
        <v>20</v>
      </c>
      <c r="F19" s="3" t="n">
        <v>20</v>
      </c>
      <c r="G19" s="3" t="n">
        <v>20</v>
      </c>
      <c r="H19" s="3" t="n">
        <v>20</v>
      </c>
      <c r="I19" s="3" t="n">
        <v>20</v>
      </c>
      <c r="J19" s="3" t="n">
        <v>20</v>
      </c>
      <c r="K19" s="3" t="n">
        <v>20</v>
      </c>
      <c r="L19" s="3" t="n">
        <v>20</v>
      </c>
    </row>
    <row r="20" customFormat="false" ht="15" hidden="false" customHeight="false" outlineLevel="0" collapsed="false">
      <c r="A20" s="0" t="s">
        <v>112</v>
      </c>
      <c r="B20" s="3" t="n">
        <v>8.5</v>
      </c>
    </row>
    <row r="21" customFormat="false" ht="15" hidden="false" customHeight="false" outlineLevel="0" collapsed="false">
      <c r="A21" s="0" t="s">
        <v>113</v>
      </c>
      <c r="B21" s="3" t="n">
        <v>2</v>
      </c>
    </row>
    <row r="22" customFormat="false" ht="15" hidden="false" customHeight="false" outlineLevel="0" collapsed="false">
      <c r="A22" s="0" t="s">
        <v>114</v>
      </c>
      <c r="B22" s="3" t="n">
        <v>14</v>
      </c>
    </row>
    <row r="23" customFormat="false" ht="15" hidden="false" customHeight="false" outlineLevel="0" collapsed="false">
      <c r="A23" s="0" t="s">
        <v>115</v>
      </c>
      <c r="B23" s="3" t="n">
        <v>-25</v>
      </c>
    </row>
    <row r="24" customFormat="false" ht="15" hidden="false" customHeight="false" outlineLevel="0" collapsed="false">
      <c r="A24" s="0" t="s">
        <v>116</v>
      </c>
      <c r="B24" s="3" t="n">
        <v>0.25</v>
      </c>
    </row>
    <row r="26" customFormat="false" ht="15" hidden="false" customHeight="false" outlineLevel="0" collapsed="false">
      <c r="A26" s="2" t="s">
        <v>117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99</v>
      </c>
      <c r="H26" s="2" t="s">
        <v>100</v>
      </c>
      <c r="I26" s="2" t="s">
        <v>101</v>
      </c>
      <c r="J26" s="2" t="s">
        <v>102</v>
      </c>
      <c r="K26" s="2" t="s">
        <v>103</v>
      </c>
      <c r="L26" s="2" t="s">
        <v>104</v>
      </c>
    </row>
    <row r="27" customFormat="false" ht="15" hidden="false" customHeight="false" outlineLevel="0" collapsed="false">
      <c r="A27" s="0" t="s">
        <v>105</v>
      </c>
      <c r="C27" s="3" t="n">
        <v>3.6</v>
      </c>
      <c r="D27" s="3" t="n">
        <v>4.5</v>
      </c>
      <c r="E27" s="3" t="n">
        <v>5</v>
      </c>
      <c r="F27" s="3" t="n">
        <v>5</v>
      </c>
      <c r="G27" s="3" t="n">
        <v>4.5</v>
      </c>
      <c r="H27" s="3" t="n">
        <v>4.5</v>
      </c>
      <c r="I27" s="3" t="n">
        <v>4</v>
      </c>
      <c r="J27" s="3" t="n">
        <v>3.5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106</v>
      </c>
      <c r="C28" s="3" t="n">
        <v>31</v>
      </c>
      <c r="D28" s="3" t="n">
        <v>31</v>
      </c>
      <c r="E28" s="3" t="n">
        <v>31.3</v>
      </c>
      <c r="F28" s="3" t="n">
        <v>31.6</v>
      </c>
      <c r="G28" s="3" t="n">
        <v>31.9</v>
      </c>
      <c r="H28" s="3" t="n">
        <v>32.2</v>
      </c>
      <c r="I28" s="3" t="n">
        <v>32.5</v>
      </c>
      <c r="J28" s="3" t="n">
        <v>32.5</v>
      </c>
      <c r="K28" s="3" t="n">
        <v>32.5</v>
      </c>
      <c r="L28" s="3" t="n">
        <v>32.5</v>
      </c>
    </row>
    <row r="29" customFormat="false" ht="15" hidden="false" customHeight="false" outlineLevel="0" collapsed="false">
      <c r="A29" s="0" t="s">
        <v>107</v>
      </c>
      <c r="C29" s="3" t="n">
        <v>2.2</v>
      </c>
      <c r="D29" s="3" t="n">
        <v>2.2</v>
      </c>
      <c r="E29" s="3" t="n">
        <v>2.2</v>
      </c>
      <c r="F29" s="3" t="n">
        <v>2.1</v>
      </c>
      <c r="G29" s="3" t="n">
        <v>2.1</v>
      </c>
      <c r="H29" s="3" t="n">
        <v>2.1</v>
      </c>
      <c r="I29" s="3" t="n">
        <v>2</v>
      </c>
      <c r="J29" s="3" t="n">
        <v>2</v>
      </c>
      <c r="K29" s="3" t="n">
        <v>2</v>
      </c>
      <c r="L29" s="3" t="n">
        <v>2</v>
      </c>
    </row>
    <row r="30" customFormat="false" ht="15" hidden="false" customHeight="false" outlineLevel="0" collapsed="false">
      <c r="A30" s="0" t="s">
        <v>108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109</v>
      </c>
      <c r="C31" s="3" t="n">
        <v>9</v>
      </c>
      <c r="D31" s="3" t="n">
        <v>8.8</v>
      </c>
      <c r="E31" s="3" t="n">
        <v>8.6</v>
      </c>
      <c r="F31" s="3" t="n">
        <v>8.4</v>
      </c>
      <c r="G31" s="3" t="n">
        <v>8.2</v>
      </c>
      <c r="H31" s="3" t="n">
        <v>8</v>
      </c>
      <c r="I31" s="3" t="n">
        <v>7.8</v>
      </c>
      <c r="J31" s="3" t="n">
        <v>7.6</v>
      </c>
      <c r="K31" s="3" t="n">
        <v>7.4</v>
      </c>
      <c r="L31" s="3" t="n">
        <v>7.2</v>
      </c>
    </row>
    <row r="32" customFormat="false" ht="15" hidden="false" customHeight="false" outlineLevel="0" collapsed="false">
      <c r="A32" s="0" t="s">
        <v>110</v>
      </c>
      <c r="C32" s="3" t="n">
        <v>8</v>
      </c>
      <c r="D32" s="3" t="n">
        <v>7.5</v>
      </c>
      <c r="E32" s="3" t="n">
        <v>7</v>
      </c>
      <c r="F32" s="3" t="n">
        <v>6.8</v>
      </c>
      <c r="G32" s="3" t="n">
        <v>6.5</v>
      </c>
      <c r="H32" s="3" t="n">
        <v>6.5</v>
      </c>
      <c r="I32" s="3" t="n">
        <v>6.3</v>
      </c>
      <c r="J32" s="3" t="n">
        <v>6.2</v>
      </c>
      <c r="K32" s="3" t="n">
        <v>6</v>
      </c>
      <c r="L32" s="3" t="n">
        <v>6</v>
      </c>
    </row>
    <row r="33" customFormat="false" ht="15" hidden="false" customHeight="false" outlineLevel="0" collapsed="false">
      <c r="A33" s="0" t="s">
        <v>111</v>
      </c>
      <c r="C33" s="3" t="n">
        <v>15</v>
      </c>
      <c r="D33" s="3" t="n">
        <v>17.5</v>
      </c>
      <c r="E33" s="3" t="n">
        <v>18</v>
      </c>
      <c r="F33" s="3" t="n">
        <v>18</v>
      </c>
      <c r="G33" s="3" t="n">
        <v>18</v>
      </c>
      <c r="H33" s="3" t="n">
        <v>18</v>
      </c>
      <c r="I33" s="3" t="n">
        <v>18</v>
      </c>
      <c r="J33" s="3" t="n">
        <v>18</v>
      </c>
      <c r="K33" s="3" t="n">
        <v>18</v>
      </c>
      <c r="L33" s="3" t="n">
        <v>18</v>
      </c>
    </row>
    <row r="34" customFormat="false" ht="15" hidden="false" customHeight="false" outlineLevel="0" collapsed="false">
      <c r="A34" s="0" t="s">
        <v>112</v>
      </c>
      <c r="B34" s="3" t="n">
        <v>8.5</v>
      </c>
    </row>
    <row r="35" customFormat="false" ht="15" hidden="false" customHeight="false" outlineLevel="0" collapsed="false">
      <c r="A35" s="0" t="s">
        <v>113</v>
      </c>
      <c r="B35" s="3" t="n">
        <v>2.5</v>
      </c>
    </row>
    <row r="36" customFormat="false" ht="15" hidden="false" customHeight="false" outlineLevel="0" collapsed="false">
      <c r="A36" s="0" t="s">
        <v>114</v>
      </c>
      <c r="B36" s="3" t="n">
        <v>18</v>
      </c>
    </row>
    <row r="37" customFormat="false" ht="15" hidden="false" customHeight="false" outlineLevel="0" collapsed="false">
      <c r="A37" s="0" t="s">
        <v>115</v>
      </c>
      <c r="B37" s="3" t="n">
        <v>-25</v>
      </c>
    </row>
    <row r="38" customFormat="false" ht="15" hidden="false" customHeight="false" outlineLevel="0" collapsed="false">
      <c r="A38" s="0" t="s">
        <v>116</v>
      </c>
      <c r="B38" s="3" t="n">
        <v>0.5</v>
      </c>
    </row>
    <row r="40" customFormat="false" ht="15" hidden="false" customHeight="false" outlineLevel="0" collapsed="false">
      <c r="A40" s="2" t="s">
        <v>118</v>
      </c>
      <c r="C40" s="2" t="s">
        <v>95</v>
      </c>
      <c r="D40" s="2" t="s">
        <v>96</v>
      </c>
      <c r="E40" s="2" t="s">
        <v>97</v>
      </c>
      <c r="F40" s="2" t="s">
        <v>98</v>
      </c>
      <c r="G40" s="2" t="s">
        <v>99</v>
      </c>
      <c r="H40" s="2" t="s">
        <v>100</v>
      </c>
      <c r="I40" s="2" t="s">
        <v>101</v>
      </c>
      <c r="J40" s="2" t="s">
        <v>102</v>
      </c>
      <c r="K40" s="2" t="s">
        <v>103</v>
      </c>
      <c r="L40" s="2" t="s">
        <v>104</v>
      </c>
    </row>
    <row r="41" customFormat="false" ht="15" hidden="false" customHeight="false" outlineLevel="0" collapsed="false">
      <c r="A41" s="0" t="s">
        <v>105</v>
      </c>
      <c r="C41" s="3" t="n">
        <v>3.6</v>
      </c>
      <c r="D41" s="3" t="n">
        <v>6.5</v>
      </c>
      <c r="E41" s="3" t="n">
        <v>7</v>
      </c>
      <c r="F41" s="3" t="n">
        <v>7</v>
      </c>
      <c r="G41" s="3" t="n">
        <v>6.5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106</v>
      </c>
      <c r="C42" s="3" t="n">
        <v>31</v>
      </c>
      <c r="D42" s="3" t="n">
        <v>31.5</v>
      </c>
      <c r="E42" s="3" t="n">
        <v>32</v>
      </c>
      <c r="F42" s="3" t="n">
        <v>32.5</v>
      </c>
      <c r="G42" s="3" t="n">
        <v>33</v>
      </c>
      <c r="H42" s="3" t="n">
        <v>33.5</v>
      </c>
      <c r="I42" s="3" t="n">
        <v>34</v>
      </c>
      <c r="J42" s="3" t="n">
        <v>34.5</v>
      </c>
      <c r="K42" s="3" t="n">
        <v>34.5</v>
      </c>
      <c r="L42" s="3" t="n">
        <v>34.5</v>
      </c>
    </row>
    <row r="43" customFormat="false" ht="15" hidden="false" customHeight="false" outlineLevel="0" collapsed="false">
      <c r="A43" s="0" t="s">
        <v>107</v>
      </c>
      <c r="C43" s="3" t="n">
        <v>2.2</v>
      </c>
      <c r="D43" s="3" t="n">
        <v>2.2</v>
      </c>
      <c r="E43" s="3" t="n">
        <v>2.1</v>
      </c>
      <c r="F43" s="3" t="n">
        <v>2.1</v>
      </c>
      <c r="G43" s="3" t="n">
        <v>2</v>
      </c>
      <c r="H43" s="3" t="n">
        <v>2</v>
      </c>
      <c r="I43" s="3" t="n">
        <v>2</v>
      </c>
      <c r="J43" s="3" t="n">
        <v>1.9</v>
      </c>
      <c r="K43" s="3" t="n">
        <v>1.9</v>
      </c>
      <c r="L43" s="3" t="n">
        <v>1.9</v>
      </c>
    </row>
    <row r="44" customFormat="false" ht="15" hidden="false" customHeight="false" outlineLevel="0" collapsed="false">
      <c r="A44" s="0" t="s">
        <v>108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109</v>
      </c>
      <c r="C45" s="3" t="n">
        <v>9</v>
      </c>
      <c r="D45" s="3" t="n">
        <v>8.8</v>
      </c>
      <c r="E45" s="3" t="n">
        <v>8.6</v>
      </c>
      <c r="F45" s="3" t="n">
        <v>8.4</v>
      </c>
      <c r="G45" s="3" t="n">
        <v>8.2</v>
      </c>
      <c r="H45" s="3" t="n">
        <v>8</v>
      </c>
      <c r="I45" s="3" t="n">
        <v>7.8</v>
      </c>
      <c r="J45" s="3" t="n">
        <v>7.6</v>
      </c>
      <c r="K45" s="3" t="n">
        <v>7.4</v>
      </c>
      <c r="L45" s="3" t="n">
        <v>7.2</v>
      </c>
    </row>
    <row r="46" customFormat="false" ht="15" hidden="false" customHeight="false" outlineLevel="0" collapsed="false">
      <c r="A46" s="0" t="s">
        <v>110</v>
      </c>
      <c r="C46" s="3" t="n">
        <v>8</v>
      </c>
      <c r="D46" s="3" t="n">
        <v>7</v>
      </c>
      <c r="E46" s="3" t="n">
        <v>6.5</v>
      </c>
      <c r="F46" s="3" t="n">
        <v>6</v>
      </c>
      <c r="G46" s="3" t="n">
        <v>6</v>
      </c>
      <c r="H46" s="3" t="n">
        <v>5.8</v>
      </c>
      <c r="I46" s="3" t="n">
        <v>5.6</v>
      </c>
      <c r="J46" s="3" t="n">
        <v>5.5</v>
      </c>
      <c r="K46" s="3" t="n">
        <v>5.5</v>
      </c>
      <c r="L46" s="3" t="n">
        <v>5.5</v>
      </c>
    </row>
    <row r="47" customFormat="false" ht="15" hidden="false" customHeight="false" outlineLevel="0" collapsed="false">
      <c r="A47" s="0" t="s">
        <v>111</v>
      </c>
      <c r="C47" s="3" t="n">
        <v>15</v>
      </c>
      <c r="D47" s="3" t="n">
        <v>17.5</v>
      </c>
      <c r="E47" s="3" t="n">
        <v>17.5</v>
      </c>
      <c r="F47" s="3" t="n">
        <v>17.5</v>
      </c>
      <c r="G47" s="3" t="n">
        <v>17.5</v>
      </c>
      <c r="H47" s="3" t="n">
        <v>17.5</v>
      </c>
      <c r="I47" s="3" t="n">
        <v>17.5</v>
      </c>
      <c r="J47" s="3" t="n">
        <v>17.5</v>
      </c>
      <c r="K47" s="3" t="n">
        <v>17.5</v>
      </c>
      <c r="L47" s="3" t="n">
        <v>17.5</v>
      </c>
    </row>
    <row r="48" customFormat="false" ht="15" hidden="false" customHeight="false" outlineLevel="0" collapsed="false">
      <c r="A48" s="0" t="s">
        <v>112</v>
      </c>
      <c r="B48" s="3" t="n">
        <v>8.5</v>
      </c>
    </row>
    <row r="49" customFormat="false" ht="15" hidden="false" customHeight="false" outlineLevel="0" collapsed="false">
      <c r="A49" s="0" t="s">
        <v>113</v>
      </c>
      <c r="B49" s="3" t="n">
        <v>3</v>
      </c>
    </row>
    <row r="50" customFormat="false" ht="15" hidden="false" customHeight="false" outlineLevel="0" collapsed="false">
      <c r="A50" s="0" t="s">
        <v>114</v>
      </c>
      <c r="B50" s="3" t="n">
        <v>20</v>
      </c>
    </row>
    <row r="51" customFormat="false" ht="15" hidden="false" customHeight="false" outlineLevel="0" collapsed="false">
      <c r="A51" s="0" t="s">
        <v>115</v>
      </c>
      <c r="B51" s="3" t="n">
        <v>-25</v>
      </c>
    </row>
    <row r="52" customFormat="false" ht="15" hidden="false" customHeight="false" outlineLevel="0" collapsed="false">
      <c r="A52" s="0" t="s">
        <v>116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119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Assumptions!C13</f>
        <v>3.6</v>
      </c>
      <c r="D5" s="4" t="n">
        <f aca="false">Assumptions!D13</f>
        <v>2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4092.4</v>
      </c>
      <c r="C6" s="0" t="n">
        <f aca="false">B6*(1+C5/100)</f>
        <v>4239.7264</v>
      </c>
      <c r="D6" s="0" t="n">
        <f aca="false">C6*(1+D5/100)</f>
        <v>4324.520928</v>
      </c>
      <c r="E6" s="0" t="n">
        <f aca="false">D6*(1+E5/100)</f>
        <v>4432.6339512</v>
      </c>
      <c r="F6" s="0" t="n">
        <f aca="false">E6*(1+F5/100)</f>
        <v>4543.44979998</v>
      </c>
      <c r="G6" s="0" t="n">
        <f aca="false">F6*(1+G5/100)</f>
        <v>4657.0360449795</v>
      </c>
      <c r="H6" s="0" t="n">
        <f aca="false">G6*(1+H5/100)</f>
        <v>4773.46194610399</v>
      </c>
      <c r="I6" s="0" t="n">
        <f aca="false">H6*(1+I5/100)</f>
        <v>4892.79849475659</v>
      </c>
      <c r="J6" s="0" t="n">
        <f aca="false">I6*(1+J5/100)</f>
        <v>5015.1184571255</v>
      </c>
      <c r="K6" s="0" t="n">
        <f aca="false">J6*(1+K5/100)</f>
        <v>5140.49641855364</v>
      </c>
      <c r="L6" s="0" t="n">
        <f aca="false">K6*(1+L5/100)</f>
        <v>5269.00882901748</v>
      </c>
    </row>
    <row r="7" customFormat="false" ht="15" hidden="false" customHeight="false" outlineLevel="0" collapsed="false">
      <c r="A7" s="0" t="s">
        <v>106</v>
      </c>
      <c r="C7" s="4" t="n">
        <f aca="false">Assumptions!C14</f>
        <v>30.5</v>
      </c>
      <c r="D7" s="4" t="n">
        <f aca="false">Assumptions!D14</f>
        <v>30</v>
      </c>
      <c r="E7" s="4" t="n">
        <f aca="false">Assumptions!E14</f>
        <v>29.8</v>
      </c>
      <c r="F7" s="4" t="n">
        <f aca="false">Assumptions!F14</f>
        <v>29.6</v>
      </c>
      <c r="G7" s="4" t="n">
        <f aca="false">Assumptions!G14</f>
        <v>29.5</v>
      </c>
      <c r="H7" s="4" t="n">
        <f aca="false">Assumptions!H14</f>
        <v>29.5</v>
      </c>
      <c r="I7" s="4" t="n">
        <f aca="false">Assumptions!I14</f>
        <v>29.5</v>
      </c>
      <c r="J7" s="4" t="n">
        <f aca="false">Assumptions!J14</f>
        <v>29.5</v>
      </c>
      <c r="K7" s="4" t="n">
        <f aca="false">Assumptions!K14</f>
        <v>29.5</v>
      </c>
      <c r="L7" s="4" t="n">
        <f aca="false">Assumptions!L14</f>
        <v>29.5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1293.116552</v>
      </c>
      <c r="D8" s="0" t="n">
        <f aca="false">D6*D7/100</f>
        <v>1297.3562784</v>
      </c>
      <c r="E8" s="0" t="n">
        <f aca="false">E6*E7/100</f>
        <v>1320.9249174576</v>
      </c>
      <c r="F8" s="0" t="n">
        <f aca="false">F6*F7/100</f>
        <v>1344.86114079408</v>
      </c>
      <c r="G8" s="0" t="n">
        <f aca="false">G6*G7/100</f>
        <v>1373.82563326895</v>
      </c>
      <c r="H8" s="0" t="n">
        <f aca="false">H6*H7/100</f>
        <v>1408.17127410068</v>
      </c>
      <c r="I8" s="0" t="n">
        <f aca="false">I6*I7/100</f>
        <v>1443.37555595319</v>
      </c>
      <c r="J8" s="0" t="n">
        <f aca="false">J6*J7/100</f>
        <v>1479.45994485202</v>
      </c>
      <c r="K8" s="0" t="n">
        <f aca="false">K6*K7/100</f>
        <v>1516.44644347332</v>
      </c>
      <c r="L8" s="0" t="n">
        <f aca="false">L6*L7/100</f>
        <v>1554.35760456016</v>
      </c>
    </row>
    <row r="9" customFormat="false" ht="15" hidden="false" customHeight="false" outlineLevel="0" collapsed="false">
      <c r="A9" s="0" t="s">
        <v>107</v>
      </c>
      <c r="C9" s="4" t="n">
        <f aca="false">Assumptions!C15</f>
        <v>2.2</v>
      </c>
      <c r="D9" s="4" t="n">
        <f aca="false">Assumptions!D15</f>
        <v>2.3</v>
      </c>
      <c r="E9" s="4" t="n">
        <f aca="false">Assumptions!E15</f>
        <v>2.3</v>
      </c>
      <c r="F9" s="4" t="n">
        <f aca="false">Assumptions!F15</f>
        <v>2.3</v>
      </c>
      <c r="G9" s="4" t="n">
        <f aca="false">Assumptions!G15</f>
        <v>2.3</v>
      </c>
      <c r="H9" s="4" t="n">
        <f aca="false">Assumptions!H15</f>
        <v>2.3</v>
      </c>
      <c r="I9" s="4" t="n">
        <f aca="false">Assumptions!I15</f>
        <v>2.3</v>
      </c>
      <c r="J9" s="4" t="n">
        <f aca="false">Assumptions!J15</f>
        <v>2.3</v>
      </c>
      <c r="K9" s="4" t="n">
        <f aca="false">Assumptions!K15</f>
        <v>2.3</v>
      </c>
      <c r="L9" s="4" t="n">
        <f aca="false">Assumptions!L15</f>
        <v>2.3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-93.2739808</v>
      </c>
      <c r="D10" s="0" t="n">
        <f aca="false">-D6*D9/100</f>
        <v>-99.463981344</v>
      </c>
      <c r="E10" s="0" t="n">
        <f aca="false">-E6*E9/100</f>
        <v>-101.9505808776</v>
      </c>
      <c r="F10" s="0" t="n">
        <f aca="false">-F6*F9/100</f>
        <v>-104.49934539954</v>
      </c>
      <c r="G10" s="0" t="n">
        <f aca="false">-G6*G9/100</f>
        <v>-107.111829034528</v>
      </c>
      <c r="H10" s="0" t="n">
        <f aca="false">-H6*H9/100</f>
        <v>-109.789624760392</v>
      </c>
      <c r="I10" s="0" t="n">
        <f aca="false">-I6*I9/100</f>
        <v>-112.534365379401</v>
      </c>
      <c r="J10" s="0" t="n">
        <f aca="false">-J6*J9/100</f>
        <v>-115.347724513886</v>
      </c>
      <c r="K10" s="0" t="n">
        <f aca="false">-K6*K9/100</f>
        <v>-118.231417626734</v>
      </c>
      <c r="L10" s="0" t="n">
        <f aca="false">-L6*L9/100</f>
        <v>-121.187203067402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1199.8425712</v>
      </c>
      <c r="D11" s="0" t="n">
        <f aca="false">D8+D10+D24</f>
        <v>1197.892297056</v>
      </c>
      <c r="E11" s="0" t="n">
        <f aca="false">E8+E10+E24</f>
        <v>1218.97433658</v>
      </c>
      <c r="F11" s="0" t="n">
        <f aca="false">F8+F10+F24</f>
        <v>1240.36179539454</v>
      </c>
      <c r="G11" s="0" t="n">
        <f aca="false">G8+G10+G24</f>
        <v>1266.71380423442</v>
      </c>
      <c r="H11" s="0" t="n">
        <f aca="false">H8+H10+H24</f>
        <v>1298.38164934028</v>
      </c>
      <c r="I11" s="0" t="n">
        <f aca="false">I8+I10+I24</f>
        <v>1330.84119057379</v>
      </c>
      <c r="J11" s="0" t="n">
        <f aca="false">J8+J10+J24</f>
        <v>1364.11222033814</v>
      </c>
      <c r="K11" s="0" t="n">
        <f aca="false">K8+K10+K24</f>
        <v>1398.21502584659</v>
      </c>
      <c r="L11" s="0" t="n">
        <f aca="false">L8+L10+L24</f>
        <v>1433.17040149275</v>
      </c>
    </row>
    <row r="12" customFormat="false" ht="15" hidden="false" customHeight="false" outlineLevel="0" collapsed="false">
      <c r="A12" s="0" t="s">
        <v>124</v>
      </c>
      <c r="C12" s="4" t="n">
        <f aca="false">-C6*Assumptions!C17/100</f>
        <v>-381.575376</v>
      </c>
      <c r="D12" s="4" t="n">
        <f aca="false">-D6*Assumptions!D17/100</f>
        <v>-380.557841664</v>
      </c>
      <c r="E12" s="4" t="n">
        <f aca="false">-E6*Assumptions!E17/100</f>
        <v>-381.2065198032</v>
      </c>
      <c r="F12" s="4" t="n">
        <f aca="false">-F6*Assumptions!F17/100</f>
        <v>-381.64978319832</v>
      </c>
      <c r="G12" s="4" t="n">
        <f aca="false">-G6*Assumptions!G17/100</f>
        <v>-381.876955688319</v>
      </c>
      <c r="H12" s="4" t="n">
        <f aca="false">-H6*Assumptions!H17/100</f>
        <v>-381.876955688319</v>
      </c>
      <c r="I12" s="4" t="n">
        <f aca="false">-I6*Assumptions!I17/100</f>
        <v>-381.638282591014</v>
      </c>
      <c r="J12" s="4" t="n">
        <f aca="false">-J6*Assumptions!J17/100</f>
        <v>-381.149002741538</v>
      </c>
      <c r="K12" s="4" t="n">
        <f aca="false">-K6*Assumptions!K17/100</f>
        <v>-380.396734972969</v>
      </c>
      <c r="L12" s="4" t="n">
        <f aca="false">-L6*Assumptions!L17/100</f>
        <v>-379.368635689258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818.2671952</v>
      </c>
      <c r="D13" s="0" t="n">
        <f aca="false">D11+D12</f>
        <v>817.334455392</v>
      </c>
      <c r="E13" s="0" t="n">
        <f aca="false">E11+E12</f>
        <v>837.7678167768</v>
      </c>
      <c r="F13" s="0" t="n">
        <f aca="false">F11+F12</f>
        <v>858.71201219622</v>
      </c>
      <c r="G13" s="0" t="n">
        <f aca="false">G11+G12</f>
        <v>884.836848546105</v>
      </c>
      <c r="H13" s="0" t="n">
        <f aca="false">H11+H12</f>
        <v>916.504693651965</v>
      </c>
      <c r="I13" s="0" t="n">
        <f aca="false">I11+I12</f>
        <v>949.202907982778</v>
      </c>
      <c r="J13" s="0" t="n">
        <f aca="false">J11+J12</f>
        <v>982.963217596598</v>
      </c>
      <c r="K13" s="0" t="n">
        <f aca="false">K11+K12</f>
        <v>1017.81829087362</v>
      </c>
      <c r="L13" s="0" t="n">
        <f aca="false">L11+L12</f>
        <v>1053.8017658035</v>
      </c>
    </row>
    <row r="14" customFormat="false" ht="15" hidden="false" customHeight="false" outlineLevel="0" collapsed="false">
      <c r="A14" s="0" t="s">
        <v>111</v>
      </c>
      <c r="C14" s="4" t="n">
        <f aca="false">Assumptions!C19</f>
        <v>15</v>
      </c>
      <c r="D14" s="4" t="n">
        <f aca="false">Assumptions!D19</f>
        <v>18.5</v>
      </c>
      <c r="E14" s="4" t="n">
        <f aca="false">Assumptions!E19</f>
        <v>20</v>
      </c>
      <c r="F14" s="4" t="n">
        <f aca="false">Assumptions!F19</f>
        <v>20</v>
      </c>
      <c r="G14" s="4" t="n">
        <f aca="false">Assumptions!G19</f>
        <v>20</v>
      </c>
      <c r="H14" s="4" t="n">
        <f aca="false">Assumptions!H19</f>
        <v>20</v>
      </c>
      <c r="I14" s="4" t="n">
        <f aca="false">Assumptions!I19</f>
        <v>20</v>
      </c>
      <c r="J14" s="4" t="n">
        <f aca="false">Assumptions!J19</f>
        <v>20</v>
      </c>
      <c r="K14" s="4" t="n">
        <f aca="false">Assumptions!K19</f>
        <v>20</v>
      </c>
      <c r="L14" s="4" t="n">
        <f aca="false">Assumptions!L19</f>
        <v>20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695.52711592</v>
      </c>
      <c r="D15" s="0" t="n">
        <f aca="false">D13-MAX(0,D13)*D14/100</f>
        <v>666.12758114448</v>
      </c>
      <c r="E15" s="0" t="n">
        <f aca="false">E13-MAX(0,E13)*E14/100</f>
        <v>670.21425342144</v>
      </c>
      <c r="F15" s="0" t="n">
        <f aca="false">F13-MAX(0,F13)*F14/100</f>
        <v>686.969609756976</v>
      </c>
      <c r="G15" s="0" t="n">
        <f aca="false">G13-MAX(0,G13)*G14/100</f>
        <v>707.869478836884</v>
      </c>
      <c r="H15" s="0" t="n">
        <f aca="false">H13-MAX(0,H13)*H14/100</f>
        <v>733.203754921572</v>
      </c>
      <c r="I15" s="0" t="n">
        <f aca="false">I13-MAX(0,I13)*I14/100</f>
        <v>759.362326386222</v>
      </c>
      <c r="J15" s="0" t="n">
        <f aca="false">J13-MAX(0,J13)*J14/100</f>
        <v>786.370574077278</v>
      </c>
      <c r="K15" s="0" t="n">
        <f aca="false">K13-MAX(0,K13)*K14/100</f>
        <v>814.254632698896</v>
      </c>
      <c r="L15" s="0" t="n">
        <f aca="false">L13-MAX(0,L13)*L14/100</f>
        <v>843.041412642796</v>
      </c>
    </row>
    <row r="16" customFormat="false" ht="15" hidden="false" customHeight="false" outlineLevel="0" collapsed="false">
      <c r="A16" s="0" t="s">
        <v>127</v>
      </c>
      <c r="C16" s="0" t="n">
        <f aca="false">-C12</f>
        <v>381.575376</v>
      </c>
      <c r="D16" s="0" t="n">
        <f aca="false">-D12</f>
        <v>380.557841664</v>
      </c>
      <c r="E16" s="0" t="n">
        <f aca="false">-E12</f>
        <v>381.2065198032</v>
      </c>
      <c r="F16" s="0" t="n">
        <f aca="false">-F12</f>
        <v>381.64978319832</v>
      </c>
      <c r="G16" s="0" t="n">
        <f aca="false">-G12</f>
        <v>381.876955688319</v>
      </c>
      <c r="H16" s="0" t="n">
        <f aca="false">-H12</f>
        <v>381.876955688319</v>
      </c>
      <c r="I16" s="0" t="n">
        <f aca="false">-I12</f>
        <v>381.638282591014</v>
      </c>
      <c r="J16" s="0" t="n">
        <f aca="false">-J12</f>
        <v>381.149002741538</v>
      </c>
      <c r="K16" s="0" t="n">
        <f aca="false">-K12</f>
        <v>380.396734972969</v>
      </c>
      <c r="L16" s="0" t="n">
        <f aca="false">-L12</f>
        <v>379.368635689258</v>
      </c>
    </row>
    <row r="17" customFormat="false" ht="15" hidden="false" customHeight="false" outlineLevel="0" collapsed="false">
      <c r="A17" s="0" t="s">
        <v>128</v>
      </c>
      <c r="C17" s="4" t="n">
        <f aca="false">-C6*Assumptions!C18/100</f>
        <v>-339.178112</v>
      </c>
      <c r="D17" s="4" t="n">
        <f aca="false">-D6*Assumptions!D18/100</f>
        <v>-337.312632384</v>
      </c>
      <c r="E17" s="4" t="n">
        <f aca="false">-E6*Assumptions!E18/100</f>
        <v>-332.44754634</v>
      </c>
      <c r="F17" s="4" t="n">
        <f aca="false">-F6*Assumptions!F18/100</f>
        <v>-340.7587349985</v>
      </c>
      <c r="G17" s="4" t="n">
        <f aca="false">-G6*Assumptions!G18/100</f>
        <v>-335.306595238524</v>
      </c>
      <c r="H17" s="4" t="n">
        <f aca="false">-H6*Assumptions!H18/100</f>
        <v>-334.142336227279</v>
      </c>
      <c r="I17" s="4" t="n">
        <f aca="false">-I6*Assumptions!I18/100</f>
        <v>-342.495894632961</v>
      </c>
      <c r="J17" s="4" t="n">
        <f aca="false">-J6*Assumptions!J18/100</f>
        <v>-351.058291998785</v>
      </c>
      <c r="K17" s="4" t="n">
        <f aca="false">-K6*Assumptions!K18/100</f>
        <v>-359.834749298754</v>
      </c>
      <c r="L17" s="4" t="n">
        <f aca="false">-L6*Assumptions!L18/100</f>
        <v>-368.830618031223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(C6-B6)*Assumptions!$B$23/100</f>
        <v>-36.8316000000001</v>
      </c>
      <c r="D18" s="4" t="n">
        <f aca="false">(D6-C6)*Assumptions!$B$23/100</f>
        <v>-21.1986320000001</v>
      </c>
      <c r="E18" s="4" t="n">
        <f aca="false">(E6-D6)*Assumptions!$B$23/100</f>
        <v>-27.0282557999999</v>
      </c>
      <c r="F18" s="4" t="n">
        <f aca="false">(F6-E6)*Assumptions!$B$23/100</f>
        <v>-27.7039621949998</v>
      </c>
      <c r="G18" s="4" t="n">
        <f aca="false">(G6-F6)*Assumptions!$B$23/100</f>
        <v>-28.3965612498748</v>
      </c>
      <c r="H18" s="4" t="n">
        <f aca="false">(H6-G6)*Assumptions!$B$23/100</f>
        <v>-29.1064752811217</v>
      </c>
      <c r="I18" s="4" t="n">
        <f aca="false">(I6-H6)*Assumptions!$B$23/100</f>
        <v>-29.8341371631498</v>
      </c>
      <c r="J18" s="4" t="n">
        <f aca="false">(J6-I6)*Assumptions!$B$23/100</f>
        <v>-30.5799905922286</v>
      </c>
      <c r="K18" s="4" t="n">
        <f aca="false">(K6-J6)*Assumptions!$B$23/100</f>
        <v>-31.3444903570341</v>
      </c>
      <c r="L18" s="4" t="n">
        <f aca="false">(L6-K6)*Assumptions!$B$23/100</f>
        <v>-32.1281026159602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701.09277992</v>
      </c>
      <c r="D19" s="0" t="n">
        <f aca="false">D15+D16+D17+D18</f>
        <v>688.17415842448</v>
      </c>
      <c r="E19" s="0" t="n">
        <f aca="false">E15+E16+E17+E18</f>
        <v>691.94497108464</v>
      </c>
      <c r="F19" s="0" t="n">
        <f aca="false">F15+F16+F17+F18</f>
        <v>700.156695761796</v>
      </c>
      <c r="G19" s="0" t="n">
        <f aca="false">G15+G16+G17+G18</f>
        <v>726.043278036804</v>
      </c>
      <c r="H19" s="0" t="n">
        <f aca="false">H15+H16+H17+H18</f>
        <v>751.83189910149</v>
      </c>
      <c r="I19" s="0" t="n">
        <f aca="false">I15+I16+I17+I18</f>
        <v>768.670577181125</v>
      </c>
      <c r="J19" s="0" t="n">
        <f aca="false">J15+J16+J17+J18</f>
        <v>785.881294227803</v>
      </c>
      <c r="K19" s="0" t="n">
        <f aca="false">K15+K16+K17+K18</f>
        <v>803.472128016076</v>
      </c>
      <c r="L19" s="0" t="n">
        <f aca="false">L15+L16+L17+L18</f>
        <v>821.451327684871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646.16846075576</v>
      </c>
      <c r="D21" s="0" t="n">
        <f aca="false">D19*D20</f>
        <v>584.573177110986</v>
      </c>
      <c r="E21" s="0" t="n">
        <f aca="false">E19*E20</f>
        <v>541.729321530582</v>
      </c>
      <c r="F21" s="0" t="n">
        <f aca="false">F19*F20</f>
        <v>505.215066619733</v>
      </c>
      <c r="G21" s="0" t="n">
        <f aca="false">G19*G20</f>
        <v>482.85175916771</v>
      </c>
      <c r="H21" s="0" t="n">
        <f aca="false">H19*H20</f>
        <v>460.831671502027</v>
      </c>
      <c r="I21" s="0" t="n">
        <f aca="false">I19*I20</f>
        <v>434.242264113307</v>
      </c>
      <c r="J21" s="0" t="n">
        <f aca="false">J19*J20</f>
        <v>409.184379436561</v>
      </c>
      <c r="K21" s="0" t="n">
        <f aca="false">K19*K20</f>
        <v>385.569943917032</v>
      </c>
      <c r="L21" s="0" t="n">
        <f aca="false">L19*L20</f>
        <v>363.315941397712</v>
      </c>
    </row>
    <row r="23" customFormat="false" ht="15" hidden="false" customHeight="false" outlineLevel="0" collapsed="false">
      <c r="A23" s="0" t="s">
        <v>108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Assumptions!$B$20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114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4813.68198555141</v>
      </c>
    </row>
    <row r="31" customFormat="false" ht="15" hidden="false" customHeight="false" outlineLevel="0" collapsed="false">
      <c r="A31" s="0" t="s">
        <v>136</v>
      </c>
      <c r="B31" s="0" t="n">
        <f aca="false">L19</f>
        <v>821.451327684871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12890.4669882857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11500.3185875882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11500.3185875882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5086.42317956797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9900.10516511938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7238.60516511938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37.4281549385697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-0.324157548960461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698.176077421971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841.097216214507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45.3871688663695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6445.23349414283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13.3416952074525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Assumptions!C27</f>
        <v>3.6</v>
      </c>
      <c r="D5" s="4" t="n">
        <f aca="false">Assumptions!D27</f>
        <v>4.5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3.5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4092.4</v>
      </c>
      <c r="C6" s="0" t="n">
        <f aca="false">B6*(1+C5/100)</f>
        <v>4239.7264</v>
      </c>
      <c r="D6" s="0" t="n">
        <f aca="false">C6*(1+D5/100)</f>
        <v>4430.514088</v>
      </c>
      <c r="E6" s="0" t="n">
        <f aca="false">D6*(1+E5/100)</f>
        <v>4652.0397924</v>
      </c>
      <c r="F6" s="0" t="n">
        <f aca="false">E6*(1+F5/100)</f>
        <v>4884.64178202</v>
      </c>
      <c r="G6" s="0" t="n">
        <f aca="false">F6*(1+G5/100)</f>
        <v>5104.4506622109</v>
      </c>
      <c r="H6" s="0" t="n">
        <f aca="false">G6*(1+H5/100)</f>
        <v>5334.15094201039</v>
      </c>
      <c r="I6" s="0" t="n">
        <f aca="false">H6*(1+I5/100)</f>
        <v>5547.51697969081</v>
      </c>
      <c r="J6" s="0" t="n">
        <f aca="false">I6*(1+J5/100)</f>
        <v>5741.68007397998</v>
      </c>
      <c r="K6" s="0" t="n">
        <f aca="false">J6*(1+K5/100)</f>
        <v>5913.93047619938</v>
      </c>
      <c r="L6" s="0" t="n">
        <f aca="false">K6*(1+L5/100)</f>
        <v>6091.34839048537</v>
      </c>
    </row>
    <row r="7" customFormat="false" ht="15" hidden="false" customHeight="false" outlineLevel="0" collapsed="false">
      <c r="A7" s="0" t="s">
        <v>106</v>
      </c>
      <c r="C7" s="4" t="n">
        <f aca="false">Assumptions!C28</f>
        <v>31</v>
      </c>
      <c r="D7" s="4" t="n">
        <f aca="false">Assumptions!D28</f>
        <v>31</v>
      </c>
      <c r="E7" s="4" t="n">
        <f aca="false">Assumptions!E28</f>
        <v>31.3</v>
      </c>
      <c r="F7" s="4" t="n">
        <f aca="false">Assumptions!F28</f>
        <v>31.6</v>
      </c>
      <c r="G7" s="4" t="n">
        <f aca="false">Assumptions!G28</f>
        <v>31.9</v>
      </c>
      <c r="H7" s="4" t="n">
        <f aca="false">Assumptions!H28</f>
        <v>32.2</v>
      </c>
      <c r="I7" s="4" t="n">
        <f aca="false">Assumptions!I28</f>
        <v>32.5</v>
      </c>
      <c r="J7" s="4" t="n">
        <f aca="false">Assumptions!J28</f>
        <v>32.5</v>
      </c>
      <c r="K7" s="4" t="n">
        <f aca="false">Assumptions!K28</f>
        <v>32.5</v>
      </c>
      <c r="L7" s="4" t="n">
        <f aca="false">Assumptions!L28</f>
        <v>32.5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1314.315184</v>
      </c>
      <c r="D8" s="0" t="n">
        <f aca="false">D6*D7/100</f>
        <v>1373.45936728</v>
      </c>
      <c r="E8" s="0" t="n">
        <f aca="false">E6*E7/100</f>
        <v>1456.0884550212</v>
      </c>
      <c r="F8" s="0" t="n">
        <f aca="false">F6*F7/100</f>
        <v>1543.54680311832</v>
      </c>
      <c r="G8" s="0" t="n">
        <f aca="false">G6*G7/100</f>
        <v>1628.31976124528</v>
      </c>
      <c r="H8" s="0" t="n">
        <f aca="false">H6*H7/100</f>
        <v>1717.59660332735</v>
      </c>
      <c r="I8" s="0" t="n">
        <f aca="false">I6*I7/100</f>
        <v>1802.94301839951</v>
      </c>
      <c r="J8" s="0" t="n">
        <f aca="false">J6*J7/100</f>
        <v>1866.04602404349</v>
      </c>
      <c r="K8" s="0" t="n">
        <f aca="false">K6*K7/100</f>
        <v>1922.0274047648</v>
      </c>
      <c r="L8" s="0" t="n">
        <f aca="false">L6*L7/100</f>
        <v>1979.68822690774</v>
      </c>
    </row>
    <row r="9" customFormat="false" ht="15" hidden="false" customHeight="false" outlineLevel="0" collapsed="false">
      <c r="A9" s="0" t="s">
        <v>107</v>
      </c>
      <c r="C9" s="4" t="n">
        <f aca="false">Assumptions!C29</f>
        <v>2.2</v>
      </c>
      <c r="D9" s="4" t="n">
        <f aca="false">Assumptions!D29</f>
        <v>2.2</v>
      </c>
      <c r="E9" s="4" t="n">
        <f aca="false">Assumptions!E29</f>
        <v>2.2</v>
      </c>
      <c r="F9" s="4" t="n">
        <f aca="false">Assumptions!F29</f>
        <v>2.1</v>
      </c>
      <c r="G9" s="4" t="n">
        <f aca="false">Assumptions!G29</f>
        <v>2.1</v>
      </c>
      <c r="H9" s="4" t="n">
        <f aca="false">Assumptions!H29</f>
        <v>2.1</v>
      </c>
      <c r="I9" s="4" t="n">
        <f aca="false">Assumptions!I29</f>
        <v>2</v>
      </c>
      <c r="J9" s="4" t="n">
        <f aca="false">Assumptions!J29</f>
        <v>2</v>
      </c>
      <c r="K9" s="4" t="n">
        <f aca="false">Assumptions!K29</f>
        <v>2</v>
      </c>
      <c r="L9" s="4" t="n">
        <f aca="false">Assumptions!L29</f>
        <v>2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-93.2739808</v>
      </c>
      <c r="D10" s="0" t="n">
        <f aca="false">-D6*D9/100</f>
        <v>-97.471309936</v>
      </c>
      <c r="E10" s="0" t="n">
        <f aca="false">-E6*E9/100</f>
        <v>-102.3448754328</v>
      </c>
      <c r="F10" s="0" t="n">
        <f aca="false">-F6*F9/100</f>
        <v>-102.57747742242</v>
      </c>
      <c r="G10" s="0" t="n">
        <f aca="false">-G6*G9/100</f>
        <v>-107.193463906429</v>
      </c>
      <c r="H10" s="0" t="n">
        <f aca="false">-H6*H9/100</f>
        <v>-112.017169782218</v>
      </c>
      <c r="I10" s="0" t="n">
        <f aca="false">-I6*I9/100</f>
        <v>-110.950339593816</v>
      </c>
      <c r="J10" s="0" t="n">
        <f aca="false">-J6*J9/100</f>
        <v>-114.8336014796</v>
      </c>
      <c r="K10" s="0" t="n">
        <f aca="false">-K6*K9/100</f>
        <v>-118.278609523988</v>
      </c>
      <c r="L10" s="0" t="n">
        <f aca="false">-L6*L9/100</f>
        <v>-121.826967809707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1221.0412032</v>
      </c>
      <c r="D11" s="0" t="n">
        <f aca="false">D8+D10+D24</f>
        <v>1275.988057344</v>
      </c>
      <c r="E11" s="0" t="n">
        <f aca="false">E8+E10+E24</f>
        <v>1353.7435795884</v>
      </c>
      <c r="F11" s="0" t="n">
        <f aca="false">F8+F10+F24</f>
        <v>1440.9693256959</v>
      </c>
      <c r="G11" s="0" t="n">
        <f aca="false">G8+G10+G24</f>
        <v>1521.12629733885</v>
      </c>
      <c r="H11" s="0" t="n">
        <f aca="false">H8+H10+H24</f>
        <v>1605.57943354513</v>
      </c>
      <c r="I11" s="0" t="n">
        <f aca="false">I8+I10+I24</f>
        <v>1691.9926788057</v>
      </c>
      <c r="J11" s="0" t="n">
        <f aca="false">J8+J10+J24</f>
        <v>1751.2124225639</v>
      </c>
      <c r="K11" s="0" t="n">
        <f aca="false">K8+K10+K24</f>
        <v>1803.74879524081</v>
      </c>
      <c r="L11" s="0" t="n">
        <f aca="false">L8+L10+L24</f>
        <v>1857.86125909804</v>
      </c>
    </row>
    <row r="12" customFormat="false" ht="15" hidden="false" customHeight="false" outlineLevel="0" collapsed="false">
      <c r="A12" s="0" t="s">
        <v>124</v>
      </c>
      <c r="C12" s="4" t="n">
        <f aca="false">-C6*Assumptions!C31/100</f>
        <v>-381.575376</v>
      </c>
      <c r="D12" s="4" t="n">
        <f aca="false">-D6*Assumptions!D31/100</f>
        <v>-389.885239744</v>
      </c>
      <c r="E12" s="4" t="n">
        <f aca="false">-E6*Assumptions!E31/100</f>
        <v>-400.0754221464</v>
      </c>
      <c r="F12" s="4" t="n">
        <f aca="false">-F6*Assumptions!F31/100</f>
        <v>-410.30990968968</v>
      </c>
      <c r="G12" s="4" t="n">
        <f aca="false">-G6*Assumptions!G31/100</f>
        <v>-418.564954301294</v>
      </c>
      <c r="H12" s="4" t="n">
        <f aca="false">-H6*Assumptions!H31/100</f>
        <v>-426.732075360831</v>
      </c>
      <c r="I12" s="4" t="n">
        <f aca="false">-I6*Assumptions!I31/100</f>
        <v>-432.706324415883</v>
      </c>
      <c r="J12" s="4" t="n">
        <f aca="false">-J6*Assumptions!J31/100</f>
        <v>-436.367685622479</v>
      </c>
      <c r="K12" s="4" t="n">
        <f aca="false">-K6*Assumptions!K31/100</f>
        <v>-437.630855238754</v>
      </c>
      <c r="L12" s="4" t="n">
        <f aca="false">-L6*Assumptions!L31/100</f>
        <v>-438.577084114946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839.4658272</v>
      </c>
      <c r="D13" s="0" t="n">
        <f aca="false">D11+D12</f>
        <v>886.1028176</v>
      </c>
      <c r="E13" s="0" t="n">
        <f aca="false">E11+E12</f>
        <v>953.668157442</v>
      </c>
      <c r="F13" s="0" t="n">
        <f aca="false">F11+F12</f>
        <v>1030.65941600622</v>
      </c>
      <c r="G13" s="0" t="n">
        <f aca="false">G11+G12</f>
        <v>1102.56134303755</v>
      </c>
      <c r="H13" s="0" t="n">
        <f aca="false">H11+H12</f>
        <v>1178.8473581843</v>
      </c>
      <c r="I13" s="0" t="n">
        <f aca="false">I11+I12</f>
        <v>1259.28635438981</v>
      </c>
      <c r="J13" s="0" t="n">
        <f aca="false">J11+J12</f>
        <v>1314.84473694142</v>
      </c>
      <c r="K13" s="0" t="n">
        <f aca="false">K11+K12</f>
        <v>1366.11794000206</v>
      </c>
      <c r="L13" s="0" t="n">
        <f aca="false">L11+L12</f>
        <v>1419.28417498309</v>
      </c>
    </row>
    <row r="14" customFormat="false" ht="15" hidden="false" customHeight="false" outlineLevel="0" collapsed="false">
      <c r="A14" s="0" t="s">
        <v>111</v>
      </c>
      <c r="C14" s="4" t="n">
        <f aca="false">Assumptions!C33</f>
        <v>15</v>
      </c>
      <c r="D14" s="4" t="n">
        <f aca="false">Assumptions!D33</f>
        <v>17.5</v>
      </c>
      <c r="E14" s="4" t="n">
        <f aca="false">Assumptions!E33</f>
        <v>18</v>
      </c>
      <c r="F14" s="4" t="n">
        <f aca="false">Assumptions!F33</f>
        <v>18</v>
      </c>
      <c r="G14" s="4" t="n">
        <f aca="false">Assumptions!G33</f>
        <v>18</v>
      </c>
      <c r="H14" s="4" t="n">
        <f aca="false">Assumptions!H33</f>
        <v>18</v>
      </c>
      <c r="I14" s="4" t="n">
        <f aca="false">Assumptions!I33</f>
        <v>18</v>
      </c>
      <c r="J14" s="4" t="n">
        <f aca="false">Assumptions!J33</f>
        <v>18</v>
      </c>
      <c r="K14" s="4" t="n">
        <f aca="false">Assumptions!K33</f>
        <v>18</v>
      </c>
      <c r="L14" s="4" t="n">
        <f aca="false">Assumptions!L33</f>
        <v>18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713.54595312</v>
      </c>
      <c r="D15" s="0" t="n">
        <f aca="false">D13-MAX(0,D13)*D14/100</f>
        <v>731.03482452</v>
      </c>
      <c r="E15" s="0" t="n">
        <f aca="false">E13-MAX(0,E13)*E14/100</f>
        <v>782.00788910244</v>
      </c>
      <c r="F15" s="0" t="n">
        <f aca="false">F13-MAX(0,F13)*F14/100</f>
        <v>845.1407211251</v>
      </c>
      <c r="G15" s="0" t="n">
        <f aca="false">G13-MAX(0,G13)*G14/100</f>
        <v>904.100301290795</v>
      </c>
      <c r="H15" s="0" t="n">
        <f aca="false">H13-MAX(0,H13)*H14/100</f>
        <v>966.654833711123</v>
      </c>
      <c r="I15" s="0" t="n">
        <f aca="false">I13-MAX(0,I13)*I14/100</f>
        <v>1032.61481059965</v>
      </c>
      <c r="J15" s="0" t="n">
        <f aca="false">J13-MAX(0,J13)*J14/100</f>
        <v>1078.17268429196</v>
      </c>
      <c r="K15" s="0" t="n">
        <f aca="false">K13-MAX(0,K13)*K14/100</f>
        <v>1120.21671080169</v>
      </c>
      <c r="L15" s="0" t="n">
        <f aca="false">L13-MAX(0,L13)*L14/100</f>
        <v>1163.81302348613</v>
      </c>
    </row>
    <row r="16" customFormat="false" ht="15" hidden="false" customHeight="false" outlineLevel="0" collapsed="false">
      <c r="A16" s="0" t="s">
        <v>127</v>
      </c>
      <c r="C16" s="0" t="n">
        <f aca="false">-C12</f>
        <v>381.575376</v>
      </c>
      <c r="D16" s="0" t="n">
        <f aca="false">-D12</f>
        <v>389.885239744</v>
      </c>
      <c r="E16" s="0" t="n">
        <f aca="false">-E12</f>
        <v>400.0754221464</v>
      </c>
      <c r="F16" s="0" t="n">
        <f aca="false">-F12</f>
        <v>410.30990968968</v>
      </c>
      <c r="G16" s="0" t="n">
        <f aca="false">-G12</f>
        <v>418.564954301294</v>
      </c>
      <c r="H16" s="0" t="n">
        <f aca="false">-H12</f>
        <v>426.732075360831</v>
      </c>
      <c r="I16" s="0" t="n">
        <f aca="false">-I12</f>
        <v>432.706324415883</v>
      </c>
      <c r="J16" s="0" t="n">
        <f aca="false">-J12</f>
        <v>436.367685622479</v>
      </c>
      <c r="K16" s="0" t="n">
        <f aca="false">-K12</f>
        <v>437.630855238754</v>
      </c>
      <c r="L16" s="0" t="n">
        <f aca="false">-L12</f>
        <v>438.577084114946</v>
      </c>
    </row>
    <row r="17" customFormat="false" ht="15" hidden="false" customHeight="false" outlineLevel="0" collapsed="false">
      <c r="A17" s="0" t="s">
        <v>128</v>
      </c>
      <c r="C17" s="4" t="n">
        <f aca="false">-C6*Assumptions!C32/100</f>
        <v>-339.178112</v>
      </c>
      <c r="D17" s="4" t="n">
        <f aca="false">-D6*Assumptions!D32/100</f>
        <v>-332.2885566</v>
      </c>
      <c r="E17" s="4" t="n">
        <f aca="false">-E6*Assumptions!E32/100</f>
        <v>-325.642785468</v>
      </c>
      <c r="F17" s="4" t="n">
        <f aca="false">-F6*Assumptions!F32/100</f>
        <v>-332.15564117736</v>
      </c>
      <c r="G17" s="4" t="n">
        <f aca="false">-G6*Assumptions!G32/100</f>
        <v>-331.789293043709</v>
      </c>
      <c r="H17" s="4" t="n">
        <f aca="false">-H6*Assumptions!H32/100</f>
        <v>-346.719811230675</v>
      </c>
      <c r="I17" s="4" t="n">
        <f aca="false">-I6*Assumptions!I32/100</f>
        <v>-349.493569720521</v>
      </c>
      <c r="J17" s="4" t="n">
        <f aca="false">-J6*Assumptions!J32/100</f>
        <v>-355.984164586759</v>
      </c>
      <c r="K17" s="4" t="n">
        <f aca="false">-K6*Assumptions!K32/100</f>
        <v>-354.835828571963</v>
      </c>
      <c r="L17" s="4" t="n">
        <f aca="false">-L6*Assumptions!L32/100</f>
        <v>-365.480903429122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(C6-B6)*Assumptions!$B$37/100</f>
        <v>-36.8316000000001</v>
      </c>
      <c r="D18" s="4" t="n">
        <f aca="false">(D6-C6)*Assumptions!$B$37/100</f>
        <v>-47.6969219999999</v>
      </c>
      <c r="E18" s="4" t="n">
        <f aca="false">(E6-D6)*Assumptions!$B$37/100</f>
        <v>-55.3814261</v>
      </c>
      <c r="F18" s="4" t="n">
        <f aca="false">(F6-E6)*Assumptions!$B$37/100</f>
        <v>-58.1504974050001</v>
      </c>
      <c r="G18" s="4" t="n">
        <f aca="false">(G6-F6)*Assumptions!$B$37/100</f>
        <v>-54.952220047725</v>
      </c>
      <c r="H18" s="4" t="n">
        <f aca="false">(H6-G6)*Assumptions!$B$37/100</f>
        <v>-57.4250699498725</v>
      </c>
      <c r="I18" s="4" t="n">
        <f aca="false">(I6-H6)*Assumptions!$B$37/100</f>
        <v>-53.3415094201039</v>
      </c>
      <c r="J18" s="4" t="n">
        <f aca="false">(J6-I6)*Assumptions!$B$37/100</f>
        <v>-48.5407735722945</v>
      </c>
      <c r="K18" s="4" t="n">
        <f aca="false">(K6-J6)*Assumptions!$B$37/100</f>
        <v>-43.06260055485</v>
      </c>
      <c r="L18" s="4" t="n">
        <f aca="false">(L6-K6)*Assumptions!$B$37/100</f>
        <v>-44.3544785714955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719.11161712</v>
      </c>
      <c r="D19" s="0" t="n">
        <f aca="false">D15+D16+D17+D18</f>
        <v>740.934585664</v>
      </c>
      <c r="E19" s="0" t="n">
        <f aca="false">E15+E16+E17+E18</f>
        <v>801.05909968084</v>
      </c>
      <c r="F19" s="0" t="n">
        <f aca="false">F15+F16+F17+F18</f>
        <v>865.14449223242</v>
      </c>
      <c r="G19" s="0" t="n">
        <f aca="false">G15+G16+G17+G18</f>
        <v>935.923742500655</v>
      </c>
      <c r="H19" s="0" t="n">
        <f aca="false">H15+H16+H17+H18</f>
        <v>989.242027891407</v>
      </c>
      <c r="I19" s="0" t="n">
        <f aca="false">I15+I16+I17+I18</f>
        <v>1062.4860558749</v>
      </c>
      <c r="J19" s="0" t="n">
        <f aca="false">J15+J16+J17+J18</f>
        <v>1110.01543175539</v>
      </c>
      <c r="K19" s="0" t="n">
        <f aca="false">K15+K16+K17+K18</f>
        <v>1159.94913691363</v>
      </c>
      <c r="L19" s="0" t="n">
        <f aca="false">L15+L16+L17+L18</f>
        <v>1192.55472560046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662.775683981567</v>
      </c>
      <c r="D21" s="0" t="n">
        <f aca="false">D19*D20</f>
        <v>629.390800963283</v>
      </c>
      <c r="E21" s="0" t="n">
        <f aca="false">E19*E20</f>
        <v>627.155656461759</v>
      </c>
      <c r="F21" s="0" t="n">
        <f aca="false">F19*F20</f>
        <v>624.266017770971</v>
      </c>
      <c r="G21" s="0" t="n">
        <f aca="false">G19*G20</f>
        <v>622.431801497046</v>
      </c>
      <c r="H21" s="0" t="n">
        <f aca="false">H19*H20</f>
        <v>606.351044399771</v>
      </c>
      <c r="I21" s="0" t="n">
        <f aca="false">I19*I20</f>
        <v>600.226370292329</v>
      </c>
      <c r="J21" s="0" t="n">
        <f aca="false">J19*J20</f>
        <v>577.951121809212</v>
      </c>
      <c r="K21" s="0" t="n">
        <f aca="false">K19*K20</f>
        <v>556.636015204063</v>
      </c>
      <c r="L21" s="0" t="n">
        <f aca="false">L19*L20</f>
        <v>527.449561766412</v>
      </c>
    </row>
    <row r="23" customFormat="false" ht="15" hidden="false" customHeight="false" outlineLevel="0" collapsed="false">
      <c r="A23" s="0" t="s">
        <v>108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Assumptions!$B$34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114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6034.63407414641</v>
      </c>
    </row>
    <row r="31" customFormat="false" ht="15" hidden="false" customHeight="false" outlineLevel="0" collapsed="false">
      <c r="A31" s="0" t="s">
        <v>136</v>
      </c>
      <c r="B31" s="0" t="n">
        <f aca="false">L19</f>
        <v>1192.55472560046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20372.8098956746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21465.9850608083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20372.8098956746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9010.5966801762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15045.2307543226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12383.7307543226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64.0316998672317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0.156224266291652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695.968030717119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920.489138265216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72.3898031194671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9778.94874992379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21.9360589128985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120</v>
      </c>
      <c r="B3" s="0" t="s">
        <v>81</v>
      </c>
      <c r="C3" s="2" t="s">
        <v>95</v>
      </c>
      <c r="D3" s="2" t="s">
        <v>96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101</v>
      </c>
      <c r="J3" s="2" t="s">
        <v>102</v>
      </c>
      <c r="K3" s="2" t="s">
        <v>103</v>
      </c>
      <c r="L3" s="2" t="s">
        <v>104</v>
      </c>
    </row>
    <row r="4" customFormat="false" ht="15" hidden="false" customHeight="false" outlineLevel="0" collapsed="false">
      <c r="A4" s="0" t="s">
        <v>121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105</v>
      </c>
      <c r="C5" s="4" t="n">
        <f aca="false">Assumptions!C41</f>
        <v>3.6</v>
      </c>
      <c r="D5" s="4" t="n">
        <f aca="false">Assumptions!D41</f>
        <v>6.5</v>
      </c>
      <c r="E5" s="4" t="n">
        <f aca="false">Assumptions!E41</f>
        <v>7</v>
      </c>
      <c r="F5" s="4" t="n">
        <f aca="false">Assumptions!F41</f>
        <v>7</v>
      </c>
      <c r="G5" s="4" t="n">
        <f aca="false">Assumptions!G41</f>
        <v>6.5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4092.4</v>
      </c>
      <c r="C6" s="0" t="n">
        <f aca="false">B6*(1+C5/100)</f>
        <v>4239.7264</v>
      </c>
      <c r="D6" s="0" t="n">
        <f aca="false">C6*(1+D5/100)</f>
        <v>4515.308616</v>
      </c>
      <c r="E6" s="0" t="n">
        <f aca="false">D6*(1+E5/100)</f>
        <v>4831.38021912</v>
      </c>
      <c r="F6" s="0" t="n">
        <f aca="false">E6*(1+F5/100)</f>
        <v>5169.5768344584</v>
      </c>
      <c r="G6" s="0" t="n">
        <f aca="false">F6*(1+G5/100)</f>
        <v>5505.5993286982</v>
      </c>
      <c r="H6" s="0" t="n">
        <f aca="false">G6*(1+H5/100)</f>
        <v>5835.93528842009</v>
      </c>
      <c r="I6" s="0" t="n">
        <f aca="false">H6*(1+I5/100)</f>
        <v>6127.73205284109</v>
      </c>
      <c r="J6" s="0" t="n">
        <f aca="false">I6*(1+J5/100)</f>
        <v>6403.47999521894</v>
      </c>
      <c r="K6" s="0" t="n">
        <f aca="false">J6*(1+K5/100)</f>
        <v>6659.6191950277</v>
      </c>
      <c r="L6" s="0" t="n">
        <f aca="false">K6*(1+L5/100)</f>
        <v>6892.70586685367</v>
      </c>
    </row>
    <row r="7" customFormat="false" ht="15" hidden="false" customHeight="false" outlineLevel="0" collapsed="false">
      <c r="A7" s="0" t="s">
        <v>106</v>
      </c>
      <c r="C7" s="4" t="n">
        <f aca="false">Assumptions!C42</f>
        <v>31</v>
      </c>
      <c r="D7" s="4" t="n">
        <f aca="false">Assumptions!D42</f>
        <v>31.5</v>
      </c>
      <c r="E7" s="4" t="n">
        <f aca="false">Assumptions!E42</f>
        <v>32</v>
      </c>
      <c r="F7" s="4" t="n">
        <f aca="false">Assumptions!F42</f>
        <v>32.5</v>
      </c>
      <c r="G7" s="4" t="n">
        <f aca="false">Assumptions!G42</f>
        <v>33</v>
      </c>
      <c r="H7" s="4" t="n">
        <f aca="false">Assumptions!H42</f>
        <v>33.5</v>
      </c>
      <c r="I7" s="4" t="n">
        <f aca="false">Assumptions!I42</f>
        <v>34</v>
      </c>
      <c r="J7" s="4" t="n">
        <f aca="false">Assumptions!J42</f>
        <v>34.5</v>
      </c>
      <c r="K7" s="4" t="n">
        <f aca="false">Assumptions!K42</f>
        <v>34.5</v>
      </c>
      <c r="L7" s="4" t="n">
        <f aca="false">Assumptions!L42</f>
        <v>34.5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1314.315184</v>
      </c>
      <c r="D8" s="0" t="n">
        <f aca="false">D6*D7/100</f>
        <v>1422.32221404</v>
      </c>
      <c r="E8" s="0" t="n">
        <f aca="false">E6*E7/100</f>
        <v>1546.0416701184</v>
      </c>
      <c r="F8" s="0" t="n">
        <f aca="false">F6*F7/100</f>
        <v>1680.11247119898</v>
      </c>
      <c r="G8" s="0" t="n">
        <f aca="false">G6*G7/100</f>
        <v>1816.8477784704</v>
      </c>
      <c r="H8" s="0" t="n">
        <f aca="false">H6*H7/100</f>
        <v>1955.03832162073</v>
      </c>
      <c r="I8" s="0" t="n">
        <f aca="false">I6*I7/100</f>
        <v>2083.42889796597</v>
      </c>
      <c r="J8" s="0" t="n">
        <f aca="false">J6*J7/100</f>
        <v>2209.20059835054</v>
      </c>
      <c r="K8" s="0" t="n">
        <f aca="false">K6*K7/100</f>
        <v>2297.56862228456</v>
      </c>
      <c r="L8" s="0" t="n">
        <f aca="false">L6*L7/100</f>
        <v>2377.98352406452</v>
      </c>
    </row>
    <row r="9" customFormat="false" ht="15" hidden="false" customHeight="false" outlineLevel="0" collapsed="false">
      <c r="A9" s="0" t="s">
        <v>107</v>
      </c>
      <c r="C9" s="4" t="n">
        <f aca="false">Assumptions!C43</f>
        <v>2.2</v>
      </c>
      <c r="D9" s="4" t="n">
        <f aca="false">Assumptions!D43</f>
        <v>2.2</v>
      </c>
      <c r="E9" s="4" t="n">
        <f aca="false">Assumptions!E43</f>
        <v>2.1</v>
      </c>
      <c r="F9" s="4" t="n">
        <f aca="false">Assumptions!F43</f>
        <v>2.1</v>
      </c>
      <c r="G9" s="4" t="n">
        <f aca="false">Assumptions!G43</f>
        <v>2</v>
      </c>
      <c r="H9" s="4" t="n">
        <f aca="false">Assumptions!H43</f>
        <v>2</v>
      </c>
      <c r="I9" s="4" t="n">
        <f aca="false">Assumptions!I43</f>
        <v>2</v>
      </c>
      <c r="J9" s="4" t="n">
        <f aca="false">Assumptions!J43</f>
        <v>1.9</v>
      </c>
      <c r="K9" s="4" t="n">
        <f aca="false">Assumptions!K43</f>
        <v>1.9</v>
      </c>
      <c r="L9" s="4" t="n">
        <f aca="false">Assumptions!L43</f>
        <v>1.9</v>
      </c>
    </row>
    <row r="10" customFormat="false" ht="15" hidden="false" customHeight="false" outlineLevel="0" collapsed="false">
      <c r="A10" s="0" t="s">
        <v>122</v>
      </c>
      <c r="C10" s="0" t="n">
        <f aca="false">-C6*C9/100</f>
        <v>-93.2739808</v>
      </c>
      <c r="D10" s="0" t="n">
        <f aca="false">-D6*D9/100</f>
        <v>-99.336789552</v>
      </c>
      <c r="E10" s="0" t="n">
        <f aca="false">-E6*E9/100</f>
        <v>-101.45898460152</v>
      </c>
      <c r="F10" s="0" t="n">
        <f aca="false">-F6*F9/100</f>
        <v>-108.561113523626</v>
      </c>
      <c r="G10" s="0" t="n">
        <f aca="false">-G6*G9/100</f>
        <v>-110.111986573964</v>
      </c>
      <c r="H10" s="0" t="n">
        <f aca="false">-H6*H9/100</f>
        <v>-116.718705768402</v>
      </c>
      <c r="I10" s="0" t="n">
        <f aca="false">-I6*I9/100</f>
        <v>-122.554641056822</v>
      </c>
      <c r="J10" s="0" t="n">
        <f aca="false">-J6*J9/100</f>
        <v>-121.66611990916</v>
      </c>
      <c r="K10" s="0" t="n">
        <f aca="false">-K6*K9/100</f>
        <v>-126.532764705526</v>
      </c>
      <c r="L10" s="0" t="n">
        <f aca="false">-L6*L9/100</f>
        <v>-130.96141147022</v>
      </c>
    </row>
    <row r="11" customFormat="false" ht="15" hidden="false" customHeight="false" outlineLevel="0" collapsed="false">
      <c r="A11" s="0" t="s">
        <v>123</v>
      </c>
      <c r="C11" s="0" t="n">
        <f aca="false">C8+C10+C24</f>
        <v>1221.0412032</v>
      </c>
      <c r="D11" s="0" t="n">
        <f aca="false">D8+D10+D24</f>
        <v>1322.985424488</v>
      </c>
      <c r="E11" s="0" t="n">
        <f aca="false">E8+E10+E24</f>
        <v>1444.58268551688</v>
      </c>
      <c r="F11" s="0" t="n">
        <f aca="false">F8+F10+F24</f>
        <v>1571.55135767535</v>
      </c>
      <c r="G11" s="0" t="n">
        <f aca="false">G8+G10+G24</f>
        <v>1706.73579189644</v>
      </c>
      <c r="H11" s="0" t="n">
        <f aca="false">H8+H10+H24</f>
        <v>1838.31961585233</v>
      </c>
      <c r="I11" s="0" t="n">
        <f aca="false">I8+I10+I24</f>
        <v>1960.87425690915</v>
      </c>
      <c r="J11" s="0" t="n">
        <f aca="false">J8+J10+J24</f>
        <v>2087.53447844138</v>
      </c>
      <c r="K11" s="0" t="n">
        <f aca="false">K8+K10+K24</f>
        <v>2171.03585757903</v>
      </c>
      <c r="L11" s="0" t="n">
        <f aca="false">L8+L10+L24</f>
        <v>2247.0221125943</v>
      </c>
    </row>
    <row r="12" customFormat="false" ht="15" hidden="false" customHeight="false" outlineLevel="0" collapsed="false">
      <c r="A12" s="0" t="s">
        <v>124</v>
      </c>
      <c r="C12" s="4" t="n">
        <f aca="false">-C6*Assumptions!C45/100</f>
        <v>-381.575376</v>
      </c>
      <c r="D12" s="4" t="n">
        <f aca="false">-D6*Assumptions!D45/100</f>
        <v>-397.347158208</v>
      </c>
      <c r="E12" s="4" t="n">
        <f aca="false">-E6*Assumptions!E45/100</f>
        <v>-415.49869884432</v>
      </c>
      <c r="F12" s="4" t="n">
        <f aca="false">-F6*Assumptions!F45/100</f>
        <v>-434.244454094506</v>
      </c>
      <c r="G12" s="4" t="n">
        <f aca="false">-G6*Assumptions!G45/100</f>
        <v>-451.459144953252</v>
      </c>
      <c r="H12" s="4" t="n">
        <f aca="false">-H6*Assumptions!H45/100</f>
        <v>-466.874823073607</v>
      </c>
      <c r="I12" s="4" t="n">
        <f aca="false">-I6*Assumptions!I45/100</f>
        <v>-477.963100121605</v>
      </c>
      <c r="J12" s="4" t="n">
        <f aca="false">-J6*Assumptions!J45/100</f>
        <v>-486.66447963664</v>
      </c>
      <c r="K12" s="4" t="n">
        <f aca="false">-K6*Assumptions!K45/100</f>
        <v>-492.81182043205</v>
      </c>
      <c r="L12" s="4" t="n">
        <f aca="false">-L6*Assumptions!L45/100</f>
        <v>-496.274822413464</v>
      </c>
    </row>
    <row r="13" customFormat="false" ht="15" hidden="false" customHeight="false" outlineLevel="0" collapsed="false">
      <c r="A13" s="0" t="s">
        <v>125</v>
      </c>
      <c r="C13" s="0" t="n">
        <f aca="false">C11+C12</f>
        <v>839.4658272</v>
      </c>
      <c r="D13" s="0" t="n">
        <f aca="false">D11+D12</f>
        <v>925.63826628</v>
      </c>
      <c r="E13" s="0" t="n">
        <f aca="false">E11+E12</f>
        <v>1029.08398667256</v>
      </c>
      <c r="F13" s="0" t="n">
        <f aca="false">F11+F12</f>
        <v>1137.30690358085</v>
      </c>
      <c r="G13" s="0" t="n">
        <f aca="false">G11+G12</f>
        <v>1255.27664694319</v>
      </c>
      <c r="H13" s="0" t="n">
        <f aca="false">H11+H12</f>
        <v>1371.44479277872</v>
      </c>
      <c r="I13" s="0" t="n">
        <f aca="false">I11+I12</f>
        <v>1482.91115678754</v>
      </c>
      <c r="J13" s="0" t="n">
        <f aca="false">J11+J12</f>
        <v>1600.86999880474</v>
      </c>
      <c r="K13" s="0" t="n">
        <f aca="false">K11+K12</f>
        <v>1678.22403714698</v>
      </c>
      <c r="L13" s="0" t="n">
        <f aca="false">L11+L12</f>
        <v>1750.74729018083</v>
      </c>
    </row>
    <row r="14" customFormat="false" ht="15" hidden="false" customHeight="false" outlineLevel="0" collapsed="false">
      <c r="A14" s="0" t="s">
        <v>111</v>
      </c>
      <c r="C14" s="4" t="n">
        <f aca="false">Assumptions!C47</f>
        <v>15</v>
      </c>
      <c r="D14" s="4" t="n">
        <f aca="false">Assumptions!D47</f>
        <v>17.5</v>
      </c>
      <c r="E14" s="4" t="n">
        <f aca="false">Assumptions!E47</f>
        <v>17.5</v>
      </c>
      <c r="F14" s="4" t="n">
        <f aca="false">Assumptions!F47</f>
        <v>17.5</v>
      </c>
      <c r="G14" s="4" t="n">
        <f aca="false">Assumptions!G47</f>
        <v>17.5</v>
      </c>
      <c r="H14" s="4" t="n">
        <f aca="false">Assumptions!H47</f>
        <v>17.5</v>
      </c>
      <c r="I14" s="4" t="n">
        <f aca="false">Assumptions!I47</f>
        <v>17.5</v>
      </c>
      <c r="J14" s="4" t="n">
        <f aca="false">Assumptions!J47</f>
        <v>17.5</v>
      </c>
      <c r="K14" s="4" t="n">
        <f aca="false">Assumptions!K47</f>
        <v>17.5</v>
      </c>
      <c r="L14" s="4" t="n">
        <f aca="false">Assumptions!L47</f>
        <v>17.5</v>
      </c>
    </row>
    <row r="15" customFormat="false" ht="15" hidden="false" customHeight="false" outlineLevel="0" collapsed="false">
      <c r="A15" s="0" t="s">
        <v>126</v>
      </c>
      <c r="C15" s="0" t="n">
        <f aca="false">C13-MAX(0,C13)*C14/100</f>
        <v>713.54595312</v>
      </c>
      <c r="D15" s="0" t="n">
        <f aca="false">D13-MAX(0,D13)*D14/100</f>
        <v>763.651569681</v>
      </c>
      <c r="E15" s="0" t="n">
        <f aca="false">E13-MAX(0,E13)*E14/100</f>
        <v>848.994289004862</v>
      </c>
      <c r="F15" s="0" t="n">
        <f aca="false">F13-MAX(0,F13)*F14/100</f>
        <v>938.2781954542</v>
      </c>
      <c r="G15" s="0" t="n">
        <f aca="false">G13-MAX(0,G13)*G14/100</f>
        <v>1035.60323372813</v>
      </c>
      <c r="H15" s="0" t="n">
        <f aca="false">H13-MAX(0,H13)*H14/100</f>
        <v>1131.44195404244</v>
      </c>
      <c r="I15" s="0" t="n">
        <f aca="false">I13-MAX(0,I13)*I14/100</f>
        <v>1223.40170434972</v>
      </c>
      <c r="J15" s="0" t="n">
        <f aca="false">J13-MAX(0,J13)*J14/100</f>
        <v>1320.71774901391</v>
      </c>
      <c r="K15" s="0" t="n">
        <f aca="false">K13-MAX(0,K13)*K14/100</f>
        <v>1384.53483064626</v>
      </c>
      <c r="L15" s="0" t="n">
        <f aca="false">L13-MAX(0,L13)*L14/100</f>
        <v>1444.36651439919</v>
      </c>
    </row>
    <row r="16" customFormat="false" ht="15" hidden="false" customHeight="false" outlineLevel="0" collapsed="false">
      <c r="A16" s="0" t="s">
        <v>127</v>
      </c>
      <c r="C16" s="0" t="n">
        <f aca="false">-C12</f>
        <v>381.575376</v>
      </c>
      <c r="D16" s="0" t="n">
        <f aca="false">-D12</f>
        <v>397.347158208</v>
      </c>
      <c r="E16" s="0" t="n">
        <f aca="false">-E12</f>
        <v>415.49869884432</v>
      </c>
      <c r="F16" s="0" t="n">
        <f aca="false">-F12</f>
        <v>434.244454094506</v>
      </c>
      <c r="G16" s="0" t="n">
        <f aca="false">-G12</f>
        <v>451.459144953252</v>
      </c>
      <c r="H16" s="0" t="n">
        <f aca="false">-H12</f>
        <v>466.874823073607</v>
      </c>
      <c r="I16" s="0" t="n">
        <f aca="false">-I12</f>
        <v>477.963100121605</v>
      </c>
      <c r="J16" s="0" t="n">
        <f aca="false">-J12</f>
        <v>486.66447963664</v>
      </c>
      <c r="K16" s="0" t="n">
        <f aca="false">-K12</f>
        <v>492.81182043205</v>
      </c>
      <c r="L16" s="0" t="n">
        <f aca="false">-L12</f>
        <v>496.274822413464</v>
      </c>
    </row>
    <row r="17" customFormat="false" ht="15" hidden="false" customHeight="false" outlineLevel="0" collapsed="false">
      <c r="A17" s="0" t="s">
        <v>128</v>
      </c>
      <c r="C17" s="4" t="n">
        <f aca="false">-C6*Assumptions!C46/100</f>
        <v>-339.178112</v>
      </c>
      <c r="D17" s="4" t="n">
        <f aca="false">-D6*Assumptions!D46/100</f>
        <v>-316.07160312</v>
      </c>
      <c r="E17" s="4" t="n">
        <f aca="false">-E6*Assumptions!E46/100</f>
        <v>-314.0397142428</v>
      </c>
      <c r="F17" s="4" t="n">
        <f aca="false">-F6*Assumptions!F46/100</f>
        <v>-310.174610067504</v>
      </c>
      <c r="G17" s="4" t="n">
        <f aca="false">-G6*Assumptions!G46/100</f>
        <v>-330.335959721892</v>
      </c>
      <c r="H17" s="4" t="n">
        <f aca="false">-H6*Assumptions!H46/100</f>
        <v>-338.484246728365</v>
      </c>
      <c r="I17" s="4" t="n">
        <f aca="false">-I6*Assumptions!I46/100</f>
        <v>-343.152994959101</v>
      </c>
      <c r="J17" s="4" t="n">
        <f aca="false">-J6*Assumptions!J46/100</f>
        <v>-352.191399737042</v>
      </c>
      <c r="K17" s="4" t="n">
        <f aca="false">-K6*Assumptions!K46/100</f>
        <v>-366.279055726523</v>
      </c>
      <c r="L17" s="4" t="n">
        <f aca="false">-L6*Assumptions!L46/100</f>
        <v>-379.098822676952</v>
      </c>
    </row>
    <row r="18" customFormat="false" ht="15" hidden="false" customHeight="false" outlineLevel="0" collapsed="false">
      <c r="A18" s="0" t="s">
        <v>129</v>
      </c>
      <c r="C18" s="4" t="n">
        <f aca="false">(C6-B6)*Assumptions!$B$51/100</f>
        <v>-36.8316000000001</v>
      </c>
      <c r="D18" s="4" t="n">
        <f aca="false">(D6-C6)*Assumptions!$B$51/100</f>
        <v>-68.895554</v>
      </c>
      <c r="E18" s="4" t="n">
        <f aca="false">(E6-D6)*Assumptions!$B$51/100</f>
        <v>-79.01790078</v>
      </c>
      <c r="F18" s="4" t="n">
        <f aca="false">(F6-E6)*Assumptions!$B$51/100</f>
        <v>-84.5491538346</v>
      </c>
      <c r="G18" s="4" t="n">
        <f aca="false">(G6-F6)*Assumptions!$B$51/100</f>
        <v>-84.0056235599488</v>
      </c>
      <c r="H18" s="4" t="n">
        <f aca="false">(H6-G6)*Assumptions!$B$51/100</f>
        <v>-82.5839899304731</v>
      </c>
      <c r="I18" s="4" t="n">
        <f aca="false">(I6-H6)*Assumptions!$B$51/100</f>
        <v>-72.9491911052512</v>
      </c>
      <c r="J18" s="4" t="n">
        <f aca="false">(J6-I6)*Assumptions!$B$51/100</f>
        <v>-68.9369855944622</v>
      </c>
      <c r="K18" s="4" t="n">
        <f aca="false">(K6-J6)*Assumptions!$B$51/100</f>
        <v>-64.0347999521894</v>
      </c>
      <c r="L18" s="4" t="n">
        <f aca="false">(L6-K6)*Assumptions!$B$51/100</f>
        <v>-58.2716679564921</v>
      </c>
    </row>
    <row r="19" customFormat="false" ht="15" hidden="false" customHeight="false" outlineLevel="0" collapsed="false">
      <c r="A19" s="0" t="s">
        <v>130</v>
      </c>
      <c r="C19" s="0" t="n">
        <f aca="false">C15+C16+C17+C18</f>
        <v>719.11161712</v>
      </c>
      <c r="D19" s="0" t="n">
        <f aca="false">D15+D16+D17+D18</f>
        <v>776.031570769</v>
      </c>
      <c r="E19" s="0" t="n">
        <f aca="false">E15+E16+E17+E18</f>
        <v>871.435372826382</v>
      </c>
      <c r="F19" s="0" t="n">
        <f aca="false">F15+F16+F17+F18</f>
        <v>977.798885646601</v>
      </c>
      <c r="G19" s="0" t="n">
        <f aca="false">G15+G16+G17+G18</f>
        <v>1072.72079539954</v>
      </c>
      <c r="H19" s="0" t="n">
        <f aca="false">H15+H16+H17+H18</f>
        <v>1177.24854045721</v>
      </c>
      <c r="I19" s="0" t="n">
        <f aca="false">I15+I16+I17+I18</f>
        <v>1285.26261840698</v>
      </c>
      <c r="J19" s="0" t="n">
        <f aca="false">J15+J16+J17+J18</f>
        <v>1386.25384331904</v>
      </c>
      <c r="K19" s="0" t="n">
        <f aca="false">K15+K16+K17+K18</f>
        <v>1447.0327953996</v>
      </c>
      <c r="L19" s="0" t="n">
        <f aca="false">L15+L16+L17+L18</f>
        <v>1503.27084617921</v>
      </c>
    </row>
    <row r="20" customFormat="false" ht="15" hidden="false" customHeight="false" outlineLevel="0" collapsed="false">
      <c r="A20" s="0" t="s">
        <v>131</v>
      </c>
      <c r="C20" s="0" t="n">
        <f aca="false">1/(1+$B$27/100)^C4</f>
        <v>0.921658986175115</v>
      </c>
      <c r="D20" s="0" t="n">
        <f aca="false">1/(1+$B$27/100)^D4</f>
        <v>0.849455286797341</v>
      </c>
      <c r="E20" s="0" t="n">
        <f aca="false">1/(1+$B$27/100)^E4</f>
        <v>0.782908098430729</v>
      </c>
      <c r="F20" s="0" t="n">
        <f aca="false">1/(1+$B$27/100)^F4</f>
        <v>0.721574284267953</v>
      </c>
      <c r="G20" s="0" t="n">
        <f aca="false">1/(1+$B$27/100)^G4</f>
        <v>0.665045423288436</v>
      </c>
      <c r="H20" s="0" t="n">
        <f aca="false">1/(1+$B$27/100)^H4</f>
        <v>0.612945090588421</v>
      </c>
      <c r="I20" s="0" t="n">
        <f aca="false">1/(1+$B$27/100)^I4</f>
        <v>0.564926350772738</v>
      </c>
      <c r="J20" s="0" t="n">
        <f aca="false">1/(1+$B$27/100)^J4</f>
        <v>0.520669447716809</v>
      </c>
      <c r="K20" s="0" t="n">
        <f aca="false">1/(1+$B$27/100)^K4</f>
        <v>0.479879675315031</v>
      </c>
      <c r="L20" s="0" t="n">
        <f aca="false">1/(1+$B$27/100)^L4</f>
        <v>0.442285415036895</v>
      </c>
    </row>
    <row r="21" customFormat="false" ht="15" hidden="false" customHeight="false" outlineLevel="0" collapsed="false">
      <c r="A21" s="0" t="s">
        <v>132</v>
      </c>
      <c r="C21" s="0" t="n">
        <f aca="false">C19*C20</f>
        <v>662.775683981567</v>
      </c>
      <c r="D21" s="0" t="n">
        <f aca="false">D19*D20</f>
        <v>659.204120511372</v>
      </c>
      <c r="E21" s="0" t="n">
        <f aca="false">E19*E20</f>
        <v>682.253810644777</v>
      </c>
      <c r="F21" s="0" t="n">
        <f aca="false">F19*F20</f>
        <v>705.554531068449</v>
      </c>
      <c r="G21" s="0" t="n">
        <f aca="false">G19*G20</f>
        <v>713.408055446796</v>
      </c>
      <c r="H21" s="0" t="n">
        <f aca="false">H19*H20</f>
        <v>721.588713275632</v>
      </c>
      <c r="I21" s="0" t="n">
        <f aca="false">I19*I20</f>
        <v>726.078720801267</v>
      </c>
      <c r="J21" s="0" t="n">
        <f aca="false">J19*J20</f>
        <v>721.78002299623</v>
      </c>
      <c r="K21" s="0" t="n">
        <f aca="false">K19*K20</f>
        <v>694.40162802656</v>
      </c>
      <c r="L21" s="0" t="n">
        <f aca="false">L19*L20</f>
        <v>664.874770115235</v>
      </c>
    </row>
    <row r="23" customFormat="false" ht="15" hidden="false" customHeight="false" outlineLevel="0" collapsed="false">
      <c r="A23" s="0" t="s">
        <v>108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133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134</v>
      </c>
    </row>
    <row r="27" customFormat="false" ht="15" hidden="false" customHeight="false" outlineLevel="0" collapsed="false">
      <c r="A27" s="0" t="s">
        <v>112</v>
      </c>
      <c r="B27" s="4" t="n">
        <f aca="false">Assumptions!$B$48</f>
        <v>8.5</v>
      </c>
    </row>
    <row r="28" customFormat="false" ht="15" hidden="false" customHeight="false" outlineLevel="0" collapsed="false">
      <c r="A28" s="0" t="s">
        <v>113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114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135</v>
      </c>
      <c r="B30" s="0" t="n">
        <f aca="false">SUM(C21:L21)</f>
        <v>6951.92005686789</v>
      </c>
    </row>
    <row r="31" customFormat="false" ht="15" hidden="false" customHeight="false" outlineLevel="0" collapsed="false">
      <c r="A31" s="0" t="s">
        <v>136</v>
      </c>
      <c r="B31" s="0" t="n">
        <f aca="false">L19</f>
        <v>1503.27084617921</v>
      </c>
    </row>
    <row r="32" customFormat="false" ht="15" hidden="false" customHeight="false" outlineLevel="0" collapsed="false">
      <c r="A32" s="0" t="s">
        <v>137</v>
      </c>
      <c r="B32" s="0" t="n">
        <f aca="false">IF(B27&gt;B28,B31*(1+B28/100)/((B27-B28)/100),B31*B29)</f>
        <v>28152.163119356</v>
      </c>
    </row>
    <row r="33" customFormat="false" ht="15" hidden="false" customHeight="false" outlineLevel="0" collapsed="false">
      <c r="A33" s="0" t="s">
        <v>138</v>
      </c>
      <c r="B33" s="0" t="n">
        <f aca="false">B31*B29</f>
        <v>30065.4169235841</v>
      </c>
    </row>
    <row r="34" customFormat="false" ht="15" hidden="false" customHeight="false" outlineLevel="0" collapsed="false">
      <c r="A34" s="0" t="s">
        <v>139</v>
      </c>
      <c r="B34" s="0" t="n">
        <f aca="false">MAX(0,MIN(B32,B33))</f>
        <v>28152.163119356</v>
      </c>
    </row>
    <row r="35" customFormat="false" ht="15" hidden="false" customHeight="false" outlineLevel="0" collapsed="false">
      <c r="A35" s="0" t="s">
        <v>140</v>
      </c>
      <c r="B35" s="0" t="n">
        <f aca="false">B34/(1+B27/100)^L4</f>
        <v>12451.2911494308</v>
      </c>
    </row>
    <row r="36" customFormat="false" ht="15" hidden="false" customHeight="false" outlineLevel="0" collapsed="false">
      <c r="A36" s="0" t="s">
        <v>141</v>
      </c>
      <c r="B36" s="0" t="n">
        <f aca="false">B30+B35</f>
        <v>19403.2112062987</v>
      </c>
    </row>
    <row r="37" customFormat="false" ht="15" hidden="false" customHeight="false" outlineLevel="0" collapsed="false">
      <c r="A37" s="0" t="s">
        <v>142</v>
      </c>
      <c r="B37" s="0" t="n">
        <f aca="false">B36+Assumptions!$B$5-Assumptions!$B$4</f>
        <v>16741.7112062987</v>
      </c>
    </row>
    <row r="38" customFormat="false" ht="15" hidden="false" customHeight="false" outlineLevel="0" collapsed="false">
      <c r="A38" s="0" t="s">
        <v>143</v>
      </c>
      <c r="B38" s="0" t="n">
        <f aca="false">B37/Assumptions!$B$3*Assumptions!$B$10</f>
        <v>86.5652078919269</v>
      </c>
    </row>
    <row r="39" customFormat="false" ht="15" hidden="false" customHeight="false" outlineLevel="0" collapsed="false">
      <c r="A39" s="0" t="s">
        <v>144</v>
      </c>
      <c r="B39" s="4" t="n">
        <f aca="false">B38/Assumptions!$B$2-1</f>
        <v>0.563113179702543</v>
      </c>
    </row>
    <row r="41" customFormat="false" ht="15" hidden="false" customHeight="false" outlineLevel="0" collapsed="false">
      <c r="A41" s="0" t="s">
        <v>145</v>
      </c>
      <c r="B41" s="0" t="n">
        <f aca="false">SUMPRODUCT(-C10:L10/(1+$B$27/100)^C4:L4)</f>
        <v>724.113564404054</v>
      </c>
    </row>
    <row r="42" customFormat="false" ht="15" hidden="false" customHeight="false" outlineLevel="0" collapsed="false">
      <c r="A42" s="0" t="s">
        <v>146</v>
      </c>
      <c r="B42" s="0" t="n">
        <f aca="false">IF(B27&gt;B28,-L10*(1+B28/100)/((B27-B28)/100),-L10*20)/(1+B27/100)^L4</f>
        <v>1084.72712532184</v>
      </c>
    </row>
    <row r="43" customFormat="false" ht="15" hidden="false" customHeight="false" outlineLevel="0" collapsed="false">
      <c r="A43" s="0" t="s">
        <v>147</v>
      </c>
      <c r="B43" s="0" t="n">
        <f aca="false">(B37+B41+B42)/Assumptions!$B$3*Assumptions!$B$10</f>
        <v>95.9180553051942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148</v>
      </c>
      <c r="B46" s="0" t="n">
        <f aca="false">MAX(0,MIN(IF(B45&gt;B28,B31*(1+B28/100)/((B45-B28)/100),B31*B29),B31*B29))</f>
        <v>12903.0747630382</v>
      </c>
    </row>
    <row r="47" customFormat="false" ht="15" hidden="false" customHeight="false" outlineLevel="0" collapsed="false">
      <c r="A47" s="0" t="s">
        <v>149</v>
      </c>
      <c r="B47" s="0" t="n">
        <f aca="false">(SUMPRODUCT(C19:L19/(1+B45/100)^C4:L4)+B46/(1+B45/100)^L4+Assumptions!$B$5-Assumptions!$B$4)/Assumptions!$B$3*Assumptions!$B$10</f>
        <v>29.1295204467873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2" t="s">
        <v>153</v>
      </c>
      <c r="B3" s="2" t="s">
        <v>154</v>
      </c>
      <c r="C3" s="2" t="s">
        <v>144</v>
      </c>
      <c r="D3" s="2" t="s">
        <v>155</v>
      </c>
      <c r="E3" s="2" t="s">
        <v>147</v>
      </c>
      <c r="F3" s="2" t="s">
        <v>156</v>
      </c>
    </row>
    <row r="4" customFormat="false" ht="15" hidden="false" customHeight="false" outlineLevel="0" collapsed="false">
      <c r="A4" s="0" t="s">
        <v>157</v>
      </c>
      <c r="B4" s="4" t="n">
        <f aca="false">DCF_Bear!$B$38</f>
        <v>37.4281549385697</v>
      </c>
      <c r="C4" s="0" t="n">
        <f aca="false">B4/Assumptions!$B$2-1</f>
        <v>-0.324157548960461</v>
      </c>
      <c r="D4" s="4" t="n">
        <f aca="false">Assumptions!$B$24</f>
        <v>0.25</v>
      </c>
      <c r="E4" s="4" t="n">
        <f aca="false">DCF_Bear!$B$43</f>
        <v>45.3871688663695</v>
      </c>
      <c r="F4" s="4" t="n">
        <f aca="false">DCF_Bear!$B$47</f>
        <v>13.3416952074525</v>
      </c>
    </row>
    <row r="5" customFormat="false" ht="15" hidden="false" customHeight="false" outlineLevel="0" collapsed="false">
      <c r="A5" s="0" t="s">
        <v>158</v>
      </c>
      <c r="B5" s="4" t="n">
        <f aca="false">DCF_Base!$B$38</f>
        <v>64.0316998672317</v>
      </c>
      <c r="C5" s="0" t="n">
        <f aca="false">B5/Assumptions!$B$2-1</f>
        <v>0.156224266291652</v>
      </c>
      <c r="D5" s="4" t="n">
        <f aca="false">Assumptions!$B$38</f>
        <v>0.5</v>
      </c>
      <c r="E5" s="4" t="n">
        <f aca="false">DCF_Base!$B$43</f>
        <v>72.3898031194671</v>
      </c>
      <c r="F5" s="4" t="n">
        <f aca="false">DCF_Base!$B$47</f>
        <v>21.9360589128985</v>
      </c>
    </row>
    <row r="6" customFormat="false" ht="15" hidden="false" customHeight="false" outlineLevel="0" collapsed="false">
      <c r="A6" s="0" t="s">
        <v>159</v>
      </c>
      <c r="B6" s="4" t="n">
        <f aca="false">DCF_Bull!$B$38</f>
        <v>86.5652078919269</v>
      </c>
      <c r="C6" s="0" t="n">
        <f aca="false">B6/Assumptions!$B$2-1</f>
        <v>0.563113179702543</v>
      </c>
      <c r="D6" s="4" t="n">
        <f aca="false">Assumptions!$B$52</f>
        <v>0.25</v>
      </c>
      <c r="E6" s="4" t="n">
        <f aca="false">DCF_Bull!$B$43</f>
        <v>95.9180553051942</v>
      </c>
      <c r="F6" s="4" t="n">
        <f aca="false">DCF_Bull!$B$47</f>
        <v>29.1295204467873</v>
      </c>
    </row>
    <row r="8" customFormat="false" ht="15" hidden="false" customHeight="false" outlineLevel="0" collapsed="false">
      <c r="A8" s="0" t="s">
        <v>160</v>
      </c>
      <c r="B8" s="0" t="n">
        <f aca="false">SUMPRODUCT(B4:B6,D4:D6)</f>
        <v>63.01419064124</v>
      </c>
    </row>
    <row r="9" customFormat="false" ht="15" hidden="false" customHeight="false" outlineLevel="0" collapsed="false">
      <c r="A9" s="0" t="s">
        <v>161</v>
      </c>
      <c r="B9" s="0" t="n">
        <f aca="false">SUMPRODUCT(E4:E6,D4:D6)</f>
        <v>71.5212076026245</v>
      </c>
    </row>
    <row r="10" customFormat="false" ht="15" hidden="false" customHeight="false" outlineLevel="0" collapsed="false">
      <c r="A10" s="0" t="s">
        <v>162</v>
      </c>
      <c r="B10" s="0" t="n">
        <f aca="false">1-Assumptions!$B$2/B8</f>
        <v>0.121150340321022</v>
      </c>
    </row>
    <row r="11" customFormat="false" ht="15" hidden="false" customHeight="false" outlineLevel="0" collapsed="false">
      <c r="A11" s="0" t="s">
        <v>163</v>
      </c>
      <c r="B11" s="0" t="n">
        <f aca="false">IF(ABS(B9-B8)&gt;0.01*ABS(B8),(Assumptions!$B$2-B8)/(B9-B8)*100,"n/a")</f>
        <v>-89.7399250041877</v>
      </c>
    </row>
    <row r="12" customFormat="false" ht="15" hidden="false" customHeight="false" outlineLevel="0" collapsed="false">
      <c r="A12" s="0" t="s">
        <v>164</v>
      </c>
      <c r="B12" s="0" t="n">
        <f aca="false">SUMPRODUCT(F4:F6,D4:D6)</f>
        <v>21.5858333700092</v>
      </c>
    </row>
    <row r="14" customFormat="false" ht="15" hidden="false" customHeight="false" outlineLevel="0" collapsed="false">
      <c r="A14" s="2" t="s">
        <v>165</v>
      </c>
      <c r="C14" s="0" t="s">
        <v>166</v>
      </c>
    </row>
    <row r="15" customFormat="false" ht="15" hidden="false" customHeight="false" outlineLevel="0" collapsed="false">
      <c r="A15" s="0" t="s">
        <v>167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64.0316998672317</v>
      </c>
      <c r="C15" s="3" t="n">
        <v>8.5</v>
      </c>
    </row>
    <row r="16" customFormat="false" ht="15" hidden="false" customHeight="false" outlineLevel="0" collapsed="false">
      <c r="A16" s="0" t="s">
        <v>168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57.7626361860601</v>
      </c>
      <c r="C16" s="3" t="n">
        <v>9</v>
      </c>
    </row>
    <row r="17" customFormat="false" ht="15" hidden="false" customHeight="false" outlineLevel="0" collapsed="false">
      <c r="A17" s="0" t="s">
        <v>169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47.7524130570223</v>
      </c>
      <c r="C17" s="3" t="n">
        <v>10</v>
      </c>
    </row>
    <row r="18" customFormat="false" ht="15" hidden="false" customHeight="false" outlineLevel="0" collapsed="false">
      <c r="A18" s="0" t="s">
        <v>170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40.1200432890063</v>
      </c>
      <c r="C18" s="3" t="n">
        <v>11</v>
      </c>
    </row>
    <row r="19" customFormat="false" ht="15" hidden="false" customHeight="false" outlineLevel="0" collapsed="false">
      <c r="A19" s="0" t="s">
        <v>171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34.1132765747552</v>
      </c>
      <c r="C19" s="3" t="n">
        <v>12</v>
      </c>
    </row>
    <row r="20" customFormat="false" ht="15" hidden="false" customHeight="false" outlineLevel="0" collapsed="false">
      <c r="A20" s="0" t="s">
        <v>172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21.9360589128985</v>
      </c>
      <c r="C20" s="3" t="n">
        <v>15</v>
      </c>
    </row>
    <row r="22" customFormat="false" ht="15" hidden="false" customHeight="false" outlineLevel="0" collapsed="false">
      <c r="A22" s="2" t="s">
        <v>173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6.5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79.8708286885238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79.8708286885238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79.8708286885238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79.8708286885238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79.8708286885238</v>
      </c>
    </row>
    <row r="25" customFormat="false" ht="15" hidden="false" customHeight="false" outlineLevel="0" collapsed="false">
      <c r="A25" s="3" t="n">
        <v>7.5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69.642804740926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72.8839560923442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72.8839560923442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72.8839560923442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72.8839560923442</v>
      </c>
    </row>
    <row r="26" customFormat="false" ht="15" hidden="false" customHeight="false" outlineLevel="0" collapsed="false">
      <c r="A26" s="3" t="n">
        <v>8.5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56.9863118912067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60.2380294186029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64.0316998672317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66.5316762458212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66.5316762458212</v>
      </c>
    </row>
    <row r="27" customFormat="false" ht="15" hidden="false" customHeight="false" outlineLevel="0" collapsed="false">
      <c r="A27" s="3" t="n">
        <v>9.5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47.531212230821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49.8016705275981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52.3964800096291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55.3904909504341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58.8835037147066</v>
      </c>
    </row>
    <row r="28" customFormat="false" ht="15" hidden="false" customHeight="false" outlineLevel="0" collapsed="false">
      <c r="A28" s="3" t="n">
        <v>10.5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40.2080161211837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41.848870026076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43.6948306690799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45.7869193978175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48.1778779449463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2026-09-26T00:57:06Z</dcterms:created>
  <dc:creator>openpyxl</dc:creator>
  <dc:description/>
  <dc:language>en-NZ</dc:language>
  <cp:lastModifiedBy/>
  <dcterms:modified xsi:type="dcterms:W3CDTF">2026-09-26T00:57:06Z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