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 Comparison" sheetId="2" r:id="rId2"/>
    <sheet name="Sensitivity" sheetId="3" r:id="rId3"/>
    <sheet name="Historical Data" sheetId="4" r:id="rId4"/>
    <sheet name="Sanity Check" sheetId="5" r:id="rId5"/>
  </sheets>
  <calcPr calcId="124519" fullCalcOnLoad="1"/>
</workbook>
</file>

<file path=xl/sharedStrings.xml><?xml version="1.0" encoding="utf-8"?>
<sst xmlns="http://schemas.openxmlformats.org/spreadsheetml/2006/main" count="328" uniqueCount="265">
  <si>
    <t>AppLovin (APP) — DCF Valuation Model</t>
  </si>
  <si>
    <t>Base Case | Gray/blue shaded cells are adjustable inputs</t>
  </si>
  <si>
    <t>Valuation date: 2026-06-24 | Current price: $467.02</t>
  </si>
  <si>
    <t>KEY INPUTS (Base Case)</t>
  </si>
  <si>
    <t>Current Stock Price ($)</t>
  </si>
  <si>
    <t>Shares Outstanding (M)</t>
  </si>
  <si>
    <t>Cash &amp; Equivalents ($M)</t>
  </si>
  <si>
    <t>Total Debt ($M)</t>
  </si>
  <si>
    <t>Net Debt ($M)</t>
  </si>
  <si>
    <t>Base Year FCF ($M) — FY2025</t>
  </si>
  <si>
    <t>WACC (Base)</t>
  </si>
  <si>
    <t>Terminal Growth Rate (Base)</t>
  </si>
  <si>
    <t>FCF note: FY2025 actual. Q1 2026 annualized run-rate = ~$5,147M.</t>
  </si>
  <si>
    <t>Equity CAGR not used — distorted by buybacks (~$1B/qtr) &amp; pre-IPO deficit.</t>
  </si>
  <si>
    <t>BASE CASE FCF GROWTH RATES (Adjustable per Year)</t>
  </si>
  <si>
    <t>Y1</t>
  </si>
  <si>
    <t>Y2</t>
  </si>
  <si>
    <t>Y3</t>
  </si>
  <si>
    <t>Y4</t>
  </si>
  <si>
    <t>Y5</t>
  </si>
  <si>
    <t>Year</t>
  </si>
  <si>
    <t>FCF Growth Rate</t>
  </si>
  <si>
    <t>BASE CASE PROJECTIONS ($M)</t>
  </si>
  <si>
    <t>Base FCF</t>
  </si>
  <si>
    <t>Projected FCF ($M)</t>
  </si>
  <si>
    <t>Discount Factor</t>
  </si>
  <si>
    <t>PV of FCF ($M)</t>
  </si>
  <si>
    <t>BASE CASE VALUATION</t>
  </si>
  <si>
    <t>Sum of PV FCFs ($M)</t>
  </si>
  <si>
    <t>Terminal FCF ($M) [Y5 FCF × (1+g)]</t>
  </si>
  <si>
    <t>Terminal Value ($M)</t>
  </si>
  <si>
    <t>PV of Terminal Value ($M)</t>
  </si>
  <si>
    <t>Enterprise Value ($M)</t>
  </si>
  <si>
    <t>Less: Net Debt ($M)</t>
  </si>
  <si>
    <t>Equity Value ($M)</t>
  </si>
  <si>
    <t>INTRINSIC VALUE / SHARE</t>
  </si>
  <si>
    <t>Upside / (Downside) to IV</t>
  </si>
  <si>
    <t>ENTRY PRICE FOR 15% CAGR TARGET</t>
  </si>
  <si>
    <t>Terminal Value / Share ($)</t>
  </si>
  <si>
    <t>Entry Price (15% CAGR, 5-year horizon)</t>
  </si>
  <si>
    <t>Current vs. Entry Price</t>
  </si>
  <si>
    <t>Note: Entry price is price today to earn 15% CAGR to terminal value in Y5.</t>
  </si>
  <si>
    <t>VALUATION SUMMARY</t>
  </si>
  <si>
    <t>Scenario</t>
  </si>
  <si>
    <t>Intrinsic Value</t>
  </si>
  <si>
    <t>Upside</t>
  </si>
  <si>
    <t>Bull Case</t>
  </si>
  <si>
    <t>Base Case</t>
  </si>
  <si>
    <t>Bear Case</t>
  </si>
  <si>
    <t>Prob-Weighted</t>
  </si>
  <si>
    <t>Current Price</t>
  </si>
  <si>
    <t>Prob Weights: Bull 25% / Base 50% / Bear 25%</t>
  </si>
  <si>
    <t>ENTRY PRICES (15% CAGR)</t>
  </si>
  <si>
    <t>Entry Price</t>
  </si>
  <si>
    <t>vs Current</t>
  </si>
  <si>
    <t>GROWTH HISTORY</t>
  </si>
  <si>
    <t>Metric</t>
  </si>
  <si>
    <t>Rate</t>
  </si>
  <si>
    <t>Basis</t>
  </si>
  <si>
    <t>Ad Rev FY24-&gt;FY25</t>
  </si>
  <si>
    <t>70.4%</t>
  </si>
  <si>
    <t>Like-for-like</t>
  </si>
  <si>
    <t>Ad Rev Q1 YoY</t>
  </si>
  <si>
    <t>59.0%</t>
  </si>
  <si>
    <t>Q1 2026 vs Q1 2025</t>
  </si>
  <si>
    <t>FCF 3-yr CAGR</t>
  </si>
  <si>
    <t>116.8%</t>
  </si>
  <si>
    <t>FY2022-&gt;FY2025</t>
  </si>
  <si>
    <t>FCF 4-yr CAGR</t>
  </si>
  <si>
    <t>83.9%</t>
  </si>
  <si>
    <t>FY2021-&gt;FY2025</t>
  </si>
  <si>
    <t>Adj EBITDA 3yr</t>
  </si>
  <si>
    <t>61.9%</t>
  </si>
  <si>
    <t>Q1 2026 FCF YoY</t>
  </si>
  <si>
    <t>55.8%</t>
  </si>
  <si>
    <t>vs Q1 2025</t>
  </si>
  <si>
    <t>AppLovin (APP) — Scenario Comparison</t>
  </si>
  <si>
    <t>All values in $M unless noted. Inputs in colored cells are adjustable.</t>
  </si>
  <si>
    <t>BEAR CASE</t>
  </si>
  <si>
    <t>BASE CASE</t>
  </si>
  <si>
    <t>BULL CASE</t>
  </si>
  <si>
    <t>WACC</t>
  </si>
  <si>
    <t>Terminal Growth</t>
  </si>
  <si>
    <t>Base FCF ($M)</t>
  </si>
  <si>
    <t>Y1 Growth</t>
  </si>
  <si>
    <t>Y2 Growth</t>
  </si>
  <si>
    <t>Y3 Growth</t>
  </si>
  <si>
    <t>Y4 Growth</t>
  </si>
  <si>
    <t>Y5 Growth</t>
  </si>
  <si>
    <t>PROJECTED FCF ($M)</t>
  </si>
  <si>
    <t>FCF Y1</t>
  </si>
  <si>
    <t>FCF Y2</t>
  </si>
  <si>
    <t>FCF Y3</t>
  </si>
  <si>
    <t>FCF Y4</t>
  </si>
  <si>
    <t>FCF Y5</t>
  </si>
  <si>
    <t>VALUATION OUTPUTS</t>
  </si>
  <si>
    <t>Sum PV FCF ($M)</t>
  </si>
  <si>
    <t>Terminal FCF ($M)</t>
  </si>
  <si>
    <t>PV Terminal Value ($M)</t>
  </si>
  <si>
    <t>Upside / (Downside)</t>
  </si>
  <si>
    <t>ENTRY PRICE (15% CAGR Target)</t>
  </si>
  <si>
    <t>Terminal Value / Share</t>
  </si>
  <si>
    <t>Entry Price (15% CAGR)</t>
  </si>
  <si>
    <t>vs. Current Price</t>
  </si>
  <si>
    <t>PROBABILITY-WEIGHTED IV</t>
  </si>
  <si>
    <t>Weights (Bear / Base / Bull)</t>
  </si>
  <si>
    <t>Probability-Weighted IV ($)</t>
  </si>
  <si>
    <t>Upside to Prob-Weighted IV</t>
  </si>
  <si>
    <t>Sensitivity Analysis — Base Case Growth Rates</t>
  </si>
  <si>
    <t>Intrinsic Value per share ($) by WACC and Terminal Growth Rate</t>
  </si>
  <si>
    <t>Uses base-case FCF growth rates: 40% / 32% / 24% / 17% / 12%</t>
  </si>
  <si>
    <t>Reference Values (do not edit)</t>
  </si>
  <si>
    <t>Base FCF (FY2025)</t>
  </si>
  <si>
    <t>Growth Rate Inputs</t>
  </si>
  <si>
    <t>SENSITIVITY TABLE</t>
  </si>
  <si>
    <t>WACC \ Term. Growth</t>
  </si>
  <si>
    <t>Green = IV &gt; current price ($467). Yellow = within 15%. Red = &gt;15% below current.</t>
  </si>
  <si>
    <t>Base case highlighted: WACC=11%, Terminal Growth=3.0%</t>
  </si>
  <si>
    <t>AppLovin (APP) — Historical Financials</t>
  </si>
  <si>
    <t>FY2021-FY2025 (total company through FY2024; advertising-only FY2025+)</t>
  </si>
  <si>
    <t>NOTE: FY2021-FY2024 include Apps business (divested June 2025). Not directly comparable to FY2025+.</t>
  </si>
  <si>
    <t>Period</t>
  </si>
  <si>
    <t>Revenue</t>
  </si>
  <si>
    <t>Adj EBITDA</t>
  </si>
  <si>
    <t>EBITDA Mg%</t>
  </si>
  <si>
    <t>Net Income</t>
  </si>
  <si>
    <t>Net Mg%</t>
  </si>
  <si>
    <t>FCF</t>
  </si>
  <si>
    <t>Shares(M)</t>
  </si>
  <si>
    <t>Notes</t>
  </si>
  <si>
    <t>FY2021</t>
  </si>
  <si>
    <t>Total co. incl. Apps</t>
  </si>
  <si>
    <t>FY2022</t>
  </si>
  <si>
    <t>FY2023</t>
  </si>
  <si>
    <t>FY2024</t>
  </si>
  <si>
    <t>FY2025</t>
  </si>
  <si>
    <t>ADVERTISING ONLY</t>
  </si>
  <si>
    <t>Q1 2026</t>
  </si>
  <si>
    <t>Advertising only</t>
  </si>
  <si>
    <t>QUARTERLY DATA (Advertising Only — 2025-2026)</t>
  </si>
  <si>
    <t>EBITDA</t>
  </si>
  <si>
    <t>EBITDA%</t>
  </si>
  <si>
    <t>YoY Note</t>
  </si>
  <si>
    <t>Q2 2025</t>
  </si>
  <si>
    <t>Ad-only (Apps divested Q2 2025)</t>
  </si>
  <si>
    <t>Q3 2025</t>
  </si>
  <si>
    <t>Ad-only, no discontinued ops</t>
  </si>
  <si>
    <t>Q4 2025</t>
  </si>
  <si>
    <t>Ad-only derived</t>
  </si>
  <si>
    <t>+59% YoY vs Q1 2025 ad-only (~$1,159M)</t>
  </si>
  <si>
    <t>KEY GROWTH RATES</t>
  </si>
  <si>
    <t>FCF 3-yr CAGR (FY2022→FY2025)</t>
  </si>
  <si>
    <t>Massive profitability inflection</t>
  </si>
  <si>
    <t>FCF 4-yr CAGR (FY2021→FY2025)</t>
  </si>
  <si>
    <t>From pre-software-rerating era</t>
  </si>
  <si>
    <t>FCF YoY Q1 2026</t>
  </si>
  <si>
    <t>Q1 2025 vs Q1 2026</t>
  </si>
  <si>
    <t>Adj EBITDA 3-yr CAGR</t>
  </si>
  <si>
    <t>FY2022→FY2025</t>
  </si>
  <si>
    <t>Ad Rev YoY FY2024→FY2025</t>
  </si>
  <si>
    <t>Like-for-like, ad-only basis</t>
  </si>
  <si>
    <t>Ad Rev YoY Q1 2026</t>
  </si>
  <si>
    <t>~$1,159M→$1,842M</t>
  </si>
  <si>
    <t>EPS YoY FY2024→FY2025</t>
  </si>
  <si>
    <t>115.2%</t>
  </si>
  <si>
    <t>From $4.53 to $9.75</t>
  </si>
  <si>
    <t>Equity CAGR</t>
  </si>
  <si>
    <t>N/A</t>
  </si>
  <si>
    <t>Meaningless — distorted by buybacks &amp; pre-IPO deficit</t>
  </si>
  <si>
    <t>AppLovin (APP) — Sanity Check: Implied Multiples</t>
  </si>
  <si>
    <t>Comparing DCF intrinsic values against market multiples and historical context</t>
  </si>
  <si>
    <t>CURRENT MARKET MULTIPLES (at $467.02)</t>
  </si>
  <si>
    <t>FY2025 Trailing</t>
  </si>
  <si>
    <t>Q1-2026 Ann.</t>
  </si>
  <si>
    <t>Note</t>
  </si>
  <si>
    <t>Market Cap ($B)</t>
  </si>
  <si>
    <t>$158.2B</t>
  </si>
  <si>
    <t>At $467.02 × 338.7M shares</t>
  </si>
  <si>
    <t>EV ($B)</t>
  </si>
  <si>
    <t>$158.9B</t>
  </si>
  <si>
    <t>Market cap + $755M net debt</t>
  </si>
  <si>
    <t>P/E Ratio</t>
  </si>
  <si>
    <t>47.4x</t>
  </si>
  <si>
    <t>32.8x</t>
  </si>
  <si>
    <t>FY2025 NI=$3,334M; Q1 ann. NI=$4,822M</t>
  </si>
  <si>
    <t>P/S Ratio</t>
  </si>
  <si>
    <t>28.9x</t>
  </si>
  <si>
    <t>21.5x</t>
  </si>
  <si>
    <t>FY2025 Rev=$5,481M; Q1 ann. Rev=$7,370M</t>
  </si>
  <si>
    <t>EV/EBITDA</t>
  </si>
  <si>
    <t>35.2x</t>
  </si>
  <si>
    <t>25.5x</t>
  </si>
  <si>
    <t>FY2025 EBITDA=$4,513M; Q1 ann.=$6,228M</t>
  </si>
  <si>
    <t>EV/FCF</t>
  </si>
  <si>
    <t>40.2x</t>
  </si>
  <si>
    <t>30.9x</t>
  </si>
  <si>
    <t>FY2025 FCF=$3,952M; Q1 ann. FCF=$5,147M</t>
  </si>
  <si>
    <t>PEG Ratio (NTM)</t>
  </si>
  <si>
    <t>0.59x</t>
  </si>
  <si>
    <t>P/E NTM / FCF growth rate ~55.8%</t>
  </si>
  <si>
    <t>IMPLIED MULTIPLES AT DCF INTRINSIC VALUES</t>
  </si>
  <si>
    <t>Bear ($166)</t>
  </si>
  <si>
    <t>Base ($359)</t>
  </si>
  <si>
    <t>Bull ($591)</t>
  </si>
  <si>
    <t>Current ($467)</t>
  </si>
  <si>
    <t>Intrinsic Value/Share</t>
  </si>
  <si>
    <t>$165.63</t>
  </si>
  <si>
    <t>$358.65</t>
  </si>
  <si>
    <t>$590.81</t>
  </si>
  <si>
    <t>$467.02</t>
  </si>
  <si>
    <t>P/E FY2025 Trailing</t>
  </si>
  <si>
    <t>16.8x</t>
  </si>
  <si>
    <t>36.4x</t>
  </si>
  <si>
    <t>60.0x</t>
  </si>
  <si>
    <t>P/E FY2026e (~$5.5B NI)</t>
  </si>
  <si>
    <t>10.2x</t>
  </si>
  <si>
    <t>22.1x</t>
  </si>
  <si>
    <t>28.8x</t>
  </si>
  <si>
    <t>P/S FY2026e (~$7.7B Rev)</t>
  </si>
  <si>
    <t>7.3x</t>
  </si>
  <si>
    <t>15.8x</t>
  </si>
  <si>
    <t>26.0x</t>
  </si>
  <si>
    <t>20.5x</t>
  </si>
  <si>
    <t>EV/EBITDA FY2026e (~$6.6B)</t>
  </si>
  <si>
    <t>8.6x</t>
  </si>
  <si>
    <t>18.5x</t>
  </si>
  <si>
    <t>30.4x</t>
  </si>
  <si>
    <t>24.1x</t>
  </si>
  <si>
    <t>EV/FCF FY2026e (~$5.5B)</t>
  </si>
  <si>
    <t>10.3x</t>
  </si>
  <si>
    <t>22.2x</t>
  </si>
  <si>
    <t>36.5x</t>
  </si>
  <si>
    <t>PEG (FCF growth ~55.8%)</t>
  </si>
  <si>
    <t>0.19x</t>
  </si>
  <si>
    <t>0.40x</t>
  </si>
  <si>
    <t>0.66x</t>
  </si>
  <si>
    <t>0.52x</t>
  </si>
  <si>
    <t>HISTORICAL PRICE CONTEXT</t>
  </si>
  <si>
    <t>Price Point</t>
  </si>
  <si>
    <t>Price</t>
  </si>
  <si>
    <t>Context</t>
  </si>
  <si>
    <t>IPO Price (Apr 2021)</t>
  </si>
  <si>
    <t>$80.00</t>
  </si>
  <si>
    <t>Unprofitable; total company + Apps</t>
  </si>
  <si>
    <t>Trough (Dec 2022)</t>
  </si>
  <si>
    <t>$10.53</t>
  </si>
  <si>
    <t>Macro selloff; FY2022 NI = -$193M</t>
  </si>
  <si>
    <t>Year-end 2023</t>
  </si>
  <si>
    <t>$39.85</t>
  </si>
  <si>
    <t>Profitable; P/E ~40x FY2023</t>
  </si>
  <si>
    <t>Year-end 2024</t>
  </si>
  <si>
    <t>$323.83</t>
  </si>
  <si>
    <t>Re-rating on AI/AXON; P/E ~71x FY2024 NI</t>
  </si>
  <si>
    <t>Peak (Sep 2025)</t>
  </si>
  <si>
    <t>$718.54</t>
  </si>
  <si>
    <t>Post-S&amp;P500 inclusion rally; all-time high</t>
  </si>
  <si>
    <t>Short-attack low (Mar 2025)</t>
  </si>
  <si>
    <t>~$265</t>
  </si>
  <si>
    <t>Short-seller reports; ~50% from Jan peak</t>
  </si>
  <si>
    <t>Current (Jun 2026)</t>
  </si>
  <si>
    <t>Post Q1 2026 beat; e-commerce acceleration</t>
  </si>
  <si>
    <t>SANITY CHECK VERDICT</t>
  </si>
  <si>
    <t>TRIPPED: Current price ($467) exceeds base-case IV ($359, -23%) and prob-weighted IV ($368, -21%).</t>
  </si>
  <si>
    <t>Market pricing implies bull-case execution (e-commerce expansion + self-service platform success). PEG of 0.59x at current price is reasonable for growth context, but no margin of safety exists.</t>
  </si>
  <si>
    <t>Entry price for 15% CAGR (base case): $224. Entry price (bull case): $379. Current price is between base terminal value ($451/sh) and implies ~11% annualized return to base terminal value.</t>
  </si>
</sst>
</file>

<file path=xl/styles.xml><?xml version="1.0" encoding="utf-8"?>
<styleSheet xmlns="http://schemas.openxmlformats.org/spreadsheetml/2006/main">
  <numFmts count="6">
    <numFmt numFmtId="164" formatCode="&quot;$&quot;#,##0.00"/>
    <numFmt numFmtId="165" formatCode="#,##0.0"/>
    <numFmt numFmtId="166" formatCode="0.0%"/>
    <numFmt numFmtId="167" formatCode="#,##0"/>
    <numFmt numFmtId="168" formatCode="0%"/>
    <numFmt numFmtId="169" formatCode="&quot;$&quot;#,##0"/>
  </numFmts>
  <fonts count="15">
    <font>
      <sz val="11"/>
      <color theme="1"/>
      <name val="Calibri"/>
      <family val="2"/>
      <scheme val="minor"/>
    </font>
    <font>
      <b/>
      <sz val="16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D3436"/>
      <name val="Calibri"/>
      <family val="2"/>
      <scheme val="minor"/>
    </font>
    <font>
      <i/>
      <sz val="9"/>
      <color rgb="FF636E72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0"/>
      <color rgb="FFD6303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2D3436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55EFC4"/>
        <bgColor indexed="64"/>
      </patternFill>
    </fill>
    <fill>
      <patternFill patternType="solid">
        <fgColor rgb="FFFDCB6E"/>
        <bgColor indexed="64"/>
      </patternFill>
    </fill>
    <fill>
      <patternFill patternType="solid">
        <fgColor rgb="FFFAB1A0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D4EFDF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EAA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636E7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1705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0984E3"/>
      </left>
      <right style="medium">
        <color rgb="FF0984E3"/>
      </right>
      <top style="medium">
        <color rgb="FF0984E3"/>
      </top>
      <bottom style="medium">
        <color rgb="FF0984E3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0" fillId="2" borderId="1" xfId="0" applyFill="1" applyBorder="1"/>
    <xf numFmtId="0" fontId="5" fillId="0" borderId="0" xfId="0" applyFont="1" applyAlignment="1">
      <alignment horizontal="left"/>
    </xf>
    <xf numFmtId="164" fontId="0" fillId="3" borderId="1" xfId="0" applyNumberForma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right"/>
    </xf>
    <xf numFmtId="0" fontId="5" fillId="0" borderId="1" xfId="0" applyFont="1" applyBorder="1"/>
    <xf numFmtId="164" fontId="3" fillId="4" borderId="1" xfId="0" applyNumberFormat="1" applyFont="1" applyFill="1" applyBorder="1" applyAlignment="1">
      <alignment horizontal="right"/>
    </xf>
    <xf numFmtId="166" fontId="5" fillId="5" borderId="1" xfId="0" applyNumberFormat="1" applyFont="1" applyFill="1" applyBorder="1" applyAlignment="1">
      <alignment horizontal="right"/>
    </xf>
    <xf numFmtId="164" fontId="6" fillId="6" borderId="1" xfId="0" applyNumberFormat="1" applyFont="1" applyFill="1" applyBorder="1" applyAlignment="1">
      <alignment horizontal="right"/>
    </xf>
    <xf numFmtId="166" fontId="5" fillId="7" borderId="1" xfId="0" applyNumberFormat="1" applyFont="1" applyFill="1" applyBorder="1" applyAlignment="1">
      <alignment horizontal="right"/>
    </xf>
    <xf numFmtId="164" fontId="3" fillId="8" borderId="1" xfId="0" applyNumberFormat="1" applyFont="1" applyFill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6" fontId="0" fillId="9" borderId="1" xfId="0" applyNumberFormat="1" applyFill="1" applyBorder="1" applyAlignment="1">
      <alignment horizontal="right"/>
    </xf>
    <xf numFmtId="0" fontId="7" fillId="0" borderId="0" xfId="0" applyFont="1"/>
    <xf numFmtId="0" fontId="0" fillId="0" borderId="1" xfId="0" applyBorder="1"/>
    <xf numFmtId="0" fontId="5" fillId="0" borderId="1" xfId="0" applyFont="1" applyBorder="1" applyAlignment="1">
      <alignment horizontal="right"/>
    </xf>
    <xf numFmtId="0" fontId="8" fillId="0" borderId="1" xfId="0" applyFont="1" applyBorder="1"/>
    <xf numFmtId="167" fontId="0" fillId="0" borderId="1" xfId="0" applyNumberFormat="1" applyBorder="1" applyAlignment="1">
      <alignment horizontal="right"/>
    </xf>
    <xf numFmtId="0" fontId="5" fillId="0" borderId="0" xfId="0" applyFont="1"/>
    <xf numFmtId="0" fontId="3" fillId="8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6" fontId="0" fillId="11" borderId="1" xfId="0" applyNumberFormat="1" applyFill="1" applyBorder="1" applyAlignment="1">
      <alignment horizontal="right"/>
    </xf>
    <xf numFmtId="166" fontId="0" fillId="12" borderId="1" xfId="0" applyNumberFormat="1" applyFill="1" applyBorder="1" applyAlignment="1">
      <alignment horizontal="right"/>
    </xf>
    <xf numFmtId="167" fontId="0" fillId="13" borderId="1" xfId="0" applyNumberFormat="1" applyFill="1" applyBorder="1" applyAlignment="1">
      <alignment horizontal="right"/>
    </xf>
    <xf numFmtId="167" fontId="0" fillId="14" borderId="1" xfId="0" applyNumberFormat="1" applyFill="1" applyBorder="1" applyAlignment="1">
      <alignment horizontal="right"/>
    </xf>
    <xf numFmtId="167" fontId="0" fillId="15" borderId="1" xfId="0" applyNumberFormat="1" applyFill="1" applyBorder="1" applyAlignment="1">
      <alignment horizontal="right"/>
    </xf>
    <xf numFmtId="0" fontId="5" fillId="0" borderId="2" xfId="0" applyFont="1" applyBorder="1"/>
    <xf numFmtId="168" fontId="0" fillId="11" borderId="1" xfId="0" applyNumberFormat="1" applyFill="1" applyBorder="1" applyAlignment="1">
      <alignment horizontal="right"/>
    </xf>
    <xf numFmtId="168" fontId="0" fillId="9" borderId="1" xfId="0" applyNumberFormat="1" applyFill="1" applyBorder="1" applyAlignment="1">
      <alignment horizontal="right"/>
    </xf>
    <xf numFmtId="168" fontId="0" fillId="12" borderId="1" xfId="0" applyNumberFormat="1" applyFill="1" applyBorder="1" applyAlignment="1">
      <alignment horizontal="right"/>
    </xf>
    <xf numFmtId="0" fontId="9" fillId="0" borderId="0" xfId="0" applyFont="1"/>
    <xf numFmtId="0" fontId="10" fillId="0" borderId="2" xfId="0" applyFont="1" applyBorder="1"/>
    <xf numFmtId="166" fontId="3" fillId="2" borderId="1" xfId="0" applyNumberFormat="1" applyFont="1" applyFill="1" applyBorder="1" applyAlignment="1">
      <alignment horizontal="center"/>
    </xf>
    <xf numFmtId="169" fontId="0" fillId="16" borderId="1" xfId="0" applyNumberFormat="1" applyFill="1" applyBorder="1" applyAlignment="1">
      <alignment horizontal="right"/>
    </xf>
    <xf numFmtId="169" fontId="0" fillId="12" borderId="1" xfId="0" applyNumberFormat="1" applyFill="1" applyBorder="1" applyAlignment="1">
      <alignment horizontal="right"/>
    </xf>
    <xf numFmtId="169" fontId="0" fillId="11" borderId="1" xfId="0" applyNumberFormat="1" applyFill="1" applyBorder="1" applyAlignment="1">
      <alignment horizontal="right"/>
    </xf>
    <xf numFmtId="169" fontId="5" fillId="9" borderId="3" xfId="0" applyNumberFormat="1" applyFont="1" applyFill="1" applyBorder="1" applyAlignment="1">
      <alignment horizontal="right"/>
    </xf>
    <xf numFmtId="0" fontId="11" fillId="0" borderId="0" xfId="0" applyFont="1"/>
    <xf numFmtId="0" fontId="12" fillId="17" borderId="1" xfId="0" applyFont="1" applyFill="1" applyBorder="1"/>
    <xf numFmtId="165" fontId="0" fillId="17" borderId="1" xfId="0" applyNumberFormat="1" applyFill="1" applyBorder="1" applyAlignment="1">
      <alignment horizontal="right"/>
    </xf>
    <xf numFmtId="166" fontId="0" fillId="17" borderId="1" xfId="0" applyNumberFormat="1" applyFill="1" applyBorder="1" applyAlignment="1">
      <alignment horizontal="right"/>
    </xf>
    <xf numFmtId="0" fontId="8" fillId="17" borderId="1" xfId="0" applyFont="1" applyFill="1" applyBorder="1"/>
    <xf numFmtId="0" fontId="5" fillId="18" borderId="1" xfId="0" applyFont="1" applyFill="1" applyBorder="1"/>
    <xf numFmtId="165" fontId="0" fillId="18" borderId="1" xfId="0" applyNumberFormat="1" applyFill="1" applyBorder="1" applyAlignment="1">
      <alignment horizontal="right"/>
    </xf>
    <xf numFmtId="166" fontId="0" fillId="18" borderId="1" xfId="0" applyNumberFormat="1" applyFill="1" applyBorder="1" applyAlignment="1">
      <alignment horizontal="right"/>
    </xf>
    <xf numFmtId="0" fontId="8" fillId="18" borderId="1" xfId="0" applyFont="1" applyFill="1" applyBorder="1"/>
    <xf numFmtId="0" fontId="3" fillId="2" borderId="2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3" fillId="19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left"/>
    </xf>
    <xf numFmtId="0" fontId="0" fillId="13" borderId="1" xfId="0" applyFill="1" applyBorder="1" applyAlignment="1">
      <alignment horizontal="right"/>
    </xf>
    <xf numFmtId="0" fontId="0" fillId="14" borderId="1" xfId="0" applyFill="1" applyBorder="1" applyAlignment="1">
      <alignment horizontal="right"/>
    </xf>
    <xf numFmtId="0" fontId="0" fillId="15" borderId="1" xfId="0" applyFill="1" applyBorder="1" applyAlignment="1">
      <alignment horizontal="right"/>
    </xf>
    <xf numFmtId="0" fontId="0" fillId="20" borderId="1" xfId="0" applyFill="1" applyBorder="1" applyAlignment="1">
      <alignment horizontal="right"/>
    </xf>
    <xf numFmtId="0" fontId="13" fillId="0" borderId="1" xfId="0" applyFont="1" applyBorder="1"/>
    <xf numFmtId="0" fontId="4" fillId="21" borderId="1" xfId="0" applyFont="1" applyFill="1" applyBorder="1"/>
    <xf numFmtId="0" fontId="14" fillId="7" borderId="1" xfId="0" applyFont="1" applyFill="1" applyBorder="1" applyAlignment="1">
      <alignment wrapText="1"/>
    </xf>
    <xf numFmtId="0" fontId="8" fillId="16" borderId="1" xfId="0" applyFont="1" applyFill="1" applyBorder="1" applyAlignment="1">
      <alignment wrapText="1"/>
    </xf>
    <xf numFmtId="0" fontId="1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/>
  </sheetViews>
  <sheetFormatPr defaultRowHeight="15"/>
  <cols>
    <col min="1" max="1" width="28.7109375" customWidth="1"/>
    <col min="2" max="7" width="14.7109375" customWidth="1"/>
    <col min="8" max="8" width="3.7109375" customWidth="1"/>
    <col min="9" max="9" width="28.7109375" customWidth="1"/>
    <col min="10" max="11" width="14.7109375" customWidth="1"/>
  </cols>
  <sheetData>
    <row r="1" spans="1:11">
      <c r="A1" s="1" t="s">
        <v>0</v>
      </c>
    </row>
    <row r="2" spans="1:11">
      <c r="A2" s="2" t="s">
        <v>1</v>
      </c>
    </row>
    <row r="3" spans="1:11">
      <c r="A3" s="2" t="s">
        <v>2</v>
      </c>
    </row>
    <row r="5" spans="1:11">
      <c r="A5" s="3" t="s">
        <v>3</v>
      </c>
      <c r="B5" s="3"/>
      <c r="C5" s="3"/>
      <c r="D5" s="3"/>
      <c r="E5" s="3"/>
      <c r="F5" s="3"/>
      <c r="G5" s="3"/>
      <c r="I5" s="4" t="s">
        <v>42</v>
      </c>
      <c r="J5" s="5"/>
    </row>
    <row r="6" spans="1:11">
      <c r="A6" s="6" t="s">
        <v>4</v>
      </c>
      <c r="B6" s="7">
        <v>467.02</v>
      </c>
      <c r="I6" s="8" t="s">
        <v>43</v>
      </c>
      <c r="J6" s="8" t="s">
        <v>44</v>
      </c>
      <c r="K6" s="8" t="s">
        <v>45</v>
      </c>
    </row>
    <row r="7" spans="1:11">
      <c r="A7" t="s">
        <v>5</v>
      </c>
      <c r="B7" s="9">
        <v>338.7</v>
      </c>
      <c r="I7" s="10" t="s">
        <v>46</v>
      </c>
      <c r="J7" s="11">
        <v>590.8099999999999</v>
      </c>
      <c r="K7" s="12">
        <v>0.265</v>
      </c>
    </row>
    <row r="8" spans="1:11">
      <c r="A8" t="s">
        <v>6</v>
      </c>
      <c r="B8" s="9">
        <v>2758.7</v>
      </c>
      <c r="I8" s="10" t="s">
        <v>47</v>
      </c>
      <c r="J8" s="13">
        <v>358.65</v>
      </c>
      <c r="K8" s="14">
        <v>-0.232</v>
      </c>
    </row>
    <row r="9" spans="1:11">
      <c r="A9" t="s">
        <v>7</v>
      </c>
      <c r="B9" s="9">
        <v>3514</v>
      </c>
      <c r="I9" s="10" t="s">
        <v>48</v>
      </c>
      <c r="J9" s="15">
        <v>165.63</v>
      </c>
      <c r="K9" s="14">
        <v>-0.645</v>
      </c>
    </row>
    <row r="10" spans="1:11">
      <c r="A10" t="s">
        <v>8</v>
      </c>
      <c r="B10" s="16">
        <f>B9-B8</f>
        <v>0</v>
      </c>
      <c r="I10" s="10" t="s">
        <v>49</v>
      </c>
      <c r="J10" s="13">
        <v>368.43</v>
      </c>
      <c r="K10" s="14">
        <v>-0.2111044494882446</v>
      </c>
    </row>
    <row r="11" spans="1:11">
      <c r="A11" t="s">
        <v>9</v>
      </c>
      <c r="B11" s="9">
        <v>3952</v>
      </c>
      <c r="I11" s="10" t="s">
        <v>50</v>
      </c>
      <c r="J11" s="17">
        <v>467.02</v>
      </c>
      <c r="K11" s="18">
        <v>0</v>
      </c>
    </row>
    <row r="12" spans="1:11">
      <c r="A12" t="s">
        <v>10</v>
      </c>
      <c r="B12" s="19">
        <v>0.11</v>
      </c>
      <c r="I12" s="20" t="s">
        <v>51</v>
      </c>
    </row>
    <row r="13" spans="1:11">
      <c r="A13" t="s">
        <v>11</v>
      </c>
      <c r="B13" s="19">
        <v>0.03</v>
      </c>
    </row>
    <row r="14" spans="1:11">
      <c r="I14" s="3" t="s">
        <v>52</v>
      </c>
      <c r="J14" s="5"/>
    </row>
    <row r="15" spans="1:11">
      <c r="A15" s="20" t="s">
        <v>12</v>
      </c>
      <c r="I15" s="8" t="s">
        <v>43</v>
      </c>
      <c r="J15" s="8" t="s">
        <v>53</v>
      </c>
      <c r="K15" s="8" t="s">
        <v>54</v>
      </c>
    </row>
    <row r="16" spans="1:11">
      <c r="A16" s="20" t="s">
        <v>13</v>
      </c>
      <c r="I16" s="10" t="s">
        <v>46</v>
      </c>
      <c r="J16" s="17">
        <v>379.23</v>
      </c>
      <c r="K16" s="14">
        <v>-0.188</v>
      </c>
    </row>
    <row r="17" spans="1:11">
      <c r="I17" s="10" t="s">
        <v>47</v>
      </c>
      <c r="J17" s="17">
        <v>224.28</v>
      </c>
      <c r="K17" s="14">
        <v>-0.52</v>
      </c>
    </row>
    <row r="18" spans="1:11">
      <c r="A18" s="3" t="s">
        <v>14</v>
      </c>
      <c r="B18" s="3"/>
      <c r="C18" s="3"/>
      <c r="D18" s="3"/>
      <c r="E18" s="3"/>
      <c r="F18" s="3"/>
      <c r="G18" s="3"/>
      <c r="I18" s="10" t="s">
        <v>48</v>
      </c>
      <c r="J18" s="17">
        <v>94.28</v>
      </c>
      <c r="K18" s="14">
        <v>-0.7979999999999999</v>
      </c>
    </row>
    <row r="19" spans="1:11">
      <c r="A19" s="8" t="s">
        <v>20</v>
      </c>
      <c r="B19" s="8" t="s">
        <v>15</v>
      </c>
      <c r="C19" s="8" t="s">
        <v>16</v>
      </c>
      <c r="D19" s="8" t="s">
        <v>17</v>
      </c>
      <c r="E19" s="8" t="s">
        <v>18</v>
      </c>
      <c r="F19" s="8" t="s">
        <v>19</v>
      </c>
      <c r="I19" s="3" t="s">
        <v>55</v>
      </c>
      <c r="J19" s="5"/>
    </row>
    <row r="20" spans="1:11">
      <c r="A20" s="6" t="s">
        <v>21</v>
      </c>
      <c r="B20" s="19">
        <v>0.4</v>
      </c>
      <c r="C20" s="19">
        <v>0.32</v>
      </c>
      <c r="D20" s="19">
        <v>0.24</v>
      </c>
      <c r="E20" s="19">
        <v>0.17</v>
      </c>
      <c r="F20" s="19">
        <v>0.12</v>
      </c>
      <c r="I20" s="8" t="s">
        <v>56</v>
      </c>
      <c r="J20" s="8" t="s">
        <v>57</v>
      </c>
      <c r="K20" s="8" t="s">
        <v>58</v>
      </c>
    </row>
    <row r="21" spans="1:11">
      <c r="I21" s="21" t="s">
        <v>59</v>
      </c>
      <c r="J21" s="22" t="s">
        <v>60</v>
      </c>
      <c r="K21" s="23" t="s">
        <v>61</v>
      </c>
    </row>
    <row r="22" spans="1:11">
      <c r="A22" s="3" t="s">
        <v>22</v>
      </c>
      <c r="B22" s="3"/>
      <c r="C22" s="3"/>
      <c r="D22" s="3"/>
      <c r="E22" s="3"/>
      <c r="F22" s="3"/>
      <c r="G22" s="3"/>
      <c r="I22" s="21" t="s">
        <v>62</v>
      </c>
      <c r="J22" s="22" t="s">
        <v>63</v>
      </c>
      <c r="K22" s="23" t="s">
        <v>64</v>
      </c>
    </row>
    <row r="23" spans="1:11">
      <c r="A23" s="8"/>
      <c r="B23" s="8" t="s">
        <v>23</v>
      </c>
      <c r="C23" s="8" t="s">
        <v>15</v>
      </c>
      <c r="D23" s="8" t="s">
        <v>16</v>
      </c>
      <c r="E23" s="8" t="s">
        <v>17</v>
      </c>
      <c r="F23" s="8" t="s">
        <v>18</v>
      </c>
      <c r="G23" s="8" t="s">
        <v>19</v>
      </c>
      <c r="I23" s="21" t="s">
        <v>65</v>
      </c>
      <c r="J23" s="22" t="s">
        <v>66</v>
      </c>
      <c r="K23" s="23" t="s">
        <v>67</v>
      </c>
    </row>
    <row r="24" spans="1:11">
      <c r="A24" s="6" t="s">
        <v>24</v>
      </c>
      <c r="B24" s="24">
        <f>$B$11</f>
        <v>0</v>
      </c>
      <c r="C24" s="24">
        <f>B24*(1+B20)</f>
        <v>0</v>
      </c>
      <c r="D24" s="24">
        <f>C24*(1+C20)</f>
        <v>0</v>
      </c>
      <c r="E24" s="24">
        <f>D24*(1+D20)</f>
        <v>0</v>
      </c>
      <c r="F24" s="24">
        <f>E24*(1+E20)</f>
        <v>0</v>
      </c>
      <c r="G24" s="24">
        <f>F24*(1+F20)</f>
        <v>0</v>
      </c>
      <c r="I24" s="21" t="s">
        <v>68</v>
      </c>
      <c r="J24" s="22" t="s">
        <v>69</v>
      </c>
      <c r="K24" s="23" t="s">
        <v>70</v>
      </c>
    </row>
    <row r="25" spans="1:11">
      <c r="A25" s="6" t="s">
        <v>25</v>
      </c>
      <c r="B25" s="16"/>
      <c r="C25" s="16">
        <f>1/(1+$B$12)^1</f>
        <v>0</v>
      </c>
      <c r="D25" s="16">
        <f>1/(1+$B$12)^2</f>
        <v>0</v>
      </c>
      <c r="E25" s="16">
        <f>1/(1+$B$12)^3</f>
        <v>0</v>
      </c>
      <c r="F25" s="16">
        <f>1/(1+$B$12)^4</f>
        <v>0</v>
      </c>
      <c r="G25" s="16">
        <f>1/(1+$B$12)^5</f>
        <v>0</v>
      </c>
      <c r="I25" s="21" t="s">
        <v>71</v>
      </c>
      <c r="J25" s="22" t="s">
        <v>72</v>
      </c>
      <c r="K25" s="23" t="s">
        <v>67</v>
      </c>
    </row>
    <row r="26" spans="1:11">
      <c r="A26" s="6" t="s">
        <v>26</v>
      </c>
      <c r="B26" s="16"/>
      <c r="C26" s="24">
        <f>C24*C25</f>
        <v>0</v>
      </c>
      <c r="D26" s="24">
        <f>D24*D25</f>
        <v>0</v>
      </c>
      <c r="E26" s="24">
        <f>E24*E25</f>
        <v>0</v>
      </c>
      <c r="F26" s="24">
        <f>F24*F25</f>
        <v>0</v>
      </c>
      <c r="G26" s="24">
        <f>G24*G25</f>
        <v>0</v>
      </c>
      <c r="I26" s="21" t="s">
        <v>73</v>
      </c>
      <c r="J26" s="22" t="s">
        <v>74</v>
      </c>
      <c r="K26" s="23" t="s">
        <v>75</v>
      </c>
    </row>
    <row r="28" spans="1:11">
      <c r="A28" s="3" t="s">
        <v>27</v>
      </c>
      <c r="B28" s="3"/>
      <c r="C28" s="3"/>
      <c r="D28" s="3"/>
      <c r="E28" s="3"/>
      <c r="F28" s="3"/>
      <c r="G28" s="3"/>
    </row>
    <row r="29" spans="1:11">
      <c r="A29" s="6" t="s">
        <v>28</v>
      </c>
      <c r="B29" s="24">
        <f>SUM(C26:G26)</f>
        <v>0</v>
      </c>
    </row>
    <row r="30" spans="1:11">
      <c r="A30" s="6" t="s">
        <v>29</v>
      </c>
      <c r="B30" s="24">
        <f>G24*(1+$B$13)</f>
        <v>0</v>
      </c>
    </row>
    <row r="31" spans="1:11">
      <c r="A31" s="6" t="s">
        <v>30</v>
      </c>
      <c r="B31" s="24">
        <f>B30/($B$12-$B$13)</f>
        <v>0</v>
      </c>
    </row>
    <row r="32" spans="1:11">
      <c r="A32" s="6" t="s">
        <v>31</v>
      </c>
      <c r="B32" s="24">
        <f>B31*G25</f>
        <v>0</v>
      </c>
    </row>
    <row r="33" spans="1:7">
      <c r="A33" s="6" t="s">
        <v>32</v>
      </c>
      <c r="B33" s="24">
        <f>B29+B32</f>
        <v>0</v>
      </c>
    </row>
    <row r="34" spans="1:7">
      <c r="A34" s="6" t="s">
        <v>33</v>
      </c>
      <c r="B34" s="24">
        <f>B10</f>
        <v>0</v>
      </c>
    </row>
    <row r="35" spans="1:7">
      <c r="A35" s="6" t="s">
        <v>34</v>
      </c>
      <c r="B35" s="24">
        <f>B33-B34</f>
        <v>0</v>
      </c>
    </row>
    <row r="36" spans="1:7">
      <c r="A36" s="25" t="s">
        <v>35</v>
      </c>
      <c r="B36" s="11">
        <f>B35/$B$7</f>
        <v>0</v>
      </c>
    </row>
    <row r="37" spans="1:7">
      <c r="A37" s="6" t="s">
        <v>36</v>
      </c>
      <c r="B37" s="14">
        <f>(B36-$B$6)/$B$6</f>
        <v>0</v>
      </c>
    </row>
    <row r="39" spans="1:7">
      <c r="A39" s="3" t="s">
        <v>37</v>
      </c>
      <c r="B39" s="3"/>
      <c r="C39" s="3"/>
      <c r="D39" s="3"/>
      <c r="E39" s="3"/>
      <c r="F39" s="3"/>
      <c r="G39" s="3"/>
    </row>
    <row r="40" spans="1:7">
      <c r="A40" s="6" t="s">
        <v>38</v>
      </c>
      <c r="B40" s="17">
        <f>B31/$B$7</f>
        <v>0</v>
      </c>
    </row>
    <row r="41" spans="1:7">
      <c r="A41" s="6" t="s">
        <v>39</v>
      </c>
      <c r="B41" s="13">
        <f>B40/(1.15^5)</f>
        <v>0</v>
      </c>
    </row>
    <row r="42" spans="1:7">
      <c r="A42" s="6" t="s">
        <v>40</v>
      </c>
      <c r="B42" s="14">
        <f>($B$6-B41)/$B$6</f>
        <v>0</v>
      </c>
    </row>
    <row r="43" spans="1:7">
      <c r="A43" s="20" t="s">
        <v>41</v>
      </c>
    </row>
  </sheetData>
  <mergeCells count="5">
    <mergeCell ref="A5:G5"/>
    <mergeCell ref="A18:G18"/>
    <mergeCell ref="A22:G22"/>
    <mergeCell ref="A28:G28"/>
    <mergeCell ref="A39:G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cols>
    <col min="1" max="1" width="30.7109375" customWidth="1"/>
    <col min="2" max="4" width="16.7109375" customWidth="1"/>
  </cols>
  <sheetData>
    <row r="1" spans="1:4">
      <c r="A1" s="1" t="s">
        <v>76</v>
      </c>
    </row>
    <row r="2" spans="1:4">
      <c r="A2" s="2" t="s">
        <v>77</v>
      </c>
    </row>
    <row r="4" spans="1:4">
      <c r="B4" s="26" t="s">
        <v>78</v>
      </c>
      <c r="C4" s="27" t="s">
        <v>79</v>
      </c>
      <c r="D4" s="28" t="s">
        <v>80</v>
      </c>
    </row>
    <row r="5" spans="1:4">
      <c r="B5" s="26"/>
      <c r="C5" s="27"/>
      <c r="D5" s="28"/>
    </row>
    <row r="6" spans="1:4">
      <c r="A6" s="6" t="s">
        <v>81</v>
      </c>
      <c r="B6" s="29">
        <v>0.12</v>
      </c>
      <c r="C6" s="19">
        <v>0.11</v>
      </c>
      <c r="D6" s="30">
        <v>0.1</v>
      </c>
    </row>
    <row r="7" spans="1:4">
      <c r="A7" s="6" t="s">
        <v>82</v>
      </c>
      <c r="B7" s="29">
        <v>0.02</v>
      </c>
      <c r="C7" s="19">
        <v>0.03</v>
      </c>
      <c r="D7" s="30">
        <v>0.035</v>
      </c>
    </row>
    <row r="8" spans="1:4">
      <c r="A8" s="6" t="s">
        <v>83</v>
      </c>
      <c r="B8" s="9">
        <v>3952</v>
      </c>
      <c r="C8" s="24">
        <f>B8</f>
        <v>0</v>
      </c>
      <c r="D8" s="24">
        <f>B8</f>
        <v>0</v>
      </c>
    </row>
    <row r="10" spans="1:4">
      <c r="A10" s="6" t="s">
        <v>84</v>
      </c>
      <c r="B10" s="29">
        <v>0.22</v>
      </c>
      <c r="C10" s="19">
        <v>0.4</v>
      </c>
      <c r="D10" s="30">
        <v>0.5</v>
      </c>
    </row>
    <row r="11" spans="1:4">
      <c r="A11" s="6" t="s">
        <v>85</v>
      </c>
      <c r="B11" s="29">
        <v>0.14</v>
      </c>
      <c r="C11" s="19">
        <v>0.32</v>
      </c>
      <c r="D11" s="30">
        <v>0.42</v>
      </c>
    </row>
    <row r="12" spans="1:4">
      <c r="A12" s="6" t="s">
        <v>86</v>
      </c>
      <c r="B12" s="29">
        <v>0.08</v>
      </c>
      <c r="C12" s="19">
        <v>0.24</v>
      </c>
      <c r="D12" s="30">
        <v>0.34</v>
      </c>
    </row>
    <row r="13" spans="1:4">
      <c r="A13" s="6" t="s">
        <v>87</v>
      </c>
      <c r="B13" s="29">
        <v>0.04</v>
      </c>
      <c r="C13" s="19">
        <v>0.17</v>
      </c>
      <c r="D13" s="30">
        <v>0.24</v>
      </c>
    </row>
    <row r="14" spans="1:4">
      <c r="A14" s="6" t="s">
        <v>88</v>
      </c>
      <c r="B14" s="29">
        <v>0.02</v>
      </c>
      <c r="C14" s="19">
        <v>0.12</v>
      </c>
      <c r="D14" s="30">
        <v>0.16</v>
      </c>
    </row>
    <row r="15" spans="1:4">
      <c r="A15" s="3" t="s">
        <v>89</v>
      </c>
      <c r="B15" s="3"/>
      <c r="C15" s="3"/>
      <c r="D15" s="3"/>
    </row>
    <row r="16" spans="1:4">
      <c r="A16" s="6" t="s">
        <v>90</v>
      </c>
      <c r="B16" s="31">
        <f>B8*(1+B10)</f>
        <v>0</v>
      </c>
      <c r="C16" s="32">
        <f>B8*(1+C10)</f>
        <v>0</v>
      </c>
      <c r="D16" s="33">
        <f>B8*(1+D10)</f>
        <v>0</v>
      </c>
    </row>
    <row r="17" spans="1:4">
      <c r="A17" s="6" t="s">
        <v>91</v>
      </c>
      <c r="B17" s="31">
        <f>B16*(1+B11)</f>
        <v>0</v>
      </c>
      <c r="C17" s="32">
        <f>C16*(1+C11)</f>
        <v>0</v>
      </c>
      <c r="D17" s="33">
        <f>D16*(1+D11)</f>
        <v>0</v>
      </c>
    </row>
    <row r="18" spans="1:4">
      <c r="A18" s="6" t="s">
        <v>92</v>
      </c>
      <c r="B18" s="31">
        <f>B17*(1+B12)</f>
        <v>0</v>
      </c>
      <c r="C18" s="32">
        <f>C17*(1+C12)</f>
        <v>0</v>
      </c>
      <c r="D18" s="33">
        <f>D17*(1+D12)</f>
        <v>0</v>
      </c>
    </row>
    <row r="19" spans="1:4">
      <c r="A19" s="6" t="s">
        <v>93</v>
      </c>
      <c r="B19" s="31">
        <f>B18*(1+B13)</f>
        <v>0</v>
      </c>
      <c r="C19" s="32">
        <f>C18*(1+C13)</f>
        <v>0</v>
      </c>
      <c r="D19" s="33">
        <f>D18*(1+D13)</f>
        <v>0</v>
      </c>
    </row>
    <row r="20" spans="1:4">
      <c r="A20" s="6" t="s">
        <v>94</v>
      </c>
      <c r="B20" s="31">
        <f>B19*(1+B14)</f>
        <v>0</v>
      </c>
      <c r="C20" s="32">
        <f>C19*(1+C14)</f>
        <v>0</v>
      </c>
      <c r="D20" s="33">
        <f>D19*(1+D14)</f>
        <v>0</v>
      </c>
    </row>
    <row r="21" spans="1:4">
      <c r="A21" s="3" t="s">
        <v>95</v>
      </c>
      <c r="B21" s="3"/>
      <c r="C21" s="3"/>
      <c r="D21" s="3"/>
    </row>
    <row r="22" spans="1:4">
      <c r="A22" s="6" t="s">
        <v>96</v>
      </c>
      <c r="B22" s="31">
        <f>B16/(1+B6)^1 + B17/(1+B6)^2 + B18/(1+B6)^3 + B19/(1+B6)^4 + B20/(1+B6)^5</f>
        <v>0</v>
      </c>
      <c r="C22" s="32">
        <f>C16/(1+C6)^1 + C17/(1+C6)^2 + C18/(1+C6)^3 + C19/(1+C6)^4 + C20/(1+C6)^5</f>
        <v>0</v>
      </c>
      <c r="D22" s="33">
        <f>D16/(1+D6)^1 + D17/(1+D6)^2 + D18/(1+D6)^3 + D19/(1+D6)^4 + D20/(1+D6)^5</f>
        <v>0</v>
      </c>
    </row>
    <row r="23" spans="1:4">
      <c r="A23" s="6" t="s">
        <v>97</v>
      </c>
      <c r="B23" s="31">
        <f>B20*(1+B7)</f>
        <v>0</v>
      </c>
      <c r="C23" s="32">
        <f>C20*(1+C7)</f>
        <v>0</v>
      </c>
      <c r="D23" s="33">
        <f>D20*(1+D7)</f>
        <v>0</v>
      </c>
    </row>
    <row r="24" spans="1:4">
      <c r="A24" s="6" t="s">
        <v>30</v>
      </c>
      <c r="B24" s="31">
        <f>B23/(B6-B7)</f>
        <v>0</v>
      </c>
      <c r="C24" s="32">
        <f>C23/(C6-C7)</f>
        <v>0</v>
      </c>
      <c r="D24" s="33">
        <f>D23/(D6-D7)</f>
        <v>0</v>
      </c>
    </row>
    <row r="25" spans="1:4">
      <c r="A25" s="6" t="s">
        <v>98</v>
      </c>
      <c r="B25" s="31">
        <f>B24/(1+B6)^5</f>
        <v>0</v>
      </c>
      <c r="C25" s="32">
        <f>C24/(1+C6)^5</f>
        <v>0</v>
      </c>
      <c r="D25" s="33">
        <f>D24/(1+D6)^5</f>
        <v>0</v>
      </c>
    </row>
    <row r="26" spans="1:4">
      <c r="A26" s="6" t="s">
        <v>32</v>
      </c>
      <c r="B26" s="31">
        <f>B22+B25</f>
        <v>0</v>
      </c>
      <c r="C26" s="32">
        <f>C22+C25</f>
        <v>0</v>
      </c>
      <c r="D26" s="33">
        <f>D22+D25</f>
        <v>0</v>
      </c>
    </row>
    <row r="27" spans="1:4">
      <c r="A27" s="6" t="s">
        <v>33</v>
      </c>
      <c r="B27" s="31">
        <v>755.3</v>
      </c>
      <c r="C27" s="32">
        <v>755.3</v>
      </c>
      <c r="D27" s="33">
        <v>755.3</v>
      </c>
    </row>
    <row r="28" spans="1:4">
      <c r="A28" s="6" t="s">
        <v>34</v>
      </c>
      <c r="B28" s="31">
        <f>B26-B27</f>
        <v>0</v>
      </c>
      <c r="C28" s="32">
        <f>C26-C27</f>
        <v>0</v>
      </c>
      <c r="D28" s="33">
        <f>D26-D27</f>
        <v>0</v>
      </c>
    </row>
    <row r="29" spans="1:4">
      <c r="A29" s="6" t="s">
        <v>5</v>
      </c>
      <c r="B29" s="31">
        <v>338.7</v>
      </c>
      <c r="C29" s="32">
        <v>338.7</v>
      </c>
      <c r="D29" s="33">
        <v>338.7</v>
      </c>
    </row>
    <row r="30" spans="1:4">
      <c r="A30" s="25" t="s">
        <v>35</v>
      </c>
      <c r="B30" s="15">
        <f>B28/B29</f>
        <v>0</v>
      </c>
      <c r="C30" s="13">
        <f>C28/C29</f>
        <v>0</v>
      </c>
      <c r="D30" s="11">
        <f>D28/D29</f>
        <v>0</v>
      </c>
    </row>
    <row r="31" spans="1:4">
      <c r="A31" s="6" t="s">
        <v>50</v>
      </c>
      <c r="B31" s="17">
        <v>467.02</v>
      </c>
      <c r="C31" s="17">
        <v>467.02</v>
      </c>
      <c r="D31" s="17">
        <v>467.02</v>
      </c>
    </row>
    <row r="32" spans="1:4">
      <c r="A32" s="6" t="s">
        <v>99</v>
      </c>
      <c r="B32" s="14">
        <f>(B30-B31)/B31</f>
        <v>0</v>
      </c>
      <c r="C32" s="14">
        <f>(C30-C31)/C31</f>
        <v>0</v>
      </c>
      <c r="D32" s="12">
        <f>(D30-D31)/D31</f>
        <v>0</v>
      </c>
    </row>
    <row r="34" spans="1:4">
      <c r="A34" s="34" t="s">
        <v>100</v>
      </c>
    </row>
    <row r="35" spans="1:4">
      <c r="A35" s="6" t="s">
        <v>101</v>
      </c>
      <c r="B35" s="17">
        <f>B24/B29</f>
        <v>0</v>
      </c>
      <c r="C35" s="17">
        <f>C24/C29</f>
        <v>0</v>
      </c>
      <c r="D35" s="17">
        <f>D24/D29</f>
        <v>0</v>
      </c>
    </row>
    <row r="36" spans="1:4">
      <c r="A36" s="6" t="s">
        <v>102</v>
      </c>
      <c r="B36" s="15">
        <f>B35/(1.15^5)</f>
        <v>0</v>
      </c>
      <c r="C36" s="13">
        <f>C35/(1.15^5)</f>
        <v>0</v>
      </c>
      <c r="D36" s="11">
        <f>D35/(1.15^5)</f>
        <v>0</v>
      </c>
    </row>
    <row r="37" spans="1:4">
      <c r="A37" s="6" t="s">
        <v>103</v>
      </c>
      <c r="B37" s="14">
        <f>(B31-B36)/B31</f>
        <v>0</v>
      </c>
      <c r="C37" s="14">
        <f>(C31-C36)/C31</f>
        <v>0</v>
      </c>
      <c r="D37" s="14">
        <f>(D31-D36)/D31</f>
        <v>0</v>
      </c>
    </row>
    <row r="39" spans="1:4">
      <c r="A39" s="34" t="s">
        <v>104</v>
      </c>
    </row>
    <row r="40" spans="1:4">
      <c r="A40" s="6" t="s">
        <v>105</v>
      </c>
      <c r="B40" s="35">
        <v>0.25</v>
      </c>
      <c r="C40" s="36">
        <v>0.5</v>
      </c>
      <c r="D40" s="37">
        <v>0.25</v>
      </c>
    </row>
    <row r="41" spans="1:4">
      <c r="A41" s="25" t="s">
        <v>106</v>
      </c>
      <c r="B41" s="13">
        <f>B30*B40+C30*C40+D30*D40</f>
        <v>0</v>
      </c>
    </row>
    <row r="42" spans="1:4">
      <c r="A42" s="6" t="s">
        <v>107</v>
      </c>
      <c r="B42" s="14">
        <f>(B41-B31)/B31</f>
        <v>0</v>
      </c>
    </row>
  </sheetData>
  <mergeCells count="5">
    <mergeCell ref="B4:B5"/>
    <mergeCell ref="C4:C5"/>
    <mergeCell ref="D4:D5"/>
    <mergeCell ref="A15:D15"/>
    <mergeCell ref="A21:D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cols>
    <col min="1" max="1" width="16.7109375" customWidth="1"/>
    <col min="2" max="6" width="12.7109375" customWidth="1"/>
  </cols>
  <sheetData>
    <row r="1" spans="1:6">
      <c r="A1" s="1" t="s">
        <v>108</v>
      </c>
    </row>
    <row r="2" spans="1:6">
      <c r="A2" s="2" t="s">
        <v>109</v>
      </c>
    </row>
    <row r="3" spans="1:6">
      <c r="A3" s="20" t="s">
        <v>110</v>
      </c>
    </row>
    <row r="5" spans="1:6">
      <c r="A5" s="38" t="s">
        <v>111</v>
      </c>
    </row>
    <row r="6" spans="1:6">
      <c r="A6" s="6" t="s">
        <v>112</v>
      </c>
      <c r="B6" s="9">
        <v>3952</v>
      </c>
    </row>
    <row r="7" spans="1:6">
      <c r="A7" s="6" t="s">
        <v>8</v>
      </c>
      <c r="B7" s="9">
        <v>755.3</v>
      </c>
    </row>
    <row r="8" spans="1:6">
      <c r="A8" s="6" t="s">
        <v>5</v>
      </c>
      <c r="B8" s="9">
        <v>338.7</v>
      </c>
    </row>
    <row r="10" spans="1:6">
      <c r="A10" s="25" t="s">
        <v>113</v>
      </c>
    </row>
    <row r="11" spans="1:6">
      <c r="A11" s="8" t="s">
        <v>20</v>
      </c>
      <c r="B11" s="8" t="s">
        <v>15</v>
      </c>
      <c r="C11" s="8" t="s">
        <v>16</v>
      </c>
      <c r="D11" s="8" t="s">
        <v>17</v>
      </c>
      <c r="E11" s="8" t="s">
        <v>18</v>
      </c>
      <c r="F11" s="8" t="s">
        <v>19</v>
      </c>
    </row>
    <row r="12" spans="1:6">
      <c r="A12" s="6" t="s">
        <v>21</v>
      </c>
      <c r="B12" s="19">
        <v>0.4</v>
      </c>
      <c r="C12" s="19">
        <v>0.32</v>
      </c>
      <c r="D12" s="19">
        <v>0.24</v>
      </c>
      <c r="E12" s="19">
        <v>0.17</v>
      </c>
      <c r="F12" s="19">
        <v>0.12</v>
      </c>
    </row>
    <row r="14" spans="1:6">
      <c r="A14" s="20" t="s">
        <v>90</v>
      </c>
      <c r="B14" s="24">
        <f>$B$6*(1+B12)</f>
        <v>0</v>
      </c>
    </row>
    <row r="15" spans="1:6">
      <c r="A15" s="20" t="s">
        <v>91</v>
      </c>
      <c r="B15" s="24">
        <f>B14*(1+C12)</f>
        <v>0</v>
      </c>
    </row>
    <row r="16" spans="1:6">
      <c r="A16" s="20" t="s">
        <v>92</v>
      </c>
      <c r="B16" s="24">
        <f>B15*(1+D12)</f>
        <v>0</v>
      </c>
    </row>
    <row r="17" spans="1:6">
      <c r="A17" s="20" t="s">
        <v>93</v>
      </c>
      <c r="B17" s="24">
        <f>B16*(1+E12)</f>
        <v>0</v>
      </c>
    </row>
    <row r="18" spans="1:6">
      <c r="A18" s="20" t="s">
        <v>94</v>
      </c>
      <c r="B18" s="24">
        <f>B17*(1+F12)</f>
        <v>0</v>
      </c>
    </row>
    <row r="21" spans="1:6">
      <c r="A21" s="39" t="s">
        <v>114</v>
      </c>
    </row>
    <row r="22" spans="1:6">
      <c r="A22" s="8" t="s">
        <v>115</v>
      </c>
      <c r="B22" s="40">
        <v>0.02</v>
      </c>
      <c r="C22" s="40">
        <v>0.025</v>
      </c>
      <c r="D22" s="40">
        <v>0.03</v>
      </c>
      <c r="E22" s="40">
        <v>0.035</v>
      </c>
      <c r="F22" s="40">
        <v>0.04</v>
      </c>
    </row>
    <row r="23" spans="1:6">
      <c r="A23" s="40">
        <v>0.09</v>
      </c>
      <c r="B23" s="41">
        <f>($B$14/(1+0.09)^1 + $B$15/(1+0.09)^2 + $B$16/(1+0.09)^3 + $B$17/(1+0.09)^4 + $B$18/(1+0.09)^5 + ($B$18*(1+0.02)/(0.09-0.02))/(1+0.09)^5 - $B$7)/$B$8</f>
        <v>0</v>
      </c>
      <c r="C23" s="41">
        <f>($B$14/(1+0.09)^1 + $B$15/(1+0.09)^2 + $B$16/(1+0.09)^3 + $B$17/(1+0.09)^4 + $B$18/(1+0.09)^5 + ($B$18*(1+0.025)/(0.09-0.025))/(1+0.09)^5 - $B$7)/$B$8</f>
        <v>0</v>
      </c>
      <c r="D23" s="42">
        <f>($B$14/(1+0.09)^1 + $B$15/(1+0.09)^2 + $B$16/(1+0.09)^3 + $B$17/(1+0.09)^4 + $B$18/(1+0.09)^5 + ($B$18*(1+0.03)/(0.09-0.03))/(1+0.09)^5 - $B$7)/$B$8</f>
        <v>0</v>
      </c>
      <c r="E23" s="42">
        <f>($B$14/(1+0.09)^1 + $B$15/(1+0.09)^2 + $B$16/(1+0.09)^3 + $B$17/(1+0.09)^4 + $B$18/(1+0.09)^5 + ($B$18*(1+0.035)/(0.09-0.035))/(1+0.09)^5 - $B$7)/$B$8</f>
        <v>0</v>
      </c>
      <c r="F23" s="42">
        <f>($B$14/(1+0.09)^1 + $B$15/(1+0.09)^2 + $B$16/(1+0.09)^3 + $B$17/(1+0.09)^4 + $B$18/(1+0.09)^5 + ($B$18*(1+0.04)/(0.09-0.04))/(1+0.09)^5 - $B$7)/$B$8</f>
        <v>0</v>
      </c>
    </row>
    <row r="24" spans="1:6">
      <c r="A24" s="40">
        <v>0.1</v>
      </c>
      <c r="B24" s="43">
        <f>($B$14/(1+0.1)^1 + $B$15/(1+0.1)^2 + $B$16/(1+0.1)^3 + $B$17/(1+0.1)^4 + $B$18/(1+0.1)^5 + ($B$18*(1+0.02)/(0.1-0.02))/(1+0.1)^5 - $B$7)/$B$8</f>
        <v>0</v>
      </c>
      <c r="C24" s="43">
        <f>($B$14/(1+0.1)^1 + $B$15/(1+0.1)^2 + $B$16/(1+0.1)^3 + $B$17/(1+0.1)^4 + $B$18/(1+0.1)^5 + ($B$18*(1+0.025)/(0.1-0.025))/(1+0.1)^5 - $B$7)/$B$8</f>
        <v>0</v>
      </c>
      <c r="D24" s="41">
        <f>($B$14/(1+0.1)^1 + $B$15/(1+0.1)^2 + $B$16/(1+0.1)^3 + $B$17/(1+0.1)^4 + $B$18/(1+0.1)^5 + ($B$18*(1+0.03)/(0.1-0.03))/(1+0.1)^5 - $B$7)/$B$8</f>
        <v>0</v>
      </c>
      <c r="E24" s="41">
        <f>($B$14/(1+0.1)^1 + $B$15/(1+0.1)^2 + $B$16/(1+0.1)^3 + $B$17/(1+0.1)^4 + $B$18/(1+0.1)^5 + ($B$18*(1+0.035)/(0.1-0.035))/(1+0.1)^5 - $B$7)/$B$8</f>
        <v>0</v>
      </c>
      <c r="F24" s="42">
        <f>($B$14/(1+0.1)^1 + $B$15/(1+0.1)^2 + $B$16/(1+0.1)^3 + $B$17/(1+0.1)^4 + $B$18/(1+0.1)^5 + ($B$18*(1+0.04)/(0.1-0.04))/(1+0.1)^5 - $B$7)/$B$8</f>
        <v>0</v>
      </c>
    </row>
    <row r="25" spans="1:6">
      <c r="A25" s="40">
        <v>0.11</v>
      </c>
      <c r="B25" s="43">
        <f>($B$14/(1+0.11)^1 + $B$15/(1+0.11)^2 + $B$16/(1+0.11)^3 + $B$17/(1+0.11)^4 + $B$18/(1+0.11)^5 + ($B$18*(1+0.02)/(0.11-0.02))/(1+0.11)^5 - $B$7)/$B$8</f>
        <v>0</v>
      </c>
      <c r="C25" s="43">
        <f>($B$14/(1+0.11)^1 + $B$15/(1+0.11)^2 + $B$16/(1+0.11)^3 + $B$17/(1+0.11)^4 + $B$18/(1+0.11)^5 + ($B$18*(1+0.025)/(0.11-0.025))/(1+0.11)^5 - $B$7)/$B$8</f>
        <v>0</v>
      </c>
      <c r="D25" s="44">
        <f>($B$14/(1+0.11)^1 + $B$15/(1+0.11)^2 + $B$16/(1+0.11)^3 + $B$17/(1+0.11)^4 + $B$18/(1+0.11)^5 + ($B$18*(1+0.03)/(0.11-0.03))/(1+0.11)^5 - $B$7)/$B$8</f>
        <v>0</v>
      </c>
      <c r="E25" s="43">
        <f>($B$14/(1+0.11)^1 + $B$15/(1+0.11)^2 + $B$16/(1+0.11)^3 + $B$17/(1+0.11)^4 + $B$18/(1+0.11)^5 + ($B$18*(1+0.035)/(0.11-0.035))/(1+0.11)^5 - $B$7)/$B$8</f>
        <v>0</v>
      </c>
      <c r="F25" s="41">
        <f>($B$14/(1+0.11)^1 + $B$15/(1+0.11)^2 + $B$16/(1+0.11)^3 + $B$17/(1+0.11)^4 + $B$18/(1+0.11)^5 + ($B$18*(1+0.04)/(0.11-0.04))/(1+0.11)^5 - $B$7)/$B$8</f>
        <v>0</v>
      </c>
    </row>
    <row r="26" spans="1:6">
      <c r="A26" s="40">
        <v>0.12</v>
      </c>
      <c r="B26" s="43">
        <f>($B$14/(1+0.12)^1 + $B$15/(1+0.12)^2 + $B$16/(1+0.12)^3 + $B$17/(1+0.12)^4 + $B$18/(1+0.12)^5 + ($B$18*(1+0.02)/(0.12-0.02))/(1+0.12)^5 - $B$7)/$B$8</f>
        <v>0</v>
      </c>
      <c r="C26" s="43">
        <f>($B$14/(1+0.12)^1 + $B$15/(1+0.12)^2 + $B$16/(1+0.12)^3 + $B$17/(1+0.12)^4 + $B$18/(1+0.12)^5 + ($B$18*(1+0.025)/(0.12-0.025))/(1+0.12)^5 - $B$7)/$B$8</f>
        <v>0</v>
      </c>
      <c r="D26" s="43">
        <f>($B$14/(1+0.12)^1 + $B$15/(1+0.12)^2 + $B$16/(1+0.12)^3 + $B$17/(1+0.12)^4 + $B$18/(1+0.12)^5 + ($B$18*(1+0.03)/(0.12-0.03))/(1+0.12)^5 - $B$7)/$B$8</f>
        <v>0</v>
      </c>
      <c r="E26" s="43">
        <f>($B$14/(1+0.12)^1 + $B$15/(1+0.12)^2 + $B$16/(1+0.12)^3 + $B$17/(1+0.12)^4 + $B$18/(1+0.12)^5 + ($B$18*(1+0.035)/(0.12-0.035))/(1+0.12)^5 - $B$7)/$B$8</f>
        <v>0</v>
      </c>
      <c r="F26" s="43">
        <f>($B$14/(1+0.12)^1 + $B$15/(1+0.12)^2 + $B$16/(1+0.12)^3 + $B$17/(1+0.12)^4 + $B$18/(1+0.12)^5 + ($B$18*(1+0.04)/(0.12-0.04))/(1+0.12)^5 - $B$7)/$B$8</f>
        <v>0</v>
      </c>
    </row>
    <row r="27" spans="1:6">
      <c r="A27" s="40">
        <v>0.13</v>
      </c>
      <c r="B27" s="43">
        <f>($B$14/(1+0.13)^1 + $B$15/(1+0.13)^2 + $B$16/(1+0.13)^3 + $B$17/(1+0.13)^4 + $B$18/(1+0.13)^5 + ($B$18*(1+0.02)/(0.13-0.02))/(1+0.13)^5 - $B$7)/$B$8</f>
        <v>0</v>
      </c>
      <c r="C27" s="43">
        <f>($B$14/(1+0.13)^1 + $B$15/(1+0.13)^2 + $B$16/(1+0.13)^3 + $B$17/(1+0.13)^4 + $B$18/(1+0.13)^5 + ($B$18*(1+0.025)/(0.13-0.025))/(1+0.13)^5 - $B$7)/$B$8</f>
        <v>0</v>
      </c>
      <c r="D27" s="43">
        <f>($B$14/(1+0.13)^1 + $B$15/(1+0.13)^2 + $B$16/(1+0.13)^3 + $B$17/(1+0.13)^4 + $B$18/(1+0.13)^5 + ($B$18*(1+0.03)/(0.13-0.03))/(1+0.13)^5 - $B$7)/$B$8</f>
        <v>0</v>
      </c>
      <c r="E27" s="43">
        <f>($B$14/(1+0.13)^1 + $B$15/(1+0.13)^2 + $B$16/(1+0.13)^3 + $B$17/(1+0.13)^4 + $B$18/(1+0.13)^5 + ($B$18*(1+0.035)/(0.13-0.035))/(1+0.13)^5 - $B$7)/$B$8</f>
        <v>0</v>
      </c>
      <c r="F27" s="43">
        <f>($B$14/(1+0.13)^1 + $B$15/(1+0.13)^2 + $B$16/(1+0.13)^3 + $B$17/(1+0.13)^4 + $B$18/(1+0.13)^5 + ($B$18*(1+0.04)/(0.13-0.04))/(1+0.13)^5 - $B$7)/$B$8</f>
        <v>0</v>
      </c>
    </row>
    <row r="29" spans="1:6">
      <c r="A29" s="20" t="s">
        <v>116</v>
      </c>
    </row>
    <row r="30" spans="1:6">
      <c r="A30" s="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cols>
    <col min="1" max="9" width="14.7109375" customWidth="1"/>
  </cols>
  <sheetData>
    <row r="1" spans="1:9">
      <c r="A1" s="1" t="s">
        <v>118</v>
      </c>
    </row>
    <row r="2" spans="1:9">
      <c r="A2" s="2" t="s">
        <v>119</v>
      </c>
    </row>
    <row r="3" spans="1:9">
      <c r="A3" s="45" t="s">
        <v>120</v>
      </c>
    </row>
    <row r="5" spans="1:9">
      <c r="A5" s="8" t="s">
        <v>121</v>
      </c>
      <c r="B5" s="8" t="s">
        <v>122</v>
      </c>
      <c r="C5" s="8" t="s">
        <v>123</v>
      </c>
      <c r="D5" s="8" t="s">
        <v>124</v>
      </c>
      <c r="E5" s="8" t="s">
        <v>125</v>
      </c>
      <c r="F5" s="8" t="s">
        <v>126</v>
      </c>
      <c r="G5" s="8" t="s">
        <v>127</v>
      </c>
      <c r="H5" s="8" t="s">
        <v>128</v>
      </c>
      <c r="I5" s="8" t="s">
        <v>129</v>
      </c>
    </row>
    <row r="6" spans="1:9">
      <c r="A6" s="46" t="s">
        <v>130</v>
      </c>
      <c r="B6" s="47">
        <v>2793.1</v>
      </c>
      <c r="C6" s="47">
        <v>726.8</v>
      </c>
      <c r="D6" s="48">
        <v>0.26</v>
      </c>
      <c r="E6" s="47">
        <v>35.3</v>
      </c>
      <c r="F6" s="48">
        <v>0.013</v>
      </c>
      <c r="G6" s="47">
        <v>345.2</v>
      </c>
      <c r="H6" s="47">
        <v>342.8</v>
      </c>
      <c r="I6" s="49" t="s">
        <v>131</v>
      </c>
    </row>
    <row r="7" spans="1:9">
      <c r="A7" s="46" t="s">
        <v>132</v>
      </c>
      <c r="B7" s="47">
        <v>2817.1</v>
      </c>
      <c r="C7" s="47">
        <v>1063.2</v>
      </c>
      <c r="D7" s="48">
        <v>0.377</v>
      </c>
      <c r="E7" s="47">
        <v>-192.9</v>
      </c>
      <c r="F7" s="48">
        <v>-0.068</v>
      </c>
      <c r="G7" s="47">
        <v>388</v>
      </c>
      <c r="H7" s="47">
        <v>371.6</v>
      </c>
      <c r="I7" s="49" t="s">
        <v>131</v>
      </c>
    </row>
    <row r="8" spans="1:9">
      <c r="A8" s="46" t="s">
        <v>133</v>
      </c>
      <c r="B8" s="47">
        <v>3283.1</v>
      </c>
      <c r="C8" s="47">
        <v>1502.7</v>
      </c>
      <c r="D8" s="48">
        <v>0.458</v>
      </c>
      <c r="E8" s="47">
        <v>356.7</v>
      </c>
      <c r="F8" s="48">
        <v>0.109</v>
      </c>
      <c r="G8" s="47">
        <v>1037.1</v>
      </c>
      <c r="H8" s="47">
        <v>362.6</v>
      </c>
      <c r="I8" s="49" t="s">
        <v>131</v>
      </c>
    </row>
    <row r="9" spans="1:9">
      <c r="A9" s="46" t="s">
        <v>134</v>
      </c>
      <c r="B9" s="47">
        <v>4709.2</v>
      </c>
      <c r="C9" s="47">
        <v>2719.6</v>
      </c>
      <c r="D9" s="48">
        <v>0.578</v>
      </c>
      <c r="E9" s="47">
        <v>1579.8</v>
      </c>
      <c r="F9" s="48">
        <v>0.335</v>
      </c>
      <c r="G9" s="47">
        <v>2073.4</v>
      </c>
      <c r="H9" s="47">
        <v>347.8</v>
      </c>
      <c r="I9" s="49" t="s">
        <v>131</v>
      </c>
    </row>
    <row r="10" spans="1:9">
      <c r="A10" s="50" t="s">
        <v>135</v>
      </c>
      <c r="B10" s="51">
        <v>5480.7</v>
      </c>
      <c r="C10" s="51">
        <v>4512.5</v>
      </c>
      <c r="D10" s="52">
        <v>0.823</v>
      </c>
      <c r="E10" s="51">
        <v>3333.8</v>
      </c>
      <c r="F10" s="52">
        <v>0.608</v>
      </c>
      <c r="G10" s="51">
        <v>3952</v>
      </c>
      <c r="H10" s="51">
        <v>342</v>
      </c>
      <c r="I10" s="53" t="s">
        <v>136</v>
      </c>
    </row>
    <row r="11" spans="1:9">
      <c r="A11" s="50" t="s">
        <v>137</v>
      </c>
      <c r="B11" s="51">
        <v>1842.4</v>
      </c>
      <c r="C11" s="51">
        <v>1556.9</v>
      </c>
      <c r="D11" s="52">
        <v>0.845</v>
      </c>
      <c r="E11" s="51">
        <v>1205.6</v>
      </c>
      <c r="F11" s="52">
        <v>0.654</v>
      </c>
      <c r="G11" s="51">
        <v>1286.7</v>
      </c>
      <c r="H11" s="51">
        <v>338.7</v>
      </c>
      <c r="I11" s="53" t="s">
        <v>138</v>
      </c>
    </row>
    <row r="13" spans="1:9">
      <c r="A13" s="54" t="s">
        <v>139</v>
      </c>
    </row>
    <row r="14" spans="1:9">
      <c r="A14" s="8" t="s">
        <v>121</v>
      </c>
      <c r="B14" s="8" t="s">
        <v>122</v>
      </c>
      <c r="C14" s="8" t="s">
        <v>140</v>
      </c>
      <c r="D14" s="8" t="s">
        <v>141</v>
      </c>
      <c r="E14" s="8" t="s">
        <v>125</v>
      </c>
      <c r="F14" s="8" t="s">
        <v>126</v>
      </c>
      <c r="G14" s="8" t="s">
        <v>127</v>
      </c>
      <c r="H14" s="8" t="s">
        <v>142</v>
      </c>
    </row>
    <row r="15" spans="1:9">
      <c r="A15" s="10" t="s">
        <v>143</v>
      </c>
      <c r="B15" s="16">
        <v>1258.8</v>
      </c>
      <c r="C15" s="16">
        <v>1018.3</v>
      </c>
      <c r="D15" s="18">
        <v>0.8090000000000001</v>
      </c>
      <c r="E15" s="16">
        <v>819.5</v>
      </c>
      <c r="F15" s="18">
        <v>0.6509999999999999</v>
      </c>
      <c r="G15" s="16">
        <v>768.1</v>
      </c>
      <c r="H15" s="23" t="s">
        <v>144</v>
      </c>
    </row>
    <row r="16" spans="1:9">
      <c r="A16" s="10" t="s">
        <v>145</v>
      </c>
      <c r="B16" s="16">
        <v>1405</v>
      </c>
      <c r="C16" s="16">
        <v>1157.7</v>
      </c>
      <c r="D16" s="18">
        <v>0.8240000000000001</v>
      </c>
      <c r="E16" s="16">
        <v>835.5</v>
      </c>
      <c r="F16" s="18">
        <v>0.595</v>
      </c>
      <c r="G16" s="16">
        <v>1049</v>
      </c>
      <c r="H16" s="23" t="s">
        <v>146</v>
      </c>
    </row>
    <row r="17" spans="1:8">
      <c r="A17" s="10" t="s">
        <v>147</v>
      </c>
      <c r="B17" s="16">
        <v>1657.9</v>
      </c>
      <c r="C17" s="16">
        <v>1398.7</v>
      </c>
      <c r="D17" s="18">
        <v>0.8440000000000001</v>
      </c>
      <c r="E17" s="16">
        <v>1102.3</v>
      </c>
      <c r="F17" s="18">
        <v>0.665</v>
      </c>
      <c r="G17" s="16">
        <v>1309.2</v>
      </c>
      <c r="H17" s="23" t="s">
        <v>148</v>
      </c>
    </row>
    <row r="18" spans="1:8">
      <c r="A18" s="10" t="s">
        <v>137</v>
      </c>
      <c r="B18" s="16">
        <v>1842.4</v>
      </c>
      <c r="C18" s="16">
        <v>1556.9</v>
      </c>
      <c r="D18" s="18">
        <v>0.845</v>
      </c>
      <c r="E18" s="16">
        <v>1205.6</v>
      </c>
      <c r="F18" s="18">
        <v>0.654</v>
      </c>
      <c r="G18" s="16">
        <v>1286.7</v>
      </c>
      <c r="H18" s="23" t="s">
        <v>149</v>
      </c>
    </row>
    <row r="20" spans="1:8">
      <c r="A20" s="54" t="s">
        <v>150</v>
      </c>
    </row>
    <row r="22" spans="1:8">
      <c r="A22" s="21" t="s">
        <v>151</v>
      </c>
      <c r="B22" s="22" t="s">
        <v>66</v>
      </c>
      <c r="C22" s="23" t="s">
        <v>152</v>
      </c>
      <c r="D22" s="23"/>
      <c r="E22" s="23"/>
      <c r="F22" s="23"/>
    </row>
    <row r="23" spans="1:8">
      <c r="A23" s="21" t="s">
        <v>153</v>
      </c>
      <c r="B23" s="22" t="s">
        <v>69</v>
      </c>
      <c r="C23" s="23" t="s">
        <v>154</v>
      </c>
      <c r="D23" s="23"/>
      <c r="E23" s="23"/>
      <c r="F23" s="23"/>
    </row>
    <row r="24" spans="1:8">
      <c r="A24" s="21" t="s">
        <v>155</v>
      </c>
      <c r="B24" s="22" t="s">
        <v>74</v>
      </c>
      <c r="C24" s="23" t="s">
        <v>156</v>
      </c>
      <c r="D24" s="23"/>
      <c r="E24" s="23"/>
      <c r="F24" s="23"/>
    </row>
    <row r="25" spans="1:8">
      <c r="A25" s="21" t="s">
        <v>157</v>
      </c>
      <c r="B25" s="22" t="s">
        <v>72</v>
      </c>
      <c r="C25" s="23" t="s">
        <v>158</v>
      </c>
      <c r="D25" s="23"/>
      <c r="E25" s="23"/>
      <c r="F25" s="23"/>
    </row>
    <row r="26" spans="1:8">
      <c r="A26" s="21" t="s">
        <v>159</v>
      </c>
      <c r="B26" s="22" t="s">
        <v>60</v>
      </c>
      <c r="C26" s="23" t="s">
        <v>160</v>
      </c>
      <c r="D26" s="23"/>
      <c r="E26" s="23"/>
      <c r="F26" s="23"/>
    </row>
    <row r="27" spans="1:8">
      <c r="A27" s="21" t="s">
        <v>161</v>
      </c>
      <c r="B27" s="22" t="s">
        <v>63</v>
      </c>
      <c r="C27" s="23" t="s">
        <v>162</v>
      </c>
      <c r="D27" s="23"/>
      <c r="E27" s="23"/>
      <c r="F27" s="23"/>
    </row>
    <row r="28" spans="1:8">
      <c r="A28" s="21" t="s">
        <v>163</v>
      </c>
      <c r="B28" s="22" t="s">
        <v>164</v>
      </c>
      <c r="C28" s="23" t="s">
        <v>165</v>
      </c>
      <c r="D28" s="23"/>
      <c r="E28" s="23"/>
      <c r="F28" s="23"/>
    </row>
    <row r="29" spans="1:8">
      <c r="A29" s="21" t="s">
        <v>166</v>
      </c>
      <c r="B29" s="22" t="s">
        <v>167</v>
      </c>
      <c r="C29" s="23" t="s">
        <v>168</v>
      </c>
      <c r="D29" s="23"/>
      <c r="E29" s="23"/>
      <c r="F29" s="23"/>
    </row>
  </sheetData>
  <mergeCells count="8">
    <mergeCell ref="C22:F22"/>
    <mergeCell ref="C23:F23"/>
    <mergeCell ref="C24:F24"/>
    <mergeCell ref="C25:F25"/>
    <mergeCell ref="C26:F26"/>
    <mergeCell ref="C27:F27"/>
    <mergeCell ref="C28:F28"/>
    <mergeCell ref="C29:F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cols>
    <col min="1" max="1" width="35.7109375" customWidth="1"/>
    <col min="2" max="2" width="14.7109375" customWidth="1"/>
    <col min="3" max="3" width="50.7109375" customWidth="1"/>
    <col min="4" max="5" width="14.7109375" customWidth="1"/>
  </cols>
  <sheetData>
    <row r="1" spans="1:5">
      <c r="A1" s="1" t="s">
        <v>169</v>
      </c>
    </row>
    <row r="2" spans="1:5">
      <c r="A2" s="2" t="s">
        <v>170</v>
      </c>
    </row>
    <row r="4" spans="1:5">
      <c r="A4" s="3" t="s">
        <v>171</v>
      </c>
    </row>
    <row r="5" spans="1:5">
      <c r="A5" s="8" t="s">
        <v>56</v>
      </c>
      <c r="B5" s="8" t="s">
        <v>172</v>
      </c>
      <c r="C5" s="8" t="s">
        <v>173</v>
      </c>
      <c r="D5" s="8" t="s">
        <v>174</v>
      </c>
    </row>
    <row r="6" spans="1:5">
      <c r="A6" s="55" t="s">
        <v>175</v>
      </c>
      <c r="B6" s="56" t="s">
        <v>176</v>
      </c>
      <c r="C6" s="56" t="s">
        <v>176</v>
      </c>
      <c r="D6" s="56" t="s">
        <v>177</v>
      </c>
    </row>
    <row r="7" spans="1:5">
      <c r="A7" s="55" t="s">
        <v>178</v>
      </c>
      <c r="B7" s="56" t="s">
        <v>179</v>
      </c>
      <c r="C7" s="56" t="s">
        <v>179</v>
      </c>
      <c r="D7" s="56" t="s">
        <v>180</v>
      </c>
    </row>
    <row r="8" spans="1:5">
      <c r="A8" s="55" t="s">
        <v>181</v>
      </c>
      <c r="B8" s="56" t="s">
        <v>182</v>
      </c>
      <c r="C8" s="56" t="s">
        <v>183</v>
      </c>
      <c r="D8" s="56" t="s">
        <v>184</v>
      </c>
    </row>
    <row r="9" spans="1:5">
      <c r="A9" s="55" t="s">
        <v>185</v>
      </c>
      <c r="B9" s="56" t="s">
        <v>186</v>
      </c>
      <c r="C9" s="56" t="s">
        <v>187</v>
      </c>
      <c r="D9" s="56" t="s">
        <v>188</v>
      </c>
    </row>
    <row r="10" spans="1:5">
      <c r="A10" s="55" t="s">
        <v>189</v>
      </c>
      <c r="B10" s="56" t="s">
        <v>190</v>
      </c>
      <c r="C10" s="56" t="s">
        <v>191</v>
      </c>
      <c r="D10" s="56" t="s">
        <v>192</v>
      </c>
    </row>
    <row r="11" spans="1:5">
      <c r="A11" s="55" t="s">
        <v>193</v>
      </c>
      <c r="B11" s="56" t="s">
        <v>194</v>
      </c>
      <c r="C11" s="56" t="s">
        <v>195</v>
      </c>
      <c r="D11" s="56" t="s">
        <v>196</v>
      </c>
    </row>
    <row r="12" spans="1:5">
      <c r="A12" s="55" t="s">
        <v>197</v>
      </c>
      <c r="B12" s="56" t="s">
        <v>198</v>
      </c>
      <c r="C12" s="56" t="s">
        <v>198</v>
      </c>
      <c r="D12" s="56" t="s">
        <v>199</v>
      </c>
    </row>
    <row r="14" spans="1:5">
      <c r="A14" s="3" t="s">
        <v>200</v>
      </c>
    </row>
    <row r="15" spans="1:5">
      <c r="A15" s="8" t="s">
        <v>56</v>
      </c>
      <c r="B15" s="26" t="s">
        <v>201</v>
      </c>
      <c r="C15" s="27" t="s">
        <v>202</v>
      </c>
      <c r="D15" s="28" t="s">
        <v>203</v>
      </c>
      <c r="E15" s="57" t="s">
        <v>204</v>
      </c>
    </row>
    <row r="16" spans="1:5">
      <c r="A16" s="58" t="s">
        <v>205</v>
      </c>
      <c r="B16" s="59" t="s">
        <v>206</v>
      </c>
      <c r="C16" s="60" t="s">
        <v>207</v>
      </c>
      <c r="D16" s="61" t="s">
        <v>208</v>
      </c>
      <c r="E16" s="62" t="s">
        <v>209</v>
      </c>
    </row>
    <row r="17" spans="1:5">
      <c r="A17" s="58" t="s">
        <v>210</v>
      </c>
      <c r="B17" s="59" t="s">
        <v>211</v>
      </c>
      <c r="C17" s="60" t="s">
        <v>212</v>
      </c>
      <c r="D17" s="61" t="s">
        <v>213</v>
      </c>
      <c r="E17" s="62" t="s">
        <v>182</v>
      </c>
    </row>
    <row r="18" spans="1:5">
      <c r="A18" s="58" t="s">
        <v>214</v>
      </c>
      <c r="B18" s="59" t="s">
        <v>215</v>
      </c>
      <c r="C18" s="60" t="s">
        <v>216</v>
      </c>
      <c r="D18" s="61" t="s">
        <v>212</v>
      </c>
      <c r="E18" s="62" t="s">
        <v>217</v>
      </c>
    </row>
    <row r="19" spans="1:5">
      <c r="A19" s="58" t="s">
        <v>218</v>
      </c>
      <c r="B19" s="59" t="s">
        <v>219</v>
      </c>
      <c r="C19" s="60" t="s">
        <v>220</v>
      </c>
      <c r="D19" s="61" t="s">
        <v>221</v>
      </c>
      <c r="E19" s="62" t="s">
        <v>222</v>
      </c>
    </row>
    <row r="20" spans="1:5">
      <c r="A20" s="58" t="s">
        <v>223</v>
      </c>
      <c r="B20" s="59" t="s">
        <v>224</v>
      </c>
      <c r="C20" s="60" t="s">
        <v>225</v>
      </c>
      <c r="D20" s="61" t="s">
        <v>226</v>
      </c>
      <c r="E20" s="62" t="s">
        <v>227</v>
      </c>
    </row>
    <row r="21" spans="1:5">
      <c r="A21" s="58" t="s">
        <v>228</v>
      </c>
      <c r="B21" s="59" t="s">
        <v>229</v>
      </c>
      <c r="C21" s="60" t="s">
        <v>230</v>
      </c>
      <c r="D21" s="61" t="s">
        <v>231</v>
      </c>
      <c r="E21" s="62" t="s">
        <v>186</v>
      </c>
    </row>
    <row r="22" spans="1:5">
      <c r="A22" s="58" t="s">
        <v>232</v>
      </c>
      <c r="B22" s="59" t="s">
        <v>233</v>
      </c>
      <c r="C22" s="60" t="s">
        <v>234</v>
      </c>
      <c r="D22" s="61" t="s">
        <v>235</v>
      </c>
      <c r="E22" s="62" t="s">
        <v>236</v>
      </c>
    </row>
    <row r="24" spans="1:5">
      <c r="A24" s="3" t="s">
        <v>237</v>
      </c>
    </row>
    <row r="25" spans="1:5">
      <c r="A25" s="8" t="s">
        <v>238</v>
      </c>
      <c r="B25" s="8" t="s">
        <v>239</v>
      </c>
      <c r="C25" s="8" t="s">
        <v>240</v>
      </c>
    </row>
    <row r="26" spans="1:5">
      <c r="A26" s="21" t="s">
        <v>241</v>
      </c>
      <c r="B26" s="22" t="s">
        <v>242</v>
      </c>
      <c r="C26" s="63" t="s">
        <v>243</v>
      </c>
    </row>
    <row r="27" spans="1:5">
      <c r="A27" s="21" t="s">
        <v>244</v>
      </c>
      <c r="B27" s="22" t="s">
        <v>245</v>
      </c>
      <c r="C27" s="63" t="s">
        <v>246</v>
      </c>
    </row>
    <row r="28" spans="1:5">
      <c r="A28" s="21" t="s">
        <v>247</v>
      </c>
      <c r="B28" s="22" t="s">
        <v>248</v>
      </c>
      <c r="C28" s="63" t="s">
        <v>249</v>
      </c>
    </row>
    <row r="29" spans="1:5">
      <c r="A29" s="21" t="s">
        <v>250</v>
      </c>
      <c r="B29" s="22" t="s">
        <v>251</v>
      </c>
      <c r="C29" s="63" t="s">
        <v>252</v>
      </c>
    </row>
    <row r="30" spans="1:5">
      <c r="A30" s="21" t="s">
        <v>253</v>
      </c>
      <c r="B30" s="22" t="s">
        <v>254</v>
      </c>
      <c r="C30" s="63" t="s">
        <v>255</v>
      </c>
    </row>
    <row r="31" spans="1:5">
      <c r="A31" s="21" t="s">
        <v>256</v>
      </c>
      <c r="B31" s="22" t="s">
        <v>257</v>
      </c>
      <c r="C31" s="63" t="s">
        <v>258</v>
      </c>
    </row>
    <row r="32" spans="1:5">
      <c r="A32" s="21" t="s">
        <v>259</v>
      </c>
      <c r="B32" s="22" t="s">
        <v>209</v>
      </c>
      <c r="C32" s="63" t="s">
        <v>260</v>
      </c>
    </row>
    <row r="34" spans="1:4">
      <c r="A34" s="64" t="s">
        <v>261</v>
      </c>
    </row>
    <row r="35" spans="1:4" ht="20" customHeight="1">
      <c r="A35" s="65" t="s">
        <v>262</v>
      </c>
      <c r="B35" s="65"/>
      <c r="C35" s="65"/>
      <c r="D35" s="65"/>
    </row>
    <row r="36" spans="1:4" ht="30" customHeight="1">
      <c r="A36" s="66" t="s">
        <v>263</v>
      </c>
      <c r="B36" s="66"/>
      <c r="C36" s="66"/>
      <c r="D36" s="66"/>
    </row>
    <row r="37" spans="1:4" ht="35" customHeight="1">
      <c r="A37" s="67" t="s">
        <v>264</v>
      </c>
      <c r="B37" s="67"/>
      <c r="C37" s="67"/>
      <c r="D37" s="67"/>
    </row>
    <row r="38" spans="1:4" ht="40" customHeight="1"/>
  </sheetData>
  <mergeCells count="3">
    <mergeCell ref="A35:D35"/>
    <mergeCell ref="A36:D36"/>
    <mergeCell ref="A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Scenario Comparison</vt:lpstr>
      <vt:lpstr>Sensitivity</vt:lpstr>
      <vt:lpstr>Historical Data</vt:lpstr>
      <vt:lpstr>Sanity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2026-06-24T02:57:55Z</dcterms:created>
  <dcterms:modified xsi:type="dcterms:W3CDTF">2026-06-24T02:57:55Z</dcterms:modified>
</cp:coreProperties>
</file>