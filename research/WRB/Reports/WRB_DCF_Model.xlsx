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<sst xmlns="http://schemas.openxmlformats.org/spreadsheetml/2006/main" count="386" uniqueCount="173">
  <si>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</si>
  <si>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WRB</t>
  </si>
  <si>
    <t xml:space="preserve">Company</t>
  </si>
  <si>
    <t xml:space="preserve">W. R. Berkley Corporation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</si>
  <si>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</si>
  <si>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</si>
  <si>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</si>
  <si>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</si>
  <si>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2026-10-02T20:00:03Z regular close (Yahoo Finance chart API)</t>
  </si>
  <si>
    <t xml:space="preserve">Balance sheet date</t>
  </si>
  <si>
    <t xml:space="preserve">2026-06-30</t>
  </si>
  <si>
    <t xml:space="preserve">Model</t>
  </si>
  <si>
    <t xml:space="preserve">Specialty P&amp;C insurer FCFE at cost of equity, net debt held at zero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</si>
  <si>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</si>
  <si>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</si>
  <si>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</si>
  <si>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</si>
  <si>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</si>
  <si>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</si>
  <si>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</si>
  <si>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</si>
  <si>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2026-10-02T21:56:08Z</t>
  </si>
  <si>
    <t xml:space="preserve">Drivers file</t>
  </si>
  <si>
    <t xml:space="preserve">WRB_Drivers.json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</si>
  <si>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</si>
  <si>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</si>
  <si>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</si>
  <si>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specialty P&amp;C insurer as the cash its holding company can distribute (FCFE) after retaining the capital premium growth requires, discounted at a 9% cost of equity with net debt at zero. The key judgment is the through-cycle underwriting margin: WRB's 2023-26 returns (~20% ROE) are a hard-market peak, and the base fades them to ~16%. Residual-income cross-check: diluted BVPS $25.13 (equity $9,833M / 391.3M at 2026-06-30, after a -$640M AOCI mark); at a sustainable 16% ROE, 4% book growth and a 9% cost of equity, justified P/B = (16-4)/(9-4) = 2.4x = ~$60; at 20% ROE = 3.2x = ~$80; at 13% ROE = 1.8x = ~$45.
key_risks_to_valuation: Casualty reserve adequacy: social inflation on accident years 2019-2023 ($44M adverse development in 2025) could become a material charge that resets book and the margin path; Soft-market depth: rates already declining in property, workers' comp and professional liability; a broad E&amp;S softening would push the margin toward the bear path; Interest rates: lower new-money yields cut net investment income (~10% of revenue, a larger share of pre-tax profit) while higher rates widen the AOCI mark on book; Catastrophe volatility: H1-2026 cats were light ($76M Q1 vs $111M Q1-2025); year-1 margin assumes a normal H2; Mitsui Sumitomo's completed 15% open-market stake build was a source of buying demand that has now ended; its governance provisions also limit takeover optionality</t>
  </si>
  <si>
    <t xml:space="preserve">Data sources</t>
  </si>
  <si>
    <t xml:space="preserve">price: Yahoo Finance chart API at inputs.price_as_of; 52-week range 62.87-78.96
financials: SEC XBRL companyfacts (CIK 11544) FY2022-FY2025 10-Ks and Q1/Q2-2026 10-Qs: revenues, net premiums written/earned, net investment income, investment gains, pre-tax income, income tax expense and taxes paid, SBC, dividends and repurchases, equity, AOCI, NCI, basic/diluted/RSU weighted shares, cover-page shares outstanding; WRB_Metrics.csv for the long history
qualitative: WRB_Analysis.json (2026-10-03): Q2-2026 results, guidance (expense ratio &lt;=30%, AY ex-cat combined ratio high-80s), Berkley Edge/Meridian/Embedded Solutions, MSI 15% stake, social-inflation and soft-market risks</t>
  </si>
  <si>
    <t xml:space="preserve">Scenario narrative: bear</t>
  </si>
  <si>
    <t xml:space="preserve">The soft market and social inflation coincide: a reserve charge and negative specialty rates push the pre-tax margin to 11%, premium shrinks for two years, and the business settles at its 2010s ~13% ROE.</t>
  </si>
  <si>
    <t xml:space="preserve">Scenario narrative: base</t>
  </si>
  <si>
    <t xml:space="preserve">A disciplined specialty underwriter enters the soft phase of the P&amp;C cycle from a peak: FY2026 ROE ~20% fades to ~16% over five years as rate adequacy erodes against casualty loss trend, cushioned by rising investment income; premium growth bottoms at ~3% and recovers when the cycle turns.</t>
  </si>
  <si>
    <t xml:space="preserve">Scenario narrative: bull</t>
  </si>
  <si>
    <t xml:space="preserve">WRB repeats its 2019-2024 playbook of out-growing the market through new specialty units while holding a high-80s combined ratio; ROE stays near 19-20% and premium compounds 6-7%.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</si>
  <si>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</si>
  <si>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</si>
  <si>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</si>
  <si>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</si>
  <si>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</si>
  <si>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</si>
  <si>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</si>
  <si>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</si>
  <si>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</si>
  <si>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</si>
  <si>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</si>
  <si>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</si>
  <si>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</si>
  <si>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</si>
  <si>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</si>
  <si>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</si>
  <si>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</si>
  <si>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</si>
  <si>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</si>
  <si>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</si>
  <si>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</si>
  <si>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</si>
  <si>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</si>
  <si>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</si>
  <si>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</si>
  <si>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</si>
  <si>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</si>
  <si>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</si>
  <si>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</si>
  <si>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</si>
  <si>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</si>
  <si>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</si>
  <si>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</si>
  <si>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</si>
  <si>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</si>
  <si>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</si>
  <si>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</si>
  <si>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</si>
  <si>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</si>
  <si>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</si>
  <si>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</si>
  <si>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</si>
  <si>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</si>
  <si>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</si>
  <si>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</si>
  <si>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</si>
  <si>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</si>
  <si>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</si>
  <si>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</si>
  <si>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</si>
  <si>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</si>
  <si>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</si>
  <si>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</si>
  <si>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</si>
  <si>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</si>
  <si>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</si>
  <si>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</si>
  <si>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</si>
  <si>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</si>
  <si>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</si>
  <si>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</si>
  <si>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</si>
  <si>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</si>
  <si>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</si>
  <si>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</si>
  <si>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</si>
  <si>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</si>
  <si>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</si>
  <si>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</si>
  <si>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</si>
  <si>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</si>
  <si>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</si>
  <si>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</si>
  <si>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</si>
  <si>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</si>
  <si>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</si>
  <si>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</si>
  <si>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</si>
  <si>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</si>
  <si>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</si>
  <si>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</si>
  <si>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</si>
  <si>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</si>
  <si>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WRB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</si>
  <si>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</si>
  <si>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</si>
  <si>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</si>
  <si>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</si>
  <si>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</si>
  <si>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</si>
  <si>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</si>
  <si>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</si>
  <si>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</si>
  <si>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</si>
  <si>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</si>
  <si>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</si>
  <si>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</si>
  <si>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</si>
  <si>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</si>
  <si>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</si>
  <si>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</si>
  <si>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</si>
  <si>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</si>
  <si>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</si>
  <si>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</si>
  <si>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</si>
  <si>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</si>
  <si>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</si>
  <si>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</si>
  <si>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</si>
  <si>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</si>
  <si>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</si>
  <si>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</si>
  <si>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</si>
  <si>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WRB owner-FCF component DCF: base case (millions, USD)</t>
  </si>
  <si>
    <t xml:space="preserve">WRB owner-FCF component DCF: bull case (millions, USD)</t>
  </si>
  <si>
    <t xml:space="preserve">WRB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</si>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</sst>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68.98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951.863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4708.808</v>
      </c>
      <c r="I3" s="0" t="n">
        <v>281.403</v>
      </c>
      <c r="J3" s="0" t="n">
        <v>5.97609840961874</v>
      </c>
      <c r="K3" s="0" t="n">
        <v>1.68</v>
      </c>
      <c r="L3" s="0" t="n">
        <v>1552.96</v>
      </c>
      <c r="M3" s="0" t="n">
        <v>78.947</v>
      </c>
      <c r="N3" s="0" t="n">
        <v>1474.013</v>
      </c>
      <c r="S3" s="0" t="n">
        <v>1134.835</v>
      </c>
      <c r="T3" s="0" t="n">
        <v>161.467</v>
      </c>
      <c r="U3" s="0" t="n">
        <v>24.139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4431.178</v>
      </c>
      <c r="I4" s="0" t="n">
        <v>309.08</v>
      </c>
      <c r="J4" s="0" t="n">
        <v>6.97512038559498</v>
      </c>
      <c r="K4" s="0" t="n">
        <v>1.93</v>
      </c>
      <c r="L4" s="0" t="n">
        <v>316.054</v>
      </c>
      <c r="M4" s="0" t="n">
        <v>30.455</v>
      </c>
      <c r="N4" s="0" t="n">
        <v>285.599</v>
      </c>
      <c r="O4" s="0" t="n">
        <v>3601.946</v>
      </c>
      <c r="P4" s="0" t="n">
        <v>17328.596</v>
      </c>
      <c r="Q4" s="0" t="n">
        <v>13726.65</v>
      </c>
      <c r="S4" s="0" t="n">
        <v>515.43</v>
      </c>
      <c r="T4" s="0" t="n">
        <v>156.552</v>
      </c>
      <c r="U4" s="0" t="n">
        <v>24.465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4724.069</v>
      </c>
      <c r="I5" s="0" t="n">
        <v>446.684</v>
      </c>
      <c r="J5" s="0" t="n">
        <v>9.45549271189731</v>
      </c>
      <c r="K5" s="0" t="n">
        <v>3</v>
      </c>
      <c r="L5" s="0" t="n">
        <v>451.316</v>
      </c>
      <c r="M5" s="0" t="n">
        <v>49.605</v>
      </c>
      <c r="N5" s="0" t="n">
        <v>401.711</v>
      </c>
      <c r="O5" s="0" t="n">
        <v>3709.856</v>
      </c>
      <c r="P5" s="0" t="n">
        <v>17528.547</v>
      </c>
      <c r="Q5" s="0" t="n">
        <v>13818.691</v>
      </c>
      <c r="S5" s="0" t="n">
        <v>642.952</v>
      </c>
      <c r="T5" s="0" t="n">
        <v>141.009834</v>
      </c>
      <c r="U5" s="0" t="n">
        <v>27.407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5155.984</v>
      </c>
      <c r="I6" s="0" t="n">
        <v>391.211</v>
      </c>
      <c r="J6" s="0" t="n">
        <v>7.58751384798712</v>
      </c>
      <c r="K6" s="0" t="n">
        <v>2.8</v>
      </c>
      <c r="L6" s="0" t="n">
        <v>670.279</v>
      </c>
      <c r="M6" s="0" t="n">
        <v>45.32</v>
      </c>
      <c r="N6" s="0" t="n">
        <v>624.959</v>
      </c>
      <c r="O6" s="0" t="n">
        <v>3960.882</v>
      </c>
      <c r="P6" s="0" t="n">
        <v>18403.873</v>
      </c>
      <c r="Q6" s="0" t="n">
        <v>14442.991</v>
      </c>
      <c r="S6" s="0" t="n">
        <v>911.742</v>
      </c>
      <c r="T6" s="0" t="n">
        <v>137.520019</v>
      </c>
      <c r="U6" s="0" t="n">
        <v>27.175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5823.554</v>
      </c>
      <c r="I7" s="0" t="n">
        <v>510.643</v>
      </c>
      <c r="J7" s="0" t="n">
        <v>8.76858014882321</v>
      </c>
      <c r="K7" s="0" t="n">
        <v>3.72</v>
      </c>
      <c r="L7" s="0" t="n">
        <v>675.458</v>
      </c>
      <c r="M7" s="0" t="n">
        <v>40.556</v>
      </c>
      <c r="N7" s="0" t="n">
        <v>634.902</v>
      </c>
      <c r="O7" s="0" t="n">
        <v>4335.466</v>
      </c>
      <c r="P7" s="0" t="n">
        <v>20155.896</v>
      </c>
      <c r="Q7" s="0" t="n">
        <v>15820.43</v>
      </c>
      <c r="S7" s="0" t="n">
        <v>839.738</v>
      </c>
      <c r="T7" s="0" t="n">
        <v>136.017732</v>
      </c>
      <c r="U7" s="0" t="n">
        <v>26.763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6408.534</v>
      </c>
      <c r="I8" s="0" t="n">
        <v>505.301</v>
      </c>
      <c r="J8" s="0" t="n">
        <v>7.88481421804113</v>
      </c>
      <c r="K8" s="0" t="n">
        <v>3.69</v>
      </c>
      <c r="L8" s="0" t="n">
        <v>819.798</v>
      </c>
      <c r="M8" s="0" t="n">
        <v>63.15</v>
      </c>
      <c r="N8" s="0" t="n">
        <v>756.648</v>
      </c>
      <c r="O8" s="0" t="n">
        <v>4369.394</v>
      </c>
      <c r="P8" s="0" t="n">
        <v>20551.796</v>
      </c>
      <c r="Q8" s="0" t="n">
        <v>16182.402</v>
      </c>
      <c r="S8" s="0" t="n">
        <v>839.738</v>
      </c>
      <c r="T8" s="0" t="n">
        <v>140.742922</v>
      </c>
      <c r="U8" s="0" t="n">
        <v>23.784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7128.928</v>
      </c>
      <c r="I9" s="0" t="n">
        <v>649.603</v>
      </c>
      <c r="J9" s="0" t="n">
        <v>9.11221154148281</v>
      </c>
      <c r="K9" s="0" t="n">
        <v>5.07</v>
      </c>
      <c r="L9" s="0" t="n">
        <v>734.847</v>
      </c>
      <c r="M9" s="0" t="n">
        <v>41.958</v>
      </c>
      <c r="N9" s="0" t="n">
        <v>692.889</v>
      </c>
      <c r="O9" s="0" t="n">
        <v>4624.134</v>
      </c>
      <c r="P9" s="0" t="n">
        <v>21716.691</v>
      </c>
      <c r="Q9" s="0" t="n">
        <v>17092.557</v>
      </c>
      <c r="S9" s="0" t="n">
        <v>674.441</v>
      </c>
      <c r="T9" s="0" t="n">
        <v>133.651855</v>
      </c>
      <c r="U9" s="0" t="n">
        <v>28.068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7206.457</v>
      </c>
      <c r="I10" s="0" t="n">
        <v>504.107</v>
      </c>
      <c r="J10" s="0" t="n">
        <v>6.99521276544077</v>
      </c>
      <c r="K10" s="0" t="n">
        <v>4.06</v>
      </c>
      <c r="L10" s="0" t="n">
        <v>881.304</v>
      </c>
      <c r="M10" s="0" t="n">
        <v>63.562</v>
      </c>
      <c r="N10" s="0" t="n">
        <v>817.742</v>
      </c>
      <c r="O10" s="0" t="n">
        <v>4633.208</v>
      </c>
      <c r="P10" s="0" t="n">
        <v>21730.967</v>
      </c>
      <c r="Q10" s="0" t="n">
        <v>17097.759</v>
      </c>
      <c r="S10" s="0" t="n">
        <v>763.631</v>
      </c>
      <c r="T10" s="0" t="n">
        <v>123.307837</v>
      </c>
      <c r="U10" s="0" t="n">
        <v>32.123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7654.184</v>
      </c>
      <c r="I11" s="0" t="n">
        <v>603.485</v>
      </c>
      <c r="J11" s="0" t="n">
        <v>7.88438062110866</v>
      </c>
      <c r="K11" s="0" t="n">
        <v>4.91</v>
      </c>
      <c r="L11" s="0" t="n">
        <v>848.376</v>
      </c>
      <c r="M11" s="0" t="n">
        <v>50.829</v>
      </c>
      <c r="N11" s="0" t="n">
        <v>797.547</v>
      </c>
      <c r="O11" s="0" t="n">
        <v>5081.134</v>
      </c>
      <c r="P11" s="0" t="n">
        <v>23364.844</v>
      </c>
      <c r="Q11" s="0" t="n">
        <v>18283.71</v>
      </c>
      <c r="S11" s="0" t="n">
        <v>795.285</v>
      </c>
      <c r="T11" s="0" t="n">
        <v>181.790399</v>
      </c>
      <c r="U11" s="0" t="n">
        <v>37.174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7684.764</v>
      </c>
      <c r="I12" s="0" t="n">
        <v>553.337</v>
      </c>
      <c r="J12" s="0" t="n">
        <v>7.20044232978397</v>
      </c>
      <c r="K12" s="0" t="n">
        <v>2.93</v>
      </c>
      <c r="L12" s="0" t="n">
        <v>710.883</v>
      </c>
      <c r="M12" s="0" t="n">
        <v>115.719</v>
      </c>
      <c r="N12" s="0" t="n">
        <v>595.164</v>
      </c>
      <c r="O12" s="0" t="n">
        <v>5451.163</v>
      </c>
      <c r="P12" s="0" t="n">
        <v>24299.917</v>
      </c>
      <c r="Q12" s="0" t="n">
        <v>18848.754</v>
      </c>
      <c r="S12" s="0" t="n">
        <v>950.471</v>
      </c>
      <c r="T12" s="0" t="n">
        <v>182.272278</v>
      </c>
      <c r="U12" s="0" t="n">
        <v>40.49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7691.651</v>
      </c>
      <c r="I13" s="0" t="n">
        <v>649.066</v>
      </c>
      <c r="J13" s="0" t="n">
        <v>8.43857840143813</v>
      </c>
      <c r="K13" s="0" t="n">
        <v>3.37</v>
      </c>
      <c r="L13" s="0" t="n">
        <v>620.199</v>
      </c>
      <c r="M13" s="0" t="n">
        <v>49.86</v>
      </c>
      <c r="N13" s="0" t="n">
        <v>570.339</v>
      </c>
      <c r="O13" s="0" t="n">
        <v>5479.798</v>
      </c>
      <c r="P13" s="0" t="n">
        <v>24895.977</v>
      </c>
      <c r="Q13" s="0" t="n">
        <v>19416.179</v>
      </c>
      <c r="S13" s="0" t="n">
        <v>817.602</v>
      </c>
      <c r="T13" s="0" t="n">
        <v>182.99364</v>
      </c>
      <c r="U13" s="0" t="n">
        <v>36.591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7902.196</v>
      </c>
      <c r="I14" s="0" t="n">
        <v>683.985</v>
      </c>
      <c r="J14" s="0" t="n">
        <v>8.65563192813744</v>
      </c>
      <c r="K14" s="0" t="n">
        <v>3.58</v>
      </c>
      <c r="L14" s="0" t="n">
        <v>1143.793</v>
      </c>
      <c r="M14" s="0" t="n">
        <v>60.457</v>
      </c>
      <c r="N14" s="0" t="n">
        <v>1083.336</v>
      </c>
      <c r="O14" s="0" t="n">
        <v>6118.342</v>
      </c>
      <c r="P14" s="0" t="n">
        <v>26662.144</v>
      </c>
      <c r="Q14" s="0" t="n">
        <v>20543.802</v>
      </c>
      <c r="S14" s="0" t="n">
        <v>1023.71</v>
      </c>
      <c r="T14" s="0" t="n">
        <v>275.117861</v>
      </c>
      <c r="U14" s="0" t="n">
        <v>49.274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8098.925</v>
      </c>
      <c r="I15" s="0" t="n">
        <v>532.985</v>
      </c>
      <c r="J15" s="0" t="n">
        <v>6.58093512410598</v>
      </c>
      <c r="K15" s="0" t="n">
        <v>1.89</v>
      </c>
      <c r="L15" s="0" t="n">
        <v>1616.686</v>
      </c>
      <c r="O15" s="0" t="n">
        <v>6325.797</v>
      </c>
      <c r="P15" s="0" t="n">
        <v>28606.913</v>
      </c>
      <c r="Q15" s="0" t="n">
        <v>22281.116</v>
      </c>
      <c r="S15" s="0" t="n">
        <v>2372.366</v>
      </c>
      <c r="T15" s="0" t="n">
        <v>266.737725</v>
      </c>
      <c r="U15" s="0" t="n">
        <v>49.658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9455.466</v>
      </c>
      <c r="I16" s="0" t="n">
        <v>1031.015</v>
      </c>
      <c r="J16" s="0" t="n">
        <v>10.9039046832806</v>
      </c>
      <c r="K16" s="0" t="n">
        <v>3.69</v>
      </c>
      <c r="L16" s="0" t="n">
        <v>2183.987</v>
      </c>
      <c r="O16" s="0" t="n">
        <v>6667.73</v>
      </c>
      <c r="P16" s="0" t="n">
        <v>32086.414</v>
      </c>
      <c r="Q16" s="0" t="n">
        <v>25418.684</v>
      </c>
      <c r="S16" s="0" t="n">
        <v>1568.843</v>
      </c>
      <c r="T16" s="0" t="n">
        <v>397.756323</v>
      </c>
      <c r="U16" s="0" t="n">
        <v>46.68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11166.499</v>
      </c>
      <c r="I17" s="0" t="n">
        <v>1384.954</v>
      </c>
      <c r="J17" s="0" t="n">
        <v>12.4027593608346</v>
      </c>
      <c r="K17" s="0" t="n">
        <v>3.33</v>
      </c>
      <c r="L17" s="0" t="n">
        <v>2568.604</v>
      </c>
      <c r="O17" s="0" t="n">
        <v>6768.161</v>
      </c>
      <c r="P17" s="0" t="n">
        <v>33861.099</v>
      </c>
      <c r="Q17" s="0" t="n">
        <v>27092.938</v>
      </c>
      <c r="S17" s="0" t="n">
        <v>1449.346</v>
      </c>
      <c r="T17" s="0" t="n">
        <v>396.81915</v>
      </c>
      <c r="U17" s="0" t="n">
        <v>49.411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12142.938</v>
      </c>
      <c r="I18" s="0" t="n">
        <v>1383.846</v>
      </c>
      <c r="J18" s="0" t="n">
        <v>11.3963029375593</v>
      </c>
      <c r="K18" s="0" t="n">
        <v>3.4</v>
      </c>
      <c r="L18" s="0" t="n">
        <v>2929.238</v>
      </c>
      <c r="O18" s="0" t="n">
        <v>7469.237</v>
      </c>
      <c r="P18" s="0" t="n">
        <v>37202.015</v>
      </c>
      <c r="Q18" s="0" t="n">
        <v>29732.778</v>
      </c>
      <c r="S18" s="0" t="n">
        <v>1363.195</v>
      </c>
      <c r="T18" s="0" t="n">
        <v>409.948</v>
      </c>
      <c r="U18" s="0" t="n">
        <v>51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13638.752</v>
      </c>
      <c r="I19" s="0" t="n">
        <v>1756.115</v>
      </c>
      <c r="J19" s="0" t="n">
        <v>12.8759214919371</v>
      </c>
      <c r="K19" s="0" t="n">
        <v>4.39</v>
      </c>
      <c r="L19" s="0" t="n">
        <v>3678.368</v>
      </c>
      <c r="O19" s="0" t="n">
        <v>8407.439</v>
      </c>
      <c r="P19" s="0" t="n">
        <v>40567.268</v>
      </c>
      <c r="Q19" s="0" t="n">
        <v>32159.829</v>
      </c>
      <c r="S19" s="0" t="n">
        <v>1974.747</v>
      </c>
      <c r="T19" s="0" t="n">
        <v>403.224</v>
      </c>
      <c r="U19" s="0" t="n">
        <v>54.381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14707.856</v>
      </c>
      <c r="I20" s="0" t="n">
        <v>1784.779</v>
      </c>
      <c r="J20" s="0" t="n">
        <v>12.1348686035545</v>
      </c>
      <c r="K20" s="0" t="n">
        <v>4.48</v>
      </c>
      <c r="L20" s="0" t="n">
        <v>3582.616</v>
      </c>
      <c r="O20" s="0" t="n">
        <v>9711.894</v>
      </c>
      <c r="P20" s="0" t="n">
        <v>44071.071</v>
      </c>
      <c r="Q20" s="0" t="n">
        <v>34359.177</v>
      </c>
      <c r="S20" s="0" t="n">
        <v>2539.938</v>
      </c>
      <c r="T20" s="0" t="n">
        <v>399.861</v>
      </c>
      <c r="U20" s="0" t="n">
        <v>54.524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68.98</v>
      </c>
    </row>
    <row r="3" customFormat="false" ht="15" hidden="false" customHeight="false" outlineLevel="0" collapsed="false">
      <c r="A3" s="0" t="s">
        <v>85</v>
      </c>
      <c r="B3" s="3" t="n">
        <v>391.3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14575.6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2</v>
      </c>
      <c r="D13" s="3" t="n">
        <v>-1</v>
      </c>
      <c r="E13" s="3" t="n">
        <v>0</v>
      </c>
      <c r="F13" s="3" t="n">
        <v>2</v>
      </c>
      <c r="G13" s="3" t="n">
        <v>3.5</v>
      </c>
      <c r="H13" s="3" t="n">
        <v>4</v>
      </c>
      <c r="I13" s="3" t="n">
        <v>3.5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16</v>
      </c>
      <c r="D14" s="3" t="n">
        <v>13</v>
      </c>
      <c r="E14" s="3" t="n">
        <v>11</v>
      </c>
      <c r="F14" s="3" t="n">
        <v>11</v>
      </c>
      <c r="G14" s="3" t="n">
        <v>11.5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107</v>
      </c>
      <c r="C15" s="3" t="n">
        <v>0.38</v>
      </c>
      <c r="D15" s="3" t="n">
        <v>0.38</v>
      </c>
      <c r="E15" s="3" t="n">
        <v>0.38</v>
      </c>
      <c r="F15" s="3" t="n">
        <v>0.38</v>
      </c>
      <c r="G15" s="3" t="n">
        <v>0.38</v>
      </c>
      <c r="H15" s="3" t="n">
        <v>0.38</v>
      </c>
      <c r="I15" s="3" t="n">
        <v>0.38</v>
      </c>
      <c r="J15" s="3" t="n">
        <v>0.38</v>
      </c>
      <c r="K15" s="3" t="n">
        <v>0.38</v>
      </c>
      <c r="L15" s="3" t="n">
        <v>0.38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110</v>
      </c>
      <c r="C18" s="3" t="n">
        <v>1.4</v>
      </c>
      <c r="D18" s="3" t="n">
        <v>0</v>
      </c>
      <c r="E18" s="3" t="n">
        <v>0</v>
      </c>
      <c r="F18" s="3" t="n">
        <v>1.4</v>
      </c>
      <c r="G18" s="3" t="n">
        <v>2.4</v>
      </c>
      <c r="H18" s="3" t="n">
        <v>2.7</v>
      </c>
      <c r="I18" s="3" t="n">
        <v>2.4</v>
      </c>
      <c r="J18" s="3" t="n">
        <v>2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111</v>
      </c>
      <c r="C19" s="3" t="n">
        <v>18.5</v>
      </c>
      <c r="D19" s="3" t="n">
        <v>20</v>
      </c>
      <c r="E19" s="3" t="n">
        <v>21</v>
      </c>
      <c r="F19" s="3" t="n">
        <v>21.5</v>
      </c>
      <c r="G19" s="3" t="n">
        <v>21.5</v>
      </c>
      <c r="H19" s="3" t="n">
        <v>21.5</v>
      </c>
      <c r="I19" s="3" t="n">
        <v>21.5</v>
      </c>
      <c r="J19" s="3" t="n">
        <v>21.5</v>
      </c>
      <c r="K19" s="3" t="n">
        <v>21.5</v>
      </c>
      <c r="L19" s="3" t="n">
        <v>21.5</v>
      </c>
    </row>
    <row r="20" customFormat="false" ht="15" hidden="false" customHeight="false" outlineLevel="0" collapsed="false">
      <c r="A20" s="0" t="s">
        <v>112</v>
      </c>
      <c r="B20" s="3" t="n">
        <v>9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3</v>
      </c>
      <c r="D27" s="3" t="n">
        <v>3.5</v>
      </c>
      <c r="E27" s="3" t="n">
        <v>4.5</v>
      </c>
      <c r="F27" s="3" t="n">
        <v>5.5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16.8</v>
      </c>
      <c r="D28" s="3" t="n">
        <v>16.3</v>
      </c>
      <c r="E28" s="3" t="n">
        <v>15.8</v>
      </c>
      <c r="F28" s="3" t="n">
        <v>15.4</v>
      </c>
      <c r="G28" s="3" t="n">
        <v>15</v>
      </c>
      <c r="H28" s="3" t="n">
        <v>14.8</v>
      </c>
      <c r="I28" s="3" t="n">
        <v>14.6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107</v>
      </c>
      <c r="C29" s="3" t="n">
        <v>0.38</v>
      </c>
      <c r="D29" s="3" t="n">
        <v>0.38</v>
      </c>
      <c r="E29" s="3" t="n">
        <v>0.38</v>
      </c>
      <c r="F29" s="3" t="n">
        <v>0.38</v>
      </c>
      <c r="G29" s="3" t="n">
        <v>0.38</v>
      </c>
      <c r="H29" s="3" t="n">
        <v>0.38</v>
      </c>
      <c r="I29" s="3" t="n">
        <v>0.38</v>
      </c>
      <c r="J29" s="3" t="n">
        <v>0.38</v>
      </c>
      <c r="K29" s="3" t="n">
        <v>0.38</v>
      </c>
      <c r="L29" s="3" t="n">
        <v>0.38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110</v>
      </c>
      <c r="C32" s="3" t="n">
        <v>2</v>
      </c>
      <c r="D32" s="3" t="n">
        <v>2.4</v>
      </c>
      <c r="E32" s="3" t="n">
        <v>3.1</v>
      </c>
      <c r="F32" s="3" t="n">
        <v>3.7</v>
      </c>
      <c r="G32" s="3" t="n">
        <v>3.7</v>
      </c>
      <c r="H32" s="3" t="n">
        <v>3.4</v>
      </c>
      <c r="I32" s="3" t="n">
        <v>3.1</v>
      </c>
      <c r="J32" s="3" t="n">
        <v>2.7</v>
      </c>
      <c r="K32" s="3" t="n">
        <v>2.4</v>
      </c>
      <c r="L32" s="3" t="n">
        <v>2</v>
      </c>
    </row>
    <row r="33" customFormat="false" ht="15" hidden="false" customHeight="false" outlineLevel="0" collapsed="false">
      <c r="A33" s="0" t="s">
        <v>111</v>
      </c>
      <c r="C33" s="3" t="n">
        <v>18.5</v>
      </c>
      <c r="D33" s="3" t="n">
        <v>20</v>
      </c>
      <c r="E33" s="3" t="n">
        <v>21</v>
      </c>
      <c r="F33" s="3" t="n">
        <v>21.5</v>
      </c>
      <c r="G33" s="3" t="n">
        <v>21.5</v>
      </c>
      <c r="H33" s="3" t="n">
        <v>21.5</v>
      </c>
      <c r="I33" s="3" t="n">
        <v>21.5</v>
      </c>
      <c r="J33" s="3" t="n">
        <v>21.5</v>
      </c>
      <c r="K33" s="3" t="n">
        <v>21.5</v>
      </c>
      <c r="L33" s="3" t="n">
        <v>21.5</v>
      </c>
    </row>
    <row r="34" customFormat="false" ht="15" hidden="false" customHeight="false" outlineLevel="0" collapsed="false">
      <c r="A34" s="0" t="s">
        <v>112</v>
      </c>
      <c r="B34" s="3" t="n">
        <v>9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4</v>
      </c>
      <c r="D41" s="3" t="n">
        <v>6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17.2</v>
      </c>
      <c r="D42" s="3" t="n">
        <v>17.2</v>
      </c>
      <c r="E42" s="3" t="n">
        <v>17</v>
      </c>
      <c r="F42" s="3" t="n">
        <v>16.8</v>
      </c>
      <c r="G42" s="3" t="n">
        <v>16.6</v>
      </c>
      <c r="H42" s="3" t="n">
        <v>16.5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107</v>
      </c>
      <c r="C43" s="3" t="n">
        <v>0.38</v>
      </c>
      <c r="D43" s="3" t="n">
        <v>0.38</v>
      </c>
      <c r="E43" s="3" t="n">
        <v>0.38</v>
      </c>
      <c r="F43" s="3" t="n">
        <v>0.38</v>
      </c>
      <c r="G43" s="3" t="n">
        <v>0.38</v>
      </c>
      <c r="H43" s="3" t="n">
        <v>0.38</v>
      </c>
      <c r="I43" s="3" t="n">
        <v>0.38</v>
      </c>
      <c r="J43" s="3" t="n">
        <v>0.38</v>
      </c>
      <c r="K43" s="3" t="n">
        <v>0.38</v>
      </c>
      <c r="L43" s="3" t="n">
        <v>0.38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110</v>
      </c>
      <c r="C46" s="3" t="n">
        <v>2.7</v>
      </c>
      <c r="D46" s="3" t="n">
        <v>4.1</v>
      </c>
      <c r="E46" s="3" t="n">
        <v>4.8</v>
      </c>
      <c r="F46" s="3" t="n">
        <v>4.8</v>
      </c>
      <c r="G46" s="3" t="n">
        <v>4.4</v>
      </c>
      <c r="H46" s="3" t="n">
        <v>4.1</v>
      </c>
      <c r="I46" s="3" t="n">
        <v>3.4</v>
      </c>
      <c r="J46" s="3" t="n">
        <v>3.1</v>
      </c>
      <c r="K46" s="3" t="n">
        <v>2.7</v>
      </c>
      <c r="L46" s="3" t="n">
        <v>2.4</v>
      </c>
    </row>
    <row r="47" customFormat="false" ht="15" hidden="false" customHeight="false" outlineLevel="0" collapsed="false">
      <c r="A47" s="0" t="s">
        <v>111</v>
      </c>
      <c r="C47" s="3" t="n">
        <v>18.5</v>
      </c>
      <c r="D47" s="3" t="n">
        <v>20</v>
      </c>
      <c r="E47" s="3" t="n">
        <v>21</v>
      </c>
      <c r="F47" s="3" t="n">
        <v>21.5</v>
      </c>
      <c r="G47" s="3" t="n">
        <v>21.5</v>
      </c>
      <c r="H47" s="3" t="n">
        <v>21.5</v>
      </c>
      <c r="I47" s="3" t="n">
        <v>21.5</v>
      </c>
      <c r="J47" s="3" t="n">
        <v>21.5</v>
      </c>
      <c r="K47" s="3" t="n">
        <v>21.5</v>
      </c>
      <c r="L47" s="3" t="n">
        <v>21.5</v>
      </c>
    </row>
    <row r="48" customFormat="false" ht="15" hidden="false" customHeight="false" outlineLevel="0" collapsed="false">
      <c r="A48" s="0" t="s">
        <v>112</v>
      </c>
      <c r="B48" s="3" t="n">
        <v>9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17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2</v>
      </c>
      <c r="D5" s="4" t="n">
        <f aca="false">Assumptions!D13</f>
        <v>-1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3.5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14575.6</v>
      </c>
      <c r="C6" s="0" t="n">
        <f aca="false">B6*(1+C5/100)</f>
        <v>14867.112</v>
      </c>
      <c r="D6" s="0" t="n">
        <f aca="false">C6*(1+D5/100)</f>
        <v>14718.44088</v>
      </c>
      <c r="E6" s="0" t="n">
        <f aca="false">D6*(1+E5/100)</f>
        <v>14718.44088</v>
      </c>
      <c r="F6" s="0" t="n">
        <f aca="false">E6*(1+F5/100)</f>
        <v>15012.8096976</v>
      </c>
      <c r="G6" s="0" t="n">
        <f aca="false">F6*(1+G5/100)</f>
        <v>15538.258037016</v>
      </c>
      <c r="H6" s="0" t="n">
        <f aca="false">G6*(1+H5/100)</f>
        <v>16159.7883584966</v>
      </c>
      <c r="I6" s="0" t="n">
        <f aca="false">H6*(1+I5/100)</f>
        <v>16725.380951044</v>
      </c>
      <c r="J6" s="0" t="n">
        <f aca="false">I6*(1+J5/100)</f>
        <v>17227.1423795753</v>
      </c>
      <c r="K6" s="0" t="n">
        <f aca="false">J6*(1+K5/100)</f>
        <v>17657.8209390647</v>
      </c>
      <c r="L6" s="0" t="n">
        <f aca="false">K6*(1+L5/100)</f>
        <v>18099.2664625413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16</v>
      </c>
      <c r="D7" s="4" t="n">
        <f aca="false">Assumptions!D14</f>
        <v>13</v>
      </c>
      <c r="E7" s="4" t="n">
        <f aca="false">Assumptions!E14</f>
        <v>11</v>
      </c>
      <c r="F7" s="4" t="n">
        <f aca="false">Assumptions!F14</f>
        <v>11</v>
      </c>
      <c r="G7" s="4" t="n">
        <f aca="false">Assumptions!G14</f>
        <v>11.5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2378.73792</v>
      </c>
      <c r="D8" s="0" t="n">
        <f aca="false">D6*D7/100</f>
        <v>1913.3973144</v>
      </c>
      <c r="E8" s="0" t="n">
        <f aca="false">E6*E7/100</f>
        <v>1619.0284968</v>
      </c>
      <c r="F8" s="0" t="n">
        <f aca="false">F6*F7/100</f>
        <v>1651.409066736</v>
      </c>
      <c r="G8" s="0" t="n">
        <f aca="false">G6*G7/100</f>
        <v>1786.89967425684</v>
      </c>
      <c r="H8" s="0" t="n">
        <f aca="false">H6*H7/100</f>
        <v>1939.1746030196</v>
      </c>
      <c r="I8" s="0" t="n">
        <f aca="false">I6*I7/100</f>
        <v>2007.04571412528</v>
      </c>
      <c r="J8" s="0" t="n">
        <f aca="false">J6*J7/100</f>
        <v>2067.25708554904</v>
      </c>
      <c r="K8" s="0" t="n">
        <f aca="false">K6*K7/100</f>
        <v>2118.93851268777</v>
      </c>
      <c r="L8" s="0" t="n">
        <f aca="false">L6*L7/100</f>
        <v>2171.91197550496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0.38</v>
      </c>
      <c r="D9" s="4" t="n">
        <f aca="false">Assumptions!D15</f>
        <v>0.38</v>
      </c>
      <c r="E9" s="4" t="n">
        <f aca="false">Assumptions!E15</f>
        <v>0.38</v>
      </c>
      <c r="F9" s="4" t="n">
        <f aca="false">Assumptions!F15</f>
        <v>0.38</v>
      </c>
      <c r="G9" s="4" t="n">
        <f aca="false">Assumptions!G15</f>
        <v>0.38</v>
      </c>
      <c r="H9" s="4" t="n">
        <f aca="false">Assumptions!H15</f>
        <v>0.38</v>
      </c>
      <c r="I9" s="4" t="n">
        <f aca="false">Assumptions!I15</f>
        <v>0.38</v>
      </c>
      <c r="J9" s="4" t="n">
        <f aca="false">Assumptions!J15</f>
        <v>0.38</v>
      </c>
      <c r="K9" s="4" t="n">
        <f aca="false">Assumptions!K15</f>
        <v>0.38</v>
      </c>
      <c r="L9" s="4" t="n">
        <f aca="false">Assumptions!L15</f>
        <v>0.38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-56.4950256</v>
      </c>
      <c r="D10" s="0" t="n">
        <f aca="false">-D6*D9/100</f>
        <v>-55.930075344</v>
      </c>
      <c r="E10" s="0" t="n">
        <f aca="false">-E6*E9/100</f>
        <v>-55.930075344</v>
      </c>
      <c r="F10" s="0" t="n">
        <f aca="false">-F6*F9/100</f>
        <v>-57.04867685088</v>
      </c>
      <c r="G10" s="0" t="n">
        <f aca="false">-G6*G9/100</f>
        <v>-59.0453805406608</v>
      </c>
      <c r="H10" s="0" t="n">
        <f aca="false">-H6*H9/100</f>
        <v>-61.4071957622872</v>
      </c>
      <c r="I10" s="0" t="n">
        <f aca="false">-I6*I9/100</f>
        <v>-63.5564476139673</v>
      </c>
      <c r="J10" s="0" t="n">
        <f aca="false">-J6*J9/100</f>
        <v>-65.4631410423863</v>
      </c>
      <c r="K10" s="0" t="n">
        <f aca="false">-K6*K9/100</f>
        <v>-67.099719568446</v>
      </c>
      <c r="L10" s="0" t="n">
        <f aca="false">-L6*L9/100</f>
        <v>-68.7772125576571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2322.2428944</v>
      </c>
      <c r="D11" s="0" t="n">
        <f aca="false">D8+D10+D24</f>
        <v>1857.467239056</v>
      </c>
      <c r="E11" s="0" t="n">
        <f aca="false">E8+E10+E24</f>
        <v>1563.098421456</v>
      </c>
      <c r="F11" s="0" t="n">
        <f aca="false">F8+F10+F24</f>
        <v>1594.36038988512</v>
      </c>
      <c r="G11" s="0" t="n">
        <f aca="false">G8+G10+G24</f>
        <v>1727.85429371618</v>
      </c>
      <c r="H11" s="0" t="n">
        <f aca="false">H8+H10+H24</f>
        <v>1877.76740725731</v>
      </c>
      <c r="I11" s="0" t="n">
        <f aca="false">I8+I10+I24</f>
        <v>1943.48926651132</v>
      </c>
      <c r="J11" s="0" t="n">
        <f aca="false">J8+J10+J24</f>
        <v>2001.79394450665</v>
      </c>
      <c r="K11" s="0" t="n">
        <f aca="false">K8+K10+K24</f>
        <v>2051.83879311932</v>
      </c>
      <c r="L11" s="0" t="n">
        <f aca="false">L8+L10+L24</f>
        <v>2103.1347629473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2322.2428944</v>
      </c>
      <c r="D13" s="0" t="n">
        <f aca="false">D11+D12</f>
        <v>1857.467239056</v>
      </c>
      <c r="E13" s="0" t="n">
        <f aca="false">E11+E12</f>
        <v>1563.098421456</v>
      </c>
      <c r="F13" s="0" t="n">
        <f aca="false">F11+F12</f>
        <v>1594.36038988512</v>
      </c>
      <c r="G13" s="0" t="n">
        <f aca="false">G11+G12</f>
        <v>1727.85429371618</v>
      </c>
      <c r="H13" s="0" t="n">
        <f aca="false">H11+H12</f>
        <v>1877.76740725731</v>
      </c>
      <c r="I13" s="0" t="n">
        <f aca="false">I11+I12</f>
        <v>1943.48926651132</v>
      </c>
      <c r="J13" s="0" t="n">
        <f aca="false">J11+J12</f>
        <v>2001.79394450665</v>
      </c>
      <c r="K13" s="0" t="n">
        <f aca="false">K11+K12</f>
        <v>2051.83879311932</v>
      </c>
      <c r="L13" s="0" t="n">
        <f aca="false">L11+L12</f>
        <v>2103.1347629473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18.5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21.5</v>
      </c>
      <c r="G14" s="4" t="n">
        <f aca="false">Assumptions!G19</f>
        <v>21.5</v>
      </c>
      <c r="H14" s="4" t="n">
        <f aca="false">Assumptions!H19</f>
        <v>21.5</v>
      </c>
      <c r="I14" s="4" t="n">
        <f aca="false">Assumptions!I19</f>
        <v>21.5</v>
      </c>
      <c r="J14" s="4" t="n">
        <f aca="false">Assumptions!J19</f>
        <v>21.5</v>
      </c>
      <c r="K14" s="4" t="n">
        <f aca="false">Assumptions!K19</f>
        <v>21.5</v>
      </c>
      <c r="L14" s="4" t="n">
        <f aca="false">Assumptions!L19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1892.627958936</v>
      </c>
      <c r="D15" s="0" t="n">
        <f aca="false">D13-MAX(0,D13)*D14/100</f>
        <v>1485.9737912448</v>
      </c>
      <c r="E15" s="0" t="n">
        <f aca="false">E13-MAX(0,E13)*E14/100</f>
        <v>1234.84775295024</v>
      </c>
      <c r="F15" s="0" t="n">
        <f aca="false">F13-MAX(0,F13)*F14/100</f>
        <v>1251.57290605982</v>
      </c>
      <c r="G15" s="0" t="n">
        <f aca="false">G13-MAX(0,G13)*G14/100</f>
        <v>1356.3656205672</v>
      </c>
      <c r="H15" s="0" t="n">
        <f aca="false">H13-MAX(0,H13)*H14/100</f>
        <v>1474.04741469699</v>
      </c>
      <c r="I15" s="0" t="n">
        <f aca="false">I13-MAX(0,I13)*I14/100</f>
        <v>1525.63907421138</v>
      </c>
      <c r="J15" s="0" t="n">
        <f aca="false">J13-MAX(0,J13)*J14/100</f>
        <v>1571.40824643772</v>
      </c>
      <c r="K15" s="0" t="n">
        <f aca="false">K13-MAX(0,K13)*K14/100</f>
        <v>1610.69345259867</v>
      </c>
      <c r="L15" s="0" t="n">
        <f aca="false">L13-MAX(0,L13)*L14/100</f>
        <v>1650.96078891363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-208.139568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-210.1793357664</v>
      </c>
      <c r="G17" s="4" t="n">
        <f aca="false">-G6*Assumptions!G18/100</f>
        <v>-372.918192888384</v>
      </c>
      <c r="H17" s="4" t="n">
        <f aca="false">-H6*Assumptions!H18/100</f>
        <v>-436.314285679409</v>
      </c>
      <c r="I17" s="4" t="n">
        <f aca="false">-I6*Assumptions!I18/100</f>
        <v>-401.409142825056</v>
      </c>
      <c r="J17" s="4" t="n">
        <f aca="false">-J6*Assumptions!J18/100</f>
        <v>-344.542847591507</v>
      </c>
      <c r="K17" s="4" t="n">
        <f aca="false">-K6*Assumptions!K18/100</f>
        <v>-300.1829559641</v>
      </c>
      <c r="L17" s="4" t="n">
        <f aca="false">-L6*Assumptions!L18/100</f>
        <v>-307.687529863203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1684.488390936</v>
      </c>
      <c r="D19" s="0" t="n">
        <f aca="false">D15+D16+D17+D18</f>
        <v>1485.9737912448</v>
      </c>
      <c r="E19" s="0" t="n">
        <f aca="false">E15+E16+E17+E18</f>
        <v>1234.84775295024</v>
      </c>
      <c r="F19" s="0" t="n">
        <f aca="false">F15+F16+F17+F18</f>
        <v>1041.39357029342</v>
      </c>
      <c r="G19" s="0" t="n">
        <f aca="false">G15+G16+G17+G18</f>
        <v>983.447427678817</v>
      </c>
      <c r="H19" s="0" t="n">
        <f aca="false">H15+H16+H17+H18</f>
        <v>1037.73312901758</v>
      </c>
      <c r="I19" s="0" t="n">
        <f aca="false">I15+I16+I17+I18</f>
        <v>1124.22993138633</v>
      </c>
      <c r="J19" s="0" t="n">
        <f aca="false">J15+J16+J17+J18</f>
        <v>1226.86539884622</v>
      </c>
      <c r="K19" s="0" t="n">
        <f aca="false">K15+K16+K17+K18</f>
        <v>1310.51049663457</v>
      </c>
      <c r="L19" s="0" t="n">
        <f aca="false">L15+L16+L17+L18</f>
        <v>1343.27325905043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1545.40219351927</v>
      </c>
      <c r="D21" s="0" t="n">
        <f aca="false">D19*D20</f>
        <v>1250.71441060921</v>
      </c>
      <c r="E21" s="0" t="n">
        <f aca="false">E19*E20</f>
        <v>953.529035218702</v>
      </c>
      <c r="F21" s="0" t="n">
        <f aca="false">F19*F20</f>
        <v>737.749459837054</v>
      </c>
      <c r="G21" s="0" t="n">
        <f aca="false">G19*G20</f>
        <v>639.173350022835</v>
      </c>
      <c r="H21" s="0" t="n">
        <f aca="false">H19*H20</f>
        <v>618.766358853316</v>
      </c>
      <c r="I21" s="0" t="n">
        <f aca="false">I19*I20</f>
        <v>614.992271546173</v>
      </c>
      <c r="J21" s="0" t="n">
        <f aca="false">J19*J20</f>
        <v>615.722373378198</v>
      </c>
      <c r="K21" s="0" t="n">
        <f aca="false">K19*K20</f>
        <v>603.395437998258</v>
      </c>
      <c r="L21" s="0" t="n">
        <f aca="false">L19*L20</f>
        <v>567.413141236894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8146.8580322199</v>
      </c>
    </row>
    <row r="31" customFormat="false" ht="15" hidden="false" customHeight="false" outlineLevel="0" collapsed="false">
      <c r="A31" s="0" t="s">
        <v>136</v>
      </c>
      <c r="B31" s="0" t="n">
        <f aca="false">L19</f>
        <v>1343.27325905043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21182.3860081029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16119.2791086052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16119.2791086052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6808.95769484273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14955.8157270626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14955.8157270626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38.2208426451895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-0.445914139675421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385.067184926096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458.13144305891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40.3757075263165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11014.8407242135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23.4712303291015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3</v>
      </c>
      <c r="D5" s="4" t="n">
        <f aca="false">Assumptions!D27</f>
        <v>3.5</v>
      </c>
      <c r="E5" s="4" t="n">
        <f aca="false">Assumptions!E27</f>
        <v>4.5</v>
      </c>
      <c r="F5" s="4" t="n">
        <f aca="false">Assumptions!F27</f>
        <v>5.5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14575.6</v>
      </c>
      <c r="C6" s="0" t="n">
        <f aca="false">B6*(1+C5/100)</f>
        <v>15012.868</v>
      </c>
      <c r="D6" s="0" t="n">
        <f aca="false">C6*(1+D5/100)</f>
        <v>15538.31838</v>
      </c>
      <c r="E6" s="0" t="n">
        <f aca="false">D6*(1+E5/100)</f>
        <v>16237.5427071</v>
      </c>
      <c r="F6" s="0" t="n">
        <f aca="false">E6*(1+F5/100)</f>
        <v>17130.6075559905</v>
      </c>
      <c r="G6" s="0" t="n">
        <f aca="false">F6*(1+G5/100)</f>
        <v>18072.79097157</v>
      </c>
      <c r="H6" s="0" t="n">
        <f aca="false">G6*(1+H5/100)</f>
        <v>18976.4305201485</v>
      </c>
      <c r="I6" s="0" t="n">
        <f aca="false">H6*(1+I5/100)</f>
        <v>19830.3698935552</v>
      </c>
      <c r="J6" s="0" t="n">
        <f aca="false">I6*(1+J5/100)</f>
        <v>20623.5846892974</v>
      </c>
      <c r="K6" s="0" t="n">
        <f aca="false">J6*(1+K5/100)</f>
        <v>21345.4101534228</v>
      </c>
      <c r="L6" s="0" t="n">
        <f aca="false">K6*(1+L5/100)</f>
        <v>21985.7724580254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16.8</v>
      </c>
      <c r="D7" s="4" t="n">
        <f aca="false">Assumptions!D28</f>
        <v>16.3</v>
      </c>
      <c r="E7" s="4" t="n">
        <f aca="false">Assumptions!E28</f>
        <v>15.8</v>
      </c>
      <c r="F7" s="4" t="n">
        <f aca="false">Assumptions!F28</f>
        <v>15.4</v>
      </c>
      <c r="G7" s="4" t="n">
        <f aca="false">Assumptions!G28</f>
        <v>15</v>
      </c>
      <c r="H7" s="4" t="n">
        <f aca="false">Assumptions!H28</f>
        <v>14.8</v>
      </c>
      <c r="I7" s="4" t="n">
        <f aca="false">Assumptions!I28</f>
        <v>14.6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2522.161824</v>
      </c>
      <c r="D8" s="0" t="n">
        <f aca="false">D6*D7/100</f>
        <v>2532.74589594</v>
      </c>
      <c r="E8" s="0" t="n">
        <f aca="false">E6*E7/100</f>
        <v>2565.5317477218</v>
      </c>
      <c r="F8" s="0" t="n">
        <f aca="false">F6*F7/100</f>
        <v>2638.11356362254</v>
      </c>
      <c r="G8" s="0" t="n">
        <f aca="false">G6*G7/100</f>
        <v>2710.9186457355</v>
      </c>
      <c r="H8" s="0" t="n">
        <f aca="false">H6*H7/100</f>
        <v>2808.51171698197</v>
      </c>
      <c r="I8" s="0" t="n">
        <f aca="false">I6*I7/100</f>
        <v>2895.23400445905</v>
      </c>
      <c r="J8" s="0" t="n">
        <f aca="false">J6*J7/100</f>
        <v>2990.41977994812</v>
      </c>
      <c r="K8" s="0" t="n">
        <f aca="false">K6*K7/100</f>
        <v>3095.0844722463</v>
      </c>
      <c r="L8" s="0" t="n">
        <f aca="false">L6*L7/100</f>
        <v>3187.93700641369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0.38</v>
      </c>
      <c r="D9" s="4" t="n">
        <f aca="false">Assumptions!D29</f>
        <v>0.38</v>
      </c>
      <c r="E9" s="4" t="n">
        <f aca="false">Assumptions!E29</f>
        <v>0.38</v>
      </c>
      <c r="F9" s="4" t="n">
        <f aca="false">Assumptions!F29</f>
        <v>0.38</v>
      </c>
      <c r="G9" s="4" t="n">
        <f aca="false">Assumptions!G29</f>
        <v>0.38</v>
      </c>
      <c r="H9" s="4" t="n">
        <f aca="false">Assumptions!H29</f>
        <v>0.38</v>
      </c>
      <c r="I9" s="4" t="n">
        <f aca="false">Assumptions!I29</f>
        <v>0.38</v>
      </c>
      <c r="J9" s="4" t="n">
        <f aca="false">Assumptions!J29</f>
        <v>0.38</v>
      </c>
      <c r="K9" s="4" t="n">
        <f aca="false">Assumptions!K29</f>
        <v>0.38</v>
      </c>
      <c r="L9" s="4" t="n">
        <f aca="false">Assumptions!L29</f>
        <v>0.38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-57.0488984</v>
      </c>
      <c r="D10" s="0" t="n">
        <f aca="false">-D6*D9/100</f>
        <v>-59.045609844</v>
      </c>
      <c r="E10" s="0" t="n">
        <f aca="false">-E6*E9/100</f>
        <v>-61.70266228698</v>
      </c>
      <c r="F10" s="0" t="n">
        <f aca="false">-F6*F9/100</f>
        <v>-65.0963087127639</v>
      </c>
      <c r="G10" s="0" t="n">
        <f aca="false">-G6*G9/100</f>
        <v>-68.6766056919659</v>
      </c>
      <c r="H10" s="0" t="n">
        <f aca="false">-H6*H9/100</f>
        <v>-72.1104359765642</v>
      </c>
      <c r="I10" s="0" t="n">
        <f aca="false">-I6*I9/100</f>
        <v>-75.3554055955096</v>
      </c>
      <c r="J10" s="0" t="n">
        <f aca="false">-J6*J9/100</f>
        <v>-78.36962181933</v>
      </c>
      <c r="K10" s="0" t="n">
        <f aca="false">-K6*K9/100</f>
        <v>-81.1125585830065</v>
      </c>
      <c r="L10" s="0" t="n">
        <f aca="false">-L6*L9/100</f>
        <v>-83.5459353404967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2465.1129256</v>
      </c>
      <c r="D11" s="0" t="n">
        <f aca="false">D8+D10+D24</f>
        <v>2473.700286096</v>
      </c>
      <c r="E11" s="0" t="n">
        <f aca="false">E8+E10+E24</f>
        <v>2503.82908543482</v>
      </c>
      <c r="F11" s="0" t="n">
        <f aca="false">F8+F10+F24</f>
        <v>2573.01725490977</v>
      </c>
      <c r="G11" s="0" t="n">
        <f aca="false">G8+G10+G24</f>
        <v>2642.24204004353</v>
      </c>
      <c r="H11" s="0" t="n">
        <f aca="false">H8+H10+H24</f>
        <v>2736.40128100541</v>
      </c>
      <c r="I11" s="0" t="n">
        <f aca="false">I8+I10+I24</f>
        <v>2819.87859886354</v>
      </c>
      <c r="J11" s="0" t="n">
        <f aca="false">J8+J10+J24</f>
        <v>2912.05015812879</v>
      </c>
      <c r="K11" s="0" t="n">
        <f aca="false">K8+K10+K24</f>
        <v>3013.97191366329</v>
      </c>
      <c r="L11" s="0" t="n">
        <f aca="false">L8+L10+L24</f>
        <v>3104.39107107319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2465.1129256</v>
      </c>
      <c r="D13" s="0" t="n">
        <f aca="false">D11+D12</f>
        <v>2473.700286096</v>
      </c>
      <c r="E13" s="0" t="n">
        <f aca="false">E11+E12</f>
        <v>2503.82908543482</v>
      </c>
      <c r="F13" s="0" t="n">
        <f aca="false">F11+F12</f>
        <v>2573.01725490977</v>
      </c>
      <c r="G13" s="0" t="n">
        <f aca="false">G11+G12</f>
        <v>2642.24204004353</v>
      </c>
      <c r="H13" s="0" t="n">
        <f aca="false">H11+H12</f>
        <v>2736.40128100541</v>
      </c>
      <c r="I13" s="0" t="n">
        <f aca="false">I11+I12</f>
        <v>2819.87859886354</v>
      </c>
      <c r="J13" s="0" t="n">
        <f aca="false">J11+J12</f>
        <v>2912.05015812879</v>
      </c>
      <c r="K13" s="0" t="n">
        <f aca="false">K11+K12</f>
        <v>3013.97191366329</v>
      </c>
      <c r="L13" s="0" t="n">
        <f aca="false">L11+L12</f>
        <v>3104.39107107319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18.5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21.5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21.5</v>
      </c>
      <c r="J14" s="4" t="n">
        <f aca="false">Assumptions!J33</f>
        <v>21.5</v>
      </c>
      <c r="K14" s="4" t="n">
        <f aca="false">Assumptions!K33</f>
        <v>21.5</v>
      </c>
      <c r="L14" s="4" t="n">
        <f aca="false">Assumptions!L33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2009.067034364</v>
      </c>
      <c r="D15" s="0" t="n">
        <f aca="false">D13-MAX(0,D13)*D14/100</f>
        <v>1978.9602288768</v>
      </c>
      <c r="E15" s="0" t="n">
        <f aca="false">E13-MAX(0,E13)*E14/100</f>
        <v>1978.02497749351</v>
      </c>
      <c r="F15" s="0" t="n">
        <f aca="false">F13-MAX(0,F13)*F14/100</f>
        <v>2019.81854510417</v>
      </c>
      <c r="G15" s="0" t="n">
        <f aca="false">G13-MAX(0,G13)*G14/100</f>
        <v>2074.16000143417</v>
      </c>
      <c r="H15" s="0" t="n">
        <f aca="false">H13-MAX(0,H13)*H14/100</f>
        <v>2148.07500558925</v>
      </c>
      <c r="I15" s="0" t="n">
        <f aca="false">I13-MAX(0,I13)*I14/100</f>
        <v>2213.60470010788</v>
      </c>
      <c r="J15" s="0" t="n">
        <f aca="false">J13-MAX(0,J13)*J14/100</f>
        <v>2285.9593741311</v>
      </c>
      <c r="K15" s="0" t="n">
        <f aca="false">K13-MAX(0,K13)*K14/100</f>
        <v>2365.96795222569</v>
      </c>
      <c r="L15" s="0" t="n">
        <f aca="false">L13-MAX(0,L13)*L14/100</f>
        <v>2436.94699079246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-300.25736</v>
      </c>
      <c r="D17" s="4" t="n">
        <f aca="false">-D6*Assumptions!D32/100</f>
        <v>-372.91964112</v>
      </c>
      <c r="E17" s="4" t="n">
        <f aca="false">-E6*Assumptions!E32/100</f>
        <v>-503.3638239201</v>
      </c>
      <c r="F17" s="4" t="n">
        <f aca="false">-F6*Assumptions!F32/100</f>
        <v>-633.832479571649</v>
      </c>
      <c r="G17" s="4" t="n">
        <f aca="false">-G6*Assumptions!G32/100</f>
        <v>-668.693265948089</v>
      </c>
      <c r="H17" s="4" t="n">
        <f aca="false">-H6*Assumptions!H32/100</f>
        <v>-645.198637685048</v>
      </c>
      <c r="I17" s="4" t="n">
        <f aca="false">-I6*Assumptions!I32/100</f>
        <v>-614.74146670021</v>
      </c>
      <c r="J17" s="4" t="n">
        <f aca="false">-J6*Assumptions!J32/100</f>
        <v>-556.836786611029</v>
      </c>
      <c r="K17" s="4" t="n">
        <f aca="false">-K6*Assumptions!K32/100</f>
        <v>-512.289843682146</v>
      </c>
      <c r="L17" s="4" t="n">
        <f aca="false">-L6*Assumptions!L32/100</f>
        <v>-439.715449160509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1708.809674364</v>
      </c>
      <c r="D19" s="0" t="n">
        <f aca="false">D15+D16+D17+D18</f>
        <v>1606.0405877568</v>
      </c>
      <c r="E19" s="0" t="n">
        <f aca="false">E15+E16+E17+E18</f>
        <v>1474.66115357341</v>
      </c>
      <c r="F19" s="0" t="n">
        <f aca="false">F15+F16+F17+F18</f>
        <v>1385.98606553252</v>
      </c>
      <c r="G19" s="0" t="n">
        <f aca="false">G15+G16+G17+G18</f>
        <v>1405.46673548608</v>
      </c>
      <c r="H19" s="0" t="n">
        <f aca="false">H15+H16+H17+H18</f>
        <v>1502.8763679042</v>
      </c>
      <c r="I19" s="0" t="n">
        <f aca="false">I15+I16+I17+I18</f>
        <v>1598.86323340767</v>
      </c>
      <c r="J19" s="0" t="n">
        <f aca="false">J15+J16+J17+J18</f>
        <v>1729.12258752007</v>
      </c>
      <c r="K19" s="0" t="n">
        <f aca="false">K15+K16+K17+K18</f>
        <v>1853.67810854354</v>
      </c>
      <c r="L19" s="0" t="n">
        <f aca="false">L15+L16+L17+L18</f>
        <v>1997.23154163195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1567.71529758165</v>
      </c>
      <c r="D21" s="0" t="n">
        <f aca="false">D19*D20</f>
        <v>1351.77223108897</v>
      </c>
      <c r="E21" s="0" t="n">
        <f aca="false">E19*E20</f>
        <v>1138.70898147718</v>
      </c>
      <c r="F21" s="0" t="n">
        <f aca="false">F19*F20</f>
        <v>981.867471008299</v>
      </c>
      <c r="G21" s="0" t="n">
        <f aca="false">G19*G20</f>
        <v>913.456943790679</v>
      </c>
      <c r="H21" s="0" t="n">
        <f aca="false">H19*H20</f>
        <v>896.116074520181</v>
      </c>
      <c r="I21" s="0" t="n">
        <f aca="false">I19*I20</f>
        <v>874.63294149491</v>
      </c>
      <c r="J21" s="0" t="n">
        <f aca="false">J19*J20</f>
        <v>867.788320096847</v>
      </c>
      <c r="K21" s="0" t="n">
        <f aca="false">K19*K20</f>
        <v>853.484895454678</v>
      </c>
      <c r="L21" s="0" t="n">
        <f aca="false">L19*L20</f>
        <v>843.652187058271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10289.1953435717</v>
      </c>
    </row>
    <row r="31" customFormat="false" ht="15" hidden="false" customHeight="false" outlineLevel="0" collapsed="false">
      <c r="A31" s="0" t="s">
        <v>136</v>
      </c>
      <c r="B31" s="0" t="n">
        <f aca="false">L19</f>
        <v>1997.23154163195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34285.8081313484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29958.4731244792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29958.4731244792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12654.7828058741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22943.9781494457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22943.9781494457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58.6352623292761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-0.149967203112843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436.620007707607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605.823785647255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61.2993149573233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17142.9040656742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31.2682846944256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14575.6</v>
      </c>
      <c r="C6" s="0" t="n">
        <f aca="false">B6*(1+C5/100)</f>
        <v>15158.624</v>
      </c>
      <c r="D6" s="0" t="n">
        <f aca="false">C6*(1+D5/100)</f>
        <v>16068.14144</v>
      </c>
      <c r="E6" s="0" t="n">
        <f aca="false">D6*(1+E5/100)</f>
        <v>17192.9113408</v>
      </c>
      <c r="F6" s="0" t="n">
        <f aca="false">E6*(1+F5/100)</f>
        <v>18396.415134656</v>
      </c>
      <c r="G6" s="0" t="n">
        <f aca="false">F6*(1+G5/100)</f>
        <v>19592.1821184086</v>
      </c>
      <c r="H6" s="0" t="n">
        <f aca="false">G6*(1+H5/100)</f>
        <v>20767.7130455132</v>
      </c>
      <c r="I6" s="0" t="n">
        <f aca="false">H6*(1+I5/100)</f>
        <v>21806.0986977888</v>
      </c>
      <c r="J6" s="0" t="n">
        <f aca="false">I6*(1+J5/100)</f>
        <v>22787.3731391893</v>
      </c>
      <c r="K6" s="0" t="n">
        <f aca="false">J6*(1+K5/100)</f>
        <v>23698.8680647569</v>
      </c>
      <c r="L6" s="0" t="n">
        <f aca="false">K6*(1+L5/100)</f>
        <v>24528.3284470234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17.2</v>
      </c>
      <c r="D7" s="4" t="n">
        <f aca="false">Assumptions!D42</f>
        <v>17.2</v>
      </c>
      <c r="E7" s="4" t="n">
        <f aca="false">Assumptions!E42</f>
        <v>17</v>
      </c>
      <c r="F7" s="4" t="n">
        <f aca="false">Assumptions!F42</f>
        <v>16.8</v>
      </c>
      <c r="G7" s="4" t="n">
        <f aca="false">Assumptions!G42</f>
        <v>16.6</v>
      </c>
      <c r="H7" s="4" t="n">
        <f aca="false">Assumptions!H42</f>
        <v>16.5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2607.283328</v>
      </c>
      <c r="D8" s="0" t="n">
        <f aca="false">D6*D7/100</f>
        <v>2763.72032768</v>
      </c>
      <c r="E8" s="0" t="n">
        <f aca="false">E6*E7/100</f>
        <v>2922.794927936</v>
      </c>
      <c r="F8" s="0" t="n">
        <f aca="false">F6*F7/100</f>
        <v>3090.59774262221</v>
      </c>
      <c r="G8" s="0" t="n">
        <f aca="false">G6*G7/100</f>
        <v>3252.30223165584</v>
      </c>
      <c r="H8" s="0" t="n">
        <f aca="false">H6*H7/100</f>
        <v>3426.67265250967</v>
      </c>
      <c r="I8" s="0" t="n">
        <f aca="false">I6*I7/100</f>
        <v>3598.00628513516</v>
      </c>
      <c r="J8" s="0" t="n">
        <f aca="false">J6*J7/100</f>
        <v>3759.91656796624</v>
      </c>
      <c r="K8" s="0" t="n">
        <f aca="false">K6*K7/100</f>
        <v>3910.31323068489</v>
      </c>
      <c r="L8" s="0" t="n">
        <f aca="false">L6*L7/100</f>
        <v>4047.17419375886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0.38</v>
      </c>
      <c r="D9" s="4" t="n">
        <f aca="false">Assumptions!D43</f>
        <v>0.38</v>
      </c>
      <c r="E9" s="4" t="n">
        <f aca="false">Assumptions!E43</f>
        <v>0.38</v>
      </c>
      <c r="F9" s="4" t="n">
        <f aca="false">Assumptions!F43</f>
        <v>0.38</v>
      </c>
      <c r="G9" s="4" t="n">
        <f aca="false">Assumptions!G43</f>
        <v>0.38</v>
      </c>
      <c r="H9" s="4" t="n">
        <f aca="false">Assumptions!H43</f>
        <v>0.38</v>
      </c>
      <c r="I9" s="4" t="n">
        <f aca="false">Assumptions!I43</f>
        <v>0.38</v>
      </c>
      <c r="J9" s="4" t="n">
        <f aca="false">Assumptions!J43</f>
        <v>0.38</v>
      </c>
      <c r="K9" s="4" t="n">
        <f aca="false">Assumptions!K43</f>
        <v>0.38</v>
      </c>
      <c r="L9" s="4" t="n">
        <f aca="false">Assumptions!L43</f>
        <v>0.38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-57.6027712</v>
      </c>
      <c r="D10" s="0" t="n">
        <f aca="false">-D6*D9/100</f>
        <v>-61.058937472</v>
      </c>
      <c r="E10" s="0" t="n">
        <f aca="false">-E6*E9/100</f>
        <v>-65.33306309504</v>
      </c>
      <c r="F10" s="0" t="n">
        <f aca="false">-F6*F9/100</f>
        <v>-69.9063775116928</v>
      </c>
      <c r="G10" s="0" t="n">
        <f aca="false">-G6*G9/100</f>
        <v>-74.4502920499529</v>
      </c>
      <c r="H10" s="0" t="n">
        <f aca="false">-H6*H9/100</f>
        <v>-78.91730957295</v>
      </c>
      <c r="I10" s="0" t="n">
        <f aca="false">-I6*I9/100</f>
        <v>-82.8631750515975</v>
      </c>
      <c r="J10" s="0" t="n">
        <f aca="false">-J6*J9/100</f>
        <v>-86.5920179289194</v>
      </c>
      <c r="K10" s="0" t="n">
        <f aca="false">-K6*K9/100</f>
        <v>-90.0556986460762</v>
      </c>
      <c r="L10" s="0" t="n">
        <f aca="false">-L6*L9/100</f>
        <v>-93.2076480986889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2549.6805568</v>
      </c>
      <c r="D11" s="0" t="n">
        <f aca="false">D8+D10+D24</f>
        <v>2702.661390208</v>
      </c>
      <c r="E11" s="0" t="n">
        <f aca="false">E8+E10+E24</f>
        <v>2857.46186484096</v>
      </c>
      <c r="F11" s="0" t="n">
        <f aca="false">F8+F10+F24</f>
        <v>3020.69136511052</v>
      </c>
      <c r="G11" s="0" t="n">
        <f aca="false">G8+G10+G24</f>
        <v>3177.85193960588</v>
      </c>
      <c r="H11" s="0" t="n">
        <f aca="false">H8+H10+H24</f>
        <v>3347.75534293672</v>
      </c>
      <c r="I11" s="0" t="n">
        <f aca="false">I8+I10+I24</f>
        <v>3515.14311008356</v>
      </c>
      <c r="J11" s="0" t="n">
        <f aca="false">J8+J10+J24</f>
        <v>3673.32455003732</v>
      </c>
      <c r="K11" s="0" t="n">
        <f aca="false">K8+K10+K24</f>
        <v>3820.25753203881</v>
      </c>
      <c r="L11" s="0" t="n">
        <f aca="false">L8+L10+L24</f>
        <v>3953.96654566017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2549.6805568</v>
      </c>
      <c r="D13" s="0" t="n">
        <f aca="false">D11+D12</f>
        <v>2702.661390208</v>
      </c>
      <c r="E13" s="0" t="n">
        <f aca="false">E11+E12</f>
        <v>2857.46186484096</v>
      </c>
      <c r="F13" s="0" t="n">
        <f aca="false">F11+F12</f>
        <v>3020.69136511052</v>
      </c>
      <c r="G13" s="0" t="n">
        <f aca="false">G11+G12</f>
        <v>3177.85193960588</v>
      </c>
      <c r="H13" s="0" t="n">
        <f aca="false">H11+H12</f>
        <v>3347.75534293672</v>
      </c>
      <c r="I13" s="0" t="n">
        <f aca="false">I11+I12</f>
        <v>3515.14311008356</v>
      </c>
      <c r="J13" s="0" t="n">
        <f aca="false">J11+J12</f>
        <v>3673.32455003732</v>
      </c>
      <c r="K13" s="0" t="n">
        <f aca="false">K11+K12</f>
        <v>3820.25753203881</v>
      </c>
      <c r="L13" s="0" t="n">
        <f aca="false">L11+L12</f>
        <v>3953.96654566017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18.5</v>
      </c>
      <c r="D14" s="4" t="n">
        <f aca="false">Assumptions!D47</f>
        <v>20</v>
      </c>
      <c r="E14" s="4" t="n">
        <f aca="false">Assumptions!E47</f>
        <v>21</v>
      </c>
      <c r="F14" s="4" t="n">
        <f aca="false">Assumptions!F47</f>
        <v>21.5</v>
      </c>
      <c r="G14" s="4" t="n">
        <f aca="false">Assumptions!G47</f>
        <v>21.5</v>
      </c>
      <c r="H14" s="4" t="n">
        <f aca="false">Assumptions!H47</f>
        <v>21.5</v>
      </c>
      <c r="I14" s="4" t="n">
        <f aca="false">Assumptions!I47</f>
        <v>21.5</v>
      </c>
      <c r="J14" s="4" t="n">
        <f aca="false">Assumptions!J47</f>
        <v>21.5</v>
      </c>
      <c r="K14" s="4" t="n">
        <f aca="false">Assumptions!K47</f>
        <v>21.5</v>
      </c>
      <c r="L14" s="4" t="n">
        <f aca="false">Assumptions!L47</f>
        <v>21.5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2077.989653792</v>
      </c>
      <c r="D15" s="0" t="n">
        <f aca="false">D13-MAX(0,D13)*D14/100</f>
        <v>2162.1291121664</v>
      </c>
      <c r="E15" s="0" t="n">
        <f aca="false">E13-MAX(0,E13)*E14/100</f>
        <v>2257.39487322436</v>
      </c>
      <c r="F15" s="0" t="n">
        <f aca="false">F13-MAX(0,F13)*F14/100</f>
        <v>2371.24272161176</v>
      </c>
      <c r="G15" s="0" t="n">
        <f aca="false">G13-MAX(0,G13)*G14/100</f>
        <v>2494.61377259062</v>
      </c>
      <c r="H15" s="0" t="n">
        <f aca="false">H13-MAX(0,H13)*H14/100</f>
        <v>2627.98794420533</v>
      </c>
      <c r="I15" s="0" t="n">
        <f aca="false">I13-MAX(0,I13)*I14/100</f>
        <v>2759.38734141559</v>
      </c>
      <c r="J15" s="0" t="n">
        <f aca="false">J13-MAX(0,J13)*J14/100</f>
        <v>2883.5597717793</v>
      </c>
      <c r="K15" s="0" t="n">
        <f aca="false">K13-MAX(0,K13)*K14/100</f>
        <v>2998.90216265047</v>
      </c>
      <c r="L15" s="0" t="n">
        <f aca="false">L13-MAX(0,L13)*L14/100</f>
        <v>3103.86373834323</v>
      </c>
    </row>
    <row r="16" customFormat="false" ht="15" hidden="false" customHeight="false" outlineLevel="0" collapsed="false">
      <c r="A16" s="0" t="s">
        <v>127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-409.282848</v>
      </c>
      <c r="D17" s="4" t="n">
        <f aca="false">-D6*Assumptions!D46/100</f>
        <v>-658.79379904</v>
      </c>
      <c r="E17" s="4" t="n">
        <f aca="false">-E6*Assumptions!E46/100</f>
        <v>-825.2597443584</v>
      </c>
      <c r="F17" s="4" t="n">
        <f aca="false">-F6*Assumptions!F46/100</f>
        <v>-883.027926463488</v>
      </c>
      <c r="G17" s="4" t="n">
        <f aca="false">-G6*Assumptions!G46/100</f>
        <v>-862.056013209981</v>
      </c>
      <c r="H17" s="4" t="n">
        <f aca="false">-H6*Assumptions!H46/100</f>
        <v>-851.47623486604</v>
      </c>
      <c r="I17" s="4" t="n">
        <f aca="false">-I6*Assumptions!I46/100</f>
        <v>-741.40735572482</v>
      </c>
      <c r="J17" s="4" t="n">
        <f aca="false">-J6*Assumptions!J46/100</f>
        <v>-706.408567314869</v>
      </c>
      <c r="K17" s="4" t="n">
        <f aca="false">-K6*Assumptions!K46/100</f>
        <v>-639.869437748436</v>
      </c>
      <c r="L17" s="4" t="n">
        <f aca="false">-L6*Assumptions!L46/100</f>
        <v>-588.679882728561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1668.706805792</v>
      </c>
      <c r="D19" s="0" t="n">
        <f aca="false">D15+D16+D17+D18</f>
        <v>1503.3353131264</v>
      </c>
      <c r="E19" s="0" t="n">
        <f aca="false">E15+E16+E17+E18</f>
        <v>1432.13512886596</v>
      </c>
      <c r="F19" s="0" t="n">
        <f aca="false">F15+F16+F17+F18</f>
        <v>1488.21479514827</v>
      </c>
      <c r="G19" s="0" t="n">
        <f aca="false">G15+G16+G17+G18</f>
        <v>1632.55775938064</v>
      </c>
      <c r="H19" s="0" t="n">
        <f aca="false">H15+H16+H17+H18</f>
        <v>1776.51170933929</v>
      </c>
      <c r="I19" s="0" t="n">
        <f aca="false">I15+I16+I17+I18</f>
        <v>2017.97998569077</v>
      </c>
      <c r="J19" s="0" t="n">
        <f aca="false">J15+J16+J17+J18</f>
        <v>2177.15120446443</v>
      </c>
      <c r="K19" s="0" t="n">
        <f aca="false">K15+K16+K17+K18</f>
        <v>2359.03272490203</v>
      </c>
      <c r="L19" s="0" t="n">
        <f aca="false">L15+L16+L17+L18</f>
        <v>2515.18385561467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1530.92367503853</v>
      </c>
      <c r="D21" s="0" t="n">
        <f aca="false">D19*D20</f>
        <v>1265.32725622961</v>
      </c>
      <c r="E21" s="0" t="n">
        <f aca="false">E19*E20</f>
        <v>1105.87108772542</v>
      </c>
      <c r="F21" s="0" t="n">
        <f aca="false">F19*F20</f>
        <v>1054.28888036326</v>
      </c>
      <c r="G21" s="0" t="n">
        <f aca="false">G19*G20</f>
        <v>1061.05052776638</v>
      </c>
      <c r="H21" s="0" t="n">
        <f aca="false">H19*H20</f>
        <v>1059.27588809736</v>
      </c>
      <c r="I21" s="0" t="n">
        <f aca="false">I19*I20</f>
        <v>1103.90415758128</v>
      </c>
      <c r="J21" s="0" t="n">
        <f aca="false">J19*J20</f>
        <v>1092.63877526965</v>
      </c>
      <c r="K21" s="0" t="n">
        <f aca="false">K19*K20</f>
        <v>1086.16419933293</v>
      </c>
      <c r="L21" s="0" t="n">
        <f aca="false">L19*L20</f>
        <v>1062.4408419412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11421.8852893456</v>
      </c>
    </row>
    <row r="31" customFormat="false" ht="15" hidden="false" customHeight="false" outlineLevel="0" collapsed="false">
      <c r="A31" s="0" t="s">
        <v>136</v>
      </c>
      <c r="B31" s="0" t="n">
        <f aca="false">L19</f>
        <v>2515.18385561467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47331.1871011125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42758.1255454494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42758.1255454494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18061.4943130005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29483.3796023461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29483.3796023461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75.3472517310148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0.0923057658888773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469.277283655705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740.907908485348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78.439981585707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22636.654700532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36.5911514122709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38.2208426451895</v>
      </c>
      <c r="C4" s="0" t="n">
        <f aca="false">B4/Assumptions!$B$2-1</f>
        <v>-0.445914139675421</v>
      </c>
      <c r="D4" s="4" t="n">
        <f aca="false">Assumptions!$B$24</f>
        <v>0.25</v>
      </c>
      <c r="E4" s="4" t="n">
        <f aca="false">DCF_Bear!$B$43</f>
        <v>40.3757075263165</v>
      </c>
      <c r="F4" s="4" t="n">
        <f aca="false">DCF_Bear!$B$47</f>
        <v>23.4712303291015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58.6352623292761</v>
      </c>
      <c r="C5" s="0" t="n">
        <f aca="false">B5/Assumptions!$B$2-1</f>
        <v>-0.149967203112843</v>
      </c>
      <c r="D5" s="4" t="n">
        <f aca="false">Assumptions!$B$38</f>
        <v>0.5</v>
      </c>
      <c r="E5" s="4" t="n">
        <f aca="false">DCF_Base!$B$43</f>
        <v>61.2993149573233</v>
      </c>
      <c r="F5" s="4" t="n">
        <f aca="false">DCF_Base!$B$47</f>
        <v>31.2682846944256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75.3472517310148</v>
      </c>
      <c r="C6" s="0" t="n">
        <f aca="false">B6/Assumptions!$B$2-1</f>
        <v>0.0923057658888773</v>
      </c>
      <c r="D6" s="4" t="n">
        <f aca="false">Assumptions!$B$52</f>
        <v>0.25</v>
      </c>
      <c r="E6" s="4" t="n">
        <f aca="false">DCF_Bull!$B$43</f>
        <v>78.439981585707</v>
      </c>
      <c r="F6" s="4" t="n">
        <f aca="false">DCF_Bull!$B$47</f>
        <v>36.5911514122709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57.7096547586891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60.3535797566675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-0.195293929385602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426.273258505007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30.6497377825559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58.6352623292761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54.1015355437043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47.2181220818254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41.8807375470631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31.2682846944256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67.772615256176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67.772615256176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67.772615256176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67.772615256176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67.772615256176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62.9905909743675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62.9905909743675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62.9905909743675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62.9905909743675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62.9905909743675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57.711252048098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58.6352623292761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58.6352623292761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58.6352623292761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58.6352623292761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50.2361183439649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52.0399797038433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54.1015355437043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54.6637780454846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54.6637780454846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44.4468493870879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45.7509777140232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47.2181220818254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48.8808856986678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50.7811869750592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2026-10-02T21:56:08Z</dcterms:created>
  <dc:creator>openpyxl</dc:creator>
  <dc:description/>
  <dc:language>en-NZ</dc:language>
  <cp:lastModifiedBy/>
  <dcterms:modified xsi:type="dcterms:W3CDTF">2026-10-02T21:56:08Z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