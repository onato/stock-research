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<sst xmlns="http://schemas.openxmlformats.org/spreadsheetml/2006/main" count="368" uniqueCount="171">
  <si>
    <t xml:space="preserve">Ticker</t>
  </si>
  <si>
    <t xml:space="preserve">5713.T</t>
  </si>
  <si>
    <t xml:space="preserve">Company</t>
  </si>
  <si>
    <t xml:space="preserve">Sumitomo Metal Mining Co., Ltd.</t>
  </si>
  <si>
    <t xml:space="preserve">Valuation date</t>
  </si>
  <si>
    <t xml:space="preserve">2026-11-01</t>
  </si>
  <si>
    <t xml:space="preserve">Current price</t>
  </si>
  <si>
    <t xml:space="preserve">Price as of</t>
  </si>
  <si>
    <t xml:space="preserve">2026-10-30T06:30:00Z regular TSE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</si>
  <si>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</si>
  <si>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</si>
  <si>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</si>
  <si>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</si>
  <si>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</si>
  <si>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</si>
  <si>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</si>
  <si>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</si>
  <si>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</si>
  <si>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</si>
  <si>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</si>
  <si>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</si>
  <si>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2026-10-31T11:18:13Z</t>
  </si>
  <si>
    <t xml:space="preserve">Drivers file</t>
  </si>
  <si>
    <t xml:space="preserve">5713.T_Drivers.json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</si>
  <si>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</si>
  <si>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</si>
  <si>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</si>
  <si>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commodity producer is valued on mid-cycle cash generation, not on the current price deck. The August 2026 guidance is honoured in year 1 and then faded; the structural improvements (new mines at full rate, higher own-mine ratio, nickel matte) are what justify a mid-cycle margin at the historical average rather than below it. The large financial-asset block (JV shareholder loans and cross-shareholdings) is carried at book in the bridge with its income excluded from the flows, so the valuation is not double-counting the JV cash stream.
key_risks_to_valuation: Copper/gold/JPY reversal: every 1pp of sustained EBITDA margin is worth roughly JPY 500-600/share at the base revenue level; the bear path is a 3pp lower terminal margin; Recoverability of the ~JPY 550bn of shareholder loans to JV mines (Quebrada Blanca) carried at book in the bridge -- a 20% haircut is ~JPY 410/share; Capex overrun: the 3-Year Plan already rose from JPY 437bn to 540bn; a further year at 8-9% of revenue removes ~JPY 50bn of FCF; Working capital: a renewed metal-price surge absorbs cash into inventory (FY2026: JPY 172bn), so the 'bull' earnings path converts to cash later than the model assumes; Nickel: Indonesian supply keeps the HPAL/ferronickel chain and Materials near breakeven; a further impairment at Coral Bay/Taganito is possible; NCI and tax leakage modelled as a flat 30%; if the HPAL minorities' share of profit rises (nickel recovery), attributable flows are lower than modelled</t>
  </si>
  <si>
    <t xml:space="preserve">Data sources</t>
  </si>
  <si>
    <t xml:space="preserve">price: Yahoo Finance chart API at inputs.price_as_of (regular TSE close); 52-week range 4,627-13,300
financials: 5713.T_Metrics.csv / core_metrics (FY2016-Q1 FY2027); FY2025 tanshin (year ended 2026-03-31) for the cash-flow components and segment table; Q1 FY2027 tanshin (2026-06-30) for net debt, share count and the revised FY2027 forecast; FY2025 Integrated Report for cross-shareholdings and the lease-exclusion note; FY2025 results presentation for the 3-Year Plan cash allocation
qualitative: 5713.T_Analysis.json (2026-11-01)</t>
  </si>
  <si>
    <t xml:space="preserve">Scenario narrative: bear</t>
  </si>
  <si>
    <t xml:space="preserve">Copper reverts to ~$9,000/t and gold to ~$3,000/oz as the AI capex cycle cools and China's property demand stays weak; the yen appreciates to ~140 on BoJ normalisation, cutting yen-translated metal revenue. Indonesian nickel keeps the market in surplus (SMM's own forecast runs surplus through 2026), copper TC/RC stay at historic lows so Smelting &amp; Refining earns little, and battery-material product changeovers plus LFP substitution keep Materials near breakeven. Quebrada Blanca's tailings fix slips and more capex is needed; the 3-Year Plan capex is not past peak. Revenue falls ~19% over two years and the EBITDA margin settles at 11%, the FY2024-FY2025 underlying level. JV loan recoverability becomes a live question.</t>
  </si>
  <si>
    <t xml:space="preserve">Scenario narrative: base</t>
  </si>
  <si>
    <t xml:space="preserve">Year 1 follows the August 2026 upgrade (copper $12,706/t, nickel $7.68/lb, gold $4,204/oz, JPY 159.87/$ for the full year; Q1 already delivered JPY 118bn PBT). From year 2 the model treats those prices as cyclically high rather than structural: revenue gives back ~9% over two years and the EBITDA margin settles at 14%, the FY2019-FY2026 average once the FY2022 super-year and the FY2025 HPAL impairment are excluded. Volume growth from Quebrada Blanca reaching stable operation (232-265kt in 2027 on a 100% basis), Cote Gold at 12-13.6t and the nickel matte furnace (end FY2027) lifts revenue 2.5%/yr thereafter. Capex glides from the 3-Year Plan 2027 peak (JPY 540bn over three years including JV financing) toward 5% of revenue, and working capital stops absorbing cash once metal prices stop rising. The JV shareholder loans and cross-shareholdings are carried in the bridge at book.</t>
  </si>
  <si>
    <t xml:space="preserve">Scenario narrative: bull</t>
  </si>
  <si>
    <t xml:space="preserve">The AI/grid-electrification copper story is structural: copper holds $12-13k/t, gold stays above $4k, the yen stays near 160 and Indonesia's ore-quota cuts plus Middle East sulfur constraints tighten nickel. Toyo's own-mine concentrate ratio rises toward 80%, neutralising the TC/RC squeeze; Quebrada Blanca clears its tailings constraint on schedule; Materials recovers on ESS and data-center demand (SiC, scandium for SOFCs). Margins hold at 16.5% (between the FY2021 and FY2023 levels) and revenue never gives back the FY2027 step-up. The equity ratio above 58% funds continued buybacks, which the flat count does not credit.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</si>
  <si>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</si>
  <si>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</si>
  <si>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</si>
  <si>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</si>
  <si>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</si>
  <si>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</si>
  <si>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</si>
  <si>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</si>
  <si>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</si>
  <si>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</si>
  <si>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</si>
  <si>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</si>
  <si>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</si>
  <si>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</si>
  <si>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</si>
  <si>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</si>
  <si>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</si>
  <si>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</si>
  <si>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</si>
  <si>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</si>
  <si>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</si>
  <si>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</si>
  <si>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</si>
  <si>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</si>
  <si>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</si>
  <si>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</si>
  <si>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</si>
  <si>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</si>
  <si>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OrdinaryProfit</t>
  </si>
  <si>
    <t xml:space="preserve">SegmentProfitMineralResources</t>
  </si>
  <si>
    <t xml:space="preserve">SegmentRevenueMaterials</t>
  </si>
  <si>
    <t xml:space="preserve">SegmentRevenueMineralResources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</si>
  <si>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</si>
  <si>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</si>
  <si>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</si>
  <si>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</si>
  <si>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</si>
  <si>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</si>
  <si>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</si>
  <si>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</si>
  <si>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</si>
  <si>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</si>
  <si>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</si>
  <si>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</si>
  <si>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</si>
  <si>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</si>
  <si>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</si>
  <si>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</si>
  <si>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</si>
  <si>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</si>
  <si>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</si>
  <si>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</si>
  <si>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</si>
  <si>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</si>
  <si>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</si>
  <si>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</si>
  <si>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</si>
  <si>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</si>
  <si>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</si>
  <si>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</si>
  <si>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</si>
  <si>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</si>
  <si>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</si>
  <si>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</si>
  <si>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</si>
  <si>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</si>
  <si>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</si>
  <si>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</si>
  <si>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</si>
  <si>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</si>
  <si>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</si>
  <si>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</si>
  <si>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</si>
  <si>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</si>
  <si>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</si>
  <si>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</si>
  <si>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</si>
  <si>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</si>
  <si>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</si>
  <si>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</si>
  <si>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5713.T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</si>
  <si>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</si>
  <si>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</si>
  <si>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</si>
  <si>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</si>
  <si>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</si>
  <si>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</si>
  <si>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</si>
  <si>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</si>
  <si>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</si>
  <si>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</si>
  <si>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</si>
  <si>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</si>
  <si>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</si>
  <si>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</si>
  <si>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</si>
  <si>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</si>
  <si>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</si>
  <si>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</si>
  <si>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</si>
  <si>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</si>
  <si>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</si>
  <si>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</si>
  <si>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</si>
  <si>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</si>
  <si>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</si>
  <si>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</si>
  <si>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</si>
  <si>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</si>
  <si>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</si>
  <si>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</si>
  <si>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5713.T owner-FCF component DCF: base case (millions, JPY)</t>
  </si>
  <si>
    <t xml:space="preserve">5713.T owner-FCF component DCF: bull case (millions, JPY)</t>
  </si>
  <si>
    <t xml:space="preserve">5713.T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</si>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</sst>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8131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855407</v>
      </c>
      <c r="C2" s="0" t="n">
        <v>741545</v>
      </c>
      <c r="D2" s="0" t="n">
        <v>113862</v>
      </c>
      <c r="E2" s="0" t="n">
        <v>13.3</v>
      </c>
      <c r="F2" s="0" t="n">
        <v>59720</v>
      </c>
      <c r="G2" s="0" t="n">
        <v>7</v>
      </c>
      <c r="H2" s="0" t="n">
        <v>105861</v>
      </c>
      <c r="I2" s="0" t="n">
        <v>-309</v>
      </c>
      <c r="J2" s="0" t="n">
        <v>0</v>
      </c>
      <c r="K2" s="0" t="n">
        <v>-1.12</v>
      </c>
      <c r="L2" s="0" t="n">
        <v>119704</v>
      </c>
      <c r="M2" s="0" t="n">
        <v>43335</v>
      </c>
      <c r="N2" s="0" t="n">
        <v>76369</v>
      </c>
      <c r="O2" s="0" t="n">
        <v>982958</v>
      </c>
      <c r="P2" s="0" t="n">
        <v>1630800</v>
      </c>
      <c r="Q2" s="0" t="n">
        <v>554805</v>
      </c>
      <c r="R2" s="0" t="n">
        <v>400559</v>
      </c>
      <c r="S2" s="0" t="n">
        <v>197825</v>
      </c>
      <c r="T2" s="0" t="n">
        <v>275.82</v>
      </c>
      <c r="AA2" s="0" t="s">
        <v>17</v>
      </c>
      <c r="AB2" s="0" t="s">
        <v>14</v>
      </c>
      <c r="AD2" s="0" t="n">
        <v>-12764</v>
      </c>
    </row>
    <row r="3" customFormat="false" ht="15" hidden="false" customHeight="false" outlineLevel="0" collapsed="false">
      <c r="A3" s="0" t="s">
        <v>69</v>
      </c>
      <c r="B3" s="0" t="n">
        <v>786146</v>
      </c>
      <c r="C3" s="0" t="n">
        <v>663850</v>
      </c>
      <c r="D3" s="0" t="n">
        <v>122296</v>
      </c>
      <c r="E3" s="0" t="n">
        <v>15.6</v>
      </c>
      <c r="F3" s="0" t="n">
        <v>76390</v>
      </c>
      <c r="G3" s="0" t="n">
        <v>9.7</v>
      </c>
      <c r="H3" s="0" t="n">
        <v>120622</v>
      </c>
      <c r="I3" s="0" t="n">
        <v>-18540</v>
      </c>
      <c r="J3" s="0" t="n">
        <v>-2.4</v>
      </c>
      <c r="K3" s="0" t="n">
        <v>-67.22</v>
      </c>
      <c r="L3" s="0" t="n">
        <v>43796</v>
      </c>
      <c r="M3" s="0" t="n">
        <v>52354</v>
      </c>
      <c r="N3" s="0" t="n">
        <v>-8558</v>
      </c>
      <c r="O3" s="0" t="n">
        <v>961690</v>
      </c>
      <c r="P3" s="0" t="n">
        <v>1685018</v>
      </c>
      <c r="Q3" s="0" t="n">
        <v>660897</v>
      </c>
      <c r="R3" s="0" t="n">
        <v>495504</v>
      </c>
      <c r="S3" s="0" t="n">
        <v>170293</v>
      </c>
      <c r="T3" s="0" t="n">
        <v>275.8</v>
      </c>
      <c r="AA3" s="0" t="s">
        <v>17</v>
      </c>
      <c r="AB3" s="0" t="s">
        <v>14</v>
      </c>
      <c r="AD3" s="0" t="n">
        <v>-1565</v>
      </c>
    </row>
    <row r="4" customFormat="false" ht="15" hidden="false" customHeight="false" outlineLevel="0" collapsed="false">
      <c r="A4" s="0" t="s">
        <v>70</v>
      </c>
      <c r="B4" s="0" t="n">
        <v>933517</v>
      </c>
      <c r="C4" s="0" t="n">
        <v>776428</v>
      </c>
      <c r="D4" s="0" t="n">
        <v>157089</v>
      </c>
      <c r="E4" s="0" t="n">
        <v>16.8</v>
      </c>
      <c r="F4" s="0" t="n">
        <v>110203</v>
      </c>
      <c r="G4" s="0" t="n">
        <v>11.8</v>
      </c>
      <c r="H4" s="0" t="n">
        <v>157068</v>
      </c>
      <c r="I4" s="0" t="n">
        <v>91648</v>
      </c>
      <c r="J4" s="0" t="n">
        <v>9.8</v>
      </c>
      <c r="K4" s="0" t="n">
        <v>299.94</v>
      </c>
      <c r="L4" s="0" t="n">
        <v>79405</v>
      </c>
      <c r="M4" s="0" t="n">
        <v>42998</v>
      </c>
      <c r="N4" s="0" t="n">
        <v>36407</v>
      </c>
      <c r="O4" s="0" t="n">
        <v>1036437</v>
      </c>
      <c r="P4" s="0" t="n">
        <v>1699037</v>
      </c>
      <c r="Q4" s="0" t="n">
        <v>579029</v>
      </c>
      <c r="R4" s="0" t="n">
        <v>392447</v>
      </c>
      <c r="S4" s="0" t="n">
        <v>135045</v>
      </c>
      <c r="T4" s="0" t="n">
        <v>274.79</v>
      </c>
      <c r="AA4" s="0" t="s">
        <v>17</v>
      </c>
      <c r="AB4" s="0" t="s">
        <v>14</v>
      </c>
      <c r="AC4" s="0" t="n">
        <v>332.42</v>
      </c>
      <c r="AD4" s="0" t="n">
        <v>124853</v>
      </c>
    </row>
    <row r="5" customFormat="false" ht="15" hidden="false" customHeight="false" outlineLevel="0" collapsed="false">
      <c r="A5" s="0" t="s">
        <v>71</v>
      </c>
      <c r="B5" s="0" t="n">
        <v>912208</v>
      </c>
      <c r="C5" s="0" t="n">
        <v>785571</v>
      </c>
      <c r="D5" s="0" t="n">
        <v>126637</v>
      </c>
      <c r="E5" s="0" t="n">
        <v>13.9</v>
      </c>
      <c r="F5" s="0" t="n">
        <v>77266</v>
      </c>
      <c r="G5" s="0" t="n">
        <v>8.5</v>
      </c>
      <c r="H5" s="0" t="n">
        <v>120807</v>
      </c>
      <c r="I5" s="0" t="n">
        <v>66790</v>
      </c>
      <c r="J5" s="0" t="n">
        <v>7.3</v>
      </c>
      <c r="K5" s="0" t="n">
        <v>243.06</v>
      </c>
      <c r="L5" s="0" t="n">
        <v>114744</v>
      </c>
      <c r="M5" s="0" t="n">
        <v>51184</v>
      </c>
      <c r="N5" s="0" t="n">
        <v>63560</v>
      </c>
      <c r="O5" s="0" t="n">
        <v>1047561</v>
      </c>
      <c r="P5" s="0" t="n">
        <v>1797701</v>
      </c>
      <c r="Q5" s="0" t="n">
        <v>646421</v>
      </c>
      <c r="R5" s="0" t="n">
        <v>379291</v>
      </c>
      <c r="S5" s="0" t="n">
        <v>81261</v>
      </c>
      <c r="T5" s="0" t="n">
        <v>274.79</v>
      </c>
      <c r="V5" s="0" t="n">
        <v>73</v>
      </c>
      <c r="AA5" s="0" t="s">
        <v>17</v>
      </c>
      <c r="AB5" s="0" t="s">
        <v>14</v>
      </c>
      <c r="AE5" s="0" t="n">
        <v>36465</v>
      </c>
      <c r="AF5" s="0" t="n">
        <v>219396</v>
      </c>
      <c r="AG5" s="0" t="n">
        <v>130078</v>
      </c>
    </row>
    <row r="6" customFormat="false" ht="15" hidden="false" customHeight="false" outlineLevel="0" collapsed="false">
      <c r="A6" s="0" t="s">
        <v>72</v>
      </c>
      <c r="B6" s="0" t="n">
        <v>872615</v>
      </c>
      <c r="C6" s="0" t="n">
        <v>763144</v>
      </c>
      <c r="D6" s="0" t="n">
        <v>109471</v>
      </c>
      <c r="E6" s="0" t="n">
        <v>12.5</v>
      </c>
      <c r="F6" s="0" t="n">
        <v>71503</v>
      </c>
      <c r="G6" s="0" t="n">
        <v>8.2</v>
      </c>
      <c r="H6" s="0" t="n">
        <v>116858</v>
      </c>
      <c r="I6" s="0" t="n">
        <v>60600</v>
      </c>
      <c r="J6" s="0" t="n">
        <v>6.9</v>
      </c>
      <c r="K6" s="0" t="n">
        <v>220.54</v>
      </c>
      <c r="L6" s="0" t="n">
        <v>136545</v>
      </c>
      <c r="M6" s="0" t="n">
        <v>46473</v>
      </c>
      <c r="N6" s="0" t="n">
        <v>90072</v>
      </c>
      <c r="O6" s="0" t="n">
        <v>1001946</v>
      </c>
      <c r="P6" s="0" t="n">
        <v>1719690</v>
      </c>
      <c r="Q6" s="0" t="n">
        <v>608830</v>
      </c>
      <c r="R6" s="0" t="n">
        <v>397503</v>
      </c>
      <c r="S6" s="0" t="n">
        <v>155530</v>
      </c>
      <c r="T6" s="0" t="n">
        <v>274.78</v>
      </c>
      <c r="V6" s="0" t="n">
        <v>78</v>
      </c>
      <c r="AA6" s="0" t="s">
        <v>17</v>
      </c>
      <c r="AB6" s="0" t="s">
        <v>14</v>
      </c>
      <c r="AE6" s="0" t="n">
        <v>37956</v>
      </c>
      <c r="AF6" s="0" t="n">
        <v>228635</v>
      </c>
      <c r="AG6" s="0" t="n">
        <v>114861</v>
      </c>
    </row>
    <row r="7" customFormat="false" ht="15" hidden="false" customHeight="false" outlineLevel="0" collapsed="false">
      <c r="A7" s="0" t="s">
        <v>73</v>
      </c>
      <c r="B7" s="0" t="n">
        <v>926122</v>
      </c>
      <c r="C7" s="0" t="n">
        <v>775246</v>
      </c>
      <c r="D7" s="0" t="n">
        <v>150876</v>
      </c>
      <c r="E7" s="0" t="n">
        <v>16.3</v>
      </c>
      <c r="F7" s="0" t="n">
        <v>105181</v>
      </c>
      <c r="G7" s="0" t="n">
        <v>11.4</v>
      </c>
      <c r="H7" s="0" t="n">
        <v>150910</v>
      </c>
      <c r="I7" s="0" t="n">
        <v>94604</v>
      </c>
      <c r="J7" s="0" t="n">
        <v>10.2</v>
      </c>
      <c r="K7" s="0" t="n">
        <v>344.29</v>
      </c>
      <c r="L7" s="0" t="n">
        <v>91522</v>
      </c>
      <c r="M7" s="0" t="n">
        <v>40470</v>
      </c>
      <c r="N7" s="0" t="n">
        <v>51052</v>
      </c>
      <c r="O7" s="0" t="n">
        <v>1113923</v>
      </c>
      <c r="P7" s="0" t="n">
        <v>1885999</v>
      </c>
      <c r="Q7" s="0" t="n">
        <v>663016</v>
      </c>
      <c r="R7" s="0" t="n">
        <v>360427</v>
      </c>
      <c r="S7" s="0" t="n">
        <v>158373</v>
      </c>
      <c r="T7" s="0" t="n">
        <v>274.78</v>
      </c>
      <c r="V7" s="0" t="n">
        <v>121</v>
      </c>
      <c r="AA7" s="0" t="s">
        <v>17</v>
      </c>
      <c r="AB7" s="0" t="s">
        <v>14</v>
      </c>
      <c r="AE7" s="0" t="n">
        <v>65290</v>
      </c>
      <c r="AF7" s="0" t="n">
        <v>211533</v>
      </c>
      <c r="AG7" s="0" t="n">
        <v>127042</v>
      </c>
    </row>
    <row r="8" customFormat="false" ht="15" hidden="false" customHeight="false" outlineLevel="0" collapsed="false">
      <c r="A8" s="0" t="s">
        <v>74</v>
      </c>
      <c r="B8" s="0" t="n">
        <v>1259091</v>
      </c>
      <c r="C8" s="0" t="n">
        <v>1001297</v>
      </c>
      <c r="D8" s="0" t="n">
        <v>257794</v>
      </c>
      <c r="E8" s="0" t="n">
        <v>20.5</v>
      </c>
      <c r="F8" s="0" t="n">
        <v>328519</v>
      </c>
      <c r="G8" s="0" t="n">
        <v>26.1</v>
      </c>
      <c r="H8" s="0" t="n">
        <v>374974</v>
      </c>
      <c r="I8" s="0" t="n">
        <v>281037</v>
      </c>
      <c r="J8" s="0" t="n">
        <v>22.3</v>
      </c>
      <c r="K8" s="0" t="n">
        <v>1022.8</v>
      </c>
      <c r="L8" s="0" t="n">
        <v>159489</v>
      </c>
      <c r="M8" s="0" t="n">
        <v>56570</v>
      </c>
      <c r="N8" s="0" t="n">
        <v>102919</v>
      </c>
      <c r="O8" s="0" t="n">
        <v>1445329</v>
      </c>
      <c r="P8" s="0" t="n">
        <v>2268756</v>
      </c>
      <c r="Q8" s="0" t="n">
        <v>711338</v>
      </c>
      <c r="R8" s="0" t="n">
        <v>331232</v>
      </c>
      <c r="S8" s="0" t="n">
        <v>213977</v>
      </c>
      <c r="T8" s="0" t="n">
        <v>274.77</v>
      </c>
      <c r="V8" s="0" t="n">
        <v>301</v>
      </c>
      <c r="AA8" s="0" t="s">
        <v>17</v>
      </c>
      <c r="AB8" s="0" t="s">
        <v>14</v>
      </c>
      <c r="AE8" s="0" t="n">
        <v>208548</v>
      </c>
      <c r="AF8" s="0" t="n">
        <v>277962</v>
      </c>
      <c r="AG8" s="0" t="n">
        <v>157315</v>
      </c>
    </row>
    <row r="9" customFormat="false" ht="15" hidden="false" customHeight="false" outlineLevel="0" collapsed="false">
      <c r="A9" s="0" t="s">
        <v>75</v>
      </c>
      <c r="B9" s="0" t="n">
        <v>1422989</v>
      </c>
      <c r="C9" s="0" t="n">
        <v>1172883</v>
      </c>
      <c r="D9" s="0" t="n">
        <v>250106</v>
      </c>
      <c r="E9" s="0" t="n">
        <v>17.6</v>
      </c>
      <c r="F9" s="0" t="n">
        <v>209117</v>
      </c>
      <c r="G9" s="0" t="n">
        <v>14.7</v>
      </c>
      <c r="H9" s="0" t="n">
        <v>262427</v>
      </c>
      <c r="I9" s="0" t="n">
        <v>160585</v>
      </c>
      <c r="J9" s="0" t="n">
        <v>11.3</v>
      </c>
      <c r="K9" s="0" t="n">
        <v>584.44</v>
      </c>
      <c r="L9" s="0" t="n">
        <v>120382</v>
      </c>
      <c r="M9" s="0" t="n">
        <v>130910</v>
      </c>
      <c r="N9" s="0" t="n">
        <v>-10528</v>
      </c>
      <c r="O9" s="0" t="n">
        <v>1631671</v>
      </c>
      <c r="P9" s="0" t="n">
        <v>2707899</v>
      </c>
      <c r="Q9" s="0" t="n">
        <v>918603</v>
      </c>
      <c r="R9" s="0" t="n">
        <v>457257</v>
      </c>
      <c r="S9" s="0" t="n">
        <v>215007</v>
      </c>
      <c r="T9" s="0" t="n">
        <v>274.77</v>
      </c>
      <c r="V9" s="0" t="n">
        <v>205</v>
      </c>
      <c r="AA9" s="0" t="s">
        <v>17</v>
      </c>
      <c r="AB9" s="0" t="s">
        <v>14</v>
      </c>
      <c r="AE9" s="0" t="n">
        <v>76443</v>
      </c>
      <c r="AF9" s="0" t="n">
        <v>317425</v>
      </c>
      <c r="AG9" s="0" t="n">
        <v>172427</v>
      </c>
    </row>
    <row r="10" customFormat="false" ht="15" hidden="false" customHeight="false" outlineLevel="0" collapsed="false">
      <c r="A10" s="0" t="s">
        <v>76</v>
      </c>
      <c r="B10" s="0" t="n">
        <v>1445388</v>
      </c>
      <c r="C10" s="0" t="n">
        <v>1279255</v>
      </c>
      <c r="D10" s="0" t="n">
        <v>166133</v>
      </c>
      <c r="E10" s="0" t="n">
        <v>11.5</v>
      </c>
      <c r="F10" s="0" t="n">
        <v>95271</v>
      </c>
      <c r="G10" s="0" t="n">
        <v>6.6</v>
      </c>
      <c r="H10" s="0" t="n">
        <v>151495</v>
      </c>
      <c r="I10" s="0" t="n">
        <v>58601</v>
      </c>
      <c r="J10" s="0" t="n">
        <v>4.1</v>
      </c>
      <c r="K10" s="0" t="n">
        <v>213.28</v>
      </c>
      <c r="L10" s="0" t="n">
        <v>210675</v>
      </c>
      <c r="M10" s="0" t="n">
        <v>128078</v>
      </c>
      <c r="N10" s="0" t="n">
        <v>82597</v>
      </c>
      <c r="O10" s="0" t="n">
        <v>1785104</v>
      </c>
      <c r="P10" s="0" t="n">
        <v>3027714</v>
      </c>
      <c r="Q10" s="0" t="n">
        <v>1054334</v>
      </c>
      <c r="R10" s="0" t="n">
        <v>530289</v>
      </c>
      <c r="S10" s="0" t="n">
        <v>151022</v>
      </c>
      <c r="T10" s="0" t="n">
        <v>274.76</v>
      </c>
      <c r="V10" s="0" t="n">
        <v>98</v>
      </c>
      <c r="AA10" s="0" t="s">
        <v>17</v>
      </c>
      <c r="AB10" s="0" t="s">
        <v>14</v>
      </c>
      <c r="AE10" s="0" t="n">
        <v>52845</v>
      </c>
      <c r="AF10" s="0" t="n">
        <v>335791</v>
      </c>
      <c r="AG10" s="0" t="n">
        <v>166006</v>
      </c>
    </row>
    <row r="11" customFormat="false" ht="15" hidden="false" customHeight="false" outlineLevel="0" collapsed="false">
      <c r="A11" s="0" t="s">
        <v>77</v>
      </c>
      <c r="B11" s="0" t="n">
        <v>1593348</v>
      </c>
      <c r="C11" s="0" t="n">
        <v>1534843</v>
      </c>
      <c r="D11" s="0" t="n">
        <v>58505</v>
      </c>
      <c r="E11" s="0" t="n">
        <v>3.7</v>
      </c>
      <c r="F11" s="0" t="n">
        <v>-6659</v>
      </c>
      <c r="G11" s="0" t="n">
        <v>-0.4</v>
      </c>
      <c r="H11" s="0" t="n">
        <v>60415</v>
      </c>
      <c r="I11" s="0" t="n">
        <v>16487</v>
      </c>
      <c r="J11" s="0" t="n">
        <v>1</v>
      </c>
      <c r="K11" s="0" t="n">
        <v>59.99</v>
      </c>
      <c r="L11" s="0" t="n">
        <v>149644</v>
      </c>
      <c r="M11" s="0" t="n">
        <v>122156</v>
      </c>
      <c r="N11" s="0" t="n">
        <v>27488</v>
      </c>
      <c r="O11" s="0" t="n">
        <v>1845737</v>
      </c>
      <c r="P11" s="0" t="n">
        <v>3068622</v>
      </c>
      <c r="Q11" s="0" t="n">
        <v>1019236</v>
      </c>
      <c r="R11" s="0" t="n">
        <v>560303</v>
      </c>
      <c r="S11" s="0" t="n">
        <v>159712</v>
      </c>
      <c r="T11" s="0" t="n">
        <v>275.02</v>
      </c>
      <c r="V11" s="0" t="n">
        <v>104</v>
      </c>
      <c r="AA11" s="0" t="s">
        <v>17</v>
      </c>
      <c r="AB11" s="0" t="s">
        <v>14</v>
      </c>
      <c r="AE11" s="0" t="n">
        <v>101836</v>
      </c>
      <c r="AF11" s="0" t="n">
        <v>296513</v>
      </c>
      <c r="AG11" s="0" t="n">
        <v>210716</v>
      </c>
    </row>
    <row r="12" customFormat="false" ht="15" hidden="false" customHeight="false" outlineLevel="0" collapsed="false">
      <c r="A12" s="0" t="s">
        <v>78</v>
      </c>
      <c r="B12" s="0" t="n">
        <v>1741586</v>
      </c>
      <c r="C12" s="0" t="n">
        <v>1467083</v>
      </c>
      <c r="D12" s="0" t="n">
        <v>274503</v>
      </c>
      <c r="E12" s="0" t="n">
        <v>15.8</v>
      </c>
      <c r="F12" s="0" t="n">
        <v>218322</v>
      </c>
      <c r="G12" s="0" t="n">
        <v>12.5</v>
      </c>
      <c r="H12" s="0" t="n">
        <v>278164</v>
      </c>
      <c r="I12" s="0" t="n">
        <v>176290</v>
      </c>
      <c r="J12" s="0" t="n">
        <v>10.1</v>
      </c>
      <c r="K12" s="0" t="n">
        <v>649.53</v>
      </c>
      <c r="L12" s="0" t="n">
        <v>101810</v>
      </c>
      <c r="M12" s="0" t="n">
        <v>85591</v>
      </c>
      <c r="N12" s="0" t="n">
        <v>16219</v>
      </c>
      <c r="O12" s="0" t="n">
        <v>2074835</v>
      </c>
      <c r="P12" s="0" t="n">
        <v>3559006</v>
      </c>
      <c r="Q12" s="0" t="n">
        <v>1267008</v>
      </c>
      <c r="R12" s="0" t="n">
        <v>663816</v>
      </c>
      <c r="S12" s="0" t="n">
        <v>116768</v>
      </c>
      <c r="T12" s="0" t="n">
        <v>270.55</v>
      </c>
      <c r="V12" s="0" t="n">
        <v>228</v>
      </c>
      <c r="AA12" s="0" t="s">
        <v>17</v>
      </c>
      <c r="AB12" s="0" t="s">
        <v>14</v>
      </c>
      <c r="AC12" s="0" t="n">
        <v>649.55</v>
      </c>
      <c r="AE12" s="0" t="n">
        <v>167831</v>
      </c>
      <c r="AF12" s="0" t="n">
        <v>284509</v>
      </c>
      <c r="AG12" s="0" t="n">
        <v>302577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8131</v>
      </c>
    </row>
    <row r="3" customFormat="false" ht="15" hidden="false" customHeight="false" outlineLevel="0" collapsed="false">
      <c r="A3" s="0" t="s">
        <v>82</v>
      </c>
      <c r="B3" s="3" t="n">
        <v>268.488</v>
      </c>
    </row>
    <row r="4" customFormat="false" ht="15" hidden="false" customHeight="false" outlineLevel="0" collapsed="false">
      <c r="A4" s="0" t="s">
        <v>83</v>
      </c>
      <c r="B4" s="3" t="n">
        <v>573308</v>
      </c>
    </row>
    <row r="5" customFormat="false" ht="15" hidden="false" customHeight="false" outlineLevel="0" collapsed="false">
      <c r="A5" s="0" t="s">
        <v>84</v>
      </c>
      <c r="B5" s="3" t="n">
        <v>907500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1741586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15</v>
      </c>
      <c r="D13" s="3" t="n">
        <v>-14</v>
      </c>
      <c r="E13" s="3" t="n">
        <v>-6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15.5</v>
      </c>
      <c r="D14" s="3" t="n">
        <v>11</v>
      </c>
      <c r="E14" s="3" t="n">
        <v>10</v>
      </c>
      <c r="F14" s="3" t="n">
        <v>10.5</v>
      </c>
      <c r="G14" s="3" t="n">
        <v>11</v>
      </c>
      <c r="H14" s="3" t="n">
        <v>11</v>
      </c>
      <c r="I14" s="3" t="n">
        <v>11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104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105</v>
      </c>
      <c r="C16" s="3" t="n">
        <v>0.3</v>
      </c>
      <c r="D16" s="3" t="n">
        <v>0.3</v>
      </c>
      <c r="E16" s="3" t="n">
        <v>0.3</v>
      </c>
      <c r="F16" s="3" t="n">
        <v>0.3</v>
      </c>
      <c r="G16" s="3" t="n">
        <v>0.3</v>
      </c>
      <c r="H16" s="3" t="n">
        <v>0.3</v>
      </c>
      <c r="I16" s="3" t="n">
        <v>0.3</v>
      </c>
      <c r="J16" s="3" t="n">
        <v>0.3</v>
      </c>
      <c r="K16" s="3" t="n">
        <v>0.3</v>
      </c>
      <c r="L16" s="3" t="n">
        <v>0.3</v>
      </c>
    </row>
    <row r="17" customFormat="false" ht="15" hidden="false" customHeight="false" outlineLevel="0" collapsed="false">
      <c r="A17" s="0" t="s">
        <v>106</v>
      </c>
      <c r="C17" s="3" t="n">
        <v>3.5</v>
      </c>
      <c r="D17" s="3" t="n">
        <v>3.6</v>
      </c>
      <c r="E17" s="3" t="n">
        <v>3.7</v>
      </c>
      <c r="F17" s="3" t="n">
        <v>3.7</v>
      </c>
      <c r="G17" s="3" t="n">
        <v>3.7</v>
      </c>
      <c r="H17" s="3" t="n">
        <v>3.7</v>
      </c>
      <c r="I17" s="3" t="n">
        <v>3.7</v>
      </c>
      <c r="J17" s="3" t="n">
        <v>3.7</v>
      </c>
      <c r="K17" s="3" t="n">
        <v>3.7</v>
      </c>
      <c r="L17" s="3" t="n">
        <v>3.7</v>
      </c>
    </row>
    <row r="18" customFormat="false" ht="15" hidden="false" customHeight="false" outlineLevel="0" collapsed="false">
      <c r="A18" s="0" t="s">
        <v>107</v>
      </c>
      <c r="C18" s="3" t="n">
        <v>8</v>
      </c>
      <c r="D18" s="3" t="n">
        <v>7.5</v>
      </c>
      <c r="E18" s="3" t="n">
        <v>7</v>
      </c>
      <c r="F18" s="3" t="n">
        <v>6.5</v>
      </c>
      <c r="G18" s="3" t="n">
        <v>6</v>
      </c>
      <c r="H18" s="3" t="n">
        <v>5.5</v>
      </c>
      <c r="I18" s="3" t="n">
        <v>5.5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108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109</v>
      </c>
      <c r="B20" s="3" t="n">
        <v>8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-15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18.6</v>
      </c>
      <c r="D27" s="3" t="n">
        <v>-6</v>
      </c>
      <c r="E27" s="3" t="n">
        <v>-3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17</v>
      </c>
      <c r="D28" s="3" t="n">
        <v>14.5</v>
      </c>
      <c r="E28" s="3" t="n">
        <v>13.5</v>
      </c>
      <c r="F28" s="3" t="n">
        <v>14</v>
      </c>
      <c r="G28" s="3" t="n">
        <v>14</v>
      </c>
      <c r="H28" s="3" t="n">
        <v>14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104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105</v>
      </c>
      <c r="C30" s="3" t="n">
        <v>0.3</v>
      </c>
      <c r="D30" s="3" t="n">
        <v>0.3</v>
      </c>
      <c r="E30" s="3" t="n">
        <v>0.3</v>
      </c>
      <c r="F30" s="3" t="n">
        <v>0.3</v>
      </c>
      <c r="G30" s="3" t="n">
        <v>0.3</v>
      </c>
      <c r="H30" s="3" t="n">
        <v>0.3</v>
      </c>
      <c r="I30" s="3" t="n">
        <v>0.3</v>
      </c>
      <c r="J30" s="3" t="n">
        <v>0.3</v>
      </c>
      <c r="K30" s="3" t="n">
        <v>0.3</v>
      </c>
      <c r="L30" s="3" t="n">
        <v>0.3</v>
      </c>
    </row>
    <row r="31" customFormat="false" ht="15" hidden="false" customHeight="false" outlineLevel="0" collapsed="false">
      <c r="A31" s="0" t="s">
        <v>106</v>
      </c>
      <c r="C31" s="3" t="n">
        <v>3.5</v>
      </c>
      <c r="D31" s="3" t="n">
        <v>3.5</v>
      </c>
      <c r="E31" s="3" t="n">
        <v>3.5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107</v>
      </c>
      <c r="C32" s="3" t="n">
        <v>7.5</v>
      </c>
      <c r="D32" s="3" t="n">
        <v>7</v>
      </c>
      <c r="E32" s="3" t="n">
        <v>6.5</v>
      </c>
      <c r="F32" s="3" t="n">
        <v>6</v>
      </c>
      <c r="G32" s="3" t="n">
        <v>5.5</v>
      </c>
      <c r="H32" s="3" t="n">
        <v>5.5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108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109</v>
      </c>
      <c r="B34" s="3" t="n">
        <v>8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13</v>
      </c>
    </row>
    <row r="37" customFormat="false" ht="15" hidden="false" customHeight="false" outlineLevel="0" collapsed="false">
      <c r="A37" s="0" t="s">
        <v>112</v>
      </c>
      <c r="B37" s="3" t="n">
        <v>-15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20</v>
      </c>
      <c r="D41" s="3" t="n">
        <v>0</v>
      </c>
      <c r="E41" s="3" t="n">
        <v>2</v>
      </c>
      <c r="F41" s="3" t="n">
        <v>3.5</v>
      </c>
      <c r="G41" s="3" t="n">
        <v>3.5</v>
      </c>
      <c r="H41" s="3" t="n">
        <v>3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18</v>
      </c>
      <c r="D42" s="3" t="n">
        <v>17</v>
      </c>
      <c r="E42" s="3" t="n">
        <v>16.5</v>
      </c>
      <c r="F42" s="3" t="n">
        <v>16.5</v>
      </c>
      <c r="G42" s="3" t="n">
        <v>16.5</v>
      </c>
      <c r="H42" s="3" t="n">
        <v>16.5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104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105</v>
      </c>
      <c r="C44" s="3" t="n">
        <v>0.3</v>
      </c>
      <c r="D44" s="3" t="n">
        <v>0.3</v>
      </c>
      <c r="E44" s="3" t="n">
        <v>0.3</v>
      </c>
      <c r="F44" s="3" t="n">
        <v>0.3</v>
      </c>
      <c r="G44" s="3" t="n">
        <v>0.3</v>
      </c>
      <c r="H44" s="3" t="n">
        <v>0.3</v>
      </c>
      <c r="I44" s="3" t="n">
        <v>0.3</v>
      </c>
      <c r="J44" s="3" t="n">
        <v>0.3</v>
      </c>
      <c r="K44" s="3" t="n">
        <v>0.3</v>
      </c>
      <c r="L44" s="3" t="n">
        <v>0.3</v>
      </c>
    </row>
    <row r="45" customFormat="false" ht="15" hidden="false" customHeight="false" outlineLevel="0" collapsed="false">
      <c r="A45" s="0" t="s">
        <v>106</v>
      </c>
      <c r="C45" s="3" t="n">
        <v>3.5</v>
      </c>
      <c r="D45" s="3" t="n">
        <v>3.5</v>
      </c>
      <c r="E45" s="3" t="n">
        <v>3.5</v>
      </c>
      <c r="F45" s="3" t="n">
        <v>3.5</v>
      </c>
      <c r="G45" s="3" t="n">
        <v>3.5</v>
      </c>
      <c r="H45" s="3" t="n">
        <v>3.5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107</v>
      </c>
      <c r="C46" s="3" t="n">
        <v>7.5</v>
      </c>
      <c r="D46" s="3" t="n">
        <v>7</v>
      </c>
      <c r="E46" s="3" t="n">
        <v>6.5</v>
      </c>
      <c r="F46" s="3" t="n">
        <v>6</v>
      </c>
      <c r="G46" s="3" t="n">
        <v>5.5</v>
      </c>
      <c r="H46" s="3" t="n">
        <v>5.5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108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109</v>
      </c>
      <c r="B48" s="3" t="n">
        <v>8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13</v>
      </c>
    </row>
    <row r="51" customFormat="false" ht="15" hidden="false" customHeight="false" outlineLevel="0" collapsed="false">
      <c r="A51" s="0" t="s">
        <v>112</v>
      </c>
      <c r="B51" s="3" t="n">
        <v>-15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15</v>
      </c>
      <c r="D5" s="4" t="n">
        <f aca="false">Assumptions!D13</f>
        <v>-14</v>
      </c>
      <c r="E5" s="4" t="n">
        <f aca="false">Assumptions!E13</f>
        <v>-6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1741586</v>
      </c>
      <c r="C6" s="0" t="n">
        <f aca="false">B6*(1+C5/100)</f>
        <v>2002823.9</v>
      </c>
      <c r="D6" s="0" t="n">
        <f aca="false">C6*(1+D5/100)</f>
        <v>1722428.554</v>
      </c>
      <c r="E6" s="0" t="n">
        <f aca="false">D6*(1+E5/100)</f>
        <v>1619082.84076</v>
      </c>
      <c r="F6" s="0" t="n">
        <f aca="false">E6*(1+F5/100)</f>
        <v>1635273.6691676</v>
      </c>
      <c r="G6" s="0" t="n">
        <f aca="false">F6*(1+G5/100)</f>
        <v>1659802.77420511</v>
      </c>
      <c r="H6" s="0" t="n">
        <f aca="false">G6*(1+H5/100)</f>
        <v>1692998.82968922</v>
      </c>
      <c r="I6" s="0" t="n">
        <f aca="false">H6*(1+I5/100)</f>
        <v>1726858.806283</v>
      </c>
      <c r="J6" s="0" t="n">
        <f aca="false">I6*(1+J5/100)</f>
        <v>1761395.98240866</v>
      </c>
      <c r="K6" s="0" t="n">
        <f aca="false">J6*(1+K5/100)</f>
        <v>1796623.90205683</v>
      </c>
      <c r="L6" s="0" t="n">
        <f aca="false">K6*(1+L5/100)</f>
        <v>1832556.38009797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15.5</v>
      </c>
      <c r="D7" s="4" t="n">
        <f aca="false">Assumptions!D14</f>
        <v>11</v>
      </c>
      <c r="E7" s="4" t="n">
        <f aca="false">Assumptions!E14</f>
        <v>10</v>
      </c>
      <c r="F7" s="4" t="n">
        <f aca="false">Assumptions!F14</f>
        <v>10.5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310437.7045</v>
      </c>
      <c r="D8" s="0" t="n">
        <f aca="false">D6*D7/100</f>
        <v>189467.14094</v>
      </c>
      <c r="E8" s="0" t="n">
        <f aca="false">E6*E7/100</f>
        <v>161908.284076</v>
      </c>
      <c r="F8" s="0" t="n">
        <f aca="false">F6*F7/100</f>
        <v>171703.735262598</v>
      </c>
      <c r="G8" s="0" t="n">
        <f aca="false">G6*G7/100</f>
        <v>182578.305162563</v>
      </c>
      <c r="H8" s="0" t="n">
        <f aca="false">H6*H7/100</f>
        <v>186229.871265814</v>
      </c>
      <c r="I8" s="0" t="n">
        <f aca="false">I6*I7/100</f>
        <v>189954.46869113</v>
      </c>
      <c r="J8" s="0" t="n">
        <f aca="false">J6*J7/100</f>
        <v>193753.558064953</v>
      </c>
      <c r="K8" s="0" t="n">
        <f aca="false">K6*K7/100</f>
        <v>197628.629226252</v>
      </c>
      <c r="L8" s="0" t="n">
        <f aca="false">L6*L7/100</f>
        <v>201581.201810777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304429.2328</v>
      </c>
      <c r="D11" s="0" t="n">
        <f aca="false">D8+D10+D24</f>
        <v>184299.855278</v>
      </c>
      <c r="E11" s="0" t="n">
        <f aca="false">E8+E10+E24</f>
        <v>157051.03555372</v>
      </c>
      <c r="F11" s="0" t="n">
        <f aca="false">F8+F10+F24</f>
        <v>166797.914255095</v>
      </c>
      <c r="G11" s="0" t="n">
        <f aca="false">G8+G10+G24</f>
        <v>177598.896839947</v>
      </c>
      <c r="H11" s="0" t="n">
        <f aca="false">H8+H10+H24</f>
        <v>181150.874776746</v>
      </c>
      <c r="I11" s="0" t="n">
        <f aca="false">I8+I10+I24</f>
        <v>184773.892272281</v>
      </c>
      <c r="J11" s="0" t="n">
        <f aca="false">J8+J10+J24</f>
        <v>188469.370117727</v>
      </c>
      <c r="K11" s="0" t="n">
        <f aca="false">K8+K10+K24</f>
        <v>192238.757520081</v>
      </c>
      <c r="L11" s="0" t="n">
        <f aca="false">L8+L10+L24</f>
        <v>196083.532670483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-70098.8365</v>
      </c>
      <c r="D12" s="4" t="n">
        <f aca="false">-D6*Assumptions!D17/100</f>
        <v>-62007.427944</v>
      </c>
      <c r="E12" s="4" t="n">
        <f aca="false">-E6*Assumptions!E17/100</f>
        <v>-59906.06510812</v>
      </c>
      <c r="F12" s="4" t="n">
        <f aca="false">-F6*Assumptions!F17/100</f>
        <v>-60505.1257592012</v>
      </c>
      <c r="G12" s="4" t="n">
        <f aca="false">-G6*Assumptions!G17/100</f>
        <v>-61412.7026455892</v>
      </c>
      <c r="H12" s="4" t="n">
        <f aca="false">-H6*Assumptions!H17/100</f>
        <v>-62640.956698501</v>
      </c>
      <c r="I12" s="4" t="n">
        <f aca="false">-I6*Assumptions!I17/100</f>
        <v>-63893.775832471</v>
      </c>
      <c r="J12" s="4" t="n">
        <f aca="false">-J6*Assumptions!J17/100</f>
        <v>-65171.6513491204</v>
      </c>
      <c r="K12" s="4" t="n">
        <f aca="false">-K6*Assumptions!K17/100</f>
        <v>-66475.0843761029</v>
      </c>
      <c r="L12" s="4" t="n">
        <f aca="false">-L6*Assumptions!L17/100</f>
        <v>-67804.5860636249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234330.3963</v>
      </c>
      <c r="D13" s="0" t="n">
        <f aca="false">D11+D12</f>
        <v>122292.427334</v>
      </c>
      <c r="E13" s="0" t="n">
        <f aca="false">E11+E12</f>
        <v>97144.9704456</v>
      </c>
      <c r="F13" s="0" t="n">
        <f aca="false">F11+F12</f>
        <v>106292.788495894</v>
      </c>
      <c r="G13" s="0" t="n">
        <f aca="false">G11+G12</f>
        <v>116186.194194358</v>
      </c>
      <c r="H13" s="0" t="n">
        <f aca="false">H11+H12</f>
        <v>118509.918078245</v>
      </c>
      <c r="I13" s="0" t="n">
        <f aca="false">I11+I12</f>
        <v>120880.11643981</v>
      </c>
      <c r="J13" s="0" t="n">
        <f aca="false">J11+J12</f>
        <v>123297.718768606</v>
      </c>
      <c r="K13" s="0" t="n">
        <f aca="false">K11+K12</f>
        <v>125763.673143978</v>
      </c>
      <c r="L13" s="0" t="n">
        <f aca="false">L11+L12</f>
        <v>128278.946606858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164031.27741</v>
      </c>
      <c r="D15" s="0" t="n">
        <f aca="false">D13-MAX(0,D13)*D14/100</f>
        <v>85604.6991338</v>
      </c>
      <c r="E15" s="0" t="n">
        <f aca="false">E13-MAX(0,E13)*E14/100</f>
        <v>68001.47931192</v>
      </c>
      <c r="F15" s="0" t="n">
        <f aca="false">F13-MAX(0,F13)*F14/100</f>
        <v>74404.9519471258</v>
      </c>
      <c r="G15" s="0" t="n">
        <f aca="false">G13-MAX(0,G13)*G14/100</f>
        <v>81330.3359360505</v>
      </c>
      <c r="H15" s="0" t="n">
        <f aca="false">H13-MAX(0,H13)*H14/100</f>
        <v>82956.9426547716</v>
      </c>
      <c r="I15" s="0" t="n">
        <f aca="false">I13-MAX(0,I13)*I14/100</f>
        <v>84616.081507867</v>
      </c>
      <c r="J15" s="0" t="n">
        <f aca="false">J13-MAX(0,J13)*J14/100</f>
        <v>86308.4031380244</v>
      </c>
      <c r="K15" s="0" t="n">
        <f aca="false">K13-MAX(0,K13)*K14/100</f>
        <v>88034.5712007848</v>
      </c>
      <c r="L15" s="0" t="n">
        <f aca="false">L13-MAX(0,L13)*L14/100</f>
        <v>89795.2626248006</v>
      </c>
    </row>
    <row r="16" customFormat="false" ht="15" hidden="false" customHeight="false" outlineLevel="0" collapsed="false">
      <c r="A16" s="0" t="s">
        <v>124</v>
      </c>
      <c r="C16" s="0" t="n">
        <f aca="false">-C12</f>
        <v>70098.8365</v>
      </c>
      <c r="D16" s="0" t="n">
        <f aca="false">-D12</f>
        <v>62007.427944</v>
      </c>
      <c r="E16" s="0" t="n">
        <f aca="false">-E12</f>
        <v>59906.06510812</v>
      </c>
      <c r="F16" s="0" t="n">
        <f aca="false">-F12</f>
        <v>60505.1257592012</v>
      </c>
      <c r="G16" s="0" t="n">
        <f aca="false">-G12</f>
        <v>61412.7026455892</v>
      </c>
      <c r="H16" s="0" t="n">
        <f aca="false">-H12</f>
        <v>62640.956698501</v>
      </c>
      <c r="I16" s="0" t="n">
        <f aca="false">-I12</f>
        <v>63893.775832471</v>
      </c>
      <c r="J16" s="0" t="n">
        <f aca="false">-J12</f>
        <v>65171.6513491204</v>
      </c>
      <c r="K16" s="0" t="n">
        <f aca="false">-K12</f>
        <v>66475.0843761029</v>
      </c>
      <c r="L16" s="0" t="n">
        <f aca="false">-L12</f>
        <v>67804.5860636249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-160225.912</v>
      </c>
      <c r="D17" s="4" t="n">
        <f aca="false">-D6*Assumptions!D18/100</f>
        <v>-129182.14155</v>
      </c>
      <c r="E17" s="4" t="n">
        <f aca="false">-E6*Assumptions!E18/100</f>
        <v>-113335.7988532</v>
      </c>
      <c r="F17" s="4" t="n">
        <f aca="false">-F6*Assumptions!F18/100</f>
        <v>-106292.788495894</v>
      </c>
      <c r="G17" s="4" t="n">
        <f aca="false">-G6*Assumptions!G18/100</f>
        <v>-99588.1664523068</v>
      </c>
      <c r="H17" s="4" t="n">
        <f aca="false">-H6*Assumptions!H18/100</f>
        <v>-93114.9356329069</v>
      </c>
      <c r="I17" s="4" t="n">
        <f aca="false">-I6*Assumptions!I18/100</f>
        <v>-94977.234345565</v>
      </c>
      <c r="J17" s="4" t="n">
        <f aca="false">-J6*Assumptions!J18/100</f>
        <v>-88069.799120433</v>
      </c>
      <c r="K17" s="4" t="n">
        <f aca="false">-K6*Assumptions!K18/100</f>
        <v>-89831.1951028417</v>
      </c>
      <c r="L17" s="4" t="n">
        <f aca="false">-L6*Assumptions!L18/100</f>
        <v>-91627.8190048985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-39185.685</v>
      </c>
      <c r="D18" s="4" t="n">
        <f aca="false">(D6-C6)*Assumptions!$B$23/100</f>
        <v>42059.3019</v>
      </c>
      <c r="E18" s="4" t="n">
        <f aca="false">(E6-D6)*Assumptions!$B$23/100</f>
        <v>15501.856986</v>
      </c>
      <c r="F18" s="4" t="n">
        <f aca="false">(F6-E6)*Assumptions!$B$23/100</f>
        <v>-2428.62426114001</v>
      </c>
      <c r="G18" s="4" t="n">
        <f aca="false">(G6-F6)*Assumptions!$B$23/100</f>
        <v>-3679.36575562708</v>
      </c>
      <c r="H18" s="4" t="n">
        <f aca="false">(H6-G6)*Assumptions!$B$23/100</f>
        <v>-4979.40832261535</v>
      </c>
      <c r="I18" s="4" t="n">
        <f aca="false">(I6-H6)*Assumptions!$B$23/100</f>
        <v>-5078.99648906764</v>
      </c>
      <c r="J18" s="4" t="n">
        <f aca="false">(J6-I6)*Assumptions!$B$23/100</f>
        <v>-5180.57641884901</v>
      </c>
      <c r="K18" s="4" t="n">
        <f aca="false">(K6-J6)*Assumptions!$B$23/100</f>
        <v>-5284.18794722599</v>
      </c>
      <c r="L18" s="4" t="n">
        <f aca="false">(L6-K6)*Assumptions!$B$23/100</f>
        <v>-5389.8717061705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34718.5169100001</v>
      </c>
      <c r="D19" s="0" t="n">
        <f aca="false">D15+D16+D17+D18</f>
        <v>60489.2874278</v>
      </c>
      <c r="E19" s="0" t="n">
        <f aca="false">E15+E16+E17+E18</f>
        <v>30073.60255284</v>
      </c>
      <c r="F19" s="0" t="n">
        <f aca="false">F15+F16+F17+F18</f>
        <v>26188.664949293</v>
      </c>
      <c r="G19" s="0" t="n">
        <f aca="false">G15+G16+G17+G18</f>
        <v>39475.5063737058</v>
      </c>
      <c r="H19" s="0" t="n">
        <f aca="false">H15+H16+H17+H18</f>
        <v>47503.5553977504</v>
      </c>
      <c r="I19" s="0" t="n">
        <f aca="false">I15+I16+I17+I18</f>
        <v>48453.6265057054</v>
      </c>
      <c r="J19" s="0" t="n">
        <f aca="false">J15+J16+J17+J18</f>
        <v>58229.6789478628</v>
      </c>
      <c r="K19" s="0" t="n">
        <f aca="false">K15+K16+K17+K18</f>
        <v>59394.27252682</v>
      </c>
      <c r="L19" s="0" t="n">
        <f aca="false">L15+L16+L17+L18</f>
        <v>60582.1579773565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32146.7749166667</v>
      </c>
      <c r="D21" s="0" t="n">
        <f aca="false">D19*D20</f>
        <v>51859.8143242455</v>
      </c>
      <c r="E21" s="0" t="n">
        <f aca="false">E19*E20</f>
        <v>23873.3953100709</v>
      </c>
      <c r="F21" s="0" t="n">
        <f aca="false">F19*F20</f>
        <v>19249.4505426145</v>
      </c>
      <c r="G21" s="0" t="n">
        <f aca="false">G19*G20</f>
        <v>26866.366332343</v>
      </c>
      <c r="H21" s="0" t="n">
        <f aca="false">H19*H20</f>
        <v>29935.2977806212</v>
      </c>
      <c r="I21" s="0" t="n">
        <f aca="false">I19*I20</f>
        <v>28272.2256816978</v>
      </c>
      <c r="J21" s="0" t="n">
        <f aca="false">J19*J20</f>
        <v>31459.68369007</v>
      </c>
      <c r="K21" s="0" t="n">
        <f aca="false">K19*K20</f>
        <v>29711.9234850661</v>
      </c>
      <c r="L21" s="0" t="n">
        <f aca="false">L19*L20</f>
        <v>28061.2610692291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0.3</v>
      </c>
      <c r="D23" s="4" t="n">
        <f aca="false">Assumptions!D16</f>
        <v>0.3</v>
      </c>
      <c r="E23" s="4" t="n">
        <f aca="false">Assumptions!E16</f>
        <v>0.3</v>
      </c>
      <c r="F23" s="4" t="n">
        <f aca="false">Assumptions!F16</f>
        <v>0.3</v>
      </c>
      <c r="G23" s="4" t="n">
        <f aca="false">Assumptions!G16</f>
        <v>0.3</v>
      </c>
      <c r="H23" s="4" t="n">
        <f aca="false">Assumptions!H16</f>
        <v>0.3</v>
      </c>
      <c r="I23" s="4" t="n">
        <f aca="false">Assumptions!I16</f>
        <v>0.3</v>
      </c>
      <c r="J23" s="4" t="n">
        <f aca="false">Assumptions!J16</f>
        <v>0.3</v>
      </c>
      <c r="K23" s="4" t="n">
        <f aca="false">Assumptions!K16</f>
        <v>0.3</v>
      </c>
      <c r="L23" s="4" t="n">
        <f aca="false">Assumptions!L16</f>
        <v>0.3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-6008.4717</v>
      </c>
      <c r="D24" s="0" t="n">
        <f aca="false">-D6*D23/100</f>
        <v>-5167.285662</v>
      </c>
      <c r="E24" s="0" t="n">
        <f aca="false">-E6*E23/100</f>
        <v>-4857.24852228</v>
      </c>
      <c r="F24" s="0" t="n">
        <f aca="false">-F6*F23/100</f>
        <v>-4905.8210075028</v>
      </c>
      <c r="G24" s="0" t="n">
        <f aca="false">-G6*G23/100</f>
        <v>-4979.40832261534</v>
      </c>
      <c r="H24" s="0" t="n">
        <f aca="false">-H6*H23/100</f>
        <v>-5078.99648906765</v>
      </c>
      <c r="I24" s="0" t="n">
        <f aca="false">-I6*I23/100</f>
        <v>-5180.576418849</v>
      </c>
      <c r="J24" s="0" t="n">
        <f aca="false">-J6*J23/100</f>
        <v>-5284.18794722598</v>
      </c>
      <c r="K24" s="0" t="n">
        <f aca="false">-K6*K23/100</f>
        <v>-5389.8717061705</v>
      </c>
      <c r="L24" s="0" t="n">
        <f aca="false">-L6*L23/100</f>
        <v>-5497.66914029391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301436.193132625</v>
      </c>
    </row>
    <row r="31" customFormat="false" ht="15" hidden="false" customHeight="false" outlineLevel="0" collapsed="false">
      <c r="A31" s="0" t="s">
        <v>133</v>
      </c>
      <c r="B31" s="0" t="n">
        <f aca="false">L19</f>
        <v>60582.1579773565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946013.697646412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726985.895728278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726985.895728278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336735.132830749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638171.325963374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972363.325963374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3621.62676158106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-0.554590239628452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3621.62676158106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455488.076644569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2483.27847188745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18.6</v>
      </c>
      <c r="D5" s="4" t="n">
        <f aca="false">Assumptions!D27</f>
        <v>-6</v>
      </c>
      <c r="E5" s="4" t="n">
        <f aca="false">Assumptions!E27</f>
        <v>-3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1741586</v>
      </c>
      <c r="C6" s="0" t="n">
        <f aca="false">B6*(1+C5/100)</f>
        <v>2065520.996</v>
      </c>
      <c r="D6" s="0" t="n">
        <f aca="false">C6*(1+D5/100)</f>
        <v>1941589.73624</v>
      </c>
      <c r="E6" s="0" t="n">
        <f aca="false">D6*(1+E5/100)</f>
        <v>1883342.0441528</v>
      </c>
      <c r="F6" s="0" t="n">
        <f aca="false">E6*(1+F5/100)</f>
        <v>1930425.59525662</v>
      </c>
      <c r="G6" s="0" t="n">
        <f aca="false">F6*(1+G5/100)</f>
        <v>1978686.23513804</v>
      </c>
      <c r="H6" s="0" t="n">
        <f aca="false">G6*(1+H5/100)</f>
        <v>2028153.39101649</v>
      </c>
      <c r="I6" s="0" t="n">
        <f aca="false">H6*(1+I5/100)</f>
        <v>2078857.2257919</v>
      </c>
      <c r="J6" s="0" t="n">
        <f aca="false">I6*(1+J5/100)</f>
        <v>2130828.6564367</v>
      </c>
      <c r="K6" s="0" t="n">
        <f aca="false">J6*(1+K5/100)</f>
        <v>2184099.37284761</v>
      </c>
      <c r="L6" s="0" t="n">
        <f aca="false">K6*(1+L5/100)</f>
        <v>2238701.8571688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17</v>
      </c>
      <c r="D7" s="4" t="n">
        <f aca="false">Assumptions!D28</f>
        <v>14.5</v>
      </c>
      <c r="E7" s="4" t="n">
        <f aca="false">Assumptions!E28</f>
        <v>13.5</v>
      </c>
      <c r="F7" s="4" t="n">
        <f aca="false">Assumptions!F28</f>
        <v>14</v>
      </c>
      <c r="G7" s="4" t="n">
        <f aca="false">Assumptions!G28</f>
        <v>14</v>
      </c>
      <c r="H7" s="4" t="n">
        <f aca="false">Assumptions!H28</f>
        <v>14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351138.56932</v>
      </c>
      <c r="D8" s="0" t="n">
        <f aca="false">D6*D7/100</f>
        <v>281530.5117548</v>
      </c>
      <c r="E8" s="0" t="n">
        <f aca="false">E6*E7/100</f>
        <v>254251.175960628</v>
      </c>
      <c r="F8" s="0" t="n">
        <f aca="false">F6*F7/100</f>
        <v>270259.583335927</v>
      </c>
      <c r="G8" s="0" t="n">
        <f aca="false">G6*G7/100</f>
        <v>277016.072919325</v>
      </c>
      <c r="H8" s="0" t="n">
        <f aca="false">H6*H7/100</f>
        <v>283941.474742308</v>
      </c>
      <c r="I8" s="0" t="n">
        <f aca="false">I6*I7/100</f>
        <v>291040.011610866</v>
      </c>
      <c r="J8" s="0" t="n">
        <f aca="false">J6*J7/100</f>
        <v>298316.011901137</v>
      </c>
      <c r="K8" s="0" t="n">
        <f aca="false">K6*K7/100</f>
        <v>305773.912198666</v>
      </c>
      <c r="L8" s="0" t="n">
        <f aca="false">L6*L7/100</f>
        <v>313418.260003632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344942.006332</v>
      </c>
      <c r="D11" s="0" t="n">
        <f aca="false">D8+D10+D24</f>
        <v>275705.74254608</v>
      </c>
      <c r="E11" s="0" t="n">
        <f aca="false">E8+E10+E24</f>
        <v>248601.14982817</v>
      </c>
      <c r="F11" s="0" t="n">
        <f aca="false">F8+F10+F24</f>
        <v>264468.306550157</v>
      </c>
      <c r="G11" s="0" t="n">
        <f aca="false">G8+G10+G24</f>
        <v>271080.014213911</v>
      </c>
      <c r="H11" s="0" t="n">
        <f aca="false">H8+H10+H24</f>
        <v>277857.014569259</v>
      </c>
      <c r="I11" s="0" t="n">
        <f aca="false">I8+I10+I24</f>
        <v>284803.43993349</v>
      </c>
      <c r="J11" s="0" t="n">
        <f aca="false">J8+J10+J24</f>
        <v>291923.525931827</v>
      </c>
      <c r="K11" s="0" t="n">
        <f aca="false">K8+K10+K24</f>
        <v>299221.614080123</v>
      </c>
      <c r="L11" s="0" t="n">
        <f aca="false">L8+L10+L24</f>
        <v>306702.154432126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-72293.23486</v>
      </c>
      <c r="D12" s="4" t="n">
        <f aca="false">-D6*Assumptions!D31/100</f>
        <v>-67955.6407684</v>
      </c>
      <c r="E12" s="4" t="n">
        <f aca="false">-E6*Assumptions!E31/100</f>
        <v>-65916.971545348</v>
      </c>
      <c r="F12" s="4" t="n">
        <f aca="false">-F6*Assumptions!F31/100</f>
        <v>-67564.8958339817</v>
      </c>
      <c r="G12" s="4" t="n">
        <f aca="false">-G6*Assumptions!G31/100</f>
        <v>-69254.0182298312</v>
      </c>
      <c r="H12" s="4" t="n">
        <f aca="false">-H6*Assumptions!H31/100</f>
        <v>-70985.368685577</v>
      </c>
      <c r="I12" s="4" t="n">
        <f aca="false">-I6*Assumptions!I31/100</f>
        <v>-72760.0029027164</v>
      </c>
      <c r="J12" s="4" t="n">
        <f aca="false">-J6*Assumptions!J31/100</f>
        <v>-74579.0029752843</v>
      </c>
      <c r="K12" s="4" t="n">
        <f aca="false">-K6*Assumptions!K31/100</f>
        <v>-76443.4780496664</v>
      </c>
      <c r="L12" s="4" t="n">
        <f aca="false">-L6*Assumptions!L31/100</f>
        <v>-78354.5650009081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272648.771472</v>
      </c>
      <c r="D13" s="0" t="n">
        <f aca="false">D11+D12</f>
        <v>207750.10177768</v>
      </c>
      <c r="E13" s="0" t="n">
        <f aca="false">E11+E12</f>
        <v>182684.178282822</v>
      </c>
      <c r="F13" s="0" t="n">
        <f aca="false">F11+F12</f>
        <v>196903.410716175</v>
      </c>
      <c r="G13" s="0" t="n">
        <f aca="false">G11+G12</f>
        <v>201825.99598408</v>
      </c>
      <c r="H13" s="0" t="n">
        <f aca="false">H11+H12</f>
        <v>206871.645883682</v>
      </c>
      <c r="I13" s="0" t="n">
        <f aca="false">I11+I12</f>
        <v>212043.437030774</v>
      </c>
      <c r="J13" s="0" t="n">
        <f aca="false">J11+J12</f>
        <v>217344.522956543</v>
      </c>
      <c r="K13" s="0" t="n">
        <f aca="false">K11+K12</f>
        <v>222778.136030456</v>
      </c>
      <c r="L13" s="0" t="n">
        <f aca="false">L11+L12</f>
        <v>228347.589431218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190854.1400304</v>
      </c>
      <c r="D15" s="0" t="n">
        <f aca="false">D13-MAX(0,D13)*D14/100</f>
        <v>145425.071244376</v>
      </c>
      <c r="E15" s="0" t="n">
        <f aca="false">E13-MAX(0,E13)*E14/100</f>
        <v>127878.924797975</v>
      </c>
      <c r="F15" s="0" t="n">
        <f aca="false">F13-MAX(0,F13)*F14/100</f>
        <v>137832.387501323</v>
      </c>
      <c r="G15" s="0" t="n">
        <f aca="false">G13-MAX(0,G13)*G14/100</f>
        <v>141278.197188856</v>
      </c>
      <c r="H15" s="0" t="n">
        <f aca="false">H13-MAX(0,H13)*H14/100</f>
        <v>144810.152118577</v>
      </c>
      <c r="I15" s="0" t="n">
        <f aca="false">I13-MAX(0,I13)*I14/100</f>
        <v>148430.405921542</v>
      </c>
      <c r="J15" s="0" t="n">
        <f aca="false">J13-MAX(0,J13)*J14/100</f>
        <v>152141.16606958</v>
      </c>
      <c r="K15" s="0" t="n">
        <f aca="false">K13-MAX(0,K13)*K14/100</f>
        <v>155944.69522132</v>
      </c>
      <c r="L15" s="0" t="n">
        <f aca="false">L13-MAX(0,L13)*L14/100</f>
        <v>159843.312601852</v>
      </c>
    </row>
    <row r="16" customFormat="false" ht="15" hidden="false" customHeight="false" outlineLevel="0" collapsed="false">
      <c r="A16" s="0" t="s">
        <v>124</v>
      </c>
      <c r="C16" s="0" t="n">
        <f aca="false">-C12</f>
        <v>72293.23486</v>
      </c>
      <c r="D16" s="0" t="n">
        <f aca="false">-D12</f>
        <v>67955.6407684</v>
      </c>
      <c r="E16" s="0" t="n">
        <f aca="false">-E12</f>
        <v>65916.971545348</v>
      </c>
      <c r="F16" s="0" t="n">
        <f aca="false">-F12</f>
        <v>67564.8958339817</v>
      </c>
      <c r="G16" s="0" t="n">
        <f aca="false">-G12</f>
        <v>69254.0182298312</v>
      </c>
      <c r="H16" s="0" t="n">
        <f aca="false">-H12</f>
        <v>70985.368685577</v>
      </c>
      <c r="I16" s="0" t="n">
        <f aca="false">-I12</f>
        <v>72760.0029027164</v>
      </c>
      <c r="J16" s="0" t="n">
        <f aca="false">-J12</f>
        <v>74579.0029752843</v>
      </c>
      <c r="K16" s="0" t="n">
        <f aca="false">-K12</f>
        <v>76443.4780496664</v>
      </c>
      <c r="L16" s="0" t="n">
        <f aca="false">-L12</f>
        <v>78354.5650009081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-154914.0747</v>
      </c>
      <c r="D17" s="4" t="n">
        <f aca="false">-D6*Assumptions!D32/100</f>
        <v>-135911.2815368</v>
      </c>
      <c r="E17" s="4" t="n">
        <f aca="false">-E6*Assumptions!E32/100</f>
        <v>-122417.232869932</v>
      </c>
      <c r="F17" s="4" t="n">
        <f aca="false">-F6*Assumptions!F32/100</f>
        <v>-115825.535715397</v>
      </c>
      <c r="G17" s="4" t="n">
        <f aca="false">-G6*Assumptions!G32/100</f>
        <v>-108827.742932592</v>
      </c>
      <c r="H17" s="4" t="n">
        <f aca="false">-H6*Assumptions!H32/100</f>
        <v>-111548.436505907</v>
      </c>
      <c r="I17" s="4" t="n">
        <f aca="false">-I6*Assumptions!I32/100</f>
        <v>-103942.861289595</v>
      </c>
      <c r="J17" s="4" t="n">
        <f aca="false">-J6*Assumptions!J32/100</f>
        <v>-106541.432821835</v>
      </c>
      <c r="K17" s="4" t="n">
        <f aca="false">-K6*Assumptions!K32/100</f>
        <v>-109204.968642381</v>
      </c>
      <c r="L17" s="4" t="n">
        <f aca="false">-L6*Assumptions!L32/100</f>
        <v>-111935.09285844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-48590.2494</v>
      </c>
      <c r="D18" s="4" t="n">
        <f aca="false">(D6-C6)*Assumptions!$B$37/100</f>
        <v>18589.688964</v>
      </c>
      <c r="E18" s="4" t="n">
        <f aca="false">(E6-D6)*Assumptions!$B$37/100</f>
        <v>8737.15381308</v>
      </c>
      <c r="F18" s="4" t="n">
        <f aca="false">(F6-E6)*Assumptions!$B$37/100</f>
        <v>-7062.53266557298</v>
      </c>
      <c r="G18" s="4" t="n">
        <f aca="false">(G6-F6)*Assumptions!$B$37/100</f>
        <v>-7239.09598221229</v>
      </c>
      <c r="H18" s="4" t="n">
        <f aca="false">(H6-G6)*Assumptions!$B$37/100</f>
        <v>-7420.07338176761</v>
      </c>
      <c r="I18" s="4" t="n">
        <f aca="false">(I6-H6)*Assumptions!$B$37/100</f>
        <v>-7605.5752163118</v>
      </c>
      <c r="J18" s="4" t="n">
        <f aca="false">(J6-I6)*Assumptions!$B$37/100</f>
        <v>-7795.71459671957</v>
      </c>
      <c r="K18" s="4" t="n">
        <f aca="false">(K6-J6)*Assumptions!$B$37/100</f>
        <v>-7990.60746163758</v>
      </c>
      <c r="L18" s="4" t="n">
        <f aca="false">(L6-K6)*Assumptions!$B$37/100</f>
        <v>-8190.37264817851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59643.0507904</v>
      </c>
      <c r="D19" s="0" t="n">
        <f aca="false">D15+D16+D17+D18</f>
        <v>96059.119439976</v>
      </c>
      <c r="E19" s="0" t="n">
        <f aca="false">E15+E16+E17+E18</f>
        <v>80115.8172864711</v>
      </c>
      <c r="F19" s="0" t="n">
        <f aca="false">F15+F16+F17+F18</f>
        <v>82509.2149543342</v>
      </c>
      <c r="G19" s="0" t="n">
        <f aca="false">G15+G16+G17+G18</f>
        <v>94465.3765038827</v>
      </c>
      <c r="H19" s="0" t="n">
        <f aca="false">H15+H16+H17+H18</f>
        <v>96827.0109164798</v>
      </c>
      <c r="I19" s="0" t="n">
        <f aca="false">I15+I16+I17+I18</f>
        <v>109641.972318351</v>
      </c>
      <c r="J19" s="0" t="n">
        <f aca="false">J15+J16+J17+J18</f>
        <v>112383.02162631</v>
      </c>
      <c r="K19" s="0" t="n">
        <f aca="false">K15+K16+K17+K18</f>
        <v>115192.597166968</v>
      </c>
      <c r="L19" s="0" t="n">
        <f aca="false">L15+L16+L17+L18</f>
        <v>118072.412096142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55225.0470281482</v>
      </c>
      <c r="D21" s="0" t="n">
        <f aca="false">D19*D20</f>
        <v>82355.2121398971</v>
      </c>
      <c r="E21" s="0" t="n">
        <f aca="false">E19*E20</f>
        <v>63598.5187776818</v>
      </c>
      <c r="F21" s="0" t="n">
        <f aca="false">F19*F20</f>
        <v>60646.7361222352</v>
      </c>
      <c r="G21" s="0" t="n">
        <f aca="false">G19*G20</f>
        <v>64291.5479500097</v>
      </c>
      <c r="H21" s="0" t="n">
        <f aca="false">H19*H20</f>
        <v>61017.4413414444</v>
      </c>
      <c r="I21" s="0" t="n">
        <f aca="false">I19*I20</f>
        <v>63975.0377653547</v>
      </c>
      <c r="J21" s="0" t="n">
        <f aca="false">J19*J20</f>
        <v>60717.0497310079</v>
      </c>
      <c r="K21" s="0" t="n">
        <f aca="false">K19*K20</f>
        <v>57624.9777539658</v>
      </c>
      <c r="L21" s="0" t="n">
        <f aca="false">L19*L20</f>
        <v>54690.3724053842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0.3</v>
      </c>
      <c r="D23" s="4" t="n">
        <f aca="false">Assumptions!D30</f>
        <v>0.3</v>
      </c>
      <c r="E23" s="4" t="n">
        <f aca="false">Assumptions!E30</f>
        <v>0.3</v>
      </c>
      <c r="F23" s="4" t="n">
        <f aca="false">Assumptions!F30</f>
        <v>0.3</v>
      </c>
      <c r="G23" s="4" t="n">
        <f aca="false">Assumptions!G30</f>
        <v>0.3</v>
      </c>
      <c r="H23" s="4" t="n">
        <f aca="false">Assumptions!H30</f>
        <v>0.3</v>
      </c>
      <c r="I23" s="4" t="n">
        <f aca="false">Assumptions!I30</f>
        <v>0.3</v>
      </c>
      <c r="J23" s="4" t="n">
        <f aca="false">Assumptions!J30</f>
        <v>0.3</v>
      </c>
      <c r="K23" s="4" t="n">
        <f aca="false">Assumptions!K30</f>
        <v>0.3</v>
      </c>
      <c r="L23" s="4" t="n">
        <f aca="false">Assumptions!L30</f>
        <v>0.3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-6196.562988</v>
      </c>
      <c r="D24" s="0" t="n">
        <f aca="false">-D6*D23/100</f>
        <v>-5824.76920872</v>
      </c>
      <c r="E24" s="0" t="n">
        <f aca="false">-E6*E23/100</f>
        <v>-5650.0261324584</v>
      </c>
      <c r="F24" s="0" t="n">
        <f aca="false">-F6*F23/100</f>
        <v>-5791.27678576986</v>
      </c>
      <c r="G24" s="0" t="n">
        <f aca="false">-G6*G23/100</f>
        <v>-5936.0587054141</v>
      </c>
      <c r="H24" s="0" t="n">
        <f aca="false">-H6*H23/100</f>
        <v>-6084.46017304946</v>
      </c>
      <c r="I24" s="0" t="n">
        <f aca="false">-I6*I23/100</f>
        <v>-6236.57167737569</v>
      </c>
      <c r="J24" s="0" t="n">
        <f aca="false">-J6*J23/100</f>
        <v>-6392.48596931008</v>
      </c>
      <c r="K24" s="0" t="n">
        <f aca="false">-K6*K23/100</f>
        <v>-6552.29811854284</v>
      </c>
      <c r="L24" s="0" t="n">
        <f aca="false">-L6*L23/100</f>
        <v>-6716.10557150641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624141.941015129</v>
      </c>
    </row>
    <row r="31" customFormat="false" ht="15" hidden="false" customHeight="false" outlineLevel="0" collapsed="false">
      <c r="A31" s="0" t="s">
        <v>133</v>
      </c>
      <c r="B31" s="0" t="n">
        <f aca="false">L19</f>
        <v>118072.412096142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2007231.00563441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1534941.35724985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1534941.35724985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710974.841269995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1335116.78228512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1669308.78228512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6217.44279925034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-0.235340942165744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6217.44279925034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926414.310292806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3785.09323352622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20</v>
      </c>
      <c r="D5" s="4" t="n">
        <f aca="false">Assumptions!D41</f>
        <v>0</v>
      </c>
      <c r="E5" s="4" t="n">
        <f aca="false">Assumptions!E41</f>
        <v>2</v>
      </c>
      <c r="F5" s="4" t="n">
        <f aca="false">Assumptions!F41</f>
        <v>3.5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1741586</v>
      </c>
      <c r="C6" s="0" t="n">
        <f aca="false">B6*(1+C5/100)</f>
        <v>2089903.2</v>
      </c>
      <c r="D6" s="0" t="n">
        <f aca="false">C6*(1+D5/100)</f>
        <v>2089903.2</v>
      </c>
      <c r="E6" s="0" t="n">
        <f aca="false">D6*(1+E5/100)</f>
        <v>2131701.264</v>
      </c>
      <c r="F6" s="0" t="n">
        <f aca="false">E6*(1+F5/100)</f>
        <v>2206310.80824</v>
      </c>
      <c r="G6" s="0" t="n">
        <f aca="false">F6*(1+G5/100)</f>
        <v>2283531.6865284</v>
      </c>
      <c r="H6" s="0" t="n">
        <f aca="false">G6*(1+H5/100)</f>
        <v>2352037.63712425</v>
      </c>
      <c r="I6" s="0" t="n">
        <f aca="false">H6*(1+I5/100)</f>
        <v>2422598.76623798</v>
      </c>
      <c r="J6" s="0" t="n">
        <f aca="false">I6*(1+J5/100)</f>
        <v>2495276.72922512</v>
      </c>
      <c r="K6" s="0" t="n">
        <f aca="false">J6*(1+K5/100)</f>
        <v>2557658.64745575</v>
      </c>
      <c r="L6" s="0" t="n">
        <f aca="false">K6*(1+L5/100)</f>
        <v>2621600.11364214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18</v>
      </c>
      <c r="D7" s="4" t="n">
        <f aca="false">Assumptions!D42</f>
        <v>17</v>
      </c>
      <c r="E7" s="4" t="n">
        <f aca="false">Assumptions!E42</f>
        <v>16.5</v>
      </c>
      <c r="F7" s="4" t="n">
        <f aca="false">Assumptions!F42</f>
        <v>16.5</v>
      </c>
      <c r="G7" s="4" t="n">
        <f aca="false">Assumptions!G42</f>
        <v>16.5</v>
      </c>
      <c r="H7" s="4" t="n">
        <f aca="false">Assumptions!H42</f>
        <v>16.5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376182.576</v>
      </c>
      <c r="D8" s="0" t="n">
        <f aca="false">D6*D7/100</f>
        <v>355283.544</v>
      </c>
      <c r="E8" s="0" t="n">
        <f aca="false">E6*E7/100</f>
        <v>351730.70856</v>
      </c>
      <c r="F8" s="0" t="n">
        <f aca="false">F6*F7/100</f>
        <v>364041.2833596</v>
      </c>
      <c r="G8" s="0" t="n">
        <f aca="false">G6*G7/100</f>
        <v>376782.728277186</v>
      </c>
      <c r="H8" s="0" t="n">
        <f aca="false">H6*H7/100</f>
        <v>388086.210125502</v>
      </c>
      <c r="I8" s="0" t="n">
        <f aca="false">I6*I7/100</f>
        <v>399728.796429267</v>
      </c>
      <c r="J8" s="0" t="n">
        <f aca="false">J6*J7/100</f>
        <v>411720.660322145</v>
      </c>
      <c r="K8" s="0" t="n">
        <f aca="false">K6*K7/100</f>
        <v>422013.676830198</v>
      </c>
      <c r="L8" s="0" t="n">
        <f aca="false">L6*L7/100</f>
        <v>432564.018750953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369912.8664</v>
      </c>
      <c r="D11" s="0" t="n">
        <f aca="false">D8+D10+D24</f>
        <v>349013.8344</v>
      </c>
      <c r="E11" s="0" t="n">
        <f aca="false">E8+E10+E24</f>
        <v>345335.604768</v>
      </c>
      <c r="F11" s="0" t="n">
        <f aca="false">F8+F10+F24</f>
        <v>357422.35093488</v>
      </c>
      <c r="G11" s="0" t="n">
        <f aca="false">G8+G10+G24</f>
        <v>369932.133217601</v>
      </c>
      <c r="H11" s="0" t="n">
        <f aca="false">H8+H10+H24</f>
        <v>381030.097214129</v>
      </c>
      <c r="I11" s="0" t="n">
        <f aca="false">I8+I10+I24</f>
        <v>392461.000130553</v>
      </c>
      <c r="J11" s="0" t="n">
        <f aca="false">J8+J10+J24</f>
        <v>404234.830134469</v>
      </c>
      <c r="K11" s="0" t="n">
        <f aca="false">K8+K10+K24</f>
        <v>414340.700887831</v>
      </c>
      <c r="L11" s="0" t="n">
        <f aca="false">L8+L10+L24</f>
        <v>424699.218410027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-73146.612</v>
      </c>
      <c r="D12" s="4" t="n">
        <f aca="false">-D6*Assumptions!D45/100</f>
        <v>-73146.612</v>
      </c>
      <c r="E12" s="4" t="n">
        <f aca="false">-E6*Assumptions!E45/100</f>
        <v>-74609.54424</v>
      </c>
      <c r="F12" s="4" t="n">
        <f aca="false">-F6*Assumptions!F45/100</f>
        <v>-77220.8782884</v>
      </c>
      <c r="G12" s="4" t="n">
        <f aca="false">-G6*Assumptions!G45/100</f>
        <v>-79923.609028494</v>
      </c>
      <c r="H12" s="4" t="n">
        <f aca="false">-H6*Assumptions!H45/100</f>
        <v>-82321.3172993488</v>
      </c>
      <c r="I12" s="4" t="n">
        <f aca="false">-I6*Assumptions!I45/100</f>
        <v>-84790.9568183293</v>
      </c>
      <c r="J12" s="4" t="n">
        <f aca="false">-J6*Assumptions!J45/100</f>
        <v>-87334.6855228792</v>
      </c>
      <c r="K12" s="4" t="n">
        <f aca="false">-K6*Assumptions!K45/100</f>
        <v>-89518.0526609511</v>
      </c>
      <c r="L12" s="4" t="n">
        <f aca="false">-L6*Assumptions!L45/100</f>
        <v>-91756.0039774749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296766.2544</v>
      </c>
      <c r="D13" s="0" t="n">
        <f aca="false">D11+D12</f>
        <v>275867.2224</v>
      </c>
      <c r="E13" s="0" t="n">
        <f aca="false">E11+E12</f>
        <v>270726.060528</v>
      </c>
      <c r="F13" s="0" t="n">
        <f aca="false">F11+F12</f>
        <v>280201.47264648</v>
      </c>
      <c r="G13" s="0" t="n">
        <f aca="false">G11+G12</f>
        <v>290008.524189107</v>
      </c>
      <c r="H13" s="0" t="n">
        <f aca="false">H11+H12</f>
        <v>298708.77991478</v>
      </c>
      <c r="I13" s="0" t="n">
        <f aca="false">I11+I12</f>
        <v>307670.043312223</v>
      </c>
      <c r="J13" s="0" t="n">
        <f aca="false">J11+J12</f>
        <v>316900.14461159</v>
      </c>
      <c r="K13" s="0" t="n">
        <f aca="false">K11+K12</f>
        <v>324822.64822688</v>
      </c>
      <c r="L13" s="0" t="n">
        <f aca="false">L11+L12</f>
        <v>332943.214432552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207736.37808</v>
      </c>
      <c r="D15" s="0" t="n">
        <f aca="false">D13-MAX(0,D13)*D14/100</f>
        <v>193107.05568</v>
      </c>
      <c r="E15" s="0" t="n">
        <f aca="false">E13-MAX(0,E13)*E14/100</f>
        <v>189508.2423696</v>
      </c>
      <c r="F15" s="0" t="n">
        <f aca="false">F13-MAX(0,F13)*F14/100</f>
        <v>196141.030852536</v>
      </c>
      <c r="G15" s="0" t="n">
        <f aca="false">G13-MAX(0,G13)*G14/100</f>
        <v>203005.966932375</v>
      </c>
      <c r="H15" s="0" t="n">
        <f aca="false">H13-MAX(0,H13)*H14/100</f>
        <v>209096.145940346</v>
      </c>
      <c r="I15" s="0" t="n">
        <f aca="false">I13-MAX(0,I13)*I14/100</f>
        <v>215369.030318556</v>
      </c>
      <c r="J15" s="0" t="n">
        <f aca="false">J13-MAX(0,J13)*J14/100</f>
        <v>221830.101228113</v>
      </c>
      <c r="K15" s="0" t="n">
        <f aca="false">K13-MAX(0,K13)*K14/100</f>
        <v>227375.853758816</v>
      </c>
      <c r="L15" s="0" t="n">
        <f aca="false">L13-MAX(0,L13)*L14/100</f>
        <v>233060.250102786</v>
      </c>
    </row>
    <row r="16" customFormat="false" ht="15" hidden="false" customHeight="false" outlineLevel="0" collapsed="false">
      <c r="A16" s="0" t="s">
        <v>124</v>
      </c>
      <c r="C16" s="0" t="n">
        <f aca="false">-C12</f>
        <v>73146.612</v>
      </c>
      <c r="D16" s="0" t="n">
        <f aca="false">-D12</f>
        <v>73146.612</v>
      </c>
      <c r="E16" s="0" t="n">
        <f aca="false">-E12</f>
        <v>74609.54424</v>
      </c>
      <c r="F16" s="0" t="n">
        <f aca="false">-F12</f>
        <v>77220.8782884</v>
      </c>
      <c r="G16" s="0" t="n">
        <f aca="false">-G12</f>
        <v>79923.609028494</v>
      </c>
      <c r="H16" s="0" t="n">
        <f aca="false">-H12</f>
        <v>82321.3172993488</v>
      </c>
      <c r="I16" s="0" t="n">
        <f aca="false">-I12</f>
        <v>84790.9568183293</v>
      </c>
      <c r="J16" s="0" t="n">
        <f aca="false">-J12</f>
        <v>87334.6855228792</v>
      </c>
      <c r="K16" s="0" t="n">
        <f aca="false">-K12</f>
        <v>89518.0526609511</v>
      </c>
      <c r="L16" s="0" t="n">
        <f aca="false">-L12</f>
        <v>91756.0039774749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-156742.74</v>
      </c>
      <c r="D17" s="4" t="n">
        <f aca="false">-D6*Assumptions!D46/100</f>
        <v>-146293.224</v>
      </c>
      <c r="E17" s="4" t="n">
        <f aca="false">-E6*Assumptions!E46/100</f>
        <v>-138560.58216</v>
      </c>
      <c r="F17" s="4" t="n">
        <f aca="false">-F6*Assumptions!F46/100</f>
        <v>-132378.6484944</v>
      </c>
      <c r="G17" s="4" t="n">
        <f aca="false">-G6*Assumptions!G46/100</f>
        <v>-125594.242759062</v>
      </c>
      <c r="H17" s="4" t="n">
        <f aca="false">-H6*Assumptions!H46/100</f>
        <v>-129362.070041834</v>
      </c>
      <c r="I17" s="4" t="n">
        <f aca="false">-I6*Assumptions!I46/100</f>
        <v>-121129.938311899</v>
      </c>
      <c r="J17" s="4" t="n">
        <f aca="false">-J6*Assumptions!J46/100</f>
        <v>-124763.836461256</v>
      </c>
      <c r="K17" s="4" t="n">
        <f aca="false">-K6*Assumptions!K46/100</f>
        <v>-127882.932372787</v>
      </c>
      <c r="L17" s="4" t="n">
        <f aca="false">-L6*Assumptions!L46/100</f>
        <v>-131080.005682107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-52247.58</v>
      </c>
      <c r="D18" s="4" t="n">
        <f aca="false">(D6-C6)*Assumptions!$B$51/100</f>
        <v>-0</v>
      </c>
      <c r="E18" s="4" t="n">
        <f aca="false">(E6-D6)*Assumptions!$B$51/100</f>
        <v>-6269.7096</v>
      </c>
      <c r="F18" s="4" t="n">
        <f aca="false">(F6-E6)*Assumptions!$B$51/100</f>
        <v>-11191.431636</v>
      </c>
      <c r="G18" s="4" t="n">
        <f aca="false">(G6-F6)*Assumptions!$B$51/100</f>
        <v>-11583.13174326</v>
      </c>
      <c r="H18" s="4" t="n">
        <f aca="false">(H6-G6)*Assumptions!$B$51/100</f>
        <v>-10275.8925893778</v>
      </c>
      <c r="I18" s="4" t="n">
        <f aca="false">(I6-H6)*Assumptions!$B$51/100</f>
        <v>-10584.1693670592</v>
      </c>
      <c r="J18" s="4" t="n">
        <f aca="false">(J6-I6)*Assumptions!$B$51/100</f>
        <v>-10901.6944480709</v>
      </c>
      <c r="K18" s="4" t="n">
        <f aca="false">(K6-J6)*Assumptions!$B$51/100</f>
        <v>-9357.28773459415</v>
      </c>
      <c r="L18" s="4" t="n">
        <f aca="false">(L6-K6)*Assumptions!$B$51/100</f>
        <v>-9591.21992795903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71892.67008</v>
      </c>
      <c r="D19" s="0" t="n">
        <f aca="false">D15+D16+D17+D18</f>
        <v>119960.44368</v>
      </c>
      <c r="E19" s="0" t="n">
        <f aca="false">E15+E16+E17+E18</f>
        <v>119287.4948496</v>
      </c>
      <c r="F19" s="0" t="n">
        <f aca="false">F15+F16+F17+F18</f>
        <v>129791.829010536</v>
      </c>
      <c r="G19" s="0" t="n">
        <f aca="false">G15+G16+G17+G18</f>
        <v>145752.201458547</v>
      </c>
      <c r="H19" s="0" t="n">
        <f aca="false">H15+H16+H17+H18</f>
        <v>151779.500608483</v>
      </c>
      <c r="I19" s="0" t="n">
        <f aca="false">I15+I16+I17+I18</f>
        <v>168445.879457928</v>
      </c>
      <c r="J19" s="0" t="n">
        <f aca="false">J15+J16+J17+J18</f>
        <v>173499.255841665</v>
      </c>
      <c r="K19" s="0" t="n">
        <f aca="false">K15+K16+K17+K18</f>
        <v>179653.686312386</v>
      </c>
      <c r="L19" s="0" t="n">
        <f aca="false">L15+L16+L17+L18</f>
        <v>184145.028470195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66567.2871111112</v>
      </c>
      <c r="D21" s="0" t="n">
        <f aca="false">D19*D20</f>
        <v>102846.74526749</v>
      </c>
      <c r="E21" s="0" t="n">
        <f aca="false">E19*E20</f>
        <v>94694.2593621399</v>
      </c>
      <c r="F21" s="0" t="n">
        <f aca="false">F19*F20</f>
        <v>95400.8689717968</v>
      </c>
      <c r="G21" s="0" t="n">
        <f aca="false">G19*G20</f>
        <v>99196.4992433654</v>
      </c>
      <c r="H21" s="0" t="n">
        <f aca="false">H19*H20</f>
        <v>95646.8312669518</v>
      </c>
      <c r="I21" s="0" t="n">
        <f aca="false">I19*I20</f>
        <v>98286.5527851839</v>
      </c>
      <c r="J21" s="0" t="n">
        <f aca="false">J19*J20</f>
        <v>93736.2494154995</v>
      </c>
      <c r="K21" s="0" t="n">
        <f aca="false">K19*K20</f>
        <v>89871.57101913</v>
      </c>
      <c r="L21" s="0" t="n">
        <f aca="false">L19*L20</f>
        <v>85294.7780505632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0.3</v>
      </c>
      <c r="D23" s="4" t="n">
        <f aca="false">Assumptions!D44</f>
        <v>0.3</v>
      </c>
      <c r="E23" s="4" t="n">
        <f aca="false">Assumptions!E44</f>
        <v>0.3</v>
      </c>
      <c r="F23" s="4" t="n">
        <f aca="false">Assumptions!F44</f>
        <v>0.3</v>
      </c>
      <c r="G23" s="4" t="n">
        <f aca="false">Assumptions!G44</f>
        <v>0.3</v>
      </c>
      <c r="H23" s="4" t="n">
        <f aca="false">Assumptions!H44</f>
        <v>0.3</v>
      </c>
      <c r="I23" s="4" t="n">
        <f aca="false">Assumptions!I44</f>
        <v>0.3</v>
      </c>
      <c r="J23" s="4" t="n">
        <f aca="false">Assumptions!J44</f>
        <v>0.3</v>
      </c>
      <c r="K23" s="4" t="n">
        <f aca="false">Assumptions!K44</f>
        <v>0.3</v>
      </c>
      <c r="L23" s="4" t="n">
        <f aca="false">Assumptions!L44</f>
        <v>0.3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-6269.7096</v>
      </c>
      <c r="D24" s="0" t="n">
        <f aca="false">-D6*D23/100</f>
        <v>-6269.7096</v>
      </c>
      <c r="E24" s="0" t="n">
        <f aca="false">-E6*E23/100</f>
        <v>-6395.103792</v>
      </c>
      <c r="F24" s="0" t="n">
        <f aca="false">-F6*F23/100</f>
        <v>-6618.93242472</v>
      </c>
      <c r="G24" s="0" t="n">
        <f aca="false">-G6*G23/100</f>
        <v>-6850.5950595852</v>
      </c>
      <c r="H24" s="0" t="n">
        <f aca="false">-H6*H23/100</f>
        <v>-7056.11291137275</v>
      </c>
      <c r="I24" s="0" t="n">
        <f aca="false">-I6*I23/100</f>
        <v>-7267.79629871394</v>
      </c>
      <c r="J24" s="0" t="n">
        <f aca="false">-J6*J23/100</f>
        <v>-7485.83018767536</v>
      </c>
      <c r="K24" s="0" t="n">
        <f aca="false">-K6*K23/100</f>
        <v>-7672.97594236724</v>
      </c>
      <c r="L24" s="0" t="n">
        <f aca="false">-L6*L23/100</f>
        <v>-7864.80034092642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921541.642493231</v>
      </c>
    </row>
    <row r="31" customFormat="false" ht="15" hidden="false" customHeight="false" outlineLevel="0" collapsed="false">
      <c r="A31" s="0" t="s">
        <v>133</v>
      </c>
      <c r="B31" s="0" t="n">
        <f aca="false">L19</f>
        <v>184145.028470195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3431793.71239909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2393885.37011254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2393885.37011254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1108832.11465732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2030373.75715055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2364565.75715055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8806.96998432165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0.0831349138263009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8806.96998432165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1509989.2334556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5095.25661759398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3621.62676158106</v>
      </c>
      <c r="C4" s="0" t="n">
        <f aca="false">B4/Assumptions!$B$2-1</f>
        <v>-0.554590239628452</v>
      </c>
      <c r="D4" s="4" t="n">
        <f aca="false">Assumptions!$B$24</f>
        <v>0.25</v>
      </c>
      <c r="E4" s="4" t="n">
        <f aca="false">DCF_Bear!$B$43</f>
        <v>3621.62676158106</v>
      </c>
      <c r="F4" s="4" t="n">
        <f aca="false">DCF_Bear!$B$47</f>
        <v>2483.27847188745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6217.44279925034</v>
      </c>
      <c r="C5" s="0" t="n">
        <f aca="false">B5/Assumptions!$B$2-1</f>
        <v>-0.235340942165744</v>
      </c>
      <c r="D5" s="4" t="n">
        <f aca="false">Assumptions!$B$38</f>
        <v>0.5</v>
      </c>
      <c r="E5" s="4" t="n">
        <f aca="false">DCF_Base!$B$43</f>
        <v>6217.44279925034</v>
      </c>
      <c r="F5" s="4" t="n">
        <f aca="false">DCF_Base!$B$47</f>
        <v>3785.09323352622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8806.96998432165</v>
      </c>
      <c r="C6" s="0" t="n">
        <f aca="false">B6/Assumptions!$B$2-1</f>
        <v>0.0831349138263009</v>
      </c>
      <c r="D6" s="4" t="n">
        <f aca="false">Assumptions!$B$52</f>
        <v>0.25</v>
      </c>
      <c r="E6" s="4" t="n">
        <f aca="false">DCF_Bull!$B$43</f>
        <v>8806.96998432165</v>
      </c>
      <c r="F6" s="4" t="n">
        <f aca="false">DCF_Bull!$B$47</f>
        <v>5095.25661759398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6215.87058610085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6215.87058610085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-0.308103167106073</v>
      </c>
    </row>
    <row r="11" customFormat="false" ht="15" hidden="false" customHeight="false" outlineLevel="0" collapsed="false">
      <c r="A11" s="0" t="s">
        <v>160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3787.18038913347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6217.44279925034</v>
      </c>
      <c r="C15" s="3" t="n">
        <v>8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5873.17073113874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5516.56533410423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5013.69071333735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4612.67477985856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3785.09323352622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7009.87608141782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7009.87608141782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7009.87608141782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7009.87608141782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7009.87608141782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6595.09768080531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6595.09768080531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6595.09768080531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6595.09768080531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6595.09768080531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6217.44279925034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6217.44279925034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6217.44279925034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6217.44279925034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6217.44279925034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5803.50970876671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5873.17073113874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5873.17073113874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5873.17073113874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5873.17073113874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5257.53126199658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5379.42964887076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5516.56533410423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5558.95272772184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5558.95272772184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2026-10-31T11:18:13Z</dcterms:created>
  <dc:creator>openpyxl</dc:creator>
  <dc:description/>
  <dc:language>en-NZ</dc:language>
  <cp:lastModifiedBy/>
  <dcterms:modified xsi:type="dcterms:W3CDTF">2026-10-31T11:18:13Z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