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<sst xmlns="http://schemas.openxmlformats.org/spreadsheetml/2006/main" count="351" uniqueCount="162">
  <si>
    <t xml:space="preserve">Ticker</t>
  </si>
  <si>
    <t xml:space="preserve">5301.T</t>
  </si>
  <si>
    <t xml:space="preserve">Company</t>
  </si>
  <si>
    <t xml:space="preserve">Tokai Carbon Co., Ltd.</t>
  </si>
  <si>
    <t xml:space="preserve">Valuation date</t>
  </si>
  <si>
    <t xml:space="preserve">2026-10-31</t>
  </si>
  <si>
    <t xml:space="preserve">Current price</t>
  </si>
  <si>
    <t xml:space="preserve">Price as of</t>
  </si>
  <si>
    <t xml:space="preserve">2026-10-30T06:30:00Z (TSE regular close, Yahoo Finance chart API)</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</si>
  <si>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</si>
  <si>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</si>
  <si>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</si>
  <si>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</si>
  <si>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</si>
  <si>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</si>
  <si>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</si>
  <si>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</si>
  <si>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</si>
  <si>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</si>
  <si>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</si>
  <si>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</si>
  <si>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2026-10-31T08:24:03Z</t>
  </si>
  <si>
    <t xml:space="preserve">Drivers file</t>
  </si>
  <si>
    <t xml:space="preserve">5301.T_Drivers.json</t>
  </si>
  <si>
    <t xml:space="preserve">Convention</t>
  </si>
  <si>
    <t xml:space="preserve">Percents stored as percents; formulas divide by 100. Blue = input, green = link, black = formula.</t>
  </si>
  <si>
    <t xml:space="preserve">Methodology</t>
  </si>
  <si>
    <t xml:space="preserve">summary: Owner-FCF DCF on a mid-cycle margin and a normalised capex ratio, because neither FY2024 (impairment-distorted) nor FY2025 (recovery year, 13bn FCF) is a repeatable base. The build is deliberately more generous on FCF conversion than the company's own decade (capex at 9.5% of revenue vs 12-14% actual) and still values the equity well below the market price: the share price embeds a re-rating on the SiC / AI-capex narrative and the capital-return programme that the base case does not grant. The cross-shareholding portfolio (JPY42bn after tax) and NCI (JPY35bn) are bridged explicitly; dividend and interest income are excluded from the flows to match.
key_risks_to_valuation: Capex intensity: every 1pp of revenue in perpetual capex is worth roughly JPY60/share; the base case assumes capex falls to D&amp;A, which the company has not achieved since FY2019.; Cyclical trough timing: a tire/steel/aluminium downturn in the explicit window (bear) takes the weighted value down sharply; the stock has rerated 2.2x in twelve months on the up-cycle.; Graphite electrode profit depends partly on US AD/CVD duties effective mid-2026 -- policy-contingent.; Terminal multiple: Gordon at 8%/1.5% (~15.6x FCF) sits just above the 15x cap; a 1pp WACC change moves the base value materially (see sensitivity).; Investment securities are bridged at after-tax fair value; a market fall before the planned 2026-28 disposals reduces this JPY200/share of value.; FX: ~60% of revenue is non-JPY; yen strength lowers reported EBITDA (FY2026 guidance assumes USD/JPY 159).</t>
  </si>
  <si>
    <t xml:space="preserve">Data sources</t>
  </si>
  <si>
    <t xml:space="preserve">price: Yahoo Finance chart API (5301.T), TSE regular close at inputs.price_as_of; 52-week range 878-2,423.
financials: 5301.T_Metrics.csv / core_metrics (FY2019-FY2025 yuho, H1 2026 semi-annual report); 30-Jun-2026 balance sheet from 5301.T_HalfYear_H1-2026.txt lines 731-815; share count from the same file lines 419-513 and FY2025 yuho line 2408; FY2026 guidance from 5301.T_Presentation_Q2-2026.txt lines 376-449.
qualitative: 5301.T_Analysis.json (2026-10-31).</t>
  </si>
  <si>
    <t xml:space="preserve">Scenario narrative: bear</t>
  </si>
  <si>
    <t xml:space="preserve">A FY2027-28 industrial downturn on the three commodity legs (tires, EAF steel, aluminium) coinciding with a memory capex rollover; margin troughs at 15%, capex cannot be cut below D&amp;A, and the electrode turnaround proves policy-contingent. The company stays solvent (net D/E 0.38x, A ratings) but the equity is a low-return cyclical.</t>
  </si>
  <si>
    <t xml:space="preserve">Scenario narrative: base</t>
  </si>
  <si>
    <t xml:space="preserve">Guidance year as revised in August 2026 (sales +19.5%, EBITDA 18.8%), then a mature cyclical: 2-4% nominal growth, 19.5% mid-cycle EBITDA margin, capex falling to match D&amp;A at 9.5% of revenue. The axes are (1) carbon black volume/price pass-through against tire-OEM cycles and Chinese export pressure, (2) SiC focus-ring volumes against the memory capex cycle, (3) whether the graphite-electrode profit holds once the US duty tailwind is tested, and (4) capex discipline after the Thai build. Base assumes the business earns its Vision 2030 margin only partially and never converts more than ~6-7% of revenue into owner FCF.</t>
  </si>
  <si>
    <t xml:space="preserve">Scenario narrative: bull</t>
  </si>
  <si>
    <t xml:space="preserve">Vision 2030 largely achieved -- ~490bn revenue by FY2030 and 21% EBITDA margin on Fine Carbon mix, with capex normalising to 9% of revenue and electrode duties intact; the capital-return programme (40% payout, 5% DOE floor, cross-shareholding sales funding buybacks) is executed as announced.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</si>
  <si>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</si>
  <si>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</si>
  <si>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</si>
  <si>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</si>
  <si>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</si>
  <si>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</si>
  <si>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</si>
  <si>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</si>
  <si>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</si>
  <si>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</si>
  <si>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</si>
  <si>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</si>
  <si>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</si>
  <si>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</si>
  <si>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</si>
  <si>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</si>
  <si>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</si>
  <si>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</si>
  <si>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</si>
  <si>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</si>
  <si>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</si>
  <si>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</si>
  <si>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</si>
  <si>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</si>
  <si>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</si>
  <si>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</si>
  <si>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</si>
  <si>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</si>
  <si>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</si>
  <si>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</si>
  <si>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</si>
  <si>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</si>
  <si>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</si>
  <si>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</si>
  <si>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</si>
  <si>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</si>
  <si>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</si>
  <si>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</si>
  <si>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</si>
  <si>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</si>
  <si>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</si>
  <si>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</si>
  <si>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</si>
  <si>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</si>
  <si>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</si>
  <si>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</si>
  <si>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</si>
  <si>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</si>
  <si>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</si>
  <si>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</si>
  <si>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</si>
  <si>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</si>
  <si>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</si>
  <si>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</si>
  <si>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</si>
  <si>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</si>
  <si>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</si>
  <si>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</si>
  <si>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</si>
  <si>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</si>
  <si>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</si>
  <si>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</si>
  <si>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</si>
  <si>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</si>
  <si>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</si>
  <si>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</si>
  <si>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</si>
  <si>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</si>
  <si>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</si>
  <si>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</si>
  <si>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</si>
  <si>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5301.T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</si>
  <si>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</si>
  <si>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</si>
  <si>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</si>
  <si>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</si>
  <si>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</si>
  <si>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</si>
  <si>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</si>
  <si>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</si>
  <si>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</si>
  <si>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</si>
  <si>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</si>
  <si>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</si>
  <si>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</si>
  <si>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</si>
  <si>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</si>
  <si>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</si>
  <si>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</si>
  <si>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</si>
  <si>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</si>
  <si>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</si>
  <si>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</si>
  <si>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</si>
  <si>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</si>
  <si>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</si>
  <si>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</si>
  <si>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</si>
  <si>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</si>
  <si>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</si>
  <si>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</si>
  <si>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</si>
  <si>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5301.T owner-FCF component DCF: base case (millions, JPY)</t>
  </si>
  <si>
    <t xml:space="preserve">5301.T owner-FCF component DCF: bull case (millions, JPY)</t>
  </si>
  <si>
    <t xml:space="preserve">5301.T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</si>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</sst>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262028</v>
      </c>
      <c r="C2" s="0" t="n">
        <v>169188</v>
      </c>
      <c r="D2" s="0" t="n">
        <v>92840</v>
      </c>
      <c r="E2" s="0" t="n">
        <v>35.4</v>
      </c>
      <c r="F2" s="0" t="n">
        <v>54344</v>
      </c>
      <c r="G2" s="0" t="n">
        <v>20.7</v>
      </c>
      <c r="H2" s="0" t="n">
        <v>77052</v>
      </c>
      <c r="I2" s="0" t="n">
        <v>31994</v>
      </c>
      <c r="J2" s="0" t="n">
        <v>12.2</v>
      </c>
      <c r="K2" s="0" t="n">
        <v>150.1</v>
      </c>
      <c r="L2" s="0" t="n">
        <v>41664</v>
      </c>
      <c r="M2" s="0" t="n">
        <v>24633</v>
      </c>
      <c r="N2" s="0" t="n">
        <v>17031</v>
      </c>
      <c r="O2" s="0" t="n">
        <v>211838</v>
      </c>
      <c r="P2" s="0" t="n">
        <v>462872</v>
      </c>
      <c r="Q2" s="0" t="n">
        <v>229896</v>
      </c>
      <c r="R2" s="0" t="n">
        <v>148029</v>
      </c>
      <c r="S2" s="0" t="n">
        <v>52695</v>
      </c>
      <c r="T2" s="0" t="n">
        <v>213.152</v>
      </c>
      <c r="V2" s="0" t="n">
        <v>48</v>
      </c>
      <c r="AA2" s="0" t="s">
        <v>17</v>
      </c>
      <c r="AB2" s="0" t="s">
        <v>14</v>
      </c>
    </row>
    <row r="3" customFormat="false" ht="15" hidden="false" customHeight="false" outlineLevel="0" collapsed="false">
      <c r="A3" s="0" t="s">
        <v>64</v>
      </c>
      <c r="B3" s="0" t="n">
        <v>201542</v>
      </c>
      <c r="C3" s="0" t="n">
        <v>151987</v>
      </c>
      <c r="D3" s="0" t="n">
        <v>49555</v>
      </c>
      <c r="E3" s="0" t="n">
        <v>24.6</v>
      </c>
      <c r="F3" s="0" t="n">
        <v>7858</v>
      </c>
      <c r="G3" s="0" t="n">
        <v>3.9</v>
      </c>
      <c r="H3" s="0" t="n">
        <v>35260</v>
      </c>
      <c r="I3" s="0" t="n">
        <v>1019</v>
      </c>
      <c r="J3" s="0" t="n">
        <v>0.5</v>
      </c>
      <c r="K3" s="0" t="n">
        <v>4.78</v>
      </c>
      <c r="L3" s="0" t="n">
        <v>55022</v>
      </c>
      <c r="M3" s="0" t="n">
        <v>27230</v>
      </c>
      <c r="N3" s="0" t="n">
        <v>27792</v>
      </c>
      <c r="O3" s="0" t="n">
        <v>201267</v>
      </c>
      <c r="P3" s="0" t="n">
        <v>459709</v>
      </c>
      <c r="Q3" s="0" t="n">
        <v>234894</v>
      </c>
      <c r="R3" s="0" t="n">
        <v>158642</v>
      </c>
      <c r="S3" s="0" t="n">
        <v>67174</v>
      </c>
      <c r="T3" s="0" t="n">
        <v>213.166</v>
      </c>
      <c r="V3" s="0" t="n">
        <v>30</v>
      </c>
      <c r="AA3" s="0" t="s">
        <v>17</v>
      </c>
      <c r="AB3" s="0" t="s">
        <v>14</v>
      </c>
    </row>
    <row r="4" customFormat="false" ht="15" hidden="false" customHeight="false" outlineLevel="0" collapsed="false">
      <c r="A4" s="0" t="s">
        <v>65</v>
      </c>
      <c r="B4" s="0" t="n">
        <v>258874</v>
      </c>
      <c r="C4" s="0" t="n">
        <v>188142</v>
      </c>
      <c r="D4" s="0" t="n">
        <v>70732</v>
      </c>
      <c r="E4" s="0" t="n">
        <v>27.3</v>
      </c>
      <c r="F4" s="0" t="n">
        <v>24647</v>
      </c>
      <c r="G4" s="0" t="n">
        <v>9.5</v>
      </c>
      <c r="H4" s="0" t="n">
        <v>54518</v>
      </c>
      <c r="I4" s="0" t="n">
        <v>16105</v>
      </c>
      <c r="J4" s="0" t="n">
        <v>6.2</v>
      </c>
      <c r="K4" s="0" t="n">
        <v>75.55</v>
      </c>
      <c r="L4" s="0" t="n">
        <v>38072</v>
      </c>
      <c r="M4" s="0" t="n">
        <v>29530</v>
      </c>
      <c r="N4" s="0" t="n">
        <v>8542</v>
      </c>
      <c r="O4" s="0" t="n">
        <v>229210</v>
      </c>
      <c r="P4" s="0" t="n">
        <v>512503</v>
      </c>
      <c r="Q4" s="0" t="n">
        <v>255932</v>
      </c>
      <c r="R4" s="0" t="n">
        <v>168249</v>
      </c>
      <c r="S4" s="0" t="n">
        <v>78858</v>
      </c>
      <c r="T4" s="0" t="n">
        <v>213.178</v>
      </c>
      <c r="V4" s="0" t="n">
        <v>30</v>
      </c>
      <c r="AA4" s="0" t="s">
        <v>17</v>
      </c>
      <c r="AB4" s="0" t="s">
        <v>14</v>
      </c>
    </row>
    <row r="5" customFormat="false" ht="15" hidden="false" customHeight="false" outlineLevel="0" collapsed="false">
      <c r="A5" s="0" t="s">
        <v>66</v>
      </c>
      <c r="B5" s="0" t="n">
        <v>340371</v>
      </c>
      <c r="C5" s="0" t="n">
        <v>246318</v>
      </c>
      <c r="D5" s="0" t="n">
        <v>94052</v>
      </c>
      <c r="E5" s="0" t="n">
        <v>27.6</v>
      </c>
      <c r="F5" s="0" t="n">
        <v>40588</v>
      </c>
      <c r="G5" s="0" t="n">
        <v>11.9</v>
      </c>
      <c r="H5" s="0" t="n">
        <v>75570</v>
      </c>
      <c r="I5" s="0" t="n">
        <v>22418</v>
      </c>
      <c r="J5" s="0" t="n">
        <v>6.6</v>
      </c>
      <c r="K5" s="0" t="n">
        <v>105.16</v>
      </c>
      <c r="L5" s="0" t="n">
        <v>41205</v>
      </c>
      <c r="M5" s="0" t="n">
        <v>45211</v>
      </c>
      <c r="N5" s="0" t="n">
        <v>-4006</v>
      </c>
      <c r="O5" s="0" t="n">
        <v>268827</v>
      </c>
      <c r="P5" s="0" t="n">
        <v>576465</v>
      </c>
      <c r="Q5" s="0" t="n">
        <v>275596</v>
      </c>
      <c r="R5" s="0" t="n">
        <v>171451</v>
      </c>
      <c r="S5" s="0" t="n">
        <v>70909</v>
      </c>
      <c r="T5" s="0" t="n">
        <v>213.19</v>
      </c>
      <c r="V5" s="0" t="n">
        <v>30</v>
      </c>
      <c r="AA5" s="0" t="s">
        <v>17</v>
      </c>
      <c r="AB5" s="0" t="s">
        <v>14</v>
      </c>
    </row>
    <row r="6" customFormat="false" ht="15" hidden="false" customHeight="false" outlineLevel="0" collapsed="false">
      <c r="A6" s="0" t="s">
        <v>67</v>
      </c>
      <c r="B6" s="0" t="n">
        <v>363946</v>
      </c>
      <c r="C6" s="0" t="n">
        <v>265218</v>
      </c>
      <c r="D6" s="0" t="n">
        <v>98727</v>
      </c>
      <c r="E6" s="0" t="n">
        <v>27.1</v>
      </c>
      <c r="F6" s="0" t="n">
        <v>38728</v>
      </c>
      <c r="G6" s="0" t="n">
        <v>10.6</v>
      </c>
      <c r="H6" s="0" t="n">
        <v>75948</v>
      </c>
      <c r="I6" s="0" t="n">
        <v>25468</v>
      </c>
      <c r="J6" s="0" t="n">
        <v>7</v>
      </c>
      <c r="K6" s="0" t="n">
        <v>119.45</v>
      </c>
      <c r="L6" s="0" t="n">
        <v>62074</v>
      </c>
      <c r="M6" s="0" t="n">
        <v>49617</v>
      </c>
      <c r="N6" s="0" t="n">
        <v>12457</v>
      </c>
      <c r="O6" s="0" t="n">
        <v>324491</v>
      </c>
      <c r="P6" s="0" t="n">
        <v>640005</v>
      </c>
      <c r="Q6" s="0" t="n">
        <v>279902</v>
      </c>
      <c r="R6" s="0" t="n">
        <v>166642</v>
      </c>
      <c r="S6" s="0" t="n">
        <v>77465</v>
      </c>
      <c r="T6" s="0" t="n">
        <v>213.209</v>
      </c>
      <c r="V6" s="0" t="n">
        <v>36</v>
      </c>
      <c r="AA6" s="0" t="s">
        <v>17</v>
      </c>
      <c r="AB6" s="0" t="s">
        <v>14</v>
      </c>
    </row>
    <row r="7" customFormat="false" ht="15" hidden="false" customHeight="false" outlineLevel="0" collapsed="false">
      <c r="A7" s="0" t="s">
        <v>68</v>
      </c>
      <c r="B7" s="0" t="n">
        <v>350114</v>
      </c>
      <c r="C7" s="0" t="n">
        <v>269478</v>
      </c>
      <c r="D7" s="0" t="n">
        <v>80635</v>
      </c>
      <c r="E7" s="0" t="n">
        <v>23</v>
      </c>
      <c r="F7" s="0" t="n">
        <v>19386</v>
      </c>
      <c r="G7" s="0" t="n">
        <v>5.5</v>
      </c>
      <c r="H7" s="0" t="n">
        <v>61119</v>
      </c>
      <c r="I7" s="0" t="n">
        <v>-56485</v>
      </c>
      <c r="J7" s="0" t="n">
        <v>-16.1</v>
      </c>
      <c r="K7" s="0" t="n">
        <v>-264.77</v>
      </c>
      <c r="L7" s="0" t="n">
        <v>64471</v>
      </c>
      <c r="M7" s="0" t="n">
        <v>55110</v>
      </c>
      <c r="N7" s="0" t="n">
        <v>9361</v>
      </c>
      <c r="O7" s="0" t="n">
        <v>289140</v>
      </c>
      <c r="P7" s="0" t="n">
        <v>643517</v>
      </c>
      <c r="Q7" s="0" t="n">
        <v>318777</v>
      </c>
      <c r="R7" s="0" t="n">
        <v>191240</v>
      </c>
      <c r="S7" s="0" t="n">
        <v>92207</v>
      </c>
      <c r="T7" s="0" t="n">
        <v>213.341</v>
      </c>
      <c r="V7" s="0" t="n">
        <v>30</v>
      </c>
      <c r="AA7" s="0" t="s">
        <v>17</v>
      </c>
      <c r="AB7" s="0" t="s">
        <v>14</v>
      </c>
    </row>
    <row r="8" customFormat="false" ht="15" hidden="false" customHeight="false" outlineLevel="0" collapsed="false">
      <c r="A8" s="0" t="s">
        <v>69</v>
      </c>
      <c r="B8" s="0" t="n">
        <v>322960</v>
      </c>
      <c r="C8" s="0" t="n">
        <v>243220</v>
      </c>
      <c r="D8" s="0" t="n">
        <v>79740</v>
      </c>
      <c r="E8" s="0" t="n">
        <v>24.7</v>
      </c>
      <c r="F8" s="0" t="n">
        <v>25850</v>
      </c>
      <c r="G8" s="0" t="n">
        <v>8</v>
      </c>
      <c r="H8" s="0" t="n">
        <v>58442</v>
      </c>
      <c r="I8" s="0" t="n">
        <v>20078</v>
      </c>
      <c r="J8" s="0" t="n">
        <v>6.2</v>
      </c>
      <c r="K8" s="0" t="n">
        <v>94.05</v>
      </c>
      <c r="L8" s="0" t="n">
        <v>55872</v>
      </c>
      <c r="M8" s="0" t="n">
        <v>42907</v>
      </c>
      <c r="N8" s="0" t="n">
        <v>12965</v>
      </c>
      <c r="O8" s="0" t="n">
        <v>318358</v>
      </c>
      <c r="P8" s="0" t="n">
        <v>664033</v>
      </c>
      <c r="Q8" s="0" t="n">
        <v>311187</v>
      </c>
      <c r="R8" s="0" t="n">
        <v>198111</v>
      </c>
      <c r="S8" s="0" t="n">
        <v>90156</v>
      </c>
      <c r="T8" s="0" t="n">
        <v>213.496</v>
      </c>
      <c r="V8" s="0" t="n">
        <v>30</v>
      </c>
      <c r="AA8" s="0" t="s">
        <v>17</v>
      </c>
      <c r="AB8"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70</v>
      </c>
      <c r="B1" s="2" t="s">
        <v>71</v>
      </c>
    </row>
    <row r="2" customFormat="false" ht="15" hidden="false" customHeight="false" outlineLevel="0" collapsed="false">
      <c r="A2" s="0" t="s">
        <v>72</v>
      </c>
      <c r="B2" s="3" t="n">
        <v>1926</v>
      </c>
    </row>
    <row r="3" customFormat="false" ht="15" hidden="false" customHeight="false" outlineLevel="0" collapsed="false">
      <c r="A3" s="0" t="s">
        <v>73</v>
      </c>
      <c r="B3" s="3" t="n">
        <v>204.68</v>
      </c>
    </row>
    <row r="4" customFormat="false" ht="15" hidden="false" customHeight="false" outlineLevel="0" collapsed="false">
      <c r="A4" s="0" t="s">
        <v>74</v>
      </c>
      <c r="B4" s="3" t="n">
        <v>130793</v>
      </c>
    </row>
    <row r="5" customFormat="false" ht="15" hidden="false" customHeight="false" outlineLevel="0" collapsed="false">
      <c r="A5" s="0" t="s">
        <v>75</v>
      </c>
      <c r="B5" s="3" t="n">
        <v>6851</v>
      </c>
    </row>
    <row r="6" customFormat="false" ht="15" hidden="false" customHeight="false" outlineLevel="0" collapsed="false">
      <c r="A6" s="0" t="s">
        <v>76</v>
      </c>
      <c r="B6" s="3" t="n">
        <v>15</v>
      </c>
    </row>
    <row r="7" customFormat="false" ht="15" hidden="false" customHeight="false" outlineLevel="0" collapsed="false">
      <c r="A7" s="0" t="s">
        <v>77</v>
      </c>
      <c r="B7" s="3" t="n">
        <v>322960</v>
      </c>
    </row>
    <row r="8" customFormat="false" ht="15" hidden="false" customHeight="false" outlineLevel="0" collapsed="false">
      <c r="A8" s="0" t="s">
        <v>78</v>
      </c>
      <c r="B8" s="3" t="s">
        <v>69</v>
      </c>
    </row>
    <row r="9" customFormat="false" ht="15" hidden="false" customHeight="false" outlineLevel="0" collapsed="false">
      <c r="A9" s="0" t="s">
        <v>79</v>
      </c>
      <c r="B9" s="3" t="s">
        <v>80</v>
      </c>
    </row>
    <row r="10" customFormat="false" ht="15" hidden="false" customHeight="false" outlineLevel="0" collapsed="false">
      <c r="A10" s="0" t="s">
        <v>81</v>
      </c>
      <c r="B10" s="3" t="n">
        <v>1</v>
      </c>
    </row>
    <row r="12" customFormat="false" ht="15" hidden="false" customHeight="false" outlineLevel="0" collapsed="false">
      <c r="A12" s="2" t="s">
        <v>82</v>
      </c>
      <c r="C12" s="2" t="s">
        <v>83</v>
      </c>
      <c r="D12" s="2" t="s">
        <v>84</v>
      </c>
      <c r="E12" s="2" t="s">
        <v>85</v>
      </c>
      <c r="F12" s="2" t="s">
        <v>86</v>
      </c>
      <c r="G12" s="2" t="s">
        <v>87</v>
      </c>
      <c r="H12" s="2" t="s">
        <v>88</v>
      </c>
      <c r="I12" s="2" t="s">
        <v>89</v>
      </c>
      <c r="J12" s="2" t="s">
        <v>90</v>
      </c>
      <c r="K12" s="2" t="s">
        <v>91</v>
      </c>
      <c r="L12" s="2" t="s">
        <v>92</v>
      </c>
    </row>
    <row r="13" customFormat="false" ht="15" hidden="false" customHeight="false" outlineLevel="0" collapsed="false">
      <c r="A13" s="0" t="s">
        <v>93</v>
      </c>
      <c r="C13" s="3" t="n">
        <v>17</v>
      </c>
      <c r="D13" s="3" t="n">
        <v>-8</v>
      </c>
      <c r="E13" s="3" t="n">
        <v>-3</v>
      </c>
      <c r="F13" s="3" t="n">
        <v>2</v>
      </c>
      <c r="G13" s="3" t="n">
        <v>2</v>
      </c>
      <c r="H13" s="3" t="n">
        <v>1.5</v>
      </c>
      <c r="I13" s="3" t="n">
        <v>1.5</v>
      </c>
      <c r="J13" s="3" t="n">
        <v>1.5</v>
      </c>
      <c r="K13" s="3" t="n">
        <v>1.5</v>
      </c>
      <c r="L13" s="3" t="n">
        <v>1.5</v>
      </c>
    </row>
    <row r="14" customFormat="false" ht="15" hidden="false" customHeight="false" outlineLevel="0" collapsed="false">
      <c r="A14" s="0" t="s">
        <v>94</v>
      </c>
      <c r="C14" s="3" t="n">
        <v>18</v>
      </c>
      <c r="D14" s="3" t="n">
        <v>15.5</v>
      </c>
      <c r="E14" s="3" t="n">
        <v>15</v>
      </c>
      <c r="F14" s="3" t="n">
        <v>16</v>
      </c>
      <c r="G14" s="3" t="n">
        <v>16.5</v>
      </c>
      <c r="H14" s="3" t="n">
        <v>17</v>
      </c>
      <c r="I14" s="3" t="n">
        <v>17</v>
      </c>
      <c r="J14" s="3" t="n">
        <v>17</v>
      </c>
      <c r="K14" s="3" t="n">
        <v>17</v>
      </c>
      <c r="L14" s="3" t="n">
        <v>17</v>
      </c>
    </row>
    <row r="15" customFormat="false" ht="15" hidden="false" customHeight="false" outlineLevel="0" collapsed="false">
      <c r="A15" s="0" t="s">
        <v>95</v>
      </c>
      <c r="C15" s="3" t="n">
        <v>0.03</v>
      </c>
      <c r="D15" s="3" t="n">
        <v>0.03</v>
      </c>
      <c r="E15" s="3" t="n">
        <v>0.03</v>
      </c>
      <c r="F15" s="3" t="n">
        <v>0.03</v>
      </c>
      <c r="G15" s="3" t="n">
        <v>0.03</v>
      </c>
      <c r="H15" s="3" t="n">
        <v>0.03</v>
      </c>
      <c r="I15" s="3" t="n">
        <v>0.03</v>
      </c>
      <c r="J15" s="3" t="n">
        <v>0.03</v>
      </c>
      <c r="K15" s="3" t="n">
        <v>0.03</v>
      </c>
      <c r="L15" s="3" t="n">
        <v>0.03</v>
      </c>
    </row>
    <row r="16" customFormat="false" ht="15" hidden="false" customHeight="false" outlineLevel="0" collapsed="false">
      <c r="A16" s="0" t="s">
        <v>96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97</v>
      </c>
      <c r="C17" s="3" t="n">
        <v>9.8</v>
      </c>
      <c r="D17" s="3" t="n">
        <v>10.5</v>
      </c>
      <c r="E17" s="3" t="n">
        <v>10.8</v>
      </c>
      <c r="F17" s="3" t="n">
        <v>10.5</v>
      </c>
      <c r="G17" s="3" t="n">
        <v>10.2</v>
      </c>
      <c r="H17" s="3" t="n">
        <v>10</v>
      </c>
      <c r="I17" s="3" t="n">
        <v>10</v>
      </c>
      <c r="J17" s="3" t="n">
        <v>10</v>
      </c>
      <c r="K17" s="3" t="n">
        <v>10</v>
      </c>
      <c r="L17" s="3" t="n">
        <v>10</v>
      </c>
    </row>
    <row r="18" customFormat="false" ht="15" hidden="false" customHeight="false" outlineLevel="0" collapsed="false">
      <c r="A18" s="0" t="s">
        <v>98</v>
      </c>
      <c r="C18" s="3" t="n">
        <v>11.5</v>
      </c>
      <c r="D18" s="3" t="n">
        <v>11.5</v>
      </c>
      <c r="E18" s="3" t="n">
        <v>11</v>
      </c>
      <c r="F18" s="3" t="n">
        <v>11</v>
      </c>
      <c r="G18" s="3" t="n">
        <v>10.5</v>
      </c>
      <c r="H18" s="3" t="n">
        <v>10.5</v>
      </c>
      <c r="I18" s="3" t="n">
        <v>10.5</v>
      </c>
      <c r="J18" s="3" t="n">
        <v>10.5</v>
      </c>
      <c r="K18" s="3" t="n">
        <v>10.5</v>
      </c>
      <c r="L18" s="3" t="n">
        <v>10.5</v>
      </c>
    </row>
    <row r="19" customFormat="false" ht="15" hidden="false" customHeight="false" outlineLevel="0" collapsed="false">
      <c r="A19" s="0" t="s">
        <v>99</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100</v>
      </c>
      <c r="B20" s="3" t="n">
        <v>8</v>
      </c>
    </row>
    <row r="21" customFormat="false" ht="15" hidden="false" customHeight="false" outlineLevel="0" collapsed="false">
      <c r="A21" s="0" t="s">
        <v>101</v>
      </c>
      <c r="B21" s="3" t="n">
        <v>0.5</v>
      </c>
    </row>
    <row r="22" customFormat="false" ht="15" hidden="false" customHeight="false" outlineLevel="0" collapsed="false">
      <c r="A22" s="0" t="s">
        <v>102</v>
      </c>
      <c r="B22" s="3" t="n">
        <v>12</v>
      </c>
    </row>
    <row r="23" customFormat="false" ht="15" hidden="false" customHeight="false" outlineLevel="0" collapsed="false">
      <c r="A23" s="0" t="s">
        <v>103</v>
      </c>
      <c r="B23" s="3" t="n">
        <v>-15</v>
      </c>
    </row>
    <row r="24" customFormat="false" ht="15" hidden="false" customHeight="false" outlineLevel="0" collapsed="false">
      <c r="A24" s="0" t="s">
        <v>104</v>
      </c>
      <c r="B24" s="3" t="n">
        <v>0.25</v>
      </c>
    </row>
    <row r="26" customFormat="false" ht="15" hidden="false" customHeight="false" outlineLevel="0" collapsed="false">
      <c r="A26" s="2" t="s">
        <v>105</v>
      </c>
      <c r="C26" s="2" t="s">
        <v>83</v>
      </c>
      <c r="D26" s="2" t="s">
        <v>84</v>
      </c>
      <c r="E26" s="2" t="s">
        <v>85</v>
      </c>
      <c r="F26" s="2" t="s">
        <v>86</v>
      </c>
      <c r="G26" s="2" t="s">
        <v>87</v>
      </c>
      <c r="H26" s="2" t="s">
        <v>88</v>
      </c>
      <c r="I26" s="2" t="s">
        <v>89</v>
      </c>
      <c r="J26" s="2" t="s">
        <v>90</v>
      </c>
      <c r="K26" s="2" t="s">
        <v>91</v>
      </c>
      <c r="L26" s="2" t="s">
        <v>92</v>
      </c>
    </row>
    <row r="27" customFormat="false" ht="15" hidden="false" customHeight="false" outlineLevel="0" collapsed="false">
      <c r="A27" s="0" t="s">
        <v>93</v>
      </c>
      <c r="C27" s="3" t="n">
        <v>19.5</v>
      </c>
      <c r="D27" s="3" t="n">
        <v>4</v>
      </c>
      <c r="E27" s="3" t="n">
        <v>3.5</v>
      </c>
      <c r="F27" s="3" t="n">
        <v>3</v>
      </c>
      <c r="G27" s="3" t="n">
        <v>3</v>
      </c>
      <c r="H27" s="3" t="n">
        <v>2.5</v>
      </c>
      <c r="I27" s="3" t="n">
        <v>2.5</v>
      </c>
      <c r="J27" s="3" t="n">
        <v>2</v>
      </c>
      <c r="K27" s="3" t="n">
        <v>2</v>
      </c>
      <c r="L27" s="3" t="n">
        <v>2</v>
      </c>
    </row>
    <row r="28" customFormat="false" ht="15" hidden="false" customHeight="false" outlineLevel="0" collapsed="false">
      <c r="A28" s="0" t="s">
        <v>94</v>
      </c>
      <c r="C28" s="3" t="n">
        <v>18.8</v>
      </c>
      <c r="D28" s="3" t="n">
        <v>19</v>
      </c>
      <c r="E28" s="3" t="n">
        <v>19.2</v>
      </c>
      <c r="F28" s="3" t="n">
        <v>19.3</v>
      </c>
      <c r="G28" s="3" t="n">
        <v>19.5</v>
      </c>
      <c r="H28" s="3" t="n">
        <v>19.5</v>
      </c>
      <c r="I28" s="3" t="n">
        <v>19.5</v>
      </c>
      <c r="J28" s="3" t="n">
        <v>19.5</v>
      </c>
      <c r="K28" s="3" t="n">
        <v>19.5</v>
      </c>
      <c r="L28" s="3" t="n">
        <v>19.5</v>
      </c>
    </row>
    <row r="29" customFormat="false" ht="15" hidden="false" customHeight="false" outlineLevel="0" collapsed="false">
      <c r="A29" s="0" t="s">
        <v>95</v>
      </c>
      <c r="C29" s="3" t="n">
        <v>0.03</v>
      </c>
      <c r="D29" s="3" t="n">
        <v>0.03</v>
      </c>
      <c r="E29" s="3" t="n">
        <v>0.03</v>
      </c>
      <c r="F29" s="3" t="n">
        <v>0.03</v>
      </c>
      <c r="G29" s="3" t="n">
        <v>0.03</v>
      </c>
      <c r="H29" s="3" t="n">
        <v>0.03</v>
      </c>
      <c r="I29" s="3" t="n">
        <v>0.03</v>
      </c>
      <c r="J29" s="3" t="n">
        <v>0.03</v>
      </c>
      <c r="K29" s="3" t="n">
        <v>0.03</v>
      </c>
      <c r="L29" s="3" t="n">
        <v>0.03</v>
      </c>
    </row>
    <row r="30" customFormat="false" ht="15" hidden="false" customHeight="false" outlineLevel="0" collapsed="false">
      <c r="A30" s="0" t="s">
        <v>96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97</v>
      </c>
      <c r="C31" s="3" t="n">
        <v>9.7</v>
      </c>
      <c r="D31" s="3" t="n">
        <v>9.8</v>
      </c>
      <c r="E31" s="3" t="n">
        <v>9.8</v>
      </c>
      <c r="F31" s="3" t="n">
        <v>9.7</v>
      </c>
      <c r="G31" s="3" t="n">
        <v>9.6</v>
      </c>
      <c r="H31" s="3" t="n">
        <v>9.5</v>
      </c>
      <c r="I31" s="3" t="n">
        <v>9.5</v>
      </c>
      <c r="J31" s="3" t="n">
        <v>9.5</v>
      </c>
      <c r="K31" s="3" t="n">
        <v>9.5</v>
      </c>
      <c r="L31" s="3" t="n">
        <v>9.5</v>
      </c>
    </row>
    <row r="32" customFormat="false" ht="15" hidden="false" customHeight="false" outlineLevel="0" collapsed="false">
      <c r="A32" s="0" t="s">
        <v>98</v>
      </c>
      <c r="C32" s="3" t="n">
        <v>11.2</v>
      </c>
      <c r="D32" s="3" t="n">
        <v>11</v>
      </c>
      <c r="E32" s="3" t="n">
        <v>10.5</v>
      </c>
      <c r="F32" s="3" t="n">
        <v>10</v>
      </c>
      <c r="G32" s="3" t="n">
        <v>9.75</v>
      </c>
      <c r="H32" s="3" t="n">
        <v>9.5</v>
      </c>
      <c r="I32" s="3" t="n">
        <v>9.5</v>
      </c>
      <c r="J32" s="3" t="n">
        <v>9.5</v>
      </c>
      <c r="K32" s="3" t="n">
        <v>9.5</v>
      </c>
      <c r="L32" s="3" t="n">
        <v>9.5</v>
      </c>
    </row>
    <row r="33" customFormat="false" ht="15" hidden="false" customHeight="false" outlineLevel="0" collapsed="false">
      <c r="A33" s="0" t="s">
        <v>99</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100</v>
      </c>
      <c r="B34" s="3" t="n">
        <v>8</v>
      </c>
    </row>
    <row r="35" customFormat="false" ht="15" hidden="false" customHeight="false" outlineLevel="0" collapsed="false">
      <c r="A35" s="0" t="s">
        <v>101</v>
      </c>
      <c r="B35" s="3" t="n">
        <v>1.5</v>
      </c>
    </row>
    <row r="36" customFormat="false" ht="15" hidden="false" customHeight="false" outlineLevel="0" collapsed="false">
      <c r="A36" s="0" t="s">
        <v>102</v>
      </c>
      <c r="B36" s="3" t="n">
        <v>15</v>
      </c>
    </row>
    <row r="37" customFormat="false" ht="15" hidden="false" customHeight="false" outlineLevel="0" collapsed="false">
      <c r="A37" s="0" t="s">
        <v>103</v>
      </c>
      <c r="B37" s="3" t="n">
        <v>-15</v>
      </c>
    </row>
    <row r="38" customFormat="false" ht="15" hidden="false" customHeight="false" outlineLevel="0" collapsed="false">
      <c r="A38" s="0" t="s">
        <v>104</v>
      </c>
      <c r="B38" s="3" t="n">
        <v>0.5</v>
      </c>
    </row>
    <row r="40" customFormat="false" ht="15" hidden="false" customHeight="false" outlineLevel="0" collapsed="false">
      <c r="A40" s="2" t="s">
        <v>106</v>
      </c>
      <c r="C40" s="2" t="s">
        <v>83</v>
      </c>
      <c r="D40" s="2" t="s">
        <v>84</v>
      </c>
      <c r="E40" s="2" t="s">
        <v>85</v>
      </c>
      <c r="F40" s="2" t="s">
        <v>86</v>
      </c>
      <c r="G40" s="2" t="s">
        <v>87</v>
      </c>
      <c r="H40" s="2" t="s">
        <v>88</v>
      </c>
      <c r="I40" s="2" t="s">
        <v>89</v>
      </c>
      <c r="J40" s="2" t="s">
        <v>90</v>
      </c>
      <c r="K40" s="2" t="s">
        <v>91</v>
      </c>
      <c r="L40" s="2" t="s">
        <v>92</v>
      </c>
    </row>
    <row r="41" customFormat="false" ht="15" hidden="false" customHeight="false" outlineLevel="0" collapsed="false">
      <c r="A41" s="0" t="s">
        <v>93</v>
      </c>
      <c r="C41" s="3" t="n">
        <v>21</v>
      </c>
      <c r="D41" s="3" t="n">
        <v>7</v>
      </c>
      <c r="E41" s="3" t="n">
        <v>6.5</v>
      </c>
      <c r="F41" s="3" t="n">
        <v>6</v>
      </c>
      <c r="G41" s="3" t="n">
        <v>5.5</v>
      </c>
      <c r="H41" s="3" t="n">
        <v>4</v>
      </c>
      <c r="I41" s="3" t="n">
        <v>3.5</v>
      </c>
      <c r="J41" s="3" t="n">
        <v>3</v>
      </c>
      <c r="K41" s="3" t="n">
        <v>2.5</v>
      </c>
      <c r="L41" s="3" t="n">
        <v>2.5</v>
      </c>
    </row>
    <row r="42" customFormat="false" ht="15" hidden="false" customHeight="false" outlineLevel="0" collapsed="false">
      <c r="A42" s="0" t="s">
        <v>94</v>
      </c>
      <c r="C42" s="3" t="n">
        <v>19</v>
      </c>
      <c r="D42" s="3" t="n">
        <v>19.5</v>
      </c>
      <c r="E42" s="3" t="n">
        <v>20</v>
      </c>
      <c r="F42" s="3" t="n">
        <v>20.5</v>
      </c>
      <c r="G42" s="3" t="n">
        <v>21</v>
      </c>
      <c r="H42" s="3" t="n">
        <v>21</v>
      </c>
      <c r="I42" s="3" t="n">
        <v>21</v>
      </c>
      <c r="J42" s="3" t="n">
        <v>21</v>
      </c>
      <c r="K42" s="3" t="n">
        <v>21</v>
      </c>
      <c r="L42" s="3" t="n">
        <v>21</v>
      </c>
    </row>
    <row r="43" customFormat="false" ht="15" hidden="false" customHeight="false" outlineLevel="0" collapsed="false">
      <c r="A43" s="0" t="s">
        <v>95</v>
      </c>
      <c r="C43" s="3" t="n">
        <v>0.03</v>
      </c>
      <c r="D43" s="3" t="n">
        <v>0.03</v>
      </c>
      <c r="E43" s="3" t="n">
        <v>0.03</v>
      </c>
      <c r="F43" s="3" t="n">
        <v>0.03</v>
      </c>
      <c r="G43" s="3" t="n">
        <v>0.03</v>
      </c>
      <c r="H43" s="3" t="n">
        <v>0.03</v>
      </c>
      <c r="I43" s="3" t="n">
        <v>0.03</v>
      </c>
      <c r="J43" s="3" t="n">
        <v>0.03</v>
      </c>
      <c r="K43" s="3" t="n">
        <v>0.03</v>
      </c>
      <c r="L43" s="3" t="n">
        <v>0.03</v>
      </c>
    </row>
    <row r="44" customFormat="false" ht="15" hidden="false" customHeight="false" outlineLevel="0" collapsed="false">
      <c r="A44" s="0" t="s">
        <v>96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97</v>
      </c>
      <c r="C45" s="3" t="n">
        <v>9.7</v>
      </c>
      <c r="D45" s="3" t="n">
        <v>9.7</v>
      </c>
      <c r="E45" s="3" t="n">
        <v>9.6</v>
      </c>
      <c r="F45" s="3" t="n">
        <v>9.5</v>
      </c>
      <c r="G45" s="3" t="n">
        <v>9.5</v>
      </c>
      <c r="H45" s="3" t="n">
        <v>9.5</v>
      </c>
      <c r="I45" s="3" t="n">
        <v>9.5</v>
      </c>
      <c r="J45" s="3" t="n">
        <v>9.5</v>
      </c>
      <c r="K45" s="3" t="n">
        <v>9.5</v>
      </c>
      <c r="L45" s="3" t="n">
        <v>9.5</v>
      </c>
    </row>
    <row r="46" customFormat="false" ht="15" hidden="false" customHeight="false" outlineLevel="0" collapsed="false">
      <c r="A46" s="0" t="s">
        <v>98</v>
      </c>
      <c r="C46" s="3" t="n">
        <v>11.2</v>
      </c>
      <c r="D46" s="3" t="n">
        <v>10.5</v>
      </c>
      <c r="E46" s="3" t="n">
        <v>10</v>
      </c>
      <c r="F46" s="3" t="n">
        <v>9.5</v>
      </c>
      <c r="G46" s="3" t="n">
        <v>9</v>
      </c>
      <c r="H46" s="3" t="n">
        <v>9</v>
      </c>
      <c r="I46" s="3" t="n">
        <v>9</v>
      </c>
      <c r="J46" s="3" t="n">
        <v>9</v>
      </c>
      <c r="K46" s="3" t="n">
        <v>9</v>
      </c>
      <c r="L46" s="3" t="n">
        <v>9</v>
      </c>
    </row>
    <row r="47" customFormat="false" ht="15" hidden="false" customHeight="false" outlineLevel="0" collapsed="false">
      <c r="A47" s="0" t="s">
        <v>99</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100</v>
      </c>
      <c r="B48" s="3" t="n">
        <v>8</v>
      </c>
    </row>
    <row r="49" customFormat="false" ht="15" hidden="false" customHeight="false" outlineLevel="0" collapsed="false">
      <c r="A49" s="0" t="s">
        <v>101</v>
      </c>
      <c r="B49" s="3" t="n">
        <v>2</v>
      </c>
    </row>
    <row r="50" customFormat="false" ht="15" hidden="false" customHeight="false" outlineLevel="0" collapsed="false">
      <c r="A50" s="0" t="s">
        <v>102</v>
      </c>
      <c r="B50" s="3" t="n">
        <v>15</v>
      </c>
    </row>
    <row r="51" customFormat="false" ht="15" hidden="false" customHeight="false" outlineLevel="0" collapsed="false">
      <c r="A51" s="0" t="s">
        <v>103</v>
      </c>
      <c r="B51" s="3" t="n">
        <v>-12</v>
      </c>
    </row>
    <row r="52" customFormat="false" ht="15" hidden="false" customHeight="false" outlineLevel="0" collapsed="false">
      <c r="A52" s="0" t="s">
        <v>104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107</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Assumptions!C13</f>
        <v>17</v>
      </c>
      <c r="D5" s="4" t="n">
        <f aca="false">Assumptions!D13</f>
        <v>-8</v>
      </c>
      <c r="E5" s="4" t="n">
        <f aca="false">Assumptions!E13</f>
        <v>-3</v>
      </c>
      <c r="F5" s="4" t="n">
        <f aca="false">Assumptions!F13</f>
        <v>2</v>
      </c>
      <c r="G5" s="4" t="n">
        <f aca="false">Assumptions!G13</f>
        <v>2</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322960</v>
      </c>
      <c r="C6" s="0" t="n">
        <f aca="false">B6*(1+C5/100)</f>
        <v>377863.2</v>
      </c>
      <c r="D6" s="0" t="n">
        <f aca="false">C6*(1+D5/100)</f>
        <v>347634.144</v>
      </c>
      <c r="E6" s="0" t="n">
        <f aca="false">D6*(1+E5/100)</f>
        <v>337205.11968</v>
      </c>
      <c r="F6" s="0" t="n">
        <f aca="false">E6*(1+F5/100)</f>
        <v>343949.2220736</v>
      </c>
      <c r="G6" s="0" t="n">
        <f aca="false">F6*(1+G5/100)</f>
        <v>350828.206515072</v>
      </c>
      <c r="H6" s="0" t="n">
        <f aca="false">G6*(1+H5/100)</f>
        <v>356090.629612798</v>
      </c>
      <c r="I6" s="0" t="n">
        <f aca="false">H6*(1+I5/100)</f>
        <v>361431.98905699</v>
      </c>
      <c r="J6" s="0" t="n">
        <f aca="false">I6*(1+J5/100)</f>
        <v>366853.468892845</v>
      </c>
      <c r="K6" s="0" t="n">
        <f aca="false">J6*(1+K5/100)</f>
        <v>372356.270926237</v>
      </c>
      <c r="L6" s="0" t="n">
        <f aca="false">K6*(1+L5/100)</f>
        <v>377941.614990131</v>
      </c>
    </row>
    <row r="7" customFormat="false" ht="15" hidden="false" customHeight="false" outlineLevel="0" collapsed="false">
      <c r="A7" s="0" t="s">
        <v>94</v>
      </c>
      <c r="C7" s="4" t="n">
        <f aca="false">Assumptions!C14</f>
        <v>18</v>
      </c>
      <c r="D7" s="4" t="n">
        <f aca="false">Assumptions!D14</f>
        <v>15.5</v>
      </c>
      <c r="E7" s="4" t="n">
        <f aca="false">Assumptions!E14</f>
        <v>15</v>
      </c>
      <c r="F7" s="4" t="n">
        <f aca="false">Assumptions!F14</f>
        <v>16</v>
      </c>
      <c r="G7" s="4" t="n">
        <f aca="false">Assumptions!G14</f>
        <v>16.5</v>
      </c>
      <c r="H7" s="4" t="n">
        <f aca="false">Assumptions!H14</f>
        <v>17</v>
      </c>
      <c r="I7" s="4" t="n">
        <f aca="false">Assumptions!I14</f>
        <v>17</v>
      </c>
      <c r="J7" s="4" t="n">
        <f aca="false">Assumptions!J14</f>
        <v>17</v>
      </c>
      <c r="K7" s="4" t="n">
        <f aca="false">Assumptions!K14</f>
        <v>17</v>
      </c>
      <c r="L7" s="4" t="n">
        <f aca="false">Assumptions!L14</f>
        <v>17</v>
      </c>
    </row>
    <row r="8" customFormat="false" ht="15" hidden="false" customHeight="false" outlineLevel="0" collapsed="false">
      <c r="A8" s="0" t="s">
        <v>43</v>
      </c>
      <c r="C8" s="0" t="n">
        <f aca="false">C6*C7/100</f>
        <v>68015.376</v>
      </c>
      <c r="D8" s="0" t="n">
        <f aca="false">D6*D7/100</f>
        <v>53883.29232</v>
      </c>
      <c r="E8" s="0" t="n">
        <f aca="false">E6*E7/100</f>
        <v>50580.767952</v>
      </c>
      <c r="F8" s="0" t="n">
        <f aca="false">F6*F7/100</f>
        <v>55031.875531776</v>
      </c>
      <c r="G8" s="0" t="n">
        <f aca="false">G6*G7/100</f>
        <v>57886.6540749869</v>
      </c>
      <c r="H8" s="0" t="n">
        <f aca="false">H6*H7/100</f>
        <v>60535.4070341756</v>
      </c>
      <c r="I8" s="0" t="n">
        <f aca="false">I6*I7/100</f>
        <v>61443.4381396883</v>
      </c>
      <c r="J8" s="0" t="n">
        <f aca="false">J6*J7/100</f>
        <v>62365.0897117836</v>
      </c>
      <c r="K8" s="0" t="n">
        <f aca="false">K6*K7/100</f>
        <v>63300.5660574603</v>
      </c>
      <c r="L8" s="0" t="n">
        <f aca="false">L6*L7/100</f>
        <v>64250.0745483222</v>
      </c>
    </row>
    <row r="9" customFormat="false" ht="15" hidden="false" customHeight="false" outlineLevel="0" collapsed="false">
      <c r="A9" s="0" t="s">
        <v>95</v>
      </c>
      <c r="C9" s="4" t="n">
        <f aca="false">Assumptions!C15</f>
        <v>0.03</v>
      </c>
      <c r="D9" s="4" t="n">
        <f aca="false">Assumptions!D15</f>
        <v>0.03</v>
      </c>
      <c r="E9" s="4" t="n">
        <f aca="false">Assumptions!E15</f>
        <v>0.03</v>
      </c>
      <c r="F9" s="4" t="n">
        <f aca="false">Assumptions!F15</f>
        <v>0.03</v>
      </c>
      <c r="G9" s="4" t="n">
        <f aca="false">Assumptions!G15</f>
        <v>0.03</v>
      </c>
      <c r="H9" s="4" t="n">
        <f aca="false">Assumptions!H15</f>
        <v>0.03</v>
      </c>
      <c r="I9" s="4" t="n">
        <f aca="false">Assumptions!I15</f>
        <v>0.03</v>
      </c>
      <c r="J9" s="4" t="n">
        <f aca="false">Assumptions!J15</f>
        <v>0.03</v>
      </c>
      <c r="K9" s="4" t="n">
        <f aca="false">Assumptions!K15</f>
        <v>0.03</v>
      </c>
      <c r="L9" s="4" t="n">
        <f aca="false">Assumptions!L15</f>
        <v>0.03</v>
      </c>
    </row>
    <row r="10" customFormat="false" ht="15" hidden="false" customHeight="false" outlineLevel="0" collapsed="false">
      <c r="A10" s="0" t="s">
        <v>110</v>
      </c>
      <c r="C10" s="0" t="n">
        <f aca="false">-C6*C9/100</f>
        <v>-113.35896</v>
      </c>
      <c r="D10" s="0" t="n">
        <f aca="false">-D6*D9/100</f>
        <v>-104.2902432</v>
      </c>
      <c r="E10" s="0" t="n">
        <f aca="false">-E6*E9/100</f>
        <v>-101.161535904</v>
      </c>
      <c r="F10" s="0" t="n">
        <f aca="false">-F6*F9/100</f>
        <v>-103.18476662208</v>
      </c>
      <c r="G10" s="0" t="n">
        <f aca="false">-G6*G9/100</f>
        <v>-105.248461954522</v>
      </c>
      <c r="H10" s="0" t="n">
        <f aca="false">-H6*H9/100</f>
        <v>-106.827188883839</v>
      </c>
      <c r="I10" s="0" t="n">
        <f aca="false">-I6*I9/100</f>
        <v>-108.429596717097</v>
      </c>
      <c r="J10" s="0" t="n">
        <f aca="false">-J6*J9/100</f>
        <v>-110.056040667853</v>
      </c>
      <c r="K10" s="0" t="n">
        <f aca="false">-K6*K9/100</f>
        <v>-111.706881277871</v>
      </c>
      <c r="L10" s="0" t="n">
        <f aca="false">-L6*L9/100</f>
        <v>-113.382484497039</v>
      </c>
    </row>
    <row r="11" customFormat="false" ht="15" hidden="false" customHeight="false" outlineLevel="0" collapsed="false">
      <c r="A11" s="0" t="s">
        <v>111</v>
      </c>
      <c r="C11" s="0" t="n">
        <f aca="false">C8+C10+C24</f>
        <v>67902.01704</v>
      </c>
      <c r="D11" s="0" t="n">
        <f aca="false">D8+D10+D24</f>
        <v>53779.0020768</v>
      </c>
      <c r="E11" s="0" t="n">
        <f aca="false">E8+E10+E24</f>
        <v>50479.606416096</v>
      </c>
      <c r="F11" s="0" t="n">
        <f aca="false">F8+F10+F24</f>
        <v>54928.6907651539</v>
      </c>
      <c r="G11" s="0" t="n">
        <f aca="false">G8+G10+G24</f>
        <v>57781.4056130323</v>
      </c>
      <c r="H11" s="0" t="n">
        <f aca="false">H8+H10+H24</f>
        <v>60428.5798452918</v>
      </c>
      <c r="I11" s="0" t="n">
        <f aca="false">I8+I10+I24</f>
        <v>61335.0085429712</v>
      </c>
      <c r="J11" s="0" t="n">
        <f aca="false">J8+J10+J24</f>
        <v>62255.0336711157</v>
      </c>
      <c r="K11" s="0" t="n">
        <f aca="false">K8+K10+K24</f>
        <v>63188.8591761825</v>
      </c>
      <c r="L11" s="0" t="n">
        <f aca="false">L8+L10+L24</f>
        <v>64136.6920638252</v>
      </c>
    </row>
    <row r="12" customFormat="false" ht="15" hidden="false" customHeight="false" outlineLevel="0" collapsed="false">
      <c r="A12" s="0" t="s">
        <v>112</v>
      </c>
      <c r="C12" s="4" t="n">
        <f aca="false">-C6*Assumptions!C17/100</f>
        <v>-37030.5936</v>
      </c>
      <c r="D12" s="4" t="n">
        <f aca="false">-D6*Assumptions!D17/100</f>
        <v>-36501.58512</v>
      </c>
      <c r="E12" s="4" t="n">
        <f aca="false">-E6*Assumptions!E17/100</f>
        <v>-36418.15292544</v>
      </c>
      <c r="F12" s="4" t="n">
        <f aca="false">-F6*Assumptions!F17/100</f>
        <v>-36114.668317728</v>
      </c>
      <c r="G12" s="4" t="n">
        <f aca="false">-G6*Assumptions!G17/100</f>
        <v>-35784.4770645373</v>
      </c>
      <c r="H12" s="4" t="n">
        <f aca="false">-H6*Assumptions!H17/100</f>
        <v>-35609.0629612798</v>
      </c>
      <c r="I12" s="4" t="n">
        <f aca="false">-I6*Assumptions!I17/100</f>
        <v>-36143.198905699</v>
      </c>
      <c r="J12" s="4" t="n">
        <f aca="false">-J6*Assumptions!J17/100</f>
        <v>-36685.3468892845</v>
      </c>
      <c r="K12" s="4" t="n">
        <f aca="false">-K6*Assumptions!K17/100</f>
        <v>-37235.6270926237</v>
      </c>
      <c r="L12" s="4" t="n">
        <f aca="false">-L6*Assumptions!L17/100</f>
        <v>-37794.1614990131</v>
      </c>
    </row>
    <row r="13" customFormat="false" ht="15" hidden="false" customHeight="false" outlineLevel="0" collapsed="false">
      <c r="A13" s="0" t="s">
        <v>113</v>
      </c>
      <c r="C13" s="0" t="n">
        <f aca="false">C11+C12</f>
        <v>30871.42344</v>
      </c>
      <c r="D13" s="0" t="n">
        <f aca="false">D11+D12</f>
        <v>17277.4169568</v>
      </c>
      <c r="E13" s="0" t="n">
        <f aca="false">E11+E12</f>
        <v>14061.453490656</v>
      </c>
      <c r="F13" s="0" t="n">
        <f aca="false">F11+F12</f>
        <v>18814.0224474259</v>
      </c>
      <c r="G13" s="0" t="n">
        <f aca="false">G11+G12</f>
        <v>21996.928548495</v>
      </c>
      <c r="H13" s="0" t="n">
        <f aca="false">H11+H12</f>
        <v>24819.516884012</v>
      </c>
      <c r="I13" s="0" t="n">
        <f aca="false">I11+I12</f>
        <v>25191.8096372722</v>
      </c>
      <c r="J13" s="0" t="n">
        <f aca="false">J11+J12</f>
        <v>25569.6867818313</v>
      </c>
      <c r="K13" s="0" t="n">
        <f aca="false">K11+K12</f>
        <v>25953.2320835587</v>
      </c>
      <c r="L13" s="0" t="n">
        <f aca="false">L11+L12</f>
        <v>26342.5305648121</v>
      </c>
    </row>
    <row r="14" customFormat="false" ht="15" hidden="false" customHeight="false" outlineLevel="0" collapsed="false">
      <c r="A14" s="0" t="s">
        <v>99</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114</v>
      </c>
      <c r="C15" s="0" t="n">
        <f aca="false">C13-MAX(0,C13)*C14/100</f>
        <v>21301.2821736</v>
      </c>
      <c r="D15" s="0" t="n">
        <f aca="false">D13-MAX(0,D13)*D14/100</f>
        <v>11921.417700192</v>
      </c>
      <c r="E15" s="0" t="n">
        <f aca="false">E13-MAX(0,E13)*E14/100</f>
        <v>9702.40290855263</v>
      </c>
      <c r="F15" s="0" t="n">
        <f aca="false">F13-MAX(0,F13)*F14/100</f>
        <v>12981.6754887239</v>
      </c>
      <c r="G15" s="0" t="n">
        <f aca="false">G13-MAX(0,G13)*G14/100</f>
        <v>15177.8806984616</v>
      </c>
      <c r="H15" s="0" t="n">
        <f aca="false">H13-MAX(0,H13)*H14/100</f>
        <v>17125.4666499683</v>
      </c>
      <c r="I15" s="0" t="n">
        <f aca="false">I13-MAX(0,I13)*I14/100</f>
        <v>17382.3486497178</v>
      </c>
      <c r="J15" s="0" t="n">
        <f aca="false">J13-MAX(0,J13)*J14/100</f>
        <v>17643.0838794636</v>
      </c>
      <c r="K15" s="0" t="n">
        <f aca="false">K13-MAX(0,K13)*K14/100</f>
        <v>17907.7301376555</v>
      </c>
      <c r="L15" s="0" t="n">
        <f aca="false">L13-MAX(0,L13)*L14/100</f>
        <v>18176.3460897204</v>
      </c>
    </row>
    <row r="16" customFormat="false" ht="15" hidden="false" customHeight="false" outlineLevel="0" collapsed="false">
      <c r="A16" s="0" t="s">
        <v>115</v>
      </c>
      <c r="C16" s="0" t="n">
        <f aca="false">-C12</f>
        <v>37030.5936</v>
      </c>
      <c r="D16" s="0" t="n">
        <f aca="false">-D12</f>
        <v>36501.58512</v>
      </c>
      <c r="E16" s="0" t="n">
        <f aca="false">-E12</f>
        <v>36418.15292544</v>
      </c>
      <c r="F16" s="0" t="n">
        <f aca="false">-F12</f>
        <v>36114.668317728</v>
      </c>
      <c r="G16" s="0" t="n">
        <f aca="false">-G12</f>
        <v>35784.4770645373</v>
      </c>
      <c r="H16" s="0" t="n">
        <f aca="false">-H12</f>
        <v>35609.0629612798</v>
      </c>
      <c r="I16" s="0" t="n">
        <f aca="false">-I12</f>
        <v>36143.198905699</v>
      </c>
      <c r="J16" s="0" t="n">
        <f aca="false">-J12</f>
        <v>36685.3468892845</v>
      </c>
      <c r="K16" s="0" t="n">
        <f aca="false">-K12</f>
        <v>37235.6270926237</v>
      </c>
      <c r="L16" s="0" t="n">
        <f aca="false">-L12</f>
        <v>37794.1614990131</v>
      </c>
    </row>
    <row r="17" customFormat="false" ht="15" hidden="false" customHeight="false" outlineLevel="0" collapsed="false">
      <c r="A17" s="0" t="s">
        <v>116</v>
      </c>
      <c r="C17" s="4" t="n">
        <f aca="false">-C6*Assumptions!C18/100</f>
        <v>-43454.268</v>
      </c>
      <c r="D17" s="4" t="n">
        <f aca="false">-D6*Assumptions!D18/100</f>
        <v>-39977.92656</v>
      </c>
      <c r="E17" s="4" t="n">
        <f aca="false">-E6*Assumptions!E18/100</f>
        <v>-37092.5631648</v>
      </c>
      <c r="F17" s="4" t="n">
        <f aca="false">-F6*Assumptions!F18/100</f>
        <v>-37834.414428096</v>
      </c>
      <c r="G17" s="4" t="n">
        <f aca="false">-G6*Assumptions!G18/100</f>
        <v>-36836.9616840826</v>
      </c>
      <c r="H17" s="4" t="n">
        <f aca="false">-H6*Assumptions!H18/100</f>
        <v>-37389.5161093438</v>
      </c>
      <c r="I17" s="4" t="n">
        <f aca="false">-I6*Assumptions!I18/100</f>
        <v>-37950.3588509839</v>
      </c>
      <c r="J17" s="4" t="n">
        <f aca="false">-J6*Assumptions!J18/100</f>
        <v>-38519.6142337487</v>
      </c>
      <c r="K17" s="4" t="n">
        <f aca="false">-K6*Assumptions!K18/100</f>
        <v>-39097.4084472549</v>
      </c>
      <c r="L17" s="4" t="n">
        <f aca="false">-L6*Assumptions!L18/100</f>
        <v>-39683.8695739637</v>
      </c>
    </row>
    <row r="18" customFormat="false" ht="15" hidden="false" customHeight="false" outlineLevel="0" collapsed="false">
      <c r="A18" s="0" t="s">
        <v>117</v>
      </c>
      <c r="C18" s="4" t="n">
        <f aca="false">(C6-B6)*Assumptions!$B$23/100</f>
        <v>-8235.47999999999</v>
      </c>
      <c r="D18" s="4" t="n">
        <f aca="false">(D6-C6)*Assumptions!$B$23/100</f>
        <v>4534.3584</v>
      </c>
      <c r="E18" s="4" t="n">
        <f aca="false">(E6-D6)*Assumptions!$B$23/100</f>
        <v>1564.353648</v>
      </c>
      <c r="F18" s="4" t="n">
        <f aca="false">(F6-E6)*Assumptions!$B$23/100</f>
        <v>-1011.61535904</v>
      </c>
      <c r="G18" s="4" t="n">
        <f aca="false">(G6-F6)*Assumptions!$B$23/100</f>
        <v>-1031.8476662208</v>
      </c>
      <c r="H18" s="4" t="n">
        <f aca="false">(H6-G6)*Assumptions!$B$23/100</f>
        <v>-789.363464658902</v>
      </c>
      <c r="I18" s="4" t="n">
        <f aca="false">(I6-H6)*Assumptions!$B$23/100</f>
        <v>-801.203916628787</v>
      </c>
      <c r="J18" s="4" t="n">
        <f aca="false">(J6-I6)*Assumptions!$B$23/100</f>
        <v>-813.221975378218</v>
      </c>
      <c r="K18" s="4" t="n">
        <f aca="false">(K6-J6)*Assumptions!$B$23/100</f>
        <v>-825.420305008898</v>
      </c>
      <c r="L18" s="4" t="n">
        <f aca="false">(L6-K6)*Assumptions!$B$23/100</f>
        <v>-837.801609584031</v>
      </c>
    </row>
    <row r="19" customFormat="false" ht="15" hidden="false" customHeight="false" outlineLevel="0" collapsed="false">
      <c r="A19" s="0" t="s">
        <v>118</v>
      </c>
      <c r="C19" s="0" t="n">
        <f aca="false">C15+C16+C17+C18</f>
        <v>6642.12777360001</v>
      </c>
      <c r="D19" s="0" t="n">
        <f aca="false">D15+D16+D17+D18</f>
        <v>12979.434660192</v>
      </c>
      <c r="E19" s="0" t="n">
        <f aca="false">E15+E16+E17+E18</f>
        <v>10592.3463171926</v>
      </c>
      <c r="F19" s="0" t="n">
        <f aca="false">F15+F16+F17+F18</f>
        <v>10250.3140193159</v>
      </c>
      <c r="G19" s="0" t="n">
        <f aca="false">G15+G16+G17+G18</f>
        <v>13093.5484126955</v>
      </c>
      <c r="H19" s="0" t="n">
        <f aca="false">H15+H16+H17+H18</f>
        <v>14555.6500372454</v>
      </c>
      <c r="I19" s="0" t="n">
        <f aca="false">I15+I16+I17+I18</f>
        <v>14773.9847878041</v>
      </c>
      <c r="J19" s="0" t="n">
        <f aca="false">J15+J16+J17+J18</f>
        <v>14995.5945596211</v>
      </c>
      <c r="K19" s="0" t="n">
        <f aca="false">K15+K16+K17+K18</f>
        <v>15220.5284780154</v>
      </c>
      <c r="L19" s="0" t="n">
        <f aca="false">L15+L16+L17+L18</f>
        <v>15448.8364051857</v>
      </c>
    </row>
    <row r="20" customFormat="false" ht="15" hidden="false" customHeight="false" outlineLevel="0" collapsed="false">
      <c r="A20" s="0" t="s">
        <v>119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120</v>
      </c>
      <c r="C21" s="0" t="n">
        <f aca="false">C19*C20</f>
        <v>6150.1183088889</v>
      </c>
      <c r="D21" s="0" t="n">
        <f aca="false">D19*D20</f>
        <v>11127.7731997531</v>
      </c>
      <c r="E21" s="0" t="n">
        <f aca="false">E19*E20</f>
        <v>8408.54601463877</v>
      </c>
      <c r="F21" s="0" t="n">
        <f aca="false">F19*F20</f>
        <v>7534.28680473517</v>
      </c>
      <c r="G21" s="0" t="n">
        <f aca="false">G19*G20</f>
        <v>8911.24903922855</v>
      </c>
      <c r="H21" s="0" t="n">
        <f aca="false">H19*H20</f>
        <v>9172.52855301198</v>
      </c>
      <c r="I21" s="0" t="n">
        <f aca="false">I19*I20</f>
        <v>8620.47822343255</v>
      </c>
      <c r="J21" s="0" t="n">
        <f aca="false">J19*J20</f>
        <v>8101.65314517041</v>
      </c>
      <c r="K21" s="0" t="n">
        <f aca="false">K19*K20</f>
        <v>7614.05365032218</v>
      </c>
      <c r="L21" s="0" t="n">
        <f aca="false">L19*L20</f>
        <v>7155.80042136761</v>
      </c>
    </row>
    <row r="23" customFormat="false" ht="15" hidden="false" customHeight="false" outlineLevel="0" collapsed="false">
      <c r="A23" s="0" t="s">
        <v>96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Assumptions!$B$20</f>
        <v>8</v>
      </c>
    </row>
    <row r="28" customFormat="false" ht="15" hidden="false" customHeight="false" outlineLevel="0" collapsed="false">
      <c r="A28" s="0" t="s">
        <v>101</v>
      </c>
      <c r="B28" s="4" t="n">
        <f aca="false">Assumptions!$B$21</f>
        <v>0.5</v>
      </c>
    </row>
    <row r="29" customFormat="false" ht="15" hidden="false" customHeight="false" outlineLevel="0" collapsed="false">
      <c r="A29" s="0" t="s">
        <v>102</v>
      </c>
      <c r="B29" s="4" t="n">
        <f aca="false">Assumptions!$B$22</f>
        <v>12</v>
      </c>
    </row>
    <row r="30" customFormat="false" ht="15" hidden="false" customHeight="false" outlineLevel="0" collapsed="false">
      <c r="A30" s="0" t="s">
        <v>123</v>
      </c>
      <c r="B30" s="0" t="n">
        <f aca="false">SUM(C21:L21)</f>
        <v>82796.4873605492</v>
      </c>
    </row>
    <row r="31" customFormat="false" ht="15" hidden="false" customHeight="false" outlineLevel="0" collapsed="false">
      <c r="A31" s="0" t="s">
        <v>124</v>
      </c>
      <c r="B31" s="0" t="n">
        <f aca="false">L19</f>
        <v>15448.8364051857</v>
      </c>
    </row>
    <row r="32" customFormat="false" ht="15" hidden="false" customHeight="false" outlineLevel="0" collapsed="false">
      <c r="A32" s="0" t="s">
        <v>125</v>
      </c>
      <c r="B32" s="0" t="n">
        <f aca="false">IF(B27&gt;B28,B31*(1+B28/100)/((B27-B28)/100),B31*B29)</f>
        <v>207014.407829488</v>
      </c>
    </row>
    <row r="33" customFormat="false" ht="15" hidden="false" customHeight="false" outlineLevel="0" collapsed="false">
      <c r="A33" s="0" t="s">
        <v>126</v>
      </c>
      <c r="B33" s="0" t="n">
        <f aca="false">B31*B29</f>
        <v>185386.036862228</v>
      </c>
    </row>
    <row r="34" customFormat="false" ht="15" hidden="false" customHeight="false" outlineLevel="0" collapsed="false">
      <c r="A34" s="0" t="s">
        <v>127</v>
      </c>
      <c r="B34" s="0" t="n">
        <f aca="false">MAX(0,MIN(B32,B33))</f>
        <v>185386.036862228</v>
      </c>
    </row>
    <row r="35" customFormat="false" ht="15" hidden="false" customHeight="false" outlineLevel="0" collapsed="false">
      <c r="A35" s="0" t="s">
        <v>128</v>
      </c>
      <c r="B35" s="0" t="n">
        <f aca="false">B34/(1+B27/100)^L4</f>
        <v>85869.6050564113</v>
      </c>
    </row>
    <row r="36" customFormat="false" ht="15" hidden="false" customHeight="false" outlineLevel="0" collapsed="false">
      <c r="A36" s="0" t="s">
        <v>129</v>
      </c>
      <c r="B36" s="0" t="n">
        <f aca="false">B30+B35</f>
        <v>168666.092416961</v>
      </c>
    </row>
    <row r="37" customFormat="false" ht="15" hidden="false" customHeight="false" outlineLevel="0" collapsed="false">
      <c r="A37" s="0" t="s">
        <v>130</v>
      </c>
      <c r="B37" s="0" t="n">
        <f aca="false">B36+Assumptions!$B$5-Assumptions!$B$4</f>
        <v>44724.0924169605</v>
      </c>
    </row>
    <row r="38" customFormat="false" ht="15" hidden="false" customHeight="false" outlineLevel="0" collapsed="false">
      <c r="A38" s="0" t="s">
        <v>131</v>
      </c>
      <c r="B38" s="0" t="n">
        <f aca="false">B37/Assumptions!$B$3*Assumptions!$B$10</f>
        <v>218.507389178037</v>
      </c>
    </row>
    <row r="39" customFormat="false" ht="15" hidden="false" customHeight="false" outlineLevel="0" collapsed="false">
      <c r="A39" s="0" t="s">
        <v>132</v>
      </c>
      <c r="B39" s="4" t="n">
        <f aca="false">B38/Assumptions!$B$2-1</f>
        <v>-0.886548603749721</v>
      </c>
    </row>
    <row r="41" customFormat="false" ht="15" hidden="false" customHeight="false" outlineLevel="0" collapsed="false">
      <c r="A41" s="0" t="s">
        <v>133</v>
      </c>
      <c r="B41" s="0" t="n">
        <f aca="false">SUMPRODUCT(-C10:L10/(1+$B$27/100)^C4:L4)</f>
        <v>720.599594160167</v>
      </c>
    </row>
    <row r="42" customFormat="false" ht="15" hidden="false" customHeight="false" outlineLevel="0" collapsed="false">
      <c r="A42" s="0" t="s">
        <v>134</v>
      </c>
      <c r="B42" s="0" t="n">
        <f aca="false">IF(B27&gt;B28,-L10*(1+B28/100)/((B27-B28)/100),-L10*20)/(1+B27/100)^L4</f>
        <v>703.741581657343</v>
      </c>
    </row>
    <row r="43" customFormat="false" ht="15" hidden="false" customHeight="false" outlineLevel="0" collapsed="false">
      <c r="A43" s="0" t="s">
        <v>135</v>
      </c>
      <c r="B43" s="0" t="n">
        <f aca="false">(B37+B41+B42)/Assumptions!$B$3*Assumptions!$B$10</f>
        <v>225.466257537512</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107076.417842839</v>
      </c>
    </row>
    <row r="47" customFormat="false" ht="15" hidden="false" customHeight="false" outlineLevel="0" collapsed="false">
      <c r="A47" s="0" t="s">
        <v>137</v>
      </c>
      <c r="B47" s="0" t="n">
        <f aca="false">(SUMPRODUCT(C19:L19/(1+B45/100)^C4:L4)+B46/(1+B45/100)^L4+Assumptions!$B$5-Assumptions!$B$4)/Assumptions!$B$3*Assumptions!$B$10</f>
        <v>-183.969342048532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Assumptions!C27</f>
        <v>19.5</v>
      </c>
      <c r="D5" s="4" t="n">
        <f aca="false">Assumptions!D27</f>
        <v>4</v>
      </c>
      <c r="E5" s="4" t="n">
        <f aca="false">Assumptions!E27</f>
        <v>3.5</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322960</v>
      </c>
      <c r="C6" s="0" t="n">
        <f aca="false">B6*(1+C5/100)</f>
        <v>385937.2</v>
      </c>
      <c r="D6" s="0" t="n">
        <f aca="false">C6*(1+D5/100)</f>
        <v>401374.688</v>
      </c>
      <c r="E6" s="0" t="n">
        <f aca="false">D6*(1+E5/100)</f>
        <v>415422.80208</v>
      </c>
      <c r="F6" s="0" t="n">
        <f aca="false">E6*(1+F5/100)</f>
        <v>427885.4861424</v>
      </c>
      <c r="G6" s="0" t="n">
        <f aca="false">F6*(1+G5/100)</f>
        <v>440722.050726672</v>
      </c>
      <c r="H6" s="0" t="n">
        <f aca="false">G6*(1+H5/100)</f>
        <v>451740.101994839</v>
      </c>
      <c r="I6" s="0" t="n">
        <f aca="false">H6*(1+I5/100)</f>
        <v>463033.60454471</v>
      </c>
      <c r="J6" s="0" t="n">
        <f aca="false">I6*(1+J5/100)</f>
        <v>472294.276635604</v>
      </c>
      <c r="K6" s="0" t="n">
        <f aca="false">J6*(1+K5/100)</f>
        <v>481740.162168316</v>
      </c>
      <c r="L6" s="0" t="n">
        <f aca="false">K6*(1+L5/100)</f>
        <v>491374.965411682</v>
      </c>
    </row>
    <row r="7" customFormat="false" ht="15" hidden="false" customHeight="false" outlineLevel="0" collapsed="false">
      <c r="A7" s="0" t="s">
        <v>94</v>
      </c>
      <c r="C7" s="4" t="n">
        <f aca="false">Assumptions!C28</f>
        <v>18.8</v>
      </c>
      <c r="D7" s="4" t="n">
        <f aca="false">Assumptions!D28</f>
        <v>19</v>
      </c>
      <c r="E7" s="4" t="n">
        <f aca="false">Assumptions!E28</f>
        <v>19.2</v>
      </c>
      <c r="F7" s="4" t="n">
        <f aca="false">Assumptions!F28</f>
        <v>19.3</v>
      </c>
      <c r="G7" s="4" t="n">
        <f aca="false">Assumptions!G28</f>
        <v>19.5</v>
      </c>
      <c r="H7" s="4" t="n">
        <f aca="false">Assumptions!H28</f>
        <v>19.5</v>
      </c>
      <c r="I7" s="4" t="n">
        <f aca="false">Assumptions!I28</f>
        <v>19.5</v>
      </c>
      <c r="J7" s="4" t="n">
        <f aca="false">Assumptions!J28</f>
        <v>19.5</v>
      </c>
      <c r="K7" s="4" t="n">
        <f aca="false">Assumptions!K28</f>
        <v>19.5</v>
      </c>
      <c r="L7" s="4" t="n">
        <f aca="false">Assumptions!L28</f>
        <v>19.5</v>
      </c>
    </row>
    <row r="8" customFormat="false" ht="15" hidden="false" customHeight="false" outlineLevel="0" collapsed="false">
      <c r="A8" s="0" t="s">
        <v>43</v>
      </c>
      <c r="C8" s="0" t="n">
        <f aca="false">C6*C7/100</f>
        <v>72556.1936</v>
      </c>
      <c r="D8" s="0" t="n">
        <f aca="false">D6*D7/100</f>
        <v>76261.19072</v>
      </c>
      <c r="E8" s="0" t="n">
        <f aca="false">E6*E7/100</f>
        <v>79761.17799936</v>
      </c>
      <c r="F8" s="0" t="n">
        <f aca="false">F6*F7/100</f>
        <v>82581.8988254832</v>
      </c>
      <c r="G8" s="0" t="n">
        <f aca="false">G6*G7/100</f>
        <v>85940.799891701</v>
      </c>
      <c r="H8" s="0" t="n">
        <f aca="false">H6*H7/100</f>
        <v>88089.3198889936</v>
      </c>
      <c r="I8" s="0" t="n">
        <f aca="false">I6*I7/100</f>
        <v>90291.5528862184</v>
      </c>
      <c r="J8" s="0" t="n">
        <f aca="false">J6*J7/100</f>
        <v>92097.3839439428</v>
      </c>
      <c r="K8" s="0" t="n">
        <f aca="false">K6*K7/100</f>
        <v>93939.3316228216</v>
      </c>
      <c r="L8" s="0" t="n">
        <f aca="false">L6*L7/100</f>
        <v>95818.1182552781</v>
      </c>
    </row>
    <row r="9" customFormat="false" ht="15" hidden="false" customHeight="false" outlineLevel="0" collapsed="false">
      <c r="A9" s="0" t="s">
        <v>95</v>
      </c>
      <c r="C9" s="4" t="n">
        <f aca="false">Assumptions!C29</f>
        <v>0.03</v>
      </c>
      <c r="D9" s="4" t="n">
        <f aca="false">Assumptions!D29</f>
        <v>0.03</v>
      </c>
      <c r="E9" s="4" t="n">
        <f aca="false">Assumptions!E29</f>
        <v>0.03</v>
      </c>
      <c r="F9" s="4" t="n">
        <f aca="false">Assumptions!F29</f>
        <v>0.03</v>
      </c>
      <c r="G9" s="4" t="n">
        <f aca="false">Assumptions!G29</f>
        <v>0.03</v>
      </c>
      <c r="H9" s="4" t="n">
        <f aca="false">Assumptions!H29</f>
        <v>0.03</v>
      </c>
      <c r="I9" s="4" t="n">
        <f aca="false">Assumptions!I29</f>
        <v>0.03</v>
      </c>
      <c r="J9" s="4" t="n">
        <f aca="false">Assumptions!J29</f>
        <v>0.03</v>
      </c>
      <c r="K9" s="4" t="n">
        <f aca="false">Assumptions!K29</f>
        <v>0.03</v>
      </c>
      <c r="L9" s="4" t="n">
        <f aca="false">Assumptions!L29</f>
        <v>0.03</v>
      </c>
    </row>
    <row r="10" customFormat="false" ht="15" hidden="false" customHeight="false" outlineLevel="0" collapsed="false">
      <c r="A10" s="0" t="s">
        <v>110</v>
      </c>
      <c r="C10" s="0" t="n">
        <f aca="false">-C6*C9/100</f>
        <v>-115.78116</v>
      </c>
      <c r="D10" s="0" t="n">
        <f aca="false">-D6*D9/100</f>
        <v>-120.4124064</v>
      </c>
      <c r="E10" s="0" t="n">
        <f aca="false">-E6*E9/100</f>
        <v>-124.626840624</v>
      </c>
      <c r="F10" s="0" t="n">
        <f aca="false">-F6*F9/100</f>
        <v>-128.36564584272</v>
      </c>
      <c r="G10" s="0" t="n">
        <f aca="false">-G6*G9/100</f>
        <v>-132.216615218002</v>
      </c>
      <c r="H10" s="0" t="n">
        <f aca="false">-H6*H9/100</f>
        <v>-135.522030598452</v>
      </c>
      <c r="I10" s="0" t="n">
        <f aca="false">-I6*I9/100</f>
        <v>-138.910081363413</v>
      </c>
      <c r="J10" s="0" t="n">
        <f aca="false">-J6*J9/100</f>
        <v>-141.688282990681</v>
      </c>
      <c r="K10" s="0" t="n">
        <f aca="false">-K6*K9/100</f>
        <v>-144.522048650495</v>
      </c>
      <c r="L10" s="0" t="n">
        <f aca="false">-L6*L9/100</f>
        <v>-147.412489623505</v>
      </c>
    </row>
    <row r="11" customFormat="false" ht="15" hidden="false" customHeight="false" outlineLevel="0" collapsed="false">
      <c r="A11" s="0" t="s">
        <v>111</v>
      </c>
      <c r="C11" s="0" t="n">
        <f aca="false">C8+C10+C24</f>
        <v>72440.41244</v>
      </c>
      <c r="D11" s="0" t="n">
        <f aca="false">D8+D10+D24</f>
        <v>76140.7783136</v>
      </c>
      <c r="E11" s="0" t="n">
        <f aca="false">E8+E10+E24</f>
        <v>79636.551158736</v>
      </c>
      <c r="F11" s="0" t="n">
        <f aca="false">F8+F10+F24</f>
        <v>82453.5331796405</v>
      </c>
      <c r="G11" s="0" t="n">
        <f aca="false">G8+G10+G24</f>
        <v>85808.583276483</v>
      </c>
      <c r="H11" s="0" t="n">
        <f aca="false">H8+H10+H24</f>
        <v>87953.7978583951</v>
      </c>
      <c r="I11" s="0" t="n">
        <f aca="false">I8+I10+I24</f>
        <v>90152.642804855</v>
      </c>
      <c r="J11" s="0" t="n">
        <f aca="false">J8+J10+J24</f>
        <v>91955.6956609521</v>
      </c>
      <c r="K11" s="0" t="n">
        <f aca="false">K8+K10+K24</f>
        <v>93794.8095741711</v>
      </c>
      <c r="L11" s="0" t="n">
        <f aca="false">L8+L10+L24</f>
        <v>95670.7057656546</v>
      </c>
    </row>
    <row r="12" customFormat="false" ht="15" hidden="false" customHeight="false" outlineLevel="0" collapsed="false">
      <c r="A12" s="0" t="s">
        <v>112</v>
      </c>
      <c r="C12" s="4" t="n">
        <f aca="false">-C6*Assumptions!C31/100</f>
        <v>-37435.9084</v>
      </c>
      <c r="D12" s="4" t="n">
        <f aca="false">-D6*Assumptions!D31/100</f>
        <v>-39334.719424</v>
      </c>
      <c r="E12" s="4" t="n">
        <f aca="false">-E6*Assumptions!E31/100</f>
        <v>-40711.43460384</v>
      </c>
      <c r="F12" s="4" t="n">
        <f aca="false">-F6*Assumptions!F31/100</f>
        <v>-41504.8921558128</v>
      </c>
      <c r="G12" s="4" t="n">
        <f aca="false">-G6*Assumptions!G31/100</f>
        <v>-42309.3168697605</v>
      </c>
      <c r="H12" s="4" t="n">
        <f aca="false">-H6*Assumptions!H31/100</f>
        <v>-42915.3096895097</v>
      </c>
      <c r="I12" s="4" t="n">
        <f aca="false">-I6*Assumptions!I31/100</f>
        <v>-43988.1924317474</v>
      </c>
      <c r="J12" s="4" t="n">
        <f aca="false">-J6*Assumptions!J31/100</f>
        <v>-44867.9562803824</v>
      </c>
      <c r="K12" s="4" t="n">
        <f aca="false">-K6*Assumptions!K31/100</f>
        <v>-45765.31540599</v>
      </c>
      <c r="L12" s="4" t="n">
        <f aca="false">-L6*Assumptions!L31/100</f>
        <v>-46680.6217141098</v>
      </c>
    </row>
    <row r="13" customFormat="false" ht="15" hidden="false" customHeight="false" outlineLevel="0" collapsed="false">
      <c r="A13" s="0" t="s">
        <v>113</v>
      </c>
      <c r="C13" s="0" t="n">
        <f aca="false">C11+C12</f>
        <v>35004.50404</v>
      </c>
      <c r="D13" s="0" t="n">
        <f aca="false">D11+D12</f>
        <v>36806.0588896</v>
      </c>
      <c r="E13" s="0" t="n">
        <f aca="false">E11+E12</f>
        <v>38925.116554896</v>
      </c>
      <c r="F13" s="0" t="n">
        <f aca="false">F11+F12</f>
        <v>40948.6410238277</v>
      </c>
      <c r="G13" s="0" t="n">
        <f aca="false">G11+G12</f>
        <v>43499.2664067225</v>
      </c>
      <c r="H13" s="0" t="n">
        <f aca="false">H11+H12</f>
        <v>45038.4881688854</v>
      </c>
      <c r="I13" s="0" t="n">
        <f aca="false">I11+I12</f>
        <v>46164.4503731076</v>
      </c>
      <c r="J13" s="0" t="n">
        <f aca="false">J11+J12</f>
        <v>47087.7393805697</v>
      </c>
      <c r="K13" s="0" t="n">
        <f aca="false">K11+K12</f>
        <v>48029.4941681811</v>
      </c>
      <c r="L13" s="0" t="n">
        <f aca="false">L11+L12</f>
        <v>48990.0840515447</v>
      </c>
    </row>
    <row r="14" customFormat="false" ht="15" hidden="false" customHeight="false" outlineLevel="0" collapsed="false">
      <c r="A14" s="0" t="s">
        <v>99</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114</v>
      </c>
      <c r="C15" s="0" t="n">
        <f aca="false">C13-MAX(0,C13)*C14/100</f>
        <v>24153.1077876</v>
      </c>
      <c r="D15" s="0" t="n">
        <f aca="false">D13-MAX(0,D13)*D14/100</f>
        <v>25396.180633824</v>
      </c>
      <c r="E15" s="0" t="n">
        <f aca="false">E13-MAX(0,E13)*E14/100</f>
        <v>26858.3304228782</v>
      </c>
      <c r="F15" s="0" t="n">
        <f aca="false">F13-MAX(0,F13)*F14/100</f>
        <v>28254.5623064411</v>
      </c>
      <c r="G15" s="0" t="n">
        <f aca="false">G13-MAX(0,G13)*G14/100</f>
        <v>30014.4938206385</v>
      </c>
      <c r="H15" s="0" t="n">
        <f aca="false">H13-MAX(0,H13)*H14/100</f>
        <v>31076.5568365309</v>
      </c>
      <c r="I15" s="0" t="n">
        <f aca="false">I13-MAX(0,I13)*I14/100</f>
        <v>31853.4707574442</v>
      </c>
      <c r="J15" s="0" t="n">
        <f aca="false">J13-MAX(0,J13)*J14/100</f>
        <v>32490.5401725931</v>
      </c>
      <c r="K15" s="0" t="n">
        <f aca="false">K13-MAX(0,K13)*K14/100</f>
        <v>33140.350976045</v>
      </c>
      <c r="L15" s="0" t="n">
        <f aca="false">L13-MAX(0,L13)*L14/100</f>
        <v>33803.1579955659</v>
      </c>
    </row>
    <row r="16" customFormat="false" ht="15" hidden="false" customHeight="false" outlineLevel="0" collapsed="false">
      <c r="A16" s="0" t="s">
        <v>115</v>
      </c>
      <c r="C16" s="0" t="n">
        <f aca="false">-C12</f>
        <v>37435.9084</v>
      </c>
      <c r="D16" s="0" t="n">
        <f aca="false">-D12</f>
        <v>39334.719424</v>
      </c>
      <c r="E16" s="0" t="n">
        <f aca="false">-E12</f>
        <v>40711.43460384</v>
      </c>
      <c r="F16" s="0" t="n">
        <f aca="false">-F12</f>
        <v>41504.8921558128</v>
      </c>
      <c r="G16" s="0" t="n">
        <f aca="false">-G12</f>
        <v>42309.3168697605</v>
      </c>
      <c r="H16" s="0" t="n">
        <f aca="false">-H12</f>
        <v>42915.3096895097</v>
      </c>
      <c r="I16" s="0" t="n">
        <f aca="false">-I12</f>
        <v>43988.1924317474</v>
      </c>
      <c r="J16" s="0" t="n">
        <f aca="false">-J12</f>
        <v>44867.9562803824</v>
      </c>
      <c r="K16" s="0" t="n">
        <f aca="false">-K12</f>
        <v>45765.31540599</v>
      </c>
      <c r="L16" s="0" t="n">
        <f aca="false">-L12</f>
        <v>46680.6217141098</v>
      </c>
    </row>
    <row r="17" customFormat="false" ht="15" hidden="false" customHeight="false" outlineLevel="0" collapsed="false">
      <c r="A17" s="0" t="s">
        <v>116</v>
      </c>
      <c r="C17" s="4" t="n">
        <f aca="false">-C6*Assumptions!C32/100</f>
        <v>-43224.9664</v>
      </c>
      <c r="D17" s="4" t="n">
        <f aca="false">-D6*Assumptions!D32/100</f>
        <v>-44151.21568</v>
      </c>
      <c r="E17" s="4" t="n">
        <f aca="false">-E6*Assumptions!E32/100</f>
        <v>-43619.3942184</v>
      </c>
      <c r="F17" s="4" t="n">
        <f aca="false">-F6*Assumptions!F32/100</f>
        <v>-42788.54861424</v>
      </c>
      <c r="G17" s="4" t="n">
        <f aca="false">-G6*Assumptions!G32/100</f>
        <v>-42970.3999458505</v>
      </c>
      <c r="H17" s="4" t="n">
        <f aca="false">-H6*Assumptions!H32/100</f>
        <v>-42915.3096895097</v>
      </c>
      <c r="I17" s="4" t="n">
        <f aca="false">-I6*Assumptions!I32/100</f>
        <v>-43988.1924317474</v>
      </c>
      <c r="J17" s="4" t="n">
        <f aca="false">-J6*Assumptions!J32/100</f>
        <v>-44867.9562803824</v>
      </c>
      <c r="K17" s="4" t="n">
        <f aca="false">-K6*Assumptions!K32/100</f>
        <v>-45765.31540599</v>
      </c>
      <c r="L17" s="4" t="n">
        <f aca="false">-L6*Assumptions!L32/100</f>
        <v>-46680.6217141098</v>
      </c>
    </row>
    <row r="18" customFormat="false" ht="15" hidden="false" customHeight="false" outlineLevel="0" collapsed="false">
      <c r="A18" s="0" t="s">
        <v>117</v>
      </c>
      <c r="C18" s="4" t="n">
        <f aca="false">(C6-B6)*Assumptions!$B$37/100</f>
        <v>-9446.58</v>
      </c>
      <c r="D18" s="4" t="n">
        <f aca="false">(D6-C6)*Assumptions!$B$37/100</f>
        <v>-2315.6232</v>
      </c>
      <c r="E18" s="4" t="n">
        <f aca="false">(E6-D6)*Assumptions!$B$37/100</f>
        <v>-2107.217112</v>
      </c>
      <c r="F18" s="4" t="n">
        <f aca="false">(F6-E6)*Assumptions!$B$37/100</f>
        <v>-1869.40260936</v>
      </c>
      <c r="G18" s="4" t="n">
        <f aca="false">(G6-F6)*Assumptions!$B$37/100</f>
        <v>-1925.48468764081</v>
      </c>
      <c r="H18" s="4" t="n">
        <f aca="false">(H6-G6)*Assumptions!$B$37/100</f>
        <v>-1652.70769022501</v>
      </c>
      <c r="I18" s="4" t="n">
        <f aca="false">(I6-H6)*Assumptions!$B$37/100</f>
        <v>-1694.02538248064</v>
      </c>
      <c r="J18" s="4" t="n">
        <f aca="false">(J6-I6)*Assumptions!$B$37/100</f>
        <v>-1389.10081363413</v>
      </c>
      <c r="K18" s="4" t="n">
        <f aca="false">(K6-J6)*Assumptions!$B$37/100</f>
        <v>-1416.88282990681</v>
      </c>
      <c r="L18" s="4" t="n">
        <f aca="false">(L6-K6)*Assumptions!$B$37/100</f>
        <v>-1445.22048650495</v>
      </c>
    </row>
    <row r="19" customFormat="false" ht="15" hidden="false" customHeight="false" outlineLevel="0" collapsed="false">
      <c r="A19" s="0" t="s">
        <v>118</v>
      </c>
      <c r="C19" s="0" t="n">
        <f aca="false">C15+C16+C17+C18</f>
        <v>8917.4697876</v>
      </c>
      <c r="D19" s="0" t="n">
        <f aca="false">D15+D16+D17+D18</f>
        <v>18264.061177824</v>
      </c>
      <c r="E19" s="0" t="n">
        <f aca="false">E15+E16+E17+E18</f>
        <v>21843.1536963182</v>
      </c>
      <c r="F19" s="0" t="n">
        <f aca="false">F15+F16+F17+F18</f>
        <v>25101.5032386539</v>
      </c>
      <c r="G19" s="0" t="n">
        <f aca="false">G15+G16+G17+G18</f>
        <v>27427.9260569077</v>
      </c>
      <c r="H19" s="0" t="n">
        <f aca="false">H15+H16+H17+H18</f>
        <v>29423.8491463059</v>
      </c>
      <c r="I19" s="0" t="n">
        <f aca="false">I15+I16+I17+I18</f>
        <v>30159.4453749636</v>
      </c>
      <c r="J19" s="0" t="n">
        <f aca="false">J15+J16+J17+J18</f>
        <v>31101.439358959</v>
      </c>
      <c r="K19" s="0" t="n">
        <f aca="false">K15+K16+K17+K18</f>
        <v>31723.4681461381</v>
      </c>
      <c r="L19" s="0" t="n">
        <f aca="false">L15+L16+L17+L18</f>
        <v>32357.9375090609</v>
      </c>
    </row>
    <row r="20" customFormat="false" ht="15" hidden="false" customHeight="false" outlineLevel="0" collapsed="false">
      <c r="A20" s="0" t="s">
        <v>119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120</v>
      </c>
      <c r="C21" s="0" t="n">
        <f aca="false">C19*C20</f>
        <v>8256.91647</v>
      </c>
      <c r="D21" s="0" t="n">
        <f aca="false">D19*D20</f>
        <v>15658.4886641152</v>
      </c>
      <c r="E21" s="0" t="n">
        <f aca="false">E19*E20</f>
        <v>17339.7996496963</v>
      </c>
      <c r="F21" s="0" t="n">
        <f aca="false">F19*F20</f>
        <v>18450.3542304775</v>
      </c>
      <c r="G21" s="0" t="n">
        <f aca="false">G19*G20</f>
        <v>18666.9856038156</v>
      </c>
      <c r="H21" s="0" t="n">
        <f aca="false">H19*H20</f>
        <v>18542.0160379924</v>
      </c>
      <c r="I21" s="0" t="n">
        <f aca="false">I19*I20</f>
        <v>17597.7467027242</v>
      </c>
      <c r="J21" s="0" t="n">
        <f aca="false">J19*J20</f>
        <v>16803.1399488706</v>
      </c>
      <c r="K21" s="0" t="n">
        <f aca="false">K19*K20</f>
        <v>15869.6321739333</v>
      </c>
      <c r="L21" s="0" t="n">
        <f aca="false">L19*L20</f>
        <v>14987.9859420482</v>
      </c>
    </row>
    <row r="23" customFormat="false" ht="15" hidden="false" customHeight="false" outlineLevel="0" collapsed="false">
      <c r="A23" s="0" t="s">
        <v>96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Assumptions!$B$34</f>
        <v>8</v>
      </c>
    </row>
    <row r="28" customFormat="false" ht="15" hidden="false" customHeight="false" outlineLevel="0" collapsed="false">
      <c r="A28" s="0" t="s">
        <v>101</v>
      </c>
      <c r="B28" s="4" t="n">
        <f aca="false">Assumptions!$B$35</f>
        <v>1.5</v>
      </c>
    </row>
    <row r="29" customFormat="false" ht="15" hidden="false" customHeight="false" outlineLevel="0" collapsed="false">
      <c r="A29" s="0" t="s">
        <v>102</v>
      </c>
      <c r="B29" s="4" t="n">
        <f aca="false">Assumptions!$B$36</f>
        <v>15</v>
      </c>
    </row>
    <row r="30" customFormat="false" ht="15" hidden="false" customHeight="false" outlineLevel="0" collapsed="false">
      <c r="A30" s="0" t="s">
        <v>123</v>
      </c>
      <c r="B30" s="0" t="n">
        <f aca="false">SUM(C21:L21)</f>
        <v>162173.065423673</v>
      </c>
    </row>
    <row r="31" customFormat="false" ht="15" hidden="false" customHeight="false" outlineLevel="0" collapsed="false">
      <c r="A31" s="0" t="s">
        <v>124</v>
      </c>
      <c r="B31" s="0" t="n">
        <f aca="false">L19</f>
        <v>32357.9375090609</v>
      </c>
    </row>
    <row r="32" customFormat="false" ht="15" hidden="false" customHeight="false" outlineLevel="0" collapsed="false">
      <c r="A32" s="0" t="s">
        <v>125</v>
      </c>
      <c r="B32" s="0" t="n">
        <f aca="false">IF(B27&gt;B28,B31*(1+B28/100)/((B27-B28)/100),B31*B29)</f>
        <v>505281.639564567</v>
      </c>
    </row>
    <row r="33" customFormat="false" ht="15" hidden="false" customHeight="false" outlineLevel="0" collapsed="false">
      <c r="A33" s="0" t="s">
        <v>126</v>
      </c>
      <c r="B33" s="0" t="n">
        <f aca="false">B31*B29</f>
        <v>485369.062635914</v>
      </c>
    </row>
    <row r="34" customFormat="false" ht="15" hidden="false" customHeight="false" outlineLevel="0" collapsed="false">
      <c r="A34" s="0" t="s">
        <v>127</v>
      </c>
      <c r="B34" s="0" t="n">
        <f aca="false">MAX(0,MIN(B32,B33))</f>
        <v>485369.062635914</v>
      </c>
    </row>
    <row r="35" customFormat="false" ht="15" hidden="false" customHeight="false" outlineLevel="0" collapsed="false">
      <c r="A35" s="0" t="s">
        <v>128</v>
      </c>
      <c r="B35" s="0" t="n">
        <f aca="false">B34/(1+B27/100)^L4</f>
        <v>224819.789130722</v>
      </c>
    </row>
    <row r="36" customFormat="false" ht="15" hidden="false" customHeight="false" outlineLevel="0" collapsed="false">
      <c r="A36" s="0" t="s">
        <v>129</v>
      </c>
      <c r="B36" s="0" t="n">
        <f aca="false">B30+B35</f>
        <v>386992.854554396</v>
      </c>
    </row>
    <row r="37" customFormat="false" ht="15" hidden="false" customHeight="false" outlineLevel="0" collapsed="false">
      <c r="A37" s="0" t="s">
        <v>130</v>
      </c>
      <c r="B37" s="0" t="n">
        <f aca="false">B36+Assumptions!$B$5-Assumptions!$B$4</f>
        <v>263050.854554396</v>
      </c>
    </row>
    <row r="38" customFormat="false" ht="15" hidden="false" customHeight="false" outlineLevel="0" collapsed="false">
      <c r="A38" s="0" t="s">
        <v>131</v>
      </c>
      <c r="B38" s="0" t="n">
        <f aca="false">B37/Assumptions!$B$3*Assumptions!$B$10</f>
        <v>1285.18103651747</v>
      </c>
    </row>
    <row r="39" customFormat="false" ht="15" hidden="false" customHeight="false" outlineLevel="0" collapsed="false">
      <c r="A39" s="0" t="s">
        <v>132</v>
      </c>
      <c r="B39" s="4" t="n">
        <f aca="false">B38/Assumptions!$B$2-1</f>
        <v>-0.332720126418759</v>
      </c>
    </row>
    <row r="41" customFormat="false" ht="15" hidden="false" customHeight="false" outlineLevel="0" collapsed="false">
      <c r="A41" s="0" t="s">
        <v>133</v>
      </c>
      <c r="B41" s="0" t="n">
        <f aca="false">SUMPRODUCT(-C10:L10/(1+$B$27/100)^C4:L4)</f>
        <v>877.290648024978</v>
      </c>
    </row>
    <row r="42" customFormat="false" ht="15" hidden="false" customHeight="false" outlineLevel="0" collapsed="false">
      <c r="A42" s="0" t="s">
        <v>134</v>
      </c>
      <c r="B42" s="0" t="n">
        <f aca="false">IF(B27&gt;B28,-L10*(1+B28/100)/((B27-B28)/100),-L10*20)/(1+B27/100)^L4</f>
        <v>1066.22635130458</v>
      </c>
    </row>
    <row r="43" customFormat="false" ht="15" hidden="false" customHeight="false" outlineLevel="0" collapsed="false">
      <c r="A43" s="0" t="s">
        <v>135</v>
      </c>
      <c r="B43" s="0" t="n">
        <f aca="false">(B37+B41+B42)/Assumptions!$B$3*Assumptions!$B$10</f>
        <v>1294.67642932248</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243283.752382939</v>
      </c>
    </row>
    <row r="47" customFormat="false" ht="15" hidden="false" customHeight="false" outlineLevel="0" collapsed="false">
      <c r="A47" s="0" t="s">
        <v>137</v>
      </c>
      <c r="B47" s="0" t="n">
        <f aca="false">(SUMPRODUCT(C19:L19/(1+B45/100)^C4:L4)+B46/(1+B45/100)^L4+Assumptions!$B$5-Assumptions!$B$4)/Assumptions!$B$3*Assumptions!$B$10</f>
        <v>250.885804762645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Assumptions!C41</f>
        <v>21</v>
      </c>
      <c r="D5" s="4" t="n">
        <f aca="false">Assumptions!D41</f>
        <v>7</v>
      </c>
      <c r="E5" s="4" t="n">
        <f aca="false">Assumptions!E41</f>
        <v>6.5</v>
      </c>
      <c r="F5" s="4" t="n">
        <f aca="false">Assumptions!F41</f>
        <v>6</v>
      </c>
      <c r="G5" s="4" t="n">
        <f aca="false">Assumptions!G41</f>
        <v>5.5</v>
      </c>
      <c r="H5" s="4" t="n">
        <f aca="false">Assumptions!H41</f>
        <v>4</v>
      </c>
      <c r="I5" s="4" t="n">
        <f aca="false">Assumptions!I41</f>
        <v>3.5</v>
      </c>
      <c r="J5" s="4" t="n">
        <f aca="false">Assumptions!J41</f>
        <v>3</v>
      </c>
      <c r="K5" s="4" t="n">
        <f aca="false">Assumptions!K41</f>
        <v>2.5</v>
      </c>
      <c r="L5" s="4" t="n">
        <f aca="false">Assumptions!L41</f>
        <v>2.5</v>
      </c>
    </row>
    <row r="6" customFormat="false" ht="15" hidden="false" customHeight="false" outlineLevel="0" collapsed="false">
      <c r="A6" s="0" t="s">
        <v>37</v>
      </c>
      <c r="B6" s="3" t="n">
        <v>322960</v>
      </c>
      <c r="C6" s="0" t="n">
        <f aca="false">B6*(1+C5/100)</f>
        <v>390781.6</v>
      </c>
      <c r="D6" s="0" t="n">
        <f aca="false">C6*(1+D5/100)</f>
        <v>418136.312</v>
      </c>
      <c r="E6" s="0" t="n">
        <f aca="false">D6*(1+E5/100)</f>
        <v>445315.17228</v>
      </c>
      <c r="F6" s="0" t="n">
        <f aca="false">E6*(1+F5/100)</f>
        <v>472034.0826168</v>
      </c>
      <c r="G6" s="0" t="n">
        <f aca="false">F6*(1+G5/100)</f>
        <v>497995.957160724</v>
      </c>
      <c r="H6" s="0" t="n">
        <f aca="false">G6*(1+H5/100)</f>
        <v>517915.795447153</v>
      </c>
      <c r="I6" s="0" t="n">
        <f aca="false">H6*(1+I5/100)</f>
        <v>536042.848287803</v>
      </c>
      <c r="J6" s="0" t="n">
        <f aca="false">I6*(1+J5/100)</f>
        <v>552124.133736437</v>
      </c>
      <c r="K6" s="0" t="n">
        <f aca="false">J6*(1+K5/100)</f>
        <v>565927.237079848</v>
      </c>
      <c r="L6" s="0" t="n">
        <f aca="false">K6*(1+L5/100)</f>
        <v>580075.418006844</v>
      </c>
    </row>
    <row r="7" customFormat="false" ht="15" hidden="false" customHeight="false" outlineLevel="0" collapsed="false">
      <c r="A7" s="0" t="s">
        <v>94</v>
      </c>
      <c r="C7" s="4" t="n">
        <f aca="false">Assumptions!C42</f>
        <v>19</v>
      </c>
      <c r="D7" s="4" t="n">
        <f aca="false">Assumptions!D42</f>
        <v>19.5</v>
      </c>
      <c r="E7" s="4" t="n">
        <f aca="false">Assumptions!E42</f>
        <v>20</v>
      </c>
      <c r="F7" s="4" t="n">
        <f aca="false">Assumptions!F42</f>
        <v>20.5</v>
      </c>
      <c r="G7" s="4" t="n">
        <f aca="false">Assumptions!G42</f>
        <v>21</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43</v>
      </c>
      <c r="C8" s="0" t="n">
        <f aca="false">C6*C7/100</f>
        <v>74248.504</v>
      </c>
      <c r="D8" s="0" t="n">
        <f aca="false">D6*D7/100</f>
        <v>81536.58084</v>
      </c>
      <c r="E8" s="0" t="n">
        <f aca="false">E6*E7/100</f>
        <v>89063.034456</v>
      </c>
      <c r="F8" s="0" t="n">
        <f aca="false">F6*F7/100</f>
        <v>96766.986936444</v>
      </c>
      <c r="G8" s="0" t="n">
        <f aca="false">G6*G7/100</f>
        <v>104579.151003752</v>
      </c>
      <c r="H8" s="0" t="n">
        <f aca="false">H6*H7/100</f>
        <v>108762.317043902</v>
      </c>
      <c r="I8" s="0" t="n">
        <f aca="false">I6*I7/100</f>
        <v>112568.998140439</v>
      </c>
      <c r="J8" s="0" t="n">
        <f aca="false">J6*J7/100</f>
        <v>115946.068084652</v>
      </c>
      <c r="K8" s="0" t="n">
        <f aca="false">K6*K7/100</f>
        <v>118844.719786768</v>
      </c>
      <c r="L8" s="0" t="n">
        <f aca="false">L6*L7/100</f>
        <v>121815.837781437</v>
      </c>
    </row>
    <row r="9" customFormat="false" ht="15" hidden="false" customHeight="false" outlineLevel="0" collapsed="false">
      <c r="A9" s="0" t="s">
        <v>95</v>
      </c>
      <c r="C9" s="4" t="n">
        <f aca="false">Assumptions!C43</f>
        <v>0.03</v>
      </c>
      <c r="D9" s="4" t="n">
        <f aca="false">Assumptions!D43</f>
        <v>0.03</v>
      </c>
      <c r="E9" s="4" t="n">
        <f aca="false">Assumptions!E43</f>
        <v>0.03</v>
      </c>
      <c r="F9" s="4" t="n">
        <f aca="false">Assumptions!F43</f>
        <v>0.03</v>
      </c>
      <c r="G9" s="4" t="n">
        <f aca="false">Assumptions!G43</f>
        <v>0.03</v>
      </c>
      <c r="H9" s="4" t="n">
        <f aca="false">Assumptions!H43</f>
        <v>0.03</v>
      </c>
      <c r="I9" s="4" t="n">
        <f aca="false">Assumptions!I43</f>
        <v>0.03</v>
      </c>
      <c r="J9" s="4" t="n">
        <f aca="false">Assumptions!J43</f>
        <v>0.03</v>
      </c>
      <c r="K9" s="4" t="n">
        <f aca="false">Assumptions!K43</f>
        <v>0.03</v>
      </c>
      <c r="L9" s="4" t="n">
        <f aca="false">Assumptions!L43</f>
        <v>0.03</v>
      </c>
    </row>
    <row r="10" customFormat="false" ht="15" hidden="false" customHeight="false" outlineLevel="0" collapsed="false">
      <c r="A10" s="0" t="s">
        <v>110</v>
      </c>
      <c r="C10" s="0" t="n">
        <f aca="false">-C6*C9/100</f>
        <v>-117.23448</v>
      </c>
      <c r="D10" s="0" t="n">
        <f aca="false">-D6*D9/100</f>
        <v>-125.4408936</v>
      </c>
      <c r="E10" s="0" t="n">
        <f aca="false">-E6*E9/100</f>
        <v>-133.594551684</v>
      </c>
      <c r="F10" s="0" t="n">
        <f aca="false">-F6*F9/100</f>
        <v>-141.61022478504</v>
      </c>
      <c r="G10" s="0" t="n">
        <f aca="false">-G6*G9/100</f>
        <v>-149.398787148217</v>
      </c>
      <c r="H10" s="0" t="n">
        <f aca="false">-H6*H9/100</f>
        <v>-155.374738634146</v>
      </c>
      <c r="I10" s="0" t="n">
        <f aca="false">-I6*I9/100</f>
        <v>-160.812854486341</v>
      </c>
      <c r="J10" s="0" t="n">
        <f aca="false">-J6*J9/100</f>
        <v>-165.637240120931</v>
      </c>
      <c r="K10" s="0" t="n">
        <f aca="false">-K6*K9/100</f>
        <v>-169.778171123954</v>
      </c>
      <c r="L10" s="0" t="n">
        <f aca="false">-L6*L9/100</f>
        <v>-174.022625402053</v>
      </c>
    </row>
    <row r="11" customFormat="false" ht="15" hidden="false" customHeight="false" outlineLevel="0" collapsed="false">
      <c r="A11" s="0" t="s">
        <v>111</v>
      </c>
      <c r="C11" s="0" t="n">
        <f aca="false">C8+C10+C24</f>
        <v>74131.26952</v>
      </c>
      <c r="D11" s="0" t="n">
        <f aca="false">D8+D10+D24</f>
        <v>81411.1399464</v>
      </c>
      <c r="E11" s="0" t="n">
        <f aca="false">E8+E10+E24</f>
        <v>88929.439904316</v>
      </c>
      <c r="F11" s="0" t="n">
        <f aca="false">F8+F10+F24</f>
        <v>96625.376711659</v>
      </c>
      <c r="G11" s="0" t="n">
        <f aca="false">G8+G10+G24</f>
        <v>104429.752216604</v>
      </c>
      <c r="H11" s="0" t="n">
        <f aca="false">H8+H10+H24</f>
        <v>108606.942305268</v>
      </c>
      <c r="I11" s="0" t="n">
        <f aca="false">I8+I10+I24</f>
        <v>112408.185285952</v>
      </c>
      <c r="J11" s="0" t="n">
        <f aca="false">J8+J10+J24</f>
        <v>115780.430844531</v>
      </c>
      <c r="K11" s="0" t="n">
        <f aca="false">K8+K10+K24</f>
        <v>118674.941615644</v>
      </c>
      <c r="L11" s="0" t="n">
        <f aca="false">L8+L10+L24</f>
        <v>121641.815156035</v>
      </c>
    </row>
    <row r="12" customFormat="false" ht="15" hidden="false" customHeight="false" outlineLevel="0" collapsed="false">
      <c r="A12" s="0" t="s">
        <v>112</v>
      </c>
      <c r="C12" s="4" t="n">
        <f aca="false">-C6*Assumptions!C45/100</f>
        <v>-37905.8152</v>
      </c>
      <c r="D12" s="4" t="n">
        <f aca="false">-D6*Assumptions!D45/100</f>
        <v>-40559.222264</v>
      </c>
      <c r="E12" s="4" t="n">
        <f aca="false">-E6*Assumptions!E45/100</f>
        <v>-42750.25653888</v>
      </c>
      <c r="F12" s="4" t="n">
        <f aca="false">-F6*Assumptions!F45/100</f>
        <v>-44843.237848596</v>
      </c>
      <c r="G12" s="4" t="n">
        <f aca="false">-G6*Assumptions!G45/100</f>
        <v>-47309.6159302688</v>
      </c>
      <c r="H12" s="4" t="n">
        <f aca="false">-H6*Assumptions!H45/100</f>
        <v>-49202.0005674795</v>
      </c>
      <c r="I12" s="4" t="n">
        <f aca="false">-I6*Assumptions!I45/100</f>
        <v>-50924.0705873413</v>
      </c>
      <c r="J12" s="4" t="n">
        <f aca="false">-J6*Assumptions!J45/100</f>
        <v>-52451.7927049615</v>
      </c>
      <c r="K12" s="4" t="n">
        <f aca="false">-K6*Assumptions!K45/100</f>
        <v>-53763.0875225856</v>
      </c>
      <c r="L12" s="4" t="n">
        <f aca="false">-L6*Assumptions!L45/100</f>
        <v>-55107.1647106502</v>
      </c>
    </row>
    <row r="13" customFormat="false" ht="15" hidden="false" customHeight="false" outlineLevel="0" collapsed="false">
      <c r="A13" s="0" t="s">
        <v>113</v>
      </c>
      <c r="C13" s="0" t="n">
        <f aca="false">C11+C12</f>
        <v>36225.45432</v>
      </c>
      <c r="D13" s="0" t="n">
        <f aca="false">D11+D12</f>
        <v>40851.9176824</v>
      </c>
      <c r="E13" s="0" t="n">
        <f aca="false">E11+E12</f>
        <v>46179.183365436</v>
      </c>
      <c r="F13" s="0" t="n">
        <f aca="false">F11+F12</f>
        <v>51782.138863063</v>
      </c>
      <c r="G13" s="0" t="n">
        <f aca="false">G11+G12</f>
        <v>57120.136286335</v>
      </c>
      <c r="H13" s="0" t="n">
        <f aca="false">H11+H12</f>
        <v>59404.9417377884</v>
      </c>
      <c r="I13" s="0" t="n">
        <f aca="false">I11+I12</f>
        <v>61484.114698611</v>
      </c>
      <c r="J13" s="0" t="n">
        <f aca="false">J11+J12</f>
        <v>63328.6381395693</v>
      </c>
      <c r="K13" s="0" t="n">
        <f aca="false">K11+K12</f>
        <v>64911.8540930586</v>
      </c>
      <c r="L13" s="0" t="n">
        <f aca="false">L11+L12</f>
        <v>66534.6504453851</v>
      </c>
    </row>
    <row r="14" customFormat="false" ht="15" hidden="false" customHeight="false" outlineLevel="0" collapsed="false">
      <c r="A14" s="0" t="s">
        <v>99</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114</v>
      </c>
      <c r="C15" s="0" t="n">
        <f aca="false">C13-MAX(0,C13)*C14/100</f>
        <v>24995.5634808</v>
      </c>
      <c r="D15" s="0" t="n">
        <f aca="false">D13-MAX(0,D13)*D14/100</f>
        <v>28187.823200856</v>
      </c>
      <c r="E15" s="0" t="n">
        <f aca="false">E13-MAX(0,E13)*E14/100</f>
        <v>31863.6365221508</v>
      </c>
      <c r="F15" s="0" t="n">
        <f aca="false">F13-MAX(0,F13)*F14/100</f>
        <v>35729.6758155134</v>
      </c>
      <c r="G15" s="0" t="n">
        <f aca="false">G13-MAX(0,G13)*G14/100</f>
        <v>39412.8940375712</v>
      </c>
      <c r="H15" s="0" t="n">
        <f aca="false">H13-MAX(0,H13)*H14/100</f>
        <v>40989.409799074</v>
      </c>
      <c r="I15" s="0" t="n">
        <f aca="false">I13-MAX(0,I13)*I14/100</f>
        <v>42424.0391420416</v>
      </c>
      <c r="J15" s="0" t="n">
        <f aca="false">J13-MAX(0,J13)*J14/100</f>
        <v>43696.7603163029</v>
      </c>
      <c r="K15" s="0" t="n">
        <f aca="false">K13-MAX(0,K13)*K14/100</f>
        <v>44789.1793242104</v>
      </c>
      <c r="L15" s="0" t="n">
        <f aca="false">L13-MAX(0,L13)*L14/100</f>
        <v>45908.9088073157</v>
      </c>
    </row>
    <row r="16" customFormat="false" ht="15" hidden="false" customHeight="false" outlineLevel="0" collapsed="false">
      <c r="A16" s="0" t="s">
        <v>115</v>
      </c>
      <c r="C16" s="0" t="n">
        <f aca="false">-C12</f>
        <v>37905.8152</v>
      </c>
      <c r="D16" s="0" t="n">
        <f aca="false">-D12</f>
        <v>40559.222264</v>
      </c>
      <c r="E16" s="0" t="n">
        <f aca="false">-E12</f>
        <v>42750.25653888</v>
      </c>
      <c r="F16" s="0" t="n">
        <f aca="false">-F12</f>
        <v>44843.237848596</v>
      </c>
      <c r="G16" s="0" t="n">
        <f aca="false">-G12</f>
        <v>47309.6159302688</v>
      </c>
      <c r="H16" s="0" t="n">
        <f aca="false">-H12</f>
        <v>49202.0005674795</v>
      </c>
      <c r="I16" s="0" t="n">
        <f aca="false">-I12</f>
        <v>50924.0705873413</v>
      </c>
      <c r="J16" s="0" t="n">
        <f aca="false">-J12</f>
        <v>52451.7927049615</v>
      </c>
      <c r="K16" s="0" t="n">
        <f aca="false">-K12</f>
        <v>53763.0875225856</v>
      </c>
      <c r="L16" s="0" t="n">
        <f aca="false">-L12</f>
        <v>55107.1647106502</v>
      </c>
    </row>
    <row r="17" customFormat="false" ht="15" hidden="false" customHeight="false" outlineLevel="0" collapsed="false">
      <c r="A17" s="0" t="s">
        <v>116</v>
      </c>
      <c r="C17" s="4" t="n">
        <f aca="false">-C6*Assumptions!C46/100</f>
        <v>-43767.5392</v>
      </c>
      <c r="D17" s="4" t="n">
        <f aca="false">-D6*Assumptions!D46/100</f>
        <v>-43904.31276</v>
      </c>
      <c r="E17" s="4" t="n">
        <f aca="false">-E6*Assumptions!E46/100</f>
        <v>-44531.517228</v>
      </c>
      <c r="F17" s="4" t="n">
        <f aca="false">-F6*Assumptions!F46/100</f>
        <v>-44843.237848596</v>
      </c>
      <c r="G17" s="4" t="n">
        <f aca="false">-G6*Assumptions!G46/100</f>
        <v>-44819.6361444652</v>
      </c>
      <c r="H17" s="4" t="n">
        <f aca="false">-H6*Assumptions!H46/100</f>
        <v>-46612.4215902438</v>
      </c>
      <c r="I17" s="4" t="n">
        <f aca="false">-I6*Assumptions!I46/100</f>
        <v>-48243.8563459023</v>
      </c>
      <c r="J17" s="4" t="n">
        <f aca="false">-J6*Assumptions!J46/100</f>
        <v>-49691.1720362794</v>
      </c>
      <c r="K17" s="4" t="n">
        <f aca="false">-K6*Assumptions!K46/100</f>
        <v>-50933.4513371863</v>
      </c>
      <c r="L17" s="4" t="n">
        <f aca="false">-L6*Assumptions!L46/100</f>
        <v>-52206.787620616</v>
      </c>
    </row>
    <row r="18" customFormat="false" ht="15" hidden="false" customHeight="false" outlineLevel="0" collapsed="false">
      <c r="A18" s="0" t="s">
        <v>117</v>
      </c>
      <c r="C18" s="4" t="n">
        <f aca="false">(C6-B6)*Assumptions!$B$51/100</f>
        <v>-8138.592</v>
      </c>
      <c r="D18" s="4" t="n">
        <f aca="false">(D6-C6)*Assumptions!$B$51/100</f>
        <v>-3282.56544</v>
      </c>
      <c r="E18" s="4" t="n">
        <f aca="false">(E6-D6)*Assumptions!$B$51/100</f>
        <v>-3261.4632336</v>
      </c>
      <c r="F18" s="4" t="n">
        <f aca="false">(F6-E6)*Assumptions!$B$51/100</f>
        <v>-3206.269240416</v>
      </c>
      <c r="G18" s="4" t="n">
        <f aca="false">(G6-F6)*Assumptions!$B$51/100</f>
        <v>-3115.42494527087</v>
      </c>
      <c r="H18" s="4" t="n">
        <f aca="false">(H6-G6)*Assumptions!$B$51/100</f>
        <v>-2390.38059437148</v>
      </c>
      <c r="I18" s="4" t="n">
        <f aca="false">(I6-H6)*Assumptions!$B$51/100</f>
        <v>-2175.24634087804</v>
      </c>
      <c r="J18" s="4" t="n">
        <f aca="false">(J6-I6)*Assumptions!$B$51/100</f>
        <v>-1929.75425383609</v>
      </c>
      <c r="K18" s="4" t="n">
        <f aca="false">(K6-J6)*Assumptions!$B$51/100</f>
        <v>-1656.37240120931</v>
      </c>
      <c r="L18" s="4" t="n">
        <f aca="false">(L6-K6)*Assumptions!$B$51/100</f>
        <v>-1697.78171123954</v>
      </c>
    </row>
    <row r="19" customFormat="false" ht="15" hidden="false" customHeight="false" outlineLevel="0" collapsed="false">
      <c r="A19" s="0" t="s">
        <v>118</v>
      </c>
      <c r="C19" s="0" t="n">
        <f aca="false">C15+C16+C17+C18</f>
        <v>10995.2474808</v>
      </c>
      <c r="D19" s="0" t="n">
        <f aca="false">D15+D16+D17+D18</f>
        <v>21560.167264856</v>
      </c>
      <c r="E19" s="0" t="n">
        <f aca="false">E15+E16+E17+E18</f>
        <v>26820.9125994308</v>
      </c>
      <c r="F19" s="0" t="n">
        <f aca="false">F15+F16+F17+F18</f>
        <v>32523.4065750974</v>
      </c>
      <c r="G19" s="0" t="n">
        <f aca="false">G15+G16+G17+G18</f>
        <v>38787.4488781039</v>
      </c>
      <c r="H19" s="0" t="n">
        <f aca="false">H15+H16+H17+H18</f>
        <v>41188.6081819383</v>
      </c>
      <c r="I19" s="0" t="n">
        <f aca="false">I15+I16+I17+I18</f>
        <v>42929.0070426026</v>
      </c>
      <c r="J19" s="0" t="n">
        <f aca="false">J15+J16+J17+J18</f>
        <v>44527.626731149</v>
      </c>
      <c r="K19" s="0" t="n">
        <f aca="false">K15+K16+K17+K18</f>
        <v>45962.4431084004</v>
      </c>
      <c r="L19" s="0" t="n">
        <f aca="false">L15+L16+L17+L18</f>
        <v>47111.5041861104</v>
      </c>
    </row>
    <row r="20" customFormat="false" ht="15" hidden="false" customHeight="false" outlineLevel="0" collapsed="false">
      <c r="A20" s="0" t="s">
        <v>119</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120</v>
      </c>
      <c r="C21" s="0" t="n">
        <f aca="false">C19*C20</f>
        <v>10180.7847044444</v>
      </c>
      <c r="D21" s="0" t="n">
        <f aca="false">D19*D20</f>
        <v>18484.3683683608</v>
      </c>
      <c r="E21" s="0" t="n">
        <f aca="false">E19*E20</f>
        <v>21291.3051550123</v>
      </c>
      <c r="F21" s="0" t="n">
        <f aca="false">F19*F20</f>
        <v>23905.6747473331</v>
      </c>
      <c r="G21" s="0" t="n">
        <f aca="false">G19*G20</f>
        <v>26398.0859622432</v>
      </c>
      <c r="H21" s="0" t="n">
        <f aca="false">H19*H20</f>
        <v>25955.8098498464</v>
      </c>
      <c r="I21" s="0" t="n">
        <f aca="false">I19*I20</f>
        <v>25048.6632874991</v>
      </c>
      <c r="J21" s="0" t="n">
        <f aca="false">J19*J20</f>
        <v>24056.8912235582</v>
      </c>
      <c r="K21" s="0" t="n">
        <f aca="false">K19*K20</f>
        <v>22992.6646918157</v>
      </c>
      <c r="L21" s="0" t="n">
        <f aca="false">L19*L20</f>
        <v>21821.7419528807</v>
      </c>
    </row>
    <row r="23" customFormat="false" ht="15" hidden="false" customHeight="false" outlineLevel="0" collapsed="false">
      <c r="A23" s="0" t="s">
        <v>96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Assumptions!$B$48</f>
        <v>8</v>
      </c>
    </row>
    <row r="28" customFormat="false" ht="15" hidden="false" customHeight="false" outlineLevel="0" collapsed="false">
      <c r="A28" s="0" t="s">
        <v>101</v>
      </c>
      <c r="B28" s="4" t="n">
        <f aca="false">Assumptions!$B$49</f>
        <v>2</v>
      </c>
    </row>
    <row r="29" customFormat="false" ht="15" hidden="false" customHeight="false" outlineLevel="0" collapsed="false">
      <c r="A29" s="0" t="s">
        <v>102</v>
      </c>
      <c r="B29" s="4" t="n">
        <f aca="false">Assumptions!$B$50</f>
        <v>15</v>
      </c>
    </row>
    <row r="30" customFormat="false" ht="15" hidden="false" customHeight="false" outlineLevel="0" collapsed="false">
      <c r="A30" s="0" t="s">
        <v>123</v>
      </c>
      <c r="B30" s="0" t="n">
        <f aca="false">SUM(C21:L21)</f>
        <v>220135.989942994</v>
      </c>
    </row>
    <row r="31" customFormat="false" ht="15" hidden="false" customHeight="false" outlineLevel="0" collapsed="false">
      <c r="A31" s="0" t="s">
        <v>124</v>
      </c>
      <c r="B31" s="0" t="n">
        <f aca="false">L19</f>
        <v>47111.5041861104</v>
      </c>
    </row>
    <row r="32" customFormat="false" ht="15" hidden="false" customHeight="false" outlineLevel="0" collapsed="false">
      <c r="A32" s="0" t="s">
        <v>125</v>
      </c>
      <c r="B32" s="0" t="n">
        <f aca="false">IF(B27&gt;B28,B31*(1+B28/100)/((B27-B28)/100),B31*B29)</f>
        <v>800895.571163876</v>
      </c>
    </row>
    <row r="33" customFormat="false" ht="15" hidden="false" customHeight="false" outlineLevel="0" collapsed="false">
      <c r="A33" s="0" t="s">
        <v>126</v>
      </c>
      <c r="B33" s="0" t="n">
        <f aca="false">B31*B29</f>
        <v>706672.562791656</v>
      </c>
    </row>
    <row r="34" customFormat="false" ht="15" hidden="false" customHeight="false" outlineLevel="0" collapsed="false">
      <c r="A34" s="0" t="s">
        <v>127</v>
      </c>
      <c r="B34" s="0" t="n">
        <f aca="false">MAX(0,MIN(B32,B33))</f>
        <v>706672.562791656</v>
      </c>
    </row>
    <row r="35" customFormat="false" ht="15" hidden="false" customHeight="false" outlineLevel="0" collapsed="false">
      <c r="A35" s="0" t="s">
        <v>128</v>
      </c>
      <c r="B35" s="0" t="n">
        <f aca="false">B34/(1+B27/100)^L4</f>
        <v>327326.12929321</v>
      </c>
    </row>
    <row r="36" customFormat="false" ht="15" hidden="false" customHeight="false" outlineLevel="0" collapsed="false">
      <c r="A36" s="0" t="s">
        <v>129</v>
      </c>
      <c r="B36" s="0" t="n">
        <f aca="false">B30+B35</f>
        <v>547462.119236204</v>
      </c>
    </row>
    <row r="37" customFormat="false" ht="15" hidden="false" customHeight="false" outlineLevel="0" collapsed="false">
      <c r="A37" s="0" t="s">
        <v>130</v>
      </c>
      <c r="B37" s="0" t="n">
        <f aca="false">B36+Assumptions!$B$5-Assumptions!$B$4</f>
        <v>423520.119236204</v>
      </c>
    </row>
    <row r="38" customFormat="false" ht="15" hidden="false" customHeight="false" outlineLevel="0" collapsed="false">
      <c r="A38" s="0" t="s">
        <v>131</v>
      </c>
      <c r="B38" s="0" t="n">
        <f aca="false">B37/Assumptions!$B$3*Assumptions!$B$10</f>
        <v>2069.18174338579</v>
      </c>
    </row>
    <row r="39" customFormat="false" ht="15" hidden="false" customHeight="false" outlineLevel="0" collapsed="false">
      <c r="A39" s="0" t="s">
        <v>132</v>
      </c>
      <c r="B39" s="4" t="n">
        <f aca="false">B38/Assumptions!$B$2-1</f>
        <v>0.0743415074692584</v>
      </c>
    </row>
    <row r="41" customFormat="false" ht="15" hidden="false" customHeight="false" outlineLevel="0" collapsed="false">
      <c r="A41" s="0" t="s">
        <v>133</v>
      </c>
      <c r="B41" s="0" t="n">
        <f aca="false">SUMPRODUCT(-C10:L10/(1+$B$27/100)^C4:L4)</f>
        <v>974.68484706457</v>
      </c>
    </row>
    <row r="42" customFormat="false" ht="15" hidden="false" customHeight="false" outlineLevel="0" collapsed="false">
      <c r="A42" s="0" t="s">
        <v>134</v>
      </c>
      <c r="B42" s="0" t="n">
        <f aca="false">IF(B27&gt;B28,-L10*(1+B28/100)/((B27-B28)/100),-L10*20)/(1+B27/100)^L4</f>
        <v>1370.30449671573</v>
      </c>
    </row>
    <row r="43" customFormat="false" ht="15" hidden="false" customHeight="false" outlineLevel="0" collapsed="false">
      <c r="A43" s="0" t="s">
        <v>135</v>
      </c>
      <c r="B43" s="0" t="n">
        <f aca="false">(B37+B41+B42)/Assumptions!$B$3*Assumptions!$B$10</f>
        <v>2080.6385996677</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369644.109767943</v>
      </c>
    </row>
    <row r="47" customFormat="false" ht="15" hidden="false" customHeight="false" outlineLevel="0" collapsed="false">
      <c r="A47" s="0" t="s">
        <v>137</v>
      </c>
      <c r="B47" s="0" t="n">
        <f aca="false">(SUMPRODUCT(C19:L19/(1+B45/100)^C4:L4)+B46/(1+B45/100)^L4+Assumptions!$B$5-Assumptions!$B$4)/Assumptions!$B$3*Assumptions!$B$10</f>
        <v>596.146078933196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140</v>
      </c>
    </row>
    <row r="3" customFormat="false" ht="15" hidden="false" customHeight="false" outlineLevel="0" collapsed="false">
      <c r="A3" s="2" t="s">
        <v>141</v>
      </c>
      <c r="B3" s="2" t="s">
        <v>142</v>
      </c>
      <c r="C3" s="2" t="s">
        <v>132</v>
      </c>
      <c r="D3" s="2" t="s">
        <v>143</v>
      </c>
      <c r="E3" s="2" t="s">
        <v>135</v>
      </c>
      <c r="F3" s="2" t="s">
        <v>144</v>
      </c>
    </row>
    <row r="4" customFormat="false" ht="15" hidden="false" customHeight="false" outlineLevel="0" collapsed="false">
      <c r="A4" s="0" t="s">
        <v>145</v>
      </c>
      <c r="B4" s="4" t="n">
        <f aca="false">DCF_Bear!$B$38</f>
        <v>218.507389178037</v>
      </c>
      <c r="C4" s="0" t="n">
        <f aca="false">B4/Assumptions!$B$2-1</f>
        <v>-0.886548603749721</v>
      </c>
      <c r="D4" s="4" t="n">
        <f aca="false">Assumptions!$B$24</f>
        <v>0.25</v>
      </c>
      <c r="E4" s="4" t="n">
        <f aca="false">DCF_Bear!$B$43</f>
        <v>225.466257537512</v>
      </c>
      <c r="F4" s="4" t="n">
        <f aca="false">DCF_Bear!$B$47</f>
        <v>-183.969342048532</v>
      </c>
    </row>
    <row r="5" customFormat="false" ht="15" hidden="false" customHeight="false" outlineLevel="0" collapsed="false">
      <c r="A5" s="0" t="s">
        <v>146</v>
      </c>
      <c r="B5" s="4" t="n">
        <f aca="false">DCF_Base!$B$38</f>
        <v>1285.18103651747</v>
      </c>
      <c r="C5" s="0" t="n">
        <f aca="false">B5/Assumptions!$B$2-1</f>
        <v>-0.332720126418759</v>
      </c>
      <c r="D5" s="4" t="n">
        <f aca="false">Assumptions!$B$38</f>
        <v>0.5</v>
      </c>
      <c r="E5" s="4" t="n">
        <f aca="false">DCF_Base!$B$43</f>
        <v>1294.67642932248</v>
      </c>
      <c r="F5" s="4" t="n">
        <f aca="false">DCF_Base!$B$47</f>
        <v>250.885804762645</v>
      </c>
    </row>
    <row r="6" customFormat="false" ht="15" hidden="false" customHeight="false" outlineLevel="0" collapsed="false">
      <c r="A6" s="0" t="s">
        <v>147</v>
      </c>
      <c r="B6" s="4" t="n">
        <f aca="false">DCF_Bull!$B$38</f>
        <v>2069.18174338579</v>
      </c>
      <c r="C6" s="0" t="n">
        <f aca="false">B6/Assumptions!$B$2-1</f>
        <v>0.0743415074692584</v>
      </c>
      <c r="D6" s="4" t="n">
        <f aca="false">Assumptions!$B$52</f>
        <v>0.25</v>
      </c>
      <c r="E6" s="4" t="n">
        <f aca="false">DCF_Bull!$B$43</f>
        <v>2080.6385996677</v>
      </c>
      <c r="F6" s="4" t="n">
        <f aca="false">DCF_Bull!$B$47</f>
        <v>596.146078933196</v>
      </c>
    </row>
    <row r="8" customFormat="false" ht="15" hidden="false" customHeight="false" outlineLevel="0" collapsed="false">
      <c r="A8" s="0" t="s">
        <v>148</v>
      </c>
      <c r="B8" s="0" t="n">
        <f aca="false">SUMPRODUCT(B4:B6,D4:D6)</f>
        <v>1214.51280139969</v>
      </c>
    </row>
    <row r="9" customFormat="false" ht="15" hidden="false" customHeight="false" outlineLevel="0" collapsed="false">
      <c r="A9" s="0" t="s">
        <v>149</v>
      </c>
      <c r="B9" s="0" t="n">
        <f aca="false">SUMPRODUCT(E4:E6,D4:D6)</f>
        <v>1223.86442896254</v>
      </c>
    </row>
    <row r="10" customFormat="false" ht="15" hidden="false" customHeight="false" outlineLevel="0" collapsed="false">
      <c r="A10" s="0" t="s">
        <v>150</v>
      </c>
      <c r="B10" s="0" t="n">
        <f aca="false">1-Assumptions!$B$2/B8</f>
        <v>-0.585821078032557</v>
      </c>
    </row>
    <row r="11" customFormat="false" ht="15" hidden="false" customHeight="false" outlineLevel="0" collapsed="false">
      <c r="A11" s="0" t="s">
        <v>151</v>
      </c>
      <c r="B11" s="0" t="str">
        <f aca="false">IF(ABS(B9-B8)&gt;0.01*ABS(B8),(Assumptions!$B$2-B8)/(B9-B8)*100,"n/a")</f>
        <v>n/a</v>
      </c>
    </row>
    <row r="12" customFormat="false" ht="15" hidden="false" customHeight="false" outlineLevel="0" collapsed="false">
      <c r="A12" s="0" t="s">
        <v>152</v>
      </c>
      <c r="B12" s="0" t="n">
        <f aca="false">SUMPRODUCT(F4:F6,D4:D6)</f>
        <v>228.487086602489</v>
      </c>
    </row>
    <row r="14" customFormat="false" ht="15" hidden="false" customHeight="false" outlineLevel="0" collapsed="false">
      <c r="A14" s="2" t="s">
        <v>153</v>
      </c>
      <c r="C14" s="0" t="s">
        <v>154</v>
      </c>
    </row>
    <row r="15" customFormat="false" ht="15" hidden="false" customHeight="false" outlineLevel="0" collapsed="false">
      <c r="A15" s="0" t="s">
        <v>155</v>
      </c>
      <c r="B15" s="0" t="n">
        <f aca="false">(SUMPRODUCT(DCF_Base!$C$19:$L$19/(1+$C$15/100)^DCF_Base!$C$4:$L$4)+MAX(0,MIN(IF($C$15&gt;DCF_Base!$B$28,DCF_Base!$L$19*(1+DCF_Base!$B$28/100)/(($C$15-DCF_Base!$B$28)/100),DCF_Base!$L$19*DCF_Base!$B$29),DCF_Base!$L$19*DCF_Base!$B$29))/(1+$C$15/100)^DCF_Base!$L$4+Assumptions!$B$5-Assumptions!$B$4)/Assumptions!$B$3*Assumptions!$B$10</f>
        <v>1285.18103651747</v>
      </c>
      <c r="C15" s="3" t="n">
        <v>8</v>
      </c>
    </row>
    <row r="16" customFormat="false" ht="15" hidden="false" customHeight="false" outlineLevel="0" collapsed="false">
      <c r="A16" s="0" t="s">
        <v>156</v>
      </c>
      <c r="B16" s="0" t="n">
        <f aca="false">(SUMPRODUCT(DCF_Base!$C$19:$L$19/(1+$C$16/100)^DCF_Base!$C$4:$L$4)+MAX(0,MIN(IF($C$16&gt;DCF_Base!$B$28,DCF_Base!$L$19*(1+DCF_Base!$B$28/100)/(($C$16-DCF_Base!$B$28)/100),DCF_Base!$L$19*DCF_Base!$B$29),DCF_Base!$L$19*DCF_Base!$B$29))/(1+$C$16/100)^DCF_Base!$L$4+Assumptions!$B$5-Assumptions!$B$4)/Assumptions!$B$3*Assumptions!$B$10</f>
        <v>1050.38023513539</v>
      </c>
      <c r="C16" s="3" t="n">
        <v>9</v>
      </c>
    </row>
    <row r="17" customFormat="false" ht="15" hidden="false" customHeight="false" outlineLevel="0" collapsed="false">
      <c r="A17" s="0" t="s">
        <v>157</v>
      </c>
      <c r="B17" s="0" t="n">
        <f aca="false">(SUMPRODUCT(DCF_Base!$C$19:$L$19/(1+$C$17/100)^DCF_Base!$C$4:$L$4)+MAX(0,MIN(IF($C$17&gt;DCF_Base!$B$28,DCF_Base!$L$19*(1+DCF_Base!$B$28/100)/(($C$17-DCF_Base!$B$28)/100),DCF_Base!$L$19*DCF_Base!$B$29),DCF_Base!$L$19*DCF_Base!$B$29))/(1+$C$17/100)^DCF_Base!$L$4+Assumptions!$B$5-Assumptions!$B$4)/Assumptions!$B$3*Assumptions!$B$10</f>
        <v>837.111662848693</v>
      </c>
      <c r="C17" s="3" t="n">
        <v>10</v>
      </c>
    </row>
    <row r="18" customFormat="false" ht="15" hidden="false" customHeight="false" outlineLevel="0" collapsed="false">
      <c r="A18" s="0" t="s">
        <v>158</v>
      </c>
      <c r="B18" s="0" t="n">
        <f aca="false">(SUMPRODUCT(DCF_Base!$C$19:$L$19/(1+$C$18/100)^DCF_Base!$C$4:$L$4)+MAX(0,MIN(IF($C$18&gt;DCF_Base!$B$28,DCF_Base!$L$19*(1+DCF_Base!$B$28/100)/(($C$18-DCF_Base!$B$28)/100),DCF_Base!$L$19*DCF_Base!$B$29),DCF_Base!$L$19*DCF_Base!$B$29))/(1+$C$18/100)^DCF_Base!$L$4+Assumptions!$B$5-Assumptions!$B$4)/Assumptions!$B$3*Assumptions!$B$10</f>
        <v>669.371144587347</v>
      </c>
      <c r="C18" s="3" t="n">
        <v>11</v>
      </c>
    </row>
    <row r="19" customFormat="false" ht="15" hidden="false" customHeight="false" outlineLevel="0" collapsed="false">
      <c r="A19" s="0" t="s">
        <v>159</v>
      </c>
      <c r="B19" s="0" t="n">
        <f aca="false">(SUMPRODUCT(DCF_Base!$C$19:$L$19/(1+$C$19/100)^DCF_Base!$C$4:$L$4)+MAX(0,MIN(IF($C$19&gt;DCF_Base!$B$28,DCF_Base!$L$19*(1+DCF_Base!$B$28/100)/(($C$19-DCF_Base!$B$28)/100),DCF_Base!$L$19*DCF_Base!$B$29),DCF_Base!$L$19*DCF_Base!$B$29))/(1+$C$19/100)^DCF_Base!$L$4+Assumptions!$B$5-Assumptions!$B$4)/Assumptions!$B$3*Assumptions!$B$10</f>
        <v>534.119758043929</v>
      </c>
      <c r="C19" s="3" t="n">
        <v>12</v>
      </c>
    </row>
    <row r="20" customFormat="false" ht="15" hidden="false" customHeight="false" outlineLevel="0" collapsed="false">
      <c r="A20" s="0" t="s">
        <v>160</v>
      </c>
      <c r="B20" s="0" t="n">
        <f aca="false">(SUMPRODUCT(DCF_Base!$C$19:$L$19/(1+$C$20/100)^DCF_Base!$C$4:$L$4)+MAX(0,MIN(IF($C$20&gt;DCF_Base!$B$28,DCF_Base!$L$19*(1+DCF_Base!$B$28/100)/(($C$20-DCF_Base!$B$28)/100),DCF_Base!$L$19*DCF_Base!$B$29),DCF_Base!$L$19*DCF_Base!$B$29))/(1+$C$20/100)^DCF_Base!$L$4+Assumptions!$B$5-Assumptions!$B$4)/Assumptions!$B$3*Assumptions!$B$10</f>
        <v>250.885804762645</v>
      </c>
      <c r="C20" s="3" t="n">
        <v>15</v>
      </c>
    </row>
    <row r="22" customFormat="false" ht="15" hidden="false" customHeight="false" outlineLevel="0" collapsed="false">
      <c r="A22" s="2" t="s">
        <v>161</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1600.69880932724</v>
      </c>
      <c r="C24" s="0" t="n">
        <f aca="false">(SUMPRODUCT(DCF_Base!$C$19:$L$19/(1+$A$24/100)^DCF_Base!$C$4:$L$4)+MAX(0,MIN(IF($A$24&gt;$C$23,DCF_Base!$L$19*(1+$C$23/100)/(($A$24-$C$23)/100),DCF_Base!$L$19*DCF_Base!$B$29),DCF_Base!$L$19*DCF_Base!$B$29))/(1+$A$24/100)^DCF_Base!$L$4+Assumptions!$B$5-Assumptions!$B$4)/Assumptions!$B$3*Assumptions!$B$10</f>
        <v>1600.69880932724</v>
      </c>
      <c r="D24" s="0" t="n">
        <f aca="false">(SUMPRODUCT(DCF_Base!$C$19:$L$19/(1+$A$24/100)^DCF_Base!$C$4:$L$4)+MAX(0,MIN(IF($A$24&gt;$D$23,DCF_Base!$L$19*(1+$D$23/100)/(($A$24-$D$23)/100),DCF_Base!$L$19*DCF_Base!$B$29),DCF_Base!$L$19*DCF_Base!$B$29))/(1+$A$24/100)^DCF_Base!$L$4+Assumptions!$B$5-Assumptions!$B$4)/Assumptions!$B$3*Assumptions!$B$10</f>
        <v>1600.69880932724</v>
      </c>
      <c r="E24" s="0" t="n">
        <f aca="false">(SUMPRODUCT(DCF_Base!$C$19:$L$19/(1+$A$24/100)^DCF_Base!$C$4:$L$4)+MAX(0,MIN(IF($A$24&gt;$E$23,DCF_Base!$L$19*(1+$E$23/100)/(($A$24-$E$23)/100),DCF_Base!$L$19*DCF_Base!$B$29),DCF_Base!$L$19*DCF_Base!$B$29))/(1+$A$24/100)^DCF_Base!$L$4+Assumptions!$B$5-Assumptions!$B$4)/Assumptions!$B$3*Assumptions!$B$10</f>
        <v>1600.69880932724</v>
      </c>
      <c r="F24" s="0" t="n">
        <f aca="false">(SUMPRODUCT(DCF_Base!$C$19:$L$19/(1+$A$24/100)^DCF_Base!$C$4:$L$4)+MAX(0,MIN(IF($A$24&gt;$F$23,DCF_Base!$L$19*(1+$F$23/100)/(($A$24-$F$23)/100),DCF_Base!$L$19*DCF_Base!$B$29),DCF_Base!$L$19*DCF_Base!$B$29))/(1+$A$24/100)^DCF_Base!$L$4+Assumptions!$B$5-Assumptions!$B$4)/Assumptions!$B$3*Assumptions!$B$10</f>
        <v>1600.69880932724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1435.46888158336</v>
      </c>
      <c r="C25" s="0" t="n">
        <f aca="false">(SUMPRODUCT(DCF_Base!$C$19:$L$19/(1+$A$25/100)^DCF_Base!$C$4:$L$4)+MAX(0,MIN(IF($A$25&gt;$C$23,DCF_Base!$L$19*(1+$C$23/100)/(($A$25-$C$23)/100),DCF_Base!$L$19*DCF_Base!$B$29),DCF_Base!$L$19*DCF_Base!$B$29))/(1+$A$25/100)^DCF_Base!$L$4+Assumptions!$B$5-Assumptions!$B$4)/Assumptions!$B$3*Assumptions!$B$10</f>
        <v>1435.46888158336</v>
      </c>
      <c r="D25" s="0" t="n">
        <f aca="false">(SUMPRODUCT(DCF_Base!$C$19:$L$19/(1+$A$25/100)^DCF_Base!$C$4:$L$4)+MAX(0,MIN(IF($A$25&gt;$D$23,DCF_Base!$L$19*(1+$D$23/100)/(($A$25-$D$23)/100),DCF_Base!$L$19*DCF_Base!$B$29),DCF_Base!$L$19*DCF_Base!$B$29))/(1+$A$25/100)^DCF_Base!$L$4+Assumptions!$B$5-Assumptions!$B$4)/Assumptions!$B$3*Assumptions!$B$10</f>
        <v>1435.46888158336</v>
      </c>
      <c r="E25" s="0" t="n">
        <f aca="false">(SUMPRODUCT(DCF_Base!$C$19:$L$19/(1+$A$25/100)^DCF_Base!$C$4:$L$4)+MAX(0,MIN(IF($A$25&gt;$E$23,DCF_Base!$L$19*(1+$E$23/100)/(($A$25-$E$23)/100),DCF_Base!$L$19*DCF_Base!$B$29),DCF_Base!$L$19*DCF_Base!$B$29))/(1+$A$25/100)^DCF_Base!$L$4+Assumptions!$B$5-Assumptions!$B$4)/Assumptions!$B$3*Assumptions!$B$10</f>
        <v>1435.46888158336</v>
      </c>
      <c r="F25" s="0" t="n">
        <f aca="false">(SUMPRODUCT(DCF_Base!$C$19:$L$19/(1+$A$25/100)^DCF_Base!$C$4:$L$4)+MAX(0,MIN(IF($A$25&gt;$F$23,DCF_Base!$L$19*(1+$F$23/100)/(($A$25-$F$23)/100),DCF_Base!$L$19*DCF_Base!$B$29),DCF_Base!$L$19*DCF_Base!$B$29))/(1+$A$25/100)^DCF_Base!$L$4+Assumptions!$B$5-Assumptions!$B$4)/Assumptions!$B$3*Assumptions!$B$10</f>
        <v>1435.46888158336</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1168.01874656595</v>
      </c>
      <c r="C26" s="0" t="n">
        <f aca="false">(SUMPRODUCT(DCF_Base!$C$19:$L$19/(1+$A$26/100)^DCF_Base!$C$4:$L$4)+MAX(0,MIN(IF($A$26&gt;$C$23,DCF_Base!$L$19*(1+$C$23/100)/(($A$26-$C$23)/100),DCF_Base!$L$19*DCF_Base!$B$29),DCF_Base!$L$19*DCF_Base!$B$29))/(1+$A$26/100)^DCF_Base!$L$4+Assumptions!$B$5-Assumptions!$B$4)/Assumptions!$B$3*Assumptions!$B$10</f>
        <v>1243.33736153478</v>
      </c>
      <c r="D26" s="0" t="n">
        <f aca="false">(SUMPRODUCT(DCF_Base!$C$19:$L$19/(1+$A$26/100)^DCF_Base!$C$4:$L$4)+MAX(0,MIN(IF($A$26&gt;$D$23,DCF_Base!$L$19*(1+$D$23/100)/(($A$26-$D$23)/100),DCF_Base!$L$19*DCF_Base!$B$29),DCF_Base!$L$19*DCF_Base!$B$29))/(1+$A$26/100)^DCF_Base!$L$4+Assumptions!$B$5-Assumptions!$B$4)/Assumptions!$B$3*Assumptions!$B$10</f>
        <v>1285.18103651747</v>
      </c>
      <c r="E26" s="0" t="n">
        <f aca="false">(SUMPRODUCT(DCF_Base!$C$19:$L$19/(1+$A$26/100)^DCF_Base!$C$4:$L$4)+MAX(0,MIN(IF($A$26&gt;$E$23,DCF_Base!$L$19*(1+$E$23/100)/(($A$26-$E$23)/100),DCF_Base!$L$19*DCF_Base!$B$29),DCF_Base!$L$19*DCF_Base!$B$29))/(1+$A$26/100)^DCF_Base!$L$4+Assumptions!$B$5-Assumptions!$B$4)/Assumptions!$B$3*Assumptions!$B$10</f>
        <v>1285.18103651747</v>
      </c>
      <c r="F26" s="0" t="n">
        <f aca="false">(SUMPRODUCT(DCF_Base!$C$19:$L$19/(1+$A$26/100)^DCF_Base!$C$4:$L$4)+MAX(0,MIN(IF($A$26&gt;$F$23,DCF_Base!$L$19*(1+$F$23/100)/(($A$26-$F$23)/100),DCF_Base!$L$19*DCF_Base!$B$29),DCF_Base!$L$19*DCF_Base!$B$29))/(1+$A$26/100)^DCF_Base!$L$4+Assumptions!$B$5-Assumptions!$B$4)/Assumptions!$B$3*Assumptions!$B$10</f>
        <v>1285.18103651747</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936.201098945571</v>
      </c>
      <c r="C27" s="0" t="n">
        <f aca="false">(SUMPRODUCT(DCF_Base!$C$19:$L$19/(1+$A$27/100)^DCF_Base!$C$4:$L$4)+MAX(0,MIN(IF($A$27&gt;$C$23,DCF_Base!$L$19*(1+$C$23/100)/(($A$27-$C$23)/100),DCF_Base!$L$19*DCF_Base!$B$29),DCF_Base!$L$19*DCF_Base!$B$29))/(1+$A$27/100)^DCF_Base!$L$4+Assumptions!$B$5-Assumptions!$B$4)/Assumptions!$B$3*Assumptions!$B$10</f>
        <v>989.722569034548</v>
      </c>
      <c r="D27" s="0" t="n">
        <f aca="false">(SUMPRODUCT(DCF_Base!$C$19:$L$19/(1+$A$27/100)^DCF_Base!$C$4:$L$4)+MAX(0,MIN(IF($A$27&gt;$D$23,DCF_Base!$L$19*(1+$D$23/100)/(($A$27-$D$23)/100),DCF_Base!$L$19*DCF_Base!$B$29),DCF_Base!$L$19*DCF_Base!$B$29))/(1+$A$27/100)^DCF_Base!$L$4+Assumptions!$B$5-Assumptions!$B$4)/Assumptions!$B$3*Assumptions!$B$10</f>
        <v>1050.38023513539</v>
      </c>
      <c r="E27" s="0" t="n">
        <f aca="false">(SUMPRODUCT(DCF_Base!$C$19:$L$19/(1+$A$27/100)^DCF_Base!$C$4:$L$4)+MAX(0,MIN(IF($A$27&gt;$E$23,DCF_Base!$L$19*(1+$E$23/100)/(($A$27-$E$23)/100),DCF_Base!$L$19*DCF_Base!$B$29),DCF_Base!$L$19*DCF_Base!$B$29))/(1+$A$27/100)^DCF_Base!$L$4+Assumptions!$B$5-Assumptions!$B$4)/Assumptions!$B$3*Assumptions!$B$10</f>
        <v>1119.70328210778</v>
      </c>
      <c r="F27" s="0" t="n">
        <f aca="false">(SUMPRODUCT(DCF_Base!$C$19:$L$19/(1+$A$27/100)^DCF_Base!$C$4:$L$4)+MAX(0,MIN(IF($A$27&gt;$F$23,DCF_Base!$L$19*(1+$F$23/100)/(($A$27-$F$23)/100),DCF_Base!$L$19*DCF_Base!$B$29),DCF_Base!$L$19*DCF_Base!$B$29))/(1+$A$27/100)^DCF_Base!$L$4+Assumptions!$B$5-Assumptions!$B$4)/Assumptions!$B$3*Assumptions!$B$10</f>
        <v>1148.32288865601</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754.082869534605</v>
      </c>
      <c r="C28" s="0" t="n">
        <f aca="false">(SUMPRODUCT(DCF_Base!$C$19:$L$19/(1+$A$28/100)^DCF_Base!$C$4:$L$4)+MAX(0,MIN(IF($A$28&gt;$C$23,DCF_Base!$L$19*(1+$C$23/100)/(($A$28-$C$23)/100),DCF_Base!$L$19*DCF_Base!$B$29),DCF_Base!$L$19*DCF_Base!$B$29))/(1+$A$28/100)^DCF_Base!$L$4+Assumptions!$B$5-Assumptions!$B$4)/Assumptions!$B$3*Assumptions!$B$10</f>
        <v>793.290910821813</v>
      </c>
      <c r="D28" s="0" t="n">
        <f aca="false">(SUMPRODUCT(DCF_Base!$C$19:$L$19/(1+$A$28/100)^DCF_Base!$C$4:$L$4)+MAX(0,MIN(IF($A$28&gt;$D$23,DCF_Base!$L$19*(1+$D$23/100)/(($A$28-$D$23)/100),DCF_Base!$L$19*DCF_Base!$B$29),DCF_Base!$L$19*DCF_Base!$B$29))/(1+$A$28/100)^DCF_Base!$L$4+Assumptions!$B$5-Assumptions!$B$4)/Assumptions!$B$3*Assumptions!$B$10</f>
        <v>837.111662848693</v>
      </c>
      <c r="E28" s="0" t="n">
        <f aca="false">(SUMPRODUCT(DCF_Base!$C$19:$L$19/(1+$A$28/100)^DCF_Base!$C$4:$L$4)+MAX(0,MIN(IF($A$28&gt;$E$23,DCF_Base!$L$19*(1+$E$23/100)/(($A$28-$E$23)/100),DCF_Base!$L$19*DCF_Base!$B$29),DCF_Base!$L$19*DCF_Base!$B$29))/(1+$A$28/100)^DCF_Base!$L$4+Assumptions!$B$5-Assumptions!$B$4)/Assumptions!$B$3*Assumptions!$B$10</f>
        <v>886.410008878932</v>
      </c>
      <c r="F28" s="0" t="n">
        <f aca="false">(SUMPRODUCT(DCF_Base!$C$19:$L$19/(1+$A$28/100)^DCF_Base!$C$4:$L$4)+MAX(0,MIN(IF($A$28&gt;$F$23,DCF_Base!$L$19*(1+$F$23/100)/(($A$28-$F$23)/100),DCF_Base!$L$19*DCF_Base!$B$29),DCF_Base!$L$19*DCF_Base!$B$29))/(1+$A$28/100)^DCF_Base!$L$4+Assumptions!$B$5-Assumptions!$B$4)/Assumptions!$B$3*Assumptions!$B$10</f>
        <v>942.281467713204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2026-10-31T08:24:03Z</dcterms:created>
  <dc:creator>openpyxl</dc:creator>
  <dc:description/>
  <dc:language>en-NZ</dc:language>
  <cp:lastModifiedBy/>
  <dcterms:modified xsi:type="dcterms:W3CDTF">2026-10-31T08:24:03Z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