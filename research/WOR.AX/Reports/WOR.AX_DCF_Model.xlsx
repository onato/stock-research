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<sst xmlns="http://schemas.openxmlformats.org/spreadsheetml/2006/main" count="363" uniqueCount="166">
  <si>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</si>
  <si>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WOR.AX</t>
  </si>
  <si>
    <t xml:space="preserve">Company</t>
  </si>
  <si>
    <t xml:space="preserve">Worley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</si>
  <si>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</si>
  <si>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</si>
  <si>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</si>
  <si>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</si>
  <si>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2026-09-25T06:10:11Z regular session (Yahoo Finance chart API); 52-week range 9.55-14.615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</si>
  <si>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</si>
  <si>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</si>
  <si>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</si>
  <si>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</si>
  <si>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</si>
  <si>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</si>
  <si>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</si>
  <si>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</si>
  <si>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</si>
  <si>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</si>
  <si>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</si>
  <si>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</si>
  <si>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2026-09-25T06:38:52Z</t>
  </si>
  <si>
    <t xml:space="preserve">Drivers file</t>
  </si>
  <si>
    <t xml:space="preserve">WOR.AX_Drivers.json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</si>
  <si>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</si>
  <si>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</si>
  <si>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</si>
  <si>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Worley is valued on a 10-year component-built owner-FCF DCF, mid-cycle normalized off a FY2026 trough year rather than extrapolated from either the FY2025 peak or the FY2026 Middle-East-depressed result. The FY2019 Jacobs ECR acquisition roughly doubled the business and breaks any pre-2020 trend, so all growth and margin paths are anchored to FY2022-FY2026 history plus FY2027 guidance and the FY2030 medium-term ambition, discounted for the fact that management has twice revised the current year's guidance down within the same fiscal year.
key_risks_to_valuation: Middle East conflict duration and second-order supply chain effects (sulphur, delayed FIDs) beyond the FY2027 recovery management now expects; Guidance credibility -- the Middle East impact was upgraded from $30-40m to $60m mid-year, and FY2027 guidance replaces FY2026 guidance that was downgraded twice; Rising leverage (gearing 26.4% vs 20.9%) combined with nearly-halved operating cash flow while buybacks continued; AUD strength as a persistent translation headwind on predominantly USD/other-currency-denominated earnings, independent of operating performance; Structural margin ceiling from intense EPCM competition (Jacobs, Fluor, KBR, Bechtel, Wood Group) capping how far the 9.0-9.5% ex-procurement ambition can be realized</t>
  </si>
  <si>
    <t xml:space="preserve">Data sources</t>
  </si>
  <si>
    <t xml:space="preserve">price: Yahoo Finance chart API at inputs.price_as_of; 52-week range 9.55-14.615
financials: research/WOR.AX/Reports/WOR.AX_Metrics.csv (FY2016-FY2026 annual + half-years); research/WOR.AX/Reports/WOR.AX.duckdb kpis table; research/WOR.AX/Extracted/WOR.AX_Annual_FY2026.txt (segment, cash flow, net debt, lease, EPS and shareholder-register detail cited by file:line in inputs.notes)
qualitative: research/WOR.AX/Reports/WOR.AX_Analysis.json (business model, growth drivers, risks, guidance, bull/bear case, 2026-09-25)</t>
  </si>
  <si>
    <t xml:space="preserve">Scenario narrative: bear</t>
  </si>
  <si>
    <t xml:space="preserve">Middle East disruption and guidance misses recur, competitive EPCM tendering keeps margin structurally below its five-year average, and rising leverage combined with weaker operating cash flow slows the capital-return program -- growth stalls and the FY2025 margin peak is never regained.</t>
  </si>
  <si>
    <t xml:space="preserve">Scenario narrative: base</t>
  </si>
  <si>
    <t xml:space="preserve">Backlog conversion and the FY2027 guided mid-to-high single-digit growth play out roughly as management describes, with margin normalizing from the FY2026 Middle-East-depressed trough back toward the historical average -- not all the way to the 9.0-9.5% ex-procurement ambition, which is treated as aspirational rather than base case.</t>
  </si>
  <si>
    <t xml:space="preserve">Scenario narrative: bull</t>
  </si>
  <si>
    <t xml:space="preserve">The FY2030 double-digit EBITA growth ambition is substantially achieved: Middle East resolves fast, North America and the major-projects pipeline (LNG, energy transition materials, data centers) convert at pace, and full-project-delivery plus AI/digital investment expand margin into management's target band.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</si>
  <si>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</si>
  <si>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</si>
  <si>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</si>
  <si>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</si>
  <si>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</si>
  <si>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</si>
  <si>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</si>
  <si>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</si>
  <si>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</si>
  <si>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</si>
  <si>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</si>
  <si>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</si>
  <si>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</si>
  <si>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</si>
  <si>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</si>
  <si>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</si>
  <si>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</si>
  <si>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</si>
  <si>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</si>
  <si>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</si>
  <si>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</si>
  <si>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</si>
  <si>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</si>
  <si>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</si>
  <si>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</si>
  <si>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</si>
  <si>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</si>
  <si>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</si>
  <si>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</si>
  <si>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</si>
  <si>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</si>
  <si>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</si>
  <si>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</si>
  <si>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</si>
  <si>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</si>
  <si>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</si>
  <si>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</si>
  <si>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</si>
  <si>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</si>
  <si>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</si>
  <si>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</si>
  <si>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</si>
  <si>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</si>
  <si>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</si>
  <si>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</si>
  <si>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</si>
  <si>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</si>
  <si>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</si>
  <si>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</si>
  <si>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</si>
  <si>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</si>
  <si>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</si>
  <si>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</si>
  <si>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</si>
  <si>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</si>
  <si>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</si>
  <si>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</si>
  <si>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</si>
  <si>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</si>
  <si>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</si>
  <si>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</si>
  <si>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</si>
  <si>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</si>
  <si>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</si>
  <si>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</si>
  <si>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</si>
  <si>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</si>
  <si>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</si>
  <si>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</si>
  <si>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</si>
  <si>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</si>
  <si>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</si>
  <si>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</si>
  <si>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</si>
  <si>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</si>
  <si>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WOR.AX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</si>
  <si>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</si>
  <si>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</si>
  <si>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</si>
  <si>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</si>
  <si>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</si>
  <si>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</si>
  <si>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</si>
  <si>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</si>
  <si>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</si>
  <si>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</si>
  <si>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</si>
  <si>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</si>
  <si>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</si>
  <si>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</si>
  <si>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</si>
  <si>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</si>
  <si>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</si>
  <si>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</si>
  <si>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</si>
  <si>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</si>
  <si>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</si>
  <si>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</si>
  <si>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</si>
  <si>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</si>
  <si>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</si>
  <si>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</si>
  <si>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</si>
  <si>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</si>
  <si>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</si>
  <si>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</si>
  <si>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WOR.AX owner-FCF component DCF: base case (millions, AUD)</t>
  </si>
  <si>
    <t xml:space="preserve">WOR.AX owner-FCF component DCF: bull case (millions, AUD)</t>
  </si>
  <si>
    <t xml:space="preserve">WOR.AX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</si>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</sst>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7790.1</v>
      </c>
      <c r="F2" s="0" t="n">
        <v>128.9</v>
      </c>
      <c r="G2" s="0" t="n">
        <v>1.7</v>
      </c>
      <c r="H2" s="0" t="n">
        <v>219</v>
      </c>
      <c r="I2" s="0" t="n">
        <v>23.5</v>
      </c>
      <c r="J2" s="0" t="n">
        <v>0.3</v>
      </c>
      <c r="K2" s="0" t="n">
        <v>0.095</v>
      </c>
      <c r="L2" s="0" t="n">
        <v>192</v>
      </c>
      <c r="M2" s="0" t="n">
        <v>69.5</v>
      </c>
      <c r="N2" s="0" t="n">
        <v>122.5</v>
      </c>
      <c r="O2" s="0" t="n">
        <v>1879.9</v>
      </c>
      <c r="P2" s="0" t="n">
        <v>5020.8</v>
      </c>
      <c r="Q2" s="0" t="n">
        <v>3140.9</v>
      </c>
      <c r="R2" s="0" t="n">
        <v>1239.4</v>
      </c>
      <c r="S2" s="0" t="n">
        <v>373.1</v>
      </c>
      <c r="T2" s="0" t="n">
        <v>247.4</v>
      </c>
      <c r="U2" s="0" t="n">
        <v>1.2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5220.6</v>
      </c>
      <c r="F3" s="0" t="n">
        <v>129.6</v>
      </c>
      <c r="G3" s="0" t="n">
        <v>2.5</v>
      </c>
      <c r="H3" s="0" t="n">
        <v>210.4</v>
      </c>
      <c r="I3" s="0" t="n">
        <v>33.5</v>
      </c>
      <c r="J3" s="0" t="n">
        <v>0.6</v>
      </c>
      <c r="K3" s="0" t="n">
        <v>0.135</v>
      </c>
      <c r="L3" s="0" t="n">
        <v>78.9</v>
      </c>
      <c r="M3" s="0" t="n">
        <v>44.7</v>
      </c>
      <c r="N3" s="0" t="n">
        <v>34.2</v>
      </c>
      <c r="O3" s="0" t="n">
        <v>1868.3</v>
      </c>
      <c r="P3" s="0" t="n">
        <v>4259</v>
      </c>
      <c r="Q3" s="0" t="n">
        <v>2390.7</v>
      </c>
      <c r="R3" s="0" t="n">
        <v>1102.6</v>
      </c>
      <c r="S3" s="0" t="n">
        <v>226.2</v>
      </c>
      <c r="T3" s="0" t="n">
        <v>250</v>
      </c>
      <c r="U3" s="0" t="n">
        <v>7.5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4835.8</v>
      </c>
      <c r="F4" s="0" t="n">
        <v>263.8</v>
      </c>
      <c r="G4" s="0" t="n">
        <v>5.5</v>
      </c>
      <c r="H4" s="0" t="n">
        <v>331.8</v>
      </c>
      <c r="I4" s="0" t="n">
        <v>62.2</v>
      </c>
      <c r="J4" s="0" t="n">
        <v>1.3</v>
      </c>
      <c r="K4" s="0" t="n">
        <v>0.233</v>
      </c>
      <c r="L4" s="0" t="n">
        <v>259.7</v>
      </c>
      <c r="M4" s="0" t="n">
        <v>41.7</v>
      </c>
      <c r="N4" s="0" t="n">
        <v>218</v>
      </c>
      <c r="O4" s="0" t="n">
        <v>2212.8</v>
      </c>
      <c r="P4" s="0" t="n">
        <v>4475.8</v>
      </c>
      <c r="Q4" s="0" t="n">
        <v>2263</v>
      </c>
      <c r="R4" s="0" t="n">
        <v>999.1</v>
      </c>
      <c r="S4" s="0" t="n">
        <v>261.6</v>
      </c>
      <c r="T4" s="0" t="n">
        <v>269.3</v>
      </c>
      <c r="U4" s="0" t="n">
        <v>8.2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6924.3</v>
      </c>
      <c r="F5" s="0" t="n">
        <v>280.6</v>
      </c>
      <c r="G5" s="0" t="n">
        <v>4.1</v>
      </c>
      <c r="H5" s="0" t="n">
        <v>373.8</v>
      </c>
      <c r="I5" s="0" t="n">
        <v>151.9</v>
      </c>
      <c r="J5" s="0" t="n">
        <v>2.2</v>
      </c>
      <c r="K5" s="0" t="n">
        <v>0.364</v>
      </c>
      <c r="L5" s="0" t="n">
        <v>236.3</v>
      </c>
      <c r="M5" s="0" t="n">
        <v>37.2</v>
      </c>
      <c r="N5" s="0" t="n">
        <v>199.1</v>
      </c>
      <c r="O5" s="0" t="n">
        <v>6018.5</v>
      </c>
      <c r="P5" s="0" t="n">
        <v>11046.3</v>
      </c>
      <c r="Q5" s="0" t="n">
        <v>5027.8</v>
      </c>
      <c r="R5" s="0" t="n">
        <v>2138.3</v>
      </c>
      <c r="S5" s="0" t="n">
        <v>457.3</v>
      </c>
      <c r="T5" s="0" t="n">
        <v>419.6</v>
      </c>
      <c r="U5" s="0" t="n">
        <v>18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13068</v>
      </c>
      <c r="F6" s="0" t="n">
        <v>389</v>
      </c>
      <c r="G6" s="0" t="n">
        <v>3</v>
      </c>
      <c r="H6" s="0" t="n">
        <v>760</v>
      </c>
      <c r="I6" s="0" t="n">
        <v>171</v>
      </c>
      <c r="J6" s="0" t="n">
        <v>1.3</v>
      </c>
      <c r="K6" s="0" t="n">
        <v>0.328</v>
      </c>
      <c r="L6" s="0" t="n">
        <v>829</v>
      </c>
      <c r="M6" s="0" t="n">
        <v>64</v>
      </c>
      <c r="N6" s="0" t="n">
        <v>765</v>
      </c>
      <c r="O6" s="0" t="n">
        <v>5940</v>
      </c>
      <c r="P6" s="0" t="n">
        <v>11154</v>
      </c>
      <c r="Q6" s="0" t="n">
        <v>5214</v>
      </c>
      <c r="R6" s="0" t="n">
        <v>2288</v>
      </c>
      <c r="S6" s="0" t="n">
        <v>467</v>
      </c>
      <c r="T6" s="0" t="n">
        <v>522.9</v>
      </c>
      <c r="U6" s="0" t="n">
        <v>34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9526</v>
      </c>
      <c r="F7" s="0" t="n">
        <v>224</v>
      </c>
      <c r="G7" s="0" t="n">
        <v>2.4</v>
      </c>
      <c r="H7" s="0" t="n">
        <v>506</v>
      </c>
      <c r="I7" s="0" t="n">
        <v>86</v>
      </c>
      <c r="J7" s="0" t="n">
        <v>0.9</v>
      </c>
      <c r="K7" s="0" t="n">
        <v>0.165</v>
      </c>
      <c r="L7" s="0" t="n">
        <v>533</v>
      </c>
      <c r="M7" s="0" t="n">
        <v>80</v>
      </c>
      <c r="N7" s="0" t="n">
        <v>453</v>
      </c>
      <c r="O7" s="0" t="n">
        <v>5601</v>
      </c>
      <c r="P7" s="0" t="n">
        <v>10150</v>
      </c>
      <c r="Q7" s="0" t="n">
        <v>4549</v>
      </c>
      <c r="R7" s="0" t="n">
        <v>2059</v>
      </c>
      <c r="S7" s="0" t="n">
        <v>522</v>
      </c>
      <c r="T7" s="0" t="n">
        <v>527.6</v>
      </c>
      <c r="U7" s="0" t="n">
        <v>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9705</v>
      </c>
      <c r="F8" s="0" t="n">
        <v>354</v>
      </c>
      <c r="G8" s="0" t="n">
        <v>3.6</v>
      </c>
      <c r="H8" s="0" t="n">
        <v>616</v>
      </c>
      <c r="I8" s="0" t="n">
        <v>172</v>
      </c>
      <c r="J8" s="0" t="n">
        <v>1.8</v>
      </c>
      <c r="K8" s="0" t="n">
        <v>0.328</v>
      </c>
      <c r="L8" s="0" t="n">
        <v>316</v>
      </c>
      <c r="M8" s="0" t="n">
        <v>53</v>
      </c>
      <c r="N8" s="0" t="n">
        <v>263</v>
      </c>
      <c r="O8" s="0" t="n">
        <v>5683</v>
      </c>
      <c r="P8" s="0" t="n">
        <v>10396</v>
      </c>
      <c r="Q8" s="0" t="n">
        <v>4713</v>
      </c>
      <c r="R8" s="0" t="n">
        <v>2169</v>
      </c>
      <c r="S8" s="0" t="n">
        <v>507</v>
      </c>
      <c r="T8" s="0" t="n">
        <v>527.6</v>
      </c>
      <c r="U8" s="0" t="n">
        <v>20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11333</v>
      </c>
      <c r="F9" s="0" t="n">
        <v>256</v>
      </c>
      <c r="G9" s="0" t="n">
        <v>2.3</v>
      </c>
      <c r="H9" s="0" t="n">
        <v>510</v>
      </c>
      <c r="I9" s="0" t="n">
        <v>37</v>
      </c>
      <c r="J9" s="0" t="n">
        <v>0.3</v>
      </c>
      <c r="K9" s="0" t="n">
        <v>0.07</v>
      </c>
      <c r="L9" s="0" t="n">
        <v>260</v>
      </c>
      <c r="M9" s="0" t="n">
        <v>82</v>
      </c>
      <c r="N9" s="0" t="n">
        <v>178</v>
      </c>
      <c r="O9" s="0" t="n">
        <v>5601</v>
      </c>
      <c r="P9" s="0" t="n">
        <v>10518</v>
      </c>
      <c r="Q9" s="0" t="n">
        <v>4917</v>
      </c>
      <c r="R9" s="0" t="n">
        <v>2248</v>
      </c>
      <c r="S9" s="0" t="n">
        <v>425</v>
      </c>
      <c r="T9" s="0" t="n">
        <v>528.6</v>
      </c>
      <c r="U9" s="0" t="n">
        <v>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11808</v>
      </c>
      <c r="F10" s="0" t="n">
        <v>608</v>
      </c>
      <c r="G10" s="0" t="n">
        <v>5.1</v>
      </c>
      <c r="H10" s="0" t="n">
        <v>878</v>
      </c>
      <c r="I10" s="0" t="n">
        <v>303</v>
      </c>
      <c r="J10" s="0" t="n">
        <v>2.6</v>
      </c>
      <c r="K10" s="0" t="n">
        <v>0.575</v>
      </c>
      <c r="L10" s="0" t="n">
        <v>682</v>
      </c>
      <c r="M10" s="0" t="n">
        <v>95</v>
      </c>
      <c r="N10" s="0" t="n">
        <v>587</v>
      </c>
      <c r="O10" s="0" t="n">
        <v>5497</v>
      </c>
      <c r="P10" s="0" t="n">
        <v>10464</v>
      </c>
      <c r="Q10" s="0" t="n">
        <v>4967</v>
      </c>
      <c r="R10" s="0" t="n">
        <v>2073</v>
      </c>
      <c r="S10" s="0" t="n">
        <v>548</v>
      </c>
      <c r="T10" s="0" t="n">
        <v>532.5</v>
      </c>
      <c r="U10" s="0" t="n">
        <v>31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11239</v>
      </c>
      <c r="F11" s="0" t="n">
        <v>737</v>
      </c>
      <c r="G11" s="0" t="n">
        <v>6.6</v>
      </c>
      <c r="H11" s="0" t="n">
        <v>1013</v>
      </c>
      <c r="I11" s="0" t="n">
        <v>409</v>
      </c>
      <c r="J11" s="0" t="n">
        <v>3.6</v>
      </c>
      <c r="K11" s="0" t="n">
        <v>0.776</v>
      </c>
      <c r="L11" s="0" t="n">
        <v>741</v>
      </c>
      <c r="M11" s="0" t="n">
        <v>76</v>
      </c>
      <c r="N11" s="0" t="n">
        <v>665</v>
      </c>
      <c r="O11" s="0" t="n">
        <v>5680</v>
      </c>
      <c r="P11" s="0" t="n">
        <v>11019</v>
      </c>
      <c r="Q11" s="0" t="n">
        <v>5339</v>
      </c>
      <c r="R11" s="0" t="n">
        <v>2453</v>
      </c>
      <c r="S11" s="0" t="n">
        <v>952</v>
      </c>
      <c r="T11" s="0" t="n">
        <v>530.5</v>
      </c>
      <c r="U11" s="0" t="n">
        <v>34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10714</v>
      </c>
      <c r="F12" s="0" t="n">
        <v>525</v>
      </c>
      <c r="G12" s="0" t="n">
        <v>4.9</v>
      </c>
      <c r="H12" s="0" t="n">
        <v>800</v>
      </c>
      <c r="I12" s="0" t="n">
        <v>238</v>
      </c>
      <c r="J12" s="0" t="n">
        <v>2.2</v>
      </c>
      <c r="K12" s="0" t="n">
        <v>0.471</v>
      </c>
      <c r="L12" s="0" t="n">
        <v>401</v>
      </c>
      <c r="M12" s="0" t="n">
        <v>63</v>
      </c>
      <c r="N12" s="0" t="n">
        <v>338</v>
      </c>
      <c r="O12" s="0" t="n">
        <v>4875</v>
      </c>
      <c r="P12" s="0" t="n">
        <v>10683</v>
      </c>
      <c r="Q12" s="0" t="n">
        <v>5808</v>
      </c>
      <c r="R12" s="0" t="n">
        <v>2845</v>
      </c>
      <c r="S12" s="0" t="n">
        <v>1099</v>
      </c>
      <c r="T12" s="0" t="n">
        <v>508.5</v>
      </c>
      <c r="U12" s="0" t="n">
        <v>23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9.63</v>
      </c>
    </row>
    <row r="3" customFormat="false" ht="15" hidden="false" customHeight="false" outlineLevel="0" collapsed="false">
      <c r="A3" s="0" t="s">
        <v>77</v>
      </c>
      <c r="B3" s="3" t="n">
        <v>491</v>
      </c>
    </row>
    <row r="4" customFormat="false" ht="15" hidden="false" customHeight="false" outlineLevel="0" collapsed="false">
      <c r="A4" s="0" t="s">
        <v>78</v>
      </c>
      <c r="B4" s="3" t="n">
        <v>1746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10714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</v>
      </c>
      <c r="D13" s="3" t="n">
        <v>1</v>
      </c>
      <c r="E13" s="3" t="n">
        <v>1.5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6.8</v>
      </c>
      <c r="D14" s="3" t="n">
        <v>6.5</v>
      </c>
      <c r="E14" s="3" t="n">
        <v>6.3</v>
      </c>
      <c r="F14" s="3" t="n">
        <v>6.2</v>
      </c>
      <c r="G14" s="3" t="n">
        <v>6.2</v>
      </c>
      <c r="H14" s="3" t="n">
        <v>6.2</v>
      </c>
      <c r="I14" s="3" t="n">
        <v>6.2</v>
      </c>
      <c r="J14" s="3" t="n">
        <v>6.2</v>
      </c>
      <c r="K14" s="3" t="n">
        <v>6.2</v>
      </c>
      <c r="L14" s="3" t="n">
        <v>6.2</v>
      </c>
    </row>
    <row r="15" customFormat="false" ht="15" hidden="false" customHeight="false" outlineLevel="0" collapsed="false">
      <c r="A15" s="0" t="s">
        <v>99</v>
      </c>
      <c r="C15" s="3" t="n">
        <v>0.21</v>
      </c>
      <c r="D15" s="3" t="n">
        <v>0.21</v>
      </c>
      <c r="E15" s="3" t="n">
        <v>0.21</v>
      </c>
      <c r="F15" s="3" t="n">
        <v>0.21</v>
      </c>
      <c r="G15" s="3" t="n">
        <v>0.21</v>
      </c>
      <c r="H15" s="3" t="n">
        <v>0.21</v>
      </c>
      <c r="I15" s="3" t="n">
        <v>0.21</v>
      </c>
      <c r="J15" s="3" t="n">
        <v>0.21</v>
      </c>
      <c r="K15" s="3" t="n">
        <v>0.21</v>
      </c>
      <c r="L15" s="3" t="n">
        <v>0.21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2.7</v>
      </c>
      <c r="D17" s="3" t="n">
        <v>2.7</v>
      </c>
      <c r="E17" s="3" t="n">
        <v>2.7</v>
      </c>
      <c r="F17" s="3" t="n">
        <v>2.7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102</v>
      </c>
      <c r="C18" s="3" t="n">
        <v>0.7</v>
      </c>
      <c r="D18" s="3" t="n">
        <v>0.7</v>
      </c>
      <c r="E18" s="3" t="n">
        <v>0.7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103</v>
      </c>
      <c r="C19" s="3" t="n">
        <v>25</v>
      </c>
      <c r="D19" s="3" t="n">
        <v>26</v>
      </c>
      <c r="E19" s="3" t="n">
        <v>27</v>
      </c>
      <c r="F19" s="3" t="n">
        <v>28</v>
      </c>
      <c r="G19" s="3" t="n">
        <v>29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-3.5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6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7.6</v>
      </c>
      <c r="D28" s="3" t="n">
        <v>7.8</v>
      </c>
      <c r="E28" s="3" t="n">
        <v>8</v>
      </c>
      <c r="F28" s="3" t="n">
        <v>8.1</v>
      </c>
      <c r="G28" s="3" t="n">
        <v>8.2</v>
      </c>
      <c r="H28" s="3" t="n">
        <v>8.3</v>
      </c>
      <c r="I28" s="3" t="n">
        <v>8.3</v>
      </c>
      <c r="J28" s="3" t="n">
        <v>8.3</v>
      </c>
      <c r="K28" s="3" t="n">
        <v>8.3</v>
      </c>
      <c r="L28" s="3" t="n">
        <v>8.3</v>
      </c>
    </row>
    <row r="29" customFormat="false" ht="15" hidden="false" customHeight="false" outlineLevel="0" collapsed="false">
      <c r="A29" s="0" t="s">
        <v>99</v>
      </c>
      <c r="C29" s="3" t="n">
        <v>0.21</v>
      </c>
      <c r="D29" s="3" t="n">
        <v>0.21</v>
      </c>
      <c r="E29" s="3" t="n">
        <v>0.21</v>
      </c>
      <c r="F29" s="3" t="n">
        <v>0.21</v>
      </c>
      <c r="G29" s="3" t="n">
        <v>0.21</v>
      </c>
      <c r="H29" s="3" t="n">
        <v>0.21</v>
      </c>
      <c r="I29" s="3" t="n">
        <v>0.21</v>
      </c>
      <c r="J29" s="3" t="n">
        <v>0.21</v>
      </c>
      <c r="K29" s="3" t="n">
        <v>0.21</v>
      </c>
      <c r="L29" s="3" t="n">
        <v>0.21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2.5</v>
      </c>
      <c r="D31" s="3" t="n">
        <v>2.5</v>
      </c>
      <c r="E31" s="3" t="n">
        <v>2.5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102</v>
      </c>
      <c r="C32" s="3" t="n">
        <v>0.65</v>
      </c>
      <c r="D32" s="3" t="n">
        <v>0.65</v>
      </c>
      <c r="E32" s="3" t="n">
        <v>0.65</v>
      </c>
      <c r="F32" s="3" t="n">
        <v>0.65</v>
      </c>
      <c r="G32" s="3" t="n">
        <v>0.65</v>
      </c>
      <c r="H32" s="3" t="n">
        <v>0.65</v>
      </c>
      <c r="I32" s="3" t="n">
        <v>0.65</v>
      </c>
      <c r="J32" s="3" t="n">
        <v>0.65</v>
      </c>
      <c r="K32" s="3" t="n">
        <v>0.65</v>
      </c>
      <c r="L32" s="3" t="n">
        <v>0.65</v>
      </c>
    </row>
    <row r="33" customFormat="false" ht="15" hidden="false" customHeight="false" outlineLevel="0" collapsed="false">
      <c r="A33" s="0" t="s">
        <v>103</v>
      </c>
      <c r="C33" s="3" t="n">
        <v>23</v>
      </c>
      <c r="D33" s="3" t="n">
        <v>24</v>
      </c>
      <c r="E33" s="3" t="n">
        <v>25</v>
      </c>
      <c r="F33" s="3" t="n">
        <v>26</v>
      </c>
      <c r="G33" s="3" t="n">
        <v>27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-3</v>
      </c>
    </row>
    <row r="38" customFormat="false" ht="15" hidden="false" customHeight="false" outlineLevel="0" collapsed="false">
      <c r="A38" s="0" t="s">
        <v>108</v>
      </c>
      <c r="B38" s="3" t="n">
        <v>0.45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9</v>
      </c>
      <c r="E41" s="3" t="n">
        <v>8.5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7.9</v>
      </c>
      <c r="D42" s="3" t="n">
        <v>8.3</v>
      </c>
      <c r="E42" s="3" t="n">
        <v>8.7</v>
      </c>
      <c r="F42" s="3" t="n">
        <v>9</v>
      </c>
      <c r="G42" s="3" t="n">
        <v>9.2</v>
      </c>
      <c r="H42" s="3" t="n">
        <v>9.3</v>
      </c>
      <c r="I42" s="3" t="n">
        <v>9.3</v>
      </c>
      <c r="J42" s="3" t="n">
        <v>9.3</v>
      </c>
      <c r="K42" s="3" t="n">
        <v>9.3</v>
      </c>
      <c r="L42" s="3" t="n">
        <v>9.3</v>
      </c>
    </row>
    <row r="43" customFormat="false" ht="15" hidden="false" customHeight="false" outlineLevel="0" collapsed="false">
      <c r="A43" s="0" t="s">
        <v>99</v>
      </c>
      <c r="C43" s="3" t="n">
        <v>0.21</v>
      </c>
      <c r="D43" s="3" t="n">
        <v>0.21</v>
      </c>
      <c r="E43" s="3" t="n">
        <v>0.21</v>
      </c>
      <c r="F43" s="3" t="n">
        <v>0.21</v>
      </c>
      <c r="G43" s="3" t="n">
        <v>0.21</v>
      </c>
      <c r="H43" s="3" t="n">
        <v>0.21</v>
      </c>
      <c r="I43" s="3" t="n">
        <v>0.21</v>
      </c>
      <c r="J43" s="3" t="n">
        <v>0.21</v>
      </c>
      <c r="K43" s="3" t="n">
        <v>0.21</v>
      </c>
      <c r="L43" s="3" t="n">
        <v>0.21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2.4</v>
      </c>
      <c r="D45" s="3" t="n">
        <v>2.4</v>
      </c>
      <c r="E45" s="3" t="n">
        <v>2.4</v>
      </c>
      <c r="F45" s="3" t="n">
        <v>2.4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102</v>
      </c>
      <c r="C46" s="3" t="n">
        <v>0.65</v>
      </c>
      <c r="D46" s="3" t="n">
        <v>0.65</v>
      </c>
      <c r="E46" s="3" t="n">
        <v>0.65</v>
      </c>
      <c r="F46" s="3" t="n">
        <v>0.65</v>
      </c>
      <c r="G46" s="3" t="n">
        <v>0.65</v>
      </c>
      <c r="H46" s="3" t="n">
        <v>0.65</v>
      </c>
      <c r="I46" s="3" t="n">
        <v>0.65</v>
      </c>
      <c r="J46" s="3" t="n">
        <v>0.65</v>
      </c>
      <c r="K46" s="3" t="n">
        <v>0.65</v>
      </c>
      <c r="L46" s="3" t="n">
        <v>0.65</v>
      </c>
    </row>
    <row r="47" customFormat="false" ht="15" hidden="false" customHeight="false" outlineLevel="0" collapsed="false">
      <c r="A47" s="0" t="s">
        <v>103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26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-2.5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10714</v>
      </c>
      <c r="C6" s="0" t="n">
        <f aca="false">B6*(1+C5/100)</f>
        <v>10821.14</v>
      </c>
      <c r="D6" s="0" t="n">
        <f aca="false">C6*(1+D5/100)</f>
        <v>10929.3514</v>
      </c>
      <c r="E6" s="0" t="n">
        <f aca="false">D6*(1+E5/100)</f>
        <v>11093.291671</v>
      </c>
      <c r="F6" s="0" t="n">
        <f aca="false">E6*(1+F5/100)</f>
        <v>11259.691046065</v>
      </c>
      <c r="G6" s="0" t="n">
        <f aca="false">F6*(1+G5/100)</f>
        <v>11484.8848669863</v>
      </c>
      <c r="H6" s="0" t="n">
        <f aca="false">G6*(1+H5/100)</f>
        <v>11714.582564326</v>
      </c>
      <c r="I6" s="0" t="n">
        <f aca="false">H6*(1+I5/100)</f>
        <v>11948.8742156125</v>
      </c>
      <c r="J6" s="0" t="n">
        <f aca="false">I6*(1+J5/100)</f>
        <v>12187.8516999248</v>
      </c>
      <c r="K6" s="0" t="n">
        <f aca="false">J6*(1+K5/100)</f>
        <v>12431.6087339233</v>
      </c>
      <c r="L6" s="0" t="n">
        <f aca="false">K6*(1+L5/100)</f>
        <v>12680.2409086018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6.8</v>
      </c>
      <c r="D7" s="4" t="n">
        <f aca="false">Assumptions!D14</f>
        <v>6.5</v>
      </c>
      <c r="E7" s="4" t="n">
        <f aca="false">Assumptions!E14</f>
        <v>6.3</v>
      </c>
      <c r="F7" s="4" t="n">
        <f aca="false">Assumptions!F14</f>
        <v>6.2</v>
      </c>
      <c r="G7" s="4" t="n">
        <f aca="false">Assumptions!G14</f>
        <v>6.2</v>
      </c>
      <c r="H7" s="4" t="n">
        <f aca="false">Assumptions!H14</f>
        <v>6.2</v>
      </c>
      <c r="I7" s="4" t="n">
        <f aca="false">Assumptions!I14</f>
        <v>6.2</v>
      </c>
      <c r="J7" s="4" t="n">
        <f aca="false">Assumptions!J14</f>
        <v>6.2</v>
      </c>
      <c r="K7" s="4" t="n">
        <f aca="false">Assumptions!K14</f>
        <v>6.2</v>
      </c>
      <c r="L7" s="4" t="n">
        <f aca="false">Assumptions!L14</f>
        <v>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735.83752</v>
      </c>
      <c r="D8" s="0" t="n">
        <f aca="false">D6*D7/100</f>
        <v>710.407841</v>
      </c>
      <c r="E8" s="0" t="n">
        <f aca="false">E6*E7/100</f>
        <v>698.877375273</v>
      </c>
      <c r="F8" s="0" t="n">
        <f aca="false">F6*F7/100</f>
        <v>698.10084485603</v>
      </c>
      <c r="G8" s="0" t="n">
        <f aca="false">G6*G7/100</f>
        <v>712.062861753151</v>
      </c>
      <c r="H8" s="0" t="n">
        <f aca="false">H6*H7/100</f>
        <v>726.304118988214</v>
      </c>
      <c r="I8" s="0" t="n">
        <f aca="false">I6*I7/100</f>
        <v>740.830201367978</v>
      </c>
      <c r="J8" s="0" t="n">
        <f aca="false">J6*J7/100</f>
        <v>755.646805395337</v>
      </c>
      <c r="K8" s="0" t="n">
        <f aca="false">K6*K7/100</f>
        <v>770.759741503244</v>
      </c>
      <c r="L8" s="0" t="n">
        <f aca="false">L6*L7/100</f>
        <v>786.174936333309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0.21</v>
      </c>
      <c r="D9" s="4" t="n">
        <f aca="false">Assumptions!D15</f>
        <v>0.21</v>
      </c>
      <c r="E9" s="4" t="n">
        <f aca="false">Assumptions!E15</f>
        <v>0.21</v>
      </c>
      <c r="F9" s="4" t="n">
        <f aca="false">Assumptions!F15</f>
        <v>0.21</v>
      </c>
      <c r="G9" s="4" t="n">
        <f aca="false">Assumptions!G15</f>
        <v>0.21</v>
      </c>
      <c r="H9" s="4" t="n">
        <f aca="false">Assumptions!H15</f>
        <v>0.21</v>
      </c>
      <c r="I9" s="4" t="n">
        <f aca="false">Assumptions!I15</f>
        <v>0.21</v>
      </c>
      <c r="J9" s="4" t="n">
        <f aca="false">Assumptions!J15</f>
        <v>0.21</v>
      </c>
      <c r="K9" s="4" t="n">
        <f aca="false">Assumptions!K15</f>
        <v>0.21</v>
      </c>
      <c r="L9" s="4" t="n">
        <f aca="false">Assumptions!L15</f>
        <v>0.21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-22.724394</v>
      </c>
      <c r="D10" s="0" t="n">
        <f aca="false">-D6*D9/100</f>
        <v>-22.95163794</v>
      </c>
      <c r="E10" s="0" t="n">
        <f aca="false">-E6*E9/100</f>
        <v>-23.2959125091</v>
      </c>
      <c r="F10" s="0" t="n">
        <f aca="false">-F6*F9/100</f>
        <v>-23.6453511967365</v>
      </c>
      <c r="G10" s="0" t="n">
        <f aca="false">-G6*G9/100</f>
        <v>-24.1182582206712</v>
      </c>
      <c r="H10" s="0" t="n">
        <f aca="false">-H6*H9/100</f>
        <v>-24.6006233850847</v>
      </c>
      <c r="I10" s="0" t="n">
        <f aca="false">-I6*I9/100</f>
        <v>-25.0926358527863</v>
      </c>
      <c r="J10" s="0" t="n">
        <f aca="false">-J6*J9/100</f>
        <v>-25.5944885698421</v>
      </c>
      <c r="K10" s="0" t="n">
        <f aca="false">-K6*K9/100</f>
        <v>-26.1063783412389</v>
      </c>
      <c r="L10" s="0" t="n">
        <f aca="false">-L6*L9/100</f>
        <v>-26.6285059080637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713.113126</v>
      </c>
      <c r="D11" s="0" t="n">
        <f aca="false">D8+D10+D24</f>
        <v>687.45620306</v>
      </c>
      <c r="E11" s="0" t="n">
        <f aca="false">E8+E10+E24</f>
        <v>675.5814627639</v>
      </c>
      <c r="F11" s="0" t="n">
        <f aca="false">F8+F10+F24</f>
        <v>674.455493659293</v>
      </c>
      <c r="G11" s="0" t="n">
        <f aca="false">G8+G10+G24</f>
        <v>687.944603532479</v>
      </c>
      <c r="H11" s="0" t="n">
        <f aca="false">H8+H10+H24</f>
        <v>701.703495603129</v>
      </c>
      <c r="I11" s="0" t="n">
        <f aca="false">I8+I10+I24</f>
        <v>715.737565515192</v>
      </c>
      <c r="J11" s="0" t="n">
        <f aca="false">J8+J10+J24</f>
        <v>730.052316825495</v>
      </c>
      <c r="K11" s="0" t="n">
        <f aca="false">K8+K10+K24</f>
        <v>744.653363162005</v>
      </c>
      <c r="L11" s="0" t="n">
        <f aca="false">L8+L10+L24</f>
        <v>759.546430425245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-292.17078</v>
      </c>
      <c r="D12" s="4" t="n">
        <f aca="false">-D6*Assumptions!D17/100</f>
        <v>-295.0924878</v>
      </c>
      <c r="E12" s="4" t="n">
        <f aca="false">-E6*Assumptions!E17/100</f>
        <v>-299.518875117</v>
      </c>
      <c r="F12" s="4" t="n">
        <f aca="false">-F6*Assumptions!F17/100</f>
        <v>-304.011658243755</v>
      </c>
      <c r="G12" s="4" t="n">
        <f aca="false">-G6*Assumptions!G17/100</f>
        <v>-310.09189140863</v>
      </c>
      <c r="H12" s="4" t="n">
        <f aca="false">-H6*Assumptions!H17/100</f>
        <v>-316.293729236803</v>
      </c>
      <c r="I12" s="4" t="n">
        <f aca="false">-I6*Assumptions!I17/100</f>
        <v>-322.619603821539</v>
      </c>
      <c r="J12" s="4" t="n">
        <f aca="false">-J6*Assumptions!J17/100</f>
        <v>-329.07199589797</v>
      </c>
      <c r="K12" s="4" t="n">
        <f aca="false">-K6*Assumptions!K17/100</f>
        <v>-335.653435815929</v>
      </c>
      <c r="L12" s="4" t="n">
        <f aca="false">-L6*Assumptions!L17/100</f>
        <v>-342.366504532248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420.942346</v>
      </c>
      <c r="D13" s="0" t="n">
        <f aca="false">D11+D12</f>
        <v>392.36371526</v>
      </c>
      <c r="E13" s="0" t="n">
        <f aca="false">E11+E12</f>
        <v>376.0625876469</v>
      </c>
      <c r="F13" s="0" t="n">
        <f aca="false">F11+F12</f>
        <v>370.443835415538</v>
      </c>
      <c r="G13" s="0" t="n">
        <f aca="false">G11+G12</f>
        <v>377.852712123849</v>
      </c>
      <c r="H13" s="0" t="n">
        <f aca="false">H11+H12</f>
        <v>385.409766366326</v>
      </c>
      <c r="I13" s="0" t="n">
        <f aca="false">I11+I12</f>
        <v>393.117961693653</v>
      </c>
      <c r="J13" s="0" t="n">
        <f aca="false">J11+J12</f>
        <v>400.980320927526</v>
      </c>
      <c r="K13" s="0" t="n">
        <f aca="false">K11+K12</f>
        <v>408.999927346076</v>
      </c>
      <c r="L13" s="0" t="n">
        <f aca="false">L11+L12</f>
        <v>417.179925892998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</v>
      </c>
      <c r="D14" s="4" t="n">
        <f aca="false">Assumptions!D19</f>
        <v>26</v>
      </c>
      <c r="E14" s="4" t="n">
        <f aca="false">Assumptions!E19</f>
        <v>27</v>
      </c>
      <c r="F14" s="4" t="n">
        <f aca="false">Assumptions!F19</f>
        <v>28</v>
      </c>
      <c r="G14" s="4" t="n">
        <f aca="false">Assumptions!G19</f>
        <v>29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315.7067595</v>
      </c>
      <c r="D15" s="0" t="n">
        <f aca="false">D13-MAX(0,D13)*D14/100</f>
        <v>290.3491492924</v>
      </c>
      <c r="E15" s="0" t="n">
        <f aca="false">E13-MAX(0,E13)*E14/100</f>
        <v>274.525688982237</v>
      </c>
      <c r="F15" s="0" t="n">
        <f aca="false">F13-MAX(0,F13)*F14/100</f>
        <v>266.719561499188</v>
      </c>
      <c r="G15" s="0" t="n">
        <f aca="false">G13-MAX(0,G13)*G14/100</f>
        <v>268.275425607933</v>
      </c>
      <c r="H15" s="0" t="n">
        <f aca="false">H13-MAX(0,H13)*H14/100</f>
        <v>269.786836456428</v>
      </c>
      <c r="I15" s="0" t="n">
        <f aca="false">I13-MAX(0,I13)*I14/100</f>
        <v>275.182573185557</v>
      </c>
      <c r="J15" s="0" t="n">
        <f aca="false">J13-MAX(0,J13)*J14/100</f>
        <v>280.686224649268</v>
      </c>
      <c r="K15" s="0" t="n">
        <f aca="false">K13-MAX(0,K13)*K14/100</f>
        <v>286.299949142253</v>
      </c>
      <c r="L15" s="0" t="n">
        <f aca="false">L13-MAX(0,L13)*L14/100</f>
        <v>292.025948125098</v>
      </c>
    </row>
    <row r="16" customFormat="false" ht="15" hidden="false" customHeight="false" outlineLevel="0" collapsed="false">
      <c r="A16" s="0" t="s">
        <v>119</v>
      </c>
      <c r="C16" s="0" t="n">
        <f aca="false">-C12</f>
        <v>292.17078</v>
      </c>
      <c r="D16" s="0" t="n">
        <f aca="false">-D12</f>
        <v>295.0924878</v>
      </c>
      <c r="E16" s="0" t="n">
        <f aca="false">-E12</f>
        <v>299.518875117</v>
      </c>
      <c r="F16" s="0" t="n">
        <f aca="false">-F12</f>
        <v>304.011658243755</v>
      </c>
      <c r="G16" s="0" t="n">
        <f aca="false">-G12</f>
        <v>310.09189140863</v>
      </c>
      <c r="H16" s="0" t="n">
        <f aca="false">-H12</f>
        <v>316.293729236803</v>
      </c>
      <c r="I16" s="0" t="n">
        <f aca="false">-I12</f>
        <v>322.619603821539</v>
      </c>
      <c r="J16" s="0" t="n">
        <f aca="false">-J12</f>
        <v>329.07199589797</v>
      </c>
      <c r="K16" s="0" t="n">
        <f aca="false">-K12</f>
        <v>335.653435815929</v>
      </c>
      <c r="L16" s="0" t="n">
        <f aca="false">-L12</f>
        <v>342.366504532248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-75.74798</v>
      </c>
      <c r="D17" s="4" t="n">
        <f aca="false">-D6*Assumptions!D18/100</f>
        <v>-76.5054598</v>
      </c>
      <c r="E17" s="4" t="n">
        <f aca="false">-E6*Assumptions!E18/100</f>
        <v>-77.653041697</v>
      </c>
      <c r="F17" s="4" t="n">
        <f aca="false">-F6*Assumptions!F18/100</f>
        <v>-78.817837322455</v>
      </c>
      <c r="G17" s="4" t="n">
        <f aca="false">-G6*Assumptions!G18/100</f>
        <v>-80.3941940689041</v>
      </c>
      <c r="H17" s="4" t="n">
        <f aca="false">-H6*Assumptions!H18/100</f>
        <v>-82.0020779502822</v>
      </c>
      <c r="I17" s="4" t="n">
        <f aca="false">-I6*Assumptions!I18/100</f>
        <v>-83.6421195092878</v>
      </c>
      <c r="J17" s="4" t="n">
        <f aca="false">-J6*Assumptions!J18/100</f>
        <v>-85.3149618994736</v>
      </c>
      <c r="K17" s="4" t="n">
        <f aca="false">-K6*Assumptions!K18/100</f>
        <v>-87.021261137463</v>
      </c>
      <c r="L17" s="4" t="n">
        <f aca="false">-L6*Assumptions!L18/100</f>
        <v>-88.7616863602123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-3.74989999999998</v>
      </c>
      <c r="D18" s="4" t="n">
        <f aca="false">(D6-C6)*Assumptions!$B$23/100</f>
        <v>-3.78739900000001</v>
      </c>
      <c r="E18" s="4" t="n">
        <f aca="false">(E6-D6)*Assumptions!$B$23/100</f>
        <v>-5.73790948499998</v>
      </c>
      <c r="F18" s="4" t="n">
        <f aca="false">(F6-E6)*Assumptions!$B$23/100</f>
        <v>-5.82397812727496</v>
      </c>
      <c r="G18" s="4" t="n">
        <f aca="false">(G6-F6)*Assumptions!$B$23/100</f>
        <v>-7.88178373224551</v>
      </c>
      <c r="H18" s="4" t="n">
        <f aca="false">(H6-G6)*Assumptions!$B$23/100</f>
        <v>-8.03941940689044</v>
      </c>
      <c r="I18" s="4" t="n">
        <f aca="false">(I6-H6)*Assumptions!$B$23/100</f>
        <v>-8.20020779502825</v>
      </c>
      <c r="J18" s="4" t="n">
        <f aca="false">(J6-I6)*Assumptions!$B$23/100</f>
        <v>-8.36421195092877</v>
      </c>
      <c r="K18" s="4" t="n">
        <f aca="false">(K6-J6)*Assumptions!$B$23/100</f>
        <v>-8.53149618994736</v>
      </c>
      <c r="L18" s="4" t="n">
        <f aca="false">(L6-K6)*Assumptions!$B$23/100</f>
        <v>-8.70212611374634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528.3796595</v>
      </c>
      <c r="D19" s="0" t="n">
        <f aca="false">D15+D16+D17+D18</f>
        <v>505.1487782924</v>
      </c>
      <c r="E19" s="0" t="n">
        <f aca="false">E15+E16+E17+E18</f>
        <v>490.653612917237</v>
      </c>
      <c r="F19" s="0" t="n">
        <f aca="false">F15+F16+F17+F18</f>
        <v>486.089404293213</v>
      </c>
      <c r="G19" s="0" t="n">
        <f aca="false">G15+G16+G17+G18</f>
        <v>490.091339215413</v>
      </c>
      <c r="H19" s="0" t="n">
        <f aca="false">H15+H16+H17+H18</f>
        <v>496.039068336059</v>
      </c>
      <c r="I19" s="0" t="n">
        <f aca="false">I15+I16+I17+I18</f>
        <v>505.95984970278</v>
      </c>
      <c r="J19" s="0" t="n">
        <f aca="false">J15+J16+J17+J18</f>
        <v>516.079046696835</v>
      </c>
      <c r="K19" s="0" t="n">
        <f aca="false">K15+K16+K17+K18</f>
        <v>526.400627630772</v>
      </c>
      <c r="L19" s="0" t="n">
        <f aca="false">L15+L16+L17+L18</f>
        <v>536.928640183387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478.171637556561</v>
      </c>
      <c r="D21" s="0" t="n">
        <f aca="false">D19*D20</f>
        <v>413.708792442743</v>
      </c>
      <c r="E21" s="0" t="n">
        <f aca="false">E19*E20</f>
        <v>363.653830945006</v>
      </c>
      <c r="F21" s="0" t="n">
        <f aca="false">F19*F20</f>
        <v>326.037115643807</v>
      </c>
      <c r="G21" s="0" t="n">
        <f aca="false">G19*G20</f>
        <v>297.485387296015</v>
      </c>
      <c r="H21" s="0" t="n">
        <f aca="false">H19*H20</f>
        <v>272.484758549677</v>
      </c>
      <c r="I21" s="0" t="n">
        <f aca="false">I19*I20</f>
        <v>251.524392507394</v>
      </c>
      <c r="J21" s="0" t="n">
        <f aca="false">J19*J20</f>
        <v>232.176362314518</v>
      </c>
      <c r="K21" s="0" t="n">
        <f aca="false">K19*K20</f>
        <v>214.316642136478</v>
      </c>
      <c r="L21" s="0" t="n">
        <f aca="false">L19*L20</f>
        <v>197.830746587518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3047.38966597972</v>
      </c>
    </row>
    <row r="31" customFormat="false" ht="15" hidden="false" customHeight="false" outlineLevel="0" collapsed="false">
      <c r="A31" s="0" t="s">
        <v>128</v>
      </c>
      <c r="B31" s="0" t="n">
        <f aca="false">L19</f>
        <v>536.928640183387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6443.14368220065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5906.21504201726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5906.21504201726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2176.1382124627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5223.52787844241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3477.52787844241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7.08254150395603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-0.26453359252793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145.070123050641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117.734912464415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7.61778597547346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4212.82471528504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3.74071980886988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6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10714</v>
      </c>
      <c r="C6" s="0" t="n">
        <f aca="false">B6*(1+C5/100)</f>
        <v>11356.84</v>
      </c>
      <c r="D6" s="0" t="n">
        <f aca="false">C6*(1+D5/100)</f>
        <v>12038.2504</v>
      </c>
      <c r="E6" s="0" t="n">
        <f aca="false">D6*(1+E5/100)</f>
        <v>12700.354172</v>
      </c>
      <c r="F6" s="0" t="n">
        <f aca="false">E6*(1+F5/100)</f>
        <v>13335.3718806</v>
      </c>
      <c r="G6" s="0" t="n">
        <f aca="false">F6*(1+G5/100)</f>
        <v>13935.463615227</v>
      </c>
      <c r="H6" s="0" t="n">
        <f aca="false">G6*(1+H5/100)</f>
        <v>14492.8821598361</v>
      </c>
      <c r="I6" s="0" t="n">
        <f aca="false">H6*(1+I5/100)</f>
        <v>15000.1330354303</v>
      </c>
      <c r="J6" s="0" t="n">
        <f aca="false">I6*(1+J5/100)</f>
        <v>15450.1370264933</v>
      </c>
      <c r="K6" s="0" t="n">
        <f aca="false">J6*(1+K5/100)</f>
        <v>15875.0157947218</v>
      </c>
      <c r="L6" s="0" t="n">
        <f aca="false">K6*(1+L5/100)</f>
        <v>16271.8911895899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7.6</v>
      </c>
      <c r="D7" s="4" t="n">
        <f aca="false">Assumptions!D28</f>
        <v>7.8</v>
      </c>
      <c r="E7" s="4" t="n">
        <f aca="false">Assumptions!E28</f>
        <v>8</v>
      </c>
      <c r="F7" s="4" t="n">
        <f aca="false">Assumptions!F28</f>
        <v>8.1</v>
      </c>
      <c r="G7" s="4" t="n">
        <f aca="false">Assumptions!G28</f>
        <v>8.2</v>
      </c>
      <c r="H7" s="4" t="n">
        <f aca="false">Assumptions!H28</f>
        <v>8.3</v>
      </c>
      <c r="I7" s="4" t="n">
        <f aca="false">Assumptions!I28</f>
        <v>8.3</v>
      </c>
      <c r="J7" s="4" t="n">
        <f aca="false">Assumptions!J28</f>
        <v>8.3</v>
      </c>
      <c r="K7" s="4" t="n">
        <f aca="false">Assumptions!K28</f>
        <v>8.3</v>
      </c>
      <c r="L7" s="4" t="n">
        <f aca="false">Assumptions!L28</f>
        <v>8.3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863.11984</v>
      </c>
      <c r="D8" s="0" t="n">
        <f aca="false">D6*D7/100</f>
        <v>938.9835312</v>
      </c>
      <c r="E8" s="0" t="n">
        <f aca="false">E6*E7/100</f>
        <v>1016.02833376</v>
      </c>
      <c r="F8" s="0" t="n">
        <f aca="false">F6*F7/100</f>
        <v>1080.1651223286</v>
      </c>
      <c r="G8" s="0" t="n">
        <f aca="false">G6*G7/100</f>
        <v>1142.70801644861</v>
      </c>
      <c r="H8" s="0" t="n">
        <f aca="false">H6*H7/100</f>
        <v>1202.90921926639</v>
      </c>
      <c r="I8" s="0" t="n">
        <f aca="false">I6*I7/100</f>
        <v>1245.01104194072</v>
      </c>
      <c r="J8" s="0" t="n">
        <f aca="false">J6*J7/100</f>
        <v>1282.36137319894</v>
      </c>
      <c r="K8" s="0" t="n">
        <f aca="false">K6*K7/100</f>
        <v>1317.62631096191</v>
      </c>
      <c r="L8" s="0" t="n">
        <f aca="false">L6*L7/100</f>
        <v>1350.56696873596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0.21</v>
      </c>
      <c r="D9" s="4" t="n">
        <f aca="false">Assumptions!D29</f>
        <v>0.21</v>
      </c>
      <c r="E9" s="4" t="n">
        <f aca="false">Assumptions!E29</f>
        <v>0.21</v>
      </c>
      <c r="F9" s="4" t="n">
        <f aca="false">Assumptions!F29</f>
        <v>0.21</v>
      </c>
      <c r="G9" s="4" t="n">
        <f aca="false">Assumptions!G29</f>
        <v>0.21</v>
      </c>
      <c r="H9" s="4" t="n">
        <f aca="false">Assumptions!H29</f>
        <v>0.21</v>
      </c>
      <c r="I9" s="4" t="n">
        <f aca="false">Assumptions!I29</f>
        <v>0.21</v>
      </c>
      <c r="J9" s="4" t="n">
        <f aca="false">Assumptions!J29</f>
        <v>0.21</v>
      </c>
      <c r="K9" s="4" t="n">
        <f aca="false">Assumptions!K29</f>
        <v>0.21</v>
      </c>
      <c r="L9" s="4" t="n">
        <f aca="false">Assumptions!L29</f>
        <v>0.21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-23.849364</v>
      </c>
      <c r="D10" s="0" t="n">
        <f aca="false">-D6*D9/100</f>
        <v>-25.28032584</v>
      </c>
      <c r="E10" s="0" t="n">
        <f aca="false">-E6*E9/100</f>
        <v>-26.6707437612</v>
      </c>
      <c r="F10" s="0" t="n">
        <f aca="false">-F6*F9/100</f>
        <v>-28.00428094926</v>
      </c>
      <c r="G10" s="0" t="n">
        <f aca="false">-G6*G9/100</f>
        <v>-29.2644735919767</v>
      </c>
      <c r="H10" s="0" t="n">
        <f aca="false">-H6*H9/100</f>
        <v>-30.4350525356558</v>
      </c>
      <c r="I10" s="0" t="n">
        <f aca="false">-I6*I9/100</f>
        <v>-31.5002793744037</v>
      </c>
      <c r="J10" s="0" t="n">
        <f aca="false">-J6*J9/100</f>
        <v>-32.4452877556358</v>
      </c>
      <c r="K10" s="0" t="n">
        <f aca="false">-K6*K9/100</f>
        <v>-33.3375331689158</v>
      </c>
      <c r="L10" s="0" t="n">
        <f aca="false">-L6*L9/100</f>
        <v>-34.1709714981387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839.270476</v>
      </c>
      <c r="D11" s="0" t="n">
        <f aca="false">D8+D10+D24</f>
        <v>913.70320536</v>
      </c>
      <c r="E11" s="0" t="n">
        <f aca="false">E8+E10+E24</f>
        <v>989.3575899988</v>
      </c>
      <c r="F11" s="0" t="n">
        <f aca="false">F8+F10+F24</f>
        <v>1052.16084137934</v>
      </c>
      <c r="G11" s="0" t="n">
        <f aca="false">G8+G10+G24</f>
        <v>1113.44354285664</v>
      </c>
      <c r="H11" s="0" t="n">
        <f aca="false">H8+H10+H24</f>
        <v>1172.47416673074</v>
      </c>
      <c r="I11" s="0" t="n">
        <f aca="false">I8+I10+I24</f>
        <v>1213.51076256631</v>
      </c>
      <c r="J11" s="0" t="n">
        <f aca="false">J8+J10+J24</f>
        <v>1249.9160854433</v>
      </c>
      <c r="K11" s="0" t="n">
        <f aca="false">K8+K10+K24</f>
        <v>1284.288777793</v>
      </c>
      <c r="L11" s="0" t="n">
        <f aca="false">L8+L10+L24</f>
        <v>1316.39599723782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-283.921</v>
      </c>
      <c r="D12" s="4" t="n">
        <f aca="false">-D6*Assumptions!D31/100</f>
        <v>-300.95626</v>
      </c>
      <c r="E12" s="4" t="n">
        <f aca="false">-E6*Assumptions!E31/100</f>
        <v>-317.5088543</v>
      </c>
      <c r="F12" s="4" t="n">
        <f aca="false">-F6*Assumptions!F31/100</f>
        <v>-333.384297015</v>
      </c>
      <c r="G12" s="4" t="n">
        <f aca="false">-G6*Assumptions!G31/100</f>
        <v>-348.386590380675</v>
      </c>
      <c r="H12" s="4" t="n">
        <f aca="false">-H6*Assumptions!H31/100</f>
        <v>-362.322053995902</v>
      </c>
      <c r="I12" s="4" t="n">
        <f aca="false">-I6*Assumptions!I31/100</f>
        <v>-375.003325885759</v>
      </c>
      <c r="J12" s="4" t="n">
        <f aca="false">-J6*Assumptions!J31/100</f>
        <v>-386.253425662331</v>
      </c>
      <c r="K12" s="4" t="n">
        <f aca="false">-K6*Assumptions!K31/100</f>
        <v>-396.875394868045</v>
      </c>
      <c r="L12" s="4" t="n">
        <f aca="false">-L6*Assumptions!L31/100</f>
        <v>-406.797279739747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555.349476</v>
      </c>
      <c r="D13" s="0" t="n">
        <f aca="false">D11+D12</f>
        <v>612.74694536</v>
      </c>
      <c r="E13" s="0" t="n">
        <f aca="false">E11+E12</f>
        <v>671.8487356988</v>
      </c>
      <c r="F13" s="0" t="n">
        <f aca="false">F11+F12</f>
        <v>718.77654436434</v>
      </c>
      <c r="G13" s="0" t="n">
        <f aca="false">G11+G12</f>
        <v>765.056952475962</v>
      </c>
      <c r="H13" s="0" t="n">
        <f aca="false">H11+H12</f>
        <v>810.152112734837</v>
      </c>
      <c r="I13" s="0" t="n">
        <f aca="false">I11+I12</f>
        <v>838.507436680556</v>
      </c>
      <c r="J13" s="0" t="n">
        <f aca="false">J11+J12</f>
        <v>863.662659780973</v>
      </c>
      <c r="K13" s="0" t="n">
        <f aca="false">K11+K12</f>
        <v>887.41338292495</v>
      </c>
      <c r="L13" s="0" t="n">
        <f aca="false">L11+L12</f>
        <v>909.598717498073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23</v>
      </c>
      <c r="D14" s="4" t="n">
        <f aca="false">Assumptions!D33</f>
        <v>24</v>
      </c>
      <c r="E14" s="4" t="n">
        <f aca="false">Assumptions!E33</f>
        <v>25</v>
      </c>
      <c r="F14" s="4" t="n">
        <f aca="false">Assumptions!F33</f>
        <v>26</v>
      </c>
      <c r="G14" s="4" t="n">
        <f aca="false">Assumptions!G33</f>
        <v>27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427.61909652</v>
      </c>
      <c r="D15" s="0" t="n">
        <f aca="false">D13-MAX(0,D13)*D14/100</f>
        <v>465.6876784736</v>
      </c>
      <c r="E15" s="0" t="n">
        <f aca="false">E13-MAX(0,E13)*E14/100</f>
        <v>503.8865517741</v>
      </c>
      <c r="F15" s="0" t="n">
        <f aca="false">F13-MAX(0,F13)*F14/100</f>
        <v>531.894642829612</v>
      </c>
      <c r="G15" s="0" t="n">
        <f aca="false">G13-MAX(0,G13)*G14/100</f>
        <v>558.491575307453</v>
      </c>
      <c r="H15" s="0" t="n">
        <f aca="false">H13-MAX(0,H13)*H14/100</f>
        <v>583.309521169083</v>
      </c>
      <c r="I15" s="0" t="n">
        <f aca="false">I13-MAX(0,I13)*I14/100</f>
        <v>603.72535441</v>
      </c>
      <c r="J15" s="0" t="n">
        <f aca="false">J13-MAX(0,J13)*J14/100</f>
        <v>621.837115042301</v>
      </c>
      <c r="K15" s="0" t="n">
        <f aca="false">K13-MAX(0,K13)*K14/100</f>
        <v>638.937635705964</v>
      </c>
      <c r="L15" s="0" t="n">
        <f aca="false">L13-MAX(0,L13)*L14/100</f>
        <v>654.911076598613</v>
      </c>
    </row>
    <row r="16" customFormat="false" ht="15" hidden="false" customHeight="false" outlineLevel="0" collapsed="false">
      <c r="A16" s="0" t="s">
        <v>119</v>
      </c>
      <c r="C16" s="0" t="n">
        <f aca="false">-C12</f>
        <v>283.921</v>
      </c>
      <c r="D16" s="0" t="n">
        <f aca="false">-D12</f>
        <v>300.95626</v>
      </c>
      <c r="E16" s="0" t="n">
        <f aca="false">-E12</f>
        <v>317.5088543</v>
      </c>
      <c r="F16" s="0" t="n">
        <f aca="false">-F12</f>
        <v>333.384297015</v>
      </c>
      <c r="G16" s="0" t="n">
        <f aca="false">-G12</f>
        <v>348.386590380675</v>
      </c>
      <c r="H16" s="0" t="n">
        <f aca="false">-H12</f>
        <v>362.322053995902</v>
      </c>
      <c r="I16" s="0" t="n">
        <f aca="false">-I12</f>
        <v>375.003325885759</v>
      </c>
      <c r="J16" s="0" t="n">
        <f aca="false">-J12</f>
        <v>386.253425662331</v>
      </c>
      <c r="K16" s="0" t="n">
        <f aca="false">-K12</f>
        <v>396.875394868045</v>
      </c>
      <c r="L16" s="0" t="n">
        <f aca="false">-L12</f>
        <v>406.797279739747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-73.81946</v>
      </c>
      <c r="D17" s="4" t="n">
        <f aca="false">-D6*Assumptions!D32/100</f>
        <v>-78.2486276</v>
      </c>
      <c r="E17" s="4" t="n">
        <f aca="false">-E6*Assumptions!E32/100</f>
        <v>-82.552302118</v>
      </c>
      <c r="F17" s="4" t="n">
        <f aca="false">-F6*Assumptions!F32/100</f>
        <v>-86.6799172239</v>
      </c>
      <c r="G17" s="4" t="n">
        <f aca="false">-G6*Assumptions!G32/100</f>
        <v>-90.5805134989755</v>
      </c>
      <c r="H17" s="4" t="n">
        <f aca="false">-H6*Assumptions!H32/100</f>
        <v>-94.2037340389345</v>
      </c>
      <c r="I17" s="4" t="n">
        <f aca="false">-I6*Assumptions!I32/100</f>
        <v>-97.5008647302972</v>
      </c>
      <c r="J17" s="4" t="n">
        <f aca="false">-J6*Assumptions!J32/100</f>
        <v>-100.425890672206</v>
      </c>
      <c r="K17" s="4" t="n">
        <f aca="false">-K6*Assumptions!K32/100</f>
        <v>-103.187602665692</v>
      </c>
      <c r="L17" s="4" t="n">
        <f aca="false">-L6*Assumptions!L32/100</f>
        <v>-105.767292732334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-19.2852</v>
      </c>
      <c r="D18" s="4" t="n">
        <f aca="false">(D6-C6)*Assumptions!$B$37/100</f>
        <v>-20.442312</v>
      </c>
      <c r="E18" s="4" t="n">
        <f aca="false">(E6-D6)*Assumptions!$B$37/100</f>
        <v>-19.86311316</v>
      </c>
      <c r="F18" s="4" t="n">
        <f aca="false">(F6-E6)*Assumptions!$B$37/100</f>
        <v>-19.050531258</v>
      </c>
      <c r="G18" s="4" t="n">
        <f aca="false">(G6-F6)*Assumptions!$B$37/100</f>
        <v>-18.00275203881</v>
      </c>
      <c r="H18" s="4" t="n">
        <f aca="false">(H6-G6)*Assumptions!$B$37/100</f>
        <v>-16.7225563382724</v>
      </c>
      <c r="I18" s="4" t="n">
        <f aca="false">(I6-H6)*Assumptions!$B$37/100</f>
        <v>-15.2175262678279</v>
      </c>
      <c r="J18" s="4" t="n">
        <f aca="false">(J6-I6)*Assumptions!$B$37/100</f>
        <v>-13.5001197318873</v>
      </c>
      <c r="K18" s="4" t="n">
        <f aca="false">(K6-J6)*Assumptions!$B$37/100</f>
        <v>-12.746363046857</v>
      </c>
      <c r="L18" s="4" t="n">
        <f aca="false">(L6-K6)*Assumptions!$B$37/100</f>
        <v>-11.9062618460413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618.43543652</v>
      </c>
      <c r="D19" s="0" t="n">
        <f aca="false">D15+D16+D17+D18</f>
        <v>667.9529988736</v>
      </c>
      <c r="E19" s="0" t="n">
        <f aca="false">E15+E16+E17+E18</f>
        <v>718.9799907961</v>
      </c>
      <c r="F19" s="0" t="n">
        <f aca="false">F15+F16+F17+F18</f>
        <v>759.548491362712</v>
      </c>
      <c r="G19" s="0" t="n">
        <f aca="false">G15+G16+G17+G18</f>
        <v>798.294900150342</v>
      </c>
      <c r="H19" s="0" t="n">
        <f aca="false">H15+H16+H17+H18</f>
        <v>834.705284787778</v>
      </c>
      <c r="I19" s="0" t="n">
        <f aca="false">I15+I16+I17+I18</f>
        <v>866.010289297634</v>
      </c>
      <c r="J19" s="0" t="n">
        <f aca="false">J15+J16+J17+J18</f>
        <v>894.164530300538</v>
      </c>
      <c r="K19" s="0" t="n">
        <f aca="false">K15+K16+K17+K18</f>
        <v>919.879064861461</v>
      </c>
      <c r="L19" s="0" t="n">
        <f aca="false">L15+L16+L17+L18</f>
        <v>944.034801759984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564.78122056621</v>
      </c>
      <c r="D21" s="0" t="n">
        <f aca="false">D19*D20</f>
        <v>557.080126664248</v>
      </c>
      <c r="E21" s="0" t="n">
        <f aca="false">E19*E20</f>
        <v>547.613879043923</v>
      </c>
      <c r="F21" s="0" t="n">
        <f aca="false">F19*F20</f>
        <v>528.322405246182</v>
      </c>
      <c r="G21" s="0" t="n">
        <f aca="false">G19*G20</f>
        <v>507.099005628919</v>
      </c>
      <c r="H21" s="0" t="n">
        <f aca="false">H19*H20</f>
        <v>484.226382880522</v>
      </c>
      <c r="I21" s="0" t="n">
        <f aca="false">I19*I20</f>
        <v>458.800854177857</v>
      </c>
      <c r="J21" s="0" t="n">
        <f aca="false">J19*J20</f>
        <v>432.617900035151</v>
      </c>
      <c r="K21" s="0" t="n">
        <f aca="false">K19*K20</f>
        <v>406.446756768053</v>
      </c>
      <c r="L21" s="0" t="n">
        <f aca="false">L19*L20</f>
        <v>380.931435285913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4867.91996629698</v>
      </c>
    </row>
    <row r="31" customFormat="false" ht="15" hidden="false" customHeight="false" outlineLevel="0" collapsed="false">
      <c r="A31" s="0" t="s">
        <v>128</v>
      </c>
      <c r="B31" s="0" t="n">
        <f aca="false">L19</f>
        <v>944.034801759984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13823.3667400569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13216.4872246398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13216.4872246398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5333.04009400278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10200.9600602998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8454.96006029975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17.2198779232174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0.788149317052691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179.80754943572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201.902622407463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17.9972917151587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7741.08537443187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8.12178965795969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10714</v>
      </c>
      <c r="C6" s="0" t="n">
        <f aca="false">B6*(1+C5/100)</f>
        <v>11678.26</v>
      </c>
      <c r="D6" s="0" t="n">
        <f aca="false">C6*(1+D5/100)</f>
        <v>12729.3034</v>
      </c>
      <c r="E6" s="0" t="n">
        <f aca="false">D6*(1+E5/100)</f>
        <v>13811.294189</v>
      </c>
      <c r="F6" s="0" t="n">
        <f aca="false">E6*(1+F5/100)</f>
        <v>14916.19772412</v>
      </c>
      <c r="G6" s="0" t="n">
        <f aca="false">F6*(1+G5/100)</f>
        <v>15960.3315648084</v>
      </c>
      <c r="H6" s="0" t="n">
        <f aca="false">G6*(1+H5/100)</f>
        <v>16917.9514586969</v>
      </c>
      <c r="I6" s="0" t="n">
        <f aca="false">H6*(1+I5/100)</f>
        <v>17763.8490316318</v>
      </c>
      <c r="J6" s="0" t="n">
        <f aca="false">I6*(1+J5/100)</f>
        <v>18474.402992897</v>
      </c>
      <c r="K6" s="0" t="n">
        <f aca="false">J6*(1+K5/100)</f>
        <v>19121.0070976484</v>
      </c>
      <c r="L6" s="0" t="n">
        <f aca="false">K6*(1+L5/100)</f>
        <v>19694.6373105779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7.9</v>
      </c>
      <c r="D7" s="4" t="n">
        <f aca="false">Assumptions!D42</f>
        <v>8.3</v>
      </c>
      <c r="E7" s="4" t="n">
        <f aca="false">Assumptions!E42</f>
        <v>8.7</v>
      </c>
      <c r="F7" s="4" t="n">
        <f aca="false">Assumptions!F42</f>
        <v>9</v>
      </c>
      <c r="G7" s="4" t="n">
        <f aca="false">Assumptions!G42</f>
        <v>9.2</v>
      </c>
      <c r="H7" s="4" t="n">
        <f aca="false">Assumptions!H42</f>
        <v>9.3</v>
      </c>
      <c r="I7" s="4" t="n">
        <f aca="false">Assumptions!I42</f>
        <v>9.3</v>
      </c>
      <c r="J7" s="4" t="n">
        <f aca="false">Assumptions!J42</f>
        <v>9.3</v>
      </c>
      <c r="K7" s="4" t="n">
        <f aca="false">Assumptions!K42</f>
        <v>9.3</v>
      </c>
      <c r="L7" s="4" t="n">
        <f aca="false">Assumptions!L42</f>
        <v>9.3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922.58254</v>
      </c>
      <c r="D8" s="0" t="n">
        <f aca="false">D6*D7/100</f>
        <v>1056.5321822</v>
      </c>
      <c r="E8" s="0" t="n">
        <f aca="false">E6*E7/100</f>
        <v>1201.582594443</v>
      </c>
      <c r="F8" s="0" t="n">
        <f aca="false">F6*F7/100</f>
        <v>1342.4577951708</v>
      </c>
      <c r="G8" s="0" t="n">
        <f aca="false">G6*G7/100</f>
        <v>1468.35050396237</v>
      </c>
      <c r="H8" s="0" t="n">
        <f aca="false">H6*H7/100</f>
        <v>1573.36948565881</v>
      </c>
      <c r="I8" s="0" t="n">
        <f aca="false">I6*I7/100</f>
        <v>1652.03795994175</v>
      </c>
      <c r="J8" s="0" t="n">
        <f aca="false">J6*J7/100</f>
        <v>1718.11947833942</v>
      </c>
      <c r="K8" s="0" t="n">
        <f aca="false">K6*K7/100</f>
        <v>1778.2536600813</v>
      </c>
      <c r="L8" s="0" t="n">
        <f aca="false">L6*L7/100</f>
        <v>1831.60126988374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0.21</v>
      </c>
      <c r="D9" s="4" t="n">
        <f aca="false">Assumptions!D43</f>
        <v>0.21</v>
      </c>
      <c r="E9" s="4" t="n">
        <f aca="false">Assumptions!E43</f>
        <v>0.21</v>
      </c>
      <c r="F9" s="4" t="n">
        <f aca="false">Assumptions!F43</f>
        <v>0.21</v>
      </c>
      <c r="G9" s="4" t="n">
        <f aca="false">Assumptions!G43</f>
        <v>0.21</v>
      </c>
      <c r="H9" s="4" t="n">
        <f aca="false">Assumptions!H43</f>
        <v>0.21</v>
      </c>
      <c r="I9" s="4" t="n">
        <f aca="false">Assumptions!I43</f>
        <v>0.21</v>
      </c>
      <c r="J9" s="4" t="n">
        <f aca="false">Assumptions!J43</f>
        <v>0.21</v>
      </c>
      <c r="K9" s="4" t="n">
        <f aca="false">Assumptions!K43</f>
        <v>0.21</v>
      </c>
      <c r="L9" s="4" t="n">
        <f aca="false">Assumptions!L43</f>
        <v>0.21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-24.524346</v>
      </c>
      <c r="D10" s="0" t="n">
        <f aca="false">-D6*D9/100</f>
        <v>-26.73153714</v>
      </c>
      <c r="E10" s="0" t="n">
        <f aca="false">-E6*E9/100</f>
        <v>-29.0037177969</v>
      </c>
      <c r="F10" s="0" t="n">
        <f aca="false">-F6*F9/100</f>
        <v>-31.324015220652</v>
      </c>
      <c r="G10" s="0" t="n">
        <f aca="false">-G6*G9/100</f>
        <v>-33.5166962860976</v>
      </c>
      <c r="H10" s="0" t="n">
        <f aca="false">-H6*H9/100</f>
        <v>-35.5276980632635</v>
      </c>
      <c r="I10" s="0" t="n">
        <f aca="false">-I6*I9/100</f>
        <v>-37.3040829664267</v>
      </c>
      <c r="J10" s="0" t="n">
        <f aca="false">-J6*J9/100</f>
        <v>-38.7962462850838</v>
      </c>
      <c r="K10" s="0" t="n">
        <f aca="false">-K6*K9/100</f>
        <v>-40.1541149050617</v>
      </c>
      <c r="L10" s="0" t="n">
        <f aca="false">-L6*L9/100</f>
        <v>-41.3587383522135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898.058194</v>
      </c>
      <c r="D11" s="0" t="n">
        <f aca="false">D8+D10+D24</f>
        <v>1029.80064506</v>
      </c>
      <c r="E11" s="0" t="n">
        <f aca="false">E8+E10+E24</f>
        <v>1172.5788766461</v>
      </c>
      <c r="F11" s="0" t="n">
        <f aca="false">F8+F10+F24</f>
        <v>1311.13377995015</v>
      </c>
      <c r="G11" s="0" t="n">
        <f aca="false">G8+G10+G24</f>
        <v>1434.83380767628</v>
      </c>
      <c r="H11" s="0" t="n">
        <f aca="false">H8+H10+H24</f>
        <v>1537.84178759555</v>
      </c>
      <c r="I11" s="0" t="n">
        <f aca="false">I8+I10+I24</f>
        <v>1614.73387697533</v>
      </c>
      <c r="J11" s="0" t="n">
        <f aca="false">J8+J10+J24</f>
        <v>1679.32323205434</v>
      </c>
      <c r="K11" s="0" t="n">
        <f aca="false">K8+K10+K24</f>
        <v>1738.09954517624</v>
      </c>
      <c r="L11" s="0" t="n">
        <f aca="false">L8+L10+L24</f>
        <v>1790.24253153153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-280.27824</v>
      </c>
      <c r="D12" s="4" t="n">
        <f aca="false">-D6*Assumptions!D45/100</f>
        <v>-305.5032816</v>
      </c>
      <c r="E12" s="4" t="n">
        <f aca="false">-E6*Assumptions!E45/100</f>
        <v>-331.471060536</v>
      </c>
      <c r="F12" s="4" t="n">
        <f aca="false">-F6*Assumptions!F45/100</f>
        <v>-357.98874537888</v>
      </c>
      <c r="G12" s="4" t="n">
        <f aca="false">-G6*Assumptions!G45/100</f>
        <v>-383.047957555402</v>
      </c>
      <c r="H12" s="4" t="n">
        <f aca="false">-H6*Assumptions!H45/100</f>
        <v>-406.030835008726</v>
      </c>
      <c r="I12" s="4" t="n">
        <f aca="false">-I6*Assumptions!I45/100</f>
        <v>-426.332376759162</v>
      </c>
      <c r="J12" s="4" t="n">
        <f aca="false">-J6*Assumptions!J45/100</f>
        <v>-443.385671829529</v>
      </c>
      <c r="K12" s="4" t="n">
        <f aca="false">-K6*Assumptions!K45/100</f>
        <v>-458.904170343562</v>
      </c>
      <c r="L12" s="4" t="n">
        <f aca="false">-L6*Assumptions!L45/100</f>
        <v>-472.671295453869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617.779954</v>
      </c>
      <c r="D13" s="0" t="n">
        <f aca="false">D11+D12</f>
        <v>724.29736346</v>
      </c>
      <c r="E13" s="0" t="n">
        <f aca="false">E11+E12</f>
        <v>841.1078161101</v>
      </c>
      <c r="F13" s="0" t="n">
        <f aca="false">F11+F12</f>
        <v>953.145034571268</v>
      </c>
      <c r="G13" s="0" t="n">
        <f aca="false">G11+G12</f>
        <v>1051.78585012087</v>
      </c>
      <c r="H13" s="0" t="n">
        <f aca="false">H11+H12</f>
        <v>1131.81095258682</v>
      </c>
      <c r="I13" s="0" t="n">
        <f aca="false">I11+I12</f>
        <v>1188.40150021616</v>
      </c>
      <c r="J13" s="0" t="n">
        <f aca="false">J11+J12</f>
        <v>1235.93756022481</v>
      </c>
      <c r="K13" s="0" t="n">
        <f aca="false">K11+K12</f>
        <v>1279.19537483268</v>
      </c>
      <c r="L13" s="0" t="n">
        <f aca="false">L11+L12</f>
        <v>1317.57123607766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26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481.86836412</v>
      </c>
      <c r="D15" s="0" t="n">
        <f aca="false">D13-MAX(0,D13)*D14/100</f>
        <v>557.7089698642</v>
      </c>
      <c r="E15" s="0" t="n">
        <f aca="false">E13-MAX(0,E13)*E14/100</f>
        <v>639.241940243676</v>
      </c>
      <c r="F15" s="0" t="n">
        <f aca="false">F13-MAX(0,F13)*F14/100</f>
        <v>714.858775928451</v>
      </c>
      <c r="G15" s="0" t="n">
        <f aca="false">G13-MAX(0,G13)*G14/100</f>
        <v>778.321529089447</v>
      </c>
      <c r="H15" s="0" t="n">
        <f aca="false">H13-MAX(0,H13)*H14/100</f>
        <v>826.221995388381</v>
      </c>
      <c r="I15" s="0" t="n">
        <f aca="false">I13-MAX(0,I13)*I14/100</f>
        <v>867.5330951578</v>
      </c>
      <c r="J15" s="0" t="n">
        <f aca="false">J13-MAX(0,J13)*J14/100</f>
        <v>902.234418964112</v>
      </c>
      <c r="K15" s="0" t="n">
        <f aca="false">K13-MAX(0,K13)*K14/100</f>
        <v>933.812623627856</v>
      </c>
      <c r="L15" s="0" t="n">
        <f aca="false">L13-MAX(0,L13)*L14/100</f>
        <v>961.827002336692</v>
      </c>
    </row>
    <row r="16" customFormat="false" ht="15" hidden="false" customHeight="false" outlineLevel="0" collapsed="false">
      <c r="A16" s="0" t="s">
        <v>119</v>
      </c>
      <c r="C16" s="0" t="n">
        <f aca="false">-C12</f>
        <v>280.27824</v>
      </c>
      <c r="D16" s="0" t="n">
        <f aca="false">-D12</f>
        <v>305.5032816</v>
      </c>
      <c r="E16" s="0" t="n">
        <f aca="false">-E12</f>
        <v>331.471060536</v>
      </c>
      <c r="F16" s="0" t="n">
        <f aca="false">-F12</f>
        <v>357.98874537888</v>
      </c>
      <c r="G16" s="0" t="n">
        <f aca="false">-G12</f>
        <v>383.047957555402</v>
      </c>
      <c r="H16" s="0" t="n">
        <f aca="false">-H12</f>
        <v>406.030835008726</v>
      </c>
      <c r="I16" s="0" t="n">
        <f aca="false">-I12</f>
        <v>426.332376759162</v>
      </c>
      <c r="J16" s="0" t="n">
        <f aca="false">-J12</f>
        <v>443.385671829529</v>
      </c>
      <c r="K16" s="0" t="n">
        <f aca="false">-K12</f>
        <v>458.904170343562</v>
      </c>
      <c r="L16" s="0" t="n">
        <f aca="false">-L12</f>
        <v>472.671295453869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-75.90869</v>
      </c>
      <c r="D17" s="4" t="n">
        <f aca="false">-D6*Assumptions!D46/100</f>
        <v>-82.7404721</v>
      </c>
      <c r="E17" s="4" t="n">
        <f aca="false">-E6*Assumptions!E46/100</f>
        <v>-89.7734122285</v>
      </c>
      <c r="F17" s="4" t="n">
        <f aca="false">-F6*Assumptions!F46/100</f>
        <v>-96.95528520678</v>
      </c>
      <c r="G17" s="4" t="n">
        <f aca="false">-G6*Assumptions!G46/100</f>
        <v>-103.742155171255</v>
      </c>
      <c r="H17" s="4" t="n">
        <f aca="false">-H6*Assumptions!H46/100</f>
        <v>-109.96668448153</v>
      </c>
      <c r="I17" s="4" t="n">
        <f aca="false">-I6*Assumptions!I46/100</f>
        <v>-115.465018705606</v>
      </c>
      <c r="J17" s="4" t="n">
        <f aca="false">-J6*Assumptions!J46/100</f>
        <v>-120.083619453831</v>
      </c>
      <c r="K17" s="4" t="n">
        <f aca="false">-K6*Assumptions!K46/100</f>
        <v>-124.286546134715</v>
      </c>
      <c r="L17" s="4" t="n">
        <f aca="false">-L6*Assumptions!L46/100</f>
        <v>-128.015142518756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-24.1065</v>
      </c>
      <c r="D18" s="4" t="n">
        <f aca="false">(D6-C6)*Assumptions!$B$51/100</f>
        <v>-26.276085</v>
      </c>
      <c r="E18" s="4" t="n">
        <f aca="false">(E6-D6)*Assumptions!$B$51/100</f>
        <v>-27.049769725</v>
      </c>
      <c r="F18" s="4" t="n">
        <f aca="false">(F6-E6)*Assumptions!$B$51/100</f>
        <v>-27.622588378</v>
      </c>
      <c r="G18" s="4" t="n">
        <f aca="false">(G6-F6)*Assumptions!$B$51/100</f>
        <v>-26.10334601721</v>
      </c>
      <c r="H18" s="4" t="n">
        <f aca="false">(H6-G6)*Assumptions!$B$51/100</f>
        <v>-23.9404973472127</v>
      </c>
      <c r="I18" s="4" t="n">
        <f aca="false">(I6-H6)*Assumptions!$B$51/100</f>
        <v>-21.1474393233711</v>
      </c>
      <c r="J18" s="4" t="n">
        <f aca="false">(J6-I6)*Assumptions!$B$51/100</f>
        <v>-17.7638490316318</v>
      </c>
      <c r="K18" s="4" t="n">
        <f aca="false">(K6-J6)*Assumptions!$B$51/100</f>
        <v>-16.1651026187848</v>
      </c>
      <c r="L18" s="4" t="n">
        <f aca="false">(L6-K6)*Assumptions!$B$51/100</f>
        <v>-14.3407553232363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662.13141412</v>
      </c>
      <c r="D19" s="0" t="n">
        <f aca="false">D15+D16+D17+D18</f>
        <v>754.1956943642</v>
      </c>
      <c r="E19" s="0" t="n">
        <f aca="false">E15+E16+E17+E18</f>
        <v>853.889818826176</v>
      </c>
      <c r="F19" s="0" t="n">
        <f aca="false">F15+F16+F17+F18</f>
        <v>948.269647722551</v>
      </c>
      <c r="G19" s="0" t="n">
        <f aca="false">G15+G16+G17+G18</f>
        <v>1031.52398545638</v>
      </c>
      <c r="H19" s="0" t="n">
        <f aca="false">H15+H16+H17+H18</f>
        <v>1098.34564856836</v>
      </c>
      <c r="I19" s="0" t="n">
        <f aca="false">I15+I16+I17+I18</f>
        <v>1157.25301388798</v>
      </c>
      <c r="J19" s="0" t="n">
        <f aca="false">J15+J16+J17+J18</f>
        <v>1207.77262230818</v>
      </c>
      <c r="K19" s="0" t="n">
        <f aca="false">K15+K16+K17+K18</f>
        <v>1252.26514521792</v>
      </c>
      <c r="L19" s="0" t="n">
        <f aca="false">L15+L16+L17+L18</f>
        <v>1292.14239994857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610.259367852535</v>
      </c>
      <c r="D21" s="0" t="n">
        <f aca="false">D19*D20</f>
        <v>640.655519857462</v>
      </c>
      <c r="E21" s="0" t="n">
        <f aca="false">E19*E20</f>
        <v>668.517254326561</v>
      </c>
      <c r="F21" s="0" t="n">
        <f aca="false">F19*F20</f>
        <v>684.246992348424</v>
      </c>
      <c r="G21" s="0" t="n">
        <f aca="false">G19*G20</f>
        <v>686.010305540015</v>
      </c>
      <c r="H21" s="0" t="n">
        <f aca="false">H19*H20</f>
        <v>673.225573059134</v>
      </c>
      <c r="I21" s="0" t="n">
        <f aca="false">I19*I20</f>
        <v>653.762722056492</v>
      </c>
      <c r="J21" s="0" t="n">
        <f aca="false">J19*J20</f>
        <v>628.850304224682</v>
      </c>
      <c r="K21" s="0" t="n">
        <f aca="false">K19*K20</f>
        <v>600.936591295505</v>
      </c>
      <c r="L21" s="0" t="n">
        <f aca="false">L19*L20</f>
        <v>571.495737648022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6417.96036820883</v>
      </c>
    </row>
    <row r="31" customFormat="false" ht="15" hidden="false" customHeight="false" outlineLevel="0" collapsed="false">
      <c r="A31" s="0" t="s">
        <v>128</v>
      </c>
      <c r="B31" s="0" t="n">
        <f aca="false">L19</f>
        <v>1292.14239994857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24198.3031263095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19382.1359992285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19382.1359992285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8572.43606472034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14990.3964329292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13244.3964329292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26.9743308206297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1.8010727747279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213.522422372997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342.566141095208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28.106894086349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11090.8889328919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11.6865772475372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7.08254150395603</v>
      </c>
      <c r="C4" s="0" t="n">
        <f aca="false">B4/Assumptions!$B$2-1</f>
        <v>-0.26453359252793</v>
      </c>
      <c r="D4" s="4" t="n">
        <f aca="false">Assumptions!$B$24</f>
        <v>0.3</v>
      </c>
      <c r="E4" s="4" t="n">
        <f aca="false">DCF_Bear!$B$43</f>
        <v>7.61778597547346</v>
      </c>
      <c r="F4" s="4" t="n">
        <f aca="false">DCF_Bear!$B$47</f>
        <v>3.74071980886988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17.2198779232174</v>
      </c>
      <c r="C5" s="0" t="n">
        <f aca="false">B5/Assumptions!$B$2-1</f>
        <v>0.788149317052691</v>
      </c>
      <c r="D5" s="4" t="n">
        <f aca="false">Assumptions!$B$38</f>
        <v>0.45</v>
      </c>
      <c r="E5" s="4" t="n">
        <f aca="false">DCF_Base!$B$43</f>
        <v>17.9972917151587</v>
      </c>
      <c r="F5" s="4" t="n">
        <f aca="false">DCF_Base!$B$47</f>
        <v>8.12178965795969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26.9743308206297</v>
      </c>
      <c r="C6" s="0" t="n">
        <f aca="false">B6/Assumptions!$B$2-1</f>
        <v>1.8010727747279</v>
      </c>
      <c r="D6" s="4" t="n">
        <f aca="false">Assumptions!$B$52</f>
        <v>0.25</v>
      </c>
      <c r="E6" s="4" t="n">
        <f aca="false">DCF_Bull!$B$43</f>
        <v>28.106894086349</v>
      </c>
      <c r="F6" s="4" t="n">
        <f aca="false">DCF_Bull!$B$47</f>
        <v>11.6865772475372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16.6172902217921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17.4108405860507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0.420483131035942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-880.509988590285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7.69866560062712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17.9653167592354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17.2198779232174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16.2604406980215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13.8610842827658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11.9695284299207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8.12178965795969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20.4184364075978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20.4184364075978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20.4184364075978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20.4184364075978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20.4184364075978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18.745619937783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18.745619937783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18.745619937783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18.745619937783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18.745619937783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16.2016039745153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16.9095468150415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17.2198779232174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17.2198779232174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17.2198779232174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13.8981634262939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14.4097917508339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14.9853736159414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15.6376997297299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15.8266086495601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12.0603919009307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12.4403004838615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12.8624211315623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13.3342030319338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13.8649576698517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2026-09-25T06:38:52Z</dcterms:created>
  <dc:creator>openpyxl</dc:creator>
  <dc:description/>
  <dc:language>en-NZ</dc:language>
  <cp:lastModifiedBy/>
  <dcterms:modified xsi:type="dcterms:W3CDTF">2026-09-25T06:38:52Z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