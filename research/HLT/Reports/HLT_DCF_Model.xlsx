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<sst xmlns="http://schemas.openxmlformats.org/spreadsheetml/2006/main" count="375" uniqueCount="170">
  <si>
    <t xml:space="preserve">Ticker</t>
  </si>
  <si>
    <t xml:space="preserve">HLT</t>
  </si>
  <si>
    <t xml:space="preserve">Company</t>
  </si>
  <si>
    <t xml:space="preserve">Hilton Worldwide Holdings Inc.</t>
  </si>
  <si>
    <t xml:space="preserve">Valuation date</t>
  </si>
  <si>
    <t xml:space="preserve">2026-09-29</t>
  </si>
  <si>
    <t xml:space="preserve">Current price</t>
  </si>
  <si>
    <t xml:space="preserve">Price as of</t>
  </si>
  <si>
    <t xml:space="preserve">2026-09-28T20:04:58Z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</si>
  <si>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</si>
  <si>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</si>
  <si>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</si>
  <si>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</si>
  <si>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</si>
  <si>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</si>
  <si>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</si>
  <si>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</si>
  <si>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</si>
  <si>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</si>
  <si>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</si>
  <si>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</si>
  <si>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2026-09-28T21:16:01Z</t>
  </si>
  <si>
    <t xml:space="preserve">Drivers file</t>
  </si>
  <si>
    <t xml:space="preserve">HLT_Drivers.json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</si>
  <si>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</si>
  <si>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</si>
  <si>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</si>
  <si>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Hilton is one of the best fee-based business models in the market: capital-light, high incremental margins, a loyalty network with 200M members and a record development pipeline. The valuation question is not quality but price. The house DCF expenses SBC, deducts the $12.3B of net debt that funded the buybacks, discounts at a uniform 8.5% and caps the terminal multiple at 20x; on those terms the market price sits well above intrinsic value and implies either a materially lower required return or a longer runway of 7%+ growth than the base case grants. The negative book equity is a capital-allocation artefact, not a distress signal, but it means the entire equity value rests on the durability of the fee stream through a downturn.
key_risks_to_valuation: Travel-demand recession: RevPAR and fee income fall together; with ~4x leverage and no equity cushion, buybacks pause and the multiple derates; Pipeline-to-open conversion slows if developer financing tightens (higher-for-longer rates); Owner-favourable fee concessions to hold conversion share against Marriott/IHG/Wyndham/Choice compress fee margin; Premium multiple (trailing P/E ~46x, ~40x owner FCF) leaves little room for execution misses; GAAP EBITDA basis includes zero-margin cost reimbursements; a change in the reimbursed-cost net loss (Honors, marketing funds) moves the modelled margin without changing fees; Discount-rate sensitivity: a terminal-heavy, long-duration fee stream loses value quickly as required return rises</t>
  </si>
  <si>
    <t xml:space="preserve">Data sources</t>
  </si>
  <si>
    <t xml:space="preserve">price: Yahoo Finance chart API at inputs.price_as_of; 52-week range 253.54-358.00
financials: SEC XBRL companyfacts (CIK 0001585689): FY2025 10-K filed 2026-02-11, Q2-2026 10-Q filed 2026-07-28; HLT_Metrics.csv (core_metrics) for the history; kpis table for buybacks, cash taxes, equity-award taxes
qualitative: HLT_Analysis.json (2026-09-29): Q2-2026 guidance (RevPAR +3.0-3.5%, Adjusted EBITDA $4.04-4.08B, NUG 6-7%, ~$3.5B capital return), pipeline, bull/bear axes</t>
  </si>
  <si>
    <t xml:space="preserve">Scenario narrative: bear</t>
  </si>
  <si>
    <t xml:space="preserve">Lodging is classically cyclical and Hilton now carries ~4x net debt/EBITDA with no equity cushion. The bear case is a 2027-28 recession: RevPAR falls 6-8% (a 2009-scale shock, not 2020), fee income drops with it, developer construction financing tightens so NUG slips toward 4%, and Hilton concedes owner-favourable fee adjustments (already flagged in Q2-2026 commentary) to defend conversion share against Marriott, IHG, Wyndham and Choice. Margins compress to ~22.5% at the trough and recover only to 26%. Buybacks pause but debt service is maintained; the terminal cap is cut to 15x for a cyclical fee stream on a levered balance sheet.</t>
  </si>
  <si>
    <t xml:space="preserve">Scenario narrative: base</t>
  </si>
  <si>
    <t xml:space="preserve">Hilton keeps executing its asset-light algorithm: net unit growth of 6-7% in FY2026 (record pipeline of ~3,850 hotels / 541k rooms, half under construction) fading toward 4-5% by the early 2030s as the base grows, system-wide RevPAR of 3-3.5% in FY2026 normalising toward 2-3%, and the ownership/reimbursement drag shrinking as a share of revenue so GAAP EBITDA margin rises from 23.8% (FY2025) to about 28.5% by FY2035. SBC stays ~2% of revenue, capex ~1.6%, and the Honors co-brand float contributes a modest working-capital tailwind. Value is discounted at a uniform 8.5% USD WACC with 3% terminal growth; Gordon binds below the 20x cap.</t>
  </si>
  <si>
    <t xml:space="preserve">Scenario narrative: bull</t>
  </si>
  <si>
    <t xml:space="preserve">The axes that matter are pipeline conversion and RevPAR durability. In the bull case the 541k-room pipeline converts at 7%+ NUG for several more years, conversion brands (Spark, Curio, Tapestry) and international markets (India, Middle East, Japan) keep the signings pace ahead of openings, business transient demand (+5.7% in Q2-2026) sustains RevPAR of 3-4%, and the growing share of fee income pushes GAAP EBITDA margin past 30%. Hilton Honors' 200M members widen the direct-booking advantage, and the credit-card float captures 20% of incremental revenue.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</si>
  <si>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</si>
  <si>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</si>
  <si>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</si>
  <si>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</si>
  <si>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</si>
  <si>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</si>
  <si>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</si>
  <si>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</si>
  <si>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</si>
  <si>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</si>
  <si>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</si>
  <si>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</si>
  <si>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</si>
  <si>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</si>
  <si>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</si>
  <si>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</si>
  <si>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</si>
  <si>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</si>
  <si>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</si>
  <si>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</si>
  <si>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</si>
  <si>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</si>
  <si>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</si>
  <si>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</si>
  <si>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</si>
  <si>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</si>
  <si>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</si>
  <si>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</si>
  <si>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</si>
  <si>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</si>
  <si>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</si>
  <si>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</si>
  <si>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</si>
  <si>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</si>
  <si>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</si>
  <si>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</si>
  <si>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</si>
  <si>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</si>
  <si>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</si>
  <si>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</si>
  <si>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</si>
  <si>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</si>
  <si>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</si>
  <si>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</si>
  <si>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</si>
  <si>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</si>
  <si>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</si>
  <si>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</si>
  <si>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</si>
  <si>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</si>
  <si>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</si>
  <si>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</si>
  <si>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</si>
  <si>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</si>
  <si>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</si>
  <si>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</si>
  <si>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</si>
  <si>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</si>
  <si>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</si>
  <si>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</si>
  <si>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</si>
  <si>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</si>
  <si>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</si>
  <si>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</si>
  <si>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</si>
  <si>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</si>
  <si>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</si>
  <si>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</si>
  <si>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</si>
  <si>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</si>
  <si>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</si>
  <si>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</si>
  <si>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</si>
  <si>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</si>
  <si>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</si>
  <si>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</si>
  <si>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</si>
  <si>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</si>
  <si>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</si>
  <si>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HLT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</si>
  <si>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</si>
  <si>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</si>
  <si>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</si>
  <si>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</si>
  <si>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</si>
  <si>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</si>
  <si>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</si>
  <si>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</si>
  <si>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</si>
  <si>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</si>
  <si>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</si>
  <si>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</si>
  <si>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</si>
  <si>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</si>
  <si>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</si>
  <si>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</si>
  <si>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</si>
  <si>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</si>
  <si>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</si>
  <si>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</si>
  <si>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</si>
  <si>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</si>
  <si>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</si>
  <si>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</si>
  <si>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</si>
  <si>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</si>
  <si>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</si>
  <si>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</si>
  <si>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</si>
  <si>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</si>
  <si>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HLT owner-FCF component DCF: base case (millions, USD)</t>
  </si>
  <si>
    <t xml:space="preserve">HLT owner-FCF component DCF: bull case (millions, USD)</t>
  </si>
  <si>
    <t xml:space="preserve">HLT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</si>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</sst>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320.28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1702</v>
      </c>
      <c r="S2" s="0" t="n">
        <v>781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9276</v>
      </c>
      <c r="F3" s="0" t="n">
        <v>1100</v>
      </c>
      <c r="G3" s="0" t="n">
        <v>11.858559724019</v>
      </c>
      <c r="H3" s="0" t="n">
        <v>1650</v>
      </c>
      <c r="I3" s="0" t="n">
        <v>359</v>
      </c>
      <c r="J3" s="0" t="n">
        <v>3.87020267356619</v>
      </c>
      <c r="K3" s="0" t="n">
        <v>0.38</v>
      </c>
      <c r="L3" s="0" t="n">
        <v>1110</v>
      </c>
      <c r="M3" s="0" t="n">
        <v>433</v>
      </c>
      <c r="N3" s="0" t="n">
        <v>677</v>
      </c>
      <c r="O3" s="0" t="n">
        <v>2155</v>
      </c>
      <c r="S3" s="0" t="n">
        <v>755</v>
      </c>
      <c r="T3" s="0" t="n">
        <v>921</v>
      </c>
      <c r="U3" s="0" t="n">
        <v>50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9735</v>
      </c>
      <c r="F4" s="0" t="n">
        <v>1102</v>
      </c>
      <c r="G4" s="0" t="n">
        <v>11.3199794555727</v>
      </c>
      <c r="H4" s="0" t="n">
        <v>1705</v>
      </c>
      <c r="I4" s="0" t="n">
        <v>460</v>
      </c>
      <c r="J4" s="0" t="n">
        <v>4.72521828454032</v>
      </c>
      <c r="K4" s="0" t="n">
        <v>0.45</v>
      </c>
      <c r="L4" s="0" t="n">
        <v>2101</v>
      </c>
      <c r="M4" s="0" t="n">
        <v>254</v>
      </c>
      <c r="N4" s="0" t="n">
        <v>1847</v>
      </c>
      <c r="O4" s="0" t="n">
        <v>4276</v>
      </c>
      <c r="P4" s="0" t="n">
        <v>26562</v>
      </c>
      <c r="Q4" s="0" t="n">
        <v>22286</v>
      </c>
      <c r="R4" s="0" t="n">
        <v>11755</v>
      </c>
      <c r="S4" s="0" t="n">
        <v>594</v>
      </c>
      <c r="T4" s="0" t="n">
        <v>984.615364</v>
      </c>
      <c r="U4" s="0" t="n">
        <v>313</v>
      </c>
      <c r="V4" s="0" t="n">
        <v>0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10502</v>
      </c>
      <c r="F5" s="0" t="n">
        <v>1673</v>
      </c>
      <c r="G5" s="0" t="n">
        <v>15.9302989906684</v>
      </c>
      <c r="H5" s="0" t="n">
        <v>2301</v>
      </c>
      <c r="I5" s="0" t="n">
        <v>682</v>
      </c>
      <c r="J5" s="0" t="n">
        <v>6.4940011426395</v>
      </c>
      <c r="K5" s="0" t="n">
        <v>2.05</v>
      </c>
      <c r="L5" s="0" t="n">
        <v>1307</v>
      </c>
      <c r="M5" s="0" t="n">
        <v>268</v>
      </c>
      <c r="N5" s="0" t="n">
        <v>1039</v>
      </c>
      <c r="O5" s="0" t="n">
        <v>4714</v>
      </c>
      <c r="P5" s="0" t="n">
        <v>26125</v>
      </c>
      <c r="Q5" s="0" t="n">
        <v>21411</v>
      </c>
      <c r="R5" s="0" t="n">
        <v>10813</v>
      </c>
      <c r="S5" s="0" t="n">
        <v>566</v>
      </c>
      <c r="T5" s="0" t="n">
        <v>329</v>
      </c>
      <c r="U5" s="0" t="n">
        <v>78</v>
      </c>
      <c r="V5" s="0" t="n">
        <v>0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7133</v>
      </c>
      <c r="F6" s="0" t="n">
        <v>900</v>
      </c>
      <c r="G6" s="0" t="n">
        <v>12.6174120285995</v>
      </c>
      <c r="H6" s="0" t="n">
        <v>1285</v>
      </c>
      <c r="I6" s="0" t="n">
        <v>1416</v>
      </c>
      <c r="J6" s="0" t="n">
        <v>19.8513949249965</v>
      </c>
      <c r="K6" s="0" t="n">
        <v>4.27</v>
      </c>
      <c r="L6" s="0" t="n">
        <v>1446</v>
      </c>
      <c r="M6" s="0" t="n">
        <v>310</v>
      </c>
      <c r="N6" s="0" t="n">
        <v>1136</v>
      </c>
      <c r="O6" s="0" t="n">
        <v>5951</v>
      </c>
      <c r="P6" s="0" t="n">
        <v>25622</v>
      </c>
      <c r="Q6" s="0" t="n">
        <v>19671</v>
      </c>
      <c r="R6" s="0" t="n">
        <v>9951</v>
      </c>
      <c r="S6" s="0" t="n">
        <v>609</v>
      </c>
      <c r="T6" s="0" t="n">
        <v>330</v>
      </c>
      <c r="U6" s="0" t="n">
        <v>147</v>
      </c>
      <c r="V6" s="0" t="n">
        <v>0.42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6576</v>
      </c>
      <c r="F7" s="0" t="n">
        <v>868</v>
      </c>
      <c r="G7" s="0" t="n">
        <v>13.1995133819951</v>
      </c>
      <c r="H7" s="0" t="n">
        <v>1221</v>
      </c>
      <c r="I7" s="0" t="n">
        <v>354</v>
      </c>
      <c r="J7" s="0" t="n">
        <v>5.38321167883212</v>
      </c>
      <c r="K7" s="0" t="n">
        <v>1.06</v>
      </c>
      <c r="L7" s="0" t="n">
        <v>1310</v>
      </c>
      <c r="M7" s="0" t="n">
        <v>317</v>
      </c>
      <c r="N7" s="0" t="n">
        <v>993</v>
      </c>
      <c r="O7" s="0" t="n">
        <v>5627</v>
      </c>
      <c r="P7" s="0" t="n">
        <v>26211</v>
      </c>
      <c r="Q7" s="0" t="n">
        <v>20362</v>
      </c>
      <c r="R7" s="0" t="n">
        <v>6616</v>
      </c>
      <c r="S7" s="0" t="n">
        <v>1062</v>
      </c>
      <c r="T7" s="0" t="n">
        <v>329.341992</v>
      </c>
      <c r="U7" s="0" t="n">
        <v>81</v>
      </c>
      <c r="V7" s="0" t="n">
        <v>0.84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8131</v>
      </c>
      <c r="F8" s="0" t="n">
        <v>1132</v>
      </c>
      <c r="G8" s="0" t="n">
        <v>13.9220268109704</v>
      </c>
      <c r="H8" s="0" t="n">
        <v>1468</v>
      </c>
      <c r="I8" s="0" t="n">
        <v>1089</v>
      </c>
      <c r="J8" s="0" t="n">
        <v>13.3931865699176</v>
      </c>
      <c r="K8" s="0" t="n">
        <v>3.34</v>
      </c>
      <c r="L8" s="0" t="n">
        <v>849</v>
      </c>
      <c r="M8" s="0" t="n">
        <v>58</v>
      </c>
      <c r="N8" s="0" t="n">
        <v>791</v>
      </c>
      <c r="O8" s="0" t="n">
        <v>1691</v>
      </c>
      <c r="P8" s="0" t="n">
        <v>14228</v>
      </c>
      <c r="Q8" s="0" t="n">
        <v>12537</v>
      </c>
      <c r="R8" s="0" t="n">
        <v>6602</v>
      </c>
      <c r="S8" s="0" t="n">
        <v>570</v>
      </c>
      <c r="T8" s="0" t="n">
        <v>327</v>
      </c>
      <c r="U8" s="0" t="n">
        <v>121</v>
      </c>
      <c r="V8" s="0" t="n">
        <v>0.6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8906</v>
      </c>
      <c r="F9" s="0" t="n">
        <v>1432</v>
      </c>
      <c r="G9" s="0" t="n">
        <v>16.0790478329216</v>
      </c>
      <c r="H9" s="0" t="n">
        <v>1757</v>
      </c>
      <c r="I9" s="0" t="n">
        <v>769</v>
      </c>
      <c r="J9" s="0" t="n">
        <v>8.63462834044464</v>
      </c>
      <c r="K9" s="0" t="n">
        <v>2.53</v>
      </c>
      <c r="L9" s="0" t="n">
        <v>1255</v>
      </c>
      <c r="M9" s="0" t="n">
        <v>72</v>
      </c>
      <c r="N9" s="0" t="n">
        <v>1183</v>
      </c>
      <c r="O9" s="0" t="n">
        <v>558</v>
      </c>
      <c r="P9" s="0" t="n">
        <v>13995</v>
      </c>
      <c r="Q9" s="0" t="n">
        <v>13437</v>
      </c>
      <c r="R9" s="0" t="n">
        <v>7282</v>
      </c>
      <c r="S9" s="0" t="n">
        <v>403</v>
      </c>
      <c r="T9" s="0" t="n">
        <v>305</v>
      </c>
      <c r="U9" s="0" t="n">
        <v>127</v>
      </c>
      <c r="V9" s="0" t="n">
        <v>0.6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9452</v>
      </c>
      <c r="F10" s="0" t="n">
        <v>1657</v>
      </c>
      <c r="G10" s="0" t="n">
        <v>17.5306813372831</v>
      </c>
      <c r="H10" s="0" t="n">
        <v>2003</v>
      </c>
      <c r="I10" s="0" t="n">
        <v>886</v>
      </c>
      <c r="J10" s="0" t="n">
        <v>9.37367752856538</v>
      </c>
      <c r="K10" s="0" t="n">
        <v>3.07</v>
      </c>
      <c r="L10" s="0" t="n">
        <v>1384</v>
      </c>
      <c r="M10" s="0" t="n">
        <v>81</v>
      </c>
      <c r="N10" s="0" t="n">
        <v>1303</v>
      </c>
      <c r="O10" s="0" t="n">
        <v>-472</v>
      </c>
      <c r="P10" s="0" t="n">
        <v>14957</v>
      </c>
      <c r="Q10" s="0" t="n">
        <v>15429</v>
      </c>
      <c r="R10" s="0" t="n">
        <v>7993</v>
      </c>
      <c r="S10" s="0" t="n">
        <v>538</v>
      </c>
      <c r="T10" s="0" t="n">
        <v>290</v>
      </c>
      <c r="U10" s="0" t="n">
        <v>154</v>
      </c>
      <c r="V10" s="0" t="n">
        <v>0.6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4307</v>
      </c>
      <c r="F11" s="0" t="n">
        <v>-418</v>
      </c>
      <c r="G11" s="0" t="n">
        <v>-9.70513118179708</v>
      </c>
      <c r="H11" s="0" t="n">
        <v>-87</v>
      </c>
      <c r="I11" s="0" t="n">
        <v>-720</v>
      </c>
      <c r="J11" s="0" t="n">
        <v>-16.7169723705596</v>
      </c>
      <c r="K11" s="0" t="n">
        <v>-2.58</v>
      </c>
      <c r="L11" s="0" t="n">
        <v>708</v>
      </c>
      <c r="M11" s="0" t="n">
        <v>46</v>
      </c>
      <c r="N11" s="0" t="n">
        <v>662</v>
      </c>
      <c r="O11" s="0" t="n">
        <v>-1486</v>
      </c>
      <c r="P11" s="0" t="n">
        <v>16755</v>
      </c>
      <c r="Q11" s="0" t="n">
        <v>18241</v>
      </c>
      <c r="R11" s="0" t="n">
        <v>10487</v>
      </c>
      <c r="S11" s="0" t="n">
        <v>3218</v>
      </c>
      <c r="T11" s="0" t="n">
        <v>277.590904</v>
      </c>
      <c r="U11" s="0" t="n">
        <v>97</v>
      </c>
      <c r="V11" s="0" t="n">
        <v>0.15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5788</v>
      </c>
      <c r="F12" s="0" t="n">
        <v>1010</v>
      </c>
      <c r="G12" s="0" t="n">
        <v>17.4498963372495</v>
      </c>
      <c r="H12" s="0" t="n">
        <v>1198</v>
      </c>
      <c r="I12" s="0" t="n">
        <v>410</v>
      </c>
      <c r="J12" s="0" t="n">
        <v>7.08362128541811</v>
      </c>
      <c r="K12" s="0" t="n">
        <v>1.47</v>
      </c>
      <c r="L12" s="0" t="n">
        <v>109</v>
      </c>
      <c r="M12" s="0" t="n">
        <v>35</v>
      </c>
      <c r="N12" s="0" t="n">
        <v>74</v>
      </c>
      <c r="O12" s="0" t="n">
        <v>-819</v>
      </c>
      <c r="P12" s="0" t="n">
        <v>15441</v>
      </c>
      <c r="Q12" s="0" t="n">
        <v>16260</v>
      </c>
      <c r="R12" s="0" t="n">
        <v>8766</v>
      </c>
      <c r="S12" s="0" t="n">
        <v>1427</v>
      </c>
      <c r="T12" s="0" t="n">
        <v>281</v>
      </c>
      <c r="U12" s="0" t="n">
        <v>193</v>
      </c>
      <c r="V12" s="0" t="n">
        <v>0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8773</v>
      </c>
      <c r="F13" s="0" t="n">
        <v>2094</v>
      </c>
      <c r="G13" s="0" t="n">
        <v>23.8686880200616</v>
      </c>
      <c r="H13" s="0" t="n">
        <v>2256</v>
      </c>
      <c r="I13" s="0" t="n">
        <v>1257</v>
      </c>
      <c r="J13" s="0" t="n">
        <v>14.3280519776587</v>
      </c>
      <c r="K13" s="0" t="n">
        <v>4.56</v>
      </c>
      <c r="L13" s="0" t="n">
        <v>1681</v>
      </c>
      <c r="M13" s="0" t="n">
        <v>39</v>
      </c>
      <c r="N13" s="0" t="n">
        <v>1642</v>
      </c>
      <c r="O13" s="0" t="n">
        <v>-1098</v>
      </c>
      <c r="P13" s="0" t="n">
        <v>15512</v>
      </c>
      <c r="Q13" s="0" t="n">
        <v>16610</v>
      </c>
      <c r="R13" s="0" t="n">
        <v>8747</v>
      </c>
      <c r="S13" s="0" t="n">
        <v>1209</v>
      </c>
      <c r="T13" s="0" t="n">
        <v>277</v>
      </c>
      <c r="U13" s="0" t="n">
        <v>162</v>
      </c>
      <c r="V13" s="0" t="n">
        <v>0.45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10235</v>
      </c>
      <c r="F14" s="0" t="n">
        <v>2225</v>
      </c>
      <c r="G14" s="0" t="n">
        <v>21.7391304347826</v>
      </c>
      <c r="H14" s="0" t="n">
        <v>2372</v>
      </c>
      <c r="I14" s="0" t="n">
        <v>1151</v>
      </c>
      <c r="J14" s="0" t="n">
        <v>11.2457254518808</v>
      </c>
      <c r="K14" s="0" t="n">
        <v>4.36</v>
      </c>
      <c r="L14" s="0" t="n">
        <v>1946</v>
      </c>
      <c r="M14" s="0" t="n">
        <v>151</v>
      </c>
      <c r="N14" s="0" t="n">
        <v>1795</v>
      </c>
      <c r="O14" s="0" t="n">
        <v>-2347</v>
      </c>
      <c r="P14" s="0" t="n">
        <v>15401</v>
      </c>
      <c r="Q14" s="0" t="n">
        <v>17748</v>
      </c>
      <c r="R14" s="0" t="n">
        <v>9196</v>
      </c>
      <c r="S14" s="0" t="n">
        <v>800</v>
      </c>
      <c r="T14" s="0" t="n">
        <v>264</v>
      </c>
      <c r="U14" s="0" t="n">
        <v>169</v>
      </c>
      <c r="V14" s="0" t="n">
        <v>0.6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11174</v>
      </c>
      <c r="F15" s="0" t="n">
        <v>2370</v>
      </c>
      <c r="G15" s="0" t="n">
        <v>21.2099516735278</v>
      </c>
      <c r="H15" s="0" t="n">
        <v>2516</v>
      </c>
      <c r="I15" s="0" t="n">
        <v>1539</v>
      </c>
      <c r="J15" s="0" t="n">
        <v>13.7730445677466</v>
      </c>
      <c r="K15" s="0" t="n">
        <v>6.2</v>
      </c>
      <c r="L15" s="0" t="n">
        <v>2013</v>
      </c>
      <c r="M15" s="0" t="n">
        <v>96</v>
      </c>
      <c r="N15" s="0" t="n">
        <v>1917</v>
      </c>
      <c r="O15" s="0" t="n">
        <v>-3727</v>
      </c>
      <c r="P15" s="0" t="n">
        <v>16522</v>
      </c>
      <c r="Q15" s="0" t="n">
        <v>20211</v>
      </c>
      <c r="R15" s="0" t="n">
        <v>11151</v>
      </c>
      <c r="S15" s="0" t="n">
        <v>1301</v>
      </c>
      <c r="T15" s="0" t="n">
        <v>250</v>
      </c>
      <c r="U15" s="0" t="n">
        <v>176</v>
      </c>
      <c r="V15" s="0" t="n">
        <v>0.6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12039</v>
      </c>
      <c r="F16" s="0" t="n">
        <v>2693</v>
      </c>
      <c r="G16" s="0" t="n">
        <v>22.3689675222195</v>
      </c>
      <c r="H16" s="0" t="n">
        <v>2870</v>
      </c>
      <c r="I16" s="0" t="n">
        <v>1461</v>
      </c>
      <c r="J16" s="0" t="n">
        <v>12.1355594318465</v>
      </c>
      <c r="K16" s="0" t="n">
        <v>6.18</v>
      </c>
      <c r="L16" s="0" t="n">
        <v>2129</v>
      </c>
      <c r="M16" s="0" t="n">
        <v>101</v>
      </c>
      <c r="N16" s="0" t="n">
        <v>2028</v>
      </c>
      <c r="O16" s="0" t="n">
        <v>-5388</v>
      </c>
      <c r="P16" s="0" t="n">
        <v>16774</v>
      </c>
      <c r="Q16" s="0" t="n">
        <v>22120</v>
      </c>
      <c r="R16" s="0" t="n">
        <v>12363</v>
      </c>
      <c r="S16" s="0" t="n">
        <v>918</v>
      </c>
      <c r="T16" s="0" t="n">
        <v>238</v>
      </c>
      <c r="U16" s="0" t="n">
        <v>170</v>
      </c>
      <c r="V16" s="0" t="n">
        <v>0.6</v>
      </c>
      <c r="AA16" s="0" t="s">
        <v>17</v>
      </c>
      <c r="AB16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320.28</v>
      </c>
    </row>
    <row r="3" customFormat="false" ht="15" hidden="false" customHeight="false" outlineLevel="0" collapsed="false">
      <c r="A3" s="0" t="s">
        <v>81</v>
      </c>
      <c r="B3" s="3" t="n">
        <v>227</v>
      </c>
    </row>
    <row r="4" customFormat="false" ht="15" hidden="false" customHeight="false" outlineLevel="0" collapsed="false">
      <c r="A4" s="0" t="s">
        <v>82</v>
      </c>
      <c r="B4" s="3" t="n">
        <v>12334</v>
      </c>
    </row>
    <row r="5" customFormat="false" ht="15" hidden="false" customHeight="false" outlineLevel="0" collapsed="false">
      <c r="A5" s="0" t="s">
        <v>83</v>
      </c>
      <c r="B5" s="3" t="n">
        <v>-28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12039</v>
      </c>
    </row>
    <row r="8" customFormat="false" ht="15" hidden="false" customHeight="false" outlineLevel="0" collapsed="false">
      <c r="A8" s="0" t="s">
        <v>86</v>
      </c>
      <c r="B8" s="3" t="s">
        <v>77</v>
      </c>
    </row>
    <row r="9" customFormat="false" ht="15" hidden="false" customHeight="false" outlineLevel="0" collapsed="false">
      <c r="A9" s="0" t="s">
        <v>87</v>
      </c>
      <c r="B9" s="3" t="s">
        <v>88</v>
      </c>
    </row>
    <row r="10" customFormat="false" ht="15" hidden="false" customHeight="false" outlineLevel="0" collapsed="false">
      <c r="A10" s="0" t="s">
        <v>89</v>
      </c>
      <c r="B10" s="3" t="n">
        <v>1</v>
      </c>
    </row>
    <row r="12" customFormat="false" ht="15" hidden="false" customHeight="false" outlineLevel="0" collapsed="false">
      <c r="A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</row>
    <row r="13" customFormat="false" ht="15" hidden="false" customHeight="false" outlineLevel="0" collapsed="false">
      <c r="A13" s="0" t="s">
        <v>101</v>
      </c>
      <c r="C13" s="3" t="n">
        <v>5</v>
      </c>
      <c r="D13" s="3" t="n">
        <v>1</v>
      </c>
      <c r="E13" s="3" t="n">
        <v>-4</v>
      </c>
      <c r="F13" s="3" t="n">
        <v>3</v>
      </c>
      <c r="G13" s="3" t="n">
        <v>4</v>
      </c>
      <c r="H13" s="3" t="n">
        <v>4</v>
      </c>
      <c r="I13" s="3" t="n">
        <v>3.5</v>
      </c>
      <c r="J13" s="3" t="n">
        <v>3</v>
      </c>
      <c r="K13" s="3" t="n">
        <v>3</v>
      </c>
      <c r="L13" s="3" t="n">
        <v>2.5</v>
      </c>
    </row>
    <row r="14" customFormat="false" ht="15" hidden="false" customHeight="false" outlineLevel="0" collapsed="false">
      <c r="A14" s="0" t="s">
        <v>102</v>
      </c>
      <c r="C14" s="3" t="n">
        <v>25</v>
      </c>
      <c r="D14" s="3" t="n">
        <v>24</v>
      </c>
      <c r="E14" s="3" t="n">
        <v>22.5</v>
      </c>
      <c r="F14" s="3" t="n">
        <v>23.5</v>
      </c>
      <c r="G14" s="3" t="n">
        <v>24.5</v>
      </c>
      <c r="H14" s="3" t="n">
        <v>25</v>
      </c>
      <c r="I14" s="3" t="n">
        <v>25.5</v>
      </c>
      <c r="J14" s="3" t="n">
        <v>25.8</v>
      </c>
      <c r="K14" s="3" t="n">
        <v>26</v>
      </c>
      <c r="L14" s="3" t="n">
        <v>26</v>
      </c>
    </row>
    <row r="15" customFormat="false" ht="15" hidden="false" customHeight="false" outlineLevel="0" collapsed="false">
      <c r="A15" s="0" t="s">
        <v>103</v>
      </c>
      <c r="C15" s="3" t="n">
        <v>2</v>
      </c>
      <c r="D15" s="3" t="n">
        <v>2.1</v>
      </c>
      <c r="E15" s="3" t="n">
        <v>2.2</v>
      </c>
      <c r="F15" s="3" t="n">
        <v>2.1</v>
      </c>
      <c r="G15" s="3" t="n">
        <v>2</v>
      </c>
      <c r="H15" s="3" t="n">
        <v>1.95</v>
      </c>
      <c r="I15" s="3" t="n">
        <v>1.9</v>
      </c>
      <c r="J15" s="3" t="n">
        <v>1.85</v>
      </c>
      <c r="K15" s="3" t="n">
        <v>1.8</v>
      </c>
      <c r="L15" s="3" t="n">
        <v>1.8</v>
      </c>
    </row>
    <row r="16" customFormat="false" ht="15" hidden="false" customHeight="false" outlineLevel="0" collapsed="false">
      <c r="A16" s="0" t="s">
        <v>104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105</v>
      </c>
      <c r="C17" s="3" t="n">
        <v>1.5</v>
      </c>
      <c r="D17" s="3" t="n">
        <v>1.5</v>
      </c>
      <c r="E17" s="3" t="n">
        <v>1.6</v>
      </c>
      <c r="F17" s="3" t="n">
        <v>1.6</v>
      </c>
      <c r="G17" s="3" t="n">
        <v>1.5</v>
      </c>
      <c r="H17" s="3" t="n">
        <v>1.5</v>
      </c>
      <c r="I17" s="3" t="n">
        <v>1.5</v>
      </c>
      <c r="J17" s="3" t="n">
        <v>1.5</v>
      </c>
      <c r="K17" s="3" t="n">
        <v>1.5</v>
      </c>
      <c r="L17" s="3" t="n">
        <v>1.5</v>
      </c>
    </row>
    <row r="18" customFormat="false" ht="15" hidden="false" customHeight="false" outlineLevel="0" collapsed="false">
      <c r="A18" s="0" t="s">
        <v>106</v>
      </c>
      <c r="C18" s="3" t="n">
        <v>1.7</v>
      </c>
      <c r="D18" s="3" t="n">
        <v>1.7</v>
      </c>
      <c r="E18" s="3" t="n">
        <v>1.7</v>
      </c>
      <c r="F18" s="3" t="n">
        <v>1.7</v>
      </c>
      <c r="G18" s="3" t="n">
        <v>1.7</v>
      </c>
      <c r="H18" s="3" t="n">
        <v>1.7</v>
      </c>
      <c r="I18" s="3" t="n">
        <v>1.7</v>
      </c>
      <c r="J18" s="3" t="n">
        <v>1.7</v>
      </c>
      <c r="K18" s="3" t="n">
        <v>1.7</v>
      </c>
      <c r="L18" s="3" t="n">
        <v>1.7</v>
      </c>
    </row>
    <row r="19" customFormat="false" ht="15" hidden="false" customHeight="false" outlineLevel="0" collapsed="false">
      <c r="A19" s="0" t="s">
        <v>107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108</v>
      </c>
      <c r="B20" s="3" t="n">
        <v>8.5</v>
      </c>
    </row>
    <row r="21" customFormat="false" ht="15" hidden="false" customHeight="false" outlineLevel="0" collapsed="false">
      <c r="A21" s="0" t="s">
        <v>109</v>
      </c>
      <c r="B21" s="3" t="n">
        <v>2.5</v>
      </c>
    </row>
    <row r="22" customFormat="false" ht="15" hidden="false" customHeight="false" outlineLevel="0" collapsed="false">
      <c r="A22" s="0" t="s">
        <v>110</v>
      </c>
      <c r="B22" s="3" t="n">
        <v>15</v>
      </c>
    </row>
    <row r="23" customFormat="false" ht="15" hidden="false" customHeight="false" outlineLevel="0" collapsed="false">
      <c r="A23" s="0" t="s">
        <v>111</v>
      </c>
      <c r="B23" s="3" t="n">
        <v>5</v>
      </c>
    </row>
    <row r="24" customFormat="false" ht="15" hidden="false" customHeight="false" outlineLevel="0" collapsed="false">
      <c r="A24" s="0" t="s">
        <v>112</v>
      </c>
      <c r="B24" s="3" t="n">
        <v>0.25</v>
      </c>
    </row>
    <row r="26" customFormat="false" ht="15" hidden="false" customHeight="false" outlineLevel="0" collapsed="false">
      <c r="A26" s="2" t="s">
        <v>113</v>
      </c>
      <c r="C26" s="2" t="s">
        <v>91</v>
      </c>
      <c r="D26" s="2" t="s">
        <v>92</v>
      </c>
      <c r="E26" s="2" t="s">
        <v>93</v>
      </c>
      <c r="F26" s="2" t="s">
        <v>94</v>
      </c>
      <c r="G26" s="2" t="s">
        <v>95</v>
      </c>
      <c r="H26" s="2" t="s">
        <v>96</v>
      </c>
      <c r="I26" s="2" t="s">
        <v>97</v>
      </c>
      <c r="J26" s="2" t="s">
        <v>98</v>
      </c>
      <c r="K26" s="2" t="s">
        <v>99</v>
      </c>
      <c r="L26" s="2" t="s">
        <v>100</v>
      </c>
    </row>
    <row r="27" customFormat="false" ht="15" hidden="false" customHeight="false" outlineLevel="0" collapsed="false">
      <c r="A27" s="0" t="s">
        <v>101</v>
      </c>
      <c r="C27" s="3" t="n">
        <v>7</v>
      </c>
      <c r="D27" s="3" t="n">
        <v>6.5</v>
      </c>
      <c r="E27" s="3" t="n">
        <v>6</v>
      </c>
      <c r="F27" s="3" t="n">
        <v>5.5</v>
      </c>
      <c r="G27" s="3" t="n">
        <v>5</v>
      </c>
      <c r="H27" s="3" t="n">
        <v>4.5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102</v>
      </c>
      <c r="C28" s="3" t="n">
        <v>25.5</v>
      </c>
      <c r="D28" s="3" t="n">
        <v>26</v>
      </c>
      <c r="E28" s="3" t="n">
        <v>26.5</v>
      </c>
      <c r="F28" s="3" t="n">
        <v>27</v>
      </c>
      <c r="G28" s="3" t="n">
        <v>27.4</v>
      </c>
      <c r="H28" s="3" t="n">
        <v>27.7</v>
      </c>
      <c r="I28" s="3" t="n">
        <v>28</v>
      </c>
      <c r="J28" s="3" t="n">
        <v>28.2</v>
      </c>
      <c r="K28" s="3" t="n">
        <v>28.4</v>
      </c>
      <c r="L28" s="3" t="n">
        <v>28.5</v>
      </c>
    </row>
    <row r="29" customFormat="false" ht="15" hidden="false" customHeight="false" outlineLevel="0" collapsed="false">
      <c r="A29" s="0" t="s">
        <v>103</v>
      </c>
      <c r="C29" s="3" t="n">
        <v>2</v>
      </c>
      <c r="D29" s="3" t="n">
        <v>2</v>
      </c>
      <c r="E29" s="3" t="n">
        <v>1.95</v>
      </c>
      <c r="F29" s="3" t="n">
        <v>1.9</v>
      </c>
      <c r="G29" s="3" t="n">
        <v>1.85</v>
      </c>
      <c r="H29" s="3" t="n">
        <v>1.8</v>
      </c>
      <c r="I29" s="3" t="n">
        <v>1.75</v>
      </c>
      <c r="J29" s="3" t="n">
        <v>1.7</v>
      </c>
      <c r="K29" s="3" t="n">
        <v>1.65</v>
      </c>
      <c r="L29" s="3" t="n">
        <v>1.6</v>
      </c>
    </row>
    <row r="30" customFormat="false" ht="15" hidden="false" customHeight="false" outlineLevel="0" collapsed="false">
      <c r="A30" s="0" t="s">
        <v>104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105</v>
      </c>
      <c r="C31" s="3" t="n">
        <v>1.5</v>
      </c>
      <c r="D31" s="3" t="n">
        <v>1.5</v>
      </c>
      <c r="E31" s="3" t="n">
        <v>1.5</v>
      </c>
      <c r="F31" s="3" t="n">
        <v>1.5</v>
      </c>
      <c r="G31" s="3" t="n">
        <v>1.5</v>
      </c>
      <c r="H31" s="3" t="n">
        <v>1.5</v>
      </c>
      <c r="I31" s="3" t="n">
        <v>1.5</v>
      </c>
      <c r="J31" s="3" t="n">
        <v>1.5</v>
      </c>
      <c r="K31" s="3" t="n">
        <v>1.5</v>
      </c>
      <c r="L31" s="3" t="n">
        <v>1.5</v>
      </c>
    </row>
    <row r="32" customFormat="false" ht="15" hidden="false" customHeight="false" outlineLevel="0" collapsed="false">
      <c r="A32" s="0" t="s">
        <v>106</v>
      </c>
      <c r="C32" s="3" t="n">
        <v>1.6</v>
      </c>
      <c r="D32" s="3" t="n">
        <v>1.6</v>
      </c>
      <c r="E32" s="3" t="n">
        <v>1.6</v>
      </c>
      <c r="F32" s="3" t="n">
        <v>1.6</v>
      </c>
      <c r="G32" s="3" t="n">
        <v>1.6</v>
      </c>
      <c r="H32" s="3" t="n">
        <v>1.6</v>
      </c>
      <c r="I32" s="3" t="n">
        <v>1.6</v>
      </c>
      <c r="J32" s="3" t="n">
        <v>1.6</v>
      </c>
      <c r="K32" s="3" t="n">
        <v>1.6</v>
      </c>
      <c r="L32" s="3" t="n">
        <v>1.6</v>
      </c>
    </row>
    <row r="33" customFormat="false" ht="15" hidden="false" customHeight="false" outlineLevel="0" collapsed="false">
      <c r="A33" s="0" t="s">
        <v>107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108</v>
      </c>
      <c r="B34" s="3" t="n">
        <v>8.5</v>
      </c>
    </row>
    <row r="35" customFormat="false" ht="15" hidden="false" customHeight="false" outlineLevel="0" collapsed="false">
      <c r="A35" s="0" t="s">
        <v>109</v>
      </c>
      <c r="B35" s="3" t="n">
        <v>3</v>
      </c>
    </row>
    <row r="36" customFormat="false" ht="15" hidden="false" customHeight="false" outlineLevel="0" collapsed="false">
      <c r="A36" s="0" t="s">
        <v>110</v>
      </c>
      <c r="B36" s="3" t="n">
        <v>20</v>
      </c>
    </row>
    <row r="37" customFormat="false" ht="15" hidden="false" customHeight="false" outlineLevel="0" collapsed="false">
      <c r="A37" s="0" t="s">
        <v>111</v>
      </c>
      <c r="B37" s="3" t="n">
        <v>15</v>
      </c>
    </row>
    <row r="38" customFormat="false" ht="15" hidden="false" customHeight="false" outlineLevel="0" collapsed="false">
      <c r="A38" s="0" t="s">
        <v>112</v>
      </c>
      <c r="B38" s="3" t="n">
        <v>0.5</v>
      </c>
    </row>
    <row r="40" customFormat="false" ht="15" hidden="false" customHeight="false" outlineLevel="0" collapsed="false">
      <c r="A40" s="2" t="s">
        <v>114</v>
      </c>
      <c r="C40" s="2" t="s">
        <v>91</v>
      </c>
      <c r="D40" s="2" t="s">
        <v>92</v>
      </c>
      <c r="E40" s="2" t="s">
        <v>93</v>
      </c>
      <c r="F40" s="2" t="s">
        <v>94</v>
      </c>
      <c r="G40" s="2" t="s">
        <v>95</v>
      </c>
      <c r="H40" s="2" t="s">
        <v>96</v>
      </c>
      <c r="I40" s="2" t="s">
        <v>97</v>
      </c>
      <c r="J40" s="2" t="s">
        <v>98</v>
      </c>
      <c r="K40" s="2" t="s">
        <v>99</v>
      </c>
      <c r="L40" s="2" t="s">
        <v>100</v>
      </c>
    </row>
    <row r="41" customFormat="false" ht="15" hidden="false" customHeight="false" outlineLevel="0" collapsed="false">
      <c r="A41" s="0" t="s">
        <v>101</v>
      </c>
      <c r="C41" s="3" t="n">
        <v>8.5</v>
      </c>
      <c r="D41" s="3" t="n">
        <v>8</v>
      </c>
      <c r="E41" s="3" t="n">
        <v>7.5</v>
      </c>
      <c r="F41" s="3" t="n">
        <v>7</v>
      </c>
      <c r="G41" s="3" t="n">
        <v>6.5</v>
      </c>
      <c r="H41" s="3" t="n">
        <v>6</v>
      </c>
      <c r="I41" s="3" t="n">
        <v>5.5</v>
      </c>
      <c r="J41" s="3" t="n">
        <v>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102</v>
      </c>
      <c r="C42" s="3" t="n">
        <v>26</v>
      </c>
      <c r="D42" s="3" t="n">
        <v>26.8</v>
      </c>
      <c r="E42" s="3" t="n">
        <v>27.5</v>
      </c>
      <c r="F42" s="3" t="n">
        <v>28.2</v>
      </c>
      <c r="G42" s="3" t="n">
        <v>28.8</v>
      </c>
      <c r="H42" s="3" t="n">
        <v>29.3</v>
      </c>
      <c r="I42" s="3" t="n">
        <v>29.7</v>
      </c>
      <c r="J42" s="3" t="n">
        <v>30</v>
      </c>
      <c r="K42" s="3" t="n">
        <v>30.2</v>
      </c>
      <c r="L42" s="3" t="n">
        <v>30.4</v>
      </c>
    </row>
    <row r="43" customFormat="false" ht="15" hidden="false" customHeight="false" outlineLevel="0" collapsed="false">
      <c r="A43" s="0" t="s">
        <v>103</v>
      </c>
      <c r="C43" s="3" t="n">
        <v>2</v>
      </c>
      <c r="D43" s="3" t="n">
        <v>1.95</v>
      </c>
      <c r="E43" s="3" t="n">
        <v>1.9</v>
      </c>
      <c r="F43" s="3" t="n">
        <v>1.85</v>
      </c>
      <c r="G43" s="3" t="n">
        <v>1.8</v>
      </c>
      <c r="H43" s="3" t="n">
        <v>1.7</v>
      </c>
      <c r="I43" s="3" t="n">
        <v>1.65</v>
      </c>
      <c r="J43" s="3" t="n">
        <v>1.6</v>
      </c>
      <c r="K43" s="3" t="n">
        <v>1.55</v>
      </c>
      <c r="L43" s="3" t="n">
        <v>1.5</v>
      </c>
    </row>
    <row r="44" customFormat="false" ht="15" hidden="false" customHeight="false" outlineLevel="0" collapsed="false">
      <c r="A44" s="0" t="s">
        <v>104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105</v>
      </c>
      <c r="C45" s="3" t="n">
        <v>1.5</v>
      </c>
      <c r="D45" s="3" t="n">
        <v>1.5</v>
      </c>
      <c r="E45" s="3" t="n">
        <v>1.5</v>
      </c>
      <c r="F45" s="3" t="n">
        <v>1.5</v>
      </c>
      <c r="G45" s="3" t="n">
        <v>1.5</v>
      </c>
      <c r="H45" s="3" t="n">
        <v>1.5</v>
      </c>
      <c r="I45" s="3" t="n">
        <v>1.5</v>
      </c>
      <c r="J45" s="3" t="n">
        <v>1.5</v>
      </c>
      <c r="K45" s="3" t="n">
        <v>1.5</v>
      </c>
      <c r="L45" s="3" t="n">
        <v>1.5</v>
      </c>
    </row>
    <row r="46" customFormat="false" ht="15" hidden="false" customHeight="false" outlineLevel="0" collapsed="false">
      <c r="A46" s="0" t="s">
        <v>106</v>
      </c>
      <c r="C46" s="3" t="n">
        <v>1.6</v>
      </c>
      <c r="D46" s="3" t="n">
        <v>1.6</v>
      </c>
      <c r="E46" s="3" t="n">
        <v>1.6</v>
      </c>
      <c r="F46" s="3" t="n">
        <v>1.6</v>
      </c>
      <c r="G46" s="3" t="n">
        <v>1.6</v>
      </c>
      <c r="H46" s="3" t="n">
        <v>1.6</v>
      </c>
      <c r="I46" s="3" t="n">
        <v>1.6</v>
      </c>
      <c r="J46" s="3" t="n">
        <v>1.6</v>
      </c>
      <c r="K46" s="3" t="n">
        <v>1.6</v>
      </c>
      <c r="L46" s="3" t="n">
        <v>1.6</v>
      </c>
    </row>
    <row r="47" customFormat="false" ht="15" hidden="false" customHeight="false" outlineLevel="0" collapsed="false">
      <c r="A47" s="0" t="s">
        <v>107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108</v>
      </c>
      <c r="B48" s="3" t="n">
        <v>8.5</v>
      </c>
    </row>
    <row r="49" customFormat="false" ht="15" hidden="false" customHeight="false" outlineLevel="0" collapsed="false">
      <c r="A49" s="0" t="s">
        <v>109</v>
      </c>
      <c r="B49" s="3" t="n">
        <v>3</v>
      </c>
    </row>
    <row r="50" customFormat="false" ht="15" hidden="false" customHeight="false" outlineLevel="0" collapsed="false">
      <c r="A50" s="0" t="s">
        <v>110</v>
      </c>
      <c r="B50" s="3" t="n">
        <v>20</v>
      </c>
    </row>
    <row r="51" customFormat="false" ht="15" hidden="false" customHeight="false" outlineLevel="0" collapsed="false">
      <c r="A51" s="0" t="s">
        <v>111</v>
      </c>
      <c r="B51" s="3" t="n">
        <v>20</v>
      </c>
    </row>
    <row r="52" customFormat="false" ht="15" hidden="false" customHeight="false" outlineLevel="0" collapsed="false">
      <c r="A52" s="0" t="s">
        <v>112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115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Assumptions!C13</f>
        <v>5</v>
      </c>
      <c r="D5" s="4" t="n">
        <f aca="false">Assumptions!D13</f>
        <v>1</v>
      </c>
      <c r="E5" s="4" t="n">
        <f aca="false">Assumptions!E13</f>
        <v>-4</v>
      </c>
      <c r="F5" s="4" t="n">
        <f aca="false">Assumptions!F13</f>
        <v>3</v>
      </c>
      <c r="G5" s="4" t="n">
        <f aca="false">Assumptions!G13</f>
        <v>4</v>
      </c>
      <c r="H5" s="4" t="n">
        <f aca="false">Assumptions!H13</f>
        <v>4</v>
      </c>
      <c r="I5" s="4" t="n">
        <f aca="false">Assumptions!I13</f>
        <v>3.5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12039</v>
      </c>
      <c r="C6" s="0" t="n">
        <f aca="false">B6*(1+C5/100)</f>
        <v>12640.95</v>
      </c>
      <c r="D6" s="0" t="n">
        <f aca="false">C6*(1+D5/100)</f>
        <v>12767.3595</v>
      </c>
      <c r="E6" s="0" t="n">
        <f aca="false">D6*(1+E5/100)</f>
        <v>12256.66512</v>
      </c>
      <c r="F6" s="0" t="n">
        <f aca="false">E6*(1+F5/100)</f>
        <v>12624.3650736</v>
      </c>
      <c r="G6" s="0" t="n">
        <f aca="false">F6*(1+G5/100)</f>
        <v>13129.339676544</v>
      </c>
      <c r="H6" s="0" t="n">
        <f aca="false">G6*(1+H5/100)</f>
        <v>13654.5132636058</v>
      </c>
      <c r="I6" s="0" t="n">
        <f aca="false">H6*(1+I5/100)</f>
        <v>14132.421227832</v>
      </c>
      <c r="J6" s="0" t="n">
        <f aca="false">I6*(1+J5/100)</f>
        <v>14556.3938646669</v>
      </c>
      <c r="K6" s="0" t="n">
        <f aca="false">J6*(1+K5/100)</f>
        <v>14993.0856806069</v>
      </c>
      <c r="L6" s="0" t="n">
        <f aca="false">K6*(1+L5/100)</f>
        <v>15367.9128226221</v>
      </c>
    </row>
    <row r="7" customFormat="false" ht="15" hidden="false" customHeight="false" outlineLevel="0" collapsed="false">
      <c r="A7" s="0" t="s">
        <v>102</v>
      </c>
      <c r="C7" s="4" t="n">
        <f aca="false">Assumptions!C14</f>
        <v>25</v>
      </c>
      <c r="D7" s="4" t="n">
        <f aca="false">Assumptions!D14</f>
        <v>24</v>
      </c>
      <c r="E7" s="4" t="n">
        <f aca="false">Assumptions!E14</f>
        <v>22.5</v>
      </c>
      <c r="F7" s="4" t="n">
        <f aca="false">Assumptions!F14</f>
        <v>23.5</v>
      </c>
      <c r="G7" s="4" t="n">
        <f aca="false">Assumptions!G14</f>
        <v>24.5</v>
      </c>
      <c r="H7" s="4" t="n">
        <f aca="false">Assumptions!H14</f>
        <v>25</v>
      </c>
      <c r="I7" s="4" t="n">
        <f aca="false">Assumptions!I14</f>
        <v>25.5</v>
      </c>
      <c r="J7" s="4" t="n">
        <f aca="false">Assumptions!J14</f>
        <v>25.8</v>
      </c>
      <c r="K7" s="4" t="n">
        <f aca="false">Assumptions!K14</f>
        <v>26</v>
      </c>
      <c r="L7" s="4" t="n">
        <f aca="false">Assumptions!L14</f>
        <v>26</v>
      </c>
    </row>
    <row r="8" customFormat="false" ht="15" hidden="false" customHeight="false" outlineLevel="0" collapsed="false">
      <c r="A8" s="0" t="s">
        <v>43</v>
      </c>
      <c r="C8" s="0" t="n">
        <f aca="false">C6*C7/100</f>
        <v>3160.2375</v>
      </c>
      <c r="D8" s="0" t="n">
        <f aca="false">D6*D7/100</f>
        <v>3064.16628</v>
      </c>
      <c r="E8" s="0" t="n">
        <f aca="false">E6*E7/100</f>
        <v>2757.749652</v>
      </c>
      <c r="F8" s="0" t="n">
        <f aca="false">F6*F7/100</f>
        <v>2966.725792296</v>
      </c>
      <c r="G8" s="0" t="n">
        <f aca="false">G6*G7/100</f>
        <v>3216.68822075328</v>
      </c>
      <c r="H8" s="0" t="n">
        <f aca="false">H6*H7/100</f>
        <v>3413.62831590144</v>
      </c>
      <c r="I8" s="0" t="n">
        <f aca="false">I6*I7/100</f>
        <v>3603.76741309715</v>
      </c>
      <c r="J8" s="0" t="n">
        <f aca="false">J6*J7/100</f>
        <v>3755.54961708407</v>
      </c>
      <c r="K8" s="0" t="n">
        <f aca="false">K6*K7/100</f>
        <v>3898.2022769578</v>
      </c>
      <c r="L8" s="0" t="n">
        <f aca="false">L6*L7/100</f>
        <v>3995.65733388175</v>
      </c>
    </row>
    <row r="9" customFormat="false" ht="15" hidden="false" customHeight="false" outlineLevel="0" collapsed="false">
      <c r="A9" s="0" t="s">
        <v>103</v>
      </c>
      <c r="C9" s="4" t="n">
        <f aca="false">Assumptions!C15</f>
        <v>2</v>
      </c>
      <c r="D9" s="4" t="n">
        <f aca="false">Assumptions!D15</f>
        <v>2.1</v>
      </c>
      <c r="E9" s="4" t="n">
        <f aca="false">Assumptions!E15</f>
        <v>2.2</v>
      </c>
      <c r="F9" s="4" t="n">
        <f aca="false">Assumptions!F15</f>
        <v>2.1</v>
      </c>
      <c r="G9" s="4" t="n">
        <f aca="false">Assumptions!G15</f>
        <v>2</v>
      </c>
      <c r="H9" s="4" t="n">
        <f aca="false">Assumptions!H15</f>
        <v>1.95</v>
      </c>
      <c r="I9" s="4" t="n">
        <f aca="false">Assumptions!I15</f>
        <v>1.9</v>
      </c>
      <c r="J9" s="4" t="n">
        <f aca="false">Assumptions!J15</f>
        <v>1.85</v>
      </c>
      <c r="K9" s="4" t="n">
        <f aca="false">Assumptions!K15</f>
        <v>1.8</v>
      </c>
      <c r="L9" s="4" t="n">
        <f aca="false">Assumptions!L15</f>
        <v>1.8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-252.819</v>
      </c>
      <c r="D10" s="0" t="n">
        <f aca="false">-D6*D9/100</f>
        <v>-268.1145495</v>
      </c>
      <c r="E10" s="0" t="n">
        <f aca="false">-E6*E9/100</f>
        <v>-269.64663264</v>
      </c>
      <c r="F10" s="0" t="n">
        <f aca="false">-F6*F9/100</f>
        <v>-265.1116665456</v>
      </c>
      <c r="G10" s="0" t="n">
        <f aca="false">-G6*G9/100</f>
        <v>-262.58679353088</v>
      </c>
      <c r="H10" s="0" t="n">
        <f aca="false">-H6*H9/100</f>
        <v>-266.263008640312</v>
      </c>
      <c r="I10" s="0" t="n">
        <f aca="false">-I6*I9/100</f>
        <v>-268.516003328807</v>
      </c>
      <c r="J10" s="0" t="n">
        <f aca="false">-J6*J9/100</f>
        <v>-269.293286496338</v>
      </c>
      <c r="K10" s="0" t="n">
        <f aca="false">-K6*K9/100</f>
        <v>-269.875542250925</v>
      </c>
      <c r="L10" s="0" t="n">
        <f aca="false">-L6*L9/100</f>
        <v>-276.622430807198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2907.4185</v>
      </c>
      <c r="D11" s="0" t="n">
        <f aca="false">D8+D10+D24</f>
        <v>2796.0517305</v>
      </c>
      <c r="E11" s="0" t="n">
        <f aca="false">E8+E10+E24</f>
        <v>2488.10301936</v>
      </c>
      <c r="F11" s="0" t="n">
        <f aca="false">F8+F10+F24</f>
        <v>2701.6141257504</v>
      </c>
      <c r="G11" s="0" t="n">
        <f aca="false">G8+G10+G24</f>
        <v>2954.1014272224</v>
      </c>
      <c r="H11" s="0" t="n">
        <f aca="false">H8+H10+H24</f>
        <v>3147.36530726113</v>
      </c>
      <c r="I11" s="0" t="n">
        <f aca="false">I8+I10+I24</f>
        <v>3335.25140976834</v>
      </c>
      <c r="J11" s="0" t="n">
        <f aca="false">J8+J10+J24</f>
        <v>3486.25633058773</v>
      </c>
      <c r="K11" s="0" t="n">
        <f aca="false">K8+K10+K24</f>
        <v>3628.32673470688</v>
      </c>
      <c r="L11" s="0" t="n">
        <f aca="false">L8+L10+L24</f>
        <v>3719.03490307455</v>
      </c>
    </row>
    <row r="12" customFormat="false" ht="15" hidden="false" customHeight="false" outlineLevel="0" collapsed="false">
      <c r="A12" s="0" t="s">
        <v>120</v>
      </c>
      <c r="C12" s="4" t="n">
        <f aca="false">-C6*Assumptions!C17/100</f>
        <v>-189.61425</v>
      </c>
      <c r="D12" s="4" t="n">
        <f aca="false">-D6*Assumptions!D17/100</f>
        <v>-191.5103925</v>
      </c>
      <c r="E12" s="4" t="n">
        <f aca="false">-E6*Assumptions!E17/100</f>
        <v>-196.10664192</v>
      </c>
      <c r="F12" s="4" t="n">
        <f aca="false">-F6*Assumptions!F17/100</f>
        <v>-201.9898411776</v>
      </c>
      <c r="G12" s="4" t="n">
        <f aca="false">-G6*Assumptions!G17/100</f>
        <v>-196.94009514816</v>
      </c>
      <c r="H12" s="4" t="n">
        <f aca="false">-H6*Assumptions!H17/100</f>
        <v>-204.817698954086</v>
      </c>
      <c r="I12" s="4" t="n">
        <f aca="false">-I6*Assumptions!I17/100</f>
        <v>-211.986318417479</v>
      </c>
      <c r="J12" s="4" t="n">
        <f aca="false">-J6*Assumptions!J17/100</f>
        <v>-218.345907970004</v>
      </c>
      <c r="K12" s="4" t="n">
        <f aca="false">-K6*Assumptions!K17/100</f>
        <v>-224.896285209104</v>
      </c>
      <c r="L12" s="4" t="n">
        <f aca="false">-L6*Assumptions!L17/100</f>
        <v>-230.518692339332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2717.80425</v>
      </c>
      <c r="D13" s="0" t="n">
        <f aca="false">D11+D12</f>
        <v>2604.541338</v>
      </c>
      <c r="E13" s="0" t="n">
        <f aca="false">E11+E12</f>
        <v>2291.99637744</v>
      </c>
      <c r="F13" s="0" t="n">
        <f aca="false">F11+F12</f>
        <v>2499.6242845728</v>
      </c>
      <c r="G13" s="0" t="n">
        <f aca="false">G11+G12</f>
        <v>2757.16133207424</v>
      </c>
      <c r="H13" s="0" t="n">
        <f aca="false">H11+H12</f>
        <v>2942.54760830704</v>
      </c>
      <c r="I13" s="0" t="n">
        <f aca="false">I11+I12</f>
        <v>3123.26509135086</v>
      </c>
      <c r="J13" s="0" t="n">
        <f aca="false">J11+J12</f>
        <v>3267.91042261772</v>
      </c>
      <c r="K13" s="0" t="n">
        <f aca="false">K11+K12</f>
        <v>3403.43044949777</v>
      </c>
      <c r="L13" s="0" t="n">
        <f aca="false">L11+L12</f>
        <v>3488.51621073522</v>
      </c>
    </row>
    <row r="14" customFormat="false" ht="15" hidden="false" customHeight="false" outlineLevel="0" collapsed="false">
      <c r="A14" s="0" t="s">
        <v>107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2038.3531875</v>
      </c>
      <c r="D15" s="0" t="n">
        <f aca="false">D13-MAX(0,D13)*D14/100</f>
        <v>1953.4060035</v>
      </c>
      <c r="E15" s="0" t="n">
        <f aca="false">E13-MAX(0,E13)*E14/100</f>
        <v>1718.99728308</v>
      </c>
      <c r="F15" s="0" t="n">
        <f aca="false">F13-MAX(0,F13)*F14/100</f>
        <v>1874.7182134296</v>
      </c>
      <c r="G15" s="0" t="n">
        <f aca="false">G13-MAX(0,G13)*G14/100</f>
        <v>2067.87099905568</v>
      </c>
      <c r="H15" s="0" t="n">
        <f aca="false">H13-MAX(0,H13)*H14/100</f>
        <v>2206.91070623028</v>
      </c>
      <c r="I15" s="0" t="n">
        <f aca="false">I13-MAX(0,I13)*I14/100</f>
        <v>2342.44881851315</v>
      </c>
      <c r="J15" s="0" t="n">
        <f aca="false">J13-MAX(0,J13)*J14/100</f>
        <v>2450.93281696329</v>
      </c>
      <c r="K15" s="0" t="n">
        <f aca="false">K13-MAX(0,K13)*K14/100</f>
        <v>2552.57283712333</v>
      </c>
      <c r="L15" s="0" t="n">
        <f aca="false">L13-MAX(0,L13)*L14/100</f>
        <v>2616.38715805141</v>
      </c>
    </row>
    <row r="16" customFormat="false" ht="15" hidden="false" customHeight="false" outlineLevel="0" collapsed="false">
      <c r="A16" s="0" t="s">
        <v>123</v>
      </c>
      <c r="C16" s="0" t="n">
        <f aca="false">-C12</f>
        <v>189.61425</v>
      </c>
      <c r="D16" s="0" t="n">
        <f aca="false">-D12</f>
        <v>191.5103925</v>
      </c>
      <c r="E16" s="0" t="n">
        <f aca="false">-E12</f>
        <v>196.10664192</v>
      </c>
      <c r="F16" s="0" t="n">
        <f aca="false">-F12</f>
        <v>201.9898411776</v>
      </c>
      <c r="G16" s="0" t="n">
        <f aca="false">-G12</f>
        <v>196.94009514816</v>
      </c>
      <c r="H16" s="0" t="n">
        <f aca="false">-H12</f>
        <v>204.817698954086</v>
      </c>
      <c r="I16" s="0" t="n">
        <f aca="false">-I12</f>
        <v>211.986318417479</v>
      </c>
      <c r="J16" s="0" t="n">
        <f aca="false">-J12</f>
        <v>218.345907970004</v>
      </c>
      <c r="K16" s="0" t="n">
        <f aca="false">-K12</f>
        <v>224.896285209104</v>
      </c>
      <c r="L16" s="0" t="n">
        <f aca="false">-L12</f>
        <v>230.518692339332</v>
      </c>
    </row>
    <row r="17" customFormat="false" ht="15" hidden="false" customHeight="false" outlineLevel="0" collapsed="false">
      <c r="A17" s="0" t="s">
        <v>124</v>
      </c>
      <c r="C17" s="4" t="n">
        <f aca="false">-C6*Assumptions!C18/100</f>
        <v>-214.89615</v>
      </c>
      <c r="D17" s="4" t="n">
        <f aca="false">-D6*Assumptions!D18/100</f>
        <v>-217.0451115</v>
      </c>
      <c r="E17" s="4" t="n">
        <f aca="false">-E6*Assumptions!E18/100</f>
        <v>-208.36330704</v>
      </c>
      <c r="F17" s="4" t="n">
        <f aca="false">-F6*Assumptions!F18/100</f>
        <v>-214.6142062512</v>
      </c>
      <c r="G17" s="4" t="n">
        <f aca="false">-G6*Assumptions!G18/100</f>
        <v>-223.198774501248</v>
      </c>
      <c r="H17" s="4" t="n">
        <f aca="false">-H6*Assumptions!H18/100</f>
        <v>-232.126725481298</v>
      </c>
      <c r="I17" s="4" t="n">
        <f aca="false">-I6*Assumptions!I18/100</f>
        <v>-240.251160873143</v>
      </c>
      <c r="J17" s="4" t="n">
        <f aca="false">-J6*Assumptions!J18/100</f>
        <v>-247.458695699338</v>
      </c>
      <c r="K17" s="4" t="n">
        <f aca="false">-K6*Assumptions!K18/100</f>
        <v>-254.882456570318</v>
      </c>
      <c r="L17" s="4" t="n">
        <f aca="false">-L6*Assumptions!L18/100</f>
        <v>-261.254517984576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(C6-B6)*Assumptions!$B$23/100</f>
        <v>30.0975</v>
      </c>
      <c r="D18" s="4" t="n">
        <f aca="false">(D6-C6)*Assumptions!$B$23/100</f>
        <v>6.32047499999999</v>
      </c>
      <c r="E18" s="4" t="n">
        <f aca="false">(E6-D6)*Assumptions!$B$23/100</f>
        <v>-25.534719</v>
      </c>
      <c r="F18" s="4" t="n">
        <f aca="false">(F6-E6)*Assumptions!$B$23/100</f>
        <v>18.38499768</v>
      </c>
      <c r="G18" s="4" t="n">
        <f aca="false">(G6-F6)*Assumptions!$B$23/100</f>
        <v>25.2487301472001</v>
      </c>
      <c r="H18" s="4" t="n">
        <f aca="false">(H6-G6)*Assumptions!$B$23/100</f>
        <v>26.2586793530881</v>
      </c>
      <c r="I18" s="4" t="n">
        <f aca="false">(I6-H6)*Assumptions!$B$23/100</f>
        <v>23.89539821131</v>
      </c>
      <c r="J18" s="4" t="n">
        <f aca="false">(J6-I6)*Assumptions!$B$23/100</f>
        <v>21.1986318417479</v>
      </c>
      <c r="K18" s="4" t="n">
        <f aca="false">(K6-J6)*Assumptions!$B$23/100</f>
        <v>21.8345907970004</v>
      </c>
      <c r="L18" s="4" t="n">
        <f aca="false">(L6-K6)*Assumptions!$B$23/100</f>
        <v>18.7413571007586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2043.1687875</v>
      </c>
      <c r="D19" s="0" t="n">
        <f aca="false">D15+D16+D17+D18</f>
        <v>1934.1917595</v>
      </c>
      <c r="E19" s="0" t="n">
        <f aca="false">E15+E16+E17+E18</f>
        <v>1681.20589896</v>
      </c>
      <c r="F19" s="0" t="n">
        <f aca="false">F15+F16+F17+F18</f>
        <v>1880.478846036</v>
      </c>
      <c r="G19" s="0" t="n">
        <f aca="false">G15+G16+G17+G18</f>
        <v>2066.86104984979</v>
      </c>
      <c r="H19" s="0" t="n">
        <f aca="false">H15+H16+H17+H18</f>
        <v>2205.86035905616</v>
      </c>
      <c r="I19" s="0" t="n">
        <f aca="false">I15+I16+I17+I18</f>
        <v>2338.07937426879</v>
      </c>
      <c r="J19" s="0" t="n">
        <f aca="false">J15+J16+J17+J18</f>
        <v>2443.01866107571</v>
      </c>
      <c r="K19" s="0" t="n">
        <f aca="false">K15+K16+K17+K18</f>
        <v>2544.42125655912</v>
      </c>
      <c r="L19" s="0" t="n">
        <f aca="false">L15+L16+L17+L18</f>
        <v>2604.39268950693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1883.10487327189</v>
      </c>
      <c r="D21" s="0" t="n">
        <f aca="false">D19*D20</f>
        <v>1643.00941578713</v>
      </c>
      <c r="E21" s="0" t="n">
        <f aca="false">E19*E20</f>
        <v>1316.2297134253</v>
      </c>
      <c r="F21" s="0" t="n">
        <f aca="false">F19*F20</f>
        <v>1356.90517740945</v>
      </c>
      <c r="G21" s="0" t="n">
        <f aca="false">G19*G20</f>
        <v>1374.55648177574</v>
      </c>
      <c r="H21" s="0" t="n">
        <f aca="false">H19*H20</f>
        <v>1352.07127760708</v>
      </c>
      <c r="I21" s="0" t="n">
        <f aca="false">I19*I20</f>
        <v>1320.84264872268</v>
      </c>
      <c r="J21" s="0" t="n">
        <f aca="false">J19*J20</f>
        <v>1272.00517702415</v>
      </c>
      <c r="K21" s="0" t="n">
        <f aca="false">K19*K20</f>
        <v>1221.01604646225</v>
      </c>
      <c r="L21" s="0" t="n">
        <f aca="false">L19*L20</f>
        <v>1151.88490159763</v>
      </c>
    </row>
    <row r="23" customFormat="false" ht="15" hidden="false" customHeight="false" outlineLevel="0" collapsed="false">
      <c r="A23" s="0" t="s">
        <v>104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109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110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13891.6257130833</v>
      </c>
    </row>
    <row r="31" customFormat="false" ht="15" hidden="false" customHeight="false" outlineLevel="0" collapsed="false">
      <c r="A31" s="0" t="s">
        <v>132</v>
      </c>
      <c r="B31" s="0" t="n">
        <f aca="false">L19</f>
        <v>2604.39268950693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44491.7084457433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39065.8903426039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39065.8903426039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17278.2735239644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31169.8992370477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18807.8992370477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82.8541816610031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-0.741307038650546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1744.76567426554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2090.0786380588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99.747768939965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21356.0200539568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14.8130556272992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Assumptions!C27</f>
        <v>7</v>
      </c>
      <c r="D5" s="4" t="n">
        <f aca="false">Assumptions!D27</f>
        <v>6.5</v>
      </c>
      <c r="E5" s="4" t="n">
        <f aca="false">Assumptions!E27</f>
        <v>6</v>
      </c>
      <c r="F5" s="4" t="n">
        <f aca="false">Assumptions!F27</f>
        <v>5.5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12039</v>
      </c>
      <c r="C6" s="0" t="n">
        <f aca="false">B6*(1+C5/100)</f>
        <v>12881.73</v>
      </c>
      <c r="D6" s="0" t="n">
        <f aca="false">C6*(1+D5/100)</f>
        <v>13719.04245</v>
      </c>
      <c r="E6" s="0" t="n">
        <f aca="false">D6*(1+E5/100)</f>
        <v>14542.184997</v>
      </c>
      <c r="F6" s="0" t="n">
        <f aca="false">E6*(1+F5/100)</f>
        <v>15342.005171835</v>
      </c>
      <c r="G6" s="0" t="n">
        <f aca="false">F6*(1+G5/100)</f>
        <v>16109.1054304268</v>
      </c>
      <c r="H6" s="0" t="n">
        <f aca="false">G6*(1+H5/100)</f>
        <v>16834.015174796</v>
      </c>
      <c r="I6" s="0" t="n">
        <f aca="false">H6*(1+I5/100)</f>
        <v>17507.3757817878</v>
      </c>
      <c r="J6" s="0" t="n">
        <f aca="false">I6*(1+J5/100)</f>
        <v>18120.1339341504</v>
      </c>
      <c r="K6" s="0" t="n">
        <f aca="false">J6*(1+K5/100)</f>
        <v>18663.7379521749</v>
      </c>
      <c r="L6" s="0" t="n">
        <f aca="false">K6*(1+L5/100)</f>
        <v>19223.6500907401</v>
      </c>
    </row>
    <row r="7" customFormat="false" ht="15" hidden="false" customHeight="false" outlineLevel="0" collapsed="false">
      <c r="A7" s="0" t="s">
        <v>102</v>
      </c>
      <c r="C7" s="4" t="n">
        <f aca="false">Assumptions!C28</f>
        <v>25.5</v>
      </c>
      <c r="D7" s="4" t="n">
        <f aca="false">Assumptions!D28</f>
        <v>26</v>
      </c>
      <c r="E7" s="4" t="n">
        <f aca="false">Assumptions!E28</f>
        <v>26.5</v>
      </c>
      <c r="F7" s="4" t="n">
        <f aca="false">Assumptions!F28</f>
        <v>27</v>
      </c>
      <c r="G7" s="4" t="n">
        <f aca="false">Assumptions!G28</f>
        <v>27.4</v>
      </c>
      <c r="H7" s="4" t="n">
        <f aca="false">Assumptions!H28</f>
        <v>27.7</v>
      </c>
      <c r="I7" s="4" t="n">
        <f aca="false">Assumptions!I28</f>
        <v>28</v>
      </c>
      <c r="J7" s="4" t="n">
        <f aca="false">Assumptions!J28</f>
        <v>28.2</v>
      </c>
      <c r="K7" s="4" t="n">
        <f aca="false">Assumptions!K28</f>
        <v>28.4</v>
      </c>
      <c r="L7" s="4" t="n">
        <f aca="false">Assumptions!L28</f>
        <v>28.5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3284.84115</v>
      </c>
      <c r="D8" s="0" t="n">
        <f aca="false">D6*D7/100</f>
        <v>3566.951037</v>
      </c>
      <c r="E8" s="0" t="n">
        <f aca="false">E6*E7/100</f>
        <v>3853.679024205</v>
      </c>
      <c r="F8" s="0" t="n">
        <f aca="false">F6*F7/100</f>
        <v>4142.34139639545</v>
      </c>
      <c r="G8" s="0" t="n">
        <f aca="false">G6*G7/100</f>
        <v>4413.89488793693</v>
      </c>
      <c r="H8" s="0" t="n">
        <f aca="false">H6*H7/100</f>
        <v>4663.02220341848</v>
      </c>
      <c r="I8" s="0" t="n">
        <f aca="false">I6*I7/100</f>
        <v>4902.06521890058</v>
      </c>
      <c r="J8" s="0" t="n">
        <f aca="false">J6*J7/100</f>
        <v>5109.8777694304</v>
      </c>
      <c r="K8" s="0" t="n">
        <f aca="false">K6*K7/100</f>
        <v>5300.50157841766</v>
      </c>
      <c r="L8" s="0" t="n">
        <f aca="false">L6*L7/100</f>
        <v>5478.74027586093</v>
      </c>
    </row>
    <row r="9" customFormat="false" ht="15" hidden="false" customHeight="false" outlineLevel="0" collapsed="false">
      <c r="A9" s="0" t="s">
        <v>103</v>
      </c>
      <c r="C9" s="4" t="n">
        <f aca="false">Assumptions!C29</f>
        <v>2</v>
      </c>
      <c r="D9" s="4" t="n">
        <f aca="false">Assumptions!D29</f>
        <v>2</v>
      </c>
      <c r="E9" s="4" t="n">
        <f aca="false">Assumptions!E29</f>
        <v>1.95</v>
      </c>
      <c r="F9" s="4" t="n">
        <f aca="false">Assumptions!F29</f>
        <v>1.9</v>
      </c>
      <c r="G9" s="4" t="n">
        <f aca="false">Assumptions!G29</f>
        <v>1.85</v>
      </c>
      <c r="H9" s="4" t="n">
        <f aca="false">Assumptions!H29</f>
        <v>1.8</v>
      </c>
      <c r="I9" s="4" t="n">
        <f aca="false">Assumptions!I29</f>
        <v>1.75</v>
      </c>
      <c r="J9" s="4" t="n">
        <f aca="false">Assumptions!J29</f>
        <v>1.7</v>
      </c>
      <c r="K9" s="4" t="n">
        <f aca="false">Assumptions!K29</f>
        <v>1.65</v>
      </c>
      <c r="L9" s="4" t="n">
        <f aca="false">Assumptions!L29</f>
        <v>1.6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-257.6346</v>
      </c>
      <c r="D10" s="0" t="n">
        <f aca="false">-D6*D9/100</f>
        <v>-274.380849</v>
      </c>
      <c r="E10" s="0" t="n">
        <f aca="false">-E6*E9/100</f>
        <v>-283.5726074415</v>
      </c>
      <c r="F10" s="0" t="n">
        <f aca="false">-F6*F9/100</f>
        <v>-291.498098264865</v>
      </c>
      <c r="G10" s="0" t="n">
        <f aca="false">-G6*G9/100</f>
        <v>-298.018450462895</v>
      </c>
      <c r="H10" s="0" t="n">
        <f aca="false">-H6*H9/100</f>
        <v>-303.012273146327</v>
      </c>
      <c r="I10" s="0" t="n">
        <f aca="false">-I6*I9/100</f>
        <v>-306.379076181286</v>
      </c>
      <c r="J10" s="0" t="n">
        <f aca="false">-J6*J9/100</f>
        <v>-308.042276880556</v>
      </c>
      <c r="K10" s="0" t="n">
        <f aca="false">-K6*K9/100</f>
        <v>-307.951676210885</v>
      </c>
      <c r="L10" s="0" t="n">
        <f aca="false">-L6*L9/100</f>
        <v>-307.578401451842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3027.20655</v>
      </c>
      <c r="D11" s="0" t="n">
        <f aca="false">D8+D10+D24</f>
        <v>3292.570188</v>
      </c>
      <c r="E11" s="0" t="n">
        <f aca="false">E8+E10+E24</f>
        <v>3570.1064167635</v>
      </c>
      <c r="F11" s="0" t="n">
        <f aca="false">F8+F10+F24</f>
        <v>3850.84329813059</v>
      </c>
      <c r="G11" s="0" t="n">
        <f aca="false">G8+G10+G24</f>
        <v>4115.87643747404</v>
      </c>
      <c r="H11" s="0" t="n">
        <f aca="false">H8+H10+H24</f>
        <v>4360.00993027215</v>
      </c>
      <c r="I11" s="0" t="n">
        <f aca="false">I8+I10+I24</f>
        <v>4595.6861427193</v>
      </c>
      <c r="J11" s="0" t="n">
        <f aca="false">J8+J10+J24</f>
        <v>4801.83549254985</v>
      </c>
      <c r="K11" s="0" t="n">
        <f aca="false">K8+K10+K24</f>
        <v>4992.54990220678</v>
      </c>
      <c r="L11" s="0" t="n">
        <f aca="false">L8+L10+L24</f>
        <v>5171.16187440909</v>
      </c>
    </row>
    <row r="12" customFormat="false" ht="15" hidden="false" customHeight="false" outlineLevel="0" collapsed="false">
      <c r="A12" s="0" t="s">
        <v>120</v>
      </c>
      <c r="C12" s="4" t="n">
        <f aca="false">-C6*Assumptions!C31/100</f>
        <v>-193.22595</v>
      </c>
      <c r="D12" s="4" t="n">
        <f aca="false">-D6*Assumptions!D31/100</f>
        <v>-205.78563675</v>
      </c>
      <c r="E12" s="4" t="n">
        <f aca="false">-E6*Assumptions!E31/100</f>
        <v>-218.132774955</v>
      </c>
      <c r="F12" s="4" t="n">
        <f aca="false">-F6*Assumptions!F31/100</f>
        <v>-230.130077577525</v>
      </c>
      <c r="G12" s="4" t="n">
        <f aca="false">-G6*Assumptions!G31/100</f>
        <v>-241.636581456401</v>
      </c>
      <c r="H12" s="4" t="n">
        <f aca="false">-H6*Assumptions!H31/100</f>
        <v>-252.510227621939</v>
      </c>
      <c r="I12" s="4" t="n">
        <f aca="false">-I6*Assumptions!I31/100</f>
        <v>-262.610636726817</v>
      </c>
      <c r="J12" s="4" t="n">
        <f aca="false">-J6*Assumptions!J31/100</f>
        <v>-271.802009012255</v>
      </c>
      <c r="K12" s="4" t="n">
        <f aca="false">-K6*Assumptions!K31/100</f>
        <v>-279.956069282623</v>
      </c>
      <c r="L12" s="4" t="n">
        <f aca="false">-L6*Assumptions!L31/100</f>
        <v>-288.354751361102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2833.9806</v>
      </c>
      <c r="D13" s="0" t="n">
        <f aca="false">D11+D12</f>
        <v>3086.78455125</v>
      </c>
      <c r="E13" s="0" t="n">
        <f aca="false">E11+E12</f>
        <v>3351.9736418085</v>
      </c>
      <c r="F13" s="0" t="n">
        <f aca="false">F11+F12</f>
        <v>3620.71322055306</v>
      </c>
      <c r="G13" s="0" t="n">
        <f aca="false">G11+G12</f>
        <v>3874.23985601763</v>
      </c>
      <c r="H13" s="0" t="n">
        <f aca="false">H11+H12</f>
        <v>4107.49970265021</v>
      </c>
      <c r="I13" s="0" t="n">
        <f aca="false">I11+I12</f>
        <v>4333.07550599248</v>
      </c>
      <c r="J13" s="0" t="n">
        <f aca="false">J11+J12</f>
        <v>4530.03348353759</v>
      </c>
      <c r="K13" s="0" t="n">
        <f aca="false">K11+K12</f>
        <v>4712.59383292416</v>
      </c>
      <c r="L13" s="0" t="n">
        <f aca="false">L11+L12</f>
        <v>4882.80712304799</v>
      </c>
    </row>
    <row r="14" customFormat="false" ht="15" hidden="false" customHeight="false" outlineLevel="0" collapsed="false">
      <c r="A14" s="0" t="s">
        <v>107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2125.48545</v>
      </c>
      <c r="D15" s="0" t="n">
        <f aca="false">D13-MAX(0,D13)*D14/100</f>
        <v>2315.0884134375</v>
      </c>
      <c r="E15" s="0" t="n">
        <f aca="false">E13-MAX(0,E13)*E14/100</f>
        <v>2513.98023135638</v>
      </c>
      <c r="F15" s="0" t="n">
        <f aca="false">F13-MAX(0,F13)*F14/100</f>
        <v>2715.5349154148</v>
      </c>
      <c r="G15" s="0" t="n">
        <f aca="false">G13-MAX(0,G13)*G14/100</f>
        <v>2905.67989201323</v>
      </c>
      <c r="H15" s="0" t="n">
        <f aca="false">H13-MAX(0,H13)*H14/100</f>
        <v>3080.62477698766</v>
      </c>
      <c r="I15" s="0" t="n">
        <f aca="false">I13-MAX(0,I13)*I14/100</f>
        <v>3249.80662949436</v>
      </c>
      <c r="J15" s="0" t="n">
        <f aca="false">J13-MAX(0,J13)*J14/100</f>
        <v>3397.52511265319</v>
      </c>
      <c r="K15" s="0" t="n">
        <f aca="false">K13-MAX(0,K13)*K14/100</f>
        <v>3534.44537469312</v>
      </c>
      <c r="L15" s="0" t="n">
        <f aca="false">L13-MAX(0,L13)*L14/100</f>
        <v>3662.10534228599</v>
      </c>
    </row>
    <row r="16" customFormat="false" ht="15" hidden="false" customHeight="false" outlineLevel="0" collapsed="false">
      <c r="A16" s="0" t="s">
        <v>123</v>
      </c>
      <c r="C16" s="0" t="n">
        <f aca="false">-C12</f>
        <v>193.22595</v>
      </c>
      <c r="D16" s="0" t="n">
        <f aca="false">-D12</f>
        <v>205.78563675</v>
      </c>
      <c r="E16" s="0" t="n">
        <f aca="false">-E12</f>
        <v>218.132774955</v>
      </c>
      <c r="F16" s="0" t="n">
        <f aca="false">-F12</f>
        <v>230.130077577525</v>
      </c>
      <c r="G16" s="0" t="n">
        <f aca="false">-G12</f>
        <v>241.636581456401</v>
      </c>
      <c r="H16" s="0" t="n">
        <f aca="false">-H12</f>
        <v>252.510227621939</v>
      </c>
      <c r="I16" s="0" t="n">
        <f aca="false">-I12</f>
        <v>262.610636726817</v>
      </c>
      <c r="J16" s="0" t="n">
        <f aca="false">-J12</f>
        <v>271.802009012255</v>
      </c>
      <c r="K16" s="0" t="n">
        <f aca="false">-K12</f>
        <v>279.956069282623</v>
      </c>
      <c r="L16" s="0" t="n">
        <f aca="false">-L12</f>
        <v>288.354751361102</v>
      </c>
    </row>
    <row r="17" customFormat="false" ht="15" hidden="false" customHeight="false" outlineLevel="0" collapsed="false">
      <c r="A17" s="0" t="s">
        <v>124</v>
      </c>
      <c r="C17" s="4" t="n">
        <f aca="false">-C6*Assumptions!C32/100</f>
        <v>-206.10768</v>
      </c>
      <c r="D17" s="4" t="n">
        <f aca="false">-D6*Assumptions!D32/100</f>
        <v>-219.5046792</v>
      </c>
      <c r="E17" s="4" t="n">
        <f aca="false">-E6*Assumptions!E32/100</f>
        <v>-232.674959952</v>
      </c>
      <c r="F17" s="4" t="n">
        <f aca="false">-F6*Assumptions!F32/100</f>
        <v>-245.47208274936</v>
      </c>
      <c r="G17" s="4" t="n">
        <f aca="false">-G6*Assumptions!G32/100</f>
        <v>-257.745686886828</v>
      </c>
      <c r="H17" s="4" t="n">
        <f aca="false">-H6*Assumptions!H32/100</f>
        <v>-269.344242796735</v>
      </c>
      <c r="I17" s="4" t="n">
        <f aca="false">-I6*Assumptions!I32/100</f>
        <v>-280.118012508605</v>
      </c>
      <c r="J17" s="4" t="n">
        <f aca="false">-J6*Assumptions!J32/100</f>
        <v>-289.922142946406</v>
      </c>
      <c r="K17" s="4" t="n">
        <f aca="false">-K6*Assumptions!K32/100</f>
        <v>-298.619807234798</v>
      </c>
      <c r="L17" s="4" t="n">
        <f aca="false">-L6*Assumptions!L32/100</f>
        <v>-307.578401451842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(C6-B6)*Assumptions!$B$37/100</f>
        <v>126.4095</v>
      </c>
      <c r="D18" s="4" t="n">
        <f aca="false">(D6-C6)*Assumptions!$B$37/100</f>
        <v>125.5968675</v>
      </c>
      <c r="E18" s="4" t="n">
        <f aca="false">(E6-D6)*Assumptions!$B$37/100</f>
        <v>123.47138205</v>
      </c>
      <c r="F18" s="4" t="n">
        <f aca="false">(F6-E6)*Assumptions!$B$37/100</f>
        <v>119.97302622525</v>
      </c>
      <c r="G18" s="4" t="n">
        <f aca="false">(G6-F6)*Assumptions!$B$37/100</f>
        <v>115.065038788763</v>
      </c>
      <c r="H18" s="4" t="n">
        <f aca="false">(H6-G6)*Assumptions!$B$37/100</f>
        <v>108.73646165538</v>
      </c>
      <c r="I18" s="4" t="n">
        <f aca="false">(I6-H6)*Assumptions!$B$37/100</f>
        <v>101.004091048776</v>
      </c>
      <c r="J18" s="4" t="n">
        <f aca="false">(J6-I6)*Assumptions!$B$37/100</f>
        <v>91.9137228543856</v>
      </c>
      <c r="K18" s="4" t="n">
        <f aca="false">(K6-J6)*Assumptions!$B$37/100</f>
        <v>81.5406027036766</v>
      </c>
      <c r="L18" s="4" t="n">
        <f aca="false">(L6-K6)*Assumptions!$B$37/100</f>
        <v>83.9868207847871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2239.01322</v>
      </c>
      <c r="D19" s="0" t="n">
        <f aca="false">D15+D16+D17+D18</f>
        <v>2426.9662384875</v>
      </c>
      <c r="E19" s="0" t="n">
        <f aca="false">E15+E16+E17+E18</f>
        <v>2622.90942840938</v>
      </c>
      <c r="F19" s="0" t="n">
        <f aca="false">F15+F16+F17+F18</f>
        <v>2820.16593646821</v>
      </c>
      <c r="G19" s="0" t="n">
        <f aca="false">G15+G16+G17+G18</f>
        <v>3004.63582537156</v>
      </c>
      <c r="H19" s="0" t="n">
        <f aca="false">H15+H16+H17+H18</f>
        <v>3172.52722346824</v>
      </c>
      <c r="I19" s="0" t="n">
        <f aca="false">I15+I16+I17+I18</f>
        <v>3333.30334476135</v>
      </c>
      <c r="J19" s="0" t="n">
        <f aca="false">J15+J16+J17+J18</f>
        <v>3471.31870157343</v>
      </c>
      <c r="K19" s="0" t="n">
        <f aca="false">K15+K16+K17+K18</f>
        <v>3597.32223944462</v>
      </c>
      <c r="L19" s="0" t="n">
        <f aca="false">L15+L16+L17+L18</f>
        <v>3726.86851298004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2063.60665437788</v>
      </c>
      <c r="D21" s="0" t="n">
        <f aca="false">D19*D20</f>
        <v>2061.59930216186</v>
      </c>
      <c r="E21" s="0" t="n">
        <f aca="false">E19*E20</f>
        <v>2053.49703295202</v>
      </c>
      <c r="F21" s="0" t="n">
        <f aca="false">F19*F20</f>
        <v>2034.95921712391</v>
      </c>
      <c r="G21" s="0" t="n">
        <f aca="false">G19*G20</f>
        <v>1998.21930431183</v>
      </c>
      <c r="H21" s="0" t="n">
        <f aca="false">H19*H20</f>
        <v>1944.58498638297</v>
      </c>
      <c r="I21" s="0" t="n">
        <f aca="false">I19*I20</f>
        <v>1883.07089457459</v>
      </c>
      <c r="J21" s="0" t="n">
        <f aca="false">J19*J20</f>
        <v>1807.40959119727</v>
      </c>
      <c r="K21" s="0" t="n">
        <f aca="false">K19*K20</f>
        <v>1726.28182826823</v>
      </c>
      <c r="L21" s="0" t="n">
        <f aca="false">L19*L20</f>
        <v>1648.33958705131</v>
      </c>
    </row>
    <row r="23" customFormat="false" ht="15" hidden="false" customHeight="false" outlineLevel="0" collapsed="false">
      <c r="A23" s="0" t="s">
        <v>104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109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110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19221.5683984019</v>
      </c>
    </row>
    <row r="31" customFormat="false" ht="15" hidden="false" customHeight="false" outlineLevel="0" collapsed="false">
      <c r="A31" s="0" t="s">
        <v>132</v>
      </c>
      <c r="B31" s="0" t="n">
        <f aca="false">L19</f>
        <v>3726.86851298004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69794.0830612625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74537.3702596008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69794.0830612625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30868.9049938701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50090.4733922719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37728.4733922719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166.204728600317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-0.481064291868625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1904.08702821993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2547.61025765069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185.815729859659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31988.954736412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43.4424450402319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Assumptions!C41</f>
        <v>8.5</v>
      </c>
      <c r="D5" s="4" t="n">
        <f aca="false">Assumptions!D41</f>
        <v>8</v>
      </c>
      <c r="E5" s="4" t="n">
        <f aca="false">Assumptions!E41</f>
        <v>7.5</v>
      </c>
      <c r="F5" s="4" t="n">
        <f aca="false">Assumptions!F41</f>
        <v>7</v>
      </c>
      <c r="G5" s="4" t="n">
        <f aca="false">Assumptions!G41</f>
        <v>6.5</v>
      </c>
      <c r="H5" s="4" t="n">
        <f aca="false">Assumptions!H41</f>
        <v>6</v>
      </c>
      <c r="I5" s="4" t="n">
        <f aca="false">Assumptions!I41</f>
        <v>5.5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12039</v>
      </c>
      <c r="C6" s="0" t="n">
        <f aca="false">B6*(1+C5/100)</f>
        <v>13062.315</v>
      </c>
      <c r="D6" s="0" t="n">
        <f aca="false">C6*(1+D5/100)</f>
        <v>14107.3002</v>
      </c>
      <c r="E6" s="0" t="n">
        <f aca="false">D6*(1+E5/100)</f>
        <v>15165.347715</v>
      </c>
      <c r="F6" s="0" t="n">
        <f aca="false">E6*(1+F5/100)</f>
        <v>16226.92205505</v>
      </c>
      <c r="G6" s="0" t="n">
        <f aca="false">F6*(1+G5/100)</f>
        <v>17281.6719886283</v>
      </c>
      <c r="H6" s="0" t="n">
        <f aca="false">G6*(1+H5/100)</f>
        <v>18318.572307946</v>
      </c>
      <c r="I6" s="0" t="n">
        <f aca="false">H6*(1+I5/100)</f>
        <v>19326.093784883</v>
      </c>
      <c r="J6" s="0" t="n">
        <f aca="false">I6*(1+J5/100)</f>
        <v>20292.3984741271</v>
      </c>
      <c r="K6" s="0" t="n">
        <f aca="false">J6*(1+K5/100)</f>
        <v>21104.0944130922</v>
      </c>
      <c r="L6" s="0" t="n">
        <f aca="false">K6*(1+L5/100)</f>
        <v>21842.7377175504</v>
      </c>
    </row>
    <row r="7" customFormat="false" ht="15" hidden="false" customHeight="false" outlineLevel="0" collapsed="false">
      <c r="A7" s="0" t="s">
        <v>102</v>
      </c>
      <c r="C7" s="4" t="n">
        <f aca="false">Assumptions!C42</f>
        <v>26</v>
      </c>
      <c r="D7" s="4" t="n">
        <f aca="false">Assumptions!D42</f>
        <v>26.8</v>
      </c>
      <c r="E7" s="4" t="n">
        <f aca="false">Assumptions!E42</f>
        <v>27.5</v>
      </c>
      <c r="F7" s="4" t="n">
        <f aca="false">Assumptions!F42</f>
        <v>28.2</v>
      </c>
      <c r="G7" s="4" t="n">
        <f aca="false">Assumptions!G42</f>
        <v>28.8</v>
      </c>
      <c r="H7" s="4" t="n">
        <f aca="false">Assumptions!H42</f>
        <v>29.3</v>
      </c>
      <c r="I7" s="4" t="n">
        <f aca="false">Assumptions!I42</f>
        <v>29.7</v>
      </c>
      <c r="J7" s="4" t="n">
        <f aca="false">Assumptions!J42</f>
        <v>30</v>
      </c>
      <c r="K7" s="4" t="n">
        <f aca="false">Assumptions!K42</f>
        <v>30.2</v>
      </c>
      <c r="L7" s="4" t="n">
        <f aca="false">Assumptions!L42</f>
        <v>30.4</v>
      </c>
    </row>
    <row r="8" customFormat="false" ht="15" hidden="false" customHeight="false" outlineLevel="0" collapsed="false">
      <c r="A8" s="0" t="s">
        <v>43</v>
      </c>
      <c r="C8" s="0" t="n">
        <f aca="false">C6*C7/100</f>
        <v>3396.2019</v>
      </c>
      <c r="D8" s="0" t="n">
        <f aca="false">D6*D7/100</f>
        <v>3780.7564536</v>
      </c>
      <c r="E8" s="0" t="n">
        <f aca="false">E6*E7/100</f>
        <v>4170.470621625</v>
      </c>
      <c r="F8" s="0" t="n">
        <f aca="false">F6*F7/100</f>
        <v>4575.9920195241</v>
      </c>
      <c r="G8" s="0" t="n">
        <f aca="false">G6*G7/100</f>
        <v>4977.12153272494</v>
      </c>
      <c r="H8" s="0" t="n">
        <f aca="false">H6*H7/100</f>
        <v>5367.34168622816</v>
      </c>
      <c r="I8" s="0" t="n">
        <f aca="false">I6*I7/100</f>
        <v>5739.84985411024</v>
      </c>
      <c r="J8" s="0" t="n">
        <f aca="false">J6*J7/100</f>
        <v>6087.71954223814</v>
      </c>
      <c r="K8" s="0" t="n">
        <f aca="false">K6*K7/100</f>
        <v>6373.43651275385</v>
      </c>
      <c r="L8" s="0" t="n">
        <f aca="false">L6*L7/100</f>
        <v>6640.19226613533</v>
      </c>
    </row>
    <row r="9" customFormat="false" ht="15" hidden="false" customHeight="false" outlineLevel="0" collapsed="false">
      <c r="A9" s="0" t="s">
        <v>103</v>
      </c>
      <c r="C9" s="4" t="n">
        <f aca="false">Assumptions!C43</f>
        <v>2</v>
      </c>
      <c r="D9" s="4" t="n">
        <f aca="false">Assumptions!D43</f>
        <v>1.95</v>
      </c>
      <c r="E9" s="4" t="n">
        <f aca="false">Assumptions!E43</f>
        <v>1.9</v>
      </c>
      <c r="F9" s="4" t="n">
        <f aca="false">Assumptions!F43</f>
        <v>1.85</v>
      </c>
      <c r="G9" s="4" t="n">
        <f aca="false">Assumptions!G43</f>
        <v>1.8</v>
      </c>
      <c r="H9" s="4" t="n">
        <f aca="false">Assumptions!H43</f>
        <v>1.7</v>
      </c>
      <c r="I9" s="4" t="n">
        <f aca="false">Assumptions!I43</f>
        <v>1.65</v>
      </c>
      <c r="J9" s="4" t="n">
        <f aca="false">Assumptions!J43</f>
        <v>1.6</v>
      </c>
      <c r="K9" s="4" t="n">
        <f aca="false">Assumptions!K43</f>
        <v>1.55</v>
      </c>
      <c r="L9" s="4" t="n">
        <f aca="false">Assumptions!L43</f>
        <v>1.5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-261.2463</v>
      </c>
      <c r="D10" s="0" t="n">
        <f aca="false">-D6*D9/100</f>
        <v>-275.0923539</v>
      </c>
      <c r="E10" s="0" t="n">
        <f aca="false">-E6*E9/100</f>
        <v>-288.141606585</v>
      </c>
      <c r="F10" s="0" t="n">
        <f aca="false">-F6*F9/100</f>
        <v>-300.198058018425</v>
      </c>
      <c r="G10" s="0" t="n">
        <f aca="false">-G6*G9/100</f>
        <v>-311.070095795309</v>
      </c>
      <c r="H10" s="0" t="n">
        <f aca="false">-H6*H9/100</f>
        <v>-311.415729235081</v>
      </c>
      <c r="I10" s="0" t="n">
        <f aca="false">-I6*I9/100</f>
        <v>-318.880547450569</v>
      </c>
      <c r="J10" s="0" t="n">
        <f aca="false">-J6*J9/100</f>
        <v>-324.678375586034</v>
      </c>
      <c r="K10" s="0" t="n">
        <f aca="false">-K6*K9/100</f>
        <v>-327.113463402929</v>
      </c>
      <c r="L10" s="0" t="n">
        <f aca="false">-L6*L9/100</f>
        <v>-327.641065763257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3134.9556</v>
      </c>
      <c r="D11" s="0" t="n">
        <f aca="false">D8+D10+D24</f>
        <v>3505.6640997</v>
      </c>
      <c r="E11" s="0" t="n">
        <f aca="false">E8+E10+E24</f>
        <v>3882.32901504</v>
      </c>
      <c r="F11" s="0" t="n">
        <f aca="false">F8+F10+F24</f>
        <v>4275.79396150568</v>
      </c>
      <c r="G11" s="0" t="n">
        <f aca="false">G8+G10+G24</f>
        <v>4666.05143692963</v>
      </c>
      <c r="H11" s="0" t="n">
        <f aca="false">H8+H10+H24</f>
        <v>5055.92595699308</v>
      </c>
      <c r="I11" s="0" t="n">
        <f aca="false">I8+I10+I24</f>
        <v>5420.96930665967</v>
      </c>
      <c r="J11" s="0" t="n">
        <f aca="false">J8+J10+J24</f>
        <v>5763.0411666521</v>
      </c>
      <c r="K11" s="0" t="n">
        <f aca="false">K8+K10+K24</f>
        <v>6046.32304935092</v>
      </c>
      <c r="L11" s="0" t="n">
        <f aca="false">L8+L10+L24</f>
        <v>6312.55120037208</v>
      </c>
    </row>
    <row r="12" customFormat="false" ht="15" hidden="false" customHeight="false" outlineLevel="0" collapsed="false">
      <c r="A12" s="0" t="s">
        <v>120</v>
      </c>
      <c r="C12" s="4" t="n">
        <f aca="false">-C6*Assumptions!C45/100</f>
        <v>-195.934725</v>
      </c>
      <c r="D12" s="4" t="n">
        <f aca="false">-D6*Assumptions!D45/100</f>
        <v>-211.609503</v>
      </c>
      <c r="E12" s="4" t="n">
        <f aca="false">-E6*Assumptions!E45/100</f>
        <v>-227.480215725</v>
      </c>
      <c r="F12" s="4" t="n">
        <f aca="false">-F6*Assumptions!F45/100</f>
        <v>-243.40383082575</v>
      </c>
      <c r="G12" s="4" t="n">
        <f aca="false">-G6*Assumptions!G45/100</f>
        <v>-259.225079829424</v>
      </c>
      <c r="H12" s="4" t="n">
        <f aca="false">-H6*Assumptions!H45/100</f>
        <v>-274.778584619189</v>
      </c>
      <c r="I12" s="4" t="n">
        <f aca="false">-I6*Assumptions!I45/100</f>
        <v>-289.891406773245</v>
      </c>
      <c r="J12" s="4" t="n">
        <f aca="false">-J6*Assumptions!J45/100</f>
        <v>-304.385977111907</v>
      </c>
      <c r="K12" s="4" t="n">
        <f aca="false">-K6*Assumptions!K45/100</f>
        <v>-316.561416196383</v>
      </c>
      <c r="L12" s="4" t="n">
        <f aca="false">-L6*Assumptions!L45/100</f>
        <v>-327.641065763257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2939.020875</v>
      </c>
      <c r="D13" s="0" t="n">
        <f aca="false">D11+D12</f>
        <v>3294.0545967</v>
      </c>
      <c r="E13" s="0" t="n">
        <f aca="false">E11+E12</f>
        <v>3654.848799315</v>
      </c>
      <c r="F13" s="0" t="n">
        <f aca="false">F11+F12</f>
        <v>4032.39013067993</v>
      </c>
      <c r="G13" s="0" t="n">
        <f aca="false">G11+G12</f>
        <v>4406.8263571002</v>
      </c>
      <c r="H13" s="0" t="n">
        <f aca="false">H11+H12</f>
        <v>4781.14737237389</v>
      </c>
      <c r="I13" s="0" t="n">
        <f aca="false">I11+I12</f>
        <v>5131.07789988643</v>
      </c>
      <c r="J13" s="0" t="n">
        <f aca="false">J11+J12</f>
        <v>5458.6551895402</v>
      </c>
      <c r="K13" s="0" t="n">
        <f aca="false">K11+K12</f>
        <v>5729.76163315453</v>
      </c>
      <c r="L13" s="0" t="n">
        <f aca="false">L11+L12</f>
        <v>5984.91013460882</v>
      </c>
    </row>
    <row r="14" customFormat="false" ht="15" hidden="false" customHeight="false" outlineLevel="0" collapsed="false">
      <c r="A14" s="0" t="s">
        <v>107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2204.26565625</v>
      </c>
      <c r="D15" s="0" t="n">
        <f aca="false">D13-MAX(0,D13)*D14/100</f>
        <v>2470.540947525</v>
      </c>
      <c r="E15" s="0" t="n">
        <f aca="false">E13-MAX(0,E13)*E14/100</f>
        <v>2741.13659948625</v>
      </c>
      <c r="F15" s="0" t="n">
        <f aca="false">F13-MAX(0,F13)*F14/100</f>
        <v>3024.29259800994</v>
      </c>
      <c r="G15" s="0" t="n">
        <f aca="false">G13-MAX(0,G13)*G14/100</f>
        <v>3305.11976782515</v>
      </c>
      <c r="H15" s="0" t="n">
        <f aca="false">H13-MAX(0,H13)*H14/100</f>
        <v>3585.86052928042</v>
      </c>
      <c r="I15" s="0" t="n">
        <f aca="false">I13-MAX(0,I13)*I14/100</f>
        <v>3848.30842491482</v>
      </c>
      <c r="J15" s="0" t="n">
        <f aca="false">J13-MAX(0,J13)*J14/100</f>
        <v>4093.99139215515</v>
      </c>
      <c r="K15" s="0" t="n">
        <f aca="false">K13-MAX(0,K13)*K14/100</f>
        <v>4297.3212248659</v>
      </c>
      <c r="L15" s="0" t="n">
        <f aca="false">L13-MAX(0,L13)*L14/100</f>
        <v>4488.68260095661</v>
      </c>
    </row>
    <row r="16" customFormat="false" ht="15" hidden="false" customHeight="false" outlineLevel="0" collapsed="false">
      <c r="A16" s="0" t="s">
        <v>123</v>
      </c>
      <c r="C16" s="0" t="n">
        <f aca="false">-C12</f>
        <v>195.934725</v>
      </c>
      <c r="D16" s="0" t="n">
        <f aca="false">-D12</f>
        <v>211.609503</v>
      </c>
      <c r="E16" s="0" t="n">
        <f aca="false">-E12</f>
        <v>227.480215725</v>
      </c>
      <c r="F16" s="0" t="n">
        <f aca="false">-F12</f>
        <v>243.40383082575</v>
      </c>
      <c r="G16" s="0" t="n">
        <f aca="false">-G12</f>
        <v>259.225079829424</v>
      </c>
      <c r="H16" s="0" t="n">
        <f aca="false">-H12</f>
        <v>274.778584619189</v>
      </c>
      <c r="I16" s="0" t="n">
        <f aca="false">-I12</f>
        <v>289.891406773245</v>
      </c>
      <c r="J16" s="0" t="n">
        <f aca="false">-J12</f>
        <v>304.385977111907</v>
      </c>
      <c r="K16" s="0" t="n">
        <f aca="false">-K12</f>
        <v>316.561416196383</v>
      </c>
      <c r="L16" s="0" t="n">
        <f aca="false">-L12</f>
        <v>327.641065763257</v>
      </c>
    </row>
    <row r="17" customFormat="false" ht="15" hidden="false" customHeight="false" outlineLevel="0" collapsed="false">
      <c r="A17" s="0" t="s">
        <v>124</v>
      </c>
      <c r="C17" s="4" t="n">
        <f aca="false">-C6*Assumptions!C46/100</f>
        <v>-208.99704</v>
      </c>
      <c r="D17" s="4" t="n">
        <f aca="false">-D6*Assumptions!D46/100</f>
        <v>-225.7168032</v>
      </c>
      <c r="E17" s="4" t="n">
        <f aca="false">-E6*Assumptions!E46/100</f>
        <v>-242.64556344</v>
      </c>
      <c r="F17" s="4" t="n">
        <f aca="false">-F6*Assumptions!F46/100</f>
        <v>-259.6307528808</v>
      </c>
      <c r="G17" s="4" t="n">
        <f aca="false">-G6*Assumptions!G46/100</f>
        <v>-276.506751818052</v>
      </c>
      <c r="H17" s="4" t="n">
        <f aca="false">-H6*Assumptions!H46/100</f>
        <v>-293.097156927135</v>
      </c>
      <c r="I17" s="4" t="n">
        <f aca="false">-I6*Assumptions!I46/100</f>
        <v>-309.217500558128</v>
      </c>
      <c r="J17" s="4" t="n">
        <f aca="false">-J6*Assumptions!J46/100</f>
        <v>-324.678375586034</v>
      </c>
      <c r="K17" s="4" t="n">
        <f aca="false">-K6*Assumptions!K46/100</f>
        <v>-337.665510609475</v>
      </c>
      <c r="L17" s="4" t="n">
        <f aca="false">-L6*Assumptions!L46/100</f>
        <v>-349.483803480807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(C6-B6)*Assumptions!$B$51/100</f>
        <v>204.663</v>
      </c>
      <c r="D18" s="4" t="n">
        <f aca="false">(D6-C6)*Assumptions!$B$51/100</f>
        <v>208.99704</v>
      </c>
      <c r="E18" s="4" t="n">
        <f aca="false">(E6-D6)*Assumptions!$B$51/100</f>
        <v>211.609503</v>
      </c>
      <c r="F18" s="4" t="n">
        <f aca="false">(F6-E6)*Assumptions!$B$51/100</f>
        <v>212.31486801</v>
      </c>
      <c r="G18" s="4" t="n">
        <f aca="false">(G6-F6)*Assumptions!$B$51/100</f>
        <v>210.94998671565</v>
      </c>
      <c r="H18" s="4" t="n">
        <f aca="false">(H6-G6)*Assumptions!$B$51/100</f>
        <v>207.38006386354</v>
      </c>
      <c r="I18" s="4" t="n">
        <f aca="false">(I6-H6)*Assumptions!$B$51/100</f>
        <v>201.504295387405</v>
      </c>
      <c r="J18" s="4" t="n">
        <f aca="false">(J6-I6)*Assumptions!$B$51/100</f>
        <v>193.26093784883</v>
      </c>
      <c r="K18" s="4" t="n">
        <f aca="false">(K6-J6)*Assumptions!$B$51/100</f>
        <v>162.339187793018</v>
      </c>
      <c r="L18" s="4" t="n">
        <f aca="false">(L6-K6)*Assumptions!$B$51/100</f>
        <v>147.728660891645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2395.86634125</v>
      </c>
      <c r="D19" s="0" t="n">
        <f aca="false">D15+D16+D17+D18</f>
        <v>2665.430687325</v>
      </c>
      <c r="E19" s="0" t="n">
        <f aca="false">E15+E16+E17+E18</f>
        <v>2937.58075477125</v>
      </c>
      <c r="F19" s="0" t="n">
        <f aca="false">F15+F16+F17+F18</f>
        <v>3220.38054396489</v>
      </c>
      <c r="G19" s="0" t="n">
        <f aca="false">G15+G16+G17+G18</f>
        <v>3498.78808255218</v>
      </c>
      <c r="H19" s="0" t="n">
        <f aca="false">H15+H16+H17+H18</f>
        <v>3774.92202083601</v>
      </c>
      <c r="I19" s="0" t="n">
        <f aca="false">I15+I16+I17+I18</f>
        <v>4030.48662651734</v>
      </c>
      <c r="J19" s="0" t="n">
        <f aca="false">J15+J16+J17+J18</f>
        <v>4266.95993152985</v>
      </c>
      <c r="K19" s="0" t="n">
        <f aca="false">K15+K16+K17+K18</f>
        <v>4438.55631824582</v>
      </c>
      <c r="L19" s="0" t="n">
        <f aca="false">L15+L16+L17+L18</f>
        <v>4614.56852413071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2208.17174308756</v>
      </c>
      <c r="D21" s="0" t="n">
        <f aca="false">D19*D20</f>
        <v>2264.16418894009</v>
      </c>
      <c r="E21" s="0" t="n">
        <f aca="false">E19*E20</f>
        <v>2299.85576270467</v>
      </c>
      <c r="F21" s="0" t="n">
        <f aca="false">F19*F20</f>
        <v>2323.74378608191</v>
      </c>
      <c r="G21" s="0" t="n">
        <f aca="false">G19*G20</f>
        <v>2326.85300135745</v>
      </c>
      <c r="H21" s="0" t="n">
        <f aca="false">H19*H20</f>
        <v>2313.81992002555</v>
      </c>
      <c r="I21" s="0" t="n">
        <f aca="false">I19*I20</f>
        <v>2276.92810175677</v>
      </c>
      <c r="J21" s="0" t="n">
        <f aca="false">J19*J20</f>
        <v>2221.6756709794</v>
      </c>
      <c r="K21" s="0" t="n">
        <f aca="false">K19*K20</f>
        <v>2129.97296486729</v>
      </c>
      <c r="L21" s="0" t="n">
        <f aca="false">L19*L20</f>
        <v>2040.95635491134</v>
      </c>
    </row>
    <row r="23" customFormat="false" ht="15" hidden="false" customHeight="false" outlineLevel="0" collapsed="false">
      <c r="A23" s="0" t="s">
        <v>104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109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110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22406.141494712</v>
      </c>
    </row>
    <row r="31" customFormat="false" ht="15" hidden="false" customHeight="false" outlineLevel="0" collapsed="false">
      <c r="A31" s="0" t="s">
        <v>132</v>
      </c>
      <c r="B31" s="0" t="n">
        <f aca="false">L19</f>
        <v>4614.56852413071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86418.2832700842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92291.3704826142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86418.2832700842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38221.5462828852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60627.6877775972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48265.6877775972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212.624175231706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-0.336130338354859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1965.49883828745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2713.78528539745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233.237761679657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39608.3798321219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61.6041269963277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2" t="s">
        <v>149</v>
      </c>
      <c r="B3" s="2" t="s">
        <v>150</v>
      </c>
      <c r="C3" s="2" t="s">
        <v>140</v>
      </c>
      <c r="D3" s="2" t="s">
        <v>151</v>
      </c>
      <c r="E3" s="2" t="s">
        <v>143</v>
      </c>
      <c r="F3" s="2" t="s">
        <v>152</v>
      </c>
    </row>
    <row r="4" customFormat="false" ht="15" hidden="false" customHeight="false" outlineLevel="0" collapsed="false">
      <c r="A4" s="0" t="s">
        <v>153</v>
      </c>
      <c r="B4" s="4" t="n">
        <f aca="false">DCF_Bear!$B$38</f>
        <v>82.8541816610031</v>
      </c>
      <c r="C4" s="0" t="n">
        <f aca="false">B4/Assumptions!$B$2-1</f>
        <v>-0.741307038650546</v>
      </c>
      <c r="D4" s="4" t="n">
        <f aca="false">Assumptions!$B$24</f>
        <v>0.25</v>
      </c>
      <c r="E4" s="4" t="n">
        <f aca="false">DCF_Bear!$B$43</f>
        <v>99.747768939965</v>
      </c>
      <c r="F4" s="4" t="n">
        <f aca="false">DCF_Bear!$B$47</f>
        <v>14.8130556272992</v>
      </c>
    </row>
    <row r="5" customFormat="false" ht="15" hidden="false" customHeight="false" outlineLevel="0" collapsed="false">
      <c r="A5" s="0" t="s">
        <v>154</v>
      </c>
      <c r="B5" s="4" t="n">
        <f aca="false">DCF_Base!$B$38</f>
        <v>166.204728600317</v>
      </c>
      <c r="C5" s="0" t="n">
        <f aca="false">B5/Assumptions!$B$2-1</f>
        <v>-0.481064291868625</v>
      </c>
      <c r="D5" s="4" t="n">
        <f aca="false">Assumptions!$B$38</f>
        <v>0.5</v>
      </c>
      <c r="E5" s="4" t="n">
        <f aca="false">DCF_Base!$B$43</f>
        <v>185.815729859659</v>
      </c>
      <c r="F5" s="4" t="n">
        <f aca="false">DCF_Base!$B$47</f>
        <v>43.4424450402319</v>
      </c>
    </row>
    <row r="6" customFormat="false" ht="15" hidden="false" customHeight="false" outlineLevel="0" collapsed="false">
      <c r="A6" s="0" t="s">
        <v>155</v>
      </c>
      <c r="B6" s="4" t="n">
        <f aca="false">DCF_Bull!$B$38</f>
        <v>212.624175231706</v>
      </c>
      <c r="C6" s="0" t="n">
        <f aca="false">B6/Assumptions!$B$2-1</f>
        <v>-0.336130338354859</v>
      </c>
      <c r="D6" s="4" t="n">
        <f aca="false">Assumptions!$B$52</f>
        <v>0.25</v>
      </c>
      <c r="E6" s="4" t="n">
        <f aca="false">DCF_Bull!$B$43</f>
        <v>233.237761679657</v>
      </c>
      <c r="F6" s="4" t="n">
        <f aca="false">DCF_Bull!$B$47</f>
        <v>61.6041269963277</v>
      </c>
    </row>
    <row r="8" customFormat="false" ht="15" hidden="false" customHeight="false" outlineLevel="0" collapsed="false">
      <c r="A8" s="0" t="s">
        <v>156</v>
      </c>
      <c r="B8" s="0" t="n">
        <f aca="false">SUMPRODUCT(B4:B6,D4:D6)</f>
        <v>156.971953523336</v>
      </c>
    </row>
    <row r="9" customFormat="false" ht="15" hidden="false" customHeight="false" outlineLevel="0" collapsed="false">
      <c r="A9" s="0" t="s">
        <v>157</v>
      </c>
      <c r="B9" s="0" t="n">
        <f aca="false">SUMPRODUCT(E4:E6,D4:D6)</f>
        <v>176.154247584735</v>
      </c>
    </row>
    <row r="10" customFormat="false" ht="15" hidden="false" customHeight="false" outlineLevel="0" collapsed="false">
      <c r="A10" s="0" t="s">
        <v>158</v>
      </c>
      <c r="B10" s="0" t="n">
        <f aca="false">1-Assumptions!$B$2/B8</f>
        <v>-1.04036449066926</v>
      </c>
    </row>
    <row r="11" customFormat="false" ht="15" hidden="false" customHeight="false" outlineLevel="0" collapsed="false">
      <c r="A11" s="0" t="s">
        <v>159</v>
      </c>
      <c r="B11" s="0" t="n">
        <f aca="false">IF(ABS(B9-B8)&gt;0.01*ABS(B8),(Assumptions!$B$2-B8)/(B9-B8)*100,"n/a")</f>
        <v>851.347841681206</v>
      </c>
    </row>
    <row r="12" customFormat="false" ht="15" hidden="false" customHeight="false" outlineLevel="0" collapsed="false">
      <c r="A12" s="0" t="s">
        <v>160</v>
      </c>
      <c r="B12" s="0" t="n">
        <f aca="false">SUMPRODUCT(F4:F6,D4:D6)</f>
        <v>40.8255181760227</v>
      </c>
    </row>
    <row r="14" customFormat="false" ht="15" hidden="false" customHeight="false" outlineLevel="0" collapsed="false">
      <c r="A14" s="2" t="s">
        <v>161</v>
      </c>
      <c r="C14" s="0" t="s">
        <v>162</v>
      </c>
    </row>
    <row r="15" customFormat="false" ht="15" hidden="false" customHeight="false" outlineLevel="0" collapsed="false">
      <c r="A15" s="0" t="s">
        <v>163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166.204728600317</v>
      </c>
      <c r="C15" s="3" t="n">
        <v>8.5</v>
      </c>
    </row>
    <row r="16" customFormat="false" ht="15" hidden="false" customHeight="false" outlineLevel="0" collapsed="false">
      <c r="A16" s="0" t="s">
        <v>164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147.240972689017</v>
      </c>
      <c r="C16" s="3" t="n">
        <v>9</v>
      </c>
    </row>
    <row r="17" customFormat="false" ht="15" hidden="false" customHeight="false" outlineLevel="0" collapsed="false">
      <c r="A17" s="0" t="s">
        <v>165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117.477588782483</v>
      </c>
      <c r="C17" s="3" t="n">
        <v>10</v>
      </c>
    </row>
    <row r="18" customFormat="false" ht="15" hidden="false" customHeight="false" outlineLevel="0" collapsed="false">
      <c r="A18" s="0" t="s">
        <v>166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95.1956599997178</v>
      </c>
      <c r="C18" s="3" t="n">
        <v>11</v>
      </c>
    </row>
    <row r="19" customFormat="false" ht="15" hidden="false" customHeight="false" outlineLevel="0" collapsed="false">
      <c r="A19" s="0" t="s">
        <v>167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77.8990537720103</v>
      </c>
      <c r="C19" s="3" t="n">
        <v>12</v>
      </c>
    </row>
    <row r="20" customFormat="false" ht="15" hidden="false" customHeight="false" outlineLevel="0" collapsed="false">
      <c r="A20" s="0" t="s">
        <v>168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43.4424450402319</v>
      </c>
      <c r="C20" s="3" t="n">
        <v>15</v>
      </c>
    </row>
    <row r="22" customFormat="false" ht="15" hidden="false" customHeight="false" outlineLevel="0" collapsed="false">
      <c r="A22" s="2" t="s">
        <v>169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214.043031550886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214.043031550886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214.043031550886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214.043031550886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214.043031550886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182.236069528575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193.822799038071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193.822799038071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193.822799038071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193.822799038071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144.166609602742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154.267414143297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166.204728600317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175.446520438009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175.446520438009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116.327611448871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123.236399060469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131.208077073852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140.508368089465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151.499621107917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95.1034383010029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100.018384893498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105.588657698326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111.954683760987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119.300098448673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2026-09-28T21:16:01Z</dcterms:created>
  <dc:creator>openpyxl</dc:creator>
  <dc:description/>
  <dc:language>en-NZ</dc:language>
  <cp:lastModifiedBy/>
  <dcterms:modified xsi:type="dcterms:W3CDTF">2026-09-28T21:16:01Z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