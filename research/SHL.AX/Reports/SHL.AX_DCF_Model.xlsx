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<sst xmlns="http://schemas.openxmlformats.org/spreadsheetml/2006/main" count="354" uniqueCount="163">
  <si>
    <t xml:space="preserve">Ticker</t>
  </si>
  <si>
    <t xml:space="preserve">SHL.AX</t>
  </si>
  <si>
    <t xml:space="preserve">Company</t>
  </si>
  <si>
    <t xml:space="preserve">Sonic Healthcare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</si>
  <si>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</si>
  <si>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</si>
  <si>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</si>
  <si>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</si>
  <si>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2026-09-25T04:52:12Z regular close (Yahoo Finance chart API); 52-week range A$18.26-A$24.27, price near the 52-week low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</si>
  <si>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</si>
  <si>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</si>
  <si>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</si>
  <si>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</si>
  <si>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</si>
  <si>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</si>
  <si>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</si>
  <si>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</si>
  <si>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</si>
  <si>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</si>
  <si>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</si>
  <si>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</si>
  <si>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2026-09-25T05:14:57Z</t>
  </si>
  <si>
    <t xml:space="preserve">Drivers file</t>
  </si>
  <si>
    <t xml:space="preserve">SHL.AX_Drivers.json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</si>
  <si>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</si>
  <si>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</si>
  <si>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</si>
  <si>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Sonic is a scaled, largely non-discretionary, government-payor-funded diagnostics and imaging business with genuine defensive characteristics (low-to-moderate cyclicality, structural ageing/chronic-disease demand tailwinds, market-leading positions in five of nine countries) trading near a 10-year low after FY2027 guidance disappointed on margin-recovery timing. The valuation case rests on whether the FY2026 capex supercycle (Docklands, Watford) genuinely rolls off toward the guided ~4.3% maintenance level, whether the LADR and US integration/cost-out programs deliver as guided, and whether the reported FCF -- which has never deducted the ~AUD0.4-0.5bn/yr IFRS-16 lease principal -- has been materially overstating the business's true owner cash generation, which this build corrects via the lease-cost-as-opex treatment.
key_risks_to_valuation: Rising leverage (gearing 9.7%-&gt;25.9% since FY2022, net debt ~4x, largely LADR-funded) reduces balance-sheet flexibility just as rate sensitivity increases; US segment remains a distant, sub-scale #3 with near-flat organic growth and an unproven multi-year operating review; UK NHS contract margin timing has already slipped once (to H2 FY2028) and could slip again given ongoing NHS operational issues; Regulatory/reimbursement risk is concrete and near-term (Swiss fee cuts ~CHF20m FY2027, PBS/Medicare and PAMA pressure ongoing); Growth strategy remains acquisition-dependent, carrying integration and synergy-realisation risk across a federated multi-country model; High dividend payout ratio (87.7% FY2026, 101.8% FY2025) leaves limited buffer if earnings growth disappoints again</t>
  </si>
  <si>
    <t xml:space="preserve">Data sources</t>
  </si>
  <si>
    <t xml:space="preserve">price: Yahoo Finance chart API at inputs.price_as_of; 52-week range per the same call
financials: SHL.AX_Metrics.csv (core_metrics, FY2019-FY2026 annual + H1 FY2015-FY2026 half-years) and SHL.AX_Annual_FY2026.txt / SHL.AX_Annual_FY2025.txt / SHL.AX_Annual_FY2024.txt (cash flow statement, balance sheet, Note 4 finance-cost and depreciation splits, Note 18/19/23 interest-bearing and lease liabilities, EPS note)
qualitative: SHL.AX_Analysis.json (guidance, recent developments, bull/bear case, risk factors)</t>
  </si>
  <si>
    <t xml:space="preserve">Scenario narrative: bear</t>
  </si>
  <si>
    <t xml:space="preserve">The US stays structurally weak, the UK NHS contract slips further, Swiss/regulatory fee pressure recurs, and rising leverage (gearing already 25.9%, net debt ~4x FY2022) constrains capital allocation, holding margin flat at a depressed ~16.2% with no re-rating catalyst.</t>
  </si>
  <si>
    <t xml:space="preserve">Scenario narrative: base</t>
  </si>
  <si>
    <t xml:space="preserve">Sonic executes its stated FY2027 plan roughly as guided: modest EBITDA growth (4-6% constant currency) as Swiss fee cuts and the delayed UK NHS ramp offset continuing organic growth, LADR synergy capture and the US cost-out program. Margin recovers gradually toward a mature ~18.8% as the capex supercycle (Docklands, Watford) rolls off toward guided maintenance levels. No further transformational (LADR-scale) acquisition is assumed.</t>
  </si>
  <si>
    <t xml:space="preserve">Scenario narrative: bull</t>
  </si>
  <si>
    <t xml:space="preserve">The US turnaround, UK NHS ramp and German consolidation all land ahead of the guided timetable, advanced-diagnostics growth keeps compounding at current double-digit rates, and margin reaches a mature ~20.5% -- above the pre-COVID range -- without further releveraging.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</si>
  <si>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</si>
  <si>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</si>
  <si>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</si>
  <si>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</si>
  <si>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</si>
  <si>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</si>
  <si>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</si>
  <si>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</si>
  <si>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</si>
  <si>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</si>
  <si>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</si>
  <si>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</si>
  <si>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</si>
  <si>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</si>
  <si>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</si>
  <si>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</si>
  <si>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</si>
  <si>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</si>
  <si>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</si>
  <si>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</si>
  <si>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</si>
  <si>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</si>
  <si>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</si>
  <si>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</si>
  <si>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</si>
  <si>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</si>
  <si>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</si>
  <si>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</si>
  <si>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</si>
  <si>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</si>
  <si>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</si>
  <si>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</si>
  <si>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</si>
  <si>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</si>
  <si>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</si>
  <si>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</si>
  <si>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</si>
  <si>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</si>
  <si>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</si>
  <si>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</si>
  <si>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</si>
  <si>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</si>
  <si>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</si>
  <si>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</si>
  <si>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</si>
  <si>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</si>
  <si>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</si>
  <si>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</si>
  <si>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</si>
  <si>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</si>
  <si>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</si>
  <si>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</si>
  <si>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</si>
  <si>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</si>
  <si>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</si>
  <si>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</si>
  <si>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</si>
  <si>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</si>
  <si>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</si>
  <si>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</si>
  <si>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</si>
  <si>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</si>
  <si>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</si>
  <si>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</si>
  <si>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</si>
  <si>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</si>
  <si>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</si>
  <si>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</si>
  <si>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</si>
  <si>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</si>
  <si>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</si>
  <si>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</si>
  <si>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SHL.AX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</si>
  <si>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</si>
  <si>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</si>
  <si>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</si>
  <si>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</si>
  <si>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</si>
  <si>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</si>
  <si>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</si>
  <si>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</si>
  <si>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</si>
  <si>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</si>
  <si>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</si>
  <si>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</si>
  <si>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</si>
  <si>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</si>
  <si>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</si>
  <si>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</si>
  <si>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</si>
  <si>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</si>
  <si>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</si>
  <si>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</si>
  <si>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</si>
  <si>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</si>
  <si>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</si>
  <si>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</si>
  <si>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</si>
  <si>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</si>
  <si>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</si>
  <si>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</si>
  <si>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</si>
  <si>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</si>
  <si>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SHL.AX owner-FCF component DCF: base case (millions, AUD)</t>
  </si>
  <si>
    <t xml:space="preserve">SHL.AX owner-FCF component DCF: bull case (millions, AUD)</t>
  </si>
  <si>
    <t xml:space="preserve">SHL.AX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</si>
  <si>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</si>
  <si>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</si>
  <si>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</si>
  <si>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</si>
  <si>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</si>
  <si>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</si>
  <si>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</si>
  <si>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</si>
  <si>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</si>
  <si>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</si>
  <si>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</si>
  <si>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</si>
  <si>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</si>
  <si>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</si>
  <si>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7.3%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</si>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</sst>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18.91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6133.671</v>
      </c>
      <c r="F2" s="0" t="n">
        <v>808.32</v>
      </c>
      <c r="G2" s="0" t="n">
        <v>13.2</v>
      </c>
      <c r="H2" s="0" t="n">
        <v>1081.464</v>
      </c>
      <c r="I2" s="0" t="n">
        <v>549.725</v>
      </c>
      <c r="J2" s="0" t="n">
        <v>9</v>
      </c>
      <c r="K2" s="0" t="n">
        <v>1.221</v>
      </c>
      <c r="L2" s="0" t="n">
        <v>847.308</v>
      </c>
      <c r="M2" s="0" t="n">
        <v>386.648</v>
      </c>
      <c r="N2" s="0" t="n">
        <v>460.66</v>
      </c>
      <c r="O2" s="0" t="n">
        <v>5412.33</v>
      </c>
      <c r="P2" s="0" t="n">
        <v>9959.834</v>
      </c>
      <c r="Q2" s="0" t="n">
        <v>4467.968</v>
      </c>
      <c r="R2" s="0" t="n">
        <v>3035.599</v>
      </c>
      <c r="S2" s="0" t="n">
        <v>736.646</v>
      </c>
      <c r="T2" s="0" t="n">
        <v>450.225</v>
      </c>
      <c r="U2" s="0" t="n">
        <v>3.878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6831.843</v>
      </c>
      <c r="F3" s="0" t="n">
        <v>811.914</v>
      </c>
      <c r="G3" s="0" t="n">
        <v>11.9</v>
      </c>
      <c r="H3" s="0" t="n">
        <v>1417.782</v>
      </c>
      <c r="I3" s="0" t="n">
        <v>527.749</v>
      </c>
      <c r="J3" s="0" t="n">
        <v>7.7</v>
      </c>
      <c r="K3" s="0" t="n">
        <v>1.106</v>
      </c>
      <c r="L3" s="0" t="n">
        <v>1360.298</v>
      </c>
      <c r="M3" s="0" t="n">
        <v>333.092</v>
      </c>
      <c r="N3" s="0" t="n">
        <v>1027.206</v>
      </c>
      <c r="O3" s="0" t="n">
        <v>5573.753</v>
      </c>
      <c r="P3" s="0" t="n">
        <v>12127.13</v>
      </c>
      <c r="Q3" s="0" t="n">
        <v>6462.732</v>
      </c>
      <c r="R3" s="0" t="n">
        <v>3236.627</v>
      </c>
      <c r="S3" s="0" t="n">
        <v>1230.149</v>
      </c>
      <c r="T3" s="0" t="n">
        <v>477.169</v>
      </c>
      <c r="U3" s="0" t="n">
        <v>6.33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8754.123</v>
      </c>
      <c r="F4" s="0" t="n">
        <v>1921.112</v>
      </c>
      <c r="G4" s="0" t="n">
        <v>21.9</v>
      </c>
      <c r="H4" s="0" t="n">
        <v>2562.706</v>
      </c>
      <c r="I4" s="0" t="n">
        <v>1315.04</v>
      </c>
      <c r="J4" s="0" t="n">
        <v>15</v>
      </c>
      <c r="K4" s="0" t="n">
        <v>2.731</v>
      </c>
      <c r="L4" s="0" t="n">
        <v>2042.836</v>
      </c>
      <c r="M4" s="0" t="n">
        <v>363.192</v>
      </c>
      <c r="N4" s="0" t="n">
        <v>1679.644</v>
      </c>
      <c r="O4" s="0" t="n">
        <v>6384.986</v>
      </c>
      <c r="P4" s="0" t="n">
        <v>11760.991</v>
      </c>
      <c r="Q4" s="0" t="n">
        <v>5256.648</v>
      </c>
      <c r="R4" s="0" t="n">
        <v>1821.325</v>
      </c>
      <c r="S4" s="0" t="n">
        <v>899.827</v>
      </c>
      <c r="T4" s="0" t="n">
        <v>481.523</v>
      </c>
      <c r="U4" s="0" t="n">
        <v>12.643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9340.154</v>
      </c>
      <c r="F5" s="0" t="n">
        <v>2157.024</v>
      </c>
      <c r="G5" s="0" t="n">
        <v>23.1</v>
      </c>
      <c r="H5" s="0" t="n">
        <v>2832.441</v>
      </c>
      <c r="I5" s="0" t="n">
        <v>1460.566</v>
      </c>
      <c r="J5" s="0" t="n">
        <v>15.6</v>
      </c>
      <c r="K5" s="0" t="n">
        <v>3.025</v>
      </c>
      <c r="L5" s="0" t="n">
        <v>2225.821</v>
      </c>
      <c r="M5" s="0" t="n">
        <v>378.589</v>
      </c>
      <c r="N5" s="0" t="n">
        <v>1847.232</v>
      </c>
      <c r="O5" s="0" t="n">
        <v>7273.14</v>
      </c>
      <c r="P5" s="0" t="n">
        <v>12552.013</v>
      </c>
      <c r="Q5" s="0" t="n">
        <v>5123.839</v>
      </c>
      <c r="R5" s="0" t="n">
        <v>1576.934</v>
      </c>
      <c r="S5" s="0" t="n">
        <v>779.997</v>
      </c>
      <c r="T5" s="0" t="n">
        <v>482.832</v>
      </c>
      <c r="U5" s="0" t="n">
        <v>17.24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8168.948</v>
      </c>
      <c r="F6" s="0" t="n">
        <v>1018.213</v>
      </c>
      <c r="G6" s="0" t="n">
        <v>12.5</v>
      </c>
      <c r="H6" s="0" t="n">
        <v>1721.141</v>
      </c>
      <c r="I6" s="0" t="n">
        <v>684.984</v>
      </c>
      <c r="J6" s="0" t="n">
        <v>8.4</v>
      </c>
      <c r="K6" s="0" t="n">
        <v>1.45</v>
      </c>
      <c r="L6" s="0" t="n">
        <v>1471.033</v>
      </c>
      <c r="M6" s="0" t="n">
        <v>497.013</v>
      </c>
      <c r="N6" s="0" t="n">
        <v>974.02</v>
      </c>
      <c r="O6" s="0" t="n">
        <v>7736.504</v>
      </c>
      <c r="P6" s="0" t="n">
        <v>13014.629</v>
      </c>
      <c r="Q6" s="0" t="n">
        <v>5092.767</v>
      </c>
      <c r="R6" s="0" t="n">
        <v>1673.461</v>
      </c>
      <c r="S6" s="0" t="n">
        <v>797.994</v>
      </c>
      <c r="T6" s="0" t="n">
        <v>472.403</v>
      </c>
      <c r="U6" s="0" t="n">
        <v>18.453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8967.405</v>
      </c>
      <c r="F7" s="0" t="n">
        <v>881.998</v>
      </c>
      <c r="G7" s="0" t="n">
        <v>9.8</v>
      </c>
      <c r="H7" s="0" t="n">
        <v>1659.303</v>
      </c>
      <c r="I7" s="0" t="n">
        <v>511.094</v>
      </c>
      <c r="J7" s="0" t="n">
        <v>5.7</v>
      </c>
      <c r="K7" s="0" t="n">
        <v>1.072</v>
      </c>
      <c r="L7" s="0" t="n">
        <v>1071.512</v>
      </c>
      <c r="M7" s="0" t="n">
        <v>579.501</v>
      </c>
      <c r="N7" s="0" t="n">
        <v>492.011</v>
      </c>
      <c r="O7" s="0" t="n">
        <v>7917.623</v>
      </c>
      <c r="P7" s="0" t="n">
        <v>14826.474</v>
      </c>
      <c r="Q7" s="0" t="n">
        <v>6751.349</v>
      </c>
      <c r="R7" s="0" t="n">
        <v>2987.89</v>
      </c>
      <c r="S7" s="0" t="n">
        <v>645.001</v>
      </c>
      <c r="T7" s="0" t="n">
        <v>476.767</v>
      </c>
      <c r="U7" s="0" t="n">
        <v>27.032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9645.448</v>
      </c>
      <c r="F8" s="0" t="n">
        <v>931.374</v>
      </c>
      <c r="G8" s="0" t="n">
        <v>9.7</v>
      </c>
      <c r="H8" s="0" t="n">
        <v>1746.739</v>
      </c>
      <c r="I8" s="0" t="n">
        <v>513.597</v>
      </c>
      <c r="J8" s="0" t="n">
        <v>5.3</v>
      </c>
      <c r="K8" s="0" t="n">
        <v>1.067</v>
      </c>
      <c r="L8" s="0" t="n">
        <v>1296.79</v>
      </c>
      <c r="M8" s="0" t="n">
        <v>462.695</v>
      </c>
      <c r="N8" s="0" t="n">
        <v>834.095</v>
      </c>
      <c r="O8" s="0" t="n">
        <v>8323.498</v>
      </c>
      <c r="P8" s="0" t="n">
        <v>16053.918</v>
      </c>
      <c r="Q8" s="0" t="n">
        <v>7580.702</v>
      </c>
      <c r="R8" s="0" t="n">
        <v>3489.218</v>
      </c>
      <c r="S8" s="0" t="n">
        <v>673.773</v>
      </c>
      <c r="T8" s="0" t="n">
        <v>481.347</v>
      </c>
      <c r="U8" s="0" t="n">
        <v>22.536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10867.37</v>
      </c>
      <c r="F9" s="0" t="n">
        <v>1027.84</v>
      </c>
      <c r="G9" s="0" t="n">
        <v>9.5</v>
      </c>
      <c r="H9" s="0" t="n">
        <v>1896.886</v>
      </c>
      <c r="I9" s="0" t="n">
        <v>608.293</v>
      </c>
      <c r="J9" s="0" t="n">
        <v>5.6</v>
      </c>
      <c r="K9" s="0" t="n">
        <v>1.23</v>
      </c>
      <c r="L9" s="0" t="n">
        <v>1405.451</v>
      </c>
      <c r="M9" s="0" t="n">
        <v>735.642</v>
      </c>
      <c r="N9" s="0" t="n">
        <v>669.809</v>
      </c>
      <c r="O9" s="0" t="n">
        <v>8338.754</v>
      </c>
      <c r="P9" s="0" t="n">
        <v>16780.639</v>
      </c>
      <c r="Q9" s="0" t="n">
        <v>8287.339</v>
      </c>
      <c r="R9" s="0" t="n">
        <v>3718.369</v>
      </c>
      <c r="S9" s="0" t="n">
        <v>653.695</v>
      </c>
      <c r="T9" s="0" t="n">
        <v>494.547</v>
      </c>
      <c r="U9" s="0" t="n">
        <v>30.056</v>
      </c>
      <c r="AA9" s="0" t="s">
        <v>17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18.91</v>
      </c>
    </row>
    <row r="3" customFormat="false" ht="15" hidden="false" customHeight="false" outlineLevel="0" collapsed="false">
      <c r="A3" s="0" t="s">
        <v>74</v>
      </c>
      <c r="B3" s="3" t="n">
        <v>494.588</v>
      </c>
    </row>
    <row r="4" customFormat="false" ht="15" hidden="false" customHeight="false" outlineLevel="0" collapsed="false">
      <c r="A4" s="0" t="s">
        <v>75</v>
      </c>
      <c r="B4" s="3" t="n">
        <v>3064.674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10867.37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2.5</v>
      </c>
      <c r="D13" s="3" t="n">
        <v>2.5</v>
      </c>
      <c r="E13" s="3" t="n">
        <v>2.3</v>
      </c>
      <c r="F13" s="3" t="n">
        <v>2.2</v>
      </c>
      <c r="G13" s="3" t="n">
        <v>2</v>
      </c>
      <c r="H13" s="3" t="n">
        <v>2</v>
      </c>
      <c r="I13" s="3" t="n">
        <v>1.8</v>
      </c>
      <c r="J13" s="3" t="n">
        <v>1.8</v>
      </c>
      <c r="K13" s="3" t="n">
        <v>1.7</v>
      </c>
      <c r="L13" s="3" t="n">
        <v>1.7</v>
      </c>
    </row>
    <row r="14" customFormat="false" ht="15" hidden="false" customHeight="false" outlineLevel="0" collapsed="false">
      <c r="A14" s="0" t="s">
        <v>95</v>
      </c>
      <c r="C14" s="3" t="n">
        <v>16.8</v>
      </c>
      <c r="D14" s="3" t="n">
        <v>16.5</v>
      </c>
      <c r="E14" s="3" t="n">
        <v>16.3</v>
      </c>
      <c r="F14" s="3" t="n">
        <v>16.2</v>
      </c>
      <c r="G14" s="3" t="n">
        <v>16.2</v>
      </c>
      <c r="H14" s="3" t="n">
        <v>16.2</v>
      </c>
      <c r="I14" s="3" t="n">
        <v>16.2</v>
      </c>
      <c r="J14" s="3" t="n">
        <v>16.2</v>
      </c>
      <c r="K14" s="3" t="n">
        <v>16.2</v>
      </c>
      <c r="L14" s="3" t="n">
        <v>16.2</v>
      </c>
    </row>
    <row r="15" customFormat="false" ht="15" hidden="false" customHeight="false" outlineLevel="0" collapsed="false">
      <c r="A15" s="0" t="s">
        <v>96</v>
      </c>
      <c r="C15" s="3" t="n">
        <v>0.29</v>
      </c>
      <c r="D15" s="3" t="n">
        <v>0.29</v>
      </c>
      <c r="E15" s="3" t="n">
        <v>0.29</v>
      </c>
      <c r="F15" s="3" t="n">
        <v>0.29</v>
      </c>
      <c r="G15" s="3" t="n">
        <v>0.29</v>
      </c>
      <c r="H15" s="3" t="n">
        <v>0.29</v>
      </c>
      <c r="I15" s="3" t="n">
        <v>0.29</v>
      </c>
      <c r="J15" s="3" t="n">
        <v>0.29</v>
      </c>
      <c r="K15" s="3" t="n">
        <v>0.29</v>
      </c>
      <c r="L15" s="3" t="n">
        <v>0.29</v>
      </c>
    </row>
    <row r="16" customFormat="false" ht="15" hidden="false" customHeight="false" outlineLevel="0" collapsed="false">
      <c r="A16" s="0" t="s">
        <v>97</v>
      </c>
      <c r="C16" s="3" t="n">
        <v>4.8</v>
      </c>
      <c r="D16" s="3" t="n">
        <v>4.8</v>
      </c>
      <c r="E16" s="3" t="n">
        <v>4.7</v>
      </c>
      <c r="F16" s="3" t="n">
        <v>4.7</v>
      </c>
      <c r="G16" s="3" t="n">
        <v>4.7</v>
      </c>
      <c r="H16" s="3" t="n">
        <v>4.7</v>
      </c>
      <c r="I16" s="3" t="n">
        <v>4.7</v>
      </c>
      <c r="J16" s="3" t="n">
        <v>4.7</v>
      </c>
      <c r="K16" s="3" t="n">
        <v>4.7</v>
      </c>
      <c r="L16" s="3" t="n">
        <v>4.7</v>
      </c>
    </row>
    <row r="17" customFormat="false" ht="15" hidden="false" customHeight="false" outlineLevel="0" collapsed="false">
      <c r="A17" s="0" t="s">
        <v>98</v>
      </c>
      <c r="C17" s="3" t="n">
        <v>4</v>
      </c>
      <c r="D17" s="3" t="n">
        <v>4</v>
      </c>
      <c r="E17" s="3" t="n">
        <v>4</v>
      </c>
      <c r="F17" s="3" t="n">
        <v>4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99</v>
      </c>
      <c r="C18" s="3" t="n">
        <v>6.5</v>
      </c>
      <c r="D18" s="3" t="n">
        <v>6</v>
      </c>
      <c r="E18" s="3" t="n">
        <v>5.5</v>
      </c>
      <c r="F18" s="3" t="n">
        <v>5</v>
      </c>
      <c r="G18" s="3" t="n">
        <v>4.8</v>
      </c>
      <c r="H18" s="3" t="n">
        <v>4.8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100</v>
      </c>
      <c r="C19" s="3" t="n">
        <v>27.5</v>
      </c>
      <c r="D19" s="3" t="n">
        <v>27.5</v>
      </c>
      <c r="E19" s="3" t="n">
        <v>27.5</v>
      </c>
      <c r="F19" s="3" t="n">
        <v>27.5</v>
      </c>
      <c r="G19" s="3" t="n">
        <v>27.5</v>
      </c>
      <c r="H19" s="3" t="n">
        <v>27.5</v>
      </c>
      <c r="I19" s="3" t="n">
        <v>27.5</v>
      </c>
      <c r="J19" s="3" t="n">
        <v>27.5</v>
      </c>
      <c r="K19" s="3" t="n">
        <v>27.5</v>
      </c>
      <c r="L19" s="3" t="n">
        <v>27.5</v>
      </c>
    </row>
    <row r="20" customFormat="false" ht="15" hidden="false" customHeight="false" outlineLevel="0" collapsed="false">
      <c r="A20" s="0" t="s">
        <v>101</v>
      </c>
      <c r="B20" s="3" t="n">
        <v>8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12</v>
      </c>
    </row>
    <row r="23" customFormat="false" ht="15" hidden="false" customHeight="false" outlineLevel="0" collapsed="false">
      <c r="A23" s="0" t="s">
        <v>104</v>
      </c>
      <c r="B23" s="3" t="n">
        <v>-7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5.5</v>
      </c>
      <c r="D27" s="3" t="n">
        <v>5</v>
      </c>
      <c r="E27" s="3" t="n">
        <v>4.8</v>
      </c>
      <c r="F27" s="3" t="n">
        <v>4.5</v>
      </c>
      <c r="G27" s="3" t="n">
        <v>4.3</v>
      </c>
      <c r="H27" s="3" t="n">
        <v>4</v>
      </c>
      <c r="I27" s="3" t="n">
        <v>3.7</v>
      </c>
      <c r="J27" s="3" t="n">
        <v>3.4</v>
      </c>
      <c r="K27" s="3" t="n">
        <v>3</v>
      </c>
      <c r="L27" s="3" t="n">
        <v>2.7</v>
      </c>
    </row>
    <row r="28" customFormat="false" ht="15" hidden="false" customHeight="false" outlineLevel="0" collapsed="false">
      <c r="A28" s="0" t="s">
        <v>95</v>
      </c>
      <c r="C28" s="3" t="n">
        <v>17.6</v>
      </c>
      <c r="D28" s="3" t="n">
        <v>17.9</v>
      </c>
      <c r="E28" s="3" t="n">
        <v>18.2</v>
      </c>
      <c r="F28" s="3" t="n">
        <v>18.5</v>
      </c>
      <c r="G28" s="3" t="n">
        <v>18.7</v>
      </c>
      <c r="H28" s="3" t="n">
        <v>18.8</v>
      </c>
      <c r="I28" s="3" t="n">
        <v>18.8</v>
      </c>
      <c r="J28" s="3" t="n">
        <v>18.8</v>
      </c>
      <c r="K28" s="3" t="n">
        <v>18.8</v>
      </c>
      <c r="L28" s="3" t="n">
        <v>18.8</v>
      </c>
    </row>
    <row r="29" customFormat="false" ht="15" hidden="false" customHeight="false" outlineLevel="0" collapsed="false">
      <c r="A29" s="0" t="s">
        <v>96</v>
      </c>
      <c r="C29" s="3" t="n">
        <v>0.28</v>
      </c>
      <c r="D29" s="3" t="n">
        <v>0.28</v>
      </c>
      <c r="E29" s="3" t="n">
        <v>0.27</v>
      </c>
      <c r="F29" s="3" t="n">
        <v>0.27</v>
      </c>
      <c r="G29" s="3" t="n">
        <v>0.26</v>
      </c>
      <c r="H29" s="3" t="n">
        <v>0.26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97</v>
      </c>
      <c r="C30" s="3" t="n">
        <v>4.6</v>
      </c>
      <c r="D30" s="3" t="n">
        <v>4.5</v>
      </c>
      <c r="E30" s="3" t="n">
        <v>4.4</v>
      </c>
      <c r="F30" s="3" t="n">
        <v>4.4</v>
      </c>
      <c r="G30" s="3" t="n">
        <v>4.3</v>
      </c>
      <c r="H30" s="3" t="n">
        <v>4.3</v>
      </c>
      <c r="I30" s="3" t="n">
        <v>4.3</v>
      </c>
      <c r="J30" s="3" t="n">
        <v>4.3</v>
      </c>
      <c r="K30" s="3" t="n">
        <v>4.3</v>
      </c>
      <c r="L30" s="3" t="n">
        <v>4.3</v>
      </c>
    </row>
    <row r="31" customFormat="false" ht="15" hidden="false" customHeight="false" outlineLevel="0" collapsed="false">
      <c r="A31" s="0" t="s">
        <v>98</v>
      </c>
      <c r="C31" s="3" t="n">
        <v>3.95</v>
      </c>
      <c r="D31" s="3" t="n">
        <v>3.9</v>
      </c>
      <c r="E31" s="3" t="n">
        <v>3.9</v>
      </c>
      <c r="F31" s="3" t="n">
        <v>3.85</v>
      </c>
      <c r="G31" s="3" t="n">
        <v>3.85</v>
      </c>
      <c r="H31" s="3" t="n">
        <v>3.8</v>
      </c>
      <c r="I31" s="3" t="n">
        <v>3.8</v>
      </c>
      <c r="J31" s="3" t="n">
        <v>3.8</v>
      </c>
      <c r="K31" s="3" t="n">
        <v>3.8</v>
      </c>
      <c r="L31" s="3" t="n">
        <v>3.8</v>
      </c>
    </row>
    <row r="32" customFormat="false" ht="15" hidden="false" customHeight="false" outlineLevel="0" collapsed="false">
      <c r="A32" s="0" t="s">
        <v>99</v>
      </c>
      <c r="C32" s="3" t="n">
        <v>6.2</v>
      </c>
      <c r="D32" s="3" t="n">
        <v>5.4</v>
      </c>
      <c r="E32" s="3" t="n">
        <v>4.8</v>
      </c>
      <c r="F32" s="3" t="n">
        <v>4.5</v>
      </c>
      <c r="G32" s="3" t="n">
        <v>4.3</v>
      </c>
      <c r="H32" s="3" t="n">
        <v>4.3</v>
      </c>
      <c r="I32" s="3" t="n">
        <v>4.3</v>
      </c>
      <c r="J32" s="3" t="n">
        <v>4.3</v>
      </c>
      <c r="K32" s="3" t="n">
        <v>4.3</v>
      </c>
      <c r="L32" s="3" t="n">
        <v>4.3</v>
      </c>
    </row>
    <row r="33" customFormat="false" ht="15" hidden="false" customHeight="false" outlineLevel="0" collapsed="false">
      <c r="A33" s="0" t="s">
        <v>100</v>
      </c>
      <c r="C33" s="3" t="n">
        <v>26.5</v>
      </c>
      <c r="D33" s="3" t="n">
        <v>26.5</v>
      </c>
      <c r="E33" s="3" t="n">
        <v>26.5</v>
      </c>
      <c r="F33" s="3" t="n">
        <v>26.5</v>
      </c>
      <c r="G33" s="3" t="n">
        <v>26.5</v>
      </c>
      <c r="H33" s="3" t="n">
        <v>26.5</v>
      </c>
      <c r="I33" s="3" t="n">
        <v>26.5</v>
      </c>
      <c r="J33" s="3" t="n">
        <v>26.5</v>
      </c>
      <c r="K33" s="3" t="n">
        <v>26.5</v>
      </c>
      <c r="L33" s="3" t="n">
        <v>26.5</v>
      </c>
    </row>
    <row r="34" customFormat="false" ht="15" hidden="false" customHeight="false" outlineLevel="0" collapsed="false">
      <c r="A34" s="0" t="s">
        <v>101</v>
      </c>
      <c r="B34" s="3" t="n">
        <v>7.3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-5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7.5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18</v>
      </c>
      <c r="D42" s="3" t="n">
        <v>18.6</v>
      </c>
      <c r="E42" s="3" t="n">
        <v>19.2</v>
      </c>
      <c r="F42" s="3" t="n">
        <v>19.8</v>
      </c>
      <c r="G42" s="3" t="n">
        <v>20.2</v>
      </c>
      <c r="H42" s="3" t="n">
        <v>20.5</v>
      </c>
      <c r="I42" s="3" t="n">
        <v>20.5</v>
      </c>
      <c r="J42" s="3" t="n">
        <v>20.5</v>
      </c>
      <c r="K42" s="3" t="n">
        <v>20.5</v>
      </c>
      <c r="L42" s="3" t="n">
        <v>20.5</v>
      </c>
    </row>
    <row r="43" customFormat="false" ht="15" hidden="false" customHeight="false" outlineLevel="0" collapsed="false">
      <c r="A43" s="0" t="s">
        <v>96</v>
      </c>
      <c r="C43" s="3" t="n">
        <v>0.27</v>
      </c>
      <c r="D43" s="3" t="n">
        <v>0.26</v>
      </c>
      <c r="E43" s="3" t="n">
        <v>0.26</v>
      </c>
      <c r="F43" s="3" t="n">
        <v>0.25</v>
      </c>
      <c r="G43" s="3" t="n">
        <v>0.25</v>
      </c>
      <c r="H43" s="3" t="n">
        <v>0.24</v>
      </c>
      <c r="I43" s="3" t="n">
        <v>0.24</v>
      </c>
      <c r="J43" s="3" t="n">
        <v>0.24</v>
      </c>
      <c r="K43" s="3" t="n">
        <v>0.24</v>
      </c>
      <c r="L43" s="3" t="n">
        <v>0.24</v>
      </c>
    </row>
    <row r="44" customFormat="false" ht="15" hidden="false" customHeight="false" outlineLevel="0" collapsed="false">
      <c r="A44" s="0" t="s">
        <v>97</v>
      </c>
      <c r="C44" s="3" t="n">
        <v>4.5</v>
      </c>
      <c r="D44" s="3" t="n">
        <v>4.3</v>
      </c>
      <c r="E44" s="3" t="n">
        <v>4.2</v>
      </c>
      <c r="F44" s="3" t="n">
        <v>4.1</v>
      </c>
      <c r="G44" s="3" t="n">
        <v>4</v>
      </c>
      <c r="H44" s="3" t="n">
        <v>4</v>
      </c>
      <c r="I44" s="3" t="n">
        <v>4</v>
      </c>
      <c r="J44" s="3" t="n">
        <v>4</v>
      </c>
      <c r="K44" s="3" t="n">
        <v>4</v>
      </c>
      <c r="L44" s="3" t="n">
        <v>4</v>
      </c>
    </row>
    <row r="45" customFormat="false" ht="15" hidden="false" customHeight="false" outlineLevel="0" collapsed="false">
      <c r="A45" s="0" t="s">
        <v>98</v>
      </c>
      <c r="C45" s="3" t="n">
        <v>3.9</v>
      </c>
      <c r="D45" s="3" t="n">
        <v>3.85</v>
      </c>
      <c r="E45" s="3" t="n">
        <v>3.8</v>
      </c>
      <c r="F45" s="3" t="n">
        <v>3.75</v>
      </c>
      <c r="G45" s="3" t="n">
        <v>3.7</v>
      </c>
      <c r="H45" s="3" t="n">
        <v>3.7</v>
      </c>
      <c r="I45" s="3" t="n">
        <v>3.7</v>
      </c>
      <c r="J45" s="3" t="n">
        <v>3.7</v>
      </c>
      <c r="K45" s="3" t="n">
        <v>3.7</v>
      </c>
      <c r="L45" s="3" t="n">
        <v>3.7</v>
      </c>
    </row>
    <row r="46" customFormat="false" ht="15" hidden="false" customHeight="false" outlineLevel="0" collapsed="false">
      <c r="A46" s="0" t="s">
        <v>99</v>
      </c>
      <c r="C46" s="3" t="n">
        <v>6</v>
      </c>
      <c r="D46" s="3" t="n">
        <v>5</v>
      </c>
      <c r="E46" s="3" t="n">
        <v>4.5</v>
      </c>
      <c r="F46" s="3" t="n">
        <v>4.2</v>
      </c>
      <c r="G46" s="3" t="n">
        <v>4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100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101</v>
      </c>
      <c r="B48" s="3" t="n">
        <v>6.6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17</v>
      </c>
    </row>
    <row r="51" customFormat="false" ht="15" hidden="false" customHeight="false" outlineLevel="0" collapsed="false">
      <c r="A51" s="0" t="s">
        <v>104</v>
      </c>
      <c r="B51" s="3" t="n">
        <v>-3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2.5</v>
      </c>
      <c r="D5" s="4" t="n">
        <f aca="false">Assumptions!D13</f>
        <v>2.5</v>
      </c>
      <c r="E5" s="4" t="n">
        <f aca="false">Assumptions!E13</f>
        <v>2.3</v>
      </c>
      <c r="F5" s="4" t="n">
        <f aca="false">Assumptions!F13</f>
        <v>2.2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1.8</v>
      </c>
      <c r="J5" s="4" t="n">
        <f aca="false">Assumptions!J13</f>
        <v>1.8</v>
      </c>
      <c r="K5" s="4" t="n">
        <f aca="false">Assumptions!K13</f>
        <v>1.7</v>
      </c>
      <c r="L5" s="4" t="n">
        <f aca="false">Assumptions!L13</f>
        <v>1.7</v>
      </c>
    </row>
    <row r="6" customFormat="false" ht="15" hidden="false" customHeight="false" outlineLevel="0" collapsed="false">
      <c r="A6" s="0" t="s">
        <v>37</v>
      </c>
      <c r="B6" s="3" t="n">
        <v>10867.37</v>
      </c>
      <c r="C6" s="0" t="n">
        <f aca="false">B6*(1+C5/100)</f>
        <v>11139.05425</v>
      </c>
      <c r="D6" s="0" t="n">
        <f aca="false">C6*(1+D5/100)</f>
        <v>11417.53060625</v>
      </c>
      <c r="E6" s="0" t="n">
        <f aca="false">D6*(1+E5/100)</f>
        <v>11680.1338101937</v>
      </c>
      <c r="F6" s="0" t="n">
        <f aca="false">E6*(1+F5/100)</f>
        <v>11937.096754018</v>
      </c>
      <c r="G6" s="0" t="n">
        <f aca="false">F6*(1+G5/100)</f>
        <v>12175.8386890984</v>
      </c>
      <c r="H6" s="0" t="n">
        <f aca="false">G6*(1+H5/100)</f>
        <v>12419.3554628803</v>
      </c>
      <c r="I6" s="0" t="n">
        <f aca="false">H6*(1+I5/100)</f>
        <v>12642.9038612122</v>
      </c>
      <c r="J6" s="0" t="n">
        <f aca="false">I6*(1+J5/100)</f>
        <v>12870.476130714</v>
      </c>
      <c r="K6" s="0" t="n">
        <f aca="false">J6*(1+K5/100)</f>
        <v>13089.2742249361</v>
      </c>
      <c r="L6" s="0" t="n">
        <f aca="false">K6*(1+L5/100)</f>
        <v>13311.7918867601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16.8</v>
      </c>
      <c r="D7" s="4" t="n">
        <f aca="false">Assumptions!D14</f>
        <v>16.5</v>
      </c>
      <c r="E7" s="4" t="n">
        <f aca="false">Assumptions!E14</f>
        <v>16.3</v>
      </c>
      <c r="F7" s="4" t="n">
        <f aca="false">Assumptions!F14</f>
        <v>16.2</v>
      </c>
      <c r="G7" s="4" t="n">
        <f aca="false">Assumptions!G14</f>
        <v>16.2</v>
      </c>
      <c r="H7" s="4" t="n">
        <f aca="false">Assumptions!H14</f>
        <v>16.2</v>
      </c>
      <c r="I7" s="4" t="n">
        <f aca="false">Assumptions!I14</f>
        <v>16.2</v>
      </c>
      <c r="J7" s="4" t="n">
        <f aca="false">Assumptions!J14</f>
        <v>16.2</v>
      </c>
      <c r="K7" s="4" t="n">
        <f aca="false">Assumptions!K14</f>
        <v>16.2</v>
      </c>
      <c r="L7" s="4" t="n">
        <f aca="false">Assumptions!L14</f>
        <v>16.2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1871.361114</v>
      </c>
      <c r="D8" s="0" t="n">
        <f aca="false">D6*D7/100</f>
        <v>1883.89255003125</v>
      </c>
      <c r="E8" s="0" t="n">
        <f aca="false">E6*E7/100</f>
        <v>1903.86181106158</v>
      </c>
      <c r="F8" s="0" t="n">
        <f aca="false">F6*F7/100</f>
        <v>1933.80967415092</v>
      </c>
      <c r="G8" s="0" t="n">
        <f aca="false">G6*G7/100</f>
        <v>1972.48586763394</v>
      </c>
      <c r="H8" s="0" t="n">
        <f aca="false">H6*H7/100</f>
        <v>2011.93558498662</v>
      </c>
      <c r="I8" s="0" t="n">
        <f aca="false">I6*I7/100</f>
        <v>2048.15042551637</v>
      </c>
      <c r="J8" s="0" t="n">
        <f aca="false">J6*J7/100</f>
        <v>2085.01713317567</v>
      </c>
      <c r="K8" s="0" t="n">
        <f aca="false">K6*K7/100</f>
        <v>2120.46242443966</v>
      </c>
      <c r="L8" s="0" t="n">
        <f aca="false">L6*L7/100</f>
        <v>2156.51028565513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0.29</v>
      </c>
      <c r="D9" s="4" t="n">
        <f aca="false">Assumptions!D15</f>
        <v>0.29</v>
      </c>
      <c r="E9" s="4" t="n">
        <f aca="false">Assumptions!E15</f>
        <v>0.29</v>
      </c>
      <c r="F9" s="4" t="n">
        <f aca="false">Assumptions!F15</f>
        <v>0.29</v>
      </c>
      <c r="G9" s="4" t="n">
        <f aca="false">Assumptions!G15</f>
        <v>0.29</v>
      </c>
      <c r="H9" s="4" t="n">
        <f aca="false">Assumptions!H15</f>
        <v>0.29</v>
      </c>
      <c r="I9" s="4" t="n">
        <f aca="false">Assumptions!I15</f>
        <v>0.29</v>
      </c>
      <c r="J9" s="4" t="n">
        <f aca="false">Assumptions!J15</f>
        <v>0.29</v>
      </c>
      <c r="K9" s="4" t="n">
        <f aca="false">Assumptions!K15</f>
        <v>0.29</v>
      </c>
      <c r="L9" s="4" t="n">
        <f aca="false">Assumptions!L15</f>
        <v>0.29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-32.303257325</v>
      </c>
      <c r="D10" s="0" t="n">
        <f aca="false">-D6*D9/100</f>
        <v>-33.110838758125</v>
      </c>
      <c r="E10" s="0" t="n">
        <f aca="false">-E6*E9/100</f>
        <v>-33.8723880495619</v>
      </c>
      <c r="F10" s="0" t="n">
        <f aca="false">-F6*F9/100</f>
        <v>-34.6175805866522</v>
      </c>
      <c r="G10" s="0" t="n">
        <f aca="false">-G6*G9/100</f>
        <v>-35.3099321983853</v>
      </c>
      <c r="H10" s="0" t="n">
        <f aca="false">-H6*H9/100</f>
        <v>-36.016130842353</v>
      </c>
      <c r="I10" s="0" t="n">
        <f aca="false">-I6*I9/100</f>
        <v>-36.6644211975153</v>
      </c>
      <c r="J10" s="0" t="n">
        <f aca="false">-J6*J9/100</f>
        <v>-37.3243807790706</v>
      </c>
      <c r="K10" s="0" t="n">
        <f aca="false">-K6*K9/100</f>
        <v>-37.9588952523148</v>
      </c>
      <c r="L10" s="0" t="n">
        <f aca="false">-L6*L9/100</f>
        <v>-38.6041964716042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1304.383252675</v>
      </c>
      <c r="D11" s="0" t="n">
        <f aca="false">D8+D10+D24</f>
        <v>1302.74024217313</v>
      </c>
      <c r="E11" s="0" t="n">
        <f aca="false">E8+E10+E24</f>
        <v>1321.02313393291</v>
      </c>
      <c r="F11" s="0" t="n">
        <f aca="false">F8+F10+F24</f>
        <v>1338.14854612542</v>
      </c>
      <c r="G11" s="0" t="n">
        <f aca="false">G8+G10+G24</f>
        <v>1364.91151704793</v>
      </c>
      <c r="H11" s="0" t="n">
        <f aca="false">H8+H10+H24</f>
        <v>1392.20974738889</v>
      </c>
      <c r="I11" s="0" t="n">
        <f aca="false">I8+I10+I24</f>
        <v>1417.26952284189</v>
      </c>
      <c r="J11" s="0" t="n">
        <f aca="false">J8+J10+J24</f>
        <v>1442.78037425304</v>
      </c>
      <c r="K11" s="0" t="n">
        <f aca="false">K8+K10+K24</f>
        <v>1467.30764061534</v>
      </c>
      <c r="L11" s="0" t="n">
        <f aca="false">L8+L10+L24</f>
        <v>1492.2518705058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-445.56217</v>
      </c>
      <c r="D12" s="4" t="n">
        <f aca="false">-D6*Assumptions!D17/100</f>
        <v>-456.70122425</v>
      </c>
      <c r="E12" s="4" t="n">
        <f aca="false">-E6*Assumptions!E17/100</f>
        <v>-467.20535240775</v>
      </c>
      <c r="F12" s="4" t="n">
        <f aca="false">-F6*Assumptions!F17/100</f>
        <v>-477.48387016072</v>
      </c>
      <c r="G12" s="4" t="n">
        <f aca="false">-G6*Assumptions!G17/100</f>
        <v>-487.033547563935</v>
      </c>
      <c r="H12" s="4" t="n">
        <f aca="false">-H6*Assumptions!H17/100</f>
        <v>-496.774218515214</v>
      </c>
      <c r="I12" s="4" t="n">
        <f aca="false">-I6*Assumptions!I17/100</f>
        <v>-505.716154448487</v>
      </c>
      <c r="J12" s="4" t="n">
        <f aca="false">-J6*Assumptions!J17/100</f>
        <v>-514.81904522856</v>
      </c>
      <c r="K12" s="4" t="n">
        <f aca="false">-K6*Assumptions!K17/100</f>
        <v>-523.570968997446</v>
      </c>
      <c r="L12" s="4" t="n">
        <f aca="false">-L6*Assumptions!L17/100</f>
        <v>-532.471675470402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858.821082675</v>
      </c>
      <c r="D13" s="0" t="n">
        <f aca="false">D11+D12</f>
        <v>846.039017923125</v>
      </c>
      <c r="E13" s="0" t="n">
        <f aca="false">E11+E12</f>
        <v>853.817781525163</v>
      </c>
      <c r="F13" s="0" t="n">
        <f aca="false">F11+F12</f>
        <v>860.664675964698</v>
      </c>
      <c r="G13" s="0" t="n">
        <f aca="false">G11+G12</f>
        <v>877.877969483993</v>
      </c>
      <c r="H13" s="0" t="n">
        <f aca="false">H11+H12</f>
        <v>895.435528873672</v>
      </c>
      <c r="I13" s="0" t="n">
        <f aca="false">I11+I12</f>
        <v>911.553368393399</v>
      </c>
      <c r="J13" s="0" t="n">
        <f aca="false">J11+J12</f>
        <v>927.96132902448</v>
      </c>
      <c r="K13" s="0" t="n">
        <f aca="false">K11+K12</f>
        <v>943.736671617896</v>
      </c>
      <c r="L13" s="0" t="n">
        <f aca="false">L11+L12</f>
        <v>959.7801950354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27.5</v>
      </c>
      <c r="D14" s="4" t="n">
        <f aca="false">Assumptions!D19</f>
        <v>27.5</v>
      </c>
      <c r="E14" s="4" t="n">
        <f aca="false">Assumptions!E19</f>
        <v>27.5</v>
      </c>
      <c r="F14" s="4" t="n">
        <f aca="false">Assumptions!F19</f>
        <v>27.5</v>
      </c>
      <c r="G14" s="4" t="n">
        <f aca="false">Assumptions!G19</f>
        <v>27.5</v>
      </c>
      <c r="H14" s="4" t="n">
        <f aca="false">Assumptions!H19</f>
        <v>27.5</v>
      </c>
      <c r="I14" s="4" t="n">
        <f aca="false">Assumptions!I19</f>
        <v>27.5</v>
      </c>
      <c r="J14" s="4" t="n">
        <f aca="false">Assumptions!J19</f>
        <v>27.5</v>
      </c>
      <c r="K14" s="4" t="n">
        <f aca="false">Assumptions!K19</f>
        <v>27.5</v>
      </c>
      <c r="L14" s="4" t="n">
        <f aca="false">Assumptions!L19</f>
        <v>27.5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622.645284939375</v>
      </c>
      <c r="D15" s="0" t="n">
        <f aca="false">D13-MAX(0,D13)*D14/100</f>
        <v>613.378287994266</v>
      </c>
      <c r="E15" s="0" t="n">
        <f aca="false">E13-MAX(0,E13)*E14/100</f>
        <v>619.017891605743</v>
      </c>
      <c r="F15" s="0" t="n">
        <f aca="false">F13-MAX(0,F13)*F14/100</f>
        <v>623.981890074406</v>
      </c>
      <c r="G15" s="0" t="n">
        <f aca="false">G13-MAX(0,G13)*G14/100</f>
        <v>636.461527875895</v>
      </c>
      <c r="H15" s="0" t="n">
        <f aca="false">H13-MAX(0,H13)*H14/100</f>
        <v>649.190758433413</v>
      </c>
      <c r="I15" s="0" t="n">
        <f aca="false">I13-MAX(0,I13)*I14/100</f>
        <v>660.876192085214</v>
      </c>
      <c r="J15" s="0" t="n">
        <f aca="false">J13-MAX(0,J13)*J14/100</f>
        <v>672.771963542748</v>
      </c>
      <c r="K15" s="0" t="n">
        <f aca="false">K13-MAX(0,K13)*K14/100</f>
        <v>684.209086922974</v>
      </c>
      <c r="L15" s="0" t="n">
        <f aca="false">L13-MAX(0,L13)*L14/100</f>
        <v>695.840641400665</v>
      </c>
    </row>
    <row r="16" customFormat="false" ht="15" hidden="false" customHeight="false" outlineLevel="0" collapsed="false">
      <c r="A16" s="0" t="s">
        <v>116</v>
      </c>
      <c r="C16" s="0" t="n">
        <f aca="false">-C12</f>
        <v>445.56217</v>
      </c>
      <c r="D16" s="0" t="n">
        <f aca="false">-D12</f>
        <v>456.70122425</v>
      </c>
      <c r="E16" s="0" t="n">
        <f aca="false">-E12</f>
        <v>467.20535240775</v>
      </c>
      <c r="F16" s="0" t="n">
        <f aca="false">-F12</f>
        <v>477.48387016072</v>
      </c>
      <c r="G16" s="0" t="n">
        <f aca="false">-G12</f>
        <v>487.033547563935</v>
      </c>
      <c r="H16" s="0" t="n">
        <f aca="false">-H12</f>
        <v>496.774218515214</v>
      </c>
      <c r="I16" s="0" t="n">
        <f aca="false">-I12</f>
        <v>505.716154448487</v>
      </c>
      <c r="J16" s="0" t="n">
        <f aca="false">-J12</f>
        <v>514.81904522856</v>
      </c>
      <c r="K16" s="0" t="n">
        <f aca="false">-K12</f>
        <v>523.570968997446</v>
      </c>
      <c r="L16" s="0" t="n">
        <f aca="false">-L12</f>
        <v>532.471675470402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-724.03852625</v>
      </c>
      <c r="D17" s="4" t="n">
        <f aca="false">-D6*Assumptions!D18/100</f>
        <v>-685.051836375</v>
      </c>
      <c r="E17" s="4" t="n">
        <f aca="false">-E6*Assumptions!E18/100</f>
        <v>-642.407359560656</v>
      </c>
      <c r="F17" s="4" t="n">
        <f aca="false">-F6*Assumptions!F18/100</f>
        <v>-596.854837700901</v>
      </c>
      <c r="G17" s="4" t="n">
        <f aca="false">-G6*Assumptions!G18/100</f>
        <v>-584.440257076722</v>
      </c>
      <c r="H17" s="4" t="n">
        <f aca="false">-H6*Assumptions!H18/100</f>
        <v>-596.129062218256</v>
      </c>
      <c r="I17" s="4" t="n">
        <f aca="false">-I6*Assumptions!I18/100</f>
        <v>-606.859385338185</v>
      </c>
      <c r="J17" s="4" t="n">
        <f aca="false">-J6*Assumptions!J18/100</f>
        <v>-617.782854274272</v>
      </c>
      <c r="K17" s="4" t="n">
        <f aca="false">-K6*Assumptions!K18/100</f>
        <v>-628.285162796935</v>
      </c>
      <c r="L17" s="4" t="n">
        <f aca="false">-L6*Assumptions!L18/100</f>
        <v>-638.966010564483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-19.0178974999999</v>
      </c>
      <c r="D18" s="4" t="n">
        <f aca="false">(D6-C6)*Assumptions!$B$23/100</f>
        <v>-19.4933449375</v>
      </c>
      <c r="E18" s="4" t="n">
        <f aca="false">(E6-D6)*Assumptions!$B$23/100</f>
        <v>-18.3822242760624</v>
      </c>
      <c r="F18" s="4" t="n">
        <f aca="false">(F6-E6)*Assumptions!$B$23/100</f>
        <v>-17.9874060676984</v>
      </c>
      <c r="G18" s="4" t="n">
        <f aca="false">(G6-F6)*Assumptions!$B$23/100</f>
        <v>-16.7119354556253</v>
      </c>
      <c r="H18" s="4" t="n">
        <f aca="false">(H6-G6)*Assumptions!$B$23/100</f>
        <v>-17.0461741647378</v>
      </c>
      <c r="I18" s="4" t="n">
        <f aca="false">(I6-H6)*Assumptions!$B$23/100</f>
        <v>-15.6483878832292</v>
      </c>
      <c r="J18" s="4" t="n">
        <f aca="false">(J6-I6)*Assumptions!$B$23/100</f>
        <v>-15.9300588651274</v>
      </c>
      <c r="K18" s="4" t="n">
        <f aca="false">(K6-J6)*Assumptions!$B$23/100</f>
        <v>-15.3158665955496</v>
      </c>
      <c r="L18" s="4" t="n">
        <f aca="false">(L6-K6)*Assumptions!$B$23/100</f>
        <v>-15.5762363276739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325.151031189375</v>
      </c>
      <c r="D19" s="0" t="n">
        <f aca="false">D15+D16+D17+D18</f>
        <v>365.534330931766</v>
      </c>
      <c r="E19" s="0" t="n">
        <f aca="false">E15+E16+E17+E18</f>
        <v>425.433660176775</v>
      </c>
      <c r="F19" s="0" t="n">
        <f aca="false">F15+F16+F17+F18</f>
        <v>486.623516466528</v>
      </c>
      <c r="G19" s="0" t="n">
        <f aca="false">G15+G16+G17+G18</f>
        <v>522.342882907482</v>
      </c>
      <c r="H19" s="0" t="n">
        <f aca="false">H15+H16+H17+H18</f>
        <v>532.789740565632</v>
      </c>
      <c r="I19" s="0" t="n">
        <f aca="false">I15+I16+I17+I18</f>
        <v>544.084573312287</v>
      </c>
      <c r="J19" s="0" t="n">
        <f aca="false">J15+J16+J17+J18</f>
        <v>553.878095631908</v>
      </c>
      <c r="K19" s="0" t="n">
        <f aca="false">K15+K16+K17+K18</f>
        <v>564.179026527936</v>
      </c>
      <c r="L19" s="0" t="n">
        <f aca="false">L15+L16+L17+L18</f>
        <v>573.770069978911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301.065769619792</v>
      </c>
      <c r="D21" s="0" t="n">
        <f aca="false">D19*D20</f>
        <v>313.386772060842</v>
      </c>
      <c r="E21" s="0" t="n">
        <f aca="false">E19*E20</f>
        <v>337.722955863542</v>
      </c>
      <c r="F21" s="0" t="n">
        <f aca="false">F19*F20</f>
        <v>357.682811675684</v>
      </c>
      <c r="G21" s="0" t="n">
        <f aca="false">G19*G20</f>
        <v>355.497789197002</v>
      </c>
      <c r="H21" s="0" t="n">
        <f aca="false">H19*H20</f>
        <v>335.74791201939</v>
      </c>
      <c r="I21" s="0" t="n">
        <f aca="false">I19*I20</f>
        <v>317.468122738016</v>
      </c>
      <c r="J21" s="0" t="n">
        <f aca="false">J19*J20</f>
        <v>299.24310087713</v>
      </c>
      <c r="K21" s="0" t="n">
        <f aca="false">K19*K20</f>
        <v>282.229975297832</v>
      </c>
      <c r="L21" s="0" t="n">
        <f aca="false">L19*L20</f>
        <v>265.766560072125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4.8</v>
      </c>
      <c r="D23" s="4" t="n">
        <f aca="false">Assumptions!D16</f>
        <v>4.8</v>
      </c>
      <c r="E23" s="4" t="n">
        <f aca="false">Assumptions!E16</f>
        <v>4.7</v>
      </c>
      <c r="F23" s="4" t="n">
        <f aca="false">Assumptions!F16</f>
        <v>4.7</v>
      </c>
      <c r="G23" s="4" t="n">
        <f aca="false">Assumptions!G16</f>
        <v>4.7</v>
      </c>
      <c r="H23" s="4" t="n">
        <f aca="false">Assumptions!H16</f>
        <v>4.7</v>
      </c>
      <c r="I23" s="4" t="n">
        <f aca="false">Assumptions!I16</f>
        <v>4.7</v>
      </c>
      <c r="J23" s="4" t="n">
        <f aca="false">Assumptions!J16</f>
        <v>4.7</v>
      </c>
      <c r="K23" s="4" t="n">
        <f aca="false">Assumptions!K16</f>
        <v>4.7</v>
      </c>
      <c r="L23" s="4" t="n">
        <f aca="false">Assumptions!L16</f>
        <v>4.7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-534.674604</v>
      </c>
      <c r="D24" s="0" t="n">
        <f aca="false">-D6*D23/100</f>
        <v>-548.0414691</v>
      </c>
      <c r="E24" s="0" t="n">
        <f aca="false">-E6*E23/100</f>
        <v>-548.966289079106</v>
      </c>
      <c r="F24" s="0" t="n">
        <f aca="false">-F6*F23/100</f>
        <v>-561.043547438847</v>
      </c>
      <c r="G24" s="0" t="n">
        <f aca="false">-G6*G23/100</f>
        <v>-572.264418387623</v>
      </c>
      <c r="H24" s="0" t="n">
        <f aca="false">-H6*H23/100</f>
        <v>-583.709706755376</v>
      </c>
      <c r="I24" s="0" t="n">
        <f aca="false">-I6*I23/100</f>
        <v>-594.216481476973</v>
      </c>
      <c r="J24" s="0" t="n">
        <f aca="false">-J6*J23/100</f>
        <v>-604.912378143558</v>
      </c>
      <c r="K24" s="0" t="n">
        <f aca="false">-K6*K23/100</f>
        <v>-615.195888571999</v>
      </c>
      <c r="L24" s="0" t="n">
        <f aca="false">-L6*L23/100</f>
        <v>-625.654218677723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3165.81176942135</v>
      </c>
    </row>
    <row r="31" customFormat="false" ht="15" hidden="false" customHeight="false" outlineLevel="0" collapsed="false">
      <c r="A31" s="0" t="s">
        <v>125</v>
      </c>
      <c r="B31" s="0" t="n">
        <f aca="false">L19</f>
        <v>573.770069978911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9754.09118964148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6885.24083974693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6885.24083974693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3189.1987208655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6355.01049028686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3290.33649028686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6.65268160628009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-0.648192405802217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235.787847789995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303.980611112609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7.74403129309538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4501.88824137299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0.69363251984727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5.5</v>
      </c>
      <c r="D5" s="4" t="n">
        <f aca="false">Assumptions!D27</f>
        <v>5</v>
      </c>
      <c r="E5" s="4" t="n">
        <f aca="false">Assumptions!E27</f>
        <v>4.8</v>
      </c>
      <c r="F5" s="4" t="n">
        <f aca="false">Assumptions!F27</f>
        <v>4.5</v>
      </c>
      <c r="G5" s="4" t="n">
        <f aca="false">Assumptions!G27</f>
        <v>4.3</v>
      </c>
      <c r="H5" s="4" t="n">
        <f aca="false">Assumptions!H27</f>
        <v>4</v>
      </c>
      <c r="I5" s="4" t="n">
        <f aca="false">Assumptions!I27</f>
        <v>3.7</v>
      </c>
      <c r="J5" s="4" t="n">
        <f aca="false">Assumptions!J27</f>
        <v>3.4</v>
      </c>
      <c r="K5" s="4" t="n">
        <f aca="false">Assumptions!K27</f>
        <v>3</v>
      </c>
      <c r="L5" s="4" t="n">
        <f aca="false">Assumptions!L27</f>
        <v>2.7</v>
      </c>
    </row>
    <row r="6" customFormat="false" ht="15" hidden="false" customHeight="false" outlineLevel="0" collapsed="false">
      <c r="A6" s="0" t="s">
        <v>37</v>
      </c>
      <c r="B6" s="3" t="n">
        <v>10867.37</v>
      </c>
      <c r="C6" s="0" t="n">
        <f aca="false">B6*(1+C5/100)</f>
        <v>11465.07535</v>
      </c>
      <c r="D6" s="0" t="n">
        <f aca="false">C6*(1+D5/100)</f>
        <v>12038.3291175</v>
      </c>
      <c r="E6" s="0" t="n">
        <f aca="false">D6*(1+E5/100)</f>
        <v>12616.16891514</v>
      </c>
      <c r="F6" s="0" t="n">
        <f aca="false">E6*(1+F5/100)</f>
        <v>13183.8965163213</v>
      </c>
      <c r="G6" s="0" t="n">
        <f aca="false">F6*(1+G5/100)</f>
        <v>13750.8040665231</v>
      </c>
      <c r="H6" s="0" t="n">
        <f aca="false">G6*(1+H5/100)</f>
        <v>14300.836229184</v>
      </c>
      <c r="I6" s="0" t="n">
        <f aca="false">H6*(1+I5/100)</f>
        <v>14829.9671696639</v>
      </c>
      <c r="J6" s="0" t="n">
        <f aca="false">I6*(1+J5/100)</f>
        <v>15334.1860534324</v>
      </c>
      <c r="K6" s="0" t="n">
        <f aca="false">J6*(1+K5/100)</f>
        <v>15794.2116350354</v>
      </c>
      <c r="L6" s="0" t="n">
        <f aca="false">K6*(1+L5/100)</f>
        <v>16220.6553491814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17.6</v>
      </c>
      <c r="D7" s="4" t="n">
        <f aca="false">Assumptions!D28</f>
        <v>17.9</v>
      </c>
      <c r="E7" s="4" t="n">
        <f aca="false">Assumptions!E28</f>
        <v>18.2</v>
      </c>
      <c r="F7" s="4" t="n">
        <f aca="false">Assumptions!F28</f>
        <v>18.5</v>
      </c>
      <c r="G7" s="4" t="n">
        <f aca="false">Assumptions!G28</f>
        <v>18.7</v>
      </c>
      <c r="H7" s="4" t="n">
        <f aca="false">Assumptions!H28</f>
        <v>18.8</v>
      </c>
      <c r="I7" s="4" t="n">
        <f aca="false">Assumptions!I28</f>
        <v>18.8</v>
      </c>
      <c r="J7" s="4" t="n">
        <f aca="false">Assumptions!J28</f>
        <v>18.8</v>
      </c>
      <c r="K7" s="4" t="n">
        <f aca="false">Assumptions!K28</f>
        <v>18.8</v>
      </c>
      <c r="L7" s="4" t="n">
        <f aca="false">Assumptions!L28</f>
        <v>18.8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2017.8532616</v>
      </c>
      <c r="D8" s="0" t="n">
        <f aca="false">D6*D7/100</f>
        <v>2154.8609120325</v>
      </c>
      <c r="E8" s="0" t="n">
        <f aca="false">E6*E7/100</f>
        <v>2296.14274255548</v>
      </c>
      <c r="F8" s="0" t="n">
        <f aca="false">F6*F7/100</f>
        <v>2439.02085551944</v>
      </c>
      <c r="G8" s="0" t="n">
        <f aca="false">G6*G7/100</f>
        <v>2571.40036043982</v>
      </c>
      <c r="H8" s="0" t="n">
        <f aca="false">H6*H7/100</f>
        <v>2688.5572110866</v>
      </c>
      <c r="I8" s="0" t="n">
        <f aca="false">I6*I7/100</f>
        <v>2788.0338278968</v>
      </c>
      <c r="J8" s="0" t="n">
        <f aca="false">J6*J7/100</f>
        <v>2882.8269780453</v>
      </c>
      <c r="K8" s="0" t="n">
        <f aca="false">K6*K7/100</f>
        <v>2969.31178738665</v>
      </c>
      <c r="L8" s="0" t="n">
        <f aca="false">L6*L7/100</f>
        <v>3049.48320564609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0.28</v>
      </c>
      <c r="D9" s="4" t="n">
        <f aca="false">Assumptions!D29</f>
        <v>0.28</v>
      </c>
      <c r="E9" s="4" t="n">
        <f aca="false">Assumptions!E29</f>
        <v>0.27</v>
      </c>
      <c r="F9" s="4" t="n">
        <f aca="false">Assumptions!F29</f>
        <v>0.27</v>
      </c>
      <c r="G9" s="4" t="n">
        <f aca="false">Assumptions!G29</f>
        <v>0.26</v>
      </c>
      <c r="H9" s="4" t="n">
        <f aca="false">Assumptions!H29</f>
        <v>0.26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-32.10221098</v>
      </c>
      <c r="D10" s="0" t="n">
        <f aca="false">-D6*D9/100</f>
        <v>-33.707321529</v>
      </c>
      <c r="E10" s="0" t="n">
        <f aca="false">-E6*E9/100</f>
        <v>-34.063656070878</v>
      </c>
      <c r="F10" s="0" t="n">
        <f aca="false">-F6*F9/100</f>
        <v>-35.5965205940675</v>
      </c>
      <c r="G10" s="0" t="n">
        <f aca="false">-G6*G9/100</f>
        <v>-35.7520905729601</v>
      </c>
      <c r="H10" s="0" t="n">
        <f aca="false">-H6*H9/100</f>
        <v>-37.1821741958785</v>
      </c>
      <c r="I10" s="0" t="n">
        <f aca="false">-I6*I9/100</f>
        <v>-37.0749179241596</v>
      </c>
      <c r="J10" s="0" t="n">
        <f aca="false">-J6*J9/100</f>
        <v>-38.3354651335811</v>
      </c>
      <c r="K10" s="0" t="n">
        <f aca="false">-K6*K9/100</f>
        <v>-39.4855290875885</v>
      </c>
      <c r="L10" s="0" t="n">
        <f aca="false">-L6*L9/100</f>
        <v>-40.5516383729534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1458.35758452</v>
      </c>
      <c r="D11" s="0" t="n">
        <f aca="false">D8+D10+D24</f>
        <v>1579.428780216</v>
      </c>
      <c r="E11" s="0" t="n">
        <f aca="false">E8+E10+E24</f>
        <v>1706.96765421844</v>
      </c>
      <c r="F11" s="0" t="n">
        <f aca="false">F8+F10+F24</f>
        <v>1823.33288820724</v>
      </c>
      <c r="G11" s="0" t="n">
        <f aca="false">G8+G10+G24</f>
        <v>1944.36369500637</v>
      </c>
      <c r="H11" s="0" t="n">
        <f aca="false">H8+H10+H24</f>
        <v>2036.43907903581</v>
      </c>
      <c r="I11" s="0" t="n">
        <f aca="false">I8+I10+I24</f>
        <v>2113.2703216771</v>
      </c>
      <c r="J11" s="0" t="n">
        <f aca="false">J8+J10+J24</f>
        <v>2185.12151261412</v>
      </c>
      <c r="K11" s="0" t="n">
        <f aca="false">K8+K10+K24</f>
        <v>2250.67515799254</v>
      </c>
      <c r="L11" s="0" t="n">
        <f aca="false">L8+L10+L24</f>
        <v>2311.44338725834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-452.870476325</v>
      </c>
      <c r="D12" s="4" t="n">
        <f aca="false">-D6*Assumptions!D31/100</f>
        <v>-469.4948355825</v>
      </c>
      <c r="E12" s="4" t="n">
        <f aca="false">-E6*Assumptions!E31/100</f>
        <v>-492.03058769046</v>
      </c>
      <c r="F12" s="4" t="n">
        <f aca="false">-F6*Assumptions!F31/100</f>
        <v>-507.58001587837</v>
      </c>
      <c r="G12" s="4" t="n">
        <f aca="false">-G6*Assumptions!G31/100</f>
        <v>-529.40595656114</v>
      </c>
      <c r="H12" s="4" t="n">
        <f aca="false">-H6*Assumptions!H31/100</f>
        <v>-543.431776708994</v>
      </c>
      <c r="I12" s="4" t="n">
        <f aca="false">-I6*Assumptions!I31/100</f>
        <v>-563.538752447226</v>
      </c>
      <c r="J12" s="4" t="n">
        <f aca="false">-J6*Assumptions!J31/100</f>
        <v>-582.699070030432</v>
      </c>
      <c r="K12" s="4" t="n">
        <f aca="false">-K6*Assumptions!K31/100</f>
        <v>-600.180042131345</v>
      </c>
      <c r="L12" s="4" t="n">
        <f aca="false">-L6*Assumptions!L31/100</f>
        <v>-616.384903268891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1005.487108195</v>
      </c>
      <c r="D13" s="0" t="n">
        <f aca="false">D11+D12</f>
        <v>1109.9339446335</v>
      </c>
      <c r="E13" s="0" t="n">
        <f aca="false">E11+E12</f>
        <v>1214.93706652798</v>
      </c>
      <c r="F13" s="0" t="n">
        <f aca="false">F11+F12</f>
        <v>1315.75287232887</v>
      </c>
      <c r="G13" s="0" t="n">
        <f aca="false">G11+G12</f>
        <v>1414.95773844523</v>
      </c>
      <c r="H13" s="0" t="n">
        <f aca="false">H11+H12</f>
        <v>1493.00730232681</v>
      </c>
      <c r="I13" s="0" t="n">
        <f aca="false">I11+I12</f>
        <v>1549.73156922987</v>
      </c>
      <c r="J13" s="0" t="n">
        <f aca="false">J11+J12</f>
        <v>1602.42244258369</v>
      </c>
      <c r="K13" s="0" t="n">
        <f aca="false">K11+K12</f>
        <v>1650.4951158612</v>
      </c>
      <c r="L13" s="0" t="n">
        <f aca="false">L11+L12</f>
        <v>1695.05848398945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26.5</v>
      </c>
      <c r="D14" s="4" t="n">
        <f aca="false">Assumptions!D33</f>
        <v>26.5</v>
      </c>
      <c r="E14" s="4" t="n">
        <f aca="false">Assumptions!E33</f>
        <v>26.5</v>
      </c>
      <c r="F14" s="4" t="n">
        <f aca="false">Assumptions!F33</f>
        <v>26.5</v>
      </c>
      <c r="G14" s="4" t="n">
        <f aca="false">Assumptions!G33</f>
        <v>26.5</v>
      </c>
      <c r="H14" s="4" t="n">
        <f aca="false">Assumptions!H33</f>
        <v>26.5</v>
      </c>
      <c r="I14" s="4" t="n">
        <f aca="false">Assumptions!I33</f>
        <v>26.5</v>
      </c>
      <c r="J14" s="4" t="n">
        <f aca="false">Assumptions!J33</f>
        <v>26.5</v>
      </c>
      <c r="K14" s="4" t="n">
        <f aca="false">Assumptions!K33</f>
        <v>26.5</v>
      </c>
      <c r="L14" s="4" t="n">
        <f aca="false">Assumptions!L33</f>
        <v>26.5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739.033024523325</v>
      </c>
      <c r="D15" s="0" t="n">
        <f aca="false">D13-MAX(0,D13)*D14/100</f>
        <v>815.801449305622</v>
      </c>
      <c r="E15" s="0" t="n">
        <f aca="false">E13-MAX(0,E13)*E14/100</f>
        <v>892.978743898067</v>
      </c>
      <c r="F15" s="0" t="n">
        <f aca="false">F13-MAX(0,F13)*F14/100</f>
        <v>967.078361161717</v>
      </c>
      <c r="G15" s="0" t="n">
        <f aca="false">G13-MAX(0,G13)*G14/100</f>
        <v>1039.99393775724</v>
      </c>
      <c r="H15" s="0" t="n">
        <f aca="false">H13-MAX(0,H13)*H14/100</f>
        <v>1097.36036721021</v>
      </c>
      <c r="I15" s="0" t="n">
        <f aca="false">I13-MAX(0,I13)*I14/100</f>
        <v>1139.05270338396</v>
      </c>
      <c r="J15" s="0" t="n">
        <f aca="false">J13-MAX(0,J13)*J14/100</f>
        <v>1177.78049529901</v>
      </c>
      <c r="K15" s="0" t="n">
        <f aca="false">K13-MAX(0,K13)*K14/100</f>
        <v>1213.11391015798</v>
      </c>
      <c r="L15" s="0" t="n">
        <f aca="false">L13-MAX(0,L13)*L14/100</f>
        <v>1245.86798573225</v>
      </c>
    </row>
    <row r="16" customFormat="false" ht="15" hidden="false" customHeight="false" outlineLevel="0" collapsed="false">
      <c r="A16" s="0" t="s">
        <v>116</v>
      </c>
      <c r="C16" s="0" t="n">
        <f aca="false">-C12</f>
        <v>452.870476325</v>
      </c>
      <c r="D16" s="0" t="n">
        <f aca="false">-D12</f>
        <v>469.4948355825</v>
      </c>
      <c r="E16" s="0" t="n">
        <f aca="false">-E12</f>
        <v>492.03058769046</v>
      </c>
      <c r="F16" s="0" t="n">
        <f aca="false">-F12</f>
        <v>507.58001587837</v>
      </c>
      <c r="G16" s="0" t="n">
        <f aca="false">-G12</f>
        <v>529.40595656114</v>
      </c>
      <c r="H16" s="0" t="n">
        <f aca="false">-H12</f>
        <v>543.431776708994</v>
      </c>
      <c r="I16" s="0" t="n">
        <f aca="false">-I12</f>
        <v>563.538752447226</v>
      </c>
      <c r="J16" s="0" t="n">
        <f aca="false">-J12</f>
        <v>582.699070030432</v>
      </c>
      <c r="K16" s="0" t="n">
        <f aca="false">-K12</f>
        <v>600.180042131345</v>
      </c>
      <c r="L16" s="0" t="n">
        <f aca="false">-L12</f>
        <v>616.384903268891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-710.8346717</v>
      </c>
      <c r="D17" s="4" t="n">
        <f aca="false">-D6*Assumptions!D32/100</f>
        <v>-650.069772345</v>
      </c>
      <c r="E17" s="4" t="n">
        <f aca="false">-E6*Assumptions!E32/100</f>
        <v>-605.57610792672</v>
      </c>
      <c r="F17" s="4" t="n">
        <f aca="false">-F6*Assumptions!F32/100</f>
        <v>-593.275343234459</v>
      </c>
      <c r="G17" s="4" t="n">
        <f aca="false">-G6*Assumptions!G32/100</f>
        <v>-591.284574860494</v>
      </c>
      <c r="H17" s="4" t="n">
        <f aca="false">-H6*Assumptions!H32/100</f>
        <v>-614.935957854914</v>
      </c>
      <c r="I17" s="4" t="n">
        <f aca="false">-I6*Assumptions!I32/100</f>
        <v>-637.688588295546</v>
      </c>
      <c r="J17" s="4" t="n">
        <f aca="false">-J6*Assumptions!J32/100</f>
        <v>-659.370000297594</v>
      </c>
      <c r="K17" s="4" t="n">
        <f aca="false">-K6*Assumptions!K32/100</f>
        <v>-679.151100306522</v>
      </c>
      <c r="L17" s="4" t="n">
        <f aca="false">-L6*Assumptions!L32/100</f>
        <v>-697.488180014798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-29.8852675</v>
      </c>
      <c r="D18" s="4" t="n">
        <f aca="false">(D6-C6)*Assumptions!$B$37/100</f>
        <v>-28.662688375</v>
      </c>
      <c r="E18" s="4" t="n">
        <f aca="false">(E6-D6)*Assumptions!$B$37/100</f>
        <v>-28.8919898820001</v>
      </c>
      <c r="F18" s="4" t="n">
        <f aca="false">(F6-E6)*Assumptions!$B$37/100</f>
        <v>-28.386380059065</v>
      </c>
      <c r="G18" s="4" t="n">
        <f aca="false">(G6-F6)*Assumptions!$B$37/100</f>
        <v>-28.3453775100908</v>
      </c>
      <c r="H18" s="4" t="n">
        <f aca="false">(H6-G6)*Assumptions!$B$37/100</f>
        <v>-27.5016081330463</v>
      </c>
      <c r="I18" s="4" t="n">
        <f aca="false">(I6-H6)*Assumptions!$B$37/100</f>
        <v>-26.4565470239904</v>
      </c>
      <c r="J18" s="4" t="n">
        <f aca="false">(J6-I6)*Assumptions!$B$37/100</f>
        <v>-25.2109441884286</v>
      </c>
      <c r="K18" s="4" t="n">
        <f aca="false">(K6-J6)*Assumptions!$B$37/100</f>
        <v>-23.0012790801487</v>
      </c>
      <c r="L18" s="4" t="n">
        <f aca="false">(L6-K6)*Assumptions!$B$37/100</f>
        <v>-21.3221857072977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451.183561648325</v>
      </c>
      <c r="D19" s="0" t="n">
        <f aca="false">D15+D16+D17+D18</f>
        <v>606.563824168122</v>
      </c>
      <c r="E19" s="0" t="n">
        <f aca="false">E15+E16+E17+E18</f>
        <v>750.541233779807</v>
      </c>
      <c r="F19" s="0" t="n">
        <f aca="false">F15+F16+F17+F18</f>
        <v>852.996653746563</v>
      </c>
      <c r="G19" s="0" t="n">
        <f aca="false">G15+G16+G17+G18</f>
        <v>949.769941947798</v>
      </c>
      <c r="H19" s="0" t="n">
        <f aca="false">H15+H16+H17+H18</f>
        <v>998.354577931242</v>
      </c>
      <c r="I19" s="0" t="n">
        <f aca="false">I15+I16+I17+I18</f>
        <v>1038.44632051165</v>
      </c>
      <c r="J19" s="0" t="n">
        <f aca="false">J15+J16+J17+J18</f>
        <v>1075.89862084342</v>
      </c>
      <c r="K19" s="0" t="n">
        <f aca="false">K15+K16+K17+K18</f>
        <v>1111.14157290266</v>
      </c>
      <c r="L19" s="0" t="n">
        <f aca="false">L15+L16+L17+L18</f>
        <v>1143.44252327904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0.931966449207829</v>
      </c>
      <c r="D20" s="0" t="n">
        <f aca="false">1/(1+$B$27/100)^D4</f>
        <v>0.868561462449048</v>
      </c>
      <c r="E20" s="0" t="n">
        <f aca="false">1/(1+$B$27/100)^E4</f>
        <v>0.809470142077398</v>
      </c>
      <c r="F20" s="0" t="n">
        <f aca="false">1/(1+$B$27/100)^F4</f>
        <v>0.754399014051629</v>
      </c>
      <c r="G20" s="0" t="n">
        <f aca="false">1/(1+$B$27/100)^G4</f>
        <v>0.703074570411584</v>
      </c>
      <c r="H20" s="0" t="n">
        <f aca="false">1/(1+$B$27/100)^H4</f>
        <v>0.655241910914803</v>
      </c>
      <c r="I20" s="0" t="n">
        <f aca="false">1/(1+$B$27/100)^I4</f>
        <v>0.610663477087421</v>
      </c>
      <c r="J20" s="0" t="n">
        <f aca="false">1/(1+$B$27/100)^J4</f>
        <v>0.56911787240207</v>
      </c>
      <c r="K20" s="0" t="n">
        <f aca="false">1/(1+$B$27/100)^K4</f>
        <v>0.530398762723271</v>
      </c>
      <c r="L20" s="0" t="n">
        <f aca="false">1/(1+$B$27/100)^L4</f>
        <v>0.494313851559433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420.487941890331</v>
      </c>
      <c r="D21" s="0" t="n">
        <f aca="false">D19*D20</f>
        <v>526.837962188152</v>
      </c>
      <c r="E21" s="0" t="n">
        <f aca="false">E19*E20</f>
        <v>607.540719142686</v>
      </c>
      <c r="F21" s="0" t="n">
        <f aca="false">F19*F20</f>
        <v>643.499834575746</v>
      </c>
      <c r="G21" s="0" t="n">
        <f aca="false">G19*G20</f>
        <v>667.759093924783</v>
      </c>
      <c r="H21" s="0" t="n">
        <f aca="false">H19*H20</f>
        <v>654.163761414209</v>
      </c>
      <c r="I21" s="0" t="n">
        <f aca="false">I19*I20</f>
        <v>634.141240852281</v>
      </c>
      <c r="J21" s="0" t="n">
        <f aca="false">J19*J20</f>
        <v>612.313134014729</v>
      </c>
      <c r="K21" s="0" t="n">
        <f aca="false">K19*K20</f>
        <v>589.348115477958</v>
      </c>
      <c r="L21" s="0" t="n">
        <f aca="false">L19*L20</f>
        <v>565.2194777189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4.6</v>
      </c>
      <c r="D23" s="4" t="n">
        <f aca="false">Assumptions!D30</f>
        <v>4.5</v>
      </c>
      <c r="E23" s="4" t="n">
        <f aca="false">Assumptions!E30</f>
        <v>4.4</v>
      </c>
      <c r="F23" s="4" t="n">
        <f aca="false">Assumptions!F30</f>
        <v>4.4</v>
      </c>
      <c r="G23" s="4" t="n">
        <f aca="false">Assumptions!G30</f>
        <v>4.3</v>
      </c>
      <c r="H23" s="4" t="n">
        <f aca="false">Assumptions!H30</f>
        <v>4.3</v>
      </c>
      <c r="I23" s="4" t="n">
        <f aca="false">Assumptions!I30</f>
        <v>4.3</v>
      </c>
      <c r="J23" s="4" t="n">
        <f aca="false">Assumptions!J30</f>
        <v>4.3</v>
      </c>
      <c r="K23" s="4" t="n">
        <f aca="false">Assumptions!K30</f>
        <v>4.3</v>
      </c>
      <c r="L23" s="4" t="n">
        <f aca="false">Assumptions!L30</f>
        <v>4.3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-527.3934661</v>
      </c>
      <c r="D24" s="0" t="n">
        <f aca="false">-D6*D23/100</f>
        <v>-541.7248102875</v>
      </c>
      <c r="E24" s="0" t="n">
        <f aca="false">-E6*E23/100</f>
        <v>-555.11143226616</v>
      </c>
      <c r="F24" s="0" t="n">
        <f aca="false">-F6*F23/100</f>
        <v>-580.091446718137</v>
      </c>
      <c r="G24" s="0" t="n">
        <f aca="false">-G6*G23/100</f>
        <v>-591.284574860494</v>
      </c>
      <c r="H24" s="0" t="n">
        <f aca="false">-H6*H23/100</f>
        <v>-614.935957854914</v>
      </c>
      <c r="I24" s="0" t="n">
        <f aca="false">-I6*I23/100</f>
        <v>-637.688588295546</v>
      </c>
      <c r="J24" s="0" t="n">
        <f aca="false">-J6*J23/100</f>
        <v>-659.370000297594</v>
      </c>
      <c r="K24" s="0" t="n">
        <f aca="false">-K6*K23/100</f>
        <v>-679.151100306522</v>
      </c>
      <c r="L24" s="0" t="n">
        <f aca="false">-L6*L23/100</f>
        <v>-697.488180014798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7.3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5921.31128119977</v>
      </c>
    </row>
    <row r="31" customFormat="false" ht="15" hidden="false" customHeight="false" outlineLevel="0" collapsed="false">
      <c r="A31" s="0" t="s">
        <v>125</v>
      </c>
      <c r="B31" s="0" t="n">
        <f aca="false">L19</f>
        <v>1143.44252327904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24417.2622158545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17151.6378491856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17151.6378491856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8478.29216578349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14399.6034469833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11334.9294469833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22.9179224869655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0.211947249442911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248.568270184772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428.049322186654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24.285965367851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9376.22869088814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6.73204071703794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7.5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10867.37</v>
      </c>
      <c r="C6" s="0" t="n">
        <f aca="false">B6*(1+C5/100)</f>
        <v>11682.42275</v>
      </c>
      <c r="D6" s="0" t="n">
        <f aca="false">C6*(1+D5/100)</f>
        <v>12500.1923425</v>
      </c>
      <c r="E6" s="0" t="n">
        <f aca="false">D6*(1+E5/100)</f>
        <v>13312.7048447625</v>
      </c>
      <c r="F6" s="0" t="n">
        <f aca="false">E6*(1+F5/100)</f>
        <v>14111.4671354483</v>
      </c>
      <c r="G6" s="0" t="n">
        <f aca="false">F6*(1+G5/100)</f>
        <v>14887.5978278979</v>
      </c>
      <c r="H6" s="0" t="n">
        <f aca="false">G6*(1+H5/100)</f>
        <v>15631.9777192928</v>
      </c>
      <c r="I6" s="0" t="n">
        <f aca="false">H6*(1+I5/100)</f>
        <v>16335.416716661</v>
      </c>
      <c r="J6" s="0" t="n">
        <f aca="false">I6*(1+J5/100)</f>
        <v>16988.8333853274</v>
      </c>
      <c r="K6" s="0" t="n">
        <f aca="false">J6*(1+K5/100)</f>
        <v>17583.4425538139</v>
      </c>
      <c r="L6" s="0" t="n">
        <f aca="false">K6*(1+L5/100)</f>
        <v>18110.9458304283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18</v>
      </c>
      <c r="D7" s="4" t="n">
        <f aca="false">Assumptions!D42</f>
        <v>18.6</v>
      </c>
      <c r="E7" s="4" t="n">
        <f aca="false">Assumptions!E42</f>
        <v>19.2</v>
      </c>
      <c r="F7" s="4" t="n">
        <f aca="false">Assumptions!F42</f>
        <v>19.8</v>
      </c>
      <c r="G7" s="4" t="n">
        <f aca="false">Assumptions!G42</f>
        <v>20.2</v>
      </c>
      <c r="H7" s="4" t="n">
        <f aca="false">Assumptions!H42</f>
        <v>20.5</v>
      </c>
      <c r="I7" s="4" t="n">
        <f aca="false">Assumptions!I42</f>
        <v>20.5</v>
      </c>
      <c r="J7" s="4" t="n">
        <f aca="false">Assumptions!J42</f>
        <v>20.5</v>
      </c>
      <c r="K7" s="4" t="n">
        <f aca="false">Assumptions!K42</f>
        <v>20.5</v>
      </c>
      <c r="L7" s="4" t="n">
        <f aca="false">Assumptions!L42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2102.836095</v>
      </c>
      <c r="D8" s="0" t="n">
        <f aca="false">D6*D7/100</f>
        <v>2325.035775705</v>
      </c>
      <c r="E8" s="0" t="n">
        <f aca="false">E6*E7/100</f>
        <v>2556.0393301944</v>
      </c>
      <c r="F8" s="0" t="n">
        <f aca="false">F6*F7/100</f>
        <v>2794.07049281875</v>
      </c>
      <c r="G8" s="0" t="n">
        <f aca="false">G6*G7/100</f>
        <v>3007.29476123538</v>
      </c>
      <c r="H8" s="0" t="n">
        <f aca="false">H6*H7/100</f>
        <v>3204.55543245502</v>
      </c>
      <c r="I8" s="0" t="n">
        <f aca="false">I6*I7/100</f>
        <v>3348.7604269155</v>
      </c>
      <c r="J8" s="0" t="n">
        <f aca="false">J6*J7/100</f>
        <v>3482.71084399212</v>
      </c>
      <c r="K8" s="0" t="n">
        <f aca="false">K6*K7/100</f>
        <v>3604.60572353184</v>
      </c>
      <c r="L8" s="0" t="n">
        <f aca="false">L6*L7/100</f>
        <v>3712.7438952378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0.27</v>
      </c>
      <c r="D9" s="4" t="n">
        <f aca="false">Assumptions!D43</f>
        <v>0.26</v>
      </c>
      <c r="E9" s="4" t="n">
        <f aca="false">Assumptions!E43</f>
        <v>0.26</v>
      </c>
      <c r="F9" s="4" t="n">
        <f aca="false">Assumptions!F43</f>
        <v>0.25</v>
      </c>
      <c r="G9" s="4" t="n">
        <f aca="false">Assumptions!G43</f>
        <v>0.25</v>
      </c>
      <c r="H9" s="4" t="n">
        <f aca="false">Assumptions!H43</f>
        <v>0.24</v>
      </c>
      <c r="I9" s="4" t="n">
        <f aca="false">Assumptions!I43</f>
        <v>0.24</v>
      </c>
      <c r="J9" s="4" t="n">
        <f aca="false">Assumptions!J43</f>
        <v>0.24</v>
      </c>
      <c r="K9" s="4" t="n">
        <f aca="false">Assumptions!K43</f>
        <v>0.24</v>
      </c>
      <c r="L9" s="4" t="n">
        <f aca="false">Assumptions!L43</f>
        <v>0.24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-31.542541425</v>
      </c>
      <c r="D10" s="0" t="n">
        <f aca="false">-D6*D9/100</f>
        <v>-32.5005000905</v>
      </c>
      <c r="E10" s="0" t="n">
        <f aca="false">-E6*E9/100</f>
        <v>-34.6130325963825</v>
      </c>
      <c r="F10" s="0" t="n">
        <f aca="false">-F6*F9/100</f>
        <v>-35.2786678386206</v>
      </c>
      <c r="G10" s="0" t="n">
        <f aca="false">-G6*G9/100</f>
        <v>-37.2189945697448</v>
      </c>
      <c r="H10" s="0" t="n">
        <f aca="false">-H6*H9/100</f>
        <v>-37.5167465263027</v>
      </c>
      <c r="I10" s="0" t="n">
        <f aca="false">-I6*I9/100</f>
        <v>-39.2050001199863</v>
      </c>
      <c r="J10" s="0" t="n">
        <f aca="false">-J6*J9/100</f>
        <v>-40.7732001247858</v>
      </c>
      <c r="K10" s="0" t="n">
        <f aca="false">-K6*K9/100</f>
        <v>-42.2002621291533</v>
      </c>
      <c r="L10" s="0" t="n">
        <f aca="false">-L6*L9/100</f>
        <v>-43.4662699930279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1545.584529825</v>
      </c>
      <c r="D11" s="0" t="n">
        <f aca="false">D8+D10+D24</f>
        <v>1755.027004887</v>
      </c>
      <c r="E11" s="0" t="n">
        <f aca="false">E8+E10+E24</f>
        <v>1962.29269411799</v>
      </c>
      <c r="F11" s="0" t="n">
        <f aca="false">F8+F10+F24</f>
        <v>2180.22167242676</v>
      </c>
      <c r="G11" s="0" t="n">
        <f aca="false">G8+G10+G24</f>
        <v>2374.57185354972</v>
      </c>
      <c r="H11" s="0" t="n">
        <f aca="false">H8+H10+H24</f>
        <v>2541.75957715701</v>
      </c>
      <c r="I11" s="0" t="n">
        <f aca="false">I8+I10+I24</f>
        <v>2656.13875812907</v>
      </c>
      <c r="J11" s="0" t="n">
        <f aca="false">J8+J10+J24</f>
        <v>2762.38430845424</v>
      </c>
      <c r="K11" s="0" t="n">
        <f aca="false">K8+K10+K24</f>
        <v>2859.06775925014</v>
      </c>
      <c r="L11" s="0" t="n">
        <f aca="false">L8+L10+L24</f>
        <v>2944.83979202764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-455.61448725</v>
      </c>
      <c r="D12" s="4" t="n">
        <f aca="false">-D6*Assumptions!D45/100</f>
        <v>-481.25740518625</v>
      </c>
      <c r="E12" s="4" t="n">
        <f aca="false">-E6*Assumptions!E45/100</f>
        <v>-505.882784100975</v>
      </c>
      <c r="F12" s="4" t="n">
        <f aca="false">-F6*Assumptions!F45/100</f>
        <v>-529.180017579309</v>
      </c>
      <c r="G12" s="4" t="n">
        <f aca="false">-G6*Assumptions!G45/100</f>
        <v>-550.841119632222</v>
      </c>
      <c r="H12" s="4" t="n">
        <f aca="false">-H6*Assumptions!H45/100</f>
        <v>-578.383175613834</v>
      </c>
      <c r="I12" s="4" t="n">
        <f aca="false">-I6*Assumptions!I45/100</f>
        <v>-604.410418516456</v>
      </c>
      <c r="J12" s="4" t="n">
        <f aca="false">-J6*Assumptions!J45/100</f>
        <v>-628.586835257114</v>
      </c>
      <c r="K12" s="4" t="n">
        <f aca="false">-K6*Assumptions!K45/100</f>
        <v>-650.587374491113</v>
      </c>
      <c r="L12" s="4" t="n">
        <f aca="false">-L6*Assumptions!L45/100</f>
        <v>-670.104995725847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1089.970042575</v>
      </c>
      <c r="D13" s="0" t="n">
        <f aca="false">D11+D12</f>
        <v>1273.76959970075</v>
      </c>
      <c r="E13" s="0" t="n">
        <f aca="false">E11+E12</f>
        <v>1456.40991001702</v>
      </c>
      <c r="F13" s="0" t="n">
        <f aca="false">F11+F12</f>
        <v>1651.04165484745</v>
      </c>
      <c r="G13" s="0" t="n">
        <f aca="false">G11+G12</f>
        <v>1823.73073391749</v>
      </c>
      <c r="H13" s="0" t="n">
        <f aca="false">H11+H12</f>
        <v>1963.37640154318</v>
      </c>
      <c r="I13" s="0" t="n">
        <f aca="false">I11+I12</f>
        <v>2051.72833961262</v>
      </c>
      <c r="J13" s="0" t="n">
        <f aca="false">J11+J12</f>
        <v>2133.79747319712</v>
      </c>
      <c r="K13" s="0" t="n">
        <f aca="false">K11+K12</f>
        <v>2208.48038475902</v>
      </c>
      <c r="L13" s="0" t="n">
        <f aca="false">L11+L12</f>
        <v>2274.73479630179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806.5778315055</v>
      </c>
      <c r="D15" s="0" t="n">
        <f aca="false">D13-MAX(0,D13)*D14/100</f>
        <v>942.589503778555</v>
      </c>
      <c r="E15" s="0" t="n">
        <f aca="false">E13-MAX(0,E13)*E14/100</f>
        <v>1077.74333341259</v>
      </c>
      <c r="F15" s="0" t="n">
        <f aca="false">F13-MAX(0,F13)*F14/100</f>
        <v>1221.77082458711</v>
      </c>
      <c r="G15" s="0" t="n">
        <f aca="false">G13-MAX(0,G13)*G14/100</f>
        <v>1349.56074309895</v>
      </c>
      <c r="H15" s="0" t="n">
        <f aca="false">H13-MAX(0,H13)*H14/100</f>
        <v>1452.89853714195</v>
      </c>
      <c r="I15" s="0" t="n">
        <f aca="false">I13-MAX(0,I13)*I14/100</f>
        <v>1518.27897131334</v>
      </c>
      <c r="J15" s="0" t="n">
        <f aca="false">J13-MAX(0,J13)*J14/100</f>
        <v>1579.01013016587</v>
      </c>
      <c r="K15" s="0" t="n">
        <f aca="false">K13-MAX(0,K13)*K14/100</f>
        <v>1634.27548472168</v>
      </c>
      <c r="L15" s="0" t="n">
        <f aca="false">L13-MAX(0,L13)*L14/100</f>
        <v>1683.30374926333</v>
      </c>
    </row>
    <row r="16" customFormat="false" ht="15" hidden="false" customHeight="false" outlineLevel="0" collapsed="false">
      <c r="A16" s="0" t="s">
        <v>116</v>
      </c>
      <c r="C16" s="0" t="n">
        <f aca="false">-C12</f>
        <v>455.61448725</v>
      </c>
      <c r="D16" s="0" t="n">
        <f aca="false">-D12</f>
        <v>481.25740518625</v>
      </c>
      <c r="E16" s="0" t="n">
        <f aca="false">-E12</f>
        <v>505.882784100975</v>
      </c>
      <c r="F16" s="0" t="n">
        <f aca="false">-F12</f>
        <v>529.180017579309</v>
      </c>
      <c r="G16" s="0" t="n">
        <f aca="false">-G12</f>
        <v>550.841119632222</v>
      </c>
      <c r="H16" s="0" t="n">
        <f aca="false">-H12</f>
        <v>578.383175613834</v>
      </c>
      <c r="I16" s="0" t="n">
        <f aca="false">-I12</f>
        <v>604.410418516456</v>
      </c>
      <c r="J16" s="0" t="n">
        <f aca="false">-J12</f>
        <v>628.586835257114</v>
      </c>
      <c r="K16" s="0" t="n">
        <f aca="false">-K12</f>
        <v>650.587374491113</v>
      </c>
      <c r="L16" s="0" t="n">
        <f aca="false">-L12</f>
        <v>670.104995725847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-700.945365</v>
      </c>
      <c r="D17" s="4" t="n">
        <f aca="false">-D6*Assumptions!D46/100</f>
        <v>-625.009617125</v>
      </c>
      <c r="E17" s="4" t="n">
        <f aca="false">-E6*Assumptions!E46/100</f>
        <v>-599.071718014313</v>
      </c>
      <c r="F17" s="4" t="n">
        <f aca="false">-F6*Assumptions!F46/100</f>
        <v>-592.681619688827</v>
      </c>
      <c r="G17" s="4" t="n">
        <f aca="false">-G6*Assumptions!G46/100</f>
        <v>-595.503913115916</v>
      </c>
      <c r="H17" s="4" t="n">
        <f aca="false">-H6*Assumptions!H46/100</f>
        <v>-625.279108771712</v>
      </c>
      <c r="I17" s="4" t="n">
        <f aca="false">-I6*Assumptions!I46/100</f>
        <v>-653.416668666439</v>
      </c>
      <c r="J17" s="4" t="n">
        <f aca="false">-J6*Assumptions!J46/100</f>
        <v>-679.553335413097</v>
      </c>
      <c r="K17" s="4" t="n">
        <f aca="false">-K6*Assumptions!K46/100</f>
        <v>-703.337702152555</v>
      </c>
      <c r="L17" s="4" t="n">
        <f aca="false">-L6*Assumptions!L46/100</f>
        <v>-724.437833217132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-24.4515825</v>
      </c>
      <c r="D18" s="4" t="n">
        <f aca="false">(D6-C6)*Assumptions!$B$51/100</f>
        <v>-24.533087775</v>
      </c>
      <c r="E18" s="4" t="n">
        <f aca="false">(E6-D6)*Assumptions!$B$51/100</f>
        <v>-24.375375067875</v>
      </c>
      <c r="F18" s="4" t="n">
        <f aca="false">(F6-E6)*Assumptions!$B$51/100</f>
        <v>-23.9628687205725</v>
      </c>
      <c r="G18" s="4" t="n">
        <f aca="false">(G6-F6)*Assumptions!$B$51/100</f>
        <v>-23.2839207734896</v>
      </c>
      <c r="H18" s="4" t="n">
        <f aca="false">(H6-G6)*Assumptions!$B$51/100</f>
        <v>-22.3313967418469</v>
      </c>
      <c r="I18" s="4" t="n">
        <f aca="false">(I6-H6)*Assumptions!$B$51/100</f>
        <v>-21.1031699210453</v>
      </c>
      <c r="J18" s="4" t="n">
        <f aca="false">(J6-I6)*Assumptions!$B$51/100</f>
        <v>-19.6025000599932</v>
      </c>
      <c r="K18" s="4" t="n">
        <f aca="false">(K6-J6)*Assumptions!$B$51/100</f>
        <v>-17.8382750545938</v>
      </c>
      <c r="L18" s="4" t="n">
        <f aca="false">(L6-K6)*Assumptions!$B$51/100</f>
        <v>-15.8250982984325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536.7953712555</v>
      </c>
      <c r="D19" s="0" t="n">
        <f aca="false">D15+D16+D17+D18</f>
        <v>774.304204064805</v>
      </c>
      <c r="E19" s="0" t="n">
        <f aca="false">E15+E16+E17+E18</f>
        <v>960.17902443138</v>
      </c>
      <c r="F19" s="0" t="n">
        <f aca="false">F15+F16+F17+F18</f>
        <v>1134.30635375702</v>
      </c>
      <c r="G19" s="0" t="n">
        <f aca="false">G15+G16+G17+G18</f>
        <v>1281.61402884176</v>
      </c>
      <c r="H19" s="0" t="n">
        <f aca="false">H15+H16+H17+H18</f>
        <v>1383.67120724223</v>
      </c>
      <c r="I19" s="0" t="n">
        <f aca="false">I15+I16+I17+I18</f>
        <v>1448.16955124231</v>
      </c>
      <c r="J19" s="0" t="n">
        <f aca="false">J15+J16+J17+J18</f>
        <v>1508.4411299499</v>
      </c>
      <c r="K19" s="0" t="n">
        <f aca="false">K15+K16+K17+K18</f>
        <v>1563.68688200564</v>
      </c>
      <c r="L19" s="0" t="n">
        <f aca="false">L15+L16+L17+L18</f>
        <v>1613.14581347361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0.938086303939962</v>
      </c>
      <c r="D20" s="0" t="n">
        <f aca="false">1/(1+$B$27/100)^D4</f>
        <v>0.88000591363974</v>
      </c>
      <c r="E20" s="0" t="n">
        <f aca="false">1/(1+$B$27/100)^E4</f>
        <v>0.825521494971613</v>
      </c>
      <c r="F20" s="0" t="n">
        <f aca="false">1/(1+$B$27/100)^F4</f>
        <v>0.774410408040913</v>
      </c>
      <c r="G20" s="0" t="n">
        <f aca="false">1/(1+$B$27/100)^G4</f>
        <v>0.726463797411738</v>
      </c>
      <c r="H20" s="0" t="n">
        <f aca="false">1/(1+$B$27/100)^H4</f>
        <v>0.681485738660167</v>
      </c>
      <c r="I20" s="0" t="n">
        <f aca="false">1/(1+$B$27/100)^I4</f>
        <v>0.639292437767511</v>
      </c>
      <c r="J20" s="0" t="n">
        <f aca="false">1/(1+$B$27/100)^J4</f>
        <v>0.599711480082093</v>
      </c>
      <c r="K20" s="0" t="n">
        <f aca="false">1/(1+$B$27/100)^K4</f>
        <v>0.562581125780575</v>
      </c>
      <c r="L20" s="0" t="n">
        <f aca="false">1/(1+$B$27/100)^L4</f>
        <v>0.527749648949883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503.560385793152</v>
      </c>
      <c r="D21" s="0" t="n">
        <f aca="false">D19*D20</f>
        <v>681.39227853314</v>
      </c>
      <c r="E21" s="0" t="n">
        <f aca="false">E19*E20</f>
        <v>792.648423688978</v>
      </c>
      <c r="F21" s="0" t="n">
        <f aca="false">F19*F20</f>
        <v>878.418646256374</v>
      </c>
      <c r="G21" s="0" t="n">
        <f aca="false">G19*G20</f>
        <v>931.046194208543</v>
      </c>
      <c r="H21" s="0" t="n">
        <f aca="false">H19*H20</f>
        <v>942.952194730273</v>
      </c>
      <c r="I21" s="0" t="n">
        <f aca="false">I19*I20</f>
        <v>925.803842714379</v>
      </c>
      <c r="J21" s="0" t="n">
        <f aca="false">J19*J20</f>
        <v>904.629462658957</v>
      </c>
      <c r="K21" s="0" t="n">
        <f aca="false">K19*K20</f>
        <v>879.700726447051</v>
      </c>
      <c r="L21" s="0" t="n">
        <f aca="false">L19*L20</f>
        <v>851.337136765671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4.5</v>
      </c>
      <c r="D23" s="4" t="n">
        <f aca="false">Assumptions!D44</f>
        <v>4.3</v>
      </c>
      <c r="E23" s="4" t="n">
        <f aca="false">Assumptions!E44</f>
        <v>4.2</v>
      </c>
      <c r="F23" s="4" t="n">
        <f aca="false">Assumptions!F44</f>
        <v>4.1</v>
      </c>
      <c r="G23" s="4" t="n">
        <f aca="false">Assumptions!G44</f>
        <v>4</v>
      </c>
      <c r="H23" s="4" t="n">
        <f aca="false">Assumptions!H44</f>
        <v>4</v>
      </c>
      <c r="I23" s="4" t="n">
        <f aca="false">Assumptions!I44</f>
        <v>4</v>
      </c>
      <c r="J23" s="4" t="n">
        <f aca="false">Assumptions!J44</f>
        <v>4</v>
      </c>
      <c r="K23" s="4" t="n">
        <f aca="false">Assumptions!K44</f>
        <v>4</v>
      </c>
      <c r="L23" s="4" t="n">
        <f aca="false">Assumptions!L44</f>
        <v>4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-525.70902375</v>
      </c>
      <c r="D24" s="0" t="n">
        <f aca="false">-D6*D23/100</f>
        <v>-537.5082707275</v>
      </c>
      <c r="E24" s="0" t="n">
        <f aca="false">-E6*E23/100</f>
        <v>-559.133603480025</v>
      </c>
      <c r="F24" s="0" t="n">
        <f aca="false">-F6*F23/100</f>
        <v>-578.570152553378</v>
      </c>
      <c r="G24" s="0" t="n">
        <f aca="false">-G6*G23/100</f>
        <v>-595.503913115916</v>
      </c>
      <c r="H24" s="0" t="n">
        <f aca="false">-H6*H23/100</f>
        <v>-625.279108771712</v>
      </c>
      <c r="I24" s="0" t="n">
        <f aca="false">-I6*I23/100</f>
        <v>-653.416668666439</v>
      </c>
      <c r="J24" s="0" t="n">
        <f aca="false">-J6*J23/100</f>
        <v>-679.553335413097</v>
      </c>
      <c r="K24" s="0" t="n">
        <f aca="false">-K6*K23/100</f>
        <v>-703.337702152555</v>
      </c>
      <c r="L24" s="0" t="n">
        <f aca="false">-L6*L23/100</f>
        <v>-724.437833217132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6.6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8291.48929179652</v>
      </c>
    </row>
    <row r="31" customFormat="false" ht="15" hidden="false" customHeight="false" outlineLevel="0" collapsed="false">
      <c r="A31" s="0" t="s">
        <v>125</v>
      </c>
      <c r="B31" s="0" t="n">
        <f aca="false">L19</f>
        <v>1613.14581347361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46153.8941077172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27423.4788290514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27423.4788290514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14472.7313250164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22764.2206168129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19699.5466168129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39.8302154860468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1.10630436203315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262.885604198977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656.319110885576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41.6887416029048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13846.1682323152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11.7394486378369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6.65268160628009</v>
      </c>
      <c r="C4" s="0" t="n">
        <f aca="false">B4/Assumptions!$B$2-1</f>
        <v>-0.648192405802217</v>
      </c>
      <c r="D4" s="4" t="n">
        <f aca="false">Assumptions!$B$24</f>
        <v>0.25</v>
      </c>
      <c r="E4" s="4" t="n">
        <f aca="false">DCF_Bear!$B$43</f>
        <v>7.74403129309538</v>
      </c>
      <c r="F4" s="4" t="n">
        <f aca="false">DCF_Bear!$B$47</f>
        <v>0.69363251984727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22.9179224869655</v>
      </c>
      <c r="C5" s="0" t="n">
        <f aca="false">B5/Assumptions!$B$2-1</f>
        <v>0.211947249442911</v>
      </c>
      <c r="D5" s="4" t="n">
        <f aca="false">Assumptions!$B$38</f>
        <v>0.5</v>
      </c>
      <c r="E5" s="4" t="n">
        <f aca="false">DCF_Base!$B$43</f>
        <v>24.285965367851</v>
      </c>
      <c r="F5" s="4" t="n">
        <f aca="false">DCF_Base!$B$47</f>
        <v>6.73204071703794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39.8302154860468</v>
      </c>
      <c r="C6" s="0" t="n">
        <f aca="false">B6/Assumptions!$B$2-1</f>
        <v>1.10630436203315</v>
      </c>
      <c r="D6" s="4" t="n">
        <f aca="false">Assumptions!$B$52</f>
        <v>0.25</v>
      </c>
      <c r="E6" s="4" t="n">
        <f aca="false">DCF_Bull!$B$43</f>
        <v>41.6887416029048</v>
      </c>
      <c r="F6" s="4" t="n">
        <f aca="false">DCF_Bull!$B$47</f>
        <v>11.7394486378369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23.0796855165644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24.5011759079255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0.180664745781386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-293.331952287902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6.47429064794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22.9179224869655</v>
      </c>
      <c r="C15" s="3" t="n">
        <v>7.3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19.4179052902613</v>
      </c>
      <c r="C16" s="3" t="n">
        <v>9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16.4143652384979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13.5515219601974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11.2985140290566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6.73204071703794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5.3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27.8259717445374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27.8259717445374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27.8259717445374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27.8259717445374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27.8259717445374</v>
      </c>
    </row>
    <row r="25" customFormat="false" ht="15" hidden="false" customHeight="false" outlineLevel="0" collapsed="false">
      <c r="A25" s="3" t="n">
        <v>6.3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25.2545705678763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25.2545705678763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25.2545705678763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25.2545705678763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25.2545705678763</v>
      </c>
    </row>
    <row r="26" customFormat="false" ht="15" hidden="false" customHeight="false" outlineLevel="0" collapsed="false">
      <c r="A26" s="3" t="n">
        <v>7.3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22.9179224869655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22.9179224869655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22.9179224869655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22.9179224869655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22.9179224869655</v>
      </c>
    </row>
    <row r="27" customFormat="false" ht="15" hidden="false" customHeight="false" outlineLevel="0" collapsed="false">
      <c r="A27" s="3" t="n">
        <v>8.3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20.715487324165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20.7920729541952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20.7920729541952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20.7920729541952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20.7920729541952</v>
      </c>
    </row>
    <row r="28" customFormat="false" ht="15" hidden="false" customHeight="false" outlineLevel="0" collapsed="false">
      <c r="A28" s="3" t="n">
        <v>9.3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16.9677133513772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17.8796020807734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18.8557318277026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18.8557318277026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18.8557318277026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2026-09-25T05:14:57Z</dcterms:created>
  <dc:creator>openpyxl</dc:creator>
  <dc:description/>
  <dc:language>en-NZ</dc:language>
  <cp:lastModifiedBy/>
  <dcterms:modified xsi:type="dcterms:W3CDTF">2026-09-25T05:14:57Z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