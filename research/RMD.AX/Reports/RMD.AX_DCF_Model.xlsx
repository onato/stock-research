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<sst xmlns="http://schemas.openxmlformats.org/spreadsheetml/2006/main" count="367" uniqueCount="169">
  <si>
    <t xml:space="preserve">Ticker</t>
  </si>
  <si>
    <t xml:space="preserve">RMD.AX</t>
  </si>
  <si>
    <t xml:space="preserve">Company</t>
  </si>
  <si>
    <t xml:space="preserve">ResMed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</si>
  <si>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</si>
  <si>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</si>
  <si>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</si>
  <si>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</si>
  <si>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2026-09-25T04:11:29Z (ASX regular session, intraday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</si>
  <si>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</si>
  <si>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</si>
  <si>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</si>
  <si>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</si>
  <si>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</si>
  <si>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</si>
  <si>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</si>
  <si>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</si>
  <si>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</si>
  <si>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</si>
  <si>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</si>
  <si>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</si>
  <si>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</si>
  <si>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2026-09-25T04:35:56Z</t>
  </si>
  <si>
    <t xml:space="preserve">Drivers file</t>
  </si>
  <si>
    <t xml:space="preserve">RMD.AX_Drivers.json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</si>
  <si>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</si>
  <si>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</si>
  <si>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</si>
  <si>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owner cash flow of a razor/razor-blade medical annuity: SBC and equity-award taxes expensed with a flat CDI count, net interest stripped against the net-cash bridge, US GAAP leases left in opex, margins built from components (pre-SBC EBITDA, D&amp;A, cash tax, capex, growth-driven working capital) rather than carried forward. Discount USD flows at a USD 8.5% WACC, cap the terminal multiple at 20x (15x in the bear), convert per-CDI values to AUD at a dated, parity-checked rate. Tuck-in M&amp;A is treated as discretionary and not charged, which is the one place the model leans generous.
key_risks_to_valuation: GLP-1 (especially oral) adoption shrinking OSA prevalence or CPAP compliance over the horizon; the bear case is the only scenario that prices this and it carries 25%; Philips Respironics' full US market re-entry reversing the post-2021 share gain and reintroducing device price competition; US reimbursement: DMEPOS competitive bidding Round 2028, Physician Fee Schedule cuts, Medicaid funding reductions; Terminal value is ~55-60% of base EV; each 1pp of WACC is worth roughly 15% of value; AUD/USD: a 10% AUD appreciation cuts the AUD per-CDI value 10% with no change in the business; the fx_rate is dated and not refreshed by refresh_price.py; MatrixCare sale (USD 470m in the bridge) not closing; Astral field correction running longer or wider than the guided ~130bps/USD 0.15 EPS; Acquisition spend (USD 133-351m/yr) not charged to the flows: if growth depends on it, owner FCF is overstated by ~2-6% of revenue in those years</t>
  </si>
  <si>
    <t xml:space="preserve">Data sources</t>
  </si>
  <si>
    <t xml:space="preserve">price: Yahoo Finance chart API for RMD.AX at inputs.price_as_of; 52-week range 25.50-43.29 AUD. NYSE RMD and AUDUSD=X from the same API for the parity check in inputs.fx_note.
financials: RMD.AX_Metrics.csv (core_metrics, USD millions, FY2015-FY2026) and kpis (CashTaxesPaid, EquityAwardTaxes, InterestIncomeNet, ShareRepurchases, DividendsPaid, Depreciation); FY2026 10-K (RMD.AX_Annual_FY2026.txt) for diluted shares, debt notes, lease liabilities, acquisitions and the tax note.
qualitative: RMD.AX_Analysis.json (2026-09-25): FY2027 guidance from the Q4 FY2026 call (5-7% core revenue growth, non-GAAP EPS USD 12.00-12.25), GLP-1 evidence, Philips consent decree, Astral correction, VirtuOx/Noctrix acquisitions and the MatrixCare divestiture.</t>
  </si>
  <si>
    <t xml:space="preserve">Scenario narrative: bear</t>
  </si>
  <si>
    <t xml:space="preserve">The two structural axes both turn: oral GLP-1s (cheaper, no injection) reach mass adoption from FY2029 and reduce moderate-OSA incidence and resupply compliance, while Philips completes its consent-decree remediation and re-enters the US in FY2028 with price competition, just as DMEPOS Round 2028 competitive bidding and the ~USD 930bn Medicaid cut squeeze HME provider economics. Revenue stalls FY2031-32, pre-SBC EBITDA margin gives back the FY2025-26 expansion to 34%, the terminal multiple is capped at 15x and terminal growth is 1.5%. The balance sheet (USD 810m net cash) keeps this a valuation problem, not a solvency one.</t>
  </si>
  <si>
    <t xml:space="preserve">Scenario narrative: base</t>
  </si>
  <si>
    <t xml:space="preserve">ResMed compounds as the dominant sleep-apnea device and mask annuity: FY2027 revenue grows 6% (guidance midpoint, absorbing the Astral ventilator correction and the MatrixCare divestiture), rebounds to 7% in FY2028 as those lap, then fades half a point a year to 3% by FY2036 as Philips Respironics' recovery and GLP-1 attrition of moderate-OSA patients offset the underpenetrated funnel (under 20% of US OSA diagnosed). Gross-margin gains carry pre-SBC EBITDA from 38.8% to 41%; cash tax rises to 21.5% under Pillar Two; capex normalises to 2.5-2.7% of revenue with D&amp;A converging on it; buybacks keep the count flat and are charged as SBC. USD 470m of MatrixCare proceeds enter the bridge because guidance already strips the divested revenue.</t>
  </si>
  <si>
    <t xml:space="preserve">Scenario narrative: bull</t>
  </si>
  <si>
    <t xml:space="preserve">GLP-1s remain a funnel tailwind, not a headwind: ResMed's own 2.5m-patient data (GLP-1 users &gt;10% more likely to start CPAP, higher resupply) holds through the oral generation, VirtuOx/NightOwl convert more of the 936m undiagnosed, Philips never regains its pre-recall US share and Noctrix opens a restless-legs adjacency. Growth runs 8.5-9% through FY2030, margin reaches 43% on mask mix and manufacturing scale,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</si>
  <si>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</si>
  <si>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</si>
  <si>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</si>
  <si>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</si>
  <si>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</si>
  <si>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</si>
  <si>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</si>
  <si>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</si>
  <si>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</si>
  <si>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</si>
  <si>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</si>
  <si>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</si>
  <si>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</si>
  <si>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</si>
  <si>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</si>
  <si>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</si>
  <si>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</si>
  <si>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</si>
  <si>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</si>
  <si>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</si>
  <si>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</si>
  <si>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</si>
  <si>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</si>
  <si>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</si>
  <si>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</si>
  <si>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</si>
  <si>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</si>
  <si>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CashTaxRate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</si>
  <si>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</si>
  <si>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</si>
  <si>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</si>
  <si>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</si>
  <si>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</si>
  <si>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</si>
  <si>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</si>
  <si>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</si>
  <si>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</si>
  <si>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</si>
  <si>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</si>
  <si>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</si>
  <si>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</si>
  <si>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</si>
  <si>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</si>
  <si>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</si>
  <si>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</si>
  <si>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</si>
  <si>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</si>
  <si>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</si>
  <si>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</si>
  <si>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</si>
  <si>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</si>
  <si>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</si>
  <si>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</si>
  <si>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</si>
  <si>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</si>
  <si>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</si>
  <si>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</si>
  <si>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</si>
  <si>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</si>
  <si>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</si>
  <si>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</si>
  <si>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</si>
  <si>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</si>
  <si>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</si>
  <si>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</si>
  <si>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</si>
  <si>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</si>
  <si>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</si>
  <si>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</si>
  <si>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</si>
  <si>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</si>
  <si>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</si>
  <si>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</si>
  <si>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</si>
  <si>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</si>
  <si>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</si>
  <si>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</si>
  <si>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RMD.AX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</si>
  <si>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</si>
  <si>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</si>
  <si>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</si>
  <si>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</si>
  <si>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</si>
  <si>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</si>
  <si>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</si>
  <si>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</si>
  <si>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</si>
  <si>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</si>
  <si>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</si>
  <si>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</si>
  <si>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</si>
  <si>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</si>
  <si>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</si>
  <si>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</si>
  <si>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</si>
  <si>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</si>
  <si>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</si>
  <si>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</si>
  <si>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</si>
  <si>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</si>
  <si>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</si>
  <si>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</si>
  <si>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</si>
  <si>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</si>
  <si>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</si>
  <si>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</si>
  <si>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</si>
  <si>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</si>
  <si>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RMD.AX owner-FCF component DCF: base case (millions, USD)</t>
  </si>
  <si>
    <t xml:space="preserve">RMD.AX owner-FCF component DCF: bull case (millions, USD)</t>
  </si>
  <si>
    <t xml:space="preserve">RMD.AX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</si>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</sst>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31.535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1678.912</v>
      </c>
      <c r="C2" s="0" t="n">
        <v>667.516</v>
      </c>
      <c r="D2" s="0" t="n">
        <v>1011.396</v>
      </c>
      <c r="E2" s="0" t="n">
        <v>60.2</v>
      </c>
      <c r="F2" s="0" t="n">
        <v>409.236</v>
      </c>
      <c r="G2" s="0" t="n">
        <v>24.4</v>
      </c>
      <c r="H2" s="0" t="n">
        <v>482.292</v>
      </c>
      <c r="I2" s="0" t="n">
        <v>352.886</v>
      </c>
      <c r="J2" s="0" t="n">
        <v>21</v>
      </c>
      <c r="K2" s="0" t="n">
        <v>2.47</v>
      </c>
      <c r="L2" s="0" t="n">
        <v>383.18</v>
      </c>
      <c r="M2" s="0" t="n">
        <v>62.502</v>
      </c>
      <c r="N2" s="0" t="n">
        <v>320.678</v>
      </c>
      <c r="O2" s="0" t="n">
        <v>1587.307</v>
      </c>
      <c r="P2" s="0" t="n">
        <v>2181.774</v>
      </c>
      <c r="Q2" s="0" t="n">
        <v>594.467</v>
      </c>
      <c r="R2" s="0" t="n">
        <v>300.594</v>
      </c>
      <c r="S2" s="0" t="n">
        <v>717.249</v>
      </c>
      <c r="T2" s="0" t="n">
        <v>142.687</v>
      </c>
      <c r="U2" s="0" t="n">
        <v>47.855</v>
      </c>
      <c r="V2" s="0" t="n">
        <v>1.12</v>
      </c>
      <c r="AA2" s="0" t="s">
        <v>18</v>
      </c>
      <c r="AB2" s="0" t="s">
        <v>14</v>
      </c>
      <c r="AC2" s="0" t="n">
        <v>11.1</v>
      </c>
    </row>
    <row r="3" customFormat="false" ht="15" hidden="false" customHeight="false" outlineLevel="0" collapsed="false">
      <c r="A3" s="0" t="s">
        <v>66</v>
      </c>
      <c r="B3" s="0" t="n">
        <v>1838.713</v>
      </c>
      <c r="C3" s="0" t="n">
        <v>772.216</v>
      </c>
      <c r="D3" s="0" t="n">
        <v>1066.497</v>
      </c>
      <c r="E3" s="0" t="n">
        <v>58</v>
      </c>
      <c r="F3" s="0" t="n">
        <v>428.952</v>
      </c>
      <c r="G3" s="0" t="n">
        <v>23.3</v>
      </c>
      <c r="H3" s="0" t="n">
        <v>515.801</v>
      </c>
      <c r="I3" s="0" t="n">
        <v>352.409</v>
      </c>
      <c r="J3" s="0" t="n">
        <v>19.2</v>
      </c>
      <c r="K3" s="0" t="n">
        <v>2.49</v>
      </c>
      <c r="L3" s="0" t="n">
        <v>547.933</v>
      </c>
      <c r="M3" s="0" t="n">
        <v>58.534</v>
      </c>
      <c r="N3" s="0" t="n">
        <v>489.399</v>
      </c>
      <c r="O3" s="0" t="n">
        <v>1694.831</v>
      </c>
      <c r="P3" s="0" t="n">
        <v>3258.935</v>
      </c>
      <c r="Q3" s="0" t="n">
        <v>1564.104</v>
      </c>
      <c r="R3" s="0" t="n">
        <v>1175</v>
      </c>
      <c r="S3" s="0" t="n">
        <v>731.434</v>
      </c>
      <c r="T3" s="0" t="n">
        <v>141.669</v>
      </c>
      <c r="U3" s="0" t="n">
        <v>46.408</v>
      </c>
      <c r="V3" s="0" t="n">
        <v>1.2</v>
      </c>
      <c r="AA3" s="0" t="s">
        <v>18</v>
      </c>
      <c r="AB3" s="0" t="s">
        <v>14</v>
      </c>
      <c r="AC3" s="0" t="n">
        <v>15.7</v>
      </c>
    </row>
    <row r="4" customFormat="false" ht="15" hidden="false" customHeight="false" outlineLevel="0" collapsed="false">
      <c r="A4" s="0" t="s">
        <v>67</v>
      </c>
      <c r="B4" s="0" t="n">
        <v>2066.737</v>
      </c>
      <c r="C4" s="0" t="n">
        <v>864.992</v>
      </c>
      <c r="D4" s="0" t="n">
        <v>1201.745</v>
      </c>
      <c r="E4" s="0" t="n">
        <v>58.1</v>
      </c>
      <c r="F4" s="0" t="n">
        <v>425.798</v>
      </c>
      <c r="G4" s="0" t="n">
        <v>20.6</v>
      </c>
      <c r="H4" s="0" t="n">
        <v>537.955</v>
      </c>
      <c r="I4" s="0" t="n">
        <v>342.284</v>
      </c>
      <c r="J4" s="0" t="n">
        <v>16.6</v>
      </c>
      <c r="K4" s="0" t="n">
        <v>2.4</v>
      </c>
      <c r="L4" s="0" t="n">
        <v>414.053</v>
      </c>
      <c r="M4" s="0" t="n">
        <v>62.219</v>
      </c>
      <c r="N4" s="0" t="n">
        <v>351.834</v>
      </c>
      <c r="O4" s="0" t="n">
        <v>1960.266</v>
      </c>
      <c r="P4" s="0" t="n">
        <v>3468.487</v>
      </c>
      <c r="Q4" s="0" t="n">
        <v>1508.221</v>
      </c>
      <c r="R4" s="0" t="n">
        <v>1078.611</v>
      </c>
      <c r="S4" s="0" t="n">
        <v>821.935</v>
      </c>
      <c r="T4" s="0" t="n">
        <v>142.453</v>
      </c>
      <c r="U4" s="0" t="n">
        <v>45.925</v>
      </c>
      <c r="V4" s="0" t="n">
        <v>1.32</v>
      </c>
      <c r="AA4" s="0" t="s">
        <v>18</v>
      </c>
      <c r="AB4" s="0" t="s">
        <v>14</v>
      </c>
      <c r="AC4" s="0" t="n">
        <v>22.2</v>
      </c>
    </row>
    <row r="5" customFormat="false" ht="15" hidden="false" customHeight="false" outlineLevel="0" collapsed="false">
      <c r="A5" s="0" t="s">
        <v>68</v>
      </c>
      <c r="B5" s="0" t="n">
        <v>2340.196</v>
      </c>
      <c r="C5" s="0" t="n">
        <v>1005.298</v>
      </c>
      <c r="D5" s="0" t="n">
        <v>1334.898</v>
      </c>
      <c r="E5" s="0" t="n">
        <v>57</v>
      </c>
      <c r="F5" s="0" t="n">
        <v>541.831</v>
      </c>
      <c r="G5" s="0" t="n">
        <v>23.2</v>
      </c>
      <c r="H5" s="0" t="n">
        <v>661.791</v>
      </c>
      <c r="I5" s="0" t="n">
        <v>315.588</v>
      </c>
      <c r="J5" s="0" t="n">
        <v>13.5</v>
      </c>
      <c r="K5" s="0" t="n">
        <v>2.19</v>
      </c>
      <c r="L5" s="0" t="n">
        <v>505.026</v>
      </c>
      <c r="M5" s="0" t="n">
        <v>62.581</v>
      </c>
      <c r="N5" s="0" t="n">
        <v>442.445</v>
      </c>
      <c r="O5" s="0" t="n">
        <v>2058.98</v>
      </c>
      <c r="P5" s="0" t="n">
        <v>3063.923</v>
      </c>
      <c r="Q5" s="0" t="n">
        <v>1004.943</v>
      </c>
      <c r="R5" s="0" t="n">
        <v>281.454</v>
      </c>
      <c r="S5" s="0" t="n">
        <v>188.701</v>
      </c>
      <c r="T5" s="0" t="n">
        <v>143.987</v>
      </c>
      <c r="U5" s="0" t="n">
        <v>48.412</v>
      </c>
      <c r="V5" s="0" t="n">
        <v>1.4</v>
      </c>
      <c r="AA5" s="0" t="s">
        <v>18</v>
      </c>
      <c r="AB5" s="0" t="s">
        <v>14</v>
      </c>
      <c r="AC5" s="0" t="n">
        <v>32.7</v>
      </c>
    </row>
    <row r="6" customFormat="false" ht="15" hidden="false" customHeight="false" outlineLevel="0" collapsed="false">
      <c r="A6" s="0" t="s">
        <v>69</v>
      </c>
      <c r="B6" s="0" t="n">
        <v>2606.572</v>
      </c>
      <c r="C6" s="0" t="n">
        <v>1112.501</v>
      </c>
      <c r="D6" s="0" t="n">
        <v>1494.071</v>
      </c>
      <c r="E6" s="0" t="n">
        <v>57.3</v>
      </c>
      <c r="F6" s="0" t="n">
        <v>579.263</v>
      </c>
      <c r="G6" s="0" t="n">
        <v>22.2</v>
      </c>
      <c r="H6" s="0" t="n">
        <v>730.058</v>
      </c>
      <c r="I6" s="0" t="n">
        <v>404.592</v>
      </c>
      <c r="J6" s="0" t="n">
        <v>15.5</v>
      </c>
      <c r="K6" s="0" t="n">
        <v>2.8</v>
      </c>
      <c r="L6" s="0" t="n">
        <v>459.051</v>
      </c>
      <c r="M6" s="0" t="n">
        <v>68.71</v>
      </c>
      <c r="N6" s="0" t="n">
        <v>390.341</v>
      </c>
      <c r="O6" s="0" t="n">
        <v>2072.193</v>
      </c>
      <c r="P6" s="0" t="n">
        <v>4107.682</v>
      </c>
      <c r="Q6" s="0" t="n">
        <v>2035.489</v>
      </c>
      <c r="R6" s="0" t="n">
        <v>1270.853</v>
      </c>
      <c r="S6" s="0" t="n">
        <v>147.128</v>
      </c>
      <c r="T6" s="0" t="n">
        <v>144.484</v>
      </c>
      <c r="U6" s="0" t="n">
        <v>52.073</v>
      </c>
      <c r="V6" s="0" t="n">
        <v>1.48</v>
      </c>
      <c r="AA6" s="0" t="s">
        <v>18</v>
      </c>
      <c r="AB6" s="0" t="s">
        <v>14</v>
      </c>
      <c r="AC6" s="0" t="n">
        <v>46.8</v>
      </c>
    </row>
    <row r="7" customFormat="false" ht="15" hidden="false" customHeight="false" outlineLevel="0" collapsed="false">
      <c r="A7" s="0" t="s">
        <v>70</v>
      </c>
      <c r="B7" s="0" t="n">
        <v>2957.013</v>
      </c>
      <c r="C7" s="0" t="n">
        <v>1239.227</v>
      </c>
      <c r="D7" s="0" t="n">
        <v>1717.786</v>
      </c>
      <c r="E7" s="0" t="n">
        <v>58.1</v>
      </c>
      <c r="F7" s="0" t="n">
        <v>809.659</v>
      </c>
      <c r="G7" s="0" t="n">
        <v>27.4</v>
      </c>
      <c r="H7" s="0" t="n">
        <v>964.509</v>
      </c>
      <c r="I7" s="0" t="n">
        <v>621.674</v>
      </c>
      <c r="J7" s="0" t="n">
        <v>21</v>
      </c>
      <c r="K7" s="0" t="n">
        <v>4.27</v>
      </c>
      <c r="L7" s="0" t="n">
        <v>802.255</v>
      </c>
      <c r="M7" s="0" t="n">
        <v>95.33</v>
      </c>
      <c r="N7" s="0" t="n">
        <v>706.925</v>
      </c>
      <c r="O7" s="0" t="n">
        <v>2497.027</v>
      </c>
      <c r="P7" s="0" t="n">
        <v>4587.376</v>
      </c>
      <c r="Q7" s="0" t="n">
        <v>2090.349</v>
      </c>
      <c r="R7" s="0" t="n">
        <v>1176.12</v>
      </c>
      <c r="S7" s="0" t="n">
        <v>463.156</v>
      </c>
      <c r="T7" s="0" t="n">
        <v>145.652</v>
      </c>
      <c r="U7" s="0" t="n">
        <v>57.559</v>
      </c>
      <c r="V7" s="0" t="n">
        <v>1.56</v>
      </c>
      <c r="AA7" s="0" t="s">
        <v>18</v>
      </c>
      <c r="AB7" s="0" t="s">
        <v>14</v>
      </c>
      <c r="AC7" s="0" t="n">
        <v>24.6</v>
      </c>
    </row>
    <row r="8" customFormat="false" ht="15" hidden="false" customHeight="false" outlineLevel="0" collapsed="false">
      <c r="A8" s="0" t="s">
        <v>71</v>
      </c>
      <c r="B8" s="0" t="n">
        <v>3196.825</v>
      </c>
      <c r="C8" s="0" t="n">
        <v>1357.725</v>
      </c>
      <c r="D8" s="0" t="n">
        <v>1839.1</v>
      </c>
      <c r="E8" s="0" t="n">
        <v>57.5</v>
      </c>
      <c r="F8" s="0" t="n">
        <v>903.678</v>
      </c>
      <c r="G8" s="0" t="n">
        <v>28.3</v>
      </c>
      <c r="H8" s="0" t="n">
        <v>1060.436</v>
      </c>
      <c r="I8" s="0" t="n">
        <v>474.505</v>
      </c>
      <c r="J8" s="0" t="n">
        <v>14.8</v>
      </c>
      <c r="K8" s="0" t="n">
        <v>3.24</v>
      </c>
      <c r="L8" s="0" t="n">
        <v>736.718</v>
      </c>
      <c r="M8" s="0" t="n">
        <v>102.712</v>
      </c>
      <c r="N8" s="0" t="n">
        <v>634.006</v>
      </c>
      <c r="O8" s="0" t="n">
        <v>2885.679</v>
      </c>
      <c r="P8" s="0" t="n">
        <v>4728.125</v>
      </c>
      <c r="Q8" s="0" t="n">
        <v>1842.446</v>
      </c>
      <c r="R8" s="0" t="n">
        <v>655.351</v>
      </c>
      <c r="S8" s="0" t="n">
        <v>295.278</v>
      </c>
      <c r="T8" s="0" t="n">
        <v>146.451</v>
      </c>
      <c r="U8" s="0" t="n">
        <v>63.927</v>
      </c>
      <c r="V8" s="0" t="n">
        <v>1.56</v>
      </c>
      <c r="AA8" s="0" t="s">
        <v>18</v>
      </c>
      <c r="AB8" s="0" t="s">
        <v>14</v>
      </c>
      <c r="AC8" s="0" t="n">
        <v>25.1</v>
      </c>
    </row>
    <row r="9" customFormat="false" ht="15" hidden="false" customHeight="false" outlineLevel="0" collapsed="false">
      <c r="A9" s="0" t="s">
        <v>72</v>
      </c>
      <c r="B9" s="0" t="n">
        <v>3578.127</v>
      </c>
      <c r="C9" s="0" t="n">
        <v>1553.816</v>
      </c>
      <c r="D9" s="0" t="n">
        <v>2024.311</v>
      </c>
      <c r="E9" s="0" t="n">
        <v>56.6</v>
      </c>
      <c r="F9" s="0" t="n">
        <v>1000.286</v>
      </c>
      <c r="G9" s="0" t="n">
        <v>28</v>
      </c>
      <c r="H9" s="0" t="n">
        <v>1159.895</v>
      </c>
      <c r="I9" s="0" t="n">
        <v>779.437</v>
      </c>
      <c r="J9" s="0" t="n">
        <v>21.8</v>
      </c>
      <c r="K9" s="0" t="n">
        <v>5.3</v>
      </c>
      <c r="L9" s="0" t="n">
        <v>351.147</v>
      </c>
      <c r="M9" s="0" t="n">
        <v>134.835</v>
      </c>
      <c r="N9" s="0" t="n">
        <v>216.312</v>
      </c>
      <c r="O9" s="0" t="n">
        <v>3360.751</v>
      </c>
      <c r="P9" s="0" t="n">
        <v>5095.853</v>
      </c>
      <c r="Q9" s="0" t="n">
        <v>1735.102</v>
      </c>
      <c r="R9" s="0" t="n">
        <v>775.241</v>
      </c>
      <c r="S9" s="0" t="n">
        <v>273.71</v>
      </c>
      <c r="T9" s="0" t="n">
        <v>147.043</v>
      </c>
      <c r="U9" s="0" t="n">
        <v>65.257</v>
      </c>
      <c r="V9" s="0" t="n">
        <v>1.68</v>
      </c>
      <c r="AA9" s="0" t="s">
        <v>18</v>
      </c>
      <c r="AB9" s="0" t="s">
        <v>14</v>
      </c>
      <c r="AC9" s="0" t="n">
        <v>49.8</v>
      </c>
    </row>
    <row r="10" customFormat="false" ht="15" hidden="false" customHeight="false" outlineLevel="0" collapsed="false">
      <c r="A10" s="0" t="s">
        <v>73</v>
      </c>
      <c r="B10" s="0" t="n">
        <v>4222.993</v>
      </c>
      <c r="C10" s="0" t="n">
        <v>1867.331</v>
      </c>
      <c r="D10" s="0" t="n">
        <v>2355.662</v>
      </c>
      <c r="E10" s="0" t="n">
        <v>55.8</v>
      </c>
      <c r="F10" s="0" t="n">
        <v>1131.871</v>
      </c>
      <c r="G10" s="0" t="n">
        <v>26.8</v>
      </c>
      <c r="H10" s="0" t="n">
        <v>1297.027</v>
      </c>
      <c r="I10" s="0" t="n">
        <v>897.556</v>
      </c>
      <c r="J10" s="0" t="n">
        <v>21.3</v>
      </c>
      <c r="K10" s="0" t="n">
        <v>6.09</v>
      </c>
      <c r="L10" s="0" t="n">
        <v>693.299</v>
      </c>
      <c r="M10" s="0" t="n">
        <v>119.672</v>
      </c>
      <c r="N10" s="0" t="n">
        <v>573.627</v>
      </c>
      <c r="O10" s="0" t="n">
        <v>4129.903</v>
      </c>
      <c r="P10" s="0" t="n">
        <v>6751.708</v>
      </c>
      <c r="Q10" s="0" t="n">
        <v>2621.805</v>
      </c>
      <c r="R10" s="0" t="n">
        <v>1441.136</v>
      </c>
      <c r="S10" s="0" t="n">
        <v>227.891</v>
      </c>
      <c r="T10" s="0" t="n">
        <v>147.455</v>
      </c>
      <c r="U10" s="0" t="n">
        <v>71.142</v>
      </c>
      <c r="V10" s="0" t="n">
        <v>1.76</v>
      </c>
      <c r="AA10" s="0" t="s">
        <v>18</v>
      </c>
      <c r="AB10" s="0" t="s">
        <v>14</v>
      </c>
      <c r="AC10" s="0" t="n">
        <v>19.7</v>
      </c>
    </row>
    <row r="11" customFormat="false" ht="15" hidden="false" customHeight="false" outlineLevel="0" collapsed="false">
      <c r="A11" s="0" t="s">
        <v>74</v>
      </c>
      <c r="B11" s="0" t="n">
        <v>4685.297</v>
      </c>
      <c r="C11" s="0" t="n">
        <v>2029.994</v>
      </c>
      <c r="D11" s="0" t="n">
        <v>2655.303</v>
      </c>
      <c r="E11" s="0" t="n">
        <v>56.7</v>
      </c>
      <c r="F11" s="0" t="n">
        <v>1319.893</v>
      </c>
      <c r="G11" s="0" t="n">
        <v>28.2</v>
      </c>
      <c r="H11" s="0" t="n">
        <v>1496.763</v>
      </c>
      <c r="I11" s="0" t="n">
        <v>1020.951</v>
      </c>
      <c r="J11" s="0" t="n">
        <v>21.8</v>
      </c>
      <c r="K11" s="0" t="n">
        <v>6.92</v>
      </c>
      <c r="L11" s="0" t="n">
        <v>1401.26</v>
      </c>
      <c r="M11" s="0" t="n">
        <v>99.46</v>
      </c>
      <c r="N11" s="0" t="n">
        <v>1301.8</v>
      </c>
      <c r="O11" s="0" t="n">
        <v>4864.043</v>
      </c>
      <c r="P11" s="0" t="n">
        <v>6872.394</v>
      </c>
      <c r="Q11" s="0" t="n">
        <v>2008.351</v>
      </c>
      <c r="R11" s="0" t="n">
        <v>707.213</v>
      </c>
      <c r="S11" s="0" t="n">
        <v>238.361</v>
      </c>
      <c r="T11" s="0" t="n">
        <v>147.55</v>
      </c>
      <c r="U11" s="0" t="n">
        <v>80.184</v>
      </c>
      <c r="V11" s="0" t="n">
        <v>1.92</v>
      </c>
      <c r="AA11" s="0" t="s">
        <v>18</v>
      </c>
      <c r="AB11" s="0" t="s">
        <v>14</v>
      </c>
      <c r="AC11" s="0" t="n">
        <v>22</v>
      </c>
    </row>
    <row r="12" customFormat="false" ht="15" hidden="false" customHeight="false" outlineLevel="0" collapsed="false">
      <c r="A12" s="0" t="s">
        <v>75</v>
      </c>
      <c r="B12" s="0" t="n">
        <v>5146.327</v>
      </c>
      <c r="C12" s="0" t="n">
        <v>2091.357</v>
      </c>
      <c r="D12" s="0" t="n">
        <v>3054.97</v>
      </c>
      <c r="E12" s="0" t="n">
        <v>59.4</v>
      </c>
      <c r="F12" s="0" t="n">
        <v>1685.363</v>
      </c>
      <c r="G12" s="0" t="n">
        <v>32.7</v>
      </c>
      <c r="H12" s="0" t="n">
        <v>1883.836</v>
      </c>
      <c r="I12" s="0" t="n">
        <v>1400.723</v>
      </c>
      <c r="J12" s="0" t="n">
        <v>27.2</v>
      </c>
      <c r="K12" s="0" t="n">
        <v>9.51</v>
      </c>
      <c r="L12" s="0" t="n">
        <v>1751.588</v>
      </c>
      <c r="M12" s="0" t="n">
        <v>89.865</v>
      </c>
      <c r="N12" s="0" t="n">
        <v>1661.723</v>
      </c>
      <c r="O12" s="0" t="n">
        <v>5967.859</v>
      </c>
      <c r="P12" s="0" t="n">
        <v>8174.391</v>
      </c>
      <c r="Q12" s="0" t="n">
        <v>2206.532</v>
      </c>
      <c r="R12" s="0" t="n">
        <v>668.292</v>
      </c>
      <c r="S12" s="0" t="n">
        <v>1209.45</v>
      </c>
      <c r="T12" s="0" t="n">
        <v>147.34</v>
      </c>
      <c r="U12" s="0" t="n">
        <v>91.661</v>
      </c>
      <c r="V12" s="0" t="n">
        <v>2.12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76</v>
      </c>
      <c r="B13" s="0" t="n">
        <v>5653.443</v>
      </c>
      <c r="C13" s="0" t="n">
        <v>2201.704</v>
      </c>
      <c r="D13" s="0" t="n">
        <v>3451.739</v>
      </c>
      <c r="E13" s="0" t="n">
        <v>61.1</v>
      </c>
      <c r="F13" s="0" t="n">
        <v>1886.715</v>
      </c>
      <c r="G13" s="0" t="n">
        <v>33.4</v>
      </c>
      <c r="H13" s="0" t="n">
        <v>2088.057</v>
      </c>
      <c r="I13" s="0" t="n">
        <v>1523.293</v>
      </c>
      <c r="J13" s="0" t="n">
        <v>26.9</v>
      </c>
      <c r="K13" s="0" t="n">
        <v>10.43</v>
      </c>
      <c r="L13" s="0" t="n">
        <v>1805.829</v>
      </c>
      <c r="M13" s="0" t="n">
        <v>156.285</v>
      </c>
      <c r="N13" s="0" t="n">
        <v>1649.544</v>
      </c>
      <c r="O13" s="0" t="n">
        <v>6585.393</v>
      </c>
      <c r="P13" s="0" t="n">
        <v>8965.95</v>
      </c>
      <c r="Q13" s="0" t="n">
        <v>2380.557</v>
      </c>
      <c r="R13" s="0" t="n">
        <v>659.365</v>
      </c>
      <c r="S13" s="0" t="n">
        <v>1469.234</v>
      </c>
      <c r="T13" s="0" t="n">
        <v>146.054</v>
      </c>
      <c r="U13" s="0" t="n">
        <v>104.348</v>
      </c>
      <c r="V13" s="0" t="n">
        <v>2.4</v>
      </c>
      <c r="AA13" s="0" t="s">
        <v>18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31.535</v>
      </c>
    </row>
    <row r="3" customFormat="false" ht="15" hidden="false" customHeight="false" outlineLevel="0" collapsed="false">
      <c r="A3" s="0" t="s">
        <v>80</v>
      </c>
      <c r="B3" s="3" t="n">
        <v>1460.54</v>
      </c>
    </row>
    <row r="4" customFormat="false" ht="15" hidden="false" customHeight="false" outlineLevel="0" collapsed="false">
      <c r="A4" s="0" t="s">
        <v>81</v>
      </c>
      <c r="B4" s="3" t="n">
        <v>-809.869</v>
      </c>
    </row>
    <row r="5" customFormat="false" ht="15" hidden="false" customHeight="false" outlineLevel="0" collapsed="false">
      <c r="A5" s="0" t="s">
        <v>82</v>
      </c>
      <c r="B5" s="3" t="n">
        <v>470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5653.443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1.42531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4</v>
      </c>
      <c r="D13" s="3" t="n">
        <v>3</v>
      </c>
      <c r="E13" s="3" t="n">
        <v>2</v>
      </c>
      <c r="F13" s="3" t="n">
        <v>1</v>
      </c>
      <c r="G13" s="3" t="n">
        <v>0</v>
      </c>
      <c r="H13" s="3" t="n">
        <v>0</v>
      </c>
      <c r="I13" s="3" t="n">
        <v>0.5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101</v>
      </c>
      <c r="C14" s="3" t="n">
        <v>38</v>
      </c>
      <c r="D14" s="3" t="n">
        <v>37</v>
      </c>
      <c r="E14" s="3" t="n">
        <v>36</v>
      </c>
      <c r="F14" s="3" t="n">
        <v>35</v>
      </c>
      <c r="G14" s="3" t="n">
        <v>34.5</v>
      </c>
      <c r="H14" s="3" t="n">
        <v>34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102</v>
      </c>
      <c r="C15" s="3" t="n">
        <v>2.3</v>
      </c>
      <c r="D15" s="3" t="n">
        <v>2.3</v>
      </c>
      <c r="E15" s="3" t="n">
        <v>2.3</v>
      </c>
      <c r="F15" s="3" t="n">
        <v>2.3</v>
      </c>
      <c r="G15" s="3" t="n">
        <v>2.3</v>
      </c>
      <c r="H15" s="3" t="n">
        <v>2.3</v>
      </c>
      <c r="I15" s="3" t="n">
        <v>2.3</v>
      </c>
      <c r="J15" s="3" t="n">
        <v>2.3</v>
      </c>
      <c r="K15" s="3" t="n">
        <v>2.3</v>
      </c>
      <c r="L15" s="3" t="n">
        <v>2.3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3.5</v>
      </c>
      <c r="D17" s="3" t="n">
        <v>3.4</v>
      </c>
      <c r="E17" s="3" t="n">
        <v>3.3</v>
      </c>
      <c r="F17" s="3" t="n">
        <v>3.2</v>
      </c>
      <c r="G17" s="3" t="n">
        <v>3.1</v>
      </c>
      <c r="H17" s="3" t="n">
        <v>3</v>
      </c>
      <c r="I17" s="3" t="n">
        <v>3</v>
      </c>
      <c r="J17" s="3" t="n">
        <v>2.9</v>
      </c>
      <c r="K17" s="3" t="n">
        <v>2.9</v>
      </c>
      <c r="L17" s="3" t="n">
        <v>2.9</v>
      </c>
    </row>
    <row r="18" customFormat="false" ht="15" hidden="false" customHeight="false" outlineLevel="0" collapsed="false">
      <c r="A18" s="0" t="s">
        <v>105</v>
      </c>
      <c r="C18" s="3" t="n">
        <v>2.7</v>
      </c>
      <c r="D18" s="3" t="n">
        <v>2.7</v>
      </c>
      <c r="E18" s="3" t="n">
        <v>2.7</v>
      </c>
      <c r="F18" s="3" t="n">
        <v>2.7</v>
      </c>
      <c r="G18" s="3" t="n">
        <v>2.7</v>
      </c>
      <c r="H18" s="3" t="n">
        <v>2.7</v>
      </c>
      <c r="I18" s="3" t="n">
        <v>2.7</v>
      </c>
      <c r="J18" s="3" t="n">
        <v>2.7</v>
      </c>
      <c r="K18" s="3" t="n">
        <v>2.7</v>
      </c>
      <c r="L18" s="3" t="n">
        <v>2.7</v>
      </c>
    </row>
    <row r="19" customFormat="false" ht="15" hidden="false" customHeight="false" outlineLevel="0" collapsed="false">
      <c r="A19" s="0" t="s">
        <v>106</v>
      </c>
      <c r="C19" s="3" t="n">
        <v>21</v>
      </c>
      <c r="D19" s="3" t="n">
        <v>21.5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107</v>
      </c>
      <c r="B20" s="3" t="n">
        <v>8.5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6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39.4</v>
      </c>
      <c r="D28" s="3" t="n">
        <v>40</v>
      </c>
      <c r="E28" s="3" t="n">
        <v>40.5</v>
      </c>
      <c r="F28" s="3" t="n">
        <v>40.8</v>
      </c>
      <c r="G28" s="3" t="n">
        <v>41</v>
      </c>
      <c r="H28" s="3" t="n">
        <v>41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102</v>
      </c>
      <c r="C29" s="3" t="n">
        <v>2.2</v>
      </c>
      <c r="D29" s="3" t="n">
        <v>2.2</v>
      </c>
      <c r="E29" s="3" t="n">
        <v>2.2</v>
      </c>
      <c r="F29" s="3" t="n">
        <v>2.1</v>
      </c>
      <c r="G29" s="3" t="n">
        <v>2.1</v>
      </c>
      <c r="H29" s="3" t="n">
        <v>2.1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3.5</v>
      </c>
      <c r="D31" s="3" t="n">
        <v>3.4</v>
      </c>
      <c r="E31" s="3" t="n">
        <v>3.3</v>
      </c>
      <c r="F31" s="3" t="n">
        <v>3.2</v>
      </c>
      <c r="G31" s="3" t="n">
        <v>3.1</v>
      </c>
      <c r="H31" s="3" t="n">
        <v>3</v>
      </c>
      <c r="I31" s="3" t="n">
        <v>3</v>
      </c>
      <c r="J31" s="3" t="n">
        <v>2.9</v>
      </c>
      <c r="K31" s="3" t="n">
        <v>2.9</v>
      </c>
      <c r="L31" s="3" t="n">
        <v>2.9</v>
      </c>
    </row>
    <row r="32" customFormat="false" ht="15" hidden="false" customHeight="false" outlineLevel="0" collapsed="false">
      <c r="A32" s="0" t="s">
        <v>105</v>
      </c>
      <c r="C32" s="3" t="n">
        <v>2.5</v>
      </c>
      <c r="D32" s="3" t="n">
        <v>2.5</v>
      </c>
      <c r="E32" s="3" t="n">
        <v>2.5</v>
      </c>
      <c r="F32" s="3" t="n">
        <v>2.6</v>
      </c>
      <c r="G32" s="3" t="n">
        <v>2.6</v>
      </c>
      <c r="H32" s="3" t="n">
        <v>2.6</v>
      </c>
      <c r="I32" s="3" t="n">
        <v>2.7</v>
      </c>
      <c r="J32" s="3" t="n">
        <v>2.7</v>
      </c>
      <c r="K32" s="3" t="n">
        <v>2.7</v>
      </c>
      <c r="L32" s="3" t="n">
        <v>2.7</v>
      </c>
    </row>
    <row r="33" customFormat="false" ht="15" hidden="false" customHeight="false" outlineLevel="0" collapsed="false">
      <c r="A33" s="0" t="s">
        <v>106</v>
      </c>
      <c r="C33" s="3" t="n">
        <v>20.5</v>
      </c>
      <c r="D33" s="3" t="n">
        <v>21</v>
      </c>
      <c r="E33" s="3" t="n">
        <v>21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107</v>
      </c>
      <c r="B34" s="3" t="n">
        <v>8.5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20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7</v>
      </c>
      <c r="D41" s="3" t="n">
        <v>9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101</v>
      </c>
      <c r="C42" s="3" t="n">
        <v>39.6</v>
      </c>
      <c r="D42" s="3" t="n">
        <v>40.5</v>
      </c>
      <c r="E42" s="3" t="n">
        <v>41.3</v>
      </c>
      <c r="F42" s="3" t="n">
        <v>42</v>
      </c>
      <c r="G42" s="3" t="n">
        <v>42.5</v>
      </c>
      <c r="H42" s="3" t="n">
        <v>43</v>
      </c>
      <c r="I42" s="3" t="n">
        <v>43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102</v>
      </c>
      <c r="C43" s="3" t="n">
        <v>2.2</v>
      </c>
      <c r="D43" s="3" t="n">
        <v>2.2</v>
      </c>
      <c r="E43" s="3" t="n">
        <v>2.1</v>
      </c>
      <c r="F43" s="3" t="n">
        <v>2.1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3.5</v>
      </c>
      <c r="D45" s="3" t="n">
        <v>3.4</v>
      </c>
      <c r="E45" s="3" t="n">
        <v>3.3</v>
      </c>
      <c r="F45" s="3" t="n">
        <v>3.2</v>
      </c>
      <c r="G45" s="3" t="n">
        <v>3.1</v>
      </c>
      <c r="H45" s="3" t="n">
        <v>3</v>
      </c>
      <c r="I45" s="3" t="n">
        <v>3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105</v>
      </c>
      <c r="C46" s="3" t="n">
        <v>2.5</v>
      </c>
      <c r="D46" s="3" t="n">
        <v>2.5</v>
      </c>
      <c r="E46" s="3" t="n">
        <v>2.5</v>
      </c>
      <c r="F46" s="3" t="n">
        <v>2.6</v>
      </c>
      <c r="G46" s="3" t="n">
        <v>2.6</v>
      </c>
      <c r="H46" s="3" t="n">
        <v>2.6</v>
      </c>
      <c r="I46" s="3" t="n">
        <v>2.7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106</v>
      </c>
      <c r="C47" s="3" t="n">
        <v>20.5</v>
      </c>
      <c r="D47" s="3" t="n">
        <v>21</v>
      </c>
      <c r="E47" s="3" t="n">
        <v>21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107</v>
      </c>
      <c r="B48" s="3" t="n">
        <v>8.5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20</v>
      </c>
    </row>
    <row r="51" customFormat="false" ht="15" hidden="false" customHeight="false" outlineLevel="0" collapsed="false">
      <c r="A51" s="0" t="s">
        <v>110</v>
      </c>
      <c r="B51" s="3" t="n">
        <v>-5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1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5653.443</v>
      </c>
      <c r="C6" s="0" t="n">
        <f aca="false">B6*(1+C5/100)</f>
        <v>5879.58072</v>
      </c>
      <c r="D6" s="0" t="n">
        <f aca="false">C6*(1+D5/100)</f>
        <v>6055.9681416</v>
      </c>
      <c r="E6" s="0" t="n">
        <f aca="false">D6*(1+E5/100)</f>
        <v>6177.087504432</v>
      </c>
      <c r="F6" s="0" t="n">
        <f aca="false">E6*(1+F5/100)</f>
        <v>6238.85837947632</v>
      </c>
      <c r="G6" s="0" t="n">
        <f aca="false">F6*(1+G5/100)</f>
        <v>6238.85837947632</v>
      </c>
      <c r="H6" s="0" t="n">
        <f aca="false">G6*(1+H5/100)</f>
        <v>6238.85837947632</v>
      </c>
      <c r="I6" s="0" t="n">
        <f aca="false">H6*(1+I5/100)</f>
        <v>6270.0526713737</v>
      </c>
      <c r="J6" s="0" t="n">
        <f aca="false">I6*(1+J5/100)</f>
        <v>6332.75319808744</v>
      </c>
      <c r="K6" s="0" t="n">
        <f aca="false">J6*(1+K5/100)</f>
        <v>6396.08073006831</v>
      </c>
      <c r="L6" s="0" t="n">
        <f aca="false">K6*(1+L5/100)</f>
        <v>6460.041537369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38</v>
      </c>
      <c r="D7" s="4" t="n">
        <f aca="false">Assumptions!D14</f>
        <v>37</v>
      </c>
      <c r="E7" s="4" t="n">
        <f aca="false">Assumptions!E14</f>
        <v>36</v>
      </c>
      <c r="F7" s="4" t="n">
        <f aca="false">Assumptions!F14</f>
        <v>35</v>
      </c>
      <c r="G7" s="4" t="n">
        <f aca="false">Assumptions!G14</f>
        <v>34.5</v>
      </c>
      <c r="H7" s="4" t="n">
        <f aca="false">Assumptions!H14</f>
        <v>34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2234.2406736</v>
      </c>
      <c r="D8" s="0" t="n">
        <f aca="false">D6*D7/100</f>
        <v>2240.708212392</v>
      </c>
      <c r="E8" s="0" t="n">
        <f aca="false">E6*E7/100</f>
        <v>2223.75150159552</v>
      </c>
      <c r="F8" s="0" t="n">
        <f aca="false">F6*F7/100</f>
        <v>2183.60043281671</v>
      </c>
      <c r="G8" s="0" t="n">
        <f aca="false">G6*G7/100</f>
        <v>2152.40614091933</v>
      </c>
      <c r="H8" s="0" t="n">
        <f aca="false">H6*H7/100</f>
        <v>2121.21184902195</v>
      </c>
      <c r="I8" s="0" t="n">
        <f aca="false">I6*I7/100</f>
        <v>2131.81790826706</v>
      </c>
      <c r="J8" s="0" t="n">
        <f aca="false">J6*J7/100</f>
        <v>2153.13608734973</v>
      </c>
      <c r="K8" s="0" t="n">
        <f aca="false">K6*K7/100</f>
        <v>2174.66744822323</v>
      </c>
      <c r="L8" s="0" t="n">
        <f aca="false">L6*L7/100</f>
        <v>2196.41412270546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2.3</v>
      </c>
      <c r="D9" s="4" t="n">
        <f aca="false">Assumptions!D15</f>
        <v>2.3</v>
      </c>
      <c r="E9" s="4" t="n">
        <f aca="false">Assumptions!E15</f>
        <v>2.3</v>
      </c>
      <c r="F9" s="4" t="n">
        <f aca="false">Assumptions!F15</f>
        <v>2.3</v>
      </c>
      <c r="G9" s="4" t="n">
        <f aca="false">Assumptions!G15</f>
        <v>2.3</v>
      </c>
      <c r="H9" s="4" t="n">
        <f aca="false">Assumptions!H15</f>
        <v>2.3</v>
      </c>
      <c r="I9" s="4" t="n">
        <f aca="false">Assumptions!I15</f>
        <v>2.3</v>
      </c>
      <c r="J9" s="4" t="n">
        <f aca="false">Assumptions!J15</f>
        <v>2.3</v>
      </c>
      <c r="K9" s="4" t="n">
        <f aca="false">Assumptions!K15</f>
        <v>2.3</v>
      </c>
      <c r="L9" s="4" t="n">
        <f aca="false">Assumptions!L15</f>
        <v>2.3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-135.23035656</v>
      </c>
      <c r="D10" s="0" t="n">
        <f aca="false">-D6*D9/100</f>
        <v>-139.2872672568</v>
      </c>
      <c r="E10" s="0" t="n">
        <f aca="false">-E6*E9/100</f>
        <v>-142.073012601936</v>
      </c>
      <c r="F10" s="0" t="n">
        <f aca="false">-F6*F9/100</f>
        <v>-143.493742727955</v>
      </c>
      <c r="G10" s="0" t="n">
        <f aca="false">-G6*G9/100</f>
        <v>-143.493742727955</v>
      </c>
      <c r="H10" s="0" t="n">
        <f aca="false">-H6*H9/100</f>
        <v>-143.493742727955</v>
      </c>
      <c r="I10" s="0" t="n">
        <f aca="false">-I6*I9/100</f>
        <v>-144.211211441595</v>
      </c>
      <c r="J10" s="0" t="n">
        <f aca="false">-J6*J9/100</f>
        <v>-145.653323556011</v>
      </c>
      <c r="K10" s="0" t="n">
        <f aca="false">-K6*K9/100</f>
        <v>-147.109856791571</v>
      </c>
      <c r="L10" s="0" t="n">
        <f aca="false">-L6*L9/100</f>
        <v>-148.580955359487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2099.01031704</v>
      </c>
      <c r="D11" s="0" t="n">
        <f aca="false">D8+D10+D24</f>
        <v>2101.4209451352</v>
      </c>
      <c r="E11" s="0" t="n">
        <f aca="false">E8+E10+E24</f>
        <v>2081.67848899358</v>
      </c>
      <c r="F11" s="0" t="n">
        <f aca="false">F8+F10+F24</f>
        <v>2040.10669008876</v>
      </c>
      <c r="G11" s="0" t="n">
        <f aca="false">G8+G10+G24</f>
        <v>2008.91239819138</v>
      </c>
      <c r="H11" s="0" t="n">
        <f aca="false">H8+H10+H24</f>
        <v>1977.71810629399</v>
      </c>
      <c r="I11" s="0" t="n">
        <f aca="false">I8+I10+I24</f>
        <v>1987.60669682546</v>
      </c>
      <c r="J11" s="0" t="n">
        <f aca="false">J8+J10+J24</f>
        <v>2007.48276379372</v>
      </c>
      <c r="K11" s="0" t="n">
        <f aca="false">K8+K10+K24</f>
        <v>2027.55759143166</v>
      </c>
      <c r="L11" s="0" t="n">
        <f aca="false">L8+L10+L24</f>
        <v>2047.83316734597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-205.7853252</v>
      </c>
      <c r="D12" s="4" t="n">
        <f aca="false">-D6*Assumptions!D17/100</f>
        <v>-205.9029168144</v>
      </c>
      <c r="E12" s="4" t="n">
        <f aca="false">-E6*Assumptions!E17/100</f>
        <v>-203.843887646256</v>
      </c>
      <c r="F12" s="4" t="n">
        <f aca="false">-F6*Assumptions!F17/100</f>
        <v>-199.643468143242</v>
      </c>
      <c r="G12" s="4" t="n">
        <f aca="false">-G6*Assumptions!G17/100</f>
        <v>-193.404609763766</v>
      </c>
      <c r="H12" s="4" t="n">
        <f aca="false">-H6*Assumptions!H17/100</f>
        <v>-187.16575138429</v>
      </c>
      <c r="I12" s="4" t="n">
        <f aca="false">-I6*Assumptions!I17/100</f>
        <v>-188.101580141211</v>
      </c>
      <c r="J12" s="4" t="n">
        <f aca="false">-J6*Assumptions!J17/100</f>
        <v>-183.649842744536</v>
      </c>
      <c r="K12" s="4" t="n">
        <f aca="false">-K6*Assumptions!K17/100</f>
        <v>-185.486341171981</v>
      </c>
      <c r="L12" s="4" t="n">
        <f aca="false">-L6*Assumptions!L17/100</f>
        <v>-187.341204583701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1893.22499184</v>
      </c>
      <c r="D13" s="0" t="n">
        <f aca="false">D11+D12</f>
        <v>1895.5180283208</v>
      </c>
      <c r="E13" s="0" t="n">
        <f aca="false">E11+E12</f>
        <v>1877.83460134733</v>
      </c>
      <c r="F13" s="0" t="n">
        <f aca="false">F11+F12</f>
        <v>1840.46322194551</v>
      </c>
      <c r="G13" s="0" t="n">
        <f aca="false">G11+G12</f>
        <v>1815.50778842761</v>
      </c>
      <c r="H13" s="0" t="n">
        <f aca="false">H11+H12</f>
        <v>1790.5523549097</v>
      </c>
      <c r="I13" s="0" t="n">
        <f aca="false">I11+I12</f>
        <v>1799.50511668425</v>
      </c>
      <c r="J13" s="0" t="n">
        <f aca="false">J11+J12</f>
        <v>1823.83292104918</v>
      </c>
      <c r="K13" s="0" t="n">
        <f aca="false">K11+K12</f>
        <v>1842.07125025967</v>
      </c>
      <c r="L13" s="0" t="n">
        <f aca="false">L11+L12</f>
        <v>1860.49196276227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21</v>
      </c>
      <c r="D14" s="4" t="n">
        <f aca="false">Assumptions!D19</f>
        <v>21.5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1495.6477435536</v>
      </c>
      <c r="D15" s="0" t="n">
        <f aca="false">D13-MAX(0,D13)*D14/100</f>
        <v>1487.98165223183</v>
      </c>
      <c r="E15" s="0" t="n">
        <f aca="false">E13-MAX(0,E13)*E14/100</f>
        <v>1464.71098905092</v>
      </c>
      <c r="F15" s="0" t="n">
        <f aca="false">F13-MAX(0,F13)*F14/100</f>
        <v>1435.5613131175</v>
      </c>
      <c r="G15" s="0" t="n">
        <f aca="false">G13-MAX(0,G13)*G14/100</f>
        <v>1416.09607497354</v>
      </c>
      <c r="H15" s="0" t="n">
        <f aca="false">H13-MAX(0,H13)*H14/100</f>
        <v>1396.63083682957</v>
      </c>
      <c r="I15" s="0" t="n">
        <f aca="false">I13-MAX(0,I13)*I14/100</f>
        <v>1403.61399101372</v>
      </c>
      <c r="J15" s="0" t="n">
        <f aca="false">J13-MAX(0,J13)*J14/100</f>
        <v>1422.58967841836</v>
      </c>
      <c r="K15" s="0" t="n">
        <f aca="false">K13-MAX(0,K13)*K14/100</f>
        <v>1436.81557520255</v>
      </c>
      <c r="L15" s="0" t="n">
        <f aca="false">L13-MAX(0,L13)*L14/100</f>
        <v>1451.18373095457</v>
      </c>
    </row>
    <row r="16" customFormat="false" ht="15" hidden="false" customHeight="false" outlineLevel="0" collapsed="false">
      <c r="A16" s="0" t="s">
        <v>122</v>
      </c>
      <c r="C16" s="0" t="n">
        <f aca="false">-C12</f>
        <v>205.7853252</v>
      </c>
      <c r="D16" s="0" t="n">
        <f aca="false">-D12</f>
        <v>205.9029168144</v>
      </c>
      <c r="E16" s="0" t="n">
        <f aca="false">-E12</f>
        <v>203.843887646256</v>
      </c>
      <c r="F16" s="0" t="n">
        <f aca="false">-F12</f>
        <v>199.643468143242</v>
      </c>
      <c r="G16" s="0" t="n">
        <f aca="false">-G12</f>
        <v>193.404609763766</v>
      </c>
      <c r="H16" s="0" t="n">
        <f aca="false">-H12</f>
        <v>187.16575138429</v>
      </c>
      <c r="I16" s="0" t="n">
        <f aca="false">-I12</f>
        <v>188.101580141211</v>
      </c>
      <c r="J16" s="0" t="n">
        <f aca="false">-J12</f>
        <v>183.649842744536</v>
      </c>
      <c r="K16" s="0" t="n">
        <f aca="false">-K12</f>
        <v>185.486341171981</v>
      </c>
      <c r="L16" s="0" t="n">
        <f aca="false">-L12</f>
        <v>187.341204583701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-158.74867944</v>
      </c>
      <c r="D17" s="4" t="n">
        <f aca="false">-D6*Assumptions!D18/100</f>
        <v>-163.5111398232</v>
      </c>
      <c r="E17" s="4" t="n">
        <f aca="false">-E6*Assumptions!E18/100</f>
        <v>-166.781362619664</v>
      </c>
      <c r="F17" s="4" t="n">
        <f aca="false">-F6*Assumptions!F18/100</f>
        <v>-168.449176245861</v>
      </c>
      <c r="G17" s="4" t="n">
        <f aca="false">-G6*Assumptions!G18/100</f>
        <v>-168.449176245861</v>
      </c>
      <c r="H17" s="4" t="n">
        <f aca="false">-H6*Assumptions!H18/100</f>
        <v>-168.449176245861</v>
      </c>
      <c r="I17" s="4" t="n">
        <f aca="false">-I6*Assumptions!I18/100</f>
        <v>-169.29142212709</v>
      </c>
      <c r="J17" s="4" t="n">
        <f aca="false">-J6*Assumptions!J18/100</f>
        <v>-170.984336348361</v>
      </c>
      <c r="K17" s="4" t="n">
        <f aca="false">-K6*Assumptions!K18/100</f>
        <v>-172.694179711844</v>
      </c>
      <c r="L17" s="4" t="n">
        <f aca="false">-L6*Assumptions!L18/100</f>
        <v>-174.421121508963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-11.306886</v>
      </c>
      <c r="D18" s="4" t="n">
        <f aca="false">(D6-C6)*Assumptions!$B$23/100</f>
        <v>-8.81937108000002</v>
      </c>
      <c r="E18" s="4" t="n">
        <f aca="false">(E6-D6)*Assumptions!$B$23/100</f>
        <v>-6.05596814159999</v>
      </c>
      <c r="F18" s="4" t="n">
        <f aca="false">(F6-E6)*Assumptions!$B$23/100</f>
        <v>-3.08854375221599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-1.55971459486905</v>
      </c>
      <c r="J18" s="4" t="n">
        <f aca="false">(J6-I6)*Assumptions!$B$23/100</f>
        <v>-3.13502633568687</v>
      </c>
      <c r="K18" s="4" t="n">
        <f aca="false">(K6-J6)*Assumptions!$B$23/100</f>
        <v>-3.16637659904372</v>
      </c>
      <c r="L18" s="4" t="n">
        <f aca="false">(L6-K6)*Assumptions!$B$23/100</f>
        <v>-3.19804036503415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1531.3775033136</v>
      </c>
      <c r="D19" s="0" t="n">
        <f aca="false">D15+D16+D17+D18</f>
        <v>1521.55405814303</v>
      </c>
      <c r="E19" s="0" t="n">
        <f aca="false">E15+E16+E17+E18</f>
        <v>1495.71754593591</v>
      </c>
      <c r="F19" s="0" t="n">
        <f aca="false">F15+F16+F17+F18</f>
        <v>1463.66706126267</v>
      </c>
      <c r="G19" s="0" t="n">
        <f aca="false">G15+G16+G17+G18</f>
        <v>1441.05150849144</v>
      </c>
      <c r="H19" s="0" t="n">
        <f aca="false">H15+H16+H17+H18</f>
        <v>1415.347411968</v>
      </c>
      <c r="I19" s="0" t="n">
        <f aca="false">I15+I16+I17+I18</f>
        <v>1420.86443443297</v>
      </c>
      <c r="J19" s="0" t="n">
        <f aca="false">J15+J16+J17+J18</f>
        <v>1432.12015847885</v>
      </c>
      <c r="K19" s="0" t="n">
        <f aca="false">K15+K16+K17+K18</f>
        <v>1446.44136006364</v>
      </c>
      <c r="L19" s="0" t="n">
        <f aca="false">L15+L16+L17+L18</f>
        <v>1460.90577366428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1411.40783715539</v>
      </c>
      <c r="D21" s="0" t="n">
        <f aca="false">D19*D20</f>
        <v>1292.49213883754</v>
      </c>
      <c r="E21" s="0" t="n">
        <f aca="false">E19*E20</f>
        <v>1171.00937967816</v>
      </c>
      <c r="F21" s="0" t="n">
        <f aca="false">F19*F20</f>
        <v>1056.14451213719</v>
      </c>
      <c r="G21" s="0" t="n">
        <f aca="false">G19*G20</f>
        <v>958.36471044513</v>
      </c>
      <c r="H21" s="0" t="n">
        <f aca="false">H19*H20</f>
        <v>867.530247642811</v>
      </c>
      <c r="I21" s="0" t="n">
        <f aca="false">I19*I20</f>
        <v>802.683759886987</v>
      </c>
      <c r="J21" s="0" t="n">
        <f aca="false">J19*J20</f>
        <v>745.661211979292</v>
      </c>
      <c r="K21" s="0" t="n">
        <f aca="false">K19*K20</f>
        <v>694.117810229571</v>
      </c>
      <c r="L21" s="0" t="n">
        <f aca="false">L19*L20</f>
        <v>646.137316434901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9645.54892442697</v>
      </c>
    </row>
    <row r="31" customFormat="false" ht="15" hidden="false" customHeight="false" outlineLevel="0" collapsed="false">
      <c r="A31" s="0" t="s">
        <v>131</v>
      </c>
      <c r="B31" s="0" t="n">
        <f aca="false">L19</f>
        <v>1460.90577366428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21183.133718132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21913.5866049641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21183.133718132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9368.99108830606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19014.540012733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20294.409012733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19.8048832006919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-0.371971358785734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934.725896504177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952.870247862362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21.6469482317948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10983.8471131055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11.125331155678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6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5653.443</v>
      </c>
      <c r="C6" s="0" t="n">
        <f aca="false">B6*(1+C5/100)</f>
        <v>5992.64958</v>
      </c>
      <c r="D6" s="0" t="n">
        <f aca="false">C6*(1+D5/100)</f>
        <v>6412.1350506</v>
      </c>
      <c r="E6" s="0" t="n">
        <f aca="false">D6*(1+E5/100)</f>
        <v>6828.923828889</v>
      </c>
      <c r="F6" s="0" t="n">
        <f aca="false">E6*(1+F5/100)</f>
        <v>7238.65925862234</v>
      </c>
      <c r="G6" s="0" t="n">
        <f aca="false">F6*(1+G5/100)</f>
        <v>7636.78551784657</v>
      </c>
      <c r="H6" s="0" t="n">
        <f aca="false">G6*(1+H5/100)</f>
        <v>8018.6247937389</v>
      </c>
      <c r="I6" s="0" t="n">
        <f aca="false">H6*(1+I5/100)</f>
        <v>8379.46290945715</v>
      </c>
      <c r="J6" s="0" t="n">
        <f aca="false">I6*(1+J5/100)</f>
        <v>8714.64142583543</v>
      </c>
      <c r="K6" s="0" t="n">
        <f aca="false">J6*(1+K5/100)</f>
        <v>9019.65387573967</v>
      </c>
      <c r="L6" s="0" t="n">
        <f aca="false">K6*(1+L5/100)</f>
        <v>9290.24349201187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39.4</v>
      </c>
      <c r="D7" s="4" t="n">
        <f aca="false">Assumptions!D28</f>
        <v>40</v>
      </c>
      <c r="E7" s="4" t="n">
        <f aca="false">Assumptions!E28</f>
        <v>40.5</v>
      </c>
      <c r="F7" s="4" t="n">
        <f aca="false">Assumptions!F28</f>
        <v>40.8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2361.10393452</v>
      </c>
      <c r="D8" s="0" t="n">
        <f aca="false">D6*D7/100</f>
        <v>2564.85402024</v>
      </c>
      <c r="E8" s="0" t="n">
        <f aca="false">E6*E7/100</f>
        <v>2765.71415070005</v>
      </c>
      <c r="F8" s="0" t="n">
        <f aca="false">F6*F7/100</f>
        <v>2953.37297751792</v>
      </c>
      <c r="G8" s="0" t="n">
        <f aca="false">G6*G7/100</f>
        <v>3131.08206231709</v>
      </c>
      <c r="H8" s="0" t="n">
        <f aca="false">H6*H7/100</f>
        <v>3287.63616543295</v>
      </c>
      <c r="I8" s="0" t="n">
        <f aca="false">I6*I7/100</f>
        <v>3435.57979287743</v>
      </c>
      <c r="J8" s="0" t="n">
        <f aca="false">J6*J7/100</f>
        <v>3573.00298459253</v>
      </c>
      <c r="K8" s="0" t="n">
        <f aca="false">K6*K7/100</f>
        <v>3698.05808905327</v>
      </c>
      <c r="L8" s="0" t="n">
        <f aca="false">L6*L7/100</f>
        <v>3808.99983172486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2.2</v>
      </c>
      <c r="D9" s="4" t="n">
        <f aca="false">Assumptions!D29</f>
        <v>2.2</v>
      </c>
      <c r="E9" s="4" t="n">
        <f aca="false">Assumptions!E29</f>
        <v>2.2</v>
      </c>
      <c r="F9" s="4" t="n">
        <f aca="false">Assumptions!F29</f>
        <v>2.1</v>
      </c>
      <c r="G9" s="4" t="n">
        <f aca="false">Assumptions!G29</f>
        <v>2.1</v>
      </c>
      <c r="H9" s="4" t="n">
        <f aca="false">Assumptions!H29</f>
        <v>2.1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-131.83829076</v>
      </c>
      <c r="D10" s="0" t="n">
        <f aca="false">-D6*D9/100</f>
        <v>-141.0669711132</v>
      </c>
      <c r="E10" s="0" t="n">
        <f aca="false">-E6*E9/100</f>
        <v>-150.236324235558</v>
      </c>
      <c r="F10" s="0" t="n">
        <f aca="false">-F6*F9/100</f>
        <v>-152.011844431069</v>
      </c>
      <c r="G10" s="0" t="n">
        <f aca="false">-G6*G9/100</f>
        <v>-160.372495874778</v>
      </c>
      <c r="H10" s="0" t="n">
        <f aca="false">-H6*H9/100</f>
        <v>-168.391120668517</v>
      </c>
      <c r="I10" s="0" t="n">
        <f aca="false">-I6*I9/100</f>
        <v>-167.589258189143</v>
      </c>
      <c r="J10" s="0" t="n">
        <f aca="false">-J6*J9/100</f>
        <v>-174.292828516709</v>
      </c>
      <c r="K10" s="0" t="n">
        <f aca="false">-K6*K9/100</f>
        <v>-180.393077514793</v>
      </c>
      <c r="L10" s="0" t="n">
        <f aca="false">-L6*L9/100</f>
        <v>-185.804869840237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2229.26564376</v>
      </c>
      <c r="D11" s="0" t="n">
        <f aca="false">D8+D10+D24</f>
        <v>2423.7870491268</v>
      </c>
      <c r="E11" s="0" t="n">
        <f aca="false">E8+E10+E24</f>
        <v>2615.47782646449</v>
      </c>
      <c r="F11" s="0" t="n">
        <f aca="false">F8+F10+F24</f>
        <v>2801.36113308685</v>
      </c>
      <c r="G11" s="0" t="n">
        <f aca="false">G8+G10+G24</f>
        <v>2970.70956644232</v>
      </c>
      <c r="H11" s="0" t="n">
        <f aca="false">H8+H10+H24</f>
        <v>3119.24504476443</v>
      </c>
      <c r="I11" s="0" t="n">
        <f aca="false">I8+I10+I24</f>
        <v>3267.99053468829</v>
      </c>
      <c r="J11" s="0" t="n">
        <f aca="false">J8+J10+J24</f>
        <v>3398.71015607582</v>
      </c>
      <c r="K11" s="0" t="n">
        <f aca="false">K8+K10+K24</f>
        <v>3517.66501153847</v>
      </c>
      <c r="L11" s="0" t="n">
        <f aca="false">L8+L10+L24</f>
        <v>3623.19496188463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-209.7427353</v>
      </c>
      <c r="D12" s="4" t="n">
        <f aca="false">-D6*Assumptions!D31/100</f>
        <v>-218.0125917204</v>
      </c>
      <c r="E12" s="4" t="n">
        <f aca="false">-E6*Assumptions!E31/100</f>
        <v>-225.354486353337</v>
      </c>
      <c r="F12" s="4" t="n">
        <f aca="false">-F6*Assumptions!F31/100</f>
        <v>-231.637096275915</v>
      </c>
      <c r="G12" s="4" t="n">
        <f aca="false">-G6*Assumptions!G31/100</f>
        <v>-236.740351053244</v>
      </c>
      <c r="H12" s="4" t="n">
        <f aca="false">-H6*Assumptions!H31/100</f>
        <v>-240.558743812167</v>
      </c>
      <c r="I12" s="4" t="n">
        <f aca="false">-I6*Assumptions!I31/100</f>
        <v>-251.383887283714</v>
      </c>
      <c r="J12" s="4" t="n">
        <f aca="false">-J6*Assumptions!J31/100</f>
        <v>-252.724601349228</v>
      </c>
      <c r="K12" s="4" t="n">
        <f aca="false">-K6*Assumptions!K31/100</f>
        <v>-261.569962396451</v>
      </c>
      <c r="L12" s="4" t="n">
        <f aca="false">-L6*Assumptions!L31/100</f>
        <v>-269.417061268344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2019.52290846</v>
      </c>
      <c r="D13" s="0" t="n">
        <f aca="false">D11+D12</f>
        <v>2205.7744574064</v>
      </c>
      <c r="E13" s="0" t="n">
        <f aca="false">E11+E12</f>
        <v>2390.12334011115</v>
      </c>
      <c r="F13" s="0" t="n">
        <f aca="false">F11+F12</f>
        <v>2569.72403681093</v>
      </c>
      <c r="G13" s="0" t="n">
        <f aca="false">G11+G12</f>
        <v>2733.96921538907</v>
      </c>
      <c r="H13" s="0" t="n">
        <f aca="false">H11+H12</f>
        <v>2878.68630095226</v>
      </c>
      <c r="I13" s="0" t="n">
        <f aca="false">I11+I12</f>
        <v>3016.60664740457</v>
      </c>
      <c r="J13" s="0" t="n">
        <f aca="false">J11+J12</f>
        <v>3145.98555472659</v>
      </c>
      <c r="K13" s="0" t="n">
        <f aca="false">K11+K12</f>
        <v>3256.09504914202</v>
      </c>
      <c r="L13" s="0" t="n">
        <f aca="false">L11+L12</f>
        <v>3353.77790061628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20.5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1605.5207122257</v>
      </c>
      <c r="D15" s="0" t="n">
        <f aca="false">D13-MAX(0,D13)*D14/100</f>
        <v>1742.56182135106</v>
      </c>
      <c r="E15" s="0" t="n">
        <f aca="false">E13-MAX(0,E13)*E14/100</f>
        <v>1888.19743868781</v>
      </c>
      <c r="F15" s="0" t="n">
        <f aca="false">F13-MAX(0,F13)*F14/100</f>
        <v>2017.23336889658</v>
      </c>
      <c r="G15" s="0" t="n">
        <f aca="false">G13-MAX(0,G13)*G14/100</f>
        <v>2146.16583408042</v>
      </c>
      <c r="H15" s="0" t="n">
        <f aca="false">H13-MAX(0,H13)*H14/100</f>
        <v>2259.76874624753</v>
      </c>
      <c r="I15" s="0" t="n">
        <f aca="false">I13-MAX(0,I13)*I14/100</f>
        <v>2368.03621821259</v>
      </c>
      <c r="J15" s="0" t="n">
        <f aca="false">J13-MAX(0,J13)*J14/100</f>
        <v>2469.59866046038</v>
      </c>
      <c r="K15" s="0" t="n">
        <f aca="false">K13-MAX(0,K13)*K14/100</f>
        <v>2556.03461357649</v>
      </c>
      <c r="L15" s="0" t="n">
        <f aca="false">L13-MAX(0,L13)*L14/100</f>
        <v>2632.71565198378</v>
      </c>
    </row>
    <row r="16" customFormat="false" ht="15" hidden="false" customHeight="false" outlineLevel="0" collapsed="false">
      <c r="A16" s="0" t="s">
        <v>122</v>
      </c>
      <c r="C16" s="0" t="n">
        <f aca="false">-C12</f>
        <v>209.7427353</v>
      </c>
      <c r="D16" s="0" t="n">
        <f aca="false">-D12</f>
        <v>218.0125917204</v>
      </c>
      <c r="E16" s="0" t="n">
        <f aca="false">-E12</f>
        <v>225.354486353337</v>
      </c>
      <c r="F16" s="0" t="n">
        <f aca="false">-F12</f>
        <v>231.637096275915</v>
      </c>
      <c r="G16" s="0" t="n">
        <f aca="false">-G12</f>
        <v>236.740351053244</v>
      </c>
      <c r="H16" s="0" t="n">
        <f aca="false">-H12</f>
        <v>240.558743812167</v>
      </c>
      <c r="I16" s="0" t="n">
        <f aca="false">-I12</f>
        <v>251.383887283714</v>
      </c>
      <c r="J16" s="0" t="n">
        <f aca="false">-J12</f>
        <v>252.724601349228</v>
      </c>
      <c r="K16" s="0" t="n">
        <f aca="false">-K12</f>
        <v>261.569962396451</v>
      </c>
      <c r="L16" s="0" t="n">
        <f aca="false">-L12</f>
        <v>269.417061268344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-149.8162395</v>
      </c>
      <c r="D17" s="4" t="n">
        <f aca="false">-D6*Assumptions!D32/100</f>
        <v>-160.303376265</v>
      </c>
      <c r="E17" s="4" t="n">
        <f aca="false">-E6*Assumptions!E32/100</f>
        <v>-170.723095722225</v>
      </c>
      <c r="F17" s="4" t="n">
        <f aca="false">-F6*Assumptions!F32/100</f>
        <v>-188.205140724181</v>
      </c>
      <c r="G17" s="4" t="n">
        <f aca="false">-G6*Assumptions!G32/100</f>
        <v>-198.556423464011</v>
      </c>
      <c r="H17" s="4" t="n">
        <f aca="false">-H6*Assumptions!H32/100</f>
        <v>-208.484244637211</v>
      </c>
      <c r="I17" s="4" t="n">
        <f aca="false">-I6*Assumptions!I32/100</f>
        <v>-226.245498555343</v>
      </c>
      <c r="J17" s="4" t="n">
        <f aca="false">-J6*Assumptions!J32/100</f>
        <v>-235.295318497557</v>
      </c>
      <c r="K17" s="4" t="n">
        <f aca="false">-K6*Assumptions!K32/100</f>
        <v>-243.530654644971</v>
      </c>
      <c r="L17" s="4" t="n">
        <f aca="false">-L6*Assumptions!L32/100</f>
        <v>-250.83657428432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-16.960329</v>
      </c>
      <c r="D18" s="4" t="n">
        <f aca="false">(D6-C6)*Assumptions!$B$37/100</f>
        <v>-20.97427353</v>
      </c>
      <c r="E18" s="4" t="n">
        <f aca="false">(E6-D6)*Assumptions!$B$37/100</f>
        <v>-20.83943891445</v>
      </c>
      <c r="F18" s="4" t="n">
        <f aca="false">(F6-E6)*Assumptions!$B$37/100</f>
        <v>-20.486771486667</v>
      </c>
      <c r="G18" s="4" t="n">
        <f aca="false">(G6-F6)*Assumptions!$B$37/100</f>
        <v>-19.9063129612114</v>
      </c>
      <c r="H18" s="4" t="n">
        <f aca="false">(H6-G6)*Assumptions!$B$37/100</f>
        <v>-19.0919637946165</v>
      </c>
      <c r="I18" s="4" t="n">
        <f aca="false">(I6-H6)*Assumptions!$B$37/100</f>
        <v>-18.0419057859125</v>
      </c>
      <c r="J18" s="4" t="n">
        <f aca="false">(J6-I6)*Assumptions!$B$37/100</f>
        <v>-16.7589258189143</v>
      </c>
      <c r="K18" s="4" t="n">
        <f aca="false">(K6-J6)*Assumptions!$B$37/100</f>
        <v>-15.250622495212</v>
      </c>
      <c r="L18" s="4" t="n">
        <f aca="false">(L6-K6)*Assumptions!$B$37/100</f>
        <v>-13.5294808136096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1648.4868790257</v>
      </c>
      <c r="D19" s="0" t="n">
        <f aca="false">D15+D16+D17+D18</f>
        <v>1779.29676327646</v>
      </c>
      <c r="E19" s="0" t="n">
        <f aca="false">E15+E16+E17+E18</f>
        <v>1921.98939040447</v>
      </c>
      <c r="F19" s="0" t="n">
        <f aca="false">F15+F16+F17+F18</f>
        <v>2040.17855296165</v>
      </c>
      <c r="G19" s="0" t="n">
        <f aca="false">G15+G16+G17+G18</f>
        <v>2164.44344870844</v>
      </c>
      <c r="H19" s="0" t="n">
        <f aca="false">H15+H16+H17+H18</f>
        <v>2272.75128162787</v>
      </c>
      <c r="I19" s="0" t="n">
        <f aca="false">I15+I16+I17+I18</f>
        <v>2375.13270115505</v>
      </c>
      <c r="J19" s="0" t="n">
        <f aca="false">J15+J16+J17+J18</f>
        <v>2470.26901749313</v>
      </c>
      <c r="K19" s="0" t="n">
        <f aca="false">K15+K16+K17+K18</f>
        <v>2558.82329883276</v>
      </c>
      <c r="L19" s="0" t="n">
        <f aca="false">L15+L16+L17+L18</f>
        <v>2637.7666581542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1519.34274564581</v>
      </c>
      <c r="D21" s="0" t="n">
        <f aca="false">D19*D20</f>
        <v>1511.43304234658</v>
      </c>
      <c r="E21" s="0" t="n">
        <f aca="false">E19*E20</f>
        <v>1504.7410588456</v>
      </c>
      <c r="F21" s="0" t="n">
        <f aca="false">F19*F20</f>
        <v>1472.14037913213</v>
      </c>
      <c r="G21" s="0" t="n">
        <f aca="false">G19*G20</f>
        <v>1439.45320953019</v>
      </c>
      <c r="H21" s="0" t="n">
        <f aca="false">H19*H20</f>
        <v>1393.07174020234</v>
      </c>
      <c r="I21" s="0" t="n">
        <f aca="false">I19*I20</f>
        <v>1341.77504946452</v>
      </c>
      <c r="J21" s="0" t="n">
        <f aca="false">J19*J20</f>
        <v>1286.19360505009</v>
      </c>
      <c r="K21" s="0" t="n">
        <f aca="false">K19*K20</f>
        <v>1227.9272938324</v>
      </c>
      <c r="L21" s="0" t="n">
        <f aca="false">L19*L20</f>
        <v>1166.64572117221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13862.7238452219</v>
      </c>
    </row>
    <row r="31" customFormat="false" ht="15" hidden="false" customHeight="false" outlineLevel="0" collapsed="false">
      <c r="A31" s="0" t="s">
        <v>131</v>
      </c>
      <c r="B31" s="0" t="n">
        <f aca="false">L19</f>
        <v>2637.7666581542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45061.8470768009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52755.3331630839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45061.8470768009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19930.197736692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33792.9215819139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35072.7905819139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34.2267922441752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0.0853588788385982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1032.68890195126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1403.88755954158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36.6045955199022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21629.6865968644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16.5645645893116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7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5653.443</v>
      </c>
      <c r="C6" s="0" t="n">
        <f aca="false">B6*(1+C5/100)</f>
        <v>6049.18401</v>
      </c>
      <c r="D6" s="0" t="n">
        <f aca="false">C6*(1+D5/100)</f>
        <v>6593.6105709</v>
      </c>
      <c r="E6" s="0" t="n">
        <f aca="false">D6*(1+E5/100)</f>
        <v>7187.035522281</v>
      </c>
      <c r="F6" s="0" t="n">
        <f aca="false">E6*(1+F5/100)</f>
        <v>7797.93354167489</v>
      </c>
      <c r="G6" s="0" t="n">
        <f aca="false">F6*(1+G5/100)</f>
        <v>8421.76822500888</v>
      </c>
      <c r="H6" s="0" t="n">
        <f aca="false">G6*(1+H5/100)</f>
        <v>9011.2920007595</v>
      </c>
      <c r="I6" s="0" t="n">
        <f aca="false">H6*(1+I5/100)</f>
        <v>9551.96952080507</v>
      </c>
      <c r="J6" s="0" t="n">
        <f aca="false">I6*(1+J5/100)</f>
        <v>10029.5679968453</v>
      </c>
      <c r="K6" s="0" t="n">
        <f aca="false">J6*(1+K5/100)</f>
        <v>10480.8985567034</v>
      </c>
      <c r="L6" s="0" t="n">
        <f aca="false">K6*(1+L5/100)</f>
        <v>10900.1344989715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39.6</v>
      </c>
      <c r="D7" s="4" t="n">
        <f aca="false">Assumptions!D42</f>
        <v>40.5</v>
      </c>
      <c r="E7" s="4" t="n">
        <f aca="false">Assumptions!E42</f>
        <v>41.3</v>
      </c>
      <c r="F7" s="4" t="n">
        <f aca="false">Assumptions!F42</f>
        <v>42</v>
      </c>
      <c r="G7" s="4" t="n">
        <f aca="false">Assumptions!G42</f>
        <v>42.5</v>
      </c>
      <c r="H7" s="4" t="n">
        <f aca="false">Assumptions!H42</f>
        <v>43</v>
      </c>
      <c r="I7" s="4" t="n">
        <f aca="false">Assumptions!I42</f>
        <v>43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2395.47686796</v>
      </c>
      <c r="D8" s="0" t="n">
        <f aca="false">D6*D7/100</f>
        <v>2670.4122812145</v>
      </c>
      <c r="E8" s="0" t="n">
        <f aca="false">E6*E7/100</f>
        <v>2968.24567070205</v>
      </c>
      <c r="F8" s="0" t="n">
        <f aca="false">F6*F7/100</f>
        <v>3275.13208750345</v>
      </c>
      <c r="G8" s="0" t="n">
        <f aca="false">G6*G7/100</f>
        <v>3579.25149562877</v>
      </c>
      <c r="H8" s="0" t="n">
        <f aca="false">H6*H7/100</f>
        <v>3874.85556032659</v>
      </c>
      <c r="I8" s="0" t="n">
        <f aca="false">I6*I7/100</f>
        <v>4107.34689394618</v>
      </c>
      <c r="J8" s="0" t="n">
        <f aca="false">J6*J7/100</f>
        <v>4312.71423864349</v>
      </c>
      <c r="K8" s="0" t="n">
        <f aca="false">K6*K7/100</f>
        <v>4506.78637938245</v>
      </c>
      <c r="L8" s="0" t="n">
        <f aca="false">L6*L7/100</f>
        <v>4687.05783455774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2.2</v>
      </c>
      <c r="D9" s="4" t="n">
        <f aca="false">Assumptions!D43</f>
        <v>2.2</v>
      </c>
      <c r="E9" s="4" t="n">
        <f aca="false">Assumptions!E43</f>
        <v>2.1</v>
      </c>
      <c r="F9" s="4" t="n">
        <f aca="false">Assumptions!F43</f>
        <v>2.1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-133.08204822</v>
      </c>
      <c r="D10" s="0" t="n">
        <f aca="false">-D6*D9/100</f>
        <v>-145.0594325598</v>
      </c>
      <c r="E10" s="0" t="n">
        <f aca="false">-E6*E9/100</f>
        <v>-150.927745967901</v>
      </c>
      <c r="F10" s="0" t="n">
        <f aca="false">-F6*F9/100</f>
        <v>-163.756604375173</v>
      </c>
      <c r="G10" s="0" t="n">
        <f aca="false">-G6*G9/100</f>
        <v>-168.435364500178</v>
      </c>
      <c r="H10" s="0" t="n">
        <f aca="false">-H6*H9/100</f>
        <v>-180.22584001519</v>
      </c>
      <c r="I10" s="0" t="n">
        <f aca="false">-I6*I9/100</f>
        <v>-191.039390416101</v>
      </c>
      <c r="J10" s="0" t="n">
        <f aca="false">-J6*J9/100</f>
        <v>-200.591359936906</v>
      </c>
      <c r="K10" s="0" t="n">
        <f aca="false">-K6*K9/100</f>
        <v>-209.617971134067</v>
      </c>
      <c r="L10" s="0" t="n">
        <f aca="false">-L6*L9/100</f>
        <v>-218.00268997943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2262.39481974</v>
      </c>
      <c r="D11" s="0" t="n">
        <f aca="false">D8+D10+D24</f>
        <v>2525.3528486547</v>
      </c>
      <c r="E11" s="0" t="n">
        <f aca="false">E8+E10+E24</f>
        <v>2817.31792473415</v>
      </c>
      <c r="F11" s="0" t="n">
        <f aca="false">F8+F10+F24</f>
        <v>3111.37548312828</v>
      </c>
      <c r="G11" s="0" t="n">
        <f aca="false">G8+G10+G24</f>
        <v>3410.8161311286</v>
      </c>
      <c r="H11" s="0" t="n">
        <f aca="false">H8+H10+H24</f>
        <v>3694.6297203114</v>
      </c>
      <c r="I11" s="0" t="n">
        <f aca="false">I8+I10+I24</f>
        <v>3916.30750353008</v>
      </c>
      <c r="J11" s="0" t="n">
        <f aca="false">J8+J10+J24</f>
        <v>4112.12287870658</v>
      </c>
      <c r="K11" s="0" t="n">
        <f aca="false">K8+K10+K24</f>
        <v>4297.16840824838</v>
      </c>
      <c r="L11" s="0" t="n">
        <f aca="false">L8+L10+L24</f>
        <v>4469.05514457831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-211.72144035</v>
      </c>
      <c r="D12" s="4" t="n">
        <f aca="false">-D6*Assumptions!D45/100</f>
        <v>-224.1827594106</v>
      </c>
      <c r="E12" s="4" t="n">
        <f aca="false">-E6*Assumptions!E45/100</f>
        <v>-237.172172235273</v>
      </c>
      <c r="F12" s="4" t="n">
        <f aca="false">-F6*Assumptions!F45/100</f>
        <v>-249.533873333596</v>
      </c>
      <c r="G12" s="4" t="n">
        <f aca="false">-G6*Assumptions!G45/100</f>
        <v>-261.074814975275</v>
      </c>
      <c r="H12" s="4" t="n">
        <f aca="false">-H6*Assumptions!H45/100</f>
        <v>-270.338760022785</v>
      </c>
      <c r="I12" s="4" t="n">
        <f aca="false">-I6*Assumptions!I45/100</f>
        <v>-286.559085624152</v>
      </c>
      <c r="J12" s="4" t="n">
        <f aca="false">-J6*Assumptions!J45/100</f>
        <v>-290.857471908514</v>
      </c>
      <c r="K12" s="4" t="n">
        <f aca="false">-K6*Assumptions!K45/100</f>
        <v>-303.946058144398</v>
      </c>
      <c r="L12" s="4" t="n">
        <f aca="false">-L6*Assumptions!L45/100</f>
        <v>-316.103900470173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2050.67337939</v>
      </c>
      <c r="D13" s="0" t="n">
        <f aca="false">D11+D12</f>
        <v>2301.1700892441</v>
      </c>
      <c r="E13" s="0" t="n">
        <f aca="false">E11+E12</f>
        <v>2580.14575249888</v>
      </c>
      <c r="F13" s="0" t="n">
        <f aca="false">F11+F12</f>
        <v>2861.84160979468</v>
      </c>
      <c r="G13" s="0" t="n">
        <f aca="false">G11+G12</f>
        <v>3149.74131615332</v>
      </c>
      <c r="H13" s="0" t="n">
        <f aca="false">H11+H12</f>
        <v>3424.29096028861</v>
      </c>
      <c r="I13" s="0" t="n">
        <f aca="false">I11+I12</f>
        <v>3629.74841790593</v>
      </c>
      <c r="J13" s="0" t="n">
        <f aca="false">J11+J12</f>
        <v>3821.26540679807</v>
      </c>
      <c r="K13" s="0" t="n">
        <f aca="false">K11+K12</f>
        <v>3993.22235010398</v>
      </c>
      <c r="L13" s="0" t="n">
        <f aca="false">L11+L12</f>
        <v>4152.95124410814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20.5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1630.28533661505</v>
      </c>
      <c r="D15" s="0" t="n">
        <f aca="false">D13-MAX(0,D13)*D14/100</f>
        <v>1817.92437050284</v>
      </c>
      <c r="E15" s="0" t="n">
        <f aca="false">E13-MAX(0,E13)*E14/100</f>
        <v>2038.31514447411</v>
      </c>
      <c r="F15" s="0" t="n">
        <f aca="false">F13-MAX(0,F13)*F14/100</f>
        <v>2246.54566368883</v>
      </c>
      <c r="G15" s="0" t="n">
        <f aca="false">G13-MAX(0,G13)*G14/100</f>
        <v>2472.54693318036</v>
      </c>
      <c r="H15" s="0" t="n">
        <f aca="false">H13-MAX(0,H13)*H14/100</f>
        <v>2688.06840382656</v>
      </c>
      <c r="I15" s="0" t="n">
        <f aca="false">I13-MAX(0,I13)*I14/100</f>
        <v>2849.35250805615</v>
      </c>
      <c r="J15" s="0" t="n">
        <f aca="false">J13-MAX(0,J13)*J14/100</f>
        <v>2999.69334433648</v>
      </c>
      <c r="K15" s="0" t="n">
        <f aca="false">K13-MAX(0,K13)*K14/100</f>
        <v>3134.67954483163</v>
      </c>
      <c r="L15" s="0" t="n">
        <f aca="false">L13-MAX(0,L13)*L14/100</f>
        <v>3260.06672662489</v>
      </c>
    </row>
    <row r="16" customFormat="false" ht="15" hidden="false" customHeight="false" outlineLevel="0" collapsed="false">
      <c r="A16" s="0" t="s">
        <v>122</v>
      </c>
      <c r="C16" s="0" t="n">
        <f aca="false">-C12</f>
        <v>211.72144035</v>
      </c>
      <c r="D16" s="0" t="n">
        <f aca="false">-D12</f>
        <v>224.1827594106</v>
      </c>
      <c r="E16" s="0" t="n">
        <f aca="false">-E12</f>
        <v>237.172172235273</v>
      </c>
      <c r="F16" s="0" t="n">
        <f aca="false">-F12</f>
        <v>249.533873333596</v>
      </c>
      <c r="G16" s="0" t="n">
        <f aca="false">-G12</f>
        <v>261.074814975275</v>
      </c>
      <c r="H16" s="0" t="n">
        <f aca="false">-H12</f>
        <v>270.338760022785</v>
      </c>
      <c r="I16" s="0" t="n">
        <f aca="false">-I12</f>
        <v>286.559085624152</v>
      </c>
      <c r="J16" s="0" t="n">
        <f aca="false">-J12</f>
        <v>290.857471908514</v>
      </c>
      <c r="K16" s="0" t="n">
        <f aca="false">-K12</f>
        <v>303.946058144398</v>
      </c>
      <c r="L16" s="0" t="n">
        <f aca="false">-L12</f>
        <v>316.103900470173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-151.22960025</v>
      </c>
      <c r="D17" s="4" t="n">
        <f aca="false">-D6*Assumptions!D46/100</f>
        <v>-164.8402642725</v>
      </c>
      <c r="E17" s="4" t="n">
        <f aca="false">-E6*Assumptions!E46/100</f>
        <v>-179.675888057025</v>
      </c>
      <c r="F17" s="4" t="n">
        <f aca="false">-F6*Assumptions!F46/100</f>
        <v>-202.746272083547</v>
      </c>
      <c r="G17" s="4" t="n">
        <f aca="false">-G6*Assumptions!G46/100</f>
        <v>-218.965973850231</v>
      </c>
      <c r="H17" s="4" t="n">
        <f aca="false">-H6*Assumptions!H46/100</f>
        <v>-234.293592019747</v>
      </c>
      <c r="I17" s="4" t="n">
        <f aca="false">-I6*Assumptions!I46/100</f>
        <v>-257.903177061737</v>
      </c>
      <c r="J17" s="4" t="n">
        <f aca="false">-J6*Assumptions!J46/100</f>
        <v>-270.798335914824</v>
      </c>
      <c r="K17" s="4" t="n">
        <f aca="false">-K6*Assumptions!K46/100</f>
        <v>-282.984261030991</v>
      </c>
      <c r="L17" s="4" t="n">
        <f aca="false">-L6*Assumptions!L46/100</f>
        <v>-294.303631472231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-19.7870505</v>
      </c>
      <c r="D18" s="4" t="n">
        <f aca="false">(D6-C6)*Assumptions!$B$51/100</f>
        <v>-27.221328045</v>
      </c>
      <c r="E18" s="4" t="n">
        <f aca="false">(E6-D6)*Assumptions!$B$51/100</f>
        <v>-29.67124756905</v>
      </c>
      <c r="F18" s="4" t="n">
        <f aca="false">(F6-E6)*Assumptions!$B$51/100</f>
        <v>-30.5449009696943</v>
      </c>
      <c r="G18" s="4" t="n">
        <f aca="false">(G6-F6)*Assumptions!$B$51/100</f>
        <v>-31.1917341666996</v>
      </c>
      <c r="H18" s="4" t="n">
        <f aca="false">(H6-G6)*Assumptions!$B$51/100</f>
        <v>-29.4761887875311</v>
      </c>
      <c r="I18" s="4" t="n">
        <f aca="false">(I6-H6)*Assumptions!$B$51/100</f>
        <v>-27.0338760022785</v>
      </c>
      <c r="J18" s="4" t="n">
        <f aca="false">(J6-I6)*Assumptions!$B$51/100</f>
        <v>-23.8799238020127</v>
      </c>
      <c r="K18" s="4" t="n">
        <f aca="false">(K6-J6)*Assumptions!$B$51/100</f>
        <v>-22.566527992902</v>
      </c>
      <c r="L18" s="4" t="n">
        <f aca="false">(L6-K6)*Assumptions!$B$51/100</f>
        <v>-20.9617971134067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1670.99012621505</v>
      </c>
      <c r="D19" s="0" t="n">
        <f aca="false">D15+D16+D17+D18</f>
        <v>1850.04553759594</v>
      </c>
      <c r="E19" s="0" t="n">
        <f aca="false">E15+E16+E17+E18</f>
        <v>2066.14018108331</v>
      </c>
      <c r="F19" s="0" t="n">
        <f aca="false">F15+F16+F17+F18</f>
        <v>2262.78836396918</v>
      </c>
      <c r="G19" s="0" t="n">
        <f aca="false">G15+G16+G17+G18</f>
        <v>2483.4640401387</v>
      </c>
      <c r="H19" s="0" t="n">
        <f aca="false">H15+H16+H17+H18</f>
        <v>2694.63738304207</v>
      </c>
      <c r="I19" s="0" t="n">
        <f aca="false">I15+I16+I17+I18</f>
        <v>2850.97454061629</v>
      </c>
      <c r="J19" s="0" t="n">
        <f aca="false">J15+J16+J17+J18</f>
        <v>2995.87255652816</v>
      </c>
      <c r="K19" s="0" t="n">
        <f aca="false">K15+K16+K17+K18</f>
        <v>3133.07481395213</v>
      </c>
      <c r="L19" s="0" t="n">
        <f aca="false">L15+L16+L17+L18</f>
        <v>3260.90519850943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1540.08306563599</v>
      </c>
      <c r="D21" s="0" t="n">
        <f aca="false">D19*D20</f>
        <v>1571.5309627267</v>
      </c>
      <c r="E21" s="0" t="n">
        <f aca="false">E19*E20</f>
        <v>1617.59788026326</v>
      </c>
      <c r="F21" s="0" t="n">
        <f aca="false">F19*F20</f>
        <v>1632.76989418092</v>
      </c>
      <c r="G21" s="0" t="n">
        <f aca="false">G19*G20</f>
        <v>1651.61639379565</v>
      </c>
      <c r="H21" s="0" t="n">
        <f aca="false">H19*H20</f>
        <v>1651.66475485166</v>
      </c>
      <c r="I21" s="0" t="n">
        <f aca="false">I19*I20</f>
        <v>1610.59064337634</v>
      </c>
      <c r="J21" s="0" t="n">
        <f aca="false">J19*J20</f>
        <v>1559.85930943746</v>
      </c>
      <c r="K21" s="0" t="n">
        <f aca="false">K19*K20</f>
        <v>1503.49892445705</v>
      </c>
      <c r="L21" s="0" t="n">
        <f aca="false">L19*L20</f>
        <v>1442.25080911871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15781.4626378437</v>
      </c>
    </row>
    <row r="31" customFormat="false" ht="15" hidden="false" customHeight="false" outlineLevel="0" collapsed="false">
      <c r="A31" s="0" t="s">
        <v>131</v>
      </c>
      <c r="B31" s="0" t="n">
        <f aca="false">L19</f>
        <v>3260.90519850943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61067.8609902674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65218.1039701885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61067.8609902674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27009.4242434959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42790.8868813396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44070.7558813396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43.0077156840841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0.363808964137755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1114.06438125733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1805.67259133115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45.8570250521261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27989.4362872059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19.3713235840276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19.8048832006919</v>
      </c>
      <c r="C4" s="0" t="n">
        <f aca="false">B4/Assumptions!$B$2-1</f>
        <v>-0.371971358785734</v>
      </c>
      <c r="D4" s="4" t="n">
        <f aca="false">Assumptions!$B$24</f>
        <v>0.25</v>
      </c>
      <c r="E4" s="4" t="n">
        <f aca="false">DCF_Bear!$B$43</f>
        <v>21.6469482317948</v>
      </c>
      <c r="F4" s="4" t="n">
        <f aca="false">DCF_Bear!$B$47</f>
        <v>11.125331155678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34.2267922441752</v>
      </c>
      <c r="C5" s="0" t="n">
        <f aca="false">B5/Assumptions!$B$2-1</f>
        <v>0.0853588788385982</v>
      </c>
      <c r="D5" s="4" t="n">
        <f aca="false">Assumptions!$B$38</f>
        <v>0.5</v>
      </c>
      <c r="E5" s="4" t="n">
        <f aca="false">DCF_Base!$B$43</f>
        <v>36.6045955199022</v>
      </c>
      <c r="F5" s="4" t="n">
        <f aca="false">DCF_Base!$B$47</f>
        <v>16.5645645893116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43.0077156840841</v>
      </c>
      <c r="C6" s="0" t="n">
        <f aca="false">B6/Assumptions!$B$2-1</f>
        <v>0.363808964137755</v>
      </c>
      <c r="D6" s="4" t="n">
        <f aca="false">Assumptions!$B$52</f>
        <v>0.25</v>
      </c>
      <c r="E6" s="4" t="n">
        <f aca="false">DCF_Bull!$B$43</f>
        <v>45.8570250521261</v>
      </c>
      <c r="F6" s="4" t="n">
        <f aca="false">DCF_Bull!$B$47</f>
        <v>19.3713235840276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32.8165458432816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35.1782910809313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0.0390518200605794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-54.2626623249549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15.9064459795822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34.2267922441752</v>
      </c>
      <c r="C15" s="3" t="n">
        <v>8.5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31.6018813657027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27.4078959546004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24.2072540738145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21.6858840025234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16.5645645893116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43.6149326902228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43.6149326902228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43.6149326902228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43.6149326902228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43.6149326902228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36.5854659998658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38.6197525943779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40.4364178322677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40.4364178322677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40.4364178322677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31.2856548225045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32.6431028632756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34.2267922441752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36.0984251488747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37.5474312686421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27.323045189869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28.270860964347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29.3540789923218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30.6039459476774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32.0621240622589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24.2511273326098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24.9361111602707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25.7067179663891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26.5800723466567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27.578191638391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2026-09-25T04:35:56Z</dcterms:created>
  <dc:creator>openpyxl</dc:creator>
  <dc:description/>
  <dc:language>en-NZ</dc:language>
  <cp:lastModifiedBy/>
  <dcterms:modified xsi:type="dcterms:W3CDTF">2026-09-25T04:35:56Z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