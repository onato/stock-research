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Reconciliation" sheetId="2" state="visible" r:id="rId4"/>
    <sheet name="Actuals" sheetId="3" state="visible" r:id="rId5"/>
    <sheet name="Assumptions" sheetId="4" state="visible" r:id="rId6"/>
    <sheet name="DCF_Bear" sheetId="5" state="visible" r:id="rId7"/>
    <sheet name="DCF_Base" sheetId="6" state="visible" r:id="rId8"/>
    <sheet name="DCF_Bull" sheetId="7" state="visible" r:id="rId9"/>
    <sheet name="Valuation"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<sst xmlns="http://schemas.openxmlformats.org/spreadsheetml/2006/main" count="400" uniqueCount="205">
  <si>
    <t xml:space="preserve">Ticker</t>
  </si>
  <si>
    <t xml:space="preserve">BABA</t>
  </si>
  <si>
    <t xml:space="preserve">Company</t>
  </si>
  <si>
    <t xml:space="preserve">Alibaba Group Holding Limited (NYSE ADS, 1 ADS = 8 ordinary shares)</t>
  </si>
  <si>
    <t xml:space="preserve">Valuation date</t>
  </si>
  <si>
    <t xml:space="preserve">2026-10-22</t>
  </si>
  <si>
    <t xml:space="preserve">Current price</t>
  </si>
  <si>
    <t xml:space="preserve">Price as of</t>
  </si>
  <si>
    <t xml:space="preserve">2026-10-21T20:03:43Z NYSE regular close (the 22 Oct US session had not opened at build time; not an after-hours print)</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</si>
  <si>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</si>
  <si>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</si>
  <si>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</si>
  <si>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</si>
  <si>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</si>
  <si>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</si>
  <si>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</si>
  <si>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USD</t>
  </si>
  <si>
    <t xml:space="preserve">Units</t>
  </si>
  <si>
    <t xml:space="preserve">millions</t>
  </si>
  <si>
    <t xml:space="preserve">Engine</t>
  </si>
  <si>
    <t xml:space="preserve">dcf_engine v1</t>
  </si>
  <si>
    <t xml:space="preserve">Built at</t>
  </si>
  <si>
    <t xml:space="preserve">2026-10-22T01:50:19Z</t>
  </si>
  <si>
    <t xml:space="preserve">Drivers file</t>
  </si>
  <si>
    <t xml:space="preserve">BABA_Drivers.json</t>
  </si>
  <si>
    <t xml:space="preserve">Convention</t>
  </si>
  <si>
    <t xml:space="preserve">Percents stored as percents; formulas divide by 100. Blue = input, green = link, black = formula.</t>
  </si>
  <si>
    <t xml:space="preserve">Methodology</t>
  </si>
  <si>
    <t xml:space="preserve">summary: FY2026-FY2029 are investment-trough years by choice, not demand decline. This rebuild retires the July 2026 normalised-FCF model (RMB120bn mid-cycle base, 5 years, scenario-specific WACCs) and puts the BABA line on the same explicit capex-supercycle component owner-FCF model as 9988.HK: negative owner FCF through FY2029, recovery from FY2030, a single RMB-built 10% WACC carrying the regulatory/litigation premium, the 30 Jun 2026 balance sheet, the 26 Aug 2026 placing (710M shares, RMB ~68bn), the Q1 burn charged once via a stub add-back and the July dividend deducted. Terminal value is Gordon-bound in base (implied ~6x EV/EBITDA, below the FY2022-25 normal-year 8.1x average), so no multiple expansion is assumed; the strategic investment portfolio (Ant etc.) enters the bridge at half book and NCI is deducted. Nothing in the valuation is ADS-specific: the per-ADS USD value is the RMB value per ordinary share x 8 / USDCNY, and the HK and US lines should move together except for the FX leg. The normalised model's weighted US$126 was built on the premise that FY2026 FCF would mean-revert to ~RMB120bn within the forecast window; the Q1 FY2027 print (capex +75%, FCF -RMB45bn in one quarter) and the equity raise say it will not before FY2030, which is why the value falls ~26% on an unchanged business.
key_risks_to_valuation: Capex intensity: every 1pp of FY2027-FY2031 capex/revenue that does not normalise is ~RMB 60-70bn of cumulative owner FCF; the base assumes intensity halves from 23% to 11% by FY2032. The placing shows the company is willing to fund overshoot with equity, which dilutes rather than merely burns.; Cloud deceleration below 30% before margin matures would break the base margin path (22% mature EBITDA).; EU DSA follow-on penalties (up to 6% of global turnover) and a DoD 1260H loss are in the discount rate (1.25pp), not the flows; a realised penalty of that size would be a flow event.; Investment-portfolio bridge (~US$13.6/ADS at 50% of book) depends on Ant Group's realisable value and PRC exit taxes; strike it and the weighted IV falls by that amount.; Further equity issuance: a second placing of similar size at a price below IV would be dilutive; the model assumes the count is flat at 20,034M from here.; USD/CNY: every 1% move in USDCNY moves every USD/ADS value 1%; fx_rate is dated 2026-10-22 and is not refreshed by refresh_price.py. The RMB has strengthened from 7.25 (mid-2026) to 6.67, which flatters the USD value by ~8% versus a year ago on an unchanged RMB valuation.; ADS-structure risk (HFCAA, 1260H, US-person ownership restrictions) is carried at group level in the WACC and not as an ADS-specific haircut; a US ownership restriction would be a forced-conversion/forced-sale event for ADS holders that the HK line would not share.; ADS/HK parity can drift for weeks (Southbound flows on 9988.HK, US-session sentiment on BABA); the two builds share one RMB value and the cheaper line is the one to own.</t>
  </si>
  <si>
    <t xml:space="preserve">Data sources</t>
  </si>
  <si>
    <t xml:space="preserve">price: Yahoo Finance chart API at inputs.price_as_of (NYSE regular close, USD per ADS); 52-week range US$91.99-182.50. ADS/HK parity check and USDCNY source in inputs.fx_note.
financials: BABA_Metrics.csv (FY2026 latest annual plus the new Q1 FY2027 row, RMB millions). Q1 FY2027 balance sheet, segment tables, SBC, capex and FCF read from BABA_Quarterly_Q1-FY2027.txt (results announcement for the quarter ended 30 Jun 2026, released 20 Aug 2026; byte-identical to the 9988.HK copy, same line numbers), cited by line in inputs.* and equity_bridge.*. FY0 flows from the FY2026 20-F (BABA_Annual_FY2026.txt: SBC line 5799, dividend line 7530, interest income line 9537). Placing: Alibaba 6-K filed 2026-08-26 (accession 0001193125-26-365894). ShortTermInvestments/OtherTreasuryInvestments for the Q1 row from release line 707 (CSV cells blank).
qualitative: BABA_Analysis.json (analysis_date 2026-10-22); RMB-level model and judgments mirrored from research/9988.HK/Reports/9988.HK_Drivers.json (2026-10-22).</t>
  </si>
  <si>
    <t xml:space="preserve">Scenario narrative: bear</t>
  </si>
  <si>
    <t xml:space="preserve">The capex supercycle does not pay: management keeps spending through FY2028 (RMB ~520bn over two years, part of it the August 2026 equity) into a price-competitive China AI market (DeepSeek, ByteDance, Huawei), cloud growth decelerates below 25%, AI Labs keeps burning, and the capex is cut only after the returns disappoint. Quick-commerce breakeven slips as Meituan re-engages; CMR resumes low-single-digit decline. On the regulatory axis the EU judges AliExpress remediation inadequate and levies follow-on DSA penalties, and the DoD designation survives the Northern District of California challenge, keeping US institutions out. Owner FCF stays negative until FY2031 and the business is worth little more than its balance sheet (pro-forma net cash + investments ~US$27/ADS of the ~US$49 bear value).</t>
  </si>
  <si>
    <t xml:space="preserve">Scenario narrative: base</t>
  </si>
  <si>
    <t xml:space="preserve">Execution risk, not impairment. Alibaba is spending the FY2026-FY2028 cash flow of the marketplace -- and, since 26 Aug 2026, RMB ~68bn of fresh equity -- on AI compute (capex ~23% of revenue in FY2027, RMB ~257bn) and on the last leg of the quick-commerce subsidy war, so owner FCF is negative in FY2027-FY2029 and only turns in FY2030. The axes that decide the case: (1) whether AI Cloud and Compute Services keeps compounding at 30-45% with EBITA margin rising from ~12% (Q1 FY2027: revenue +45%, EBITA +133%); (2) whether capex intensity actually falls after FY2028 -- the equity raise says the peak is being funded externally, not that it is over; (3) whether Taobao Instant Commerce reaches unit-economics breakeven by end-FY2027 as guided (Q1 showed sequential improvement at stable share) while the SAMR anti-subsidy rules hold; (4) whether AI Labs/Qwen consumer losses (RMB13.9bn in one quarter) are capped rather than open-ended; (5) core CMR stays roughly flat (-7% reported / +1% like-for-like) rather than resuming share loss to PDD and Douyin. The EU DSA fine (EUR550M, booked in Q1 FY2027 G&amp;A) and the DoD 1260H litigation are carried in the discount rate, not the flows.</t>
  </si>
  <si>
    <t xml:space="preserve">Scenario narrative: bull</t>
  </si>
  <si>
    <t xml:space="preserve">Cloud is now a margin story as well as a growth story: 45% growth with EBITA margin doubling, Apple Intelligence embedding Qwen in the China iPhone base, Qwen3-Max-Thinking keeping Alibaba at the frontier, AI-related product revenue (RMB12.4bn in Q1, twelfth straight triple-digit quarter) approaching a $10bn run-rate, and the $100bn five-year external cloud+AI target on track. The same absolute capex is spread over faster revenue, so intensity normalises by FY2030; quick commerce turns profitable in FY2027 and e-commerce CMR re-accelerates on AI-driven merchant tools. Mature EBITDA margin 25%, terminal FCF margin ~12%; the 15x FCF cap binds, so the bull does not rely on a terminal multiple the market has not paid.</t>
  </si>
  <si>
    <t xml:space="preserve">Item</t>
  </si>
  <si>
    <t xml:space="preserve">Value</t>
  </si>
  <si>
    <t xml:space="preserve">Note</t>
  </si>
  <si>
    <t xml:space="preserve">Prior valuation_date</t>
  </si>
  <si>
    <t xml:space="preserve">2026-07-26</t>
  </si>
  <si>
    <t xml:space="preserve">Prior price_then</t>
  </si>
  <si>
    <t xml:space="preserve">Prior bear</t>
  </si>
  <si>
    <t xml:space="preserve">Prior base</t>
  </si>
  <si>
    <t xml:space="preserve">Prior bull</t>
  </si>
  <si>
    <t xml:space="preserve">Prior weighted</t>
  </si>
  <si>
    <t xml:space="preserve">New valuation_date</t>
  </si>
  <si>
    <t xml:space="preserve">New price_then</t>
  </si>
  <si>
    <t xml:space="preserve">New bear</t>
  </si>
  <si>
    <t xml:space="preserve">New base</t>
  </si>
  <si>
    <t xml:space="preserve">New bull</t>
  </si>
  <si>
    <t xml:space="preserve">New weighted</t>
  </si>
  <si>
    <t xml:space="preserve">Bridge</t>
  </si>
  <si>
    <t xml:space="preserve">Prior weighted IV (2026-07-26 normalised-FCF model, USDCNY 6.7617, weights 25/50/25, 31 Mar 2026 balance sheet, 2,404.4M ADS)</t>
  </si>
  <si>
    <t xml:space="preserve">Anchor refresh: USDCNY 6.7617 -&gt; 6.6748 (RMB stronger; price move itself does not enter IV)</t>
  </si>
  <si>
    <t xml:space="preserve">126.35 x (6.7617/6.6748 - 1). Every other FX effect below is already at 6.6748.</t>
  </si>
  <si>
    <t xml:space="preserve">Weights 25/50/25 -&gt; 30/50/20 (made on the 9988.HK line on the morning of 2026-10-22: capex +75% YoY, AI Labs losses x4, buybacks cut ~80%, EU DSA fine, DoD litigation unresolved)</t>
  </si>
  <si>
    <t xml:space="preserve">Measured on the 9988.HK morning-build scenario values (bear 48.33 / base 97.80 / bull 149.57 HKD at CNYHKD 1.1748, converted x8/(1.1748 x 6.6748)): 100.36 at 25/50/25 vs 95.20 at 30/50/20.</t>
  </si>
  <si>
    <t xml:space="preserve">Methodology change: 5-year normalised-FCF model (RMB120bn mid-cycle base, scenario WACCs 11.5/13/10.5%, EV/EBITDA exit caps 7.0/9.5/4.5x, no investment-portfolio bridge, no NCI deduction) -&gt; 10-year explicit component owner-FCF model (negative owner FCF FY2027-29, recovery FY2030, single RMB 10% WACC, Gordon/FCF-cap terminal, Ant and other investments at 50% of book, NCI + mezzanine deducted), on the same 31 Mar 2026 balance sheet and 19,235M shares</t>
  </si>
  <si>
    <t xml:space="preserve">Residual between two models that do not decompose linearly; stated as the plug. Direction: the normalised model credited ~RMB120bn of FCF from year 1 where the component model books -RMB80-100bn/yr through FY2029 (PV ~-RMB40/share at 10%), partly offset by the investment portfolio at 50% of book (+~RMB11.7/share), the NCI deduction (-~RMB3.4/share) and a lower, single 10% WACC against 11.5% base. After this line the model is the 9988.HK morning build in USD/ADS: bear 49.31 / base 99.78 / bull 152.59, weighted 95.20.</t>
  </si>
  <si>
    <t xml:space="preserve">Q1 FY2027 data: balance sheet rolled to 30 Jun 2026 (net cash RMB260,828M -&gt; 207,975M), share count to the Q1 diluted average (19,235 -&gt; 19,324M), Q1 reported-FCF stub add-back (+44,670), FY2026 dividend payable (-16,700), investment portfolio and NCI refreshed</t>
  </si>
  <si>
    <t xml:space="preserve">9988.HK bridge line -1.77 HKD/ordinary share converted at /1.175 x 8/6.6748. Decomposition there: net cash -3.21, stub +2.72, dividend -1.02, shares -0.43, portfolio +0.14, NCI +0.03 (HKD).</t>
  </si>
  <si>
    <t xml:space="preserve">Placing 2026-08-26: +710M ordinary shares (+88.75M ADS, 2,415.5 -&gt; 2,504.25M) and +RMB67,902M net proceeds into cash; projected capex left as is</t>
  </si>
  <si>
    <t xml:space="preserve">Issued at HK$112.70 (~US$114.9/ADS), above the weighted IV, so accretive per share overall: bear +, base +, bull - (issued below the bull value). Equity-funding of capex already in the flows, not a reduction of that capex -- no double count.</t>
  </si>
  <si>
    <t xml:space="preserve">Driver change (mirrored from 9988.HK): FY2027/FY2028 capex intensity +1pp in every scenario (base 23/21, bull 22/19, bear 24/22) on the Q1 run-rate (25% of revenue) and the compute-earmarked equity raise</t>
  </si>
  <si>
    <t xml:space="preserve">Driver change (mirrored from 9988.HK): SBC held at a 1.3% plateau (prior path 1.5% falling to 1.25%) on the Q1 run-rate of 1.23%</t>
  </si>
  <si>
    <t xml:space="preserve">New weighted IV</t>
  </si>
  <si>
    <t xml:space="preserve">ties to probability_weighted.weighted_iv (126.35 + 1.64 - 5.16 - 27.63 - 1.81 + 0.75 - 1.20 + 0.39 = 93.33); RMB-level parity with 9988.HK: 93.33 x 6.6748 / 8 = RMB 77.87 per ordinary share = 9988.HK weighted_iv_cny 77.8697 (equity values identical to the RMB million in every scenario).</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</si>
  <si>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</si>
  <si>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</si>
  <si>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</si>
  <si>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</si>
  <si>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</si>
  <si>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</si>
  <si>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</si>
  <si>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</si>
  <si>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</si>
  <si>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</si>
  <si>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</si>
  <si>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</si>
  <si>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</si>
  <si>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</si>
  <si>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</si>
  <si>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</si>
  <si>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</si>
  <si>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</si>
  <si>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</si>
  <si>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</si>
  <si>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</si>
  <si>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</si>
  <si>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</si>
  <si>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</si>
  <si>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</si>
  <si>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</si>
  <si>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</si>
  <si>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EPS_ADS_Diluted_USD</t>
  </si>
  <si>
    <t xml:space="preserve">AdjustedEBITA_RMB_Mn</t>
  </si>
  <si>
    <t xml:space="preserve">TaobaoTmall_Revenue_RMB_Mn</t>
  </si>
  <si>
    <t xml:space="preserve">Cloud_Revenue_RMB_Mn</t>
  </si>
  <si>
    <t xml:space="preserve">International_Revenue_RMB_Mn</t>
  </si>
  <si>
    <t xml:space="preserve">Logistics_Revenue_RMB_Mn</t>
  </si>
  <si>
    <t xml:space="preserve">ShortTermInvestments_RMB_Mn</t>
  </si>
  <si>
    <t xml:space="preserve">OtherTreasuryInvestments_RMB_Mn</t>
  </si>
  <si>
    <t xml:space="preserve">FY2017</t>
  </si>
  <si>
    <t xml:space="preserve">RMB</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</si>
  <si>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</si>
  <si>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</si>
  <si>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</si>
  <si>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</si>
  <si>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</si>
  <si>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</si>
  <si>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</si>
  <si>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</si>
  <si>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</si>
  <si>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</si>
  <si>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</si>
  <si>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</si>
  <si>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</si>
  <si>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</si>
  <si>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</si>
  <si>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</si>
  <si>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</si>
  <si>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</si>
  <si>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</si>
  <si>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</si>
  <si>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</si>
  <si>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</si>
  <si>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</si>
  <si>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</si>
  <si>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</si>
  <si>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</si>
  <si>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</si>
  <si>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</si>
  <si>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</si>
  <si>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</si>
  <si>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</si>
  <si>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</si>
  <si>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</si>
  <si>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</si>
  <si>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</si>
  <si>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</si>
  <si>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</si>
  <si>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</si>
  <si>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</si>
  <si>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</si>
  <si>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</si>
  <si>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</si>
  <si>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</si>
  <si>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</si>
  <si>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</si>
  <si>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BABA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</si>
  <si>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</si>
  <si>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</si>
  <si>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</si>
  <si>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</si>
  <si>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</si>
  <si>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</si>
  <si>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</si>
  <si>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</si>
  <si>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</si>
  <si>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</si>
  <si>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</si>
  <si>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</si>
  <si>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</si>
  <si>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</si>
  <si>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</si>
  <si>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</si>
  <si>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</si>
  <si>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</si>
  <si>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</si>
  <si>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</si>
  <si>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</si>
  <si>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</si>
  <si>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</si>
  <si>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</si>
  <si>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</si>
  <si>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</si>
  <si>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</si>
  <si>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</si>
  <si>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</si>
  <si>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</si>
  <si>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BABA owner-FCF component DCF: base case (millions, CNY)</t>
  </si>
  <si>
    <t xml:space="preserve">BABA owner-FCF component DCF: bull case (millions, CNY)</t>
  </si>
  <si>
    <t xml:space="preserve">BABA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</si>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</sst>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104.41</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8"/>
  </cols>
  <sheetData>
    <row r="1" customFormat="false" ht="15" hidden="false" customHeight="false" outlineLevel="0" collapsed="false">
      <c r="A1" s="2" t="s">
        <v>37</v>
      </c>
      <c r="B1" s="2" t="s">
        <v>38</v>
      </c>
      <c r="C1" s="2" t="s">
        <v>39</v>
      </c>
    </row>
    <row r="2" customFormat="false" ht="15" hidden="false" customHeight="false" outlineLevel="0" collapsed="false">
      <c r="A2" s="0" t="s">
        <v>40</v>
      </c>
      <c r="B2" s="0" t="s">
        <v>41</v>
      </c>
    </row>
    <row r="3" customFormat="false" ht="15" hidden="false" customHeight="false" outlineLevel="0" collapsed="false">
      <c r="A3" s="0" t="s">
        <v>42</v>
      </c>
      <c r="B3" s="0" t="n">
        <v>109.11</v>
      </c>
    </row>
    <row r="4" customFormat="false" ht="15" hidden="false" customHeight="false" outlineLevel="0" collapsed="false">
      <c r="A4" s="0" t="s">
        <v>43</v>
      </c>
      <c r="B4" s="0" t="n">
        <v>59.74</v>
      </c>
    </row>
    <row r="5" customFormat="false" ht="15" hidden="false" customHeight="false" outlineLevel="0" collapsed="false">
      <c r="A5" s="0" t="s">
        <v>44</v>
      </c>
      <c r="B5" s="0" t="n">
        <v>129.55</v>
      </c>
    </row>
    <row r="6" customFormat="false" ht="15" hidden="false" customHeight="false" outlineLevel="0" collapsed="false">
      <c r="A6" s="0" t="s">
        <v>45</v>
      </c>
      <c r="B6" s="0" t="n">
        <v>186.55</v>
      </c>
    </row>
    <row r="7" customFormat="false" ht="15" hidden="false" customHeight="false" outlineLevel="0" collapsed="false">
      <c r="A7" s="0" t="s">
        <v>46</v>
      </c>
      <c r="B7" s="0" t="n">
        <v>126.35</v>
      </c>
    </row>
    <row r="8" customFormat="false" ht="15" hidden="false" customHeight="false" outlineLevel="0" collapsed="false">
      <c r="A8" s="0" t="s">
        <v>47</v>
      </c>
      <c r="B8" s="0" t="s">
        <v>5</v>
      </c>
    </row>
    <row r="9" customFormat="false" ht="15" hidden="false" customHeight="false" outlineLevel="0" collapsed="false">
      <c r="A9" s="0" t="s">
        <v>48</v>
      </c>
      <c r="B9" s="0" t="n">
        <v>104.41</v>
      </c>
    </row>
    <row r="10" customFormat="false" ht="15" hidden="false" customHeight="false" outlineLevel="0" collapsed="false">
      <c r="A10" s="0" t="s">
        <v>49</v>
      </c>
      <c r="B10" s="0" t="n">
        <v>49.29</v>
      </c>
    </row>
    <row r="11" customFormat="false" ht="15" hidden="false" customHeight="false" outlineLevel="0" collapsed="false">
      <c r="A11" s="0" t="s">
        <v>50</v>
      </c>
      <c r="B11" s="0" t="n">
        <v>97.72</v>
      </c>
    </row>
    <row r="12" customFormat="false" ht="15" hidden="false" customHeight="false" outlineLevel="0" collapsed="false">
      <c r="A12" s="0" t="s">
        <v>51</v>
      </c>
      <c r="B12" s="0" t="n">
        <v>148.41</v>
      </c>
    </row>
    <row r="13" customFormat="false" ht="15" hidden="false" customHeight="false" outlineLevel="0" collapsed="false">
      <c r="A13" s="0" t="s">
        <v>52</v>
      </c>
      <c r="B13" s="0" t="n">
        <v>93.33</v>
      </c>
    </row>
    <row r="15" customFormat="false" ht="15" hidden="false" customHeight="false" outlineLevel="0" collapsed="false">
      <c r="A15" s="2" t="s">
        <v>53</v>
      </c>
    </row>
    <row r="16" customFormat="false" ht="15" hidden="false" customHeight="false" outlineLevel="0" collapsed="false">
      <c r="A16" s="0" t="s">
        <v>54</v>
      </c>
      <c r="B16" s="0" t="n">
        <v>126.35</v>
      </c>
    </row>
    <row r="17" customFormat="false" ht="15" hidden="false" customHeight="false" outlineLevel="0" collapsed="false">
      <c r="A17" s="0" t="s">
        <v>55</v>
      </c>
      <c r="B17" s="0" t="n">
        <v>1.64</v>
      </c>
      <c r="C17" s="0" t="s">
        <v>56</v>
      </c>
    </row>
    <row r="18" customFormat="false" ht="15" hidden="false" customHeight="false" outlineLevel="0" collapsed="false">
      <c r="A18" s="0" t="s">
        <v>57</v>
      </c>
      <c r="B18" s="0" t="n">
        <v>-5.16</v>
      </c>
      <c r="C18" s="0" t="s">
        <v>58</v>
      </c>
    </row>
    <row r="19" customFormat="false" ht="15" hidden="false" customHeight="false" outlineLevel="0" collapsed="false">
      <c r="A19" s="0" t="s">
        <v>59</v>
      </c>
      <c r="B19" s="0" t="n">
        <v>-27.63</v>
      </c>
      <c r="C19" s="0" t="s">
        <v>60</v>
      </c>
    </row>
    <row r="20" customFormat="false" ht="15" hidden="false" customHeight="false" outlineLevel="0" collapsed="false">
      <c r="A20" s="0" t="s">
        <v>61</v>
      </c>
      <c r="B20" s="0" t="n">
        <v>-1.81</v>
      </c>
      <c r="C20" s="0" t="s">
        <v>62</v>
      </c>
    </row>
    <row r="21" customFormat="false" ht="15" hidden="false" customHeight="false" outlineLevel="0" collapsed="false">
      <c r="A21" s="0" t="s">
        <v>63</v>
      </c>
      <c r="B21" s="0" t="n">
        <v>0.75</v>
      </c>
      <c r="C21" s="0" t="s">
        <v>64</v>
      </c>
    </row>
    <row r="22" customFormat="false" ht="15" hidden="false" customHeight="false" outlineLevel="0" collapsed="false">
      <c r="A22" s="0" t="s">
        <v>65</v>
      </c>
      <c r="B22" s="0" t="n">
        <v>-1.2</v>
      </c>
    </row>
    <row r="23" customFormat="false" ht="15" hidden="false" customHeight="false" outlineLevel="0" collapsed="false">
      <c r="A23" s="0" t="s">
        <v>66</v>
      </c>
      <c r="B23" s="0" t="n">
        <v>0.39</v>
      </c>
    </row>
    <row r="24" customFormat="false" ht="15" hidden="false" customHeight="false" outlineLevel="0" collapsed="false">
      <c r="A24" s="0" t="s">
        <v>67</v>
      </c>
      <c r="B24" s="0" t="n">
        <v>93.33</v>
      </c>
      <c r="C24" s="0" t="s">
        <v>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69</v>
      </c>
      <c r="B1" s="2" t="s">
        <v>70</v>
      </c>
      <c r="C1" s="2" t="s">
        <v>71</v>
      </c>
      <c r="D1" s="2" t="s">
        <v>72</v>
      </c>
      <c r="E1" s="2" t="s">
        <v>73</v>
      </c>
      <c r="F1" s="2" t="s">
        <v>74</v>
      </c>
      <c r="G1" s="2" t="s">
        <v>75</v>
      </c>
      <c r="H1" s="2" t="s">
        <v>76</v>
      </c>
      <c r="I1" s="2" t="s">
        <v>77</v>
      </c>
      <c r="J1" s="2" t="s">
        <v>78</v>
      </c>
      <c r="K1" s="2" t="s">
        <v>79</v>
      </c>
      <c r="L1" s="2" t="s">
        <v>80</v>
      </c>
      <c r="M1" s="2" t="s">
        <v>81</v>
      </c>
      <c r="N1" s="2" t="s">
        <v>82</v>
      </c>
      <c r="O1" s="2" t="s">
        <v>83</v>
      </c>
      <c r="P1" s="2" t="s">
        <v>84</v>
      </c>
      <c r="Q1" s="2" t="s">
        <v>85</v>
      </c>
      <c r="R1" s="2" t="s">
        <v>86</v>
      </c>
      <c r="S1" s="2" t="s">
        <v>87</v>
      </c>
      <c r="T1" s="2" t="s">
        <v>88</v>
      </c>
      <c r="U1" s="2" t="s">
        <v>89</v>
      </c>
      <c r="V1" s="2" t="s">
        <v>90</v>
      </c>
      <c r="W1" s="2" t="s">
        <v>91</v>
      </c>
      <c r="X1" s="2" t="s">
        <v>92</v>
      </c>
      <c r="Y1" s="2" t="s">
        <v>93</v>
      </c>
      <c r="Z1" s="2" t="s">
        <v>94</v>
      </c>
      <c r="AA1" s="2" t="s">
        <v>17</v>
      </c>
      <c r="AB1" s="2" t="s">
        <v>95</v>
      </c>
      <c r="AC1" s="2" t="s">
        <v>96</v>
      </c>
      <c r="AD1" s="2" t="s">
        <v>97</v>
      </c>
      <c r="AE1" s="2" t="s">
        <v>98</v>
      </c>
      <c r="AF1" s="2" t="s">
        <v>99</v>
      </c>
      <c r="AG1" s="2" t="s">
        <v>100</v>
      </c>
      <c r="AH1" s="2" t="s">
        <v>101</v>
      </c>
      <c r="AI1" s="2" t="s">
        <v>102</v>
      </c>
      <c r="AJ1" s="2" t="s">
        <v>103</v>
      </c>
    </row>
    <row r="2" customFormat="false" ht="15" hidden="false" customHeight="false" outlineLevel="0" collapsed="false">
      <c r="A2" s="0" t="s">
        <v>104</v>
      </c>
      <c r="B2" s="0" t="n">
        <v>158273</v>
      </c>
      <c r="D2" s="0" t="n">
        <v>98790</v>
      </c>
      <c r="E2" s="0" t="n">
        <v>62.4</v>
      </c>
      <c r="F2" s="0" t="n">
        <v>48055</v>
      </c>
      <c r="H2" s="0" t="n">
        <v>74456</v>
      </c>
      <c r="I2" s="0" t="n">
        <v>43675</v>
      </c>
      <c r="K2" s="0" t="n">
        <v>2.12</v>
      </c>
      <c r="L2" s="0" t="n">
        <v>82854</v>
      </c>
      <c r="N2" s="0" t="n">
        <v>71318</v>
      </c>
      <c r="O2" s="0" t="n">
        <v>278799</v>
      </c>
      <c r="P2" s="0" t="n">
        <v>506812</v>
      </c>
      <c r="Q2" s="0" t="n">
        <v>182691</v>
      </c>
      <c r="R2" s="0" t="n">
        <v>91732</v>
      </c>
      <c r="S2" s="0" t="n">
        <v>143281</v>
      </c>
      <c r="T2" s="0" t="n">
        <v>20579</v>
      </c>
      <c r="AA2" s="0" t="s">
        <v>18</v>
      </c>
      <c r="AB2" s="0" t="s">
        <v>105</v>
      </c>
      <c r="AC2" s="0" t="n">
        <v>2.46</v>
      </c>
      <c r="AD2" s="0" t="n">
        <v>69172</v>
      </c>
      <c r="AE2" s="0" t="n">
        <v>127871</v>
      </c>
      <c r="AF2" s="0" t="n">
        <v>6663</v>
      </c>
      <c r="AG2" s="0" t="n">
        <v>14591</v>
      </c>
      <c r="AH2" s="0" t="n">
        <v>0</v>
      </c>
    </row>
    <row r="3" customFormat="false" ht="15" hidden="false" customHeight="false" outlineLevel="0" collapsed="false">
      <c r="A3" s="0" t="s">
        <v>106</v>
      </c>
      <c r="B3" s="0" t="n">
        <v>250266</v>
      </c>
      <c r="D3" s="0" t="n">
        <v>143222</v>
      </c>
      <c r="E3" s="0" t="n">
        <v>57.2</v>
      </c>
      <c r="F3" s="0" t="n">
        <v>69314</v>
      </c>
      <c r="H3" s="0" t="n">
        <v>105792</v>
      </c>
      <c r="I3" s="0" t="n">
        <v>63985</v>
      </c>
      <c r="K3" s="0" t="n">
        <v>3.06</v>
      </c>
      <c r="L3" s="0" t="n">
        <v>125805</v>
      </c>
      <c r="N3" s="0" t="n">
        <v>99996</v>
      </c>
      <c r="O3" s="0" t="n">
        <v>365822</v>
      </c>
      <c r="P3" s="0" t="n">
        <v>717124</v>
      </c>
      <c r="Q3" s="0" t="n">
        <v>277685</v>
      </c>
      <c r="R3" s="0" t="n">
        <v>125553</v>
      </c>
      <c r="S3" s="0" t="n">
        <v>199307</v>
      </c>
      <c r="T3" s="0" t="n">
        <v>20881</v>
      </c>
      <c r="AA3" s="0" t="s">
        <v>18</v>
      </c>
      <c r="AB3" s="0" t="s">
        <v>105</v>
      </c>
      <c r="AC3" s="0" t="n">
        <v>3.9</v>
      </c>
      <c r="AD3" s="0" t="n">
        <v>97003</v>
      </c>
      <c r="AE3" s="0" t="n">
        <v>214020</v>
      </c>
      <c r="AF3" s="0" t="n">
        <v>13390</v>
      </c>
    </row>
    <row r="4" customFormat="false" ht="15" hidden="false" customHeight="false" outlineLevel="0" collapsed="false">
      <c r="A4" s="0" t="s">
        <v>107</v>
      </c>
      <c r="B4" s="0" t="n">
        <v>376844</v>
      </c>
      <c r="D4" s="0" t="n">
        <v>169915</v>
      </c>
      <c r="E4" s="0" t="n">
        <v>45.1</v>
      </c>
      <c r="F4" s="0" t="n">
        <v>57084</v>
      </c>
      <c r="H4" s="0" t="n">
        <v>121943</v>
      </c>
      <c r="I4" s="0" t="n">
        <v>87600</v>
      </c>
      <c r="K4" s="0" t="n">
        <v>4.17</v>
      </c>
      <c r="L4" s="0" t="n">
        <v>150975</v>
      </c>
      <c r="N4" s="0" t="n">
        <v>104478</v>
      </c>
      <c r="O4" s="0" t="n">
        <v>492257</v>
      </c>
      <c r="P4" s="0" t="n">
        <v>965076</v>
      </c>
      <c r="Q4" s="0" t="n">
        <v>349674</v>
      </c>
      <c r="R4" s="0" t="n">
        <v>134300</v>
      </c>
      <c r="S4" s="0" t="n">
        <v>189976</v>
      </c>
      <c r="T4" s="0" t="n">
        <v>20988</v>
      </c>
      <c r="AA4" s="0" t="s">
        <v>18</v>
      </c>
      <c r="AB4" s="0" t="s">
        <v>105</v>
      </c>
      <c r="AC4" s="0" t="n">
        <v>4.97</v>
      </c>
      <c r="AD4" s="0" t="n">
        <v>106981</v>
      </c>
      <c r="AE4" s="0" t="n">
        <v>323400</v>
      </c>
      <c r="AF4" s="0" t="n">
        <v>24702</v>
      </c>
      <c r="AI4" s="0" t="n">
        <v>3262</v>
      </c>
      <c r="AJ4" s="0" t="n">
        <v>0</v>
      </c>
    </row>
    <row r="5" customFormat="false" ht="15" hidden="false" customHeight="false" outlineLevel="0" collapsed="false">
      <c r="A5" s="0" t="s">
        <v>108</v>
      </c>
      <c r="B5" s="0" t="n">
        <v>509711</v>
      </c>
      <c r="D5" s="0" t="n">
        <v>227344</v>
      </c>
      <c r="E5" s="0" t="n">
        <v>44.6</v>
      </c>
      <c r="F5" s="0" t="n">
        <v>91430</v>
      </c>
      <c r="H5" s="0" t="n">
        <v>157659</v>
      </c>
      <c r="I5" s="0" t="n">
        <v>149263</v>
      </c>
      <c r="K5" s="0" t="n">
        <v>6.99</v>
      </c>
      <c r="L5" s="0" t="n">
        <v>180607</v>
      </c>
      <c r="N5" s="0" t="n">
        <v>130914</v>
      </c>
      <c r="O5" s="0" t="n">
        <v>755401</v>
      </c>
      <c r="P5" s="0" t="n">
        <v>1312985</v>
      </c>
      <c r="Q5" s="0" t="n">
        <v>433334</v>
      </c>
      <c r="R5" s="0" t="n">
        <v>125430</v>
      </c>
      <c r="S5" s="0" t="n">
        <v>330503</v>
      </c>
      <c r="T5" s="0" t="n">
        <v>21346</v>
      </c>
      <c r="AA5" s="0" t="s">
        <v>18</v>
      </c>
      <c r="AB5" s="0" t="s">
        <v>105</v>
      </c>
      <c r="AC5" s="0" t="n">
        <v>7.9</v>
      </c>
      <c r="AD5" s="0" t="n">
        <v>137136</v>
      </c>
      <c r="AE5" s="0" t="n">
        <v>379172</v>
      </c>
      <c r="AF5" s="0" t="n">
        <v>40016</v>
      </c>
      <c r="AG5" s="0" t="n">
        <v>51902</v>
      </c>
      <c r="AH5" s="0" t="n">
        <v>47286</v>
      </c>
      <c r="AI5" s="0" t="n">
        <v>28478</v>
      </c>
      <c r="AJ5" s="0" t="n">
        <v>0</v>
      </c>
    </row>
    <row r="6" customFormat="false" ht="15" hidden="false" customHeight="false" outlineLevel="0" collapsed="false">
      <c r="A6" s="0" t="s">
        <v>109</v>
      </c>
      <c r="B6" s="0" t="n">
        <v>717289</v>
      </c>
      <c r="D6" s="0" t="n">
        <v>296084</v>
      </c>
      <c r="E6" s="0" t="n">
        <v>41.3</v>
      </c>
      <c r="F6" s="0" t="n">
        <v>89678</v>
      </c>
      <c r="H6" s="0" t="n">
        <v>196842</v>
      </c>
      <c r="I6" s="0" t="n">
        <v>150308</v>
      </c>
      <c r="K6" s="0" t="n">
        <v>6.84</v>
      </c>
      <c r="L6" s="0" t="n">
        <v>231786</v>
      </c>
      <c r="N6" s="0" t="n">
        <v>172662</v>
      </c>
      <c r="O6" s="0" t="n">
        <v>937470</v>
      </c>
      <c r="P6" s="0" t="n">
        <v>1690218</v>
      </c>
      <c r="Q6" s="0" t="n">
        <v>606584</v>
      </c>
      <c r="R6" s="0" t="n">
        <v>149153</v>
      </c>
      <c r="S6" s="0" t="n">
        <v>321262</v>
      </c>
      <c r="T6" s="0" t="n">
        <v>21982</v>
      </c>
      <c r="AA6" s="0" t="s">
        <v>18</v>
      </c>
      <c r="AB6" s="0" t="s">
        <v>105</v>
      </c>
      <c r="AC6" s="0" t="n">
        <v>8.35</v>
      </c>
      <c r="AD6" s="0" t="n">
        <v>170453</v>
      </c>
      <c r="AE6" s="0" t="n">
        <v>501379</v>
      </c>
      <c r="AF6" s="0" t="n">
        <v>60558</v>
      </c>
      <c r="AG6" s="0" t="n">
        <v>48851</v>
      </c>
      <c r="AH6" s="0" t="n">
        <v>37258</v>
      </c>
      <c r="AI6" s="0" t="n">
        <v>152376</v>
      </c>
      <c r="AJ6" s="0" t="n">
        <v>0</v>
      </c>
    </row>
    <row r="7" customFormat="false" ht="15" hidden="false" customHeight="false" outlineLevel="0" collapsed="false">
      <c r="A7" s="0" t="s">
        <v>110</v>
      </c>
      <c r="B7" s="0" t="n">
        <v>853062</v>
      </c>
      <c r="D7" s="0" t="n">
        <v>313612</v>
      </c>
      <c r="E7" s="0" t="n">
        <v>36.8</v>
      </c>
      <c r="F7" s="0" t="n">
        <v>69638</v>
      </c>
      <c r="H7" s="0" t="n">
        <v>158205</v>
      </c>
      <c r="I7" s="0" t="n">
        <v>61959</v>
      </c>
      <c r="K7" s="0" t="n">
        <v>2.84</v>
      </c>
      <c r="L7" s="0" t="n">
        <v>142759</v>
      </c>
      <c r="N7" s="0" t="n">
        <v>98874</v>
      </c>
      <c r="O7" s="0" t="n">
        <v>948479</v>
      </c>
      <c r="P7" s="0" t="n">
        <v>1695553</v>
      </c>
      <c r="Q7" s="0" t="n">
        <v>613360</v>
      </c>
      <c r="R7" s="0" t="n">
        <v>141344</v>
      </c>
      <c r="S7" s="0" t="n">
        <v>189898</v>
      </c>
      <c r="T7" s="0" t="n">
        <v>21787</v>
      </c>
      <c r="AA7" s="0" t="s">
        <v>18</v>
      </c>
      <c r="AB7" s="0" t="s">
        <v>105</v>
      </c>
      <c r="AC7" s="0" t="n">
        <v>3.58</v>
      </c>
      <c r="AD7" s="0" t="n">
        <v>130397</v>
      </c>
      <c r="AE7" s="0" t="n">
        <v>429930</v>
      </c>
      <c r="AF7" s="0" t="n">
        <v>102016</v>
      </c>
      <c r="AG7" s="0" t="n">
        <v>62185</v>
      </c>
      <c r="AH7" s="0" t="n">
        <v>66808</v>
      </c>
      <c r="AI7" s="0" t="n">
        <v>256514</v>
      </c>
      <c r="AJ7" s="0" t="n">
        <v>0</v>
      </c>
    </row>
    <row r="8" customFormat="false" ht="15" hidden="false" customHeight="false" outlineLevel="0" collapsed="false">
      <c r="A8" s="0" t="s">
        <v>111</v>
      </c>
      <c r="B8" s="0" t="n">
        <v>868687</v>
      </c>
      <c r="D8" s="0" t="n">
        <v>318992</v>
      </c>
      <c r="E8" s="0" t="n">
        <v>36.7</v>
      </c>
      <c r="F8" s="0" t="n">
        <v>100351</v>
      </c>
      <c r="H8" s="0" t="n">
        <v>175710</v>
      </c>
      <c r="I8" s="0" t="n">
        <v>72509</v>
      </c>
      <c r="K8" s="0" t="n">
        <v>3.43</v>
      </c>
      <c r="L8" s="0" t="n">
        <v>199752</v>
      </c>
      <c r="N8" s="0" t="n">
        <v>171663</v>
      </c>
      <c r="O8" s="0" t="n">
        <v>989657</v>
      </c>
      <c r="P8" s="0" t="n">
        <v>1753044</v>
      </c>
      <c r="Q8" s="0" t="n">
        <v>630123</v>
      </c>
      <c r="R8" s="0" t="n">
        <v>161354</v>
      </c>
      <c r="S8" s="0" t="n">
        <v>193086</v>
      </c>
      <c r="T8" s="0" t="n">
        <v>21114</v>
      </c>
      <c r="AA8" s="0" t="s">
        <v>18</v>
      </c>
      <c r="AB8" s="0" t="s">
        <v>105</v>
      </c>
      <c r="AC8" s="0" t="n">
        <v>4</v>
      </c>
      <c r="AD8" s="0" t="n">
        <v>147911</v>
      </c>
      <c r="AE8" s="0" t="n">
        <v>413206</v>
      </c>
      <c r="AF8" s="0" t="n">
        <v>103497</v>
      </c>
      <c r="AG8" s="0" t="n">
        <v>70506</v>
      </c>
      <c r="AH8" s="0" t="n">
        <v>77512</v>
      </c>
      <c r="AI8" s="0" t="n">
        <v>326492</v>
      </c>
      <c r="AJ8" s="0" t="n">
        <v>40736</v>
      </c>
    </row>
    <row r="9" customFormat="false" ht="15" hidden="false" customHeight="false" outlineLevel="0" collapsed="false">
      <c r="A9" s="0" t="s">
        <v>112</v>
      </c>
      <c r="B9" s="0" t="n">
        <v>941168</v>
      </c>
      <c r="D9" s="0" t="n">
        <v>354845</v>
      </c>
      <c r="E9" s="0" t="n">
        <v>37.7</v>
      </c>
      <c r="F9" s="0" t="n">
        <v>113350</v>
      </c>
      <c r="H9" s="0" t="n">
        <v>191668</v>
      </c>
      <c r="I9" s="0" t="n">
        <v>79741</v>
      </c>
      <c r="K9" s="0" t="n">
        <v>3.91</v>
      </c>
      <c r="L9" s="0" t="n">
        <v>182593</v>
      </c>
      <c r="N9" s="0" t="n">
        <v>156210</v>
      </c>
      <c r="O9" s="0" t="n">
        <v>986544</v>
      </c>
      <c r="P9" s="0" t="n">
        <v>1764829</v>
      </c>
      <c r="Q9" s="0" t="n">
        <v>652230</v>
      </c>
      <c r="R9" s="0" t="n">
        <v>170776</v>
      </c>
      <c r="S9" s="0" t="n">
        <v>248125</v>
      </c>
      <c r="T9" s="0" t="n">
        <v>20359</v>
      </c>
      <c r="AA9" s="0" t="s">
        <v>18</v>
      </c>
      <c r="AB9" s="0" t="s">
        <v>105</v>
      </c>
      <c r="AC9" s="0" t="n">
        <v>4.33</v>
      </c>
      <c r="AD9" s="0" t="n">
        <v>165028</v>
      </c>
      <c r="AE9" s="0" t="n">
        <v>490101</v>
      </c>
      <c r="AF9" s="0" t="n">
        <v>106374</v>
      </c>
      <c r="AG9" s="0" t="n">
        <v>102598</v>
      </c>
      <c r="AH9" s="0" t="n">
        <v>99020</v>
      </c>
      <c r="AI9" s="0" t="n">
        <v>262955</v>
      </c>
      <c r="AJ9" s="0" t="n">
        <v>106150</v>
      </c>
    </row>
    <row r="10" customFormat="false" ht="15" hidden="false" customHeight="false" outlineLevel="0" collapsed="false">
      <c r="A10" s="0" t="s">
        <v>113</v>
      </c>
      <c r="B10" s="0" t="n">
        <v>996347</v>
      </c>
      <c r="D10" s="0" t="n">
        <v>398062</v>
      </c>
      <c r="E10" s="0" t="n">
        <v>39.9</v>
      </c>
      <c r="F10" s="0" t="n">
        <v>140905</v>
      </c>
      <c r="H10" s="0" t="n">
        <v>202325</v>
      </c>
      <c r="I10" s="0" t="n">
        <v>129470</v>
      </c>
      <c r="K10" s="0" t="n">
        <v>6.7</v>
      </c>
      <c r="L10" s="0" t="n">
        <v>163509</v>
      </c>
      <c r="N10" s="0" t="n">
        <v>73870</v>
      </c>
      <c r="O10" s="0" t="n">
        <v>1009858</v>
      </c>
      <c r="P10" s="0" t="n">
        <v>1804227</v>
      </c>
      <c r="Q10" s="0" t="n">
        <v>714121</v>
      </c>
      <c r="R10" s="0" t="n">
        <v>230703</v>
      </c>
      <c r="S10" s="0" t="n">
        <v>145487</v>
      </c>
      <c r="T10" s="0" t="n">
        <v>19318</v>
      </c>
      <c r="AA10" s="0" t="s">
        <v>18</v>
      </c>
      <c r="AB10" s="0" t="s">
        <v>105</v>
      </c>
      <c r="AC10" s="0" t="n">
        <v>7.39</v>
      </c>
      <c r="AD10" s="0" t="n">
        <v>173065</v>
      </c>
      <c r="AE10" s="0" t="n">
        <v>508380</v>
      </c>
      <c r="AF10" s="0" t="n">
        <v>118028</v>
      </c>
      <c r="AG10" s="0" t="n">
        <v>132300</v>
      </c>
      <c r="AH10" s="0" t="n">
        <v>101272</v>
      </c>
      <c r="AI10" s="0" t="n">
        <v>228826</v>
      </c>
      <c r="AJ10" s="0" t="n">
        <v>228016</v>
      </c>
    </row>
    <row r="11" customFormat="false" ht="15" hidden="false" customHeight="false" outlineLevel="0" collapsed="false">
      <c r="A11" s="0" t="s">
        <v>114</v>
      </c>
      <c r="B11" s="0" t="n">
        <v>1023670</v>
      </c>
      <c r="D11" s="0" t="n">
        <v>407534</v>
      </c>
      <c r="E11" s="0" t="n">
        <v>39.8</v>
      </c>
      <c r="F11" s="0" t="n">
        <v>50150</v>
      </c>
      <c r="H11" s="0" t="n">
        <v>113483</v>
      </c>
      <c r="I11" s="0" t="n">
        <v>105904</v>
      </c>
      <c r="K11" s="0" t="n">
        <v>5.5</v>
      </c>
      <c r="L11" s="0" t="n">
        <v>76213</v>
      </c>
      <c r="N11" s="0" t="n">
        <v>-46609</v>
      </c>
      <c r="O11" s="0" t="n">
        <v>1060886</v>
      </c>
      <c r="P11" s="0" t="n">
        <v>1909570</v>
      </c>
      <c r="Q11" s="0" t="n">
        <v>783300</v>
      </c>
      <c r="R11" s="0" t="n">
        <v>259996</v>
      </c>
      <c r="S11" s="0" t="n">
        <v>131530</v>
      </c>
      <c r="T11" s="0" t="n">
        <v>19235</v>
      </c>
      <c r="AA11" s="0" t="s">
        <v>18</v>
      </c>
      <c r="AB11" s="0" t="s">
        <v>105</v>
      </c>
      <c r="AC11" s="0" t="n">
        <v>6.38</v>
      </c>
      <c r="AD11" s="0" t="n">
        <v>76416</v>
      </c>
      <c r="AE11" s="0" t="n">
        <v>554217</v>
      </c>
      <c r="AF11" s="0" t="n">
        <v>158132</v>
      </c>
      <c r="AG11" s="0" t="n">
        <v>144170</v>
      </c>
      <c r="AH11" s="0" t="n">
        <v>0</v>
      </c>
      <c r="AI11" s="0" t="n">
        <v>155310</v>
      </c>
      <c r="AJ11" s="0" t="n">
        <v>238075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115</v>
      </c>
      <c r="B1" s="2" t="s">
        <v>38</v>
      </c>
    </row>
    <row r="2" customFormat="false" ht="15" hidden="false" customHeight="false" outlineLevel="0" collapsed="false">
      <c r="A2" s="0" t="s">
        <v>116</v>
      </c>
      <c r="B2" s="3" t="n">
        <v>104.41</v>
      </c>
    </row>
    <row r="3" customFormat="false" ht="15" hidden="false" customHeight="false" outlineLevel="0" collapsed="false">
      <c r="A3" s="0" t="s">
        <v>117</v>
      </c>
      <c r="B3" s="3" t="n">
        <v>2504.25</v>
      </c>
    </row>
    <row r="4" customFormat="false" ht="15" hidden="false" customHeight="false" outlineLevel="0" collapsed="false">
      <c r="A4" s="0" t="s">
        <v>118</v>
      </c>
      <c r="B4" s="3" t="n">
        <v>-275877</v>
      </c>
    </row>
    <row r="5" customFormat="false" ht="15" hidden="false" customHeight="false" outlineLevel="0" collapsed="false">
      <c r="A5" s="0" t="s">
        <v>119</v>
      </c>
      <c r="B5" s="3" t="n">
        <v>189814</v>
      </c>
    </row>
    <row r="6" customFormat="false" ht="15" hidden="false" customHeight="false" outlineLevel="0" collapsed="false">
      <c r="A6" s="0" t="s">
        <v>120</v>
      </c>
      <c r="B6" s="3" t="n">
        <v>15</v>
      </c>
    </row>
    <row r="7" customFormat="false" ht="15" hidden="false" customHeight="false" outlineLevel="0" collapsed="false">
      <c r="A7" s="0" t="s">
        <v>121</v>
      </c>
      <c r="B7" s="3" t="n">
        <v>1023670</v>
      </c>
    </row>
    <row r="8" customFormat="false" ht="15" hidden="false" customHeight="false" outlineLevel="0" collapsed="false">
      <c r="A8" s="0" t="s">
        <v>122</v>
      </c>
      <c r="B8" s="3" t="s">
        <v>114</v>
      </c>
    </row>
    <row r="9" customFormat="false" ht="15" hidden="false" customHeight="false" outlineLevel="0" collapsed="false">
      <c r="A9" s="0" t="s">
        <v>123</v>
      </c>
      <c r="B9" s="3" t="s">
        <v>124</v>
      </c>
    </row>
    <row r="10" customFormat="false" ht="15" hidden="false" customHeight="false" outlineLevel="0" collapsed="false">
      <c r="A10" s="0" t="s">
        <v>125</v>
      </c>
      <c r="B10" s="3" t="n">
        <v>0.149817</v>
      </c>
    </row>
    <row r="12" customFormat="false" ht="15" hidden="false" customHeight="false" outlineLevel="0" collapsed="false">
      <c r="A12" s="2" t="s">
        <v>126</v>
      </c>
      <c r="C12" s="2" t="s">
        <v>127</v>
      </c>
      <c r="D12" s="2" t="s">
        <v>128</v>
      </c>
      <c r="E12" s="2" t="s">
        <v>129</v>
      </c>
      <c r="F12" s="2" t="s">
        <v>130</v>
      </c>
      <c r="G12" s="2" t="s">
        <v>131</v>
      </c>
      <c r="H12" s="2" t="s">
        <v>132</v>
      </c>
      <c r="I12" s="2" t="s">
        <v>133</v>
      </c>
      <c r="J12" s="2" t="s">
        <v>134</v>
      </c>
      <c r="K12" s="2" t="s">
        <v>135</v>
      </c>
      <c r="L12" s="2" t="s">
        <v>136</v>
      </c>
    </row>
    <row r="13" customFormat="false" ht="15" hidden="false" customHeight="false" outlineLevel="0" collapsed="false">
      <c r="A13" s="0" t="s">
        <v>137</v>
      </c>
      <c r="C13" s="3" t="n">
        <v>6</v>
      </c>
      <c r="D13" s="3" t="n">
        <v>5</v>
      </c>
      <c r="E13" s="3" t="n">
        <v>4.5</v>
      </c>
      <c r="F13" s="3" t="n">
        <v>4</v>
      </c>
      <c r="G13" s="3" t="n">
        <v>3.5</v>
      </c>
      <c r="H13" s="3" t="n">
        <v>3</v>
      </c>
      <c r="I13" s="3" t="n">
        <v>3</v>
      </c>
      <c r="J13" s="3" t="n">
        <v>2.5</v>
      </c>
      <c r="K13" s="3" t="n">
        <v>2.5</v>
      </c>
      <c r="L13" s="3" t="n">
        <v>2</v>
      </c>
    </row>
    <row r="14" customFormat="false" ht="15" hidden="false" customHeight="false" outlineLevel="0" collapsed="false">
      <c r="A14" s="0" t="s">
        <v>138</v>
      </c>
      <c r="C14" s="3" t="n">
        <v>12</v>
      </c>
      <c r="D14" s="3" t="n">
        <v>13</v>
      </c>
      <c r="E14" s="3" t="n">
        <v>14</v>
      </c>
      <c r="F14" s="3" t="n">
        <v>15</v>
      </c>
      <c r="G14" s="3" t="n">
        <v>15.5</v>
      </c>
      <c r="H14" s="3" t="n">
        <v>16</v>
      </c>
      <c r="I14" s="3" t="n">
        <v>16.5</v>
      </c>
      <c r="J14" s="3" t="n">
        <v>17</v>
      </c>
      <c r="K14" s="3" t="n">
        <v>17</v>
      </c>
      <c r="L14" s="3" t="n">
        <v>17</v>
      </c>
    </row>
    <row r="15" customFormat="false" ht="15" hidden="false" customHeight="false" outlineLevel="0" collapsed="false">
      <c r="A15" s="0" t="s">
        <v>139</v>
      </c>
      <c r="C15" s="3" t="n">
        <v>1.3</v>
      </c>
      <c r="D15" s="3" t="n">
        <v>1.3</v>
      </c>
      <c r="E15" s="3" t="n">
        <v>1.3</v>
      </c>
      <c r="F15" s="3" t="n">
        <v>1.3</v>
      </c>
      <c r="G15" s="3" t="n">
        <v>1.3</v>
      </c>
      <c r="H15" s="3" t="n">
        <v>1.3</v>
      </c>
      <c r="I15" s="3" t="n">
        <v>1.3</v>
      </c>
      <c r="J15" s="3" t="n">
        <v>1.3</v>
      </c>
      <c r="K15" s="3" t="n">
        <v>1.25</v>
      </c>
      <c r="L15" s="3" t="n">
        <v>1.25</v>
      </c>
    </row>
    <row r="16" customFormat="false" ht="15" hidden="false" customHeight="false" outlineLevel="0" collapsed="false">
      <c r="A16" s="0" t="s">
        <v>140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141</v>
      </c>
      <c r="C17" s="3" t="n">
        <v>5.5</v>
      </c>
      <c r="D17" s="3" t="n">
        <v>7.5</v>
      </c>
      <c r="E17" s="3" t="n">
        <v>9.5</v>
      </c>
      <c r="F17" s="3" t="n">
        <v>10.5</v>
      </c>
      <c r="G17" s="3" t="n">
        <v>10.5</v>
      </c>
      <c r="H17" s="3" t="n">
        <v>10</v>
      </c>
      <c r="I17" s="3" t="n">
        <v>9.5</v>
      </c>
      <c r="J17" s="3" t="n">
        <v>9</v>
      </c>
      <c r="K17" s="3" t="n">
        <v>8.5</v>
      </c>
      <c r="L17" s="3" t="n">
        <v>8</v>
      </c>
    </row>
    <row r="18" customFormat="false" ht="15" hidden="false" customHeight="false" outlineLevel="0" collapsed="false">
      <c r="A18" s="0" t="s">
        <v>142</v>
      </c>
      <c r="C18" s="3" t="n">
        <v>24</v>
      </c>
      <c r="D18" s="3" t="n">
        <v>22</v>
      </c>
      <c r="E18" s="3" t="n">
        <v>17</v>
      </c>
      <c r="F18" s="3" t="n">
        <v>13</v>
      </c>
      <c r="G18" s="3" t="n">
        <v>10.5</v>
      </c>
      <c r="H18" s="3" t="n">
        <v>9</v>
      </c>
      <c r="I18" s="3" t="n">
        <v>8.5</v>
      </c>
      <c r="J18" s="3" t="n">
        <v>8</v>
      </c>
      <c r="K18" s="3" t="n">
        <v>8</v>
      </c>
      <c r="L18" s="3" t="n">
        <v>8</v>
      </c>
    </row>
    <row r="19" customFormat="false" ht="15" hidden="false" customHeight="false" outlineLevel="0" collapsed="false">
      <c r="A19" s="0" t="s">
        <v>143</v>
      </c>
      <c r="C19" s="3" t="n">
        <v>18</v>
      </c>
      <c r="D19" s="3" t="n">
        <v>18</v>
      </c>
      <c r="E19" s="3" t="n">
        <v>18</v>
      </c>
      <c r="F19" s="3" t="n">
        <v>18</v>
      </c>
      <c r="G19" s="3" t="n">
        <v>18</v>
      </c>
      <c r="H19" s="3" t="n">
        <v>18</v>
      </c>
      <c r="I19" s="3" t="n">
        <v>18</v>
      </c>
      <c r="J19" s="3" t="n">
        <v>18</v>
      </c>
      <c r="K19" s="3" t="n">
        <v>18</v>
      </c>
      <c r="L19" s="3" t="n">
        <v>18</v>
      </c>
    </row>
    <row r="20" customFormat="false" ht="15" hidden="false" customHeight="false" outlineLevel="0" collapsed="false">
      <c r="A20" s="0" t="s">
        <v>144</v>
      </c>
      <c r="B20" s="3" t="n">
        <v>10</v>
      </c>
    </row>
    <row r="21" customFormat="false" ht="15" hidden="false" customHeight="false" outlineLevel="0" collapsed="false">
      <c r="A21" s="0" t="s">
        <v>145</v>
      </c>
      <c r="B21" s="3" t="n">
        <v>2</v>
      </c>
    </row>
    <row r="22" customFormat="false" ht="15" hidden="false" customHeight="false" outlineLevel="0" collapsed="false">
      <c r="A22" s="0" t="s">
        <v>146</v>
      </c>
      <c r="B22" s="3" t="n">
        <v>12</v>
      </c>
    </row>
    <row r="23" customFormat="false" ht="15" hidden="false" customHeight="false" outlineLevel="0" collapsed="false">
      <c r="A23" s="0" t="s">
        <v>147</v>
      </c>
      <c r="B23" s="3" t="n">
        <v>0</v>
      </c>
    </row>
    <row r="24" customFormat="false" ht="15" hidden="false" customHeight="false" outlineLevel="0" collapsed="false">
      <c r="A24" s="0" t="s">
        <v>148</v>
      </c>
      <c r="B24" s="3" t="n">
        <v>0.3</v>
      </c>
    </row>
    <row r="26" customFormat="false" ht="15" hidden="false" customHeight="false" outlineLevel="0" collapsed="false">
      <c r="A26" s="2" t="s">
        <v>149</v>
      </c>
      <c r="C26" s="2" t="s">
        <v>127</v>
      </c>
      <c r="D26" s="2" t="s">
        <v>128</v>
      </c>
      <c r="E26" s="2" t="s">
        <v>129</v>
      </c>
      <c r="F26" s="2" t="s">
        <v>130</v>
      </c>
      <c r="G26" s="2" t="s">
        <v>131</v>
      </c>
      <c r="H26" s="2" t="s">
        <v>132</v>
      </c>
      <c r="I26" s="2" t="s">
        <v>133</v>
      </c>
      <c r="J26" s="2" t="s">
        <v>134</v>
      </c>
      <c r="K26" s="2" t="s">
        <v>135</v>
      </c>
      <c r="L26" s="2" t="s">
        <v>136</v>
      </c>
    </row>
    <row r="27" customFormat="false" ht="15" hidden="false" customHeight="false" outlineLevel="0" collapsed="false">
      <c r="A27" s="0" t="s">
        <v>137</v>
      </c>
      <c r="C27" s="3" t="n">
        <v>9</v>
      </c>
      <c r="D27" s="3" t="n">
        <v>9</v>
      </c>
      <c r="E27" s="3" t="n">
        <v>8.5</v>
      </c>
      <c r="F27" s="3" t="n">
        <v>8</v>
      </c>
      <c r="G27" s="3" t="n">
        <v>7</v>
      </c>
      <c r="H27" s="3" t="n">
        <v>6</v>
      </c>
      <c r="I27" s="3" t="n">
        <v>5.5</v>
      </c>
      <c r="J27" s="3" t="n">
        <v>5</v>
      </c>
      <c r="K27" s="3" t="n">
        <v>4.5</v>
      </c>
      <c r="L27" s="3" t="n">
        <v>4</v>
      </c>
    </row>
    <row r="28" customFormat="false" ht="15" hidden="false" customHeight="false" outlineLevel="0" collapsed="false">
      <c r="A28" s="0" t="s">
        <v>138</v>
      </c>
      <c r="C28" s="3" t="n">
        <v>13.5</v>
      </c>
      <c r="D28" s="3" t="n">
        <v>15.5</v>
      </c>
      <c r="E28" s="3" t="n">
        <v>17</v>
      </c>
      <c r="F28" s="3" t="n">
        <v>18.5</v>
      </c>
      <c r="G28" s="3" t="n">
        <v>19.5</v>
      </c>
      <c r="H28" s="3" t="n">
        <v>20.5</v>
      </c>
      <c r="I28" s="3" t="n">
        <v>21</v>
      </c>
      <c r="J28" s="3" t="n">
        <v>21.5</v>
      </c>
      <c r="K28" s="3" t="n">
        <v>22</v>
      </c>
      <c r="L28" s="3" t="n">
        <v>22</v>
      </c>
    </row>
    <row r="29" customFormat="false" ht="15" hidden="false" customHeight="false" outlineLevel="0" collapsed="false">
      <c r="A29" s="0" t="s">
        <v>139</v>
      </c>
      <c r="C29" s="3" t="n">
        <v>1.3</v>
      </c>
      <c r="D29" s="3" t="n">
        <v>1.3</v>
      </c>
      <c r="E29" s="3" t="n">
        <v>1.3</v>
      </c>
      <c r="F29" s="3" t="n">
        <v>1.3</v>
      </c>
      <c r="G29" s="3" t="n">
        <v>1.3</v>
      </c>
      <c r="H29" s="3" t="n">
        <v>1.3</v>
      </c>
      <c r="I29" s="3" t="n">
        <v>1.3</v>
      </c>
      <c r="J29" s="3" t="n">
        <v>1.3</v>
      </c>
      <c r="K29" s="3" t="n">
        <v>1.25</v>
      </c>
      <c r="L29" s="3" t="n">
        <v>1.25</v>
      </c>
    </row>
    <row r="30" customFormat="false" ht="15" hidden="false" customHeight="false" outlineLevel="0" collapsed="false">
      <c r="A30" s="0" t="s">
        <v>140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141</v>
      </c>
      <c r="C31" s="3" t="n">
        <v>5.5</v>
      </c>
      <c r="D31" s="3" t="n">
        <v>7.5</v>
      </c>
      <c r="E31" s="3" t="n">
        <v>9</v>
      </c>
      <c r="F31" s="3" t="n">
        <v>10</v>
      </c>
      <c r="G31" s="3" t="n">
        <v>10</v>
      </c>
      <c r="H31" s="3" t="n">
        <v>9.5</v>
      </c>
      <c r="I31" s="3" t="n">
        <v>9.5</v>
      </c>
      <c r="J31" s="3" t="n">
        <v>9</v>
      </c>
      <c r="K31" s="3" t="n">
        <v>9</v>
      </c>
      <c r="L31" s="3" t="n">
        <v>9</v>
      </c>
    </row>
    <row r="32" customFormat="false" ht="15" hidden="false" customHeight="false" outlineLevel="0" collapsed="false">
      <c r="A32" s="0" t="s">
        <v>142</v>
      </c>
      <c r="C32" s="3" t="n">
        <v>23</v>
      </c>
      <c r="D32" s="3" t="n">
        <v>21</v>
      </c>
      <c r="E32" s="3" t="n">
        <v>17</v>
      </c>
      <c r="F32" s="3" t="n">
        <v>14.5</v>
      </c>
      <c r="G32" s="3" t="n">
        <v>12.5</v>
      </c>
      <c r="H32" s="3" t="n">
        <v>11</v>
      </c>
      <c r="I32" s="3" t="n">
        <v>10.5</v>
      </c>
      <c r="J32" s="3" t="n">
        <v>10</v>
      </c>
      <c r="K32" s="3" t="n">
        <v>9.5</v>
      </c>
      <c r="L32" s="3" t="n">
        <v>9.5</v>
      </c>
    </row>
    <row r="33" customFormat="false" ht="15" hidden="false" customHeight="false" outlineLevel="0" collapsed="false">
      <c r="A33" s="0" t="s">
        <v>143</v>
      </c>
      <c r="C33" s="3" t="n">
        <v>18</v>
      </c>
      <c r="D33" s="3" t="n">
        <v>18</v>
      </c>
      <c r="E33" s="3" t="n">
        <v>18</v>
      </c>
      <c r="F33" s="3" t="n">
        <v>18</v>
      </c>
      <c r="G33" s="3" t="n">
        <v>18</v>
      </c>
      <c r="H33" s="3" t="n">
        <v>18</v>
      </c>
      <c r="I33" s="3" t="n">
        <v>18</v>
      </c>
      <c r="J33" s="3" t="n">
        <v>18</v>
      </c>
      <c r="K33" s="3" t="n">
        <v>18</v>
      </c>
      <c r="L33" s="3" t="n">
        <v>18</v>
      </c>
    </row>
    <row r="34" customFormat="false" ht="15" hidden="false" customHeight="false" outlineLevel="0" collapsed="false">
      <c r="A34" s="0" t="s">
        <v>144</v>
      </c>
      <c r="B34" s="3" t="n">
        <v>10</v>
      </c>
    </row>
    <row r="35" customFormat="false" ht="15" hidden="false" customHeight="false" outlineLevel="0" collapsed="false">
      <c r="A35" s="0" t="s">
        <v>145</v>
      </c>
      <c r="B35" s="3" t="n">
        <v>3</v>
      </c>
    </row>
    <row r="36" customFormat="false" ht="15" hidden="false" customHeight="false" outlineLevel="0" collapsed="false">
      <c r="A36" s="0" t="s">
        <v>146</v>
      </c>
      <c r="B36" s="3" t="n">
        <v>15</v>
      </c>
    </row>
    <row r="37" customFormat="false" ht="15" hidden="false" customHeight="false" outlineLevel="0" collapsed="false">
      <c r="A37" s="0" t="s">
        <v>147</v>
      </c>
      <c r="B37" s="3" t="n">
        <v>0</v>
      </c>
    </row>
    <row r="38" customFormat="false" ht="15" hidden="false" customHeight="false" outlineLevel="0" collapsed="false">
      <c r="A38" s="0" t="s">
        <v>148</v>
      </c>
      <c r="B38" s="3" t="n">
        <v>0.5</v>
      </c>
    </row>
    <row r="40" customFormat="false" ht="15" hidden="false" customHeight="false" outlineLevel="0" collapsed="false">
      <c r="A40" s="2" t="s">
        <v>150</v>
      </c>
      <c r="C40" s="2" t="s">
        <v>127</v>
      </c>
      <c r="D40" s="2" t="s">
        <v>128</v>
      </c>
      <c r="E40" s="2" t="s">
        <v>129</v>
      </c>
      <c r="F40" s="2" t="s">
        <v>130</v>
      </c>
      <c r="G40" s="2" t="s">
        <v>131</v>
      </c>
      <c r="H40" s="2" t="s">
        <v>132</v>
      </c>
      <c r="I40" s="2" t="s">
        <v>133</v>
      </c>
      <c r="J40" s="2" t="s">
        <v>134</v>
      </c>
      <c r="K40" s="2" t="s">
        <v>135</v>
      </c>
      <c r="L40" s="2" t="s">
        <v>136</v>
      </c>
    </row>
    <row r="41" customFormat="false" ht="15" hidden="false" customHeight="false" outlineLevel="0" collapsed="false">
      <c r="A41" s="0" t="s">
        <v>137</v>
      </c>
      <c r="C41" s="3" t="n">
        <v>11</v>
      </c>
      <c r="D41" s="3" t="n">
        <v>11</v>
      </c>
      <c r="E41" s="3" t="n">
        <v>10</v>
      </c>
      <c r="F41" s="3" t="n">
        <v>9</v>
      </c>
      <c r="G41" s="3" t="n">
        <v>8</v>
      </c>
      <c r="H41" s="3" t="n">
        <v>7</v>
      </c>
      <c r="I41" s="3" t="n">
        <v>6</v>
      </c>
      <c r="J41" s="3" t="n">
        <v>5.5</v>
      </c>
      <c r="K41" s="3" t="n">
        <v>5</v>
      </c>
      <c r="L41" s="3" t="n">
        <v>4.5</v>
      </c>
    </row>
    <row r="42" customFormat="false" ht="15" hidden="false" customHeight="false" outlineLevel="0" collapsed="false">
      <c r="A42" s="0" t="s">
        <v>138</v>
      </c>
      <c r="C42" s="3" t="n">
        <v>14.5</v>
      </c>
      <c r="D42" s="3" t="n">
        <v>17.5</v>
      </c>
      <c r="E42" s="3" t="n">
        <v>19.5</v>
      </c>
      <c r="F42" s="3" t="n">
        <v>21.5</v>
      </c>
      <c r="G42" s="3" t="n">
        <v>23</v>
      </c>
      <c r="H42" s="3" t="n">
        <v>24</v>
      </c>
      <c r="I42" s="3" t="n">
        <v>24.5</v>
      </c>
      <c r="J42" s="3" t="n">
        <v>25</v>
      </c>
      <c r="K42" s="3" t="n">
        <v>25</v>
      </c>
      <c r="L42" s="3" t="n">
        <v>25</v>
      </c>
    </row>
    <row r="43" customFormat="false" ht="15" hidden="false" customHeight="false" outlineLevel="0" collapsed="false">
      <c r="A43" s="0" t="s">
        <v>139</v>
      </c>
      <c r="C43" s="3" t="n">
        <v>1.3</v>
      </c>
      <c r="D43" s="3" t="n">
        <v>1.3</v>
      </c>
      <c r="E43" s="3" t="n">
        <v>1.3</v>
      </c>
      <c r="F43" s="3" t="n">
        <v>1.3</v>
      </c>
      <c r="G43" s="3" t="n">
        <v>1.3</v>
      </c>
      <c r="H43" s="3" t="n">
        <v>1.3</v>
      </c>
      <c r="I43" s="3" t="n">
        <v>1.3</v>
      </c>
      <c r="J43" s="3" t="n">
        <v>1.3</v>
      </c>
      <c r="K43" s="3" t="n">
        <v>1.25</v>
      </c>
      <c r="L43" s="3" t="n">
        <v>1.25</v>
      </c>
    </row>
    <row r="44" customFormat="false" ht="15" hidden="false" customHeight="false" outlineLevel="0" collapsed="false">
      <c r="A44" s="0" t="s">
        <v>140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141</v>
      </c>
      <c r="C45" s="3" t="n">
        <v>5.5</v>
      </c>
      <c r="D45" s="3" t="n">
        <v>7</v>
      </c>
      <c r="E45" s="3" t="n">
        <v>8.5</v>
      </c>
      <c r="F45" s="3" t="n">
        <v>9</v>
      </c>
      <c r="G45" s="3" t="n">
        <v>9</v>
      </c>
      <c r="H45" s="3" t="n">
        <v>9</v>
      </c>
      <c r="I45" s="3" t="n">
        <v>8.5</v>
      </c>
      <c r="J45" s="3" t="n">
        <v>8.5</v>
      </c>
      <c r="K45" s="3" t="n">
        <v>8.5</v>
      </c>
      <c r="L45" s="3" t="n">
        <v>8.5</v>
      </c>
    </row>
    <row r="46" customFormat="false" ht="15" hidden="false" customHeight="false" outlineLevel="0" collapsed="false">
      <c r="A46" s="0" t="s">
        <v>142</v>
      </c>
      <c r="C46" s="3" t="n">
        <v>22</v>
      </c>
      <c r="D46" s="3" t="n">
        <v>19</v>
      </c>
      <c r="E46" s="3" t="n">
        <v>15</v>
      </c>
      <c r="F46" s="3" t="n">
        <v>12.5</v>
      </c>
      <c r="G46" s="3" t="n">
        <v>11</v>
      </c>
      <c r="H46" s="3" t="n">
        <v>10</v>
      </c>
      <c r="I46" s="3" t="n">
        <v>9.5</v>
      </c>
      <c r="J46" s="3" t="n">
        <v>9</v>
      </c>
      <c r="K46" s="3" t="n">
        <v>9</v>
      </c>
      <c r="L46" s="3" t="n">
        <v>9</v>
      </c>
    </row>
    <row r="47" customFormat="false" ht="15" hidden="false" customHeight="false" outlineLevel="0" collapsed="false">
      <c r="A47" s="0" t="s">
        <v>143</v>
      </c>
      <c r="C47" s="3" t="n">
        <v>18</v>
      </c>
      <c r="D47" s="3" t="n">
        <v>18</v>
      </c>
      <c r="E47" s="3" t="n">
        <v>18</v>
      </c>
      <c r="F47" s="3" t="n">
        <v>18</v>
      </c>
      <c r="G47" s="3" t="n">
        <v>18</v>
      </c>
      <c r="H47" s="3" t="n">
        <v>18</v>
      </c>
      <c r="I47" s="3" t="n">
        <v>18</v>
      </c>
      <c r="J47" s="3" t="n">
        <v>18</v>
      </c>
      <c r="K47" s="3" t="n">
        <v>18</v>
      </c>
      <c r="L47" s="3" t="n">
        <v>18</v>
      </c>
    </row>
    <row r="48" customFormat="false" ht="15" hidden="false" customHeight="false" outlineLevel="0" collapsed="false">
      <c r="A48" s="0" t="s">
        <v>144</v>
      </c>
      <c r="B48" s="3" t="n">
        <v>10</v>
      </c>
    </row>
    <row r="49" customFormat="false" ht="15" hidden="false" customHeight="false" outlineLevel="0" collapsed="false">
      <c r="A49" s="0" t="s">
        <v>145</v>
      </c>
      <c r="B49" s="3" t="n">
        <v>3.5</v>
      </c>
    </row>
    <row r="50" customFormat="false" ht="15" hidden="false" customHeight="false" outlineLevel="0" collapsed="false">
      <c r="A50" s="0" t="s">
        <v>146</v>
      </c>
      <c r="B50" s="3" t="n">
        <v>15</v>
      </c>
    </row>
    <row r="51" customFormat="false" ht="15" hidden="false" customHeight="false" outlineLevel="0" collapsed="false">
      <c r="A51" s="0" t="s">
        <v>147</v>
      </c>
      <c r="B51" s="3" t="n">
        <v>0</v>
      </c>
    </row>
    <row r="52" customFormat="false" ht="15" hidden="false" customHeight="false" outlineLevel="0" collapsed="false">
      <c r="A52" s="0" t="s">
        <v>148</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152</v>
      </c>
      <c r="B3" s="0" t="s">
        <v>114</v>
      </c>
      <c r="C3" s="2" t="s">
        <v>127</v>
      </c>
      <c r="D3" s="2" t="s">
        <v>128</v>
      </c>
      <c r="E3" s="2" t="s">
        <v>129</v>
      </c>
      <c r="F3" s="2" t="s">
        <v>130</v>
      </c>
      <c r="G3" s="2" t="s">
        <v>131</v>
      </c>
      <c r="H3" s="2" t="s">
        <v>132</v>
      </c>
      <c r="I3" s="2" t="s">
        <v>133</v>
      </c>
      <c r="J3" s="2" t="s">
        <v>134</v>
      </c>
      <c r="K3" s="2" t="s">
        <v>135</v>
      </c>
      <c r="L3" s="2" t="s">
        <v>136</v>
      </c>
    </row>
    <row r="4" customFormat="false" ht="15" hidden="false" customHeight="false" outlineLevel="0" collapsed="false">
      <c r="A4" s="0" t="s">
        <v>153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137</v>
      </c>
      <c r="C5" s="4" t="n">
        <f aca="false">Assumptions!C13</f>
        <v>6</v>
      </c>
      <c r="D5" s="4" t="n">
        <f aca="false">Assumptions!D13</f>
        <v>5</v>
      </c>
      <c r="E5" s="4" t="n">
        <f aca="false">Assumptions!E13</f>
        <v>4.5</v>
      </c>
      <c r="F5" s="4" t="n">
        <f aca="false">Assumptions!F13</f>
        <v>4</v>
      </c>
      <c r="G5" s="4" t="n">
        <f aca="false">Assumptions!G13</f>
        <v>3.5</v>
      </c>
      <c r="H5" s="4" t="n">
        <f aca="false">Assumptions!H13</f>
        <v>3</v>
      </c>
      <c r="I5" s="4" t="n">
        <f aca="false">Assumptions!I13</f>
        <v>3</v>
      </c>
      <c r="J5" s="4" t="n">
        <f aca="false">Assumptions!J13</f>
        <v>2.5</v>
      </c>
      <c r="K5" s="4" t="n">
        <f aca="false">Assumptions!K13</f>
        <v>2.5</v>
      </c>
      <c r="L5" s="4" t="n">
        <f aca="false">Assumptions!L13</f>
        <v>2</v>
      </c>
    </row>
    <row r="6" customFormat="false" ht="15" hidden="false" customHeight="false" outlineLevel="0" collapsed="false">
      <c r="A6" s="0" t="s">
        <v>70</v>
      </c>
      <c r="B6" s="3" t="n">
        <v>1023670</v>
      </c>
      <c r="C6" s="0" t="n">
        <f aca="false">B6*(1+C5/100)</f>
        <v>1085090.2</v>
      </c>
      <c r="D6" s="0" t="n">
        <f aca="false">C6*(1+D5/100)</f>
        <v>1139344.71</v>
      </c>
      <c r="E6" s="0" t="n">
        <f aca="false">D6*(1+E5/100)</f>
        <v>1190615.22195</v>
      </c>
      <c r="F6" s="0" t="n">
        <f aca="false">E6*(1+F5/100)</f>
        <v>1238239.830828</v>
      </c>
      <c r="G6" s="0" t="n">
        <f aca="false">F6*(1+G5/100)</f>
        <v>1281578.22490698</v>
      </c>
      <c r="H6" s="0" t="n">
        <f aca="false">G6*(1+H5/100)</f>
        <v>1320025.57165419</v>
      </c>
      <c r="I6" s="0" t="n">
        <f aca="false">H6*(1+I5/100)</f>
        <v>1359626.33880382</v>
      </c>
      <c r="J6" s="0" t="n">
        <f aca="false">I6*(1+J5/100)</f>
        <v>1393616.99727391</v>
      </c>
      <c r="K6" s="0" t="n">
        <f aca="false">J6*(1+K5/100)</f>
        <v>1428457.42220576</v>
      </c>
      <c r="L6" s="0" t="n">
        <f aca="false">K6*(1+L5/100)</f>
        <v>1457026.57064987</v>
      </c>
    </row>
    <row r="7" customFormat="false" ht="15" hidden="false" customHeight="false" outlineLevel="0" collapsed="false">
      <c r="A7" s="0" t="s">
        <v>138</v>
      </c>
      <c r="C7" s="4" t="n">
        <f aca="false">Assumptions!C14</f>
        <v>12</v>
      </c>
      <c r="D7" s="4" t="n">
        <f aca="false">Assumptions!D14</f>
        <v>13</v>
      </c>
      <c r="E7" s="4" t="n">
        <f aca="false">Assumptions!E14</f>
        <v>14</v>
      </c>
      <c r="F7" s="4" t="n">
        <f aca="false">Assumptions!F14</f>
        <v>15</v>
      </c>
      <c r="G7" s="4" t="n">
        <f aca="false">Assumptions!G14</f>
        <v>15.5</v>
      </c>
      <c r="H7" s="4" t="n">
        <f aca="false">Assumptions!H14</f>
        <v>16</v>
      </c>
      <c r="I7" s="4" t="n">
        <f aca="false">Assumptions!I14</f>
        <v>16.5</v>
      </c>
      <c r="J7" s="4" t="n">
        <f aca="false">Assumptions!J14</f>
        <v>17</v>
      </c>
      <c r="K7" s="4" t="n">
        <f aca="false">Assumptions!K14</f>
        <v>17</v>
      </c>
      <c r="L7" s="4" t="n">
        <f aca="false">Assumptions!L14</f>
        <v>17</v>
      </c>
    </row>
    <row r="8" customFormat="false" ht="15" hidden="false" customHeight="false" outlineLevel="0" collapsed="false">
      <c r="A8" s="0" t="s">
        <v>76</v>
      </c>
      <c r="C8" s="0" t="n">
        <f aca="false">C6*C7/100</f>
        <v>130210.824</v>
      </c>
      <c r="D8" s="0" t="n">
        <f aca="false">D6*D7/100</f>
        <v>148114.8123</v>
      </c>
      <c r="E8" s="0" t="n">
        <f aca="false">E6*E7/100</f>
        <v>166686.131073</v>
      </c>
      <c r="F8" s="0" t="n">
        <f aca="false">F6*F7/100</f>
        <v>185735.9746242</v>
      </c>
      <c r="G8" s="0" t="n">
        <f aca="false">G6*G7/100</f>
        <v>198644.624860582</v>
      </c>
      <c r="H8" s="0" t="n">
        <f aca="false">H6*H7/100</f>
        <v>211204.09146467</v>
      </c>
      <c r="I8" s="0" t="n">
        <f aca="false">I6*I7/100</f>
        <v>224338.345902629</v>
      </c>
      <c r="J8" s="0" t="n">
        <f aca="false">J6*J7/100</f>
        <v>236914.889536565</v>
      </c>
      <c r="K8" s="0" t="n">
        <f aca="false">K6*K7/100</f>
        <v>242837.761774979</v>
      </c>
      <c r="L8" s="0" t="n">
        <f aca="false">L6*L7/100</f>
        <v>247694.517010478</v>
      </c>
    </row>
    <row r="9" customFormat="false" ht="15" hidden="false" customHeight="false" outlineLevel="0" collapsed="false">
      <c r="A9" s="0" t="s">
        <v>139</v>
      </c>
      <c r="C9" s="4" t="n">
        <f aca="false">Assumptions!C15</f>
        <v>1.3</v>
      </c>
      <c r="D9" s="4" t="n">
        <f aca="false">Assumptions!D15</f>
        <v>1.3</v>
      </c>
      <c r="E9" s="4" t="n">
        <f aca="false">Assumptions!E15</f>
        <v>1.3</v>
      </c>
      <c r="F9" s="4" t="n">
        <f aca="false">Assumptions!F15</f>
        <v>1.3</v>
      </c>
      <c r="G9" s="4" t="n">
        <f aca="false">Assumptions!G15</f>
        <v>1.3</v>
      </c>
      <c r="H9" s="4" t="n">
        <f aca="false">Assumptions!H15</f>
        <v>1.3</v>
      </c>
      <c r="I9" s="4" t="n">
        <f aca="false">Assumptions!I15</f>
        <v>1.3</v>
      </c>
      <c r="J9" s="4" t="n">
        <f aca="false">Assumptions!J15</f>
        <v>1.3</v>
      </c>
      <c r="K9" s="4" t="n">
        <f aca="false">Assumptions!K15</f>
        <v>1.25</v>
      </c>
      <c r="L9" s="4" t="n">
        <f aca="false">Assumptions!L15</f>
        <v>1.25</v>
      </c>
    </row>
    <row r="10" customFormat="false" ht="15" hidden="false" customHeight="false" outlineLevel="0" collapsed="false">
      <c r="A10" s="0" t="s">
        <v>154</v>
      </c>
      <c r="C10" s="0" t="n">
        <f aca="false">-C6*C9/100</f>
        <v>-14106.1726</v>
      </c>
      <c r="D10" s="0" t="n">
        <f aca="false">-D6*D9/100</f>
        <v>-14811.48123</v>
      </c>
      <c r="E10" s="0" t="n">
        <f aca="false">-E6*E9/100</f>
        <v>-15477.99788535</v>
      </c>
      <c r="F10" s="0" t="n">
        <f aca="false">-F6*F9/100</f>
        <v>-16097.117800764</v>
      </c>
      <c r="G10" s="0" t="n">
        <f aca="false">-G6*G9/100</f>
        <v>-16660.5169237907</v>
      </c>
      <c r="H10" s="0" t="n">
        <f aca="false">-H6*H9/100</f>
        <v>-17160.3324315045</v>
      </c>
      <c r="I10" s="0" t="n">
        <f aca="false">-I6*I9/100</f>
        <v>-17675.1424044496</v>
      </c>
      <c r="J10" s="0" t="n">
        <f aca="false">-J6*J9/100</f>
        <v>-18117.0209645608</v>
      </c>
      <c r="K10" s="0" t="n">
        <f aca="false">-K6*K9/100</f>
        <v>-17855.717777572</v>
      </c>
      <c r="L10" s="0" t="n">
        <f aca="false">-L6*L9/100</f>
        <v>-18212.8321331234</v>
      </c>
    </row>
    <row r="11" customFormat="false" ht="15" hidden="false" customHeight="false" outlineLevel="0" collapsed="false">
      <c r="A11" s="0" t="s">
        <v>155</v>
      </c>
      <c r="C11" s="0" t="n">
        <f aca="false">C8+C10+C24</f>
        <v>116104.6514</v>
      </c>
      <c r="D11" s="0" t="n">
        <f aca="false">D8+D10+D24</f>
        <v>133303.33107</v>
      </c>
      <c r="E11" s="0" t="n">
        <f aca="false">E8+E10+E24</f>
        <v>151208.13318765</v>
      </c>
      <c r="F11" s="0" t="n">
        <f aca="false">F8+F10+F24</f>
        <v>169638.856823436</v>
      </c>
      <c r="G11" s="0" t="n">
        <f aca="false">G8+G10+G24</f>
        <v>181984.107936791</v>
      </c>
      <c r="H11" s="0" t="n">
        <f aca="false">H8+H10+H24</f>
        <v>194043.759033166</v>
      </c>
      <c r="I11" s="0" t="n">
        <f aca="false">I8+I10+I24</f>
        <v>206663.20349818</v>
      </c>
      <c r="J11" s="0" t="n">
        <f aca="false">J8+J10+J24</f>
        <v>218797.868572004</v>
      </c>
      <c r="K11" s="0" t="n">
        <f aca="false">K8+K10+K24</f>
        <v>224982.043997407</v>
      </c>
      <c r="L11" s="0" t="n">
        <f aca="false">L8+L10+L24</f>
        <v>229481.684877355</v>
      </c>
    </row>
    <row r="12" customFormat="false" ht="15" hidden="false" customHeight="false" outlineLevel="0" collapsed="false">
      <c r="A12" s="0" t="s">
        <v>156</v>
      </c>
      <c r="C12" s="4" t="n">
        <f aca="false">-C6*Assumptions!C17/100</f>
        <v>-59679.961</v>
      </c>
      <c r="D12" s="4" t="n">
        <f aca="false">-D6*Assumptions!D17/100</f>
        <v>-85450.85325</v>
      </c>
      <c r="E12" s="4" t="n">
        <f aca="false">-E6*Assumptions!E17/100</f>
        <v>-113108.44608525</v>
      </c>
      <c r="F12" s="4" t="n">
        <f aca="false">-F6*Assumptions!F17/100</f>
        <v>-130015.18223694</v>
      </c>
      <c r="G12" s="4" t="n">
        <f aca="false">-G6*Assumptions!G17/100</f>
        <v>-134565.713615233</v>
      </c>
      <c r="H12" s="4" t="n">
        <f aca="false">-H6*Assumptions!H17/100</f>
        <v>-132002.557165419</v>
      </c>
      <c r="I12" s="4" t="n">
        <f aca="false">-I6*Assumptions!I17/100</f>
        <v>-129164.502186362</v>
      </c>
      <c r="J12" s="4" t="n">
        <f aca="false">-J6*Assumptions!J17/100</f>
        <v>-125425.529754652</v>
      </c>
      <c r="K12" s="4" t="n">
        <f aca="false">-K6*Assumptions!K17/100</f>
        <v>-121418.880887489</v>
      </c>
      <c r="L12" s="4" t="n">
        <f aca="false">-L6*Assumptions!L17/100</f>
        <v>-116562.12565199</v>
      </c>
    </row>
    <row r="13" customFormat="false" ht="15" hidden="false" customHeight="false" outlineLevel="0" collapsed="false">
      <c r="A13" s="0" t="s">
        <v>157</v>
      </c>
      <c r="C13" s="0" t="n">
        <f aca="false">C11+C12</f>
        <v>56424.6904</v>
      </c>
      <c r="D13" s="0" t="n">
        <f aca="false">D11+D12</f>
        <v>47852.47782</v>
      </c>
      <c r="E13" s="0" t="n">
        <f aca="false">E11+E12</f>
        <v>38099.6871024</v>
      </c>
      <c r="F13" s="0" t="n">
        <f aca="false">F11+F12</f>
        <v>39623.674586496</v>
      </c>
      <c r="G13" s="0" t="n">
        <f aca="false">G11+G12</f>
        <v>47418.3943215582</v>
      </c>
      <c r="H13" s="0" t="n">
        <f aca="false">H11+H12</f>
        <v>62041.2018677469</v>
      </c>
      <c r="I13" s="0" t="n">
        <f aca="false">I11+I12</f>
        <v>77498.7013118174</v>
      </c>
      <c r="J13" s="0" t="n">
        <f aca="false">J11+J12</f>
        <v>93372.338817352</v>
      </c>
      <c r="K13" s="0" t="n">
        <f aca="false">K11+K12</f>
        <v>103563.163109917</v>
      </c>
      <c r="L13" s="0" t="n">
        <f aca="false">L11+L12</f>
        <v>112919.559225365</v>
      </c>
    </row>
    <row r="14" customFormat="false" ht="15" hidden="false" customHeight="false" outlineLevel="0" collapsed="false">
      <c r="A14" s="0" t="s">
        <v>143</v>
      </c>
      <c r="C14" s="4" t="n">
        <f aca="false">Assumptions!C19</f>
        <v>18</v>
      </c>
      <c r="D14" s="4" t="n">
        <f aca="false">Assumptions!D19</f>
        <v>18</v>
      </c>
      <c r="E14" s="4" t="n">
        <f aca="false">Assumptions!E19</f>
        <v>18</v>
      </c>
      <c r="F14" s="4" t="n">
        <f aca="false">Assumptions!F19</f>
        <v>18</v>
      </c>
      <c r="G14" s="4" t="n">
        <f aca="false">Assumptions!G19</f>
        <v>18</v>
      </c>
      <c r="H14" s="4" t="n">
        <f aca="false">Assumptions!H19</f>
        <v>18</v>
      </c>
      <c r="I14" s="4" t="n">
        <f aca="false">Assumptions!I19</f>
        <v>18</v>
      </c>
      <c r="J14" s="4" t="n">
        <f aca="false">Assumptions!J19</f>
        <v>18</v>
      </c>
      <c r="K14" s="4" t="n">
        <f aca="false">Assumptions!K19</f>
        <v>18</v>
      </c>
      <c r="L14" s="4" t="n">
        <f aca="false">Assumptions!L19</f>
        <v>18</v>
      </c>
    </row>
    <row r="15" customFormat="false" ht="15" hidden="false" customHeight="false" outlineLevel="0" collapsed="false">
      <c r="A15" s="0" t="s">
        <v>158</v>
      </c>
      <c r="C15" s="0" t="n">
        <f aca="false">C13-MAX(0,C13)*C14/100</f>
        <v>46268.246128</v>
      </c>
      <c r="D15" s="0" t="n">
        <f aca="false">D13-MAX(0,D13)*D14/100</f>
        <v>39239.0318124</v>
      </c>
      <c r="E15" s="0" t="n">
        <f aca="false">E13-MAX(0,E13)*E14/100</f>
        <v>31241.743423968</v>
      </c>
      <c r="F15" s="0" t="n">
        <f aca="false">F13-MAX(0,F13)*F14/100</f>
        <v>32491.4131609267</v>
      </c>
      <c r="G15" s="0" t="n">
        <f aca="false">G13-MAX(0,G13)*G14/100</f>
        <v>38883.0833436778</v>
      </c>
      <c r="H15" s="0" t="n">
        <f aca="false">H13-MAX(0,H13)*H14/100</f>
        <v>50873.7855315525</v>
      </c>
      <c r="I15" s="0" t="n">
        <f aca="false">I13-MAX(0,I13)*I14/100</f>
        <v>63548.9350756903</v>
      </c>
      <c r="J15" s="0" t="n">
        <f aca="false">J13-MAX(0,J13)*J14/100</f>
        <v>76565.3178302287</v>
      </c>
      <c r="K15" s="0" t="n">
        <f aca="false">K13-MAX(0,K13)*K14/100</f>
        <v>84921.7937501323</v>
      </c>
      <c r="L15" s="0" t="n">
        <f aca="false">L13-MAX(0,L13)*L14/100</f>
        <v>92594.0385647994</v>
      </c>
    </row>
    <row r="16" customFormat="false" ht="15" hidden="false" customHeight="false" outlineLevel="0" collapsed="false">
      <c r="A16" s="0" t="s">
        <v>159</v>
      </c>
      <c r="C16" s="0" t="n">
        <f aca="false">-C12</f>
        <v>59679.961</v>
      </c>
      <c r="D16" s="0" t="n">
        <f aca="false">-D12</f>
        <v>85450.85325</v>
      </c>
      <c r="E16" s="0" t="n">
        <f aca="false">-E12</f>
        <v>113108.44608525</v>
      </c>
      <c r="F16" s="0" t="n">
        <f aca="false">-F12</f>
        <v>130015.18223694</v>
      </c>
      <c r="G16" s="0" t="n">
        <f aca="false">-G12</f>
        <v>134565.713615233</v>
      </c>
      <c r="H16" s="0" t="n">
        <f aca="false">-H12</f>
        <v>132002.557165419</v>
      </c>
      <c r="I16" s="0" t="n">
        <f aca="false">-I12</f>
        <v>129164.502186362</v>
      </c>
      <c r="J16" s="0" t="n">
        <f aca="false">-J12</f>
        <v>125425.529754652</v>
      </c>
      <c r="K16" s="0" t="n">
        <f aca="false">-K12</f>
        <v>121418.880887489</v>
      </c>
      <c r="L16" s="0" t="n">
        <f aca="false">-L12</f>
        <v>116562.12565199</v>
      </c>
    </row>
    <row r="17" customFormat="false" ht="15" hidden="false" customHeight="false" outlineLevel="0" collapsed="false">
      <c r="A17" s="0" t="s">
        <v>160</v>
      </c>
      <c r="C17" s="4" t="n">
        <f aca="false">-C6*Assumptions!C18/100</f>
        <v>-260421.648</v>
      </c>
      <c r="D17" s="4" t="n">
        <f aca="false">-D6*Assumptions!D18/100</f>
        <v>-250655.8362</v>
      </c>
      <c r="E17" s="4" t="n">
        <f aca="false">-E6*Assumptions!E18/100</f>
        <v>-202404.5877315</v>
      </c>
      <c r="F17" s="4" t="n">
        <f aca="false">-F6*Assumptions!F18/100</f>
        <v>-160971.17800764</v>
      </c>
      <c r="G17" s="4" t="n">
        <f aca="false">-G6*Assumptions!G18/100</f>
        <v>-134565.713615233</v>
      </c>
      <c r="H17" s="4" t="n">
        <f aca="false">-H6*Assumptions!H18/100</f>
        <v>-118802.301448877</v>
      </c>
      <c r="I17" s="4" t="n">
        <f aca="false">-I6*Assumptions!I18/100</f>
        <v>-115568.238798324</v>
      </c>
      <c r="J17" s="4" t="n">
        <f aca="false">-J6*Assumptions!J18/100</f>
        <v>-111489.359781913</v>
      </c>
      <c r="K17" s="4" t="n">
        <f aca="false">-K6*Assumptions!K18/100</f>
        <v>-114276.593776461</v>
      </c>
      <c r="L17" s="4" t="n">
        <f aca="false">-L6*Assumptions!L18/100</f>
        <v>-116562.12565199</v>
      </c>
    </row>
    <row r="18" customFormat="false" ht="15" hidden="false" customHeight="false" outlineLevel="0" collapsed="false">
      <c r="A18" s="0" t="s">
        <v>161</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162</v>
      </c>
      <c r="C19" s="0" t="n">
        <f aca="false">C15+C16+C17+C18</f>
        <v>-154473.440872</v>
      </c>
      <c r="D19" s="0" t="n">
        <f aca="false">D15+D16+D17+D18</f>
        <v>-125965.9511376</v>
      </c>
      <c r="E19" s="0" t="n">
        <f aca="false">E15+E16+E17+E18</f>
        <v>-58054.398222282</v>
      </c>
      <c r="F19" s="0" t="n">
        <f aca="false">F15+F16+F17+F18</f>
        <v>1535.41739022671</v>
      </c>
      <c r="G19" s="0" t="n">
        <f aca="false">G15+G16+G17+G18</f>
        <v>38883.0833436778</v>
      </c>
      <c r="H19" s="0" t="n">
        <f aca="false">H15+H16+H17+H18</f>
        <v>64074.0412480944</v>
      </c>
      <c r="I19" s="0" t="n">
        <f aca="false">I15+I16+I17+I18</f>
        <v>77145.1984637285</v>
      </c>
      <c r="J19" s="0" t="n">
        <f aca="false">J15+J16+J17+J18</f>
        <v>90501.4878029678</v>
      </c>
      <c r="K19" s="0" t="n">
        <f aca="false">K15+K16+K17+K18</f>
        <v>92064.0808611611</v>
      </c>
      <c r="L19" s="0" t="n">
        <f aca="false">L15+L16+L17+L18</f>
        <v>92594.0385647994</v>
      </c>
    </row>
    <row r="20" customFormat="false" ht="15" hidden="false" customHeight="false" outlineLevel="0" collapsed="false">
      <c r="A20" s="0" t="s">
        <v>163</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164</v>
      </c>
      <c r="C21" s="0" t="n">
        <f aca="false">C19*C20</f>
        <v>-140430.400792727</v>
      </c>
      <c r="D21" s="0" t="n">
        <f aca="false">D19*D20</f>
        <v>-104104.091849256</v>
      </c>
      <c r="E21" s="0" t="n">
        <f aca="false">E19*E20</f>
        <v>-43617.1286418347</v>
      </c>
      <c r="F21" s="0" t="n">
        <f aca="false">F19*F20</f>
        <v>1048.71073712636</v>
      </c>
      <c r="G21" s="0" t="n">
        <f aca="false">G19*G20</f>
        <v>24143.3355543758</v>
      </c>
      <c r="H21" s="0" t="n">
        <f aca="false">H19*H20</f>
        <v>36168.1258777396</v>
      </c>
      <c r="I21" s="0" t="n">
        <f aca="false">I19*I20</f>
        <v>39587.6848741813</v>
      </c>
      <c r="J21" s="0" t="n">
        <f aca="false">J19*J20</f>
        <v>42219.6119800456</v>
      </c>
      <c r="K21" s="0" t="n">
        <f aca="false">K19*K20</f>
        <v>39044.1574308703</v>
      </c>
      <c r="L21" s="0" t="n">
        <f aca="false">L19*L20</f>
        <v>35699.0102098377</v>
      </c>
    </row>
    <row r="23" customFormat="false" ht="15" hidden="false" customHeight="false" outlineLevel="0" collapsed="false">
      <c r="A23" s="0" t="s">
        <v>140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165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166</v>
      </c>
    </row>
    <row r="27" customFormat="false" ht="15" hidden="false" customHeight="false" outlineLevel="0" collapsed="false">
      <c r="A27" s="0" t="s">
        <v>144</v>
      </c>
      <c r="B27" s="4" t="n">
        <f aca="false">Assumptions!$B$20</f>
        <v>10</v>
      </c>
    </row>
    <row r="28" customFormat="false" ht="15" hidden="false" customHeight="false" outlineLevel="0" collapsed="false">
      <c r="A28" s="0" t="s">
        <v>145</v>
      </c>
      <c r="B28" s="4" t="n">
        <f aca="false">Assumptions!$B$21</f>
        <v>2</v>
      </c>
    </row>
    <row r="29" customFormat="false" ht="15" hidden="false" customHeight="false" outlineLevel="0" collapsed="false">
      <c r="A29" s="0" t="s">
        <v>146</v>
      </c>
      <c r="B29" s="4" t="n">
        <f aca="false">Assumptions!$B$22</f>
        <v>12</v>
      </c>
    </row>
    <row r="30" customFormat="false" ht="15" hidden="false" customHeight="false" outlineLevel="0" collapsed="false">
      <c r="A30" s="0" t="s">
        <v>167</v>
      </c>
      <c r="B30" s="0" t="n">
        <f aca="false">SUM(C21:L21)</f>
        <v>-70240.9846196415</v>
      </c>
    </row>
    <row r="31" customFormat="false" ht="15" hidden="false" customHeight="false" outlineLevel="0" collapsed="false">
      <c r="A31" s="0" t="s">
        <v>168</v>
      </c>
      <c r="B31" s="0" t="n">
        <f aca="false">L19</f>
        <v>92594.0385647994</v>
      </c>
    </row>
    <row r="32" customFormat="false" ht="15" hidden="false" customHeight="false" outlineLevel="0" collapsed="false">
      <c r="A32" s="0" t="s">
        <v>169</v>
      </c>
      <c r="B32" s="0" t="n">
        <f aca="false">IF(B27&gt;B28,B31*(1+B28/100)/((B27-B28)/100),B31*B29)</f>
        <v>1180573.99170119</v>
      </c>
    </row>
    <row r="33" customFormat="false" ht="15" hidden="false" customHeight="false" outlineLevel="0" collapsed="false">
      <c r="A33" s="0" t="s">
        <v>170</v>
      </c>
      <c r="B33" s="0" t="n">
        <f aca="false">B31*B29</f>
        <v>1111128.46277759</v>
      </c>
    </row>
    <row r="34" customFormat="false" ht="15" hidden="false" customHeight="false" outlineLevel="0" collapsed="false">
      <c r="A34" s="0" t="s">
        <v>171</v>
      </c>
      <c r="B34" s="0" t="n">
        <f aca="false">MAX(0,MIN(B32,B33))</f>
        <v>1111128.46277759</v>
      </c>
    </row>
    <row r="35" customFormat="false" ht="15" hidden="false" customHeight="false" outlineLevel="0" collapsed="false">
      <c r="A35" s="0" t="s">
        <v>172</v>
      </c>
      <c r="B35" s="0" t="n">
        <f aca="false">B34/(1+B27/100)^L4</f>
        <v>428388.122518052</v>
      </c>
    </row>
    <row r="36" customFormat="false" ht="15" hidden="false" customHeight="false" outlineLevel="0" collapsed="false">
      <c r="A36" s="0" t="s">
        <v>173</v>
      </c>
      <c r="B36" s="0" t="n">
        <f aca="false">B30+B35</f>
        <v>358147.13789841</v>
      </c>
    </row>
    <row r="37" customFormat="false" ht="15" hidden="false" customHeight="false" outlineLevel="0" collapsed="false">
      <c r="A37" s="0" t="s">
        <v>174</v>
      </c>
      <c r="B37" s="0" t="n">
        <f aca="false">B36+Assumptions!$B$5-Assumptions!$B$4</f>
        <v>823838.13789841</v>
      </c>
    </row>
    <row r="38" customFormat="false" ht="15" hidden="false" customHeight="false" outlineLevel="0" collapsed="false">
      <c r="A38" s="0" t="s">
        <v>175</v>
      </c>
      <c r="B38" s="0" t="n">
        <f aca="false">B37/Assumptions!$B$3*Assumptions!$B$10</f>
        <v>49.2861967876714</v>
      </c>
    </row>
    <row r="39" customFormat="false" ht="15" hidden="false" customHeight="false" outlineLevel="0" collapsed="false">
      <c r="A39" s="0" t="s">
        <v>176</v>
      </c>
      <c r="B39" s="4" t="n">
        <f aca="false">B38/Assumptions!$B$2-1</f>
        <v>-0.527955207473696</v>
      </c>
    </row>
    <row r="41" customFormat="false" ht="15" hidden="false" customHeight="false" outlineLevel="0" collapsed="false">
      <c r="A41" s="0" t="s">
        <v>177</v>
      </c>
      <c r="B41" s="0" t="n">
        <f aca="false">SUMPRODUCT(-C10:L10/(1+$B$27/100)^C4:L4)</f>
        <v>99835.783698496</v>
      </c>
    </row>
    <row r="42" customFormat="false" ht="15" hidden="false" customHeight="false" outlineLevel="0" collapsed="false">
      <c r="A42" s="0" t="s">
        <v>178</v>
      </c>
      <c r="B42" s="0" t="n">
        <f aca="false">IF(B27&gt;B28,-L10*(1+B28/100)/((B27-B28)/100),-L10*20)/(1+B27/100)^L4</f>
        <v>89528.3989330115</v>
      </c>
    </row>
    <row r="43" customFormat="false" ht="15" hidden="false" customHeight="false" outlineLevel="0" collapsed="false">
      <c r="A43" s="0" t="s">
        <v>179</v>
      </c>
      <c r="B43" s="0" t="n">
        <f aca="false">(B37+B41+B42)/Assumptions!$B$3*Assumptions!$B$10</f>
        <v>60.6149274452753</v>
      </c>
    </row>
    <row r="45" customFormat="false" ht="15" hidden="false" customHeight="false" outlineLevel="0" collapsed="false">
      <c r="A45" s="0" t="s">
        <v>120</v>
      </c>
      <c r="B45" s="4" t="n">
        <f aca="false">Assumptions!$B$6</f>
        <v>15</v>
      </c>
    </row>
    <row r="46" customFormat="false" ht="15" hidden="false" customHeight="false" outlineLevel="0" collapsed="false">
      <c r="A46" s="0" t="s">
        <v>180</v>
      </c>
      <c r="B46" s="0" t="n">
        <f aca="false">MAX(0,MIN(IF(B45&gt;B28,B31*(1+B28/100)/((B45-B28)/100),B31*B29),B31*B29))</f>
        <v>726507.071816119</v>
      </c>
    </row>
    <row r="47" customFormat="false" ht="15" hidden="false" customHeight="false" outlineLevel="0" collapsed="false">
      <c r="A47" s="0" t="s">
        <v>181</v>
      </c>
      <c r="B47" s="0" t="n">
        <f aca="false">(SUMPRODUCT(C19:L19/(1+B45/100)^C4:L4)+B46/(1+B45/100)^L4+Assumptions!$B$5-Assumptions!$B$4)/Assumptions!$B$3*Assumptions!$B$10</f>
        <v>31.8917593098282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182</v>
      </c>
    </row>
    <row r="3" customFormat="false" ht="15" hidden="false" customHeight="false" outlineLevel="0" collapsed="false">
      <c r="A3" s="0" t="s">
        <v>152</v>
      </c>
      <c r="B3" s="0" t="s">
        <v>114</v>
      </c>
      <c r="C3" s="2" t="s">
        <v>127</v>
      </c>
      <c r="D3" s="2" t="s">
        <v>128</v>
      </c>
      <c r="E3" s="2" t="s">
        <v>129</v>
      </c>
      <c r="F3" s="2" t="s">
        <v>130</v>
      </c>
      <c r="G3" s="2" t="s">
        <v>131</v>
      </c>
      <c r="H3" s="2" t="s">
        <v>132</v>
      </c>
      <c r="I3" s="2" t="s">
        <v>133</v>
      </c>
      <c r="J3" s="2" t="s">
        <v>134</v>
      </c>
      <c r="K3" s="2" t="s">
        <v>135</v>
      </c>
      <c r="L3" s="2" t="s">
        <v>136</v>
      </c>
    </row>
    <row r="4" customFormat="false" ht="15" hidden="false" customHeight="false" outlineLevel="0" collapsed="false">
      <c r="A4" s="0" t="s">
        <v>153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137</v>
      </c>
      <c r="C5" s="4" t="n">
        <f aca="false">Assumptions!C27</f>
        <v>9</v>
      </c>
      <c r="D5" s="4" t="n">
        <f aca="false">Assumptions!D27</f>
        <v>9</v>
      </c>
      <c r="E5" s="4" t="n">
        <f aca="false">Assumptions!E27</f>
        <v>8.5</v>
      </c>
      <c r="F5" s="4" t="n">
        <f aca="false">Assumptions!F27</f>
        <v>8</v>
      </c>
      <c r="G5" s="4" t="n">
        <f aca="false">Assumptions!G27</f>
        <v>7</v>
      </c>
      <c r="H5" s="4" t="n">
        <f aca="false">Assumptions!H27</f>
        <v>6</v>
      </c>
      <c r="I5" s="4" t="n">
        <f aca="false">Assumptions!I27</f>
        <v>5.5</v>
      </c>
      <c r="J5" s="4" t="n">
        <f aca="false">Assumptions!J27</f>
        <v>5</v>
      </c>
      <c r="K5" s="4" t="n">
        <f aca="false">Assumptions!K27</f>
        <v>4.5</v>
      </c>
      <c r="L5" s="4" t="n">
        <f aca="false">Assumptions!L27</f>
        <v>4</v>
      </c>
    </row>
    <row r="6" customFormat="false" ht="15" hidden="false" customHeight="false" outlineLevel="0" collapsed="false">
      <c r="A6" s="0" t="s">
        <v>70</v>
      </c>
      <c r="B6" s="3" t="n">
        <v>1023670</v>
      </c>
      <c r="C6" s="0" t="n">
        <f aca="false">B6*(1+C5/100)</f>
        <v>1115800.3</v>
      </c>
      <c r="D6" s="0" t="n">
        <f aca="false">C6*(1+D5/100)</f>
        <v>1216222.327</v>
      </c>
      <c r="E6" s="0" t="n">
        <f aca="false">D6*(1+E5/100)</f>
        <v>1319601.224795</v>
      </c>
      <c r="F6" s="0" t="n">
        <f aca="false">E6*(1+F5/100)</f>
        <v>1425169.3227786</v>
      </c>
      <c r="G6" s="0" t="n">
        <f aca="false">F6*(1+G5/100)</f>
        <v>1524931.1753731</v>
      </c>
      <c r="H6" s="0" t="n">
        <f aca="false">G6*(1+H5/100)</f>
        <v>1616427.04589549</v>
      </c>
      <c r="I6" s="0" t="n">
        <f aca="false">H6*(1+I5/100)</f>
        <v>1705330.53341974</v>
      </c>
      <c r="J6" s="0" t="n">
        <f aca="false">I6*(1+J5/100)</f>
        <v>1790597.06009073</v>
      </c>
      <c r="K6" s="0" t="n">
        <f aca="false">J6*(1+K5/100)</f>
        <v>1871173.92779481</v>
      </c>
      <c r="L6" s="0" t="n">
        <f aca="false">K6*(1+L5/100)</f>
        <v>1946020.8849066</v>
      </c>
    </row>
    <row r="7" customFormat="false" ht="15" hidden="false" customHeight="false" outlineLevel="0" collapsed="false">
      <c r="A7" s="0" t="s">
        <v>138</v>
      </c>
      <c r="C7" s="4" t="n">
        <f aca="false">Assumptions!C28</f>
        <v>13.5</v>
      </c>
      <c r="D7" s="4" t="n">
        <f aca="false">Assumptions!D28</f>
        <v>15.5</v>
      </c>
      <c r="E7" s="4" t="n">
        <f aca="false">Assumptions!E28</f>
        <v>17</v>
      </c>
      <c r="F7" s="4" t="n">
        <f aca="false">Assumptions!F28</f>
        <v>18.5</v>
      </c>
      <c r="G7" s="4" t="n">
        <f aca="false">Assumptions!G28</f>
        <v>19.5</v>
      </c>
      <c r="H7" s="4" t="n">
        <f aca="false">Assumptions!H28</f>
        <v>20.5</v>
      </c>
      <c r="I7" s="4" t="n">
        <f aca="false">Assumptions!I28</f>
        <v>21</v>
      </c>
      <c r="J7" s="4" t="n">
        <f aca="false">Assumptions!J28</f>
        <v>21.5</v>
      </c>
      <c r="K7" s="4" t="n">
        <f aca="false">Assumptions!K28</f>
        <v>22</v>
      </c>
      <c r="L7" s="4" t="n">
        <f aca="false">Assumptions!L28</f>
        <v>22</v>
      </c>
    </row>
    <row r="8" customFormat="false" ht="15" hidden="false" customHeight="false" outlineLevel="0" collapsed="false">
      <c r="A8" s="0" t="s">
        <v>76</v>
      </c>
      <c r="C8" s="0" t="n">
        <f aca="false">C6*C7/100</f>
        <v>150633.0405</v>
      </c>
      <c r="D8" s="0" t="n">
        <f aca="false">D6*D7/100</f>
        <v>188514.460685</v>
      </c>
      <c r="E8" s="0" t="n">
        <f aca="false">E6*E7/100</f>
        <v>224332.20821515</v>
      </c>
      <c r="F8" s="0" t="n">
        <f aca="false">F6*F7/100</f>
        <v>263656.324714041</v>
      </c>
      <c r="G8" s="0" t="n">
        <f aca="false">G6*G7/100</f>
        <v>297361.579197755</v>
      </c>
      <c r="H8" s="0" t="n">
        <f aca="false">H6*H7/100</f>
        <v>331367.544408575</v>
      </c>
      <c r="I8" s="0" t="n">
        <f aca="false">I6*I7/100</f>
        <v>358119.412018145</v>
      </c>
      <c r="J8" s="0" t="n">
        <f aca="false">J6*J7/100</f>
        <v>384978.367919506</v>
      </c>
      <c r="K8" s="0" t="n">
        <f aca="false">K6*K7/100</f>
        <v>411658.264114858</v>
      </c>
      <c r="L8" s="0" t="n">
        <f aca="false">L6*L7/100</f>
        <v>428124.594679452</v>
      </c>
    </row>
    <row r="9" customFormat="false" ht="15" hidden="false" customHeight="false" outlineLevel="0" collapsed="false">
      <c r="A9" s="0" t="s">
        <v>139</v>
      </c>
      <c r="C9" s="4" t="n">
        <f aca="false">Assumptions!C29</f>
        <v>1.3</v>
      </c>
      <c r="D9" s="4" t="n">
        <f aca="false">Assumptions!D29</f>
        <v>1.3</v>
      </c>
      <c r="E9" s="4" t="n">
        <f aca="false">Assumptions!E29</f>
        <v>1.3</v>
      </c>
      <c r="F9" s="4" t="n">
        <f aca="false">Assumptions!F29</f>
        <v>1.3</v>
      </c>
      <c r="G9" s="4" t="n">
        <f aca="false">Assumptions!G29</f>
        <v>1.3</v>
      </c>
      <c r="H9" s="4" t="n">
        <f aca="false">Assumptions!H29</f>
        <v>1.3</v>
      </c>
      <c r="I9" s="4" t="n">
        <f aca="false">Assumptions!I29</f>
        <v>1.3</v>
      </c>
      <c r="J9" s="4" t="n">
        <f aca="false">Assumptions!J29</f>
        <v>1.3</v>
      </c>
      <c r="K9" s="4" t="n">
        <f aca="false">Assumptions!K29</f>
        <v>1.25</v>
      </c>
      <c r="L9" s="4" t="n">
        <f aca="false">Assumptions!L29</f>
        <v>1.25</v>
      </c>
    </row>
    <row r="10" customFormat="false" ht="15" hidden="false" customHeight="false" outlineLevel="0" collapsed="false">
      <c r="A10" s="0" t="s">
        <v>154</v>
      </c>
      <c r="C10" s="0" t="n">
        <f aca="false">-C6*C9/100</f>
        <v>-14505.4039</v>
      </c>
      <c r="D10" s="0" t="n">
        <f aca="false">-D6*D9/100</f>
        <v>-15810.890251</v>
      </c>
      <c r="E10" s="0" t="n">
        <f aca="false">-E6*E9/100</f>
        <v>-17154.815922335</v>
      </c>
      <c r="F10" s="0" t="n">
        <f aca="false">-F6*F9/100</f>
        <v>-18527.2011961218</v>
      </c>
      <c r="G10" s="0" t="n">
        <f aca="false">-G6*G9/100</f>
        <v>-19824.1052798503</v>
      </c>
      <c r="H10" s="0" t="n">
        <f aca="false">-H6*H9/100</f>
        <v>-21013.5515966414</v>
      </c>
      <c r="I10" s="0" t="n">
        <f aca="false">-I6*I9/100</f>
        <v>-22169.2969344566</v>
      </c>
      <c r="J10" s="0" t="n">
        <f aca="false">-J6*J9/100</f>
        <v>-23277.7617811795</v>
      </c>
      <c r="K10" s="0" t="n">
        <f aca="false">-K6*K9/100</f>
        <v>-23389.6740974351</v>
      </c>
      <c r="L10" s="0" t="n">
        <f aca="false">-L6*L9/100</f>
        <v>-24325.2610613325</v>
      </c>
    </row>
    <row r="11" customFormat="false" ht="15" hidden="false" customHeight="false" outlineLevel="0" collapsed="false">
      <c r="A11" s="0" t="s">
        <v>155</v>
      </c>
      <c r="C11" s="0" t="n">
        <f aca="false">C8+C10+C24</f>
        <v>136127.6366</v>
      </c>
      <c r="D11" s="0" t="n">
        <f aca="false">D8+D10+D24</f>
        <v>172703.570434</v>
      </c>
      <c r="E11" s="0" t="n">
        <f aca="false">E8+E10+E24</f>
        <v>207177.392292815</v>
      </c>
      <c r="F11" s="0" t="n">
        <f aca="false">F8+F10+F24</f>
        <v>245129.123517919</v>
      </c>
      <c r="G11" s="0" t="n">
        <f aca="false">G8+G10+G24</f>
        <v>277537.473917905</v>
      </c>
      <c r="H11" s="0" t="n">
        <f aca="false">H8+H10+H24</f>
        <v>310353.992811934</v>
      </c>
      <c r="I11" s="0" t="n">
        <f aca="false">I8+I10+I24</f>
        <v>335950.115083689</v>
      </c>
      <c r="J11" s="0" t="n">
        <f aca="false">J8+J10+J24</f>
        <v>361700.606138327</v>
      </c>
      <c r="K11" s="0" t="n">
        <f aca="false">K8+K10+K24</f>
        <v>388268.590017423</v>
      </c>
      <c r="L11" s="0" t="n">
        <f aca="false">L8+L10+L24</f>
        <v>403799.33361812</v>
      </c>
    </row>
    <row r="12" customFormat="false" ht="15" hidden="false" customHeight="false" outlineLevel="0" collapsed="false">
      <c r="A12" s="0" t="s">
        <v>156</v>
      </c>
      <c r="C12" s="4" t="n">
        <f aca="false">-C6*Assumptions!C31/100</f>
        <v>-61369.0165</v>
      </c>
      <c r="D12" s="4" t="n">
        <f aca="false">-D6*Assumptions!D31/100</f>
        <v>-91216.674525</v>
      </c>
      <c r="E12" s="4" t="n">
        <f aca="false">-E6*Assumptions!E31/100</f>
        <v>-118764.11023155</v>
      </c>
      <c r="F12" s="4" t="n">
        <f aca="false">-F6*Assumptions!F31/100</f>
        <v>-142516.93227786</v>
      </c>
      <c r="G12" s="4" t="n">
        <f aca="false">-G6*Assumptions!G31/100</f>
        <v>-152493.11753731</v>
      </c>
      <c r="H12" s="4" t="n">
        <f aca="false">-H6*Assumptions!H31/100</f>
        <v>-153560.569360071</v>
      </c>
      <c r="I12" s="4" t="n">
        <f aca="false">-I6*Assumptions!I31/100</f>
        <v>-162006.400674875</v>
      </c>
      <c r="J12" s="4" t="n">
        <f aca="false">-J6*Assumptions!J31/100</f>
        <v>-161153.735408165</v>
      </c>
      <c r="K12" s="4" t="n">
        <f aca="false">-K6*Assumptions!K31/100</f>
        <v>-168405.653501533</v>
      </c>
      <c r="L12" s="4" t="n">
        <f aca="false">-L6*Assumptions!L31/100</f>
        <v>-175141.879641594</v>
      </c>
    </row>
    <row r="13" customFormat="false" ht="15" hidden="false" customHeight="false" outlineLevel="0" collapsed="false">
      <c r="A13" s="0" t="s">
        <v>157</v>
      </c>
      <c r="C13" s="0" t="n">
        <f aca="false">C11+C12</f>
        <v>74758.6201</v>
      </c>
      <c r="D13" s="0" t="n">
        <f aca="false">D11+D12</f>
        <v>81486.895909</v>
      </c>
      <c r="E13" s="0" t="n">
        <f aca="false">E11+E12</f>
        <v>88413.282061265</v>
      </c>
      <c r="F13" s="0" t="n">
        <f aca="false">F11+F12</f>
        <v>102612.191240059</v>
      </c>
      <c r="G13" s="0" t="n">
        <f aca="false">G11+G12</f>
        <v>125044.356380594</v>
      </c>
      <c r="H13" s="0" t="n">
        <f aca="false">H11+H12</f>
        <v>156793.423451862</v>
      </c>
      <c r="I13" s="0" t="n">
        <f aca="false">I11+I12</f>
        <v>173943.714408813</v>
      </c>
      <c r="J13" s="0" t="n">
        <f aca="false">J11+J12</f>
        <v>200546.870730161</v>
      </c>
      <c r="K13" s="0" t="n">
        <f aca="false">K11+K12</f>
        <v>219862.93651589</v>
      </c>
      <c r="L13" s="0" t="n">
        <f aca="false">L11+L12</f>
        <v>228657.453976526</v>
      </c>
    </row>
    <row r="14" customFormat="false" ht="15" hidden="false" customHeight="false" outlineLevel="0" collapsed="false">
      <c r="A14" s="0" t="s">
        <v>143</v>
      </c>
      <c r="C14" s="4" t="n">
        <f aca="false">Assumptions!C33</f>
        <v>18</v>
      </c>
      <c r="D14" s="4" t="n">
        <f aca="false">Assumptions!D33</f>
        <v>18</v>
      </c>
      <c r="E14" s="4" t="n">
        <f aca="false">Assumptions!E33</f>
        <v>18</v>
      </c>
      <c r="F14" s="4" t="n">
        <f aca="false">Assumptions!F33</f>
        <v>18</v>
      </c>
      <c r="G14" s="4" t="n">
        <f aca="false">Assumptions!G33</f>
        <v>18</v>
      </c>
      <c r="H14" s="4" t="n">
        <f aca="false">Assumptions!H33</f>
        <v>18</v>
      </c>
      <c r="I14" s="4" t="n">
        <f aca="false">Assumptions!I33</f>
        <v>18</v>
      </c>
      <c r="J14" s="4" t="n">
        <f aca="false">Assumptions!J33</f>
        <v>18</v>
      </c>
      <c r="K14" s="4" t="n">
        <f aca="false">Assumptions!K33</f>
        <v>18</v>
      </c>
      <c r="L14" s="4" t="n">
        <f aca="false">Assumptions!L33</f>
        <v>18</v>
      </c>
    </row>
    <row r="15" customFormat="false" ht="15" hidden="false" customHeight="false" outlineLevel="0" collapsed="false">
      <c r="A15" s="0" t="s">
        <v>158</v>
      </c>
      <c r="C15" s="0" t="n">
        <f aca="false">C13-MAX(0,C13)*C14/100</f>
        <v>61302.068482</v>
      </c>
      <c r="D15" s="0" t="n">
        <f aca="false">D13-MAX(0,D13)*D14/100</f>
        <v>66819.25464538</v>
      </c>
      <c r="E15" s="0" t="n">
        <f aca="false">E13-MAX(0,E13)*E14/100</f>
        <v>72498.8912902373</v>
      </c>
      <c r="F15" s="0" t="n">
        <f aca="false">F13-MAX(0,F13)*F14/100</f>
        <v>84141.9968168486</v>
      </c>
      <c r="G15" s="0" t="n">
        <f aca="false">G13-MAX(0,G13)*G14/100</f>
        <v>102536.372232087</v>
      </c>
      <c r="H15" s="0" t="n">
        <f aca="false">H13-MAX(0,H13)*H14/100</f>
        <v>128570.607230527</v>
      </c>
      <c r="I15" s="0" t="n">
        <f aca="false">I13-MAX(0,I13)*I14/100</f>
        <v>142633.845815227</v>
      </c>
      <c r="J15" s="0" t="n">
        <f aca="false">J13-MAX(0,J13)*J14/100</f>
        <v>164448.433998732</v>
      </c>
      <c r="K15" s="0" t="n">
        <f aca="false">K13-MAX(0,K13)*K14/100</f>
        <v>180287.60794303</v>
      </c>
      <c r="L15" s="0" t="n">
        <f aca="false">L13-MAX(0,L13)*L14/100</f>
        <v>187499.112260751</v>
      </c>
    </row>
    <row r="16" customFormat="false" ht="15" hidden="false" customHeight="false" outlineLevel="0" collapsed="false">
      <c r="A16" s="0" t="s">
        <v>159</v>
      </c>
      <c r="C16" s="0" t="n">
        <f aca="false">-C12</f>
        <v>61369.0165</v>
      </c>
      <c r="D16" s="0" t="n">
        <f aca="false">-D12</f>
        <v>91216.674525</v>
      </c>
      <c r="E16" s="0" t="n">
        <f aca="false">-E12</f>
        <v>118764.11023155</v>
      </c>
      <c r="F16" s="0" t="n">
        <f aca="false">-F12</f>
        <v>142516.93227786</v>
      </c>
      <c r="G16" s="0" t="n">
        <f aca="false">-G12</f>
        <v>152493.11753731</v>
      </c>
      <c r="H16" s="0" t="n">
        <f aca="false">-H12</f>
        <v>153560.569360071</v>
      </c>
      <c r="I16" s="0" t="n">
        <f aca="false">-I12</f>
        <v>162006.400674875</v>
      </c>
      <c r="J16" s="0" t="n">
        <f aca="false">-J12</f>
        <v>161153.735408165</v>
      </c>
      <c r="K16" s="0" t="n">
        <f aca="false">-K12</f>
        <v>168405.653501533</v>
      </c>
      <c r="L16" s="0" t="n">
        <f aca="false">-L12</f>
        <v>175141.879641594</v>
      </c>
    </row>
    <row r="17" customFormat="false" ht="15" hidden="false" customHeight="false" outlineLevel="0" collapsed="false">
      <c r="A17" s="0" t="s">
        <v>160</v>
      </c>
      <c r="C17" s="4" t="n">
        <f aca="false">-C6*Assumptions!C32/100</f>
        <v>-256634.069</v>
      </c>
      <c r="D17" s="4" t="n">
        <f aca="false">-D6*Assumptions!D32/100</f>
        <v>-255406.68867</v>
      </c>
      <c r="E17" s="4" t="n">
        <f aca="false">-E6*Assumptions!E32/100</f>
        <v>-224332.20821515</v>
      </c>
      <c r="F17" s="4" t="n">
        <f aca="false">-F6*Assumptions!F32/100</f>
        <v>-206649.551802897</v>
      </c>
      <c r="G17" s="4" t="n">
        <f aca="false">-G6*Assumptions!G32/100</f>
        <v>-190616.396921638</v>
      </c>
      <c r="H17" s="4" t="n">
        <f aca="false">-H6*Assumptions!H32/100</f>
        <v>-177806.975048504</v>
      </c>
      <c r="I17" s="4" t="n">
        <f aca="false">-I6*Assumptions!I32/100</f>
        <v>-179059.706009073</v>
      </c>
      <c r="J17" s="4" t="n">
        <f aca="false">-J6*Assumptions!J32/100</f>
        <v>-179059.706009073</v>
      </c>
      <c r="K17" s="4" t="n">
        <f aca="false">-K6*Assumptions!K32/100</f>
        <v>-177761.523140507</v>
      </c>
      <c r="L17" s="4" t="n">
        <f aca="false">-L6*Assumptions!L32/100</f>
        <v>-184871.984066127</v>
      </c>
    </row>
    <row r="18" customFormat="false" ht="15" hidden="false" customHeight="false" outlineLevel="0" collapsed="false">
      <c r="A18" s="0" t="s">
        <v>161</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162</v>
      </c>
      <c r="C19" s="0" t="n">
        <f aca="false">C15+C16+C17+C18</f>
        <v>-133962.984018</v>
      </c>
      <c r="D19" s="0" t="n">
        <f aca="false">D15+D16+D17+D18</f>
        <v>-97370.75949962</v>
      </c>
      <c r="E19" s="0" t="n">
        <f aca="false">E15+E16+E17+E18</f>
        <v>-33069.2066933627</v>
      </c>
      <c r="F19" s="0" t="n">
        <f aca="false">F15+F16+F17+F18</f>
        <v>20009.3772918115</v>
      </c>
      <c r="G19" s="0" t="n">
        <f aca="false">G15+G16+G17+G18</f>
        <v>64413.0928477598</v>
      </c>
      <c r="H19" s="0" t="n">
        <f aca="false">H15+H16+H17+H18</f>
        <v>104324.201542095</v>
      </c>
      <c r="I19" s="0" t="n">
        <f aca="false">I15+I16+I17+I18</f>
        <v>125580.54048103</v>
      </c>
      <c r="J19" s="0" t="n">
        <f aca="false">J15+J16+J17+J18</f>
        <v>146542.463397825</v>
      </c>
      <c r="K19" s="0" t="n">
        <f aca="false">K15+K16+K17+K18</f>
        <v>170931.738304056</v>
      </c>
      <c r="L19" s="0" t="n">
        <f aca="false">L15+L16+L17+L18</f>
        <v>177769.007836218</v>
      </c>
    </row>
    <row r="20" customFormat="false" ht="15" hidden="false" customHeight="false" outlineLevel="0" collapsed="false">
      <c r="A20" s="0" t="s">
        <v>163</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164</v>
      </c>
      <c r="C21" s="0" t="n">
        <f aca="false">C19*C20</f>
        <v>-121784.530925455</v>
      </c>
      <c r="D21" s="0" t="n">
        <f aca="false">D19*D20</f>
        <v>-80471.7020658017</v>
      </c>
      <c r="E21" s="0" t="n">
        <f aca="false">E19*E20</f>
        <v>-24845.3844427969</v>
      </c>
      <c r="F21" s="0" t="n">
        <f aca="false">F19*F20</f>
        <v>13666.6739237836</v>
      </c>
      <c r="G21" s="0" t="n">
        <f aca="false">G19*G20</f>
        <v>39995.4628333632</v>
      </c>
      <c r="H21" s="0" t="n">
        <f aca="false">H19*H20</f>
        <v>58888.2920441886</v>
      </c>
      <c r="I21" s="0" t="n">
        <f aca="false">I19*I20</f>
        <v>64442.6738396402</v>
      </c>
      <c r="J21" s="0" t="n">
        <f aca="false">J19*J20</f>
        <v>68363.1406892001</v>
      </c>
      <c r="K21" s="0" t="n">
        <f aca="false">K19*K20</f>
        <v>72491.7431190189</v>
      </c>
      <c r="L21" s="0" t="n">
        <f aca="false">L19*L20</f>
        <v>68537.6480397997</v>
      </c>
    </row>
    <row r="23" customFormat="false" ht="15" hidden="false" customHeight="false" outlineLevel="0" collapsed="false">
      <c r="A23" s="0" t="s">
        <v>140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165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166</v>
      </c>
    </row>
    <row r="27" customFormat="false" ht="15" hidden="false" customHeight="false" outlineLevel="0" collapsed="false">
      <c r="A27" s="0" t="s">
        <v>144</v>
      </c>
      <c r="B27" s="4" t="n">
        <f aca="false">Assumptions!$B$34</f>
        <v>10</v>
      </c>
    </row>
    <row r="28" customFormat="false" ht="15" hidden="false" customHeight="false" outlineLevel="0" collapsed="false">
      <c r="A28" s="0" t="s">
        <v>145</v>
      </c>
      <c r="B28" s="4" t="n">
        <f aca="false">Assumptions!$B$35</f>
        <v>3</v>
      </c>
    </row>
    <row r="29" customFormat="false" ht="15" hidden="false" customHeight="false" outlineLevel="0" collapsed="false">
      <c r="A29" s="0" t="s">
        <v>146</v>
      </c>
      <c r="B29" s="4" t="n">
        <f aca="false">Assumptions!$B$36</f>
        <v>15</v>
      </c>
    </row>
    <row r="30" customFormat="false" ht="15" hidden="false" customHeight="false" outlineLevel="0" collapsed="false">
      <c r="A30" s="0" t="s">
        <v>167</v>
      </c>
      <c r="B30" s="0" t="n">
        <f aca="false">SUM(C21:L21)</f>
        <v>159284.017054941</v>
      </c>
    </row>
    <row r="31" customFormat="false" ht="15" hidden="false" customHeight="false" outlineLevel="0" collapsed="false">
      <c r="A31" s="0" t="s">
        <v>168</v>
      </c>
      <c r="B31" s="0" t="n">
        <f aca="false">L19</f>
        <v>177769.007836218</v>
      </c>
    </row>
    <row r="32" customFormat="false" ht="15" hidden="false" customHeight="false" outlineLevel="0" collapsed="false">
      <c r="A32" s="0" t="s">
        <v>169</v>
      </c>
      <c r="B32" s="0" t="n">
        <f aca="false">IF(B27&gt;B28,B31*(1+B28/100)/((B27-B28)/100),B31*B29)</f>
        <v>2615743.97244721</v>
      </c>
    </row>
    <row r="33" customFormat="false" ht="15" hidden="false" customHeight="false" outlineLevel="0" collapsed="false">
      <c r="A33" s="0" t="s">
        <v>170</v>
      </c>
      <c r="B33" s="0" t="n">
        <f aca="false">B31*B29</f>
        <v>2666535.11754327</v>
      </c>
    </row>
    <row r="34" customFormat="false" ht="15" hidden="false" customHeight="false" outlineLevel="0" collapsed="false">
      <c r="A34" s="0" t="s">
        <v>171</v>
      </c>
      <c r="B34" s="0" t="n">
        <f aca="false">MAX(0,MIN(B32,B33))</f>
        <v>2615743.97244721</v>
      </c>
    </row>
    <row r="35" customFormat="false" ht="15" hidden="false" customHeight="false" outlineLevel="0" collapsed="false">
      <c r="A35" s="0" t="s">
        <v>172</v>
      </c>
      <c r="B35" s="0" t="n">
        <f aca="false">B34/(1+B27/100)^L4</f>
        <v>1008482.53544277</v>
      </c>
    </row>
    <row r="36" customFormat="false" ht="15" hidden="false" customHeight="false" outlineLevel="0" collapsed="false">
      <c r="A36" s="0" t="s">
        <v>173</v>
      </c>
      <c r="B36" s="0" t="n">
        <f aca="false">B30+B35</f>
        <v>1167766.55249771</v>
      </c>
    </row>
    <row r="37" customFormat="false" ht="15" hidden="false" customHeight="false" outlineLevel="0" collapsed="false">
      <c r="A37" s="0" t="s">
        <v>174</v>
      </c>
      <c r="B37" s="0" t="n">
        <f aca="false">B36+Assumptions!$B$5-Assumptions!$B$4</f>
        <v>1633457.55249771</v>
      </c>
    </row>
    <row r="38" customFormat="false" ht="15" hidden="false" customHeight="false" outlineLevel="0" collapsed="false">
      <c r="A38" s="0" t="s">
        <v>175</v>
      </c>
      <c r="B38" s="0" t="n">
        <f aca="false">B37/Assumptions!$B$3*Assumptions!$B$10</f>
        <v>97.7217570700006</v>
      </c>
    </row>
    <row r="39" customFormat="false" ht="15" hidden="false" customHeight="false" outlineLevel="0" collapsed="false">
      <c r="A39" s="0" t="s">
        <v>176</v>
      </c>
      <c r="B39" s="4" t="n">
        <f aca="false">B38/Assumptions!$B$2-1</f>
        <v>-0.0640574938224249</v>
      </c>
    </row>
    <row r="41" customFormat="false" ht="15" hidden="false" customHeight="false" outlineLevel="0" collapsed="false">
      <c r="A41" s="0" t="s">
        <v>177</v>
      </c>
      <c r="B41" s="0" t="n">
        <f aca="false">SUMPRODUCT(-C10:L10/(1+$B$27/100)^C4:L4)</f>
        <v>117500.937422778</v>
      </c>
    </row>
    <row r="42" customFormat="false" ht="15" hidden="false" customHeight="false" outlineLevel="0" collapsed="false">
      <c r="A42" s="0" t="s">
        <v>178</v>
      </c>
      <c r="B42" s="0" t="n">
        <f aca="false">IF(B27&gt;B28,-L10*(1+B28/100)/((B27-B28)/100),-L10*20)/(1+B27/100)^L4</f>
        <v>137997.062868468</v>
      </c>
    </row>
    <row r="43" customFormat="false" ht="15" hidden="false" customHeight="false" outlineLevel="0" collapsed="false">
      <c r="A43" s="0" t="s">
        <v>179</v>
      </c>
      <c r="B43" s="0" t="n">
        <f aca="false">(B37+B41+B42)/Assumptions!$B$3*Assumptions!$B$10</f>
        <v>113.006949806203</v>
      </c>
    </row>
    <row r="45" customFormat="false" ht="15" hidden="false" customHeight="false" outlineLevel="0" collapsed="false">
      <c r="A45" s="0" t="s">
        <v>120</v>
      </c>
      <c r="B45" s="4" t="n">
        <f aca="false">Assumptions!$B$6</f>
        <v>15</v>
      </c>
    </row>
    <row r="46" customFormat="false" ht="15" hidden="false" customHeight="false" outlineLevel="0" collapsed="false">
      <c r="A46" s="0" t="s">
        <v>180</v>
      </c>
      <c r="B46" s="0" t="n">
        <f aca="false">MAX(0,MIN(IF(B45&gt;B28,B31*(1+B28/100)/((B45-B28)/100),B31*B29),B31*B29))</f>
        <v>1525850.65059421</v>
      </c>
    </row>
    <row r="47" customFormat="false" ht="15" hidden="false" customHeight="false" outlineLevel="0" collapsed="false">
      <c r="A47" s="0" t="s">
        <v>181</v>
      </c>
      <c r="B47" s="0" t="n">
        <f aca="false">(SUMPRODUCT(C19:L19/(1+B45/100)^C4:L4)+B46/(1+B45/100)^L4+Assumptions!$B$5-Assumptions!$B$4)/Assumptions!$B$3*Assumptions!$B$10</f>
        <v>54.2740782038248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183</v>
      </c>
    </row>
    <row r="3" customFormat="false" ht="15" hidden="false" customHeight="false" outlineLevel="0" collapsed="false">
      <c r="A3" s="0" t="s">
        <v>152</v>
      </c>
      <c r="B3" s="0" t="s">
        <v>114</v>
      </c>
      <c r="C3" s="2" t="s">
        <v>127</v>
      </c>
      <c r="D3" s="2" t="s">
        <v>128</v>
      </c>
      <c r="E3" s="2" t="s">
        <v>129</v>
      </c>
      <c r="F3" s="2" t="s">
        <v>130</v>
      </c>
      <c r="G3" s="2" t="s">
        <v>131</v>
      </c>
      <c r="H3" s="2" t="s">
        <v>132</v>
      </c>
      <c r="I3" s="2" t="s">
        <v>133</v>
      </c>
      <c r="J3" s="2" t="s">
        <v>134</v>
      </c>
      <c r="K3" s="2" t="s">
        <v>135</v>
      </c>
      <c r="L3" s="2" t="s">
        <v>136</v>
      </c>
    </row>
    <row r="4" customFormat="false" ht="15" hidden="false" customHeight="false" outlineLevel="0" collapsed="false">
      <c r="A4" s="0" t="s">
        <v>153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137</v>
      </c>
      <c r="C5" s="4" t="n">
        <f aca="false">Assumptions!C41</f>
        <v>11</v>
      </c>
      <c r="D5" s="4" t="n">
        <f aca="false">Assumptions!D41</f>
        <v>11</v>
      </c>
      <c r="E5" s="4" t="n">
        <f aca="false">Assumptions!E41</f>
        <v>10</v>
      </c>
      <c r="F5" s="4" t="n">
        <f aca="false">Assumptions!F41</f>
        <v>9</v>
      </c>
      <c r="G5" s="4" t="n">
        <f aca="false">Assumptions!G41</f>
        <v>8</v>
      </c>
      <c r="H5" s="4" t="n">
        <f aca="false">Assumptions!H41</f>
        <v>7</v>
      </c>
      <c r="I5" s="4" t="n">
        <f aca="false">Assumptions!I41</f>
        <v>6</v>
      </c>
      <c r="J5" s="4" t="n">
        <f aca="false">Assumptions!J41</f>
        <v>5.5</v>
      </c>
      <c r="K5" s="4" t="n">
        <f aca="false">Assumptions!K41</f>
        <v>5</v>
      </c>
      <c r="L5" s="4" t="n">
        <f aca="false">Assumptions!L41</f>
        <v>4.5</v>
      </c>
    </row>
    <row r="6" customFormat="false" ht="15" hidden="false" customHeight="false" outlineLevel="0" collapsed="false">
      <c r="A6" s="0" t="s">
        <v>70</v>
      </c>
      <c r="B6" s="3" t="n">
        <v>1023670</v>
      </c>
      <c r="C6" s="0" t="n">
        <f aca="false">B6*(1+C5/100)</f>
        <v>1136273.7</v>
      </c>
      <c r="D6" s="0" t="n">
        <f aca="false">C6*(1+D5/100)</f>
        <v>1261263.807</v>
      </c>
      <c r="E6" s="0" t="n">
        <f aca="false">D6*(1+E5/100)</f>
        <v>1387390.1877</v>
      </c>
      <c r="F6" s="0" t="n">
        <f aca="false">E6*(1+F5/100)</f>
        <v>1512255.304593</v>
      </c>
      <c r="G6" s="0" t="n">
        <f aca="false">F6*(1+G5/100)</f>
        <v>1633235.72896044</v>
      </c>
      <c r="H6" s="0" t="n">
        <f aca="false">G6*(1+H5/100)</f>
        <v>1747562.22998767</v>
      </c>
      <c r="I6" s="0" t="n">
        <f aca="false">H6*(1+I5/100)</f>
        <v>1852415.96378693</v>
      </c>
      <c r="J6" s="0" t="n">
        <f aca="false">I6*(1+J5/100)</f>
        <v>1954298.84179521</v>
      </c>
      <c r="K6" s="0" t="n">
        <f aca="false">J6*(1+K5/100)</f>
        <v>2052013.78388497</v>
      </c>
      <c r="L6" s="0" t="n">
        <f aca="false">K6*(1+L5/100)</f>
        <v>2144354.4041598</v>
      </c>
    </row>
    <row r="7" customFormat="false" ht="15" hidden="false" customHeight="false" outlineLevel="0" collapsed="false">
      <c r="A7" s="0" t="s">
        <v>138</v>
      </c>
      <c r="C7" s="4" t="n">
        <f aca="false">Assumptions!C42</f>
        <v>14.5</v>
      </c>
      <c r="D7" s="4" t="n">
        <f aca="false">Assumptions!D42</f>
        <v>17.5</v>
      </c>
      <c r="E7" s="4" t="n">
        <f aca="false">Assumptions!E42</f>
        <v>19.5</v>
      </c>
      <c r="F7" s="4" t="n">
        <f aca="false">Assumptions!F42</f>
        <v>21.5</v>
      </c>
      <c r="G7" s="4" t="n">
        <f aca="false">Assumptions!G42</f>
        <v>23</v>
      </c>
      <c r="H7" s="4" t="n">
        <f aca="false">Assumptions!H42</f>
        <v>24</v>
      </c>
      <c r="I7" s="4" t="n">
        <f aca="false">Assumptions!I42</f>
        <v>24.5</v>
      </c>
      <c r="J7" s="4" t="n">
        <f aca="false">Assumptions!J42</f>
        <v>25</v>
      </c>
      <c r="K7" s="4" t="n">
        <f aca="false">Assumptions!K42</f>
        <v>25</v>
      </c>
      <c r="L7" s="4" t="n">
        <f aca="false">Assumptions!L42</f>
        <v>25</v>
      </c>
    </row>
    <row r="8" customFormat="false" ht="15" hidden="false" customHeight="false" outlineLevel="0" collapsed="false">
      <c r="A8" s="0" t="s">
        <v>76</v>
      </c>
      <c r="C8" s="0" t="n">
        <f aca="false">C6*C7/100</f>
        <v>164759.6865</v>
      </c>
      <c r="D8" s="0" t="n">
        <f aca="false">D6*D7/100</f>
        <v>220721.166225</v>
      </c>
      <c r="E8" s="0" t="n">
        <f aca="false">E6*E7/100</f>
        <v>270541.0866015</v>
      </c>
      <c r="F8" s="0" t="n">
        <f aca="false">F6*F7/100</f>
        <v>325134.890487495</v>
      </c>
      <c r="G8" s="0" t="n">
        <f aca="false">G6*G7/100</f>
        <v>375644.217660901</v>
      </c>
      <c r="H8" s="0" t="n">
        <f aca="false">H6*H7/100</f>
        <v>419414.935197041</v>
      </c>
      <c r="I8" s="0" t="n">
        <f aca="false">I6*I7/100</f>
        <v>453841.911127798</v>
      </c>
      <c r="J8" s="0" t="n">
        <f aca="false">J6*J7/100</f>
        <v>488574.710448803</v>
      </c>
      <c r="K8" s="0" t="n">
        <f aca="false">K6*K7/100</f>
        <v>513003.445971243</v>
      </c>
      <c r="L8" s="0" t="n">
        <f aca="false">L6*L7/100</f>
        <v>536088.601039949</v>
      </c>
    </row>
    <row r="9" customFormat="false" ht="15" hidden="false" customHeight="false" outlineLevel="0" collapsed="false">
      <c r="A9" s="0" t="s">
        <v>139</v>
      </c>
      <c r="C9" s="4" t="n">
        <f aca="false">Assumptions!C43</f>
        <v>1.3</v>
      </c>
      <c r="D9" s="4" t="n">
        <f aca="false">Assumptions!D43</f>
        <v>1.3</v>
      </c>
      <c r="E9" s="4" t="n">
        <f aca="false">Assumptions!E43</f>
        <v>1.3</v>
      </c>
      <c r="F9" s="4" t="n">
        <f aca="false">Assumptions!F43</f>
        <v>1.3</v>
      </c>
      <c r="G9" s="4" t="n">
        <f aca="false">Assumptions!G43</f>
        <v>1.3</v>
      </c>
      <c r="H9" s="4" t="n">
        <f aca="false">Assumptions!H43</f>
        <v>1.3</v>
      </c>
      <c r="I9" s="4" t="n">
        <f aca="false">Assumptions!I43</f>
        <v>1.3</v>
      </c>
      <c r="J9" s="4" t="n">
        <f aca="false">Assumptions!J43</f>
        <v>1.3</v>
      </c>
      <c r="K9" s="4" t="n">
        <f aca="false">Assumptions!K43</f>
        <v>1.25</v>
      </c>
      <c r="L9" s="4" t="n">
        <f aca="false">Assumptions!L43</f>
        <v>1.25</v>
      </c>
    </row>
    <row r="10" customFormat="false" ht="15" hidden="false" customHeight="false" outlineLevel="0" collapsed="false">
      <c r="A10" s="0" t="s">
        <v>154</v>
      </c>
      <c r="C10" s="0" t="n">
        <f aca="false">-C6*C9/100</f>
        <v>-14771.5581</v>
      </c>
      <c r="D10" s="0" t="n">
        <f aca="false">-D6*D9/100</f>
        <v>-16396.429491</v>
      </c>
      <c r="E10" s="0" t="n">
        <f aca="false">-E6*E9/100</f>
        <v>-18036.0724401</v>
      </c>
      <c r="F10" s="0" t="n">
        <f aca="false">-F6*F9/100</f>
        <v>-19659.318959709</v>
      </c>
      <c r="G10" s="0" t="n">
        <f aca="false">-G6*G9/100</f>
        <v>-21232.0644764857</v>
      </c>
      <c r="H10" s="0" t="n">
        <f aca="false">-H6*H9/100</f>
        <v>-22718.3089898397</v>
      </c>
      <c r="I10" s="0" t="n">
        <f aca="false">-I6*I9/100</f>
        <v>-24081.4075292301</v>
      </c>
      <c r="J10" s="0" t="n">
        <f aca="false">-J6*J9/100</f>
        <v>-25405.8849433378</v>
      </c>
      <c r="K10" s="0" t="n">
        <f aca="false">-K6*K9/100</f>
        <v>-25650.1722985622</v>
      </c>
      <c r="L10" s="0" t="n">
        <f aca="false">-L6*L9/100</f>
        <v>-26804.4300519975</v>
      </c>
    </row>
    <row r="11" customFormat="false" ht="15" hidden="false" customHeight="false" outlineLevel="0" collapsed="false">
      <c r="A11" s="0" t="s">
        <v>155</v>
      </c>
      <c r="C11" s="0" t="n">
        <f aca="false">C8+C10+C24</f>
        <v>149988.1284</v>
      </c>
      <c r="D11" s="0" t="n">
        <f aca="false">D8+D10+D24</f>
        <v>204324.736734</v>
      </c>
      <c r="E11" s="0" t="n">
        <f aca="false">E8+E10+E24</f>
        <v>252505.0141614</v>
      </c>
      <c r="F11" s="0" t="n">
        <f aca="false">F8+F10+F24</f>
        <v>305475.571527786</v>
      </c>
      <c r="G11" s="0" t="n">
        <f aca="false">G8+G10+G24</f>
        <v>354412.153184416</v>
      </c>
      <c r="H11" s="0" t="n">
        <f aca="false">H8+H10+H24</f>
        <v>396696.626207201</v>
      </c>
      <c r="I11" s="0" t="n">
        <f aca="false">I8+I10+I24</f>
        <v>429760.503598568</v>
      </c>
      <c r="J11" s="0" t="n">
        <f aca="false">J8+J10+J24</f>
        <v>463168.825505465</v>
      </c>
      <c r="K11" s="0" t="n">
        <f aca="false">K8+K10+K24</f>
        <v>487353.273672681</v>
      </c>
      <c r="L11" s="0" t="n">
        <f aca="false">L8+L10+L24</f>
        <v>509284.170987952</v>
      </c>
    </row>
    <row r="12" customFormat="false" ht="15" hidden="false" customHeight="false" outlineLevel="0" collapsed="false">
      <c r="A12" s="0" t="s">
        <v>156</v>
      </c>
      <c r="C12" s="4" t="n">
        <f aca="false">-C6*Assumptions!C45/100</f>
        <v>-62495.0535</v>
      </c>
      <c r="D12" s="4" t="n">
        <f aca="false">-D6*Assumptions!D45/100</f>
        <v>-88288.46649</v>
      </c>
      <c r="E12" s="4" t="n">
        <f aca="false">-E6*Assumptions!E45/100</f>
        <v>-117928.1659545</v>
      </c>
      <c r="F12" s="4" t="n">
        <f aca="false">-F6*Assumptions!F45/100</f>
        <v>-136102.97741337</v>
      </c>
      <c r="G12" s="4" t="n">
        <f aca="false">-G6*Assumptions!G45/100</f>
        <v>-146991.21560644</v>
      </c>
      <c r="H12" s="4" t="n">
        <f aca="false">-H6*Assumptions!H45/100</f>
        <v>-157280.60069889</v>
      </c>
      <c r="I12" s="4" t="n">
        <f aca="false">-I6*Assumptions!I45/100</f>
        <v>-157455.356921889</v>
      </c>
      <c r="J12" s="4" t="n">
        <f aca="false">-J6*Assumptions!J45/100</f>
        <v>-166115.401552593</v>
      </c>
      <c r="K12" s="4" t="n">
        <f aca="false">-K6*Assumptions!K45/100</f>
        <v>-174421.171630223</v>
      </c>
      <c r="L12" s="4" t="n">
        <f aca="false">-L6*Assumptions!L45/100</f>
        <v>-182270.124353583</v>
      </c>
    </row>
    <row r="13" customFormat="false" ht="15" hidden="false" customHeight="false" outlineLevel="0" collapsed="false">
      <c r="A13" s="0" t="s">
        <v>157</v>
      </c>
      <c r="C13" s="0" t="n">
        <f aca="false">C11+C12</f>
        <v>87493.0749</v>
      </c>
      <c r="D13" s="0" t="n">
        <f aca="false">D11+D12</f>
        <v>116036.270244</v>
      </c>
      <c r="E13" s="0" t="n">
        <f aca="false">E11+E12</f>
        <v>134576.8482069</v>
      </c>
      <c r="F13" s="0" t="n">
        <f aca="false">F11+F12</f>
        <v>169372.594114416</v>
      </c>
      <c r="G13" s="0" t="n">
        <f aca="false">G11+G12</f>
        <v>207420.937577976</v>
      </c>
      <c r="H13" s="0" t="n">
        <f aca="false">H11+H12</f>
        <v>239416.025508311</v>
      </c>
      <c r="I13" s="0" t="n">
        <f aca="false">I11+I12</f>
        <v>272305.146676679</v>
      </c>
      <c r="J13" s="0" t="n">
        <f aca="false">J11+J12</f>
        <v>297053.423952872</v>
      </c>
      <c r="K13" s="0" t="n">
        <f aca="false">K11+K12</f>
        <v>312932.102042459</v>
      </c>
      <c r="L13" s="0" t="n">
        <f aca="false">L11+L12</f>
        <v>327014.046634369</v>
      </c>
    </row>
    <row r="14" customFormat="false" ht="15" hidden="false" customHeight="false" outlineLevel="0" collapsed="false">
      <c r="A14" s="0" t="s">
        <v>143</v>
      </c>
      <c r="C14" s="4" t="n">
        <f aca="false">Assumptions!C47</f>
        <v>18</v>
      </c>
      <c r="D14" s="4" t="n">
        <f aca="false">Assumptions!D47</f>
        <v>18</v>
      </c>
      <c r="E14" s="4" t="n">
        <f aca="false">Assumptions!E47</f>
        <v>18</v>
      </c>
      <c r="F14" s="4" t="n">
        <f aca="false">Assumptions!F47</f>
        <v>18</v>
      </c>
      <c r="G14" s="4" t="n">
        <f aca="false">Assumptions!G47</f>
        <v>18</v>
      </c>
      <c r="H14" s="4" t="n">
        <f aca="false">Assumptions!H47</f>
        <v>18</v>
      </c>
      <c r="I14" s="4" t="n">
        <f aca="false">Assumptions!I47</f>
        <v>18</v>
      </c>
      <c r="J14" s="4" t="n">
        <f aca="false">Assumptions!J47</f>
        <v>18</v>
      </c>
      <c r="K14" s="4" t="n">
        <f aca="false">Assumptions!K47</f>
        <v>18</v>
      </c>
      <c r="L14" s="4" t="n">
        <f aca="false">Assumptions!L47</f>
        <v>18</v>
      </c>
    </row>
    <row r="15" customFormat="false" ht="15" hidden="false" customHeight="false" outlineLevel="0" collapsed="false">
      <c r="A15" s="0" t="s">
        <v>158</v>
      </c>
      <c r="C15" s="0" t="n">
        <f aca="false">C13-MAX(0,C13)*C14/100</f>
        <v>71744.321418</v>
      </c>
      <c r="D15" s="0" t="n">
        <f aca="false">D13-MAX(0,D13)*D14/100</f>
        <v>95149.74160008</v>
      </c>
      <c r="E15" s="0" t="n">
        <f aca="false">E13-MAX(0,E13)*E14/100</f>
        <v>110353.015529658</v>
      </c>
      <c r="F15" s="0" t="n">
        <f aca="false">F13-MAX(0,F13)*F14/100</f>
        <v>138885.527173821</v>
      </c>
      <c r="G15" s="0" t="n">
        <f aca="false">G13-MAX(0,G13)*G14/100</f>
        <v>170085.16881394</v>
      </c>
      <c r="H15" s="0" t="n">
        <f aca="false">H13-MAX(0,H13)*H14/100</f>
        <v>196321.140916815</v>
      </c>
      <c r="I15" s="0" t="n">
        <f aca="false">I13-MAX(0,I13)*I14/100</f>
        <v>223290.220274877</v>
      </c>
      <c r="J15" s="0" t="n">
        <f aca="false">J13-MAX(0,J13)*J14/100</f>
        <v>243583.807641355</v>
      </c>
      <c r="K15" s="0" t="n">
        <f aca="false">K13-MAX(0,K13)*K14/100</f>
        <v>256604.323674816</v>
      </c>
      <c r="L15" s="0" t="n">
        <f aca="false">L13-MAX(0,L13)*L14/100</f>
        <v>268151.518240183</v>
      </c>
    </row>
    <row r="16" customFormat="false" ht="15" hidden="false" customHeight="false" outlineLevel="0" collapsed="false">
      <c r="A16" s="0" t="s">
        <v>159</v>
      </c>
      <c r="C16" s="0" t="n">
        <f aca="false">-C12</f>
        <v>62495.0535</v>
      </c>
      <c r="D16" s="0" t="n">
        <f aca="false">-D12</f>
        <v>88288.46649</v>
      </c>
      <c r="E16" s="0" t="n">
        <f aca="false">-E12</f>
        <v>117928.1659545</v>
      </c>
      <c r="F16" s="0" t="n">
        <f aca="false">-F12</f>
        <v>136102.97741337</v>
      </c>
      <c r="G16" s="0" t="n">
        <f aca="false">-G12</f>
        <v>146991.21560644</v>
      </c>
      <c r="H16" s="0" t="n">
        <f aca="false">-H12</f>
        <v>157280.60069889</v>
      </c>
      <c r="I16" s="0" t="n">
        <f aca="false">-I12</f>
        <v>157455.356921889</v>
      </c>
      <c r="J16" s="0" t="n">
        <f aca="false">-J12</f>
        <v>166115.401552593</v>
      </c>
      <c r="K16" s="0" t="n">
        <f aca="false">-K12</f>
        <v>174421.171630223</v>
      </c>
      <c r="L16" s="0" t="n">
        <f aca="false">-L12</f>
        <v>182270.124353583</v>
      </c>
    </row>
    <row r="17" customFormat="false" ht="15" hidden="false" customHeight="false" outlineLevel="0" collapsed="false">
      <c r="A17" s="0" t="s">
        <v>160</v>
      </c>
      <c r="C17" s="4" t="n">
        <f aca="false">-C6*Assumptions!C46/100</f>
        <v>-249980.214</v>
      </c>
      <c r="D17" s="4" t="n">
        <f aca="false">-D6*Assumptions!D46/100</f>
        <v>-239640.12333</v>
      </c>
      <c r="E17" s="4" t="n">
        <f aca="false">-E6*Assumptions!E46/100</f>
        <v>-208108.528155</v>
      </c>
      <c r="F17" s="4" t="n">
        <f aca="false">-F6*Assumptions!F46/100</f>
        <v>-189031.913074125</v>
      </c>
      <c r="G17" s="4" t="n">
        <f aca="false">-G6*Assumptions!G46/100</f>
        <v>-179655.930185648</v>
      </c>
      <c r="H17" s="4" t="n">
        <f aca="false">-H6*Assumptions!H46/100</f>
        <v>-174756.222998767</v>
      </c>
      <c r="I17" s="4" t="n">
        <f aca="false">-I6*Assumptions!I46/100</f>
        <v>-175979.516559759</v>
      </c>
      <c r="J17" s="4" t="n">
        <f aca="false">-J6*Assumptions!J46/100</f>
        <v>-175886.895761569</v>
      </c>
      <c r="K17" s="4" t="n">
        <f aca="false">-K6*Assumptions!K46/100</f>
        <v>-184681.240549648</v>
      </c>
      <c r="L17" s="4" t="n">
        <f aca="false">-L6*Assumptions!L46/100</f>
        <v>-192991.896374382</v>
      </c>
    </row>
    <row r="18" customFormat="false" ht="15" hidden="false" customHeight="false" outlineLevel="0" collapsed="false">
      <c r="A18" s="0" t="s">
        <v>161</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162</v>
      </c>
      <c r="C19" s="0" t="n">
        <f aca="false">C15+C16+C17+C18</f>
        <v>-115740.839082</v>
      </c>
      <c r="D19" s="0" t="n">
        <f aca="false">D15+D16+D17+D18</f>
        <v>-56201.91523992</v>
      </c>
      <c r="E19" s="0" t="n">
        <f aca="false">E15+E16+E17+E18</f>
        <v>20172.653329158</v>
      </c>
      <c r="F19" s="0" t="n">
        <f aca="false">F15+F16+F17+F18</f>
        <v>85956.5915130662</v>
      </c>
      <c r="G19" s="0" t="n">
        <f aca="false">G15+G16+G17+G18</f>
        <v>137420.454234732</v>
      </c>
      <c r="H19" s="0" t="n">
        <f aca="false">H15+H16+H17+H18</f>
        <v>178845.518616938</v>
      </c>
      <c r="I19" s="0" t="n">
        <f aca="false">I15+I16+I17+I18</f>
        <v>204766.060637007</v>
      </c>
      <c r="J19" s="0" t="n">
        <f aca="false">J15+J16+J17+J18</f>
        <v>233812.313432379</v>
      </c>
      <c r="K19" s="0" t="n">
        <f aca="false">K15+K16+K17+K18</f>
        <v>246344.254755391</v>
      </c>
      <c r="L19" s="0" t="n">
        <f aca="false">L15+L16+L17+L18</f>
        <v>257429.746219384</v>
      </c>
    </row>
    <row r="20" customFormat="false" ht="15" hidden="false" customHeight="false" outlineLevel="0" collapsed="false">
      <c r="A20" s="0" t="s">
        <v>163</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164</v>
      </c>
      <c r="C21" s="0" t="n">
        <f aca="false">C19*C20</f>
        <v>-105218.94462</v>
      </c>
      <c r="D21" s="0" t="n">
        <f aca="false">D19*D20</f>
        <v>-46447.8638346446</v>
      </c>
      <c r="E21" s="0" t="n">
        <f aca="false">E19*E20</f>
        <v>15156.0130196529</v>
      </c>
      <c r="F21" s="0" t="n">
        <f aca="false">F19*F20</f>
        <v>58709.5085807432</v>
      </c>
      <c r="G21" s="0" t="n">
        <f aca="false">G19*G20</f>
        <v>85327.2902588196</v>
      </c>
      <c r="H21" s="0" t="n">
        <f aca="false">H19*H20</f>
        <v>100953.632766209</v>
      </c>
      <c r="I21" s="0" t="n">
        <f aca="false">I19*I20</f>
        <v>105077.366354001</v>
      </c>
      <c r="J21" s="0" t="n">
        <f aca="false">J19*J20</f>
        <v>109075.169800116</v>
      </c>
      <c r="K21" s="0" t="n">
        <f aca="false">K19*K20</f>
        <v>104474.011741506</v>
      </c>
      <c r="L21" s="0" t="n">
        <f aca="false">L19*L20</f>
        <v>99250.3111544307</v>
      </c>
    </row>
    <row r="23" customFormat="false" ht="15" hidden="false" customHeight="false" outlineLevel="0" collapsed="false">
      <c r="A23" s="0" t="s">
        <v>140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165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166</v>
      </c>
    </row>
    <row r="27" customFormat="false" ht="15" hidden="false" customHeight="false" outlineLevel="0" collapsed="false">
      <c r="A27" s="0" t="s">
        <v>144</v>
      </c>
      <c r="B27" s="4" t="n">
        <f aca="false">Assumptions!$B$48</f>
        <v>10</v>
      </c>
    </row>
    <row r="28" customFormat="false" ht="15" hidden="false" customHeight="false" outlineLevel="0" collapsed="false">
      <c r="A28" s="0" t="s">
        <v>145</v>
      </c>
      <c r="B28" s="4" t="n">
        <f aca="false">Assumptions!$B$49</f>
        <v>3.5</v>
      </c>
    </row>
    <row r="29" customFormat="false" ht="15" hidden="false" customHeight="false" outlineLevel="0" collapsed="false">
      <c r="A29" s="0" t="s">
        <v>146</v>
      </c>
      <c r="B29" s="4" t="n">
        <f aca="false">Assumptions!$B$50</f>
        <v>15</v>
      </c>
    </row>
    <row r="30" customFormat="false" ht="15" hidden="false" customHeight="false" outlineLevel="0" collapsed="false">
      <c r="A30" s="0" t="s">
        <v>167</v>
      </c>
      <c r="B30" s="0" t="n">
        <f aca="false">SUM(C21:L21)</f>
        <v>526356.495220835</v>
      </c>
    </row>
    <row r="31" customFormat="false" ht="15" hidden="false" customHeight="false" outlineLevel="0" collapsed="false">
      <c r="A31" s="0" t="s">
        <v>168</v>
      </c>
      <c r="B31" s="0" t="n">
        <f aca="false">L19</f>
        <v>257429.746219384</v>
      </c>
    </row>
    <row r="32" customFormat="false" ht="15" hidden="false" customHeight="false" outlineLevel="0" collapsed="false">
      <c r="A32" s="0" t="s">
        <v>169</v>
      </c>
      <c r="B32" s="0" t="n">
        <f aca="false">IF(B27&gt;B28,B31*(1+B28/100)/((B27-B28)/100),B31*B29)</f>
        <v>4099073.65133942</v>
      </c>
    </row>
    <row r="33" customFormat="false" ht="15" hidden="false" customHeight="false" outlineLevel="0" collapsed="false">
      <c r="A33" s="0" t="s">
        <v>170</v>
      </c>
      <c r="B33" s="0" t="n">
        <f aca="false">B31*B29</f>
        <v>3861446.19329076</v>
      </c>
    </row>
    <row r="34" customFormat="false" ht="15" hidden="false" customHeight="false" outlineLevel="0" collapsed="false">
      <c r="A34" s="0" t="s">
        <v>171</v>
      </c>
      <c r="B34" s="0" t="n">
        <f aca="false">MAX(0,MIN(B32,B33))</f>
        <v>3861446.19329076</v>
      </c>
    </row>
    <row r="35" customFormat="false" ht="15" hidden="false" customHeight="false" outlineLevel="0" collapsed="false">
      <c r="A35" s="0" t="s">
        <v>172</v>
      </c>
      <c r="B35" s="0" t="n">
        <f aca="false">B34/(1+B27/100)^L4</f>
        <v>1488754.66731646</v>
      </c>
    </row>
    <row r="36" customFormat="false" ht="15" hidden="false" customHeight="false" outlineLevel="0" collapsed="false">
      <c r="A36" s="0" t="s">
        <v>173</v>
      </c>
      <c r="B36" s="0" t="n">
        <f aca="false">B30+B35</f>
        <v>2015111.16253729</v>
      </c>
    </row>
    <row r="37" customFormat="false" ht="15" hidden="false" customHeight="false" outlineLevel="0" collapsed="false">
      <c r="A37" s="0" t="s">
        <v>174</v>
      </c>
      <c r="B37" s="0" t="n">
        <f aca="false">B36+Assumptions!$B$5-Assumptions!$B$4</f>
        <v>2480802.16253729</v>
      </c>
    </row>
    <row r="38" customFormat="false" ht="15" hidden="false" customHeight="false" outlineLevel="0" collapsed="false">
      <c r="A38" s="0" t="s">
        <v>175</v>
      </c>
      <c r="B38" s="0" t="n">
        <f aca="false">B37/Assumptions!$B$3*Assumptions!$B$10</f>
        <v>148.414230841509</v>
      </c>
    </row>
    <row r="39" customFormat="false" ht="15" hidden="false" customHeight="false" outlineLevel="0" collapsed="false">
      <c r="A39" s="0" t="s">
        <v>176</v>
      </c>
      <c r="B39" s="4" t="n">
        <f aca="false">B38/Assumptions!$B$2-1</f>
        <v>0.421456094641408</v>
      </c>
    </row>
    <row r="41" customFormat="false" ht="15" hidden="false" customHeight="false" outlineLevel="0" collapsed="false">
      <c r="A41" s="0" t="s">
        <v>177</v>
      </c>
      <c r="B41" s="0" t="n">
        <f aca="false">SUMPRODUCT(-C10:L10/(1+$B$27/100)^C4:L4)</f>
        <v>125387.187344129</v>
      </c>
    </row>
    <row r="42" customFormat="false" ht="15" hidden="false" customHeight="false" outlineLevel="0" collapsed="false">
      <c r="A42" s="0" t="s">
        <v>178</v>
      </c>
      <c r="B42" s="0" t="n">
        <f aca="false">IF(B27&gt;B28,-L10*(1+B28/100)/((B27-B28)/100),-L10*20)/(1+B27/100)^L4</f>
        <v>164553.346433915</v>
      </c>
    </row>
    <row r="43" customFormat="false" ht="15" hidden="false" customHeight="false" outlineLevel="0" collapsed="false">
      <c r="A43" s="0" t="s">
        <v>179</v>
      </c>
      <c r="B43" s="0" t="n">
        <f aca="false">(B37+B41+B42)/Assumptions!$B$3*Assumptions!$B$10</f>
        <v>165.759951496007</v>
      </c>
    </row>
    <row r="45" customFormat="false" ht="15" hidden="false" customHeight="false" outlineLevel="0" collapsed="false">
      <c r="A45" s="0" t="s">
        <v>120</v>
      </c>
      <c r="B45" s="4" t="n">
        <f aca="false">Assumptions!$B$6</f>
        <v>15</v>
      </c>
    </row>
    <row r="46" customFormat="false" ht="15" hidden="false" customHeight="false" outlineLevel="0" collapsed="false">
      <c r="A46" s="0" t="s">
        <v>180</v>
      </c>
      <c r="B46" s="0" t="n">
        <f aca="false">MAX(0,MIN(IF(B45&gt;B28,B31*(1+B28/100)/((B45-B28)/100),B31*B29),B31*B29))</f>
        <v>2316867.71597445</v>
      </c>
    </row>
    <row r="47" customFormat="false" ht="15" hidden="false" customHeight="false" outlineLevel="0" collapsed="false">
      <c r="A47" s="0" t="s">
        <v>181</v>
      </c>
      <c r="B47" s="0" t="n">
        <f aca="false">(SUMPRODUCT(C19:L19/(1+B45/100)^C4:L4)+B46/(1+B45/100)^L4+Assumptions!$B$5-Assumptions!$B$4)/Assumptions!$B$3*Assumptions!$B$10</f>
        <v>83.1789107021736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184</v>
      </c>
    </row>
    <row r="3" customFormat="false" ht="15" hidden="false" customHeight="false" outlineLevel="0" collapsed="false">
      <c r="A3" s="2" t="s">
        <v>185</v>
      </c>
      <c r="B3" s="2" t="s">
        <v>186</v>
      </c>
      <c r="C3" s="2" t="s">
        <v>176</v>
      </c>
      <c r="D3" s="2" t="s">
        <v>187</v>
      </c>
      <c r="E3" s="2" t="s">
        <v>179</v>
      </c>
      <c r="F3" s="2" t="s">
        <v>188</v>
      </c>
    </row>
    <row r="4" customFormat="false" ht="15" hidden="false" customHeight="false" outlineLevel="0" collapsed="false">
      <c r="A4" s="0" t="s">
        <v>189</v>
      </c>
      <c r="B4" s="4" t="n">
        <f aca="false">DCF_Bear!$B$38</f>
        <v>49.2861967876714</v>
      </c>
      <c r="C4" s="0" t="n">
        <f aca="false">B4/Assumptions!$B$2-1</f>
        <v>-0.527955207473696</v>
      </c>
      <c r="D4" s="4" t="n">
        <f aca="false">Assumptions!$B$24</f>
        <v>0.3</v>
      </c>
      <c r="E4" s="4" t="n">
        <f aca="false">DCF_Bear!$B$43</f>
        <v>60.6149274452753</v>
      </c>
      <c r="F4" s="4" t="n">
        <f aca="false">DCF_Bear!$B$47</f>
        <v>31.8917593098282</v>
      </c>
    </row>
    <row r="5" customFormat="false" ht="15" hidden="false" customHeight="false" outlineLevel="0" collapsed="false">
      <c r="A5" s="0" t="s">
        <v>190</v>
      </c>
      <c r="B5" s="4" t="n">
        <f aca="false">DCF_Base!$B$38</f>
        <v>97.7217570700006</v>
      </c>
      <c r="C5" s="0" t="n">
        <f aca="false">B5/Assumptions!$B$2-1</f>
        <v>-0.0640574938224249</v>
      </c>
      <c r="D5" s="4" t="n">
        <f aca="false">Assumptions!$B$38</f>
        <v>0.5</v>
      </c>
      <c r="E5" s="4" t="n">
        <f aca="false">DCF_Base!$B$43</f>
        <v>113.006949806203</v>
      </c>
      <c r="F5" s="4" t="n">
        <f aca="false">DCF_Base!$B$47</f>
        <v>54.2740782038248</v>
      </c>
    </row>
    <row r="6" customFormat="false" ht="15" hidden="false" customHeight="false" outlineLevel="0" collapsed="false">
      <c r="A6" s="0" t="s">
        <v>191</v>
      </c>
      <c r="B6" s="4" t="n">
        <f aca="false">DCF_Bull!$B$38</f>
        <v>148.414230841509</v>
      </c>
      <c r="C6" s="0" t="n">
        <f aca="false">B6/Assumptions!$B$2-1</f>
        <v>0.421456094641408</v>
      </c>
      <c r="D6" s="4" t="n">
        <f aca="false">Assumptions!$B$52</f>
        <v>0.2</v>
      </c>
      <c r="E6" s="4" t="n">
        <f aca="false">DCF_Bull!$B$43</f>
        <v>165.759951496007</v>
      </c>
      <c r="F6" s="4" t="n">
        <f aca="false">DCF_Bull!$B$47</f>
        <v>83.1789107021736</v>
      </c>
    </row>
    <row r="8" customFormat="false" ht="15" hidden="false" customHeight="false" outlineLevel="0" collapsed="false">
      <c r="A8" s="0" t="s">
        <v>192</v>
      </c>
      <c r="B8" s="0" t="n">
        <f aca="false">SUMPRODUCT(B4:B6,D4:D6)</f>
        <v>93.3295837396036</v>
      </c>
    </row>
    <row r="9" customFormat="false" ht="15" hidden="false" customHeight="false" outlineLevel="0" collapsed="false">
      <c r="A9" s="0" t="s">
        <v>193</v>
      </c>
      <c r="B9" s="0" t="n">
        <f aca="false">SUMPRODUCT(E4:E6,D4:D6)</f>
        <v>107.839943435885</v>
      </c>
    </row>
    <row r="10" customFormat="false" ht="15" hidden="false" customHeight="false" outlineLevel="0" collapsed="false">
      <c r="A10" s="0" t="s">
        <v>194</v>
      </c>
      <c r="B10" s="0" t="n">
        <f aca="false">1-Assumptions!$B$2/B8</f>
        <v>-0.118723515271552</v>
      </c>
    </row>
    <row r="11" customFormat="false" ht="15" hidden="false" customHeight="false" outlineLevel="0" collapsed="false">
      <c r="A11" s="0" t="s">
        <v>195</v>
      </c>
      <c r="B11" s="0" t="n">
        <f aca="false">IF(ABS(B9-B8)&gt;0.01*ABS(B8),(Assumptions!$B$2-B8)/(B9-B8)*100,"n/a")</f>
        <v>76.3621060561015</v>
      </c>
    </row>
    <row r="12" customFormat="false" ht="15" hidden="false" customHeight="false" outlineLevel="0" collapsed="false">
      <c r="A12" s="0" t="s">
        <v>196</v>
      </c>
      <c r="B12" s="0" t="n">
        <f aca="false">SUMPRODUCT(F4:F6,D4:D6)</f>
        <v>53.3403490352956</v>
      </c>
    </row>
    <row r="14" customFormat="false" ht="15" hidden="false" customHeight="false" outlineLevel="0" collapsed="false">
      <c r="A14" s="2" t="s">
        <v>197</v>
      </c>
      <c r="C14" s="0" t="s">
        <v>198</v>
      </c>
    </row>
    <row r="15" customFormat="false" ht="15" hidden="false" customHeight="false" outlineLevel="0" collapsed="false">
      <c r="A15" s="0" t="s">
        <v>199</v>
      </c>
      <c r="B15" s="0" t="n">
        <f aca="false">(SUMPRODUCT(DCF_Base!$C$19:$L$19/(1+$C$15/100)^DCF_Base!$C$4:$L$4)+MAX(0,MIN(IF($C$15&gt;DCF_Base!$B$28,DCF_Base!$L$19*(1+DCF_Base!$B$28/100)/(($C$15-DCF_Base!$B$28)/100),DCF_Base!$L$19*DCF_Base!$B$29),DCF_Base!$L$19*DCF_Base!$B$29))/(1+$C$15/100)^DCF_Base!$L$4+Assumptions!$B$5-Assumptions!$B$4)/Assumptions!$B$3*Assumptions!$B$10</f>
        <v>106.246448242038</v>
      </c>
      <c r="C15" s="3" t="n">
        <v>9</v>
      </c>
    </row>
    <row r="16" customFormat="false" ht="15" hidden="false" customHeight="false" outlineLevel="0" collapsed="false">
      <c r="A16" s="0" t="s">
        <v>200</v>
      </c>
      <c r="B16" s="0" t="n">
        <f aca="false">(SUMPRODUCT(DCF_Base!$C$19:$L$19/(1+$C$16/100)^DCF_Base!$C$4:$L$4)+MAX(0,MIN(IF($C$16&gt;DCF_Base!$B$28,DCF_Base!$L$19*(1+DCF_Base!$B$28/100)/(($C$16-DCF_Base!$B$28)/100),DCF_Base!$L$19*DCF_Base!$B$29),DCF_Base!$L$19*DCF_Base!$B$29))/(1+$C$16/100)^DCF_Base!$L$4+Assumptions!$B$5-Assumptions!$B$4)/Assumptions!$B$3*Assumptions!$B$10</f>
        <v>97.7217570700006</v>
      </c>
      <c r="C16" s="3" t="n">
        <v>10</v>
      </c>
    </row>
    <row r="17" customFormat="false" ht="15" hidden="false" customHeight="false" outlineLevel="0" collapsed="false">
      <c r="A17" s="0" t="s">
        <v>201</v>
      </c>
      <c r="B17" s="0" t="n">
        <f aca="false">(SUMPRODUCT(DCF_Base!$C$19:$L$19/(1+$C$17/100)^DCF_Base!$C$4:$L$4)+MAX(0,MIN(IF($C$17&gt;DCF_Base!$B$28,DCF_Base!$L$19*(1+DCF_Base!$B$28/100)/(($C$17-DCF_Base!$B$28)/100),DCF_Base!$L$19*DCF_Base!$B$29),DCF_Base!$L$19*DCF_Base!$B$29))/(1+$C$17/100)^DCF_Base!$L$4+Assumptions!$B$5-Assumptions!$B$4)/Assumptions!$B$3*Assumptions!$B$10</f>
        <v>84.26688716421</v>
      </c>
      <c r="C17" s="3" t="n">
        <v>11</v>
      </c>
    </row>
    <row r="18" customFormat="false" ht="15" hidden="false" customHeight="false" outlineLevel="0" collapsed="false">
      <c r="A18" s="0" t="s">
        <v>202</v>
      </c>
      <c r="B18" s="0" t="n">
        <f aca="false">(SUMPRODUCT(DCF_Base!$C$19:$L$19/(1+$C$18/100)^DCF_Base!$C$4:$L$4)+MAX(0,MIN(IF($C$18&gt;DCF_Base!$B$28,DCF_Base!$L$19*(1+DCF_Base!$B$28/100)/(($C$18-DCF_Base!$B$28)/100),DCF_Base!$L$19*DCF_Base!$B$29),DCF_Base!$L$19*DCF_Base!$B$29))/(1+$C$18/100)^DCF_Base!$L$4+Assumptions!$B$5-Assumptions!$B$4)/Assumptions!$B$3*Assumptions!$B$10</f>
        <v>74.0008155777619</v>
      </c>
      <c r="C18" s="3" t="n">
        <v>12</v>
      </c>
    </row>
    <row r="19" customFormat="false" ht="15" hidden="false" customHeight="false" outlineLevel="0" collapsed="false">
      <c r="A19" s="0" t="s">
        <v>203</v>
      </c>
      <c r="B19" s="0" t="n">
        <f aca="false">(SUMPRODUCT(DCF_Base!$C$19:$L$19/(1+$C$19/100)^DCF_Base!$C$4:$L$4)+MAX(0,MIN(IF($C$19&gt;DCF_Base!$B$28,DCF_Base!$L$19*(1+DCF_Base!$B$28/100)/(($C$19-DCF_Base!$B$28)/100),DCF_Base!$L$19*DCF_Base!$B$29),DCF_Base!$L$19*DCF_Base!$B$29))/(1+$C$19/100)^DCF_Base!$L$4+Assumptions!$B$5-Assumptions!$B$4)/Assumptions!$B$3*Assumptions!$B$10</f>
        <v>54.2740782038248</v>
      </c>
      <c r="C19" s="3" t="n">
        <v>15</v>
      </c>
    </row>
    <row r="21" customFormat="false" ht="15" hidden="false" customHeight="false" outlineLevel="0" collapsed="false">
      <c r="A21" s="2" t="s">
        <v>204</v>
      </c>
    </row>
    <row r="22" customFormat="false" ht="15" hidden="false" customHeight="false" outlineLevel="0" collapsed="false">
      <c r="B22" s="3" t="n">
        <v>2</v>
      </c>
      <c r="C22" s="3" t="n">
        <v>2.5</v>
      </c>
      <c r="D22" s="3" t="n">
        <v>3</v>
      </c>
      <c r="E22" s="3" t="n">
        <v>3.5</v>
      </c>
      <c r="F22" s="3" t="n">
        <v>4</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114.363266190806</v>
      </c>
      <c r="C23" s="0" t="n">
        <f aca="false">(SUMPRODUCT(DCF_Base!$C$19:$L$19/(1+$A$23/100)^DCF_Base!$C$4:$L$4)+MAX(0,MIN(IF($A$23&gt;$C$22,DCF_Base!$L$19*(1+$C$22/100)/(($A$23-$C$22)/100),DCF_Base!$L$19*DCF_Base!$B$29),DCF_Base!$L$19*DCF_Base!$B$29))/(1+$A$23/100)^DCF_Base!$L$4+Assumptions!$B$5-Assumptions!$B$4)/Assumptions!$B$3*Assumptions!$B$10</f>
        <v>114.363266190806</v>
      </c>
      <c r="D23" s="0" t="n">
        <f aca="false">(SUMPRODUCT(DCF_Base!$C$19:$L$19/(1+$A$23/100)^DCF_Base!$C$4:$L$4)+MAX(0,MIN(IF($A$23&gt;$D$22,DCF_Base!$L$19*(1+$D$22/100)/(($A$23-$D$22)/100),DCF_Base!$L$19*DCF_Base!$B$29),DCF_Base!$L$19*DCF_Base!$B$29))/(1+$A$23/100)^DCF_Base!$L$4+Assumptions!$B$5-Assumptions!$B$4)/Assumptions!$B$3*Assumptions!$B$10</f>
        <v>114.363266190806</v>
      </c>
      <c r="E23" s="0" t="n">
        <f aca="false">(SUMPRODUCT(DCF_Base!$C$19:$L$19/(1+$A$23/100)^DCF_Base!$C$4:$L$4)+MAX(0,MIN(IF($A$23&gt;$E$22,DCF_Base!$L$19*(1+$E$22/100)/(($A$23-$E$22)/100),DCF_Base!$L$19*DCF_Base!$B$29),DCF_Base!$L$19*DCF_Base!$B$29))/(1+$A$23/100)^DCF_Base!$L$4+Assumptions!$B$5-Assumptions!$B$4)/Assumptions!$B$3*Assumptions!$B$10</f>
        <v>114.363266190806</v>
      </c>
      <c r="F23" s="0" t="n">
        <f aca="false">(SUMPRODUCT(DCF_Base!$C$19:$L$19/(1+$A$23/100)^DCF_Base!$C$4:$L$4)+MAX(0,MIN(IF($A$23&gt;$F$22,DCF_Base!$L$19*(1+$F$22/100)/(($A$23-$F$22)/100),DCF_Base!$L$19*DCF_Base!$B$29),DCF_Base!$L$19*DCF_Base!$B$29))/(1+$A$23/100)^DCF_Base!$L$4+Assumptions!$B$5-Assumptions!$B$4)/Assumptions!$B$3*Assumptions!$B$10</f>
        <v>114.363266190806</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104.321151403375</v>
      </c>
      <c r="C24" s="0" t="n">
        <f aca="false">(SUMPRODUCT(DCF_Base!$C$19:$L$19/(1+$A$24/100)^DCF_Base!$C$4:$L$4)+MAX(0,MIN(IF($A$24&gt;$C$22,DCF_Base!$L$19*(1+$C$22/100)/(($A$24-$C$22)/100),DCF_Base!$L$19*DCF_Base!$B$29),DCF_Base!$L$19*DCF_Base!$B$29))/(1+$A$24/100)^DCF_Base!$L$4+Assumptions!$B$5-Assumptions!$B$4)/Assumptions!$B$3*Assumptions!$B$10</f>
        <v>106.246448242038</v>
      </c>
      <c r="D24" s="0" t="n">
        <f aca="false">(SUMPRODUCT(DCF_Base!$C$19:$L$19/(1+$A$24/100)^DCF_Base!$C$4:$L$4)+MAX(0,MIN(IF($A$24&gt;$D$22,DCF_Base!$L$19*(1+$D$22/100)/(($A$24-$D$22)/100),DCF_Base!$L$19*DCF_Base!$B$29),DCF_Base!$L$19*DCF_Base!$B$29))/(1+$A$24/100)^DCF_Base!$L$4+Assumptions!$B$5-Assumptions!$B$4)/Assumptions!$B$3*Assumptions!$B$10</f>
        <v>106.246448242038</v>
      </c>
      <c r="E24" s="0" t="n">
        <f aca="false">(SUMPRODUCT(DCF_Base!$C$19:$L$19/(1+$A$24/100)^DCF_Base!$C$4:$L$4)+MAX(0,MIN(IF($A$24&gt;$E$22,DCF_Base!$L$19*(1+$E$22/100)/(($A$24-$E$22)/100),DCF_Base!$L$19*DCF_Base!$B$29),DCF_Base!$L$19*DCF_Base!$B$29))/(1+$A$24/100)^DCF_Base!$L$4+Assumptions!$B$5-Assumptions!$B$4)/Assumptions!$B$3*Assumptions!$B$10</f>
        <v>106.246448242038</v>
      </c>
      <c r="F24" s="0" t="n">
        <f aca="false">(SUMPRODUCT(DCF_Base!$C$19:$L$19/(1+$A$24/100)^DCF_Base!$C$4:$L$4)+MAX(0,MIN(IF($A$24&gt;$F$22,DCF_Base!$L$19*(1+$F$22/100)/(($A$24-$F$22)/100),DCF_Base!$L$19*DCF_Base!$B$29),DCF_Base!$L$19*DCF_Base!$B$29))/(1+$A$24/100)^DCF_Base!$L$4+Assumptions!$B$5-Assumptions!$B$4)/Assumptions!$B$3*Assumptions!$B$10</f>
        <v>106.246448242038</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89.6676524064882</v>
      </c>
      <c r="C25" s="0" t="n">
        <f aca="false">(SUMPRODUCT(DCF_Base!$C$19:$L$19/(1+$A$25/100)^DCF_Base!$C$4:$L$4)+MAX(0,MIN(IF($A$25&gt;$C$22,DCF_Base!$L$19*(1+$C$22/100)/(($A$25-$C$22)/100),DCF_Base!$L$19*DCF_Base!$B$29),DCF_Base!$L$19*DCF_Base!$B$29))/(1+$A$25/100)^DCF_Base!$L$4+Assumptions!$B$5-Assumptions!$B$4)/Assumptions!$B$3*Assumptions!$B$10</f>
        <v>93.426234582794</v>
      </c>
      <c r="D25" s="0" t="n">
        <f aca="false">(SUMPRODUCT(DCF_Base!$C$19:$L$19/(1+$A$25/100)^DCF_Base!$C$4:$L$4)+MAX(0,MIN(IF($A$25&gt;$D$22,DCF_Base!$L$19*(1+$D$22/100)/(($A$25-$D$22)/100),DCF_Base!$L$19*DCF_Base!$B$29),DCF_Base!$L$19*DCF_Base!$B$29))/(1+$A$25/100)^DCF_Base!$L$4+Assumptions!$B$5-Assumptions!$B$4)/Assumptions!$B$3*Assumptions!$B$10</f>
        <v>97.7217570700006</v>
      </c>
      <c r="E25" s="0" t="n">
        <f aca="false">(SUMPRODUCT(DCF_Base!$C$19:$L$19/(1+$A$25/100)^DCF_Base!$C$4:$L$4)+MAX(0,MIN(IF($A$25&gt;$E$22,DCF_Base!$L$19*(1+$E$22/100)/(($A$25-$E$22)/100),DCF_Base!$L$19*DCF_Base!$B$29),DCF_Base!$L$19*DCF_Base!$B$29))/(1+$A$25/100)^DCF_Base!$L$4+Assumptions!$B$5-Assumptions!$B$4)/Assumptions!$B$3*Assumptions!$B$10</f>
        <v>98.8932632028752</v>
      </c>
      <c r="F25" s="0" t="n">
        <f aca="false">(SUMPRODUCT(DCF_Base!$C$19:$L$19/(1+$A$25/100)^DCF_Base!$C$4:$L$4)+MAX(0,MIN(IF($A$25&gt;$F$22,DCF_Base!$L$19*(1+$F$22/100)/(($A$25-$F$22)/100),DCF_Base!$L$19*DCF_Base!$B$29),DCF_Base!$L$19*DCF_Base!$B$29))/(1+$A$25/100)^DCF_Base!$L$4+Assumptions!$B$5-Assumptions!$B$4)/Assumptions!$B$3*Assumptions!$B$10</f>
        <v>98.8932632028752</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78.492576350864</v>
      </c>
      <c r="C26" s="0" t="n">
        <f aca="false">(SUMPRODUCT(DCF_Base!$C$19:$L$19/(1+$A$26/100)^DCF_Base!$C$4:$L$4)+MAX(0,MIN(IF($A$26&gt;$C$22,DCF_Base!$L$19*(1+$C$22/100)/(($A$26-$C$22)/100),DCF_Base!$L$19*DCF_Base!$B$29),DCF_Base!$L$19*DCF_Base!$B$29))/(1+$A$26/100)^DCF_Base!$L$4+Assumptions!$B$5-Assumptions!$B$4)/Assumptions!$B$3*Assumptions!$B$10</f>
        <v>81.2098990865562</v>
      </c>
      <c r="D26" s="0" t="n">
        <f aca="false">(SUMPRODUCT(DCF_Base!$C$19:$L$19/(1+$A$26/100)^DCF_Base!$C$4:$L$4)+MAX(0,MIN(IF($A$26&gt;$D$22,DCF_Base!$L$19*(1+$D$22/100)/(($A$26-$D$22)/100),DCF_Base!$L$19*DCF_Base!$B$29),DCF_Base!$L$19*DCF_Base!$B$29))/(1+$A$26/100)^DCF_Base!$L$4+Assumptions!$B$5-Assumptions!$B$4)/Assumptions!$B$3*Assumptions!$B$10</f>
        <v>84.26688716421</v>
      </c>
      <c r="E26" s="0" t="n">
        <f aca="false">(SUMPRODUCT(DCF_Base!$C$19:$L$19/(1+$A$26/100)^DCF_Base!$C$4:$L$4)+MAX(0,MIN(IF($A$26&gt;$E$22,DCF_Base!$L$19*(1+$E$22/100)/(($A$26-$E$22)/100),DCF_Base!$L$19*DCF_Base!$B$29),DCF_Base!$L$19*DCF_Base!$B$29))/(1+$A$26/100)^DCF_Base!$L$4+Assumptions!$B$5-Assumptions!$B$4)/Assumptions!$B$3*Assumptions!$B$10</f>
        <v>87.7314736522176</v>
      </c>
      <c r="F26" s="0" t="n">
        <f aca="false">(SUMPRODUCT(DCF_Base!$C$19:$L$19/(1+$A$26/100)^DCF_Base!$C$4:$L$4)+MAX(0,MIN(IF($A$26&gt;$F$22,DCF_Base!$L$19*(1+$F$22/100)/(($A$26-$F$22)/100),DCF_Base!$L$19*DCF_Base!$B$29),DCF_Base!$L$19*DCF_Base!$B$29))/(1+$A$26/100)^DCF_Base!$L$4+Assumptions!$B$5-Assumptions!$B$4)/Assumptions!$B$3*Assumptions!$B$10</f>
        <v>91.6910010670834</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69.7395878044823</v>
      </c>
      <c r="C27" s="0" t="n">
        <f aca="false">(SUMPRODUCT(DCF_Base!$C$19:$L$19/(1+$A$27/100)^DCF_Base!$C$4:$L$4)+MAX(0,MIN(IF($A$27&gt;$C$22,DCF_Base!$L$19*(1+$C$22/100)/(($A$27-$C$22)/100),DCF_Base!$L$19*DCF_Base!$B$29),DCF_Base!$L$19*DCF_Base!$B$29))/(1+$A$27/100)^DCF_Base!$L$4+Assumptions!$B$5-Assumptions!$B$4)/Assumptions!$B$3*Assumptions!$B$10</f>
        <v>71.7580641181411</v>
      </c>
      <c r="D27" s="0" t="n">
        <f aca="false">(SUMPRODUCT(DCF_Base!$C$19:$L$19/(1+$A$27/100)^DCF_Base!$C$4:$L$4)+MAX(0,MIN(IF($A$27&gt;$D$22,DCF_Base!$L$19*(1+$D$22/100)/(($A$27-$D$22)/100),DCF_Base!$L$19*DCF_Base!$B$29),DCF_Base!$L$19*DCF_Base!$B$29))/(1+$A$27/100)^DCF_Base!$L$4+Assumptions!$B$5-Assumptions!$B$4)/Assumptions!$B$3*Assumptions!$B$10</f>
        <v>74.0008155777619</v>
      </c>
      <c r="E27" s="0" t="n">
        <f aca="false">(SUMPRODUCT(DCF_Base!$C$19:$L$19/(1+$A$27/100)^DCF_Base!$C$4:$L$4)+MAX(0,MIN(IF($A$27&gt;$E$22,DCF_Base!$L$19*(1+$E$22/100)/(($A$27-$E$22)/100),DCF_Base!$L$19*DCF_Base!$B$29),DCF_Base!$L$19*DCF_Base!$B$29))/(1+$A$27/100)^DCF_Base!$L$4+Assumptions!$B$5-Assumptions!$B$4)/Assumptions!$B$3*Assumptions!$B$10</f>
        <v>76.5074201502794</v>
      </c>
      <c r="F27" s="0" t="n">
        <f aca="false">(SUMPRODUCT(DCF_Base!$C$19:$L$19/(1+$A$27/100)^DCF_Base!$C$4:$L$4)+MAX(0,MIN(IF($A$27&gt;$F$22,DCF_Base!$L$19*(1+$F$22/100)/(($A$27-$F$22)/100),DCF_Base!$L$19*DCF_Base!$B$29),DCF_Base!$L$19*DCF_Base!$B$29))/(1+$A$27/100)^DCF_Base!$L$4+Assumptions!$B$5-Assumptions!$B$4)/Assumptions!$B$3*Assumptions!$B$10</f>
        <v>79.3273502943615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2026-10-22T01:50:19Z</dcterms:created>
  <dc:creator>openpyxl</dc:creator>
  <dc:description/>
  <dc:language>en-NZ</dc:language>
  <cp:lastModifiedBy/>
  <dcterms:modified xsi:type="dcterms:W3CDTF">2026-10-22T01:50:19Z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