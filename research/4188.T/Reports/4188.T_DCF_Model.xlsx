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<sst xmlns="http://schemas.openxmlformats.org/spreadsheetml/2006/main" count="365" uniqueCount="168">
  <si>
    <t xml:space="preserve">Ticker</t>
  </si>
  <si>
    <t xml:space="preserve">4188.T</t>
  </si>
  <si>
    <t xml:space="preserve">Company</t>
  </si>
  <si>
    <t xml:space="preserve">Mitsubishi Chemical Group Corporation</t>
  </si>
  <si>
    <t xml:space="preserve">Valuation date</t>
  </si>
  <si>
    <t xml:space="preserve">2026-10-31</t>
  </si>
  <si>
    <t xml:space="preserve">Current price</t>
  </si>
  <si>
    <t xml:space="preserve">Price as of</t>
  </si>
  <si>
    <t xml:space="preserve">2026-10-30T06:30:00Z regular close (TSE 15:30 JST)</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</si>
  <si>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</si>
  <si>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</si>
  <si>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</si>
  <si>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</si>
  <si>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</si>
  <si>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</si>
  <si>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</si>
  <si>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</si>
  <si>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</si>
  <si>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</si>
  <si>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</si>
  <si>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</si>
  <si>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2026-10-31T01:06:43Z</t>
  </si>
  <si>
    <t xml:space="preserve">Drivers file</t>
  </si>
  <si>
    <t xml:space="preserve">4188.T_Drivers.json</t>
  </si>
  <si>
    <t xml:space="preserve">Convention</t>
  </si>
  <si>
    <t xml:space="preserve">Percents stored as percents; formulas divide by 100. Blue = input, green = link, black = formula.</t>
  </si>
  <si>
    <t xml:space="preserve">Methodology</t>
  </si>
  <si>
    <t xml:space="preserve">summary: Sum-of-parts: an owner-FCF DCF of the chemicals business on the continuing-operations (ex-pharma) basis, normalised from the FY2026 trough to a mid-cycle chemicals core operating income with a recurring charge for the restructuring costs this company books almost every year, plus MCG's 50.6% stake in listed Nippon Sanso Holdings at market and NSHD's net debt added back. The chemicals DCF is deliberately a cash-flow valuation: the terminal cap of 12-15x owner FCF equals only ~3.5-4x EBITDA because capex absorbs most of chemicals EBITDA, so the valuation does not grant the 6-7x EV/EBITDA that listed chemicals peers trade on. The market price therefore implies either that chemicals FCF conversion improves beyond the base path or that the MTMP2029 target is largely delivered.
key_risks_to_valuation: NSHD stake at market: the single largest component of value (~Y890/share gross) moves with 4091.T, not with anything MCG controls; a 10% de-rating of NSHD or a holding-company discount costs ~Y89/share.; Mid-cycle normalisation: the base assumes FY2027 chemicals core OI of ~Y83bn against a FY2026 actual of Y24bn; if FY2026 was not a trough but the new normal, the bear case applies.; Recurring non-core charges: the 1.0pp/yr charge is a judgment; the last two years ran 4-5x that in statutory terms (mostly non-cash impairments).; Capex normalisation: most of the FCF improvement comes from capex falling from 8.3% to 6.3% of revenue, not from margins; a second growth build-out would push the base toward the bear.; Chemicals-only cash flows before FY2025 are not disclosed, so FY0 FCF and the 'mid-cycle' anchor are derived from segment core OI, D&amp;A and capex rather than observed.; Strait of Hormuz / Middle East: guidance excludes it; management's own estimate is ~Y18bn of FY2027 core OI if disruption persisted through September 2026.; Terminal multiple: at 14x FCF the chemicals terminal value is ~3.9x EBITDA; every 1x of FCF multiple is ~Y40/share.</t>
  </si>
  <si>
    <t xml:space="preserve">Data sources</t>
  </si>
  <si>
    <t xml:space="preserve">price: Yahoo Finance chart API at inputs.price_as_of (TSE regular close); 52-week range 796.3-1305.0. NSHD (4091.T) price from the same endpoint at the same timestamp.
financials: 4188.T_Metrics.csv (FY2016-Q1 FY2027, JPY millions, end-year FY convention); FY2026 annual report segment table and lease note (4188.T_Annual_FY2025.txt, 4188.T_SecuritiesReport_FY2025.txt notes 34 and 38); Q1 FY2027 report (4188.T_Quarterly_Q1-2026.txt) for the 30 June 2026 balance sheet and share count; stockanalysis.com for NSHD shares outstanding, total debt and net debt.
qualitative: 4188.T_Analysis.json (2026-10-31): FY2027 guidance (revenue Y3,800bn, core OI Y305bn of which chemicals Y100bn and gases Y205bn, net income Y127bn), MTMP2029 targets, segment commentary, risks.</t>
  </si>
  <si>
    <t xml:space="preserve">Scenario narrative: bear</t>
  </si>
  <si>
    <t xml:space="preserve">China structural overcapacity in MMA and basic petrochemicals never clears, the Asian spread stays at or below cost, and the FY2027 guidance is missed on the Hormuz disruption and a weaker-than-guided MMA recovery. Chemicals core OI plateaus around Y90bn, below even the FY2027 guidance, while the company keeps booking Soarnol-, coke/carbon- and EO/EG-sized impairments and exit costs (1.5% of revenue a year) and keeps spending above D&amp;A on the semiconductor build-out. Revenue drifts flat to slightly down as crackers close. The chemicals business is then worth little more than its net debt; the equity value is essentially the NSHD stake less the chemicals-attributable debt, and the group's ~Y0.8tn of chemicals net debt leaves no margin for a second lost decade.</t>
  </si>
  <si>
    <t xml:space="preserve">Scenario narrative: base</t>
  </si>
  <si>
    <t xml:space="preserve">The chemicals turnaround is real but partial. Specialty Materials (semiconductor precision cleaning, EUV resist precursor, synthetic silica, films, composites) grows into its FY2024-26 capex and lifts chemicals core operating income from the FY2026 trough of Y24bn to ~Y85bn in FY2027 (guidance Y100bn less the ~Y18bn Strait of Hormuz exposure management itself quantified) and ~Y140bn by FY2031 -- about 60% of the MTMP2029 Y236bn target, consistent with this company's record of under-delivering on plans. MMA returns to modest profit on European/Taiwan restructuring but Chinese overcapacity caps the spread; Basic Materials shrinks toward breakeven as the three-company Western Japan cracker consolidation lands around 2030. Capex falls from 8.3% of revenue to ~6.3% as the growth projects enter full operation, which is where most of the FCF improvement comes from. A ~Y25bn/yr non-core restructuring cash cost is charged every year because statutory results have trailed core results by Y150-195bn in each of the last two years. Industrial Gases is valued at NSHD's market price, so gases growth is in the price, not the flows.</t>
  </si>
  <si>
    <t xml:space="preserve">Scenario narrative: bull</t>
  </si>
  <si>
    <t xml:space="preserve">'From defence to offence' works. The MTMP2029 chemicals core OI target of Y236bn is reached one year late (FY2031 end-year basis) as semiconductor/AI-driven demand for precision cleaning, EUV precursors and synthetic silica compounds at double-digit rates, composites win new mobility and aerospace programmes, MMA spreads recover with Chinese capacity discipline, and the petrochemicals spin-off/cracker alliance removes the loss-making tail. Non-core charges fall to half a point of revenue, capex normalises to D&amp;A plus growth, and no Middle East disruption hits FY2027. Revenue grows 3-5% through FY2031. Even here the terminal multiple is capped at 15x FCF (~4.1x EBITDA), so the bull is a cash-flow bull, not a re-rating bull.</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</si>
  <si>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</si>
  <si>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</si>
  <si>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</si>
  <si>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</si>
  <si>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</si>
  <si>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</si>
  <si>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</si>
  <si>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</si>
  <si>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</si>
  <si>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</si>
  <si>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</si>
  <si>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</si>
  <si>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</si>
  <si>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</si>
  <si>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</si>
  <si>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</si>
  <si>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</si>
  <si>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</si>
  <si>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</si>
  <si>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</si>
  <si>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</si>
  <si>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</si>
  <si>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</si>
  <si>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</si>
  <si>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</si>
  <si>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</si>
  <si>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</si>
  <si>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CoreOperatingIncome</t>
  </si>
  <si>
    <t xml:space="preserve">NumberOfEmployees</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</si>
  <si>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</si>
  <si>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</si>
  <si>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</si>
  <si>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</si>
  <si>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</si>
  <si>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</si>
  <si>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</si>
  <si>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</si>
  <si>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</si>
  <si>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</si>
  <si>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</si>
  <si>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</si>
  <si>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</si>
  <si>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</si>
  <si>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</si>
  <si>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</si>
  <si>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</si>
  <si>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</si>
  <si>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</si>
  <si>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</si>
  <si>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</si>
  <si>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</si>
  <si>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</si>
  <si>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</si>
  <si>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</si>
  <si>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</si>
  <si>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</si>
  <si>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</si>
  <si>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</si>
  <si>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</si>
  <si>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</si>
  <si>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</si>
  <si>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</si>
  <si>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</si>
  <si>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</si>
  <si>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</si>
  <si>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</si>
  <si>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</si>
  <si>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</si>
  <si>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</si>
  <si>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</si>
  <si>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</si>
  <si>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</si>
  <si>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</si>
  <si>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</si>
  <si>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</si>
  <si>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</si>
  <si>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</si>
  <si>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4188.T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</si>
  <si>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</si>
  <si>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</si>
  <si>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</si>
  <si>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</si>
  <si>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</si>
  <si>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</si>
  <si>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</si>
  <si>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</si>
  <si>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</si>
  <si>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</si>
  <si>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</si>
  <si>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</si>
  <si>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</si>
  <si>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</si>
  <si>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</si>
  <si>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</si>
  <si>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</si>
  <si>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</si>
  <si>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</si>
  <si>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</si>
  <si>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</si>
  <si>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</si>
  <si>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</si>
  <si>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</si>
  <si>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</si>
  <si>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</si>
  <si>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</si>
  <si>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</si>
  <si>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</si>
  <si>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</si>
  <si>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4188.T owner-FCF component DCF: base case (millions, JPY)</t>
  </si>
  <si>
    <t xml:space="preserve">4188.T owner-FCF component DCF: bull case (millions, JPY)</t>
  </si>
  <si>
    <t xml:space="preserve">4188.T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</si>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</sst>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1170</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row>
    <row r="2" customFormat="false" ht="15" hidden="false" customHeight="false" outlineLevel="0" collapsed="false">
      <c r="A2" s="0" t="s">
        <v>65</v>
      </c>
      <c r="B2" s="0" t="n">
        <v>3543352</v>
      </c>
      <c r="F2" s="0" t="n">
        <v>268746</v>
      </c>
      <c r="G2" s="0" t="n">
        <v>7.6</v>
      </c>
      <c r="H2" s="0" t="n">
        <v>447567</v>
      </c>
      <c r="I2" s="0" t="n">
        <v>51358</v>
      </c>
      <c r="J2" s="0" t="n">
        <v>1.4</v>
      </c>
      <c r="K2" s="0" t="n">
        <v>35.03</v>
      </c>
      <c r="L2" s="0" t="n">
        <v>299612</v>
      </c>
      <c r="O2" s="0" t="n">
        <v>972197</v>
      </c>
      <c r="P2" s="0" t="n">
        <v>4223774</v>
      </c>
      <c r="R2" s="0" t="n">
        <v>1579575</v>
      </c>
      <c r="S2" s="0" t="n">
        <v>267148</v>
      </c>
      <c r="T2" s="0" t="n">
        <v>1464.8</v>
      </c>
      <c r="AA2" s="0" t="s">
        <v>17</v>
      </c>
      <c r="AB2" s="0" t="s">
        <v>14</v>
      </c>
      <c r="AC2" s="0" t="n">
        <v>300410</v>
      </c>
      <c r="AD2" s="0" t="n">
        <v>68988</v>
      </c>
    </row>
    <row r="3" customFormat="false" ht="15" hidden="false" customHeight="false" outlineLevel="0" collapsed="false">
      <c r="A3" s="0" t="s">
        <v>66</v>
      </c>
      <c r="B3" s="0" t="n">
        <v>3376057</v>
      </c>
      <c r="C3" s="0" t="n">
        <v>-2366658</v>
      </c>
      <c r="D3" s="0" t="n">
        <v>1009399</v>
      </c>
      <c r="E3" s="0" t="n">
        <v>29.9</v>
      </c>
      <c r="F3" s="0" t="n">
        <v>268621</v>
      </c>
      <c r="G3" s="0" t="n">
        <v>8</v>
      </c>
      <c r="H3" s="0" t="n">
        <v>442495</v>
      </c>
      <c r="I3" s="0" t="n">
        <v>156259</v>
      </c>
      <c r="J3" s="0" t="n">
        <v>4.6</v>
      </c>
      <c r="K3" s="0" t="n">
        <v>105.95</v>
      </c>
      <c r="L3" s="0" t="n">
        <v>396643</v>
      </c>
      <c r="M3" s="0" t="n">
        <v>197100</v>
      </c>
      <c r="N3" s="0" t="n">
        <v>199543</v>
      </c>
      <c r="O3" s="0" t="n">
        <v>1091398</v>
      </c>
      <c r="P3" s="0" t="n">
        <v>4463547</v>
      </c>
      <c r="Q3" s="0" t="n">
        <v>2765350</v>
      </c>
      <c r="R3" s="0" t="n">
        <v>1693742</v>
      </c>
      <c r="S3" s="0" t="n">
        <v>363510</v>
      </c>
      <c r="T3" s="0" t="n">
        <v>1439.3</v>
      </c>
      <c r="AA3" s="0" t="s">
        <v>17</v>
      </c>
      <c r="AB3" s="0" t="s">
        <v>14</v>
      </c>
      <c r="AC3" s="0" t="n">
        <v>307522</v>
      </c>
      <c r="AD3" s="0" t="n">
        <v>69291</v>
      </c>
    </row>
    <row r="4" customFormat="false" ht="15" hidden="false" customHeight="false" outlineLevel="0" collapsed="false">
      <c r="A4" s="0" t="s">
        <v>67</v>
      </c>
      <c r="B4" s="0" t="n">
        <v>3724406</v>
      </c>
      <c r="C4" s="0" t="n">
        <v>-2604344</v>
      </c>
      <c r="D4" s="0" t="n">
        <v>1120062</v>
      </c>
      <c r="E4" s="0" t="n">
        <v>30.1</v>
      </c>
      <c r="F4" s="0" t="n">
        <v>355711</v>
      </c>
      <c r="G4" s="0" t="n">
        <v>9.6</v>
      </c>
      <c r="H4" s="0" t="n">
        <v>534606</v>
      </c>
      <c r="I4" s="0" t="n">
        <v>211788</v>
      </c>
      <c r="J4" s="0" t="n">
        <v>5.7</v>
      </c>
      <c r="K4" s="0" t="n">
        <v>136.06</v>
      </c>
      <c r="L4" s="0" t="n">
        <v>397940</v>
      </c>
      <c r="M4" s="0" t="n">
        <v>199871</v>
      </c>
      <c r="N4" s="0" t="n">
        <v>198069</v>
      </c>
      <c r="O4" s="0" t="n">
        <v>1285750</v>
      </c>
      <c r="P4" s="0" t="n">
        <v>4700592</v>
      </c>
      <c r="Q4" s="0" t="n">
        <v>2781102</v>
      </c>
      <c r="R4" s="0" t="n">
        <v>1606122</v>
      </c>
      <c r="S4" s="0" t="n">
        <v>277624</v>
      </c>
      <c r="T4" s="0" t="n">
        <v>1439.4</v>
      </c>
      <c r="AA4" s="0" t="s">
        <v>17</v>
      </c>
      <c r="AB4" s="0" t="s">
        <v>14</v>
      </c>
      <c r="AC4" s="0" t="n">
        <v>380489</v>
      </c>
      <c r="AD4" s="0" t="n">
        <v>69230</v>
      </c>
    </row>
    <row r="5" customFormat="false" ht="15" hidden="false" customHeight="false" outlineLevel="0" collapsed="false">
      <c r="A5" s="0" t="s">
        <v>68</v>
      </c>
      <c r="B5" s="0" t="n">
        <v>3923444</v>
      </c>
      <c r="C5" s="0" t="n">
        <v>-2821889</v>
      </c>
      <c r="D5" s="0" t="n">
        <v>1101555</v>
      </c>
      <c r="E5" s="0" t="n">
        <v>28.1</v>
      </c>
      <c r="F5" s="0" t="n">
        <v>297950</v>
      </c>
      <c r="G5" s="0" t="n">
        <v>7.6</v>
      </c>
      <c r="H5" s="0" t="n">
        <v>497282</v>
      </c>
      <c r="I5" s="0" t="n">
        <v>169530</v>
      </c>
      <c r="J5" s="0" t="n">
        <v>4.3</v>
      </c>
      <c r="K5" s="0" t="n">
        <v>110.05</v>
      </c>
      <c r="L5" s="0" t="n">
        <v>415575</v>
      </c>
      <c r="M5" s="0" t="n">
        <v>225740</v>
      </c>
      <c r="N5" s="0" t="n">
        <v>189835</v>
      </c>
      <c r="O5" s="0" t="n">
        <v>1377947</v>
      </c>
      <c r="P5" s="0" t="n">
        <v>5572508</v>
      </c>
      <c r="Q5" s="0" t="n">
        <v>3546654</v>
      </c>
      <c r="R5" s="0" t="n">
        <v>2246751</v>
      </c>
      <c r="S5" s="0" t="n">
        <v>321541</v>
      </c>
      <c r="T5" s="0" t="n">
        <v>1419.9</v>
      </c>
      <c r="AA5" s="0" t="s">
        <v>17</v>
      </c>
      <c r="AB5" s="0" t="s">
        <v>14</v>
      </c>
      <c r="AC5" s="0" t="n">
        <v>317187</v>
      </c>
      <c r="AD5" s="0" t="n">
        <v>72020</v>
      </c>
    </row>
    <row r="6" customFormat="false" ht="15" hidden="false" customHeight="false" outlineLevel="0" collapsed="false">
      <c r="A6" s="0" t="s">
        <v>69</v>
      </c>
      <c r="B6" s="0" t="n">
        <v>3580510</v>
      </c>
      <c r="C6" s="0" t="n">
        <v>-2593247</v>
      </c>
      <c r="D6" s="0" t="n">
        <v>987263</v>
      </c>
      <c r="E6" s="0" t="n">
        <v>27.6</v>
      </c>
      <c r="F6" s="0" t="n">
        <v>144285</v>
      </c>
      <c r="G6" s="0" t="n">
        <v>4</v>
      </c>
      <c r="H6" s="0" t="n">
        <v>384109</v>
      </c>
      <c r="I6" s="0" t="n">
        <v>54077</v>
      </c>
      <c r="J6" s="0" t="n">
        <v>1.5</v>
      </c>
      <c r="K6" s="0" t="n">
        <v>35.21</v>
      </c>
      <c r="L6" s="0" t="n">
        <v>452003</v>
      </c>
      <c r="M6" s="0" t="n">
        <v>223478</v>
      </c>
      <c r="N6" s="0" t="n">
        <v>228525</v>
      </c>
      <c r="O6" s="0" t="n">
        <v>1170222</v>
      </c>
      <c r="P6" s="0" t="n">
        <v>5132149</v>
      </c>
      <c r="Q6" s="0" t="n">
        <v>3681320</v>
      </c>
      <c r="R6" s="0" t="n">
        <v>2283254</v>
      </c>
      <c r="S6" s="0" t="n">
        <v>228211</v>
      </c>
      <c r="T6" s="0" t="n">
        <v>1420.1</v>
      </c>
      <c r="AA6" s="0" t="s">
        <v>17</v>
      </c>
      <c r="AB6" s="0" t="s">
        <v>14</v>
      </c>
      <c r="AC6" s="0" t="n">
        <v>194820</v>
      </c>
      <c r="AD6" s="0" t="n">
        <v>69609</v>
      </c>
    </row>
    <row r="7" customFormat="false" ht="15" hidden="false" customHeight="false" outlineLevel="0" collapsed="false">
      <c r="A7" s="0" t="s">
        <v>70</v>
      </c>
      <c r="B7" s="0" t="n">
        <v>3257535</v>
      </c>
      <c r="C7" s="0" t="n">
        <v>-2331286</v>
      </c>
      <c r="D7" s="0" t="n">
        <v>926249</v>
      </c>
      <c r="E7" s="0" t="n">
        <v>28.4</v>
      </c>
      <c r="F7" s="0" t="n">
        <v>47518</v>
      </c>
      <c r="G7" s="0" t="n">
        <v>1.5</v>
      </c>
      <c r="H7" s="0" t="n">
        <v>291311</v>
      </c>
      <c r="I7" s="0" t="n">
        <v>-7557</v>
      </c>
      <c r="J7" s="0" t="n">
        <v>-0.2</v>
      </c>
      <c r="K7" s="0" t="n">
        <v>-5.32</v>
      </c>
      <c r="L7" s="0" t="n">
        <v>467133</v>
      </c>
      <c r="M7" s="0" t="n">
        <v>246410</v>
      </c>
      <c r="N7" s="0" t="n">
        <v>220723</v>
      </c>
      <c r="O7" s="0" t="n">
        <v>1236339</v>
      </c>
      <c r="P7" s="0" t="n">
        <v>5287228</v>
      </c>
      <c r="Q7" s="0" t="n">
        <v>3716080</v>
      </c>
      <c r="R7" s="0" t="n">
        <v>2349504</v>
      </c>
      <c r="S7" s="0" t="n">
        <v>349577</v>
      </c>
      <c r="T7" s="0" t="n">
        <v>1420.4</v>
      </c>
      <c r="AA7" s="0" t="s">
        <v>17</v>
      </c>
      <c r="AB7" s="0" t="s">
        <v>14</v>
      </c>
      <c r="AC7" s="0" t="n">
        <v>174710</v>
      </c>
    </row>
    <row r="8" customFormat="false" ht="15" hidden="false" customHeight="false" outlineLevel="0" collapsed="false">
      <c r="A8" s="0" t="s">
        <v>71</v>
      </c>
      <c r="B8" s="0" t="n">
        <v>3976948</v>
      </c>
      <c r="C8" s="0" t="n">
        <v>-2862224</v>
      </c>
      <c r="D8" s="0" t="n">
        <v>1114724</v>
      </c>
      <c r="E8" s="0" t="n">
        <v>28</v>
      </c>
      <c r="F8" s="0" t="n">
        <v>303194</v>
      </c>
      <c r="G8" s="0" t="n">
        <v>7.6</v>
      </c>
      <c r="H8" s="0" t="n">
        <v>554663</v>
      </c>
      <c r="I8" s="0" t="n">
        <v>177162</v>
      </c>
      <c r="J8" s="0" t="n">
        <v>4.5</v>
      </c>
      <c r="K8" s="0" t="n">
        <v>115.03</v>
      </c>
      <c r="L8" s="0" t="n">
        <v>346871</v>
      </c>
      <c r="M8" s="0" t="n">
        <v>244851</v>
      </c>
      <c r="N8" s="0" t="n">
        <v>102020</v>
      </c>
      <c r="O8" s="0" t="n">
        <v>1458077</v>
      </c>
      <c r="P8" s="0" t="n">
        <v>5573871</v>
      </c>
      <c r="Q8" s="0" t="n">
        <v>3729552</v>
      </c>
      <c r="R8" s="0" t="n">
        <v>2159969</v>
      </c>
      <c r="S8" s="0" t="n">
        <v>245789</v>
      </c>
      <c r="T8" s="0" t="n">
        <v>1421.1</v>
      </c>
      <c r="AA8" s="0" t="s">
        <v>17</v>
      </c>
      <c r="AB8" s="0" t="s">
        <v>14</v>
      </c>
      <c r="AC8" s="0" t="n">
        <v>272342</v>
      </c>
    </row>
    <row r="9" customFormat="false" ht="15" hidden="false" customHeight="false" outlineLevel="0" collapsed="false">
      <c r="A9" s="0" t="s">
        <v>72</v>
      </c>
      <c r="B9" s="0" t="n">
        <v>4634532</v>
      </c>
      <c r="C9" s="0" t="n">
        <v>-3395045</v>
      </c>
      <c r="D9" s="0" t="n">
        <v>1239487</v>
      </c>
      <c r="E9" s="0" t="n">
        <v>26.7</v>
      </c>
      <c r="F9" s="0" t="n">
        <v>182718</v>
      </c>
      <c r="G9" s="0" t="n">
        <v>3.9</v>
      </c>
      <c r="H9" s="0" t="n">
        <v>452334</v>
      </c>
      <c r="I9" s="0" t="n">
        <v>96066</v>
      </c>
      <c r="J9" s="0" t="n">
        <v>2.1</v>
      </c>
      <c r="K9" s="0" t="n">
        <v>64.72</v>
      </c>
      <c r="L9" s="0" t="n">
        <v>355189</v>
      </c>
      <c r="M9" s="0" t="n">
        <v>259026</v>
      </c>
      <c r="N9" s="0" t="n">
        <v>96163</v>
      </c>
      <c r="O9" s="0" t="n">
        <v>1564366</v>
      </c>
      <c r="P9" s="0" t="n">
        <v>5773903</v>
      </c>
      <c r="Q9" s="0" t="n">
        <v>3785766</v>
      </c>
      <c r="R9" s="0" t="n">
        <v>2243768</v>
      </c>
      <c r="S9" s="0" t="n">
        <v>297224</v>
      </c>
      <c r="T9" s="0" t="n">
        <v>1422.1</v>
      </c>
      <c r="AA9" s="0" t="s">
        <v>17</v>
      </c>
      <c r="AB9" s="0" t="s">
        <v>14</v>
      </c>
      <c r="AC9" s="0" t="n">
        <v>325558</v>
      </c>
    </row>
    <row r="10" customFormat="false" ht="15" hidden="false" customHeight="false" outlineLevel="0" collapsed="false">
      <c r="A10" s="0" t="s">
        <v>73</v>
      </c>
      <c r="B10" s="0" t="n">
        <v>4387218</v>
      </c>
      <c r="C10" s="0" t="n">
        <v>-3240394</v>
      </c>
      <c r="D10" s="0" t="n">
        <v>1146824</v>
      </c>
      <c r="E10" s="0" t="n">
        <v>26.1</v>
      </c>
      <c r="F10" s="0" t="n">
        <v>261831</v>
      </c>
      <c r="G10" s="0" t="n">
        <v>6</v>
      </c>
      <c r="H10" s="0" t="n">
        <v>537267</v>
      </c>
      <c r="I10" s="0" t="n">
        <v>119596</v>
      </c>
      <c r="J10" s="0" t="n">
        <v>2.7</v>
      </c>
      <c r="K10" s="0" t="n">
        <v>80.77</v>
      </c>
      <c r="L10" s="0" t="n">
        <v>465146</v>
      </c>
      <c r="M10" s="0" t="n">
        <v>268686</v>
      </c>
      <c r="N10" s="0" t="n">
        <v>196460</v>
      </c>
      <c r="O10" s="0" t="n">
        <v>1763447</v>
      </c>
      <c r="P10" s="0" t="n">
        <v>6104513</v>
      </c>
      <c r="Q10" s="0" t="n">
        <v>3829018</v>
      </c>
      <c r="R10" s="0" t="n">
        <v>2201011</v>
      </c>
      <c r="S10" s="0" t="n">
        <v>294924</v>
      </c>
      <c r="T10" s="0" t="n">
        <v>1422.6</v>
      </c>
      <c r="AA10" s="0" t="s">
        <v>17</v>
      </c>
      <c r="AB10" s="0" t="s">
        <v>14</v>
      </c>
      <c r="AC10" s="0" t="n">
        <v>208116</v>
      </c>
    </row>
    <row r="11" customFormat="false" ht="15" hidden="false" customHeight="false" outlineLevel="0" collapsed="false">
      <c r="A11" s="0" t="s">
        <v>74</v>
      </c>
      <c r="B11" s="0" t="n">
        <v>4407405</v>
      </c>
      <c r="C11" s="0" t="n">
        <v>-3127811</v>
      </c>
      <c r="D11" s="0" t="n">
        <v>1279594</v>
      </c>
      <c r="E11" s="0" t="n">
        <v>29</v>
      </c>
      <c r="F11" s="0" t="n">
        <v>196694</v>
      </c>
      <c r="G11" s="0" t="n">
        <v>4.5</v>
      </c>
      <c r="H11" s="0" t="n">
        <v>472627</v>
      </c>
      <c r="I11" s="0" t="n">
        <v>45020</v>
      </c>
      <c r="J11" s="0" t="n">
        <v>1</v>
      </c>
      <c r="K11" s="0" t="n">
        <v>31.63</v>
      </c>
      <c r="L11" s="0" t="n">
        <v>552847</v>
      </c>
      <c r="M11" s="0" t="n">
        <v>314533</v>
      </c>
      <c r="N11" s="0" t="n">
        <v>238314</v>
      </c>
      <c r="O11" s="0" t="n">
        <v>1740570</v>
      </c>
      <c r="P11" s="0" t="n">
        <v>5894619</v>
      </c>
      <c r="Q11" s="0" t="n">
        <v>3610050</v>
      </c>
      <c r="R11" s="0" t="n">
        <v>2040987</v>
      </c>
      <c r="S11" s="0" t="n">
        <v>326144</v>
      </c>
      <c r="T11" s="0" t="n">
        <v>1423.2</v>
      </c>
      <c r="AA11" s="0" t="s">
        <v>17</v>
      </c>
      <c r="AB11" s="0" t="s">
        <v>14</v>
      </c>
      <c r="AC11" s="0" t="n">
        <v>298377</v>
      </c>
    </row>
    <row r="12" customFormat="false" ht="15" hidden="false" customHeight="false" outlineLevel="0" collapsed="false">
      <c r="A12" s="0" t="s">
        <v>75</v>
      </c>
      <c r="B12" s="0" t="n">
        <v>3703988</v>
      </c>
      <c r="C12" s="0" t="n">
        <v>-2632886</v>
      </c>
      <c r="D12" s="0" t="n">
        <v>1071102</v>
      </c>
      <c r="E12" s="0" t="n">
        <v>28.9</v>
      </c>
      <c r="F12" s="0" t="n">
        <v>30078</v>
      </c>
      <c r="G12" s="0" t="n">
        <v>0.8</v>
      </c>
      <c r="H12" s="0" t="n">
        <v>301235</v>
      </c>
      <c r="I12" s="0" t="n">
        <v>11829</v>
      </c>
      <c r="J12" s="0" t="n">
        <v>0.3</v>
      </c>
      <c r="K12" s="0" t="n">
        <v>8.63</v>
      </c>
      <c r="L12" s="0" t="n">
        <v>436287</v>
      </c>
      <c r="M12" s="0" t="n">
        <v>284089</v>
      </c>
      <c r="N12" s="0" t="n">
        <v>152198</v>
      </c>
      <c r="O12" s="0" t="n">
        <v>1761675</v>
      </c>
      <c r="P12" s="0" t="n">
        <v>5876609</v>
      </c>
      <c r="Q12" s="0" t="n">
        <v>3461929</v>
      </c>
      <c r="R12" s="0" t="n">
        <v>1890521</v>
      </c>
      <c r="S12" s="0" t="n">
        <v>527104</v>
      </c>
      <c r="T12" s="0" t="n">
        <v>1358.5</v>
      </c>
      <c r="AA12" s="0" t="s">
        <v>17</v>
      </c>
      <c r="AB12" s="0" t="s">
        <v>14</v>
      </c>
      <c r="AC12" s="0" t="n">
        <v>225002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1170</v>
      </c>
    </row>
    <row r="3" customFormat="false" ht="15" hidden="false" customHeight="false" outlineLevel="0" collapsed="false">
      <c r="A3" s="0" t="s">
        <v>79</v>
      </c>
      <c r="B3" s="3" t="n">
        <v>1358.69</v>
      </c>
    </row>
    <row r="4" customFormat="false" ht="15" hidden="false" customHeight="false" outlineLevel="0" collapsed="false">
      <c r="A4" s="0" t="s">
        <v>80</v>
      </c>
      <c r="B4" s="3" t="n">
        <v>1534514</v>
      </c>
    </row>
    <row r="5" customFormat="false" ht="15" hidden="false" customHeight="false" outlineLevel="0" collapsed="false">
      <c r="A5" s="0" t="s">
        <v>81</v>
      </c>
      <c r="B5" s="3" t="n">
        <v>1868746</v>
      </c>
    </row>
    <row r="6" customFormat="false" ht="15" hidden="false" customHeight="false" outlineLevel="0" collapsed="false">
      <c r="A6" s="0" t="s">
        <v>82</v>
      </c>
      <c r="B6" s="3" t="n">
        <v>15</v>
      </c>
    </row>
    <row r="7" customFormat="false" ht="15" hidden="false" customHeight="false" outlineLevel="0" collapsed="false">
      <c r="A7" s="0" t="s">
        <v>83</v>
      </c>
      <c r="B7" s="3" t="n">
        <v>2351490</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1</v>
      </c>
      <c r="D13" s="3" t="n">
        <v>0</v>
      </c>
      <c r="E13" s="3" t="n">
        <v>-0.5</v>
      </c>
      <c r="F13" s="3" t="n">
        <v>-0.5</v>
      </c>
      <c r="G13" s="3" t="n">
        <v>0</v>
      </c>
      <c r="H13" s="3" t="n">
        <v>0</v>
      </c>
      <c r="I13" s="3" t="n">
        <v>0.5</v>
      </c>
      <c r="J13" s="3" t="n">
        <v>0.5</v>
      </c>
      <c r="K13" s="3" t="n">
        <v>0.5</v>
      </c>
      <c r="L13" s="3" t="n">
        <v>0.5</v>
      </c>
    </row>
    <row r="14" customFormat="false" ht="15" hidden="false" customHeight="false" outlineLevel="0" collapsed="false">
      <c r="A14" s="0" t="s">
        <v>100</v>
      </c>
      <c r="C14" s="3" t="n">
        <v>7.5</v>
      </c>
      <c r="D14" s="3" t="n">
        <v>7.8</v>
      </c>
      <c r="E14" s="3" t="n">
        <v>8</v>
      </c>
      <c r="F14" s="3" t="n">
        <v>8.3</v>
      </c>
      <c r="G14" s="3" t="n">
        <v>8.3</v>
      </c>
      <c r="H14" s="3" t="n">
        <v>8.3</v>
      </c>
      <c r="I14" s="3" t="n">
        <v>8.3</v>
      </c>
      <c r="J14" s="3" t="n">
        <v>8.3</v>
      </c>
      <c r="K14" s="3" t="n">
        <v>8.3</v>
      </c>
      <c r="L14" s="3" t="n">
        <v>8.3</v>
      </c>
    </row>
    <row r="15" customFormat="false" ht="15" hidden="false" customHeight="false" outlineLevel="0" collapsed="false">
      <c r="A15" s="0" t="s">
        <v>101</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103</v>
      </c>
      <c r="C17" s="3" t="n">
        <v>5.9</v>
      </c>
      <c r="D17" s="3" t="n">
        <v>5.9</v>
      </c>
      <c r="E17" s="3" t="n">
        <v>5.9</v>
      </c>
      <c r="F17" s="3" t="n">
        <v>5.9</v>
      </c>
      <c r="G17" s="3" t="n">
        <v>5.9</v>
      </c>
      <c r="H17" s="3" t="n">
        <v>5.9</v>
      </c>
      <c r="I17" s="3" t="n">
        <v>5.9</v>
      </c>
      <c r="J17" s="3" t="n">
        <v>5.9</v>
      </c>
      <c r="K17" s="3" t="n">
        <v>5.9</v>
      </c>
      <c r="L17" s="3" t="n">
        <v>5.9</v>
      </c>
    </row>
    <row r="18" customFormat="false" ht="15" hidden="false" customHeight="false" outlineLevel="0" collapsed="false">
      <c r="A18" s="0" t="s">
        <v>104</v>
      </c>
      <c r="C18" s="3" t="n">
        <v>7.8</v>
      </c>
      <c r="D18" s="3" t="n">
        <v>7.4</v>
      </c>
      <c r="E18" s="3" t="n">
        <v>7</v>
      </c>
      <c r="F18" s="3" t="n">
        <v>6.8</v>
      </c>
      <c r="G18" s="3" t="n">
        <v>6.6</v>
      </c>
      <c r="H18" s="3" t="n">
        <v>6.5</v>
      </c>
      <c r="I18" s="3" t="n">
        <v>6.5</v>
      </c>
      <c r="J18" s="3" t="n">
        <v>6.5</v>
      </c>
      <c r="K18" s="3" t="n">
        <v>6.5</v>
      </c>
      <c r="L18" s="3" t="n">
        <v>6.5</v>
      </c>
    </row>
    <row r="19" customFormat="false" ht="15" hidden="false" customHeight="false" outlineLevel="0" collapsed="false">
      <c r="A19" s="0" t="s">
        <v>105</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106</v>
      </c>
      <c r="B20" s="3" t="n">
        <v>7</v>
      </c>
    </row>
    <row r="21" customFormat="false" ht="15" hidden="false" customHeight="false" outlineLevel="0" collapsed="false">
      <c r="A21" s="0" t="s">
        <v>107</v>
      </c>
      <c r="B21" s="3" t="n">
        <v>0.5</v>
      </c>
    </row>
    <row r="22" customFormat="false" ht="15" hidden="false" customHeight="false" outlineLevel="0" collapsed="false">
      <c r="A22" s="0" t="s">
        <v>108</v>
      </c>
      <c r="B22" s="3" t="n">
        <v>12</v>
      </c>
    </row>
    <row r="23" customFormat="false" ht="15" hidden="false" customHeight="false" outlineLevel="0" collapsed="false">
      <c r="A23" s="0" t="s">
        <v>109</v>
      </c>
      <c r="B23" s="3" t="n">
        <v>-15</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3.5</v>
      </c>
      <c r="D27" s="3" t="n">
        <v>2</v>
      </c>
      <c r="E27" s="3" t="n">
        <v>1.5</v>
      </c>
      <c r="F27" s="3" t="n">
        <v>1</v>
      </c>
      <c r="G27" s="3" t="n">
        <v>1</v>
      </c>
      <c r="H27" s="3" t="n">
        <v>1</v>
      </c>
      <c r="I27" s="3" t="n">
        <v>1</v>
      </c>
      <c r="J27" s="3" t="n">
        <v>1</v>
      </c>
      <c r="K27" s="3" t="n">
        <v>1</v>
      </c>
      <c r="L27" s="3" t="n">
        <v>1</v>
      </c>
    </row>
    <row r="28" customFormat="false" ht="15" hidden="false" customHeight="false" outlineLevel="0" collapsed="false">
      <c r="A28" s="0" t="s">
        <v>100</v>
      </c>
      <c r="C28" s="3" t="n">
        <v>8.3</v>
      </c>
      <c r="D28" s="3" t="n">
        <v>9</v>
      </c>
      <c r="E28" s="3" t="n">
        <v>9.6</v>
      </c>
      <c r="F28" s="3" t="n">
        <v>10.1</v>
      </c>
      <c r="G28" s="3" t="n">
        <v>10.5</v>
      </c>
      <c r="H28" s="3" t="n">
        <v>10.8</v>
      </c>
      <c r="I28" s="3" t="n">
        <v>11</v>
      </c>
      <c r="J28" s="3" t="n">
        <v>11</v>
      </c>
      <c r="K28" s="3" t="n">
        <v>11</v>
      </c>
      <c r="L28" s="3" t="n">
        <v>11</v>
      </c>
    </row>
    <row r="29" customFormat="false" ht="15" hidden="false" customHeight="false" outlineLevel="0" collapsed="false">
      <c r="A29" s="0" t="s">
        <v>101</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103</v>
      </c>
      <c r="C31" s="3" t="n">
        <v>5.9</v>
      </c>
      <c r="D31" s="3" t="n">
        <v>5.9</v>
      </c>
      <c r="E31" s="3" t="n">
        <v>5.9</v>
      </c>
      <c r="F31" s="3" t="n">
        <v>5.9</v>
      </c>
      <c r="G31" s="3" t="n">
        <v>5.9</v>
      </c>
      <c r="H31" s="3" t="n">
        <v>5.9</v>
      </c>
      <c r="I31" s="3" t="n">
        <v>5.9</v>
      </c>
      <c r="J31" s="3" t="n">
        <v>5.9</v>
      </c>
      <c r="K31" s="3" t="n">
        <v>5.9</v>
      </c>
      <c r="L31" s="3" t="n">
        <v>5.9</v>
      </c>
    </row>
    <row r="32" customFormat="false" ht="15" hidden="false" customHeight="false" outlineLevel="0" collapsed="false">
      <c r="A32" s="0" t="s">
        <v>104</v>
      </c>
      <c r="C32" s="3" t="n">
        <v>7.6</v>
      </c>
      <c r="D32" s="3" t="n">
        <v>7.2</v>
      </c>
      <c r="E32" s="3" t="n">
        <v>6.9</v>
      </c>
      <c r="F32" s="3" t="n">
        <v>6.7</v>
      </c>
      <c r="G32" s="3" t="n">
        <v>6.5</v>
      </c>
      <c r="H32" s="3" t="n">
        <v>6.4</v>
      </c>
      <c r="I32" s="3" t="n">
        <v>6.3</v>
      </c>
      <c r="J32" s="3" t="n">
        <v>6.3</v>
      </c>
      <c r="K32" s="3" t="n">
        <v>6.3</v>
      </c>
      <c r="L32" s="3" t="n">
        <v>6.3</v>
      </c>
    </row>
    <row r="33" customFormat="false" ht="15" hidden="false" customHeight="false" outlineLevel="0" collapsed="false">
      <c r="A33" s="0" t="s">
        <v>105</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106</v>
      </c>
      <c r="B34" s="3" t="n">
        <v>7</v>
      </c>
    </row>
    <row r="35" customFormat="false" ht="15" hidden="false" customHeight="false" outlineLevel="0" collapsed="false">
      <c r="A35" s="0" t="s">
        <v>107</v>
      </c>
      <c r="B35" s="3" t="n">
        <v>1</v>
      </c>
    </row>
    <row r="36" customFormat="false" ht="15" hidden="false" customHeight="false" outlineLevel="0" collapsed="false">
      <c r="A36" s="0" t="s">
        <v>108</v>
      </c>
      <c r="B36" s="3" t="n">
        <v>14</v>
      </c>
    </row>
    <row r="37" customFormat="false" ht="15" hidden="false" customHeight="false" outlineLevel="0" collapsed="false">
      <c r="A37" s="0" t="s">
        <v>109</v>
      </c>
      <c r="B37" s="3" t="n">
        <v>-15</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5</v>
      </c>
      <c r="D41" s="3" t="n">
        <v>4</v>
      </c>
      <c r="E41" s="3" t="n">
        <v>3.5</v>
      </c>
      <c r="F41" s="3" t="n">
        <v>3</v>
      </c>
      <c r="G41" s="3" t="n">
        <v>2.5</v>
      </c>
      <c r="H41" s="3" t="n">
        <v>2</v>
      </c>
      <c r="I41" s="3" t="n">
        <v>1.5</v>
      </c>
      <c r="J41" s="3" t="n">
        <v>1.5</v>
      </c>
      <c r="K41" s="3" t="n">
        <v>1.5</v>
      </c>
      <c r="L41" s="3" t="n">
        <v>1.5</v>
      </c>
    </row>
    <row r="42" customFormat="false" ht="15" hidden="false" customHeight="false" outlineLevel="0" collapsed="false">
      <c r="A42" s="0" t="s">
        <v>100</v>
      </c>
      <c r="C42" s="3" t="n">
        <v>9.5</v>
      </c>
      <c r="D42" s="3" t="n">
        <v>10.8</v>
      </c>
      <c r="E42" s="3" t="n">
        <v>12</v>
      </c>
      <c r="F42" s="3" t="n">
        <v>13</v>
      </c>
      <c r="G42" s="3" t="n">
        <v>13.6</v>
      </c>
      <c r="H42" s="3" t="n">
        <v>14</v>
      </c>
      <c r="I42" s="3" t="n">
        <v>14</v>
      </c>
      <c r="J42" s="3" t="n">
        <v>14</v>
      </c>
      <c r="K42" s="3" t="n">
        <v>14</v>
      </c>
      <c r="L42" s="3" t="n">
        <v>14</v>
      </c>
    </row>
    <row r="43" customFormat="false" ht="15" hidden="false" customHeight="false" outlineLevel="0" collapsed="false">
      <c r="A43" s="0" t="s">
        <v>101</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103</v>
      </c>
      <c r="C45" s="3" t="n">
        <v>5.9</v>
      </c>
      <c r="D45" s="3" t="n">
        <v>5.9</v>
      </c>
      <c r="E45" s="3" t="n">
        <v>5.9</v>
      </c>
      <c r="F45" s="3" t="n">
        <v>5.9</v>
      </c>
      <c r="G45" s="3" t="n">
        <v>5.9</v>
      </c>
      <c r="H45" s="3" t="n">
        <v>5.9</v>
      </c>
      <c r="I45" s="3" t="n">
        <v>5.9</v>
      </c>
      <c r="J45" s="3" t="n">
        <v>5.9</v>
      </c>
      <c r="K45" s="3" t="n">
        <v>5.9</v>
      </c>
      <c r="L45" s="3" t="n">
        <v>5.9</v>
      </c>
    </row>
    <row r="46" customFormat="false" ht="15" hidden="false" customHeight="false" outlineLevel="0" collapsed="false">
      <c r="A46" s="0" t="s">
        <v>104</v>
      </c>
      <c r="C46" s="3" t="n">
        <v>7.4</v>
      </c>
      <c r="D46" s="3" t="n">
        <v>7</v>
      </c>
      <c r="E46" s="3" t="n">
        <v>6.7</v>
      </c>
      <c r="F46" s="3" t="n">
        <v>6.5</v>
      </c>
      <c r="G46" s="3" t="n">
        <v>6.4</v>
      </c>
      <c r="H46" s="3" t="n">
        <v>6.3</v>
      </c>
      <c r="I46" s="3" t="n">
        <v>6.3</v>
      </c>
      <c r="J46" s="3" t="n">
        <v>6.3</v>
      </c>
      <c r="K46" s="3" t="n">
        <v>6.3</v>
      </c>
      <c r="L46" s="3" t="n">
        <v>6.3</v>
      </c>
    </row>
    <row r="47" customFormat="false" ht="15" hidden="false" customHeight="false" outlineLevel="0" collapsed="false">
      <c r="A47" s="0" t="s">
        <v>105</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106</v>
      </c>
      <c r="B48" s="3" t="n">
        <v>7</v>
      </c>
    </row>
    <row r="49" customFormat="false" ht="15" hidden="false" customHeight="false" outlineLevel="0" collapsed="false">
      <c r="A49" s="0" t="s">
        <v>107</v>
      </c>
      <c r="B49" s="3" t="n">
        <v>1.5</v>
      </c>
    </row>
    <row r="50" customFormat="false" ht="15" hidden="false" customHeight="false" outlineLevel="0" collapsed="false">
      <c r="A50" s="0" t="s">
        <v>108</v>
      </c>
      <c r="B50" s="3" t="n">
        <v>15</v>
      </c>
    </row>
    <row r="51" customFormat="false" ht="15" hidden="false" customHeight="false" outlineLevel="0" collapsed="false">
      <c r="A51" s="0" t="s">
        <v>109</v>
      </c>
      <c r="B51" s="3" t="n">
        <v>-15</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1</v>
      </c>
      <c r="D5" s="4" t="n">
        <f aca="false">Assumptions!D13</f>
        <v>0</v>
      </c>
      <c r="E5" s="4" t="n">
        <f aca="false">Assumptions!E13</f>
        <v>-0.5</v>
      </c>
      <c r="F5" s="4" t="n">
        <f aca="false">Assumptions!F13</f>
        <v>-0.5</v>
      </c>
      <c r="G5" s="4" t="n">
        <f aca="false">Assumptions!G13</f>
        <v>0</v>
      </c>
      <c r="H5" s="4" t="n">
        <f aca="false">Assumptions!H13</f>
        <v>0</v>
      </c>
      <c r="I5" s="4" t="n">
        <f aca="false">Assumptions!I13</f>
        <v>0.5</v>
      </c>
      <c r="J5" s="4" t="n">
        <f aca="false">Assumptions!J13</f>
        <v>0.5</v>
      </c>
      <c r="K5" s="4" t="n">
        <f aca="false">Assumptions!K13</f>
        <v>0.5</v>
      </c>
      <c r="L5" s="4" t="n">
        <f aca="false">Assumptions!L13</f>
        <v>0.5</v>
      </c>
    </row>
    <row r="6" customFormat="false" ht="15" hidden="false" customHeight="false" outlineLevel="0" collapsed="false">
      <c r="A6" s="0" t="s">
        <v>37</v>
      </c>
      <c r="B6" s="3" t="n">
        <v>2351490</v>
      </c>
      <c r="C6" s="0" t="n">
        <f aca="false">B6*(1+C5/100)</f>
        <v>2375004.9</v>
      </c>
      <c r="D6" s="0" t="n">
        <f aca="false">C6*(1+D5/100)</f>
        <v>2375004.9</v>
      </c>
      <c r="E6" s="0" t="n">
        <f aca="false">D6*(1+E5/100)</f>
        <v>2363129.8755</v>
      </c>
      <c r="F6" s="0" t="n">
        <f aca="false">E6*(1+F5/100)</f>
        <v>2351314.2261225</v>
      </c>
      <c r="G6" s="0" t="n">
        <f aca="false">F6*(1+G5/100)</f>
        <v>2351314.2261225</v>
      </c>
      <c r="H6" s="0" t="n">
        <f aca="false">G6*(1+H5/100)</f>
        <v>2351314.2261225</v>
      </c>
      <c r="I6" s="0" t="n">
        <f aca="false">H6*(1+I5/100)</f>
        <v>2363070.79725311</v>
      </c>
      <c r="J6" s="0" t="n">
        <f aca="false">I6*(1+J5/100)</f>
        <v>2374886.15123938</v>
      </c>
      <c r="K6" s="0" t="n">
        <f aca="false">J6*(1+K5/100)</f>
        <v>2386760.58199557</v>
      </c>
      <c r="L6" s="0" t="n">
        <f aca="false">K6*(1+L5/100)</f>
        <v>2398694.38490555</v>
      </c>
    </row>
    <row r="7" customFormat="false" ht="15" hidden="false" customHeight="false" outlineLevel="0" collapsed="false">
      <c r="A7" s="0" t="s">
        <v>100</v>
      </c>
      <c r="C7" s="4" t="n">
        <f aca="false">Assumptions!C14</f>
        <v>7.5</v>
      </c>
      <c r="D7" s="4" t="n">
        <f aca="false">Assumptions!D14</f>
        <v>7.8</v>
      </c>
      <c r="E7" s="4" t="n">
        <f aca="false">Assumptions!E14</f>
        <v>8</v>
      </c>
      <c r="F7" s="4" t="n">
        <f aca="false">Assumptions!F14</f>
        <v>8.3</v>
      </c>
      <c r="G7" s="4" t="n">
        <f aca="false">Assumptions!G14</f>
        <v>8.3</v>
      </c>
      <c r="H7" s="4" t="n">
        <f aca="false">Assumptions!H14</f>
        <v>8.3</v>
      </c>
      <c r="I7" s="4" t="n">
        <f aca="false">Assumptions!I14</f>
        <v>8.3</v>
      </c>
      <c r="J7" s="4" t="n">
        <f aca="false">Assumptions!J14</f>
        <v>8.3</v>
      </c>
      <c r="K7" s="4" t="n">
        <f aca="false">Assumptions!K14</f>
        <v>8.3</v>
      </c>
      <c r="L7" s="4" t="n">
        <f aca="false">Assumptions!L14</f>
        <v>8.3</v>
      </c>
    </row>
    <row r="8" customFormat="false" ht="15" hidden="false" customHeight="false" outlineLevel="0" collapsed="false">
      <c r="A8" s="0" t="s">
        <v>43</v>
      </c>
      <c r="C8" s="0" t="n">
        <f aca="false">C6*C7/100</f>
        <v>178125.3675</v>
      </c>
      <c r="D8" s="0" t="n">
        <f aca="false">D6*D7/100</f>
        <v>185250.3822</v>
      </c>
      <c r="E8" s="0" t="n">
        <f aca="false">E6*E7/100</f>
        <v>189050.39004</v>
      </c>
      <c r="F8" s="0" t="n">
        <f aca="false">F6*F7/100</f>
        <v>195159.080768168</v>
      </c>
      <c r="G8" s="0" t="n">
        <f aca="false">G6*G7/100</f>
        <v>195159.080768168</v>
      </c>
      <c r="H8" s="0" t="n">
        <f aca="false">H6*H7/100</f>
        <v>195159.080768168</v>
      </c>
      <c r="I8" s="0" t="n">
        <f aca="false">I6*I7/100</f>
        <v>196134.876172008</v>
      </c>
      <c r="J8" s="0" t="n">
        <f aca="false">J6*J7/100</f>
        <v>197115.550552868</v>
      </c>
      <c r="K8" s="0" t="n">
        <f aca="false">K6*K7/100</f>
        <v>198101.128305633</v>
      </c>
      <c r="L8" s="0" t="n">
        <f aca="false">L6*L7/100</f>
        <v>199091.633947161</v>
      </c>
    </row>
    <row r="9" customFormat="false" ht="15" hidden="false" customHeight="false" outlineLevel="0" collapsed="false">
      <c r="A9" s="0" t="s">
        <v>101</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178125.3675</v>
      </c>
      <c r="D11" s="0" t="n">
        <f aca="false">D8+D10+D24</f>
        <v>185250.3822</v>
      </c>
      <c r="E11" s="0" t="n">
        <f aca="false">E8+E10+E24</f>
        <v>189050.39004</v>
      </c>
      <c r="F11" s="0" t="n">
        <f aca="false">F8+F10+F24</f>
        <v>195159.080768168</v>
      </c>
      <c r="G11" s="0" t="n">
        <f aca="false">G8+G10+G24</f>
        <v>195159.080768168</v>
      </c>
      <c r="H11" s="0" t="n">
        <f aca="false">H8+H10+H24</f>
        <v>195159.080768168</v>
      </c>
      <c r="I11" s="0" t="n">
        <f aca="false">I8+I10+I24</f>
        <v>196134.876172008</v>
      </c>
      <c r="J11" s="0" t="n">
        <f aca="false">J8+J10+J24</f>
        <v>197115.550552868</v>
      </c>
      <c r="K11" s="0" t="n">
        <f aca="false">K8+K10+K24</f>
        <v>198101.128305633</v>
      </c>
      <c r="L11" s="0" t="n">
        <f aca="false">L8+L10+L24</f>
        <v>199091.633947161</v>
      </c>
    </row>
    <row r="12" customFormat="false" ht="15" hidden="false" customHeight="false" outlineLevel="0" collapsed="false">
      <c r="A12" s="0" t="s">
        <v>118</v>
      </c>
      <c r="C12" s="4" t="n">
        <f aca="false">-C6*Assumptions!C17/100</f>
        <v>-140125.2891</v>
      </c>
      <c r="D12" s="4" t="n">
        <f aca="false">-D6*Assumptions!D17/100</f>
        <v>-140125.2891</v>
      </c>
      <c r="E12" s="4" t="n">
        <f aca="false">-E6*Assumptions!E17/100</f>
        <v>-139424.6626545</v>
      </c>
      <c r="F12" s="4" t="n">
        <f aca="false">-F6*Assumptions!F17/100</f>
        <v>-138727.539341228</v>
      </c>
      <c r="G12" s="4" t="n">
        <f aca="false">-G6*Assumptions!G17/100</f>
        <v>-138727.539341228</v>
      </c>
      <c r="H12" s="4" t="n">
        <f aca="false">-H6*Assumptions!H17/100</f>
        <v>-138727.539341228</v>
      </c>
      <c r="I12" s="4" t="n">
        <f aca="false">-I6*Assumptions!I17/100</f>
        <v>-139421.177037934</v>
      </c>
      <c r="J12" s="4" t="n">
        <f aca="false">-J6*Assumptions!J17/100</f>
        <v>-140118.282923123</v>
      </c>
      <c r="K12" s="4" t="n">
        <f aca="false">-K6*Assumptions!K17/100</f>
        <v>-140818.874337739</v>
      </c>
      <c r="L12" s="4" t="n">
        <f aca="false">-L6*Assumptions!L17/100</f>
        <v>-141522.968709428</v>
      </c>
    </row>
    <row r="13" customFormat="false" ht="15" hidden="false" customHeight="false" outlineLevel="0" collapsed="false">
      <c r="A13" s="0" t="s">
        <v>119</v>
      </c>
      <c r="C13" s="0" t="n">
        <f aca="false">C11+C12</f>
        <v>38000.0784</v>
      </c>
      <c r="D13" s="0" t="n">
        <f aca="false">D11+D12</f>
        <v>45125.0931</v>
      </c>
      <c r="E13" s="0" t="n">
        <f aca="false">E11+E12</f>
        <v>49625.7273855</v>
      </c>
      <c r="F13" s="0" t="n">
        <f aca="false">F11+F12</f>
        <v>56431.54142694</v>
      </c>
      <c r="G13" s="0" t="n">
        <f aca="false">G11+G12</f>
        <v>56431.54142694</v>
      </c>
      <c r="H13" s="0" t="n">
        <f aca="false">H11+H12</f>
        <v>56431.54142694</v>
      </c>
      <c r="I13" s="0" t="n">
        <f aca="false">I11+I12</f>
        <v>56713.6991340747</v>
      </c>
      <c r="J13" s="0" t="n">
        <f aca="false">J11+J12</f>
        <v>56997.2676297451</v>
      </c>
      <c r="K13" s="0" t="n">
        <f aca="false">K11+K12</f>
        <v>57282.2539678938</v>
      </c>
      <c r="L13" s="0" t="n">
        <f aca="false">L11+L12</f>
        <v>57568.6652377333</v>
      </c>
    </row>
    <row r="14" customFormat="false" ht="15" hidden="false" customHeight="false" outlineLevel="0" collapsed="false">
      <c r="A14" s="0" t="s">
        <v>105</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120</v>
      </c>
      <c r="C15" s="0" t="n">
        <f aca="false">C13-MAX(0,C13)*C14/100</f>
        <v>26600.05488</v>
      </c>
      <c r="D15" s="0" t="n">
        <f aca="false">D13-MAX(0,D13)*D14/100</f>
        <v>31587.56517</v>
      </c>
      <c r="E15" s="0" t="n">
        <f aca="false">E13-MAX(0,E13)*E14/100</f>
        <v>34738.00916985</v>
      </c>
      <c r="F15" s="0" t="n">
        <f aca="false">F13-MAX(0,F13)*F14/100</f>
        <v>39502.078998858</v>
      </c>
      <c r="G15" s="0" t="n">
        <f aca="false">G13-MAX(0,G13)*G14/100</f>
        <v>39502.078998858</v>
      </c>
      <c r="H15" s="0" t="n">
        <f aca="false">H13-MAX(0,H13)*H14/100</f>
        <v>39502.078998858</v>
      </c>
      <c r="I15" s="0" t="n">
        <f aca="false">I13-MAX(0,I13)*I14/100</f>
        <v>39699.5893938523</v>
      </c>
      <c r="J15" s="0" t="n">
        <f aca="false">J13-MAX(0,J13)*J14/100</f>
        <v>39898.0873408216</v>
      </c>
      <c r="K15" s="0" t="n">
        <f aca="false">K13-MAX(0,K13)*K14/100</f>
        <v>40097.5777775257</v>
      </c>
      <c r="L15" s="0" t="n">
        <f aca="false">L13-MAX(0,L13)*L14/100</f>
        <v>40298.0656664133</v>
      </c>
    </row>
    <row r="16" customFormat="false" ht="15" hidden="false" customHeight="false" outlineLevel="0" collapsed="false">
      <c r="A16" s="0" t="s">
        <v>121</v>
      </c>
      <c r="C16" s="0" t="n">
        <f aca="false">-C12</f>
        <v>140125.2891</v>
      </c>
      <c r="D16" s="0" t="n">
        <f aca="false">-D12</f>
        <v>140125.2891</v>
      </c>
      <c r="E16" s="0" t="n">
        <f aca="false">-E12</f>
        <v>139424.6626545</v>
      </c>
      <c r="F16" s="0" t="n">
        <f aca="false">-F12</f>
        <v>138727.539341228</v>
      </c>
      <c r="G16" s="0" t="n">
        <f aca="false">-G12</f>
        <v>138727.539341228</v>
      </c>
      <c r="H16" s="0" t="n">
        <f aca="false">-H12</f>
        <v>138727.539341228</v>
      </c>
      <c r="I16" s="0" t="n">
        <f aca="false">-I12</f>
        <v>139421.177037934</v>
      </c>
      <c r="J16" s="0" t="n">
        <f aca="false">-J12</f>
        <v>140118.282923123</v>
      </c>
      <c r="K16" s="0" t="n">
        <f aca="false">-K12</f>
        <v>140818.874337739</v>
      </c>
      <c r="L16" s="0" t="n">
        <f aca="false">-L12</f>
        <v>141522.968709428</v>
      </c>
    </row>
    <row r="17" customFormat="false" ht="15" hidden="false" customHeight="false" outlineLevel="0" collapsed="false">
      <c r="A17" s="0" t="s">
        <v>122</v>
      </c>
      <c r="C17" s="4" t="n">
        <f aca="false">-C6*Assumptions!C18/100</f>
        <v>-185250.3822</v>
      </c>
      <c r="D17" s="4" t="n">
        <f aca="false">-D6*Assumptions!D18/100</f>
        <v>-175750.3626</v>
      </c>
      <c r="E17" s="4" t="n">
        <f aca="false">-E6*Assumptions!E18/100</f>
        <v>-165419.091285</v>
      </c>
      <c r="F17" s="4" t="n">
        <f aca="false">-F6*Assumptions!F18/100</f>
        <v>-159889.36737633</v>
      </c>
      <c r="G17" s="4" t="n">
        <f aca="false">-G6*Assumptions!G18/100</f>
        <v>-155186.738924085</v>
      </c>
      <c r="H17" s="4" t="n">
        <f aca="false">-H6*Assumptions!H18/100</f>
        <v>-152835.424697963</v>
      </c>
      <c r="I17" s="4" t="n">
        <f aca="false">-I6*Assumptions!I18/100</f>
        <v>-153599.601821452</v>
      </c>
      <c r="J17" s="4" t="n">
        <f aca="false">-J6*Assumptions!J18/100</f>
        <v>-154367.59983056</v>
      </c>
      <c r="K17" s="4" t="n">
        <f aca="false">-K6*Assumptions!K18/100</f>
        <v>-155139.437829712</v>
      </c>
      <c r="L17" s="4" t="n">
        <f aca="false">-L6*Assumptions!L18/100</f>
        <v>-155915.135018861</v>
      </c>
    </row>
    <row r="18" customFormat="false" ht="15" hidden="false" customHeight="false" outlineLevel="0" collapsed="false">
      <c r="A18" s="0" t="s">
        <v>123</v>
      </c>
      <c r="C18" s="4" t="n">
        <f aca="false">(C6-B6)*Assumptions!$B$23/100</f>
        <v>-3527.23499999999</v>
      </c>
      <c r="D18" s="4" t="n">
        <f aca="false">(D6-C6)*Assumptions!$B$23/100</f>
        <v>-0</v>
      </c>
      <c r="E18" s="4" t="n">
        <f aca="false">(E6-D6)*Assumptions!$B$23/100</f>
        <v>1781.25367499997</v>
      </c>
      <c r="F18" s="4" t="n">
        <f aca="false">(F6-E6)*Assumptions!$B$23/100</f>
        <v>1772.34740662503</v>
      </c>
      <c r="G18" s="4" t="n">
        <f aca="false">(G6-F6)*Assumptions!$B$23/100</f>
        <v>-0</v>
      </c>
      <c r="H18" s="4" t="n">
        <f aca="false">(H6-G6)*Assumptions!$B$23/100</f>
        <v>-0</v>
      </c>
      <c r="I18" s="4" t="n">
        <f aca="false">(I6-H6)*Assumptions!$B$23/100</f>
        <v>-1763.48566959186</v>
      </c>
      <c r="J18" s="4" t="n">
        <f aca="false">(J6-I6)*Assumptions!$B$23/100</f>
        <v>-1772.30309793977</v>
      </c>
      <c r="K18" s="4" t="n">
        <f aca="false">(K6-J6)*Assumptions!$B$23/100</f>
        <v>-1781.16461342953</v>
      </c>
      <c r="L18" s="4" t="n">
        <f aca="false">(L6-K6)*Assumptions!$B$23/100</f>
        <v>-1790.07043649666</v>
      </c>
    </row>
    <row r="19" customFormat="false" ht="15" hidden="false" customHeight="false" outlineLevel="0" collapsed="false">
      <c r="A19" s="0" t="s">
        <v>124</v>
      </c>
      <c r="C19" s="0" t="n">
        <f aca="false">C15+C16+C17+C18</f>
        <v>-22052.27322</v>
      </c>
      <c r="D19" s="0" t="n">
        <f aca="false">D15+D16+D17+D18</f>
        <v>-4037.50833000004</v>
      </c>
      <c r="E19" s="0" t="n">
        <f aca="false">E15+E16+E17+E18</f>
        <v>10524.83421435</v>
      </c>
      <c r="F19" s="0" t="n">
        <f aca="false">F15+F16+F17+F18</f>
        <v>20112.5983703806</v>
      </c>
      <c r="G19" s="0" t="n">
        <f aca="false">G15+G16+G17+G18</f>
        <v>23042.8794160005</v>
      </c>
      <c r="H19" s="0" t="n">
        <f aca="false">H15+H16+H17+H18</f>
        <v>25394.193642123</v>
      </c>
      <c r="I19" s="0" t="n">
        <f aca="false">I15+I16+I17+I18</f>
        <v>23757.6789407418</v>
      </c>
      <c r="J19" s="0" t="n">
        <f aca="false">J15+J16+J17+J18</f>
        <v>23876.4673354455</v>
      </c>
      <c r="K19" s="0" t="n">
        <f aca="false">K15+K16+K17+K18</f>
        <v>23995.8496721227</v>
      </c>
      <c r="L19" s="0" t="n">
        <f aca="false">L15+L16+L17+L18</f>
        <v>24115.8289204833</v>
      </c>
    </row>
    <row r="20" customFormat="false" ht="15" hidden="false" customHeight="false" outlineLevel="0" collapsed="false">
      <c r="A20" s="0" t="s">
        <v>125</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126</v>
      </c>
      <c r="C21" s="0" t="n">
        <f aca="false">C19*C20</f>
        <v>-20609.6011401869</v>
      </c>
      <c r="D21" s="0" t="n">
        <f aca="false">D19*D20</f>
        <v>-3526.51614114773</v>
      </c>
      <c r="E21" s="0" t="n">
        <f aca="false">E19*E20</f>
        <v>8591.3998238021</v>
      </c>
      <c r="F21" s="0" t="n">
        <f aca="false">F19*F20</f>
        <v>15343.8049985982</v>
      </c>
      <c r="G21" s="0" t="n">
        <f aca="false">G19*G20</f>
        <v>16429.2545591171</v>
      </c>
      <c r="H21" s="0" t="n">
        <f aca="false">H19*H20</f>
        <v>16921.2234635194</v>
      </c>
      <c r="I21" s="0" t="n">
        <f aca="false">I19*I20</f>
        <v>14795.0884281239</v>
      </c>
      <c r="J21" s="0" t="n">
        <f aca="false">J19*J20</f>
        <v>13896.321374079</v>
      </c>
      <c r="K21" s="0" t="n">
        <f aca="false">K19*K20</f>
        <v>13052.1523186443</v>
      </c>
      <c r="L21" s="0" t="n">
        <f aca="false">L19*L20</f>
        <v>12259.2645609696</v>
      </c>
    </row>
    <row r="23" customFormat="false" ht="15" hidden="false" customHeight="false" outlineLevel="0" collapsed="false">
      <c r="A23" s="0" t="s">
        <v>102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Assumptions!$B$20</f>
        <v>7</v>
      </c>
    </row>
    <row r="28" customFormat="false" ht="15" hidden="false" customHeight="false" outlineLevel="0" collapsed="false">
      <c r="A28" s="0" t="s">
        <v>107</v>
      </c>
      <c r="B28" s="4" t="n">
        <f aca="false">Assumptions!$B$21</f>
        <v>0.5</v>
      </c>
    </row>
    <row r="29" customFormat="false" ht="15" hidden="false" customHeight="false" outlineLevel="0" collapsed="false">
      <c r="A29" s="0" t="s">
        <v>108</v>
      </c>
      <c r="B29" s="4" t="n">
        <f aca="false">Assumptions!$B$22</f>
        <v>12</v>
      </c>
    </row>
    <row r="30" customFormat="false" ht="15" hidden="false" customHeight="false" outlineLevel="0" collapsed="false">
      <c r="A30" s="0" t="s">
        <v>129</v>
      </c>
      <c r="B30" s="0" t="n">
        <f aca="false">SUM(C21:L21)</f>
        <v>87152.392245519</v>
      </c>
    </row>
    <row r="31" customFormat="false" ht="15" hidden="false" customHeight="false" outlineLevel="0" collapsed="false">
      <c r="A31" s="0" t="s">
        <v>130</v>
      </c>
      <c r="B31" s="0" t="n">
        <f aca="false">L19</f>
        <v>24115.8289204833</v>
      </c>
    </row>
    <row r="32" customFormat="false" ht="15" hidden="false" customHeight="false" outlineLevel="0" collapsed="false">
      <c r="A32" s="0" t="s">
        <v>131</v>
      </c>
      <c r="B32" s="0" t="n">
        <f aca="false">IF(B27&gt;B28,B31*(1+B28/100)/((B27-B28)/100),B31*B29)</f>
        <v>372867.816385934</v>
      </c>
    </row>
    <row r="33" customFormat="false" ht="15" hidden="false" customHeight="false" outlineLevel="0" collapsed="false">
      <c r="A33" s="0" t="s">
        <v>132</v>
      </c>
      <c r="B33" s="0" t="n">
        <f aca="false">B31*B29</f>
        <v>289389.9470458</v>
      </c>
    </row>
    <row r="34" customFormat="false" ht="15" hidden="false" customHeight="false" outlineLevel="0" collapsed="false">
      <c r="A34" s="0" t="s">
        <v>133</v>
      </c>
      <c r="B34" s="0" t="n">
        <f aca="false">MAX(0,MIN(B32,B33))</f>
        <v>289389.9470458</v>
      </c>
    </row>
    <row r="35" customFormat="false" ht="15" hidden="false" customHeight="false" outlineLevel="0" collapsed="false">
      <c r="A35" s="0" t="s">
        <v>134</v>
      </c>
      <c r="B35" s="0" t="n">
        <f aca="false">B34/(1+B27/100)^L4</f>
        <v>147111.174731636</v>
      </c>
    </row>
    <row r="36" customFormat="false" ht="15" hidden="false" customHeight="false" outlineLevel="0" collapsed="false">
      <c r="A36" s="0" t="s">
        <v>135</v>
      </c>
      <c r="B36" s="0" t="n">
        <f aca="false">B30+B35</f>
        <v>234263.566977155</v>
      </c>
    </row>
    <row r="37" customFormat="false" ht="15" hidden="false" customHeight="false" outlineLevel="0" collapsed="false">
      <c r="A37" s="0" t="s">
        <v>136</v>
      </c>
      <c r="B37" s="0" t="n">
        <f aca="false">B36+Assumptions!$B$5-Assumptions!$B$4</f>
        <v>568495.566977155</v>
      </c>
    </row>
    <row r="38" customFormat="false" ht="15" hidden="false" customHeight="false" outlineLevel="0" collapsed="false">
      <c r="A38" s="0" t="s">
        <v>137</v>
      </c>
      <c r="B38" s="0" t="n">
        <f aca="false">B37/Assumptions!$B$3*Assumptions!$B$10</f>
        <v>418.414477899414</v>
      </c>
    </row>
    <row r="39" customFormat="false" ht="15" hidden="false" customHeight="false" outlineLevel="0" collapsed="false">
      <c r="A39" s="0" t="s">
        <v>138</v>
      </c>
      <c r="B39" s="4" t="n">
        <f aca="false">B38/Assumptions!$B$2-1</f>
        <v>-0.642380788120159</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418.414477899414</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167147.641828177</v>
      </c>
    </row>
    <row r="47" customFormat="false" ht="15" hidden="false" customHeight="false" outlineLevel="0" collapsed="false">
      <c r="A47" s="0" t="s">
        <v>143</v>
      </c>
      <c r="B47" s="0" t="n">
        <f aca="false">(SUMPRODUCT(C19:L19/(1+B45/100)^C4:L4)+B46/(1+B45/100)^L4+Assumptions!$B$5-Assumptions!$B$4)/Assumptions!$B$3*Assumptions!$B$10</f>
        <v>311.839370870291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3.5</v>
      </c>
      <c r="D5" s="4" t="n">
        <f aca="false">Assumptions!D27</f>
        <v>2</v>
      </c>
      <c r="E5" s="4" t="n">
        <f aca="false">Assumptions!E27</f>
        <v>1.5</v>
      </c>
      <c r="F5" s="4" t="n">
        <f aca="false">Assumptions!F27</f>
        <v>1</v>
      </c>
      <c r="G5" s="4" t="n">
        <f aca="false">Assumptions!G27</f>
        <v>1</v>
      </c>
      <c r="H5" s="4" t="n">
        <f aca="false">Assumptions!H27</f>
        <v>1</v>
      </c>
      <c r="I5" s="4" t="n">
        <f aca="false">Assumptions!I27</f>
        <v>1</v>
      </c>
      <c r="J5" s="4" t="n">
        <f aca="false">Assumptions!J27</f>
        <v>1</v>
      </c>
      <c r="K5" s="4" t="n">
        <f aca="false">Assumptions!K27</f>
        <v>1</v>
      </c>
      <c r="L5" s="4" t="n">
        <f aca="false">Assumptions!L27</f>
        <v>1</v>
      </c>
    </row>
    <row r="6" customFormat="false" ht="15" hidden="false" customHeight="false" outlineLevel="0" collapsed="false">
      <c r="A6" s="0" t="s">
        <v>37</v>
      </c>
      <c r="B6" s="3" t="n">
        <v>2351490</v>
      </c>
      <c r="C6" s="0" t="n">
        <f aca="false">B6*(1+C5/100)</f>
        <v>2433792.15</v>
      </c>
      <c r="D6" s="0" t="n">
        <f aca="false">C6*(1+D5/100)</f>
        <v>2482467.993</v>
      </c>
      <c r="E6" s="0" t="n">
        <f aca="false">D6*(1+E5/100)</f>
        <v>2519705.012895</v>
      </c>
      <c r="F6" s="0" t="n">
        <f aca="false">E6*(1+F5/100)</f>
        <v>2544902.06302395</v>
      </c>
      <c r="G6" s="0" t="n">
        <f aca="false">F6*(1+G5/100)</f>
        <v>2570351.08365419</v>
      </c>
      <c r="H6" s="0" t="n">
        <f aca="false">G6*(1+H5/100)</f>
        <v>2596054.59449073</v>
      </c>
      <c r="I6" s="0" t="n">
        <f aca="false">H6*(1+I5/100)</f>
        <v>2622015.14043564</v>
      </c>
      <c r="J6" s="0" t="n">
        <f aca="false">I6*(1+J5/100)</f>
        <v>2648235.29184</v>
      </c>
      <c r="K6" s="0" t="n">
        <f aca="false">J6*(1+K5/100)</f>
        <v>2674717.6447584</v>
      </c>
      <c r="L6" s="0" t="n">
        <f aca="false">K6*(1+L5/100)</f>
        <v>2701464.82120598</v>
      </c>
    </row>
    <row r="7" customFormat="false" ht="15" hidden="false" customHeight="false" outlineLevel="0" collapsed="false">
      <c r="A7" s="0" t="s">
        <v>100</v>
      </c>
      <c r="C7" s="4" t="n">
        <f aca="false">Assumptions!C28</f>
        <v>8.3</v>
      </c>
      <c r="D7" s="4" t="n">
        <f aca="false">Assumptions!D28</f>
        <v>9</v>
      </c>
      <c r="E7" s="4" t="n">
        <f aca="false">Assumptions!E28</f>
        <v>9.6</v>
      </c>
      <c r="F7" s="4" t="n">
        <f aca="false">Assumptions!F28</f>
        <v>10.1</v>
      </c>
      <c r="G7" s="4" t="n">
        <f aca="false">Assumptions!G28</f>
        <v>10.5</v>
      </c>
      <c r="H7" s="4" t="n">
        <f aca="false">Assumptions!H28</f>
        <v>10.8</v>
      </c>
      <c r="I7" s="4" t="n">
        <f aca="false">Assumptions!I28</f>
        <v>11</v>
      </c>
      <c r="J7" s="4" t="n">
        <f aca="false">Assumptions!J28</f>
        <v>11</v>
      </c>
      <c r="K7" s="4" t="n">
        <f aca="false">Assumptions!K28</f>
        <v>11</v>
      </c>
      <c r="L7" s="4" t="n">
        <f aca="false">Assumptions!L28</f>
        <v>11</v>
      </c>
    </row>
    <row r="8" customFormat="false" ht="15" hidden="false" customHeight="false" outlineLevel="0" collapsed="false">
      <c r="A8" s="0" t="s">
        <v>43</v>
      </c>
      <c r="C8" s="0" t="n">
        <f aca="false">C6*C7/100</f>
        <v>202004.74845</v>
      </c>
      <c r="D8" s="0" t="n">
        <f aca="false">D6*D7/100</f>
        <v>223422.11937</v>
      </c>
      <c r="E8" s="0" t="n">
        <f aca="false">E6*E7/100</f>
        <v>241891.68123792</v>
      </c>
      <c r="F8" s="0" t="n">
        <f aca="false">F6*F7/100</f>
        <v>257035.108365419</v>
      </c>
      <c r="G8" s="0" t="n">
        <f aca="false">G6*G7/100</f>
        <v>269886.86378369</v>
      </c>
      <c r="H8" s="0" t="n">
        <f aca="false">H6*H7/100</f>
        <v>280373.896204999</v>
      </c>
      <c r="I8" s="0" t="n">
        <f aca="false">I6*I7/100</f>
        <v>288421.66544792</v>
      </c>
      <c r="J8" s="0" t="n">
        <f aca="false">J6*J7/100</f>
        <v>291305.882102399</v>
      </c>
      <c r="K8" s="0" t="n">
        <f aca="false">K6*K7/100</f>
        <v>294218.940923423</v>
      </c>
      <c r="L8" s="0" t="n">
        <f aca="false">L6*L7/100</f>
        <v>297161.130332658</v>
      </c>
    </row>
    <row r="9" customFormat="false" ht="15" hidden="false" customHeight="false" outlineLevel="0" collapsed="false">
      <c r="A9" s="0" t="s">
        <v>101</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202004.74845</v>
      </c>
      <c r="D11" s="0" t="n">
        <f aca="false">D8+D10+D24</f>
        <v>223422.11937</v>
      </c>
      <c r="E11" s="0" t="n">
        <f aca="false">E8+E10+E24</f>
        <v>241891.68123792</v>
      </c>
      <c r="F11" s="0" t="n">
        <f aca="false">F8+F10+F24</f>
        <v>257035.108365419</v>
      </c>
      <c r="G11" s="0" t="n">
        <f aca="false">G8+G10+G24</f>
        <v>269886.86378369</v>
      </c>
      <c r="H11" s="0" t="n">
        <f aca="false">H8+H10+H24</f>
        <v>280373.896204999</v>
      </c>
      <c r="I11" s="0" t="n">
        <f aca="false">I8+I10+I24</f>
        <v>288421.66544792</v>
      </c>
      <c r="J11" s="0" t="n">
        <f aca="false">J8+J10+J24</f>
        <v>291305.882102399</v>
      </c>
      <c r="K11" s="0" t="n">
        <f aca="false">K8+K10+K24</f>
        <v>294218.940923423</v>
      </c>
      <c r="L11" s="0" t="n">
        <f aca="false">L8+L10+L24</f>
        <v>297161.130332658</v>
      </c>
    </row>
    <row r="12" customFormat="false" ht="15" hidden="false" customHeight="false" outlineLevel="0" collapsed="false">
      <c r="A12" s="0" t="s">
        <v>118</v>
      </c>
      <c r="C12" s="4" t="n">
        <f aca="false">-C6*Assumptions!C31/100</f>
        <v>-143593.73685</v>
      </c>
      <c r="D12" s="4" t="n">
        <f aca="false">-D6*Assumptions!D31/100</f>
        <v>-146465.611587</v>
      </c>
      <c r="E12" s="4" t="n">
        <f aca="false">-E6*Assumptions!E31/100</f>
        <v>-148662.595760805</v>
      </c>
      <c r="F12" s="4" t="n">
        <f aca="false">-F6*Assumptions!F31/100</f>
        <v>-150149.221718413</v>
      </c>
      <c r="G12" s="4" t="n">
        <f aca="false">-G6*Assumptions!G31/100</f>
        <v>-151650.713935597</v>
      </c>
      <c r="H12" s="4" t="n">
        <f aca="false">-H6*Assumptions!H31/100</f>
        <v>-153167.221074953</v>
      </c>
      <c r="I12" s="4" t="n">
        <f aca="false">-I6*Assumptions!I31/100</f>
        <v>-154698.893285703</v>
      </c>
      <c r="J12" s="4" t="n">
        <f aca="false">-J6*Assumptions!J31/100</f>
        <v>-156245.88221856</v>
      </c>
      <c r="K12" s="4" t="n">
        <f aca="false">-K6*Assumptions!K31/100</f>
        <v>-157808.341040745</v>
      </c>
      <c r="L12" s="4" t="n">
        <f aca="false">-L6*Assumptions!L31/100</f>
        <v>-159386.424451153</v>
      </c>
    </row>
    <row r="13" customFormat="false" ht="15" hidden="false" customHeight="false" outlineLevel="0" collapsed="false">
      <c r="A13" s="0" t="s">
        <v>119</v>
      </c>
      <c r="C13" s="0" t="n">
        <f aca="false">C11+C12</f>
        <v>58411.0116</v>
      </c>
      <c r="D13" s="0" t="n">
        <f aca="false">D11+D12</f>
        <v>76956.507783</v>
      </c>
      <c r="E13" s="0" t="n">
        <f aca="false">E11+E12</f>
        <v>93229.085477115</v>
      </c>
      <c r="F13" s="0" t="n">
        <f aca="false">F11+F12</f>
        <v>106885.886647006</v>
      </c>
      <c r="G13" s="0" t="n">
        <f aca="false">G11+G12</f>
        <v>118236.149848093</v>
      </c>
      <c r="H13" s="0" t="n">
        <f aca="false">H11+H12</f>
        <v>127206.675130046</v>
      </c>
      <c r="I13" s="0" t="n">
        <f aca="false">I11+I12</f>
        <v>133722.772162218</v>
      </c>
      <c r="J13" s="0" t="n">
        <f aca="false">J11+J12</f>
        <v>135059.99988384</v>
      </c>
      <c r="K13" s="0" t="n">
        <f aca="false">K11+K12</f>
        <v>136410.599882678</v>
      </c>
      <c r="L13" s="0" t="n">
        <f aca="false">L11+L12</f>
        <v>137774.705881505</v>
      </c>
    </row>
    <row r="14" customFormat="false" ht="15" hidden="false" customHeight="false" outlineLevel="0" collapsed="false">
      <c r="A14" s="0" t="s">
        <v>105</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120</v>
      </c>
      <c r="C15" s="0" t="n">
        <f aca="false">C13-MAX(0,C13)*C14/100</f>
        <v>40887.70812</v>
      </c>
      <c r="D15" s="0" t="n">
        <f aca="false">D13-MAX(0,D13)*D14/100</f>
        <v>53869.5554481</v>
      </c>
      <c r="E15" s="0" t="n">
        <f aca="false">E13-MAX(0,E13)*E14/100</f>
        <v>65260.3598339805</v>
      </c>
      <c r="F15" s="0" t="n">
        <f aca="false">F13-MAX(0,F13)*F14/100</f>
        <v>74820.1206529041</v>
      </c>
      <c r="G15" s="0" t="n">
        <f aca="false">G13-MAX(0,G13)*G14/100</f>
        <v>82765.3048936649</v>
      </c>
      <c r="H15" s="0" t="n">
        <f aca="false">H13-MAX(0,H13)*H14/100</f>
        <v>89044.6725910321</v>
      </c>
      <c r="I15" s="0" t="n">
        <f aca="false">I13-MAX(0,I13)*I14/100</f>
        <v>93605.9405135523</v>
      </c>
      <c r="J15" s="0" t="n">
        <f aca="false">J13-MAX(0,J13)*J14/100</f>
        <v>94541.9999186878</v>
      </c>
      <c r="K15" s="0" t="n">
        <f aca="false">K13-MAX(0,K13)*K14/100</f>
        <v>95487.4199178747</v>
      </c>
      <c r="L15" s="0" t="n">
        <f aca="false">L13-MAX(0,L13)*L14/100</f>
        <v>96442.2941170534</v>
      </c>
    </row>
    <row r="16" customFormat="false" ht="15" hidden="false" customHeight="false" outlineLevel="0" collapsed="false">
      <c r="A16" s="0" t="s">
        <v>121</v>
      </c>
      <c r="C16" s="0" t="n">
        <f aca="false">-C12</f>
        <v>143593.73685</v>
      </c>
      <c r="D16" s="0" t="n">
        <f aca="false">-D12</f>
        <v>146465.611587</v>
      </c>
      <c r="E16" s="0" t="n">
        <f aca="false">-E12</f>
        <v>148662.595760805</v>
      </c>
      <c r="F16" s="0" t="n">
        <f aca="false">-F12</f>
        <v>150149.221718413</v>
      </c>
      <c r="G16" s="0" t="n">
        <f aca="false">-G12</f>
        <v>151650.713935597</v>
      </c>
      <c r="H16" s="0" t="n">
        <f aca="false">-H12</f>
        <v>153167.221074953</v>
      </c>
      <c r="I16" s="0" t="n">
        <f aca="false">-I12</f>
        <v>154698.893285703</v>
      </c>
      <c r="J16" s="0" t="n">
        <f aca="false">-J12</f>
        <v>156245.88221856</v>
      </c>
      <c r="K16" s="0" t="n">
        <f aca="false">-K12</f>
        <v>157808.341040745</v>
      </c>
      <c r="L16" s="0" t="n">
        <f aca="false">-L12</f>
        <v>159386.424451153</v>
      </c>
    </row>
    <row r="17" customFormat="false" ht="15" hidden="false" customHeight="false" outlineLevel="0" collapsed="false">
      <c r="A17" s="0" t="s">
        <v>122</v>
      </c>
      <c r="C17" s="4" t="n">
        <f aca="false">-C6*Assumptions!C32/100</f>
        <v>-184968.2034</v>
      </c>
      <c r="D17" s="4" t="n">
        <f aca="false">-D6*Assumptions!D32/100</f>
        <v>-178737.695496</v>
      </c>
      <c r="E17" s="4" t="n">
        <f aca="false">-E6*Assumptions!E32/100</f>
        <v>-173859.645889755</v>
      </c>
      <c r="F17" s="4" t="n">
        <f aca="false">-F6*Assumptions!F32/100</f>
        <v>-170508.438222605</v>
      </c>
      <c r="G17" s="4" t="n">
        <f aca="false">-G6*Assumptions!G32/100</f>
        <v>-167072.820437522</v>
      </c>
      <c r="H17" s="4" t="n">
        <f aca="false">-H6*Assumptions!H32/100</f>
        <v>-166147.494047407</v>
      </c>
      <c r="I17" s="4" t="n">
        <f aca="false">-I6*Assumptions!I32/100</f>
        <v>-165186.953847445</v>
      </c>
      <c r="J17" s="4" t="n">
        <f aca="false">-J6*Assumptions!J32/100</f>
        <v>-166838.82338592</v>
      </c>
      <c r="K17" s="4" t="n">
        <f aca="false">-K6*Assumptions!K32/100</f>
        <v>-168507.211619779</v>
      </c>
      <c r="L17" s="4" t="n">
        <f aca="false">-L6*Assumptions!L32/100</f>
        <v>-170192.283735977</v>
      </c>
    </row>
    <row r="18" customFormat="false" ht="15" hidden="false" customHeight="false" outlineLevel="0" collapsed="false">
      <c r="A18" s="0" t="s">
        <v>123</v>
      </c>
      <c r="C18" s="4" t="n">
        <f aca="false">(C6-B6)*Assumptions!$B$37/100</f>
        <v>-12345.3225</v>
      </c>
      <c r="D18" s="4" t="n">
        <f aca="false">(D6-C6)*Assumptions!$B$37/100</f>
        <v>-7301.37644999998</v>
      </c>
      <c r="E18" s="4" t="n">
        <f aca="false">(E6-D6)*Assumptions!$B$37/100</f>
        <v>-5585.55298424999</v>
      </c>
      <c r="F18" s="4" t="n">
        <f aca="false">(F6-E6)*Assumptions!$B$37/100</f>
        <v>-3779.55751934247</v>
      </c>
      <c r="G18" s="4" t="n">
        <f aca="false">(G6-F6)*Assumptions!$B$37/100</f>
        <v>-3817.35309453593</v>
      </c>
      <c r="H18" s="4" t="n">
        <f aca="false">(H6-G6)*Assumptions!$B$37/100</f>
        <v>-3855.52662548132</v>
      </c>
      <c r="I18" s="4" t="n">
        <f aca="false">(I6-H6)*Assumptions!$B$37/100</f>
        <v>-3894.08189173609</v>
      </c>
      <c r="J18" s="4" t="n">
        <f aca="false">(J6-I6)*Assumptions!$B$37/100</f>
        <v>-3933.02271065349</v>
      </c>
      <c r="K18" s="4" t="n">
        <f aca="false">(K6-J6)*Assumptions!$B$37/100</f>
        <v>-3972.35293775999</v>
      </c>
      <c r="L18" s="4" t="n">
        <f aca="false">(L6-K6)*Assumptions!$B$37/100</f>
        <v>-4012.07646713757</v>
      </c>
    </row>
    <row r="19" customFormat="false" ht="15" hidden="false" customHeight="false" outlineLevel="0" collapsed="false">
      <c r="A19" s="0" t="s">
        <v>124</v>
      </c>
      <c r="C19" s="0" t="n">
        <f aca="false">C15+C16+C17+C18</f>
        <v>-12832.08093</v>
      </c>
      <c r="D19" s="0" t="n">
        <f aca="false">D15+D16+D17+D18</f>
        <v>14296.0950891</v>
      </c>
      <c r="E19" s="0" t="n">
        <f aca="false">E15+E16+E17+E18</f>
        <v>34477.7567207805</v>
      </c>
      <c r="F19" s="0" t="n">
        <f aca="false">F15+F16+F17+F18</f>
        <v>50681.34662937</v>
      </c>
      <c r="G19" s="0" t="n">
        <f aca="false">G15+G16+G17+G18</f>
        <v>63525.8452972039</v>
      </c>
      <c r="H19" s="0" t="n">
        <f aca="false">H15+H16+H17+H18</f>
        <v>72208.8729930971</v>
      </c>
      <c r="I19" s="0" t="n">
        <f aca="false">I15+I16+I17+I18</f>
        <v>79223.7980600737</v>
      </c>
      <c r="J19" s="0" t="n">
        <f aca="false">J15+J16+J17+J18</f>
        <v>80016.0360406743</v>
      </c>
      <c r="K19" s="0" t="n">
        <f aca="false">K15+K16+K17+K18</f>
        <v>80816.1964010811</v>
      </c>
      <c r="L19" s="0" t="n">
        <f aca="false">L15+L16+L17+L18</f>
        <v>81624.3583650919</v>
      </c>
    </row>
    <row r="20" customFormat="false" ht="15" hidden="false" customHeight="false" outlineLevel="0" collapsed="false">
      <c r="A20" s="0" t="s">
        <v>125</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126</v>
      </c>
      <c r="C21" s="0" t="n">
        <f aca="false">C19*C20</f>
        <v>-11992.599</v>
      </c>
      <c r="D21" s="0" t="n">
        <f aca="false">D19*D20</f>
        <v>12486.7631138964</v>
      </c>
      <c r="E21" s="0" t="n">
        <f aca="false">E19*E20</f>
        <v>28144.1196111324</v>
      </c>
      <c r="F21" s="0" t="n">
        <f aca="false">F19*F20</f>
        <v>38664.5566836674</v>
      </c>
      <c r="G21" s="0" t="n">
        <f aca="false">G19*G20</f>
        <v>45293.0497369239</v>
      </c>
      <c r="H21" s="0" t="n">
        <f aca="false">H19*H20</f>
        <v>48115.8210095044</v>
      </c>
      <c r="I21" s="0" t="n">
        <f aca="false">I19*I20</f>
        <v>49336.5997930278</v>
      </c>
      <c r="J21" s="0" t="n">
        <f aca="false">J19*J20</f>
        <v>46570.0614868767</v>
      </c>
      <c r="K21" s="0" t="n">
        <f aca="false">K19*K20</f>
        <v>43958.6561698556</v>
      </c>
      <c r="L21" s="0" t="n">
        <f aca="false">L19*L20</f>
        <v>41493.684795845</v>
      </c>
    </row>
    <row r="23" customFormat="false" ht="15" hidden="false" customHeight="false" outlineLevel="0" collapsed="false">
      <c r="A23" s="0" t="s">
        <v>102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Assumptions!$B$34</f>
        <v>7</v>
      </c>
    </row>
    <row r="28" customFormat="false" ht="15" hidden="false" customHeight="false" outlineLevel="0" collapsed="false">
      <c r="A28" s="0" t="s">
        <v>107</v>
      </c>
      <c r="B28" s="4" t="n">
        <f aca="false">Assumptions!$B$35</f>
        <v>1</v>
      </c>
    </row>
    <row r="29" customFormat="false" ht="15" hidden="false" customHeight="false" outlineLevel="0" collapsed="false">
      <c r="A29" s="0" t="s">
        <v>108</v>
      </c>
      <c r="B29" s="4" t="n">
        <f aca="false">Assumptions!$B$36</f>
        <v>14</v>
      </c>
    </row>
    <row r="30" customFormat="false" ht="15" hidden="false" customHeight="false" outlineLevel="0" collapsed="false">
      <c r="A30" s="0" t="s">
        <v>129</v>
      </c>
      <c r="B30" s="0" t="n">
        <f aca="false">SUM(C21:L21)</f>
        <v>342070.71340073</v>
      </c>
    </row>
    <row r="31" customFormat="false" ht="15" hidden="false" customHeight="false" outlineLevel="0" collapsed="false">
      <c r="A31" s="0" t="s">
        <v>130</v>
      </c>
      <c r="B31" s="0" t="n">
        <f aca="false">L19</f>
        <v>81624.3583650919</v>
      </c>
    </row>
    <row r="32" customFormat="false" ht="15" hidden="false" customHeight="false" outlineLevel="0" collapsed="false">
      <c r="A32" s="0" t="s">
        <v>131</v>
      </c>
      <c r="B32" s="0" t="n">
        <f aca="false">IF(B27&gt;B28,B31*(1+B28/100)/((B27-B28)/100),B31*B29)</f>
        <v>1374010.03247905</v>
      </c>
    </row>
    <row r="33" customFormat="false" ht="15" hidden="false" customHeight="false" outlineLevel="0" collapsed="false">
      <c r="A33" s="0" t="s">
        <v>132</v>
      </c>
      <c r="B33" s="0" t="n">
        <f aca="false">B31*B29</f>
        <v>1142741.01711129</v>
      </c>
    </row>
    <row r="34" customFormat="false" ht="15" hidden="false" customHeight="false" outlineLevel="0" collapsed="false">
      <c r="A34" s="0" t="s">
        <v>133</v>
      </c>
      <c r="B34" s="0" t="n">
        <f aca="false">MAX(0,MIN(B32,B33))</f>
        <v>1142741.01711129</v>
      </c>
    </row>
    <row r="35" customFormat="false" ht="15" hidden="false" customHeight="false" outlineLevel="0" collapsed="false">
      <c r="A35" s="0" t="s">
        <v>134</v>
      </c>
      <c r="B35" s="0" t="n">
        <f aca="false">B34/(1+B27/100)^L4</f>
        <v>580911.58714183</v>
      </c>
    </row>
    <row r="36" customFormat="false" ht="15" hidden="false" customHeight="false" outlineLevel="0" collapsed="false">
      <c r="A36" s="0" t="s">
        <v>135</v>
      </c>
      <c r="B36" s="0" t="n">
        <f aca="false">B30+B35</f>
        <v>922982.30054256</v>
      </c>
    </row>
    <row r="37" customFormat="false" ht="15" hidden="false" customHeight="false" outlineLevel="0" collapsed="false">
      <c r="A37" s="0" t="s">
        <v>136</v>
      </c>
      <c r="B37" s="0" t="n">
        <f aca="false">B36+Assumptions!$B$5-Assumptions!$B$4</f>
        <v>1257214.30054256</v>
      </c>
    </row>
    <row r="38" customFormat="false" ht="15" hidden="false" customHeight="false" outlineLevel="0" collapsed="false">
      <c r="A38" s="0" t="s">
        <v>137</v>
      </c>
      <c r="B38" s="0" t="n">
        <f aca="false">B37/Assumptions!$B$3*Assumptions!$B$10</f>
        <v>925.313574503794</v>
      </c>
    </row>
    <row r="39" customFormat="false" ht="15" hidden="false" customHeight="false" outlineLevel="0" collapsed="false">
      <c r="A39" s="0" t="s">
        <v>138</v>
      </c>
      <c r="B39" s="4" t="n">
        <f aca="false">B38/Assumptions!$B$2-1</f>
        <v>-0.209133697005305</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925.313574503794</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588861.44249102</v>
      </c>
    </row>
    <row r="47" customFormat="false" ht="15" hidden="false" customHeight="false" outlineLevel="0" collapsed="false">
      <c r="A47" s="0" t="s">
        <v>143</v>
      </c>
      <c r="B47" s="0" t="n">
        <f aca="false">(SUMPRODUCT(C19:L19/(1+B45/100)^C4:L4)+B46/(1+B45/100)^L4+Assumptions!$B$5-Assumptions!$B$4)/Assumptions!$B$3*Assumptions!$B$10</f>
        <v>510.034906642607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5</v>
      </c>
      <c r="D5" s="4" t="n">
        <f aca="false">Assumptions!D41</f>
        <v>4</v>
      </c>
      <c r="E5" s="4" t="n">
        <f aca="false">Assumptions!E41</f>
        <v>3.5</v>
      </c>
      <c r="F5" s="4" t="n">
        <f aca="false">Assumptions!F41</f>
        <v>3</v>
      </c>
      <c r="G5" s="4" t="n">
        <f aca="false">Assumptions!G41</f>
        <v>2.5</v>
      </c>
      <c r="H5" s="4" t="n">
        <f aca="false">Assumptions!H41</f>
        <v>2</v>
      </c>
      <c r="I5" s="4" t="n">
        <f aca="false">Assumptions!I41</f>
        <v>1.5</v>
      </c>
      <c r="J5" s="4" t="n">
        <f aca="false">Assumptions!J41</f>
        <v>1.5</v>
      </c>
      <c r="K5" s="4" t="n">
        <f aca="false">Assumptions!K41</f>
        <v>1.5</v>
      </c>
      <c r="L5" s="4" t="n">
        <f aca="false">Assumptions!L41</f>
        <v>1.5</v>
      </c>
    </row>
    <row r="6" customFormat="false" ht="15" hidden="false" customHeight="false" outlineLevel="0" collapsed="false">
      <c r="A6" s="0" t="s">
        <v>37</v>
      </c>
      <c r="B6" s="3" t="n">
        <v>2351490</v>
      </c>
      <c r="C6" s="0" t="n">
        <f aca="false">B6*(1+C5/100)</f>
        <v>2469064.5</v>
      </c>
      <c r="D6" s="0" t="n">
        <f aca="false">C6*(1+D5/100)</f>
        <v>2567827.08</v>
      </c>
      <c r="E6" s="0" t="n">
        <f aca="false">D6*(1+E5/100)</f>
        <v>2657701.0278</v>
      </c>
      <c r="F6" s="0" t="n">
        <f aca="false">E6*(1+F5/100)</f>
        <v>2737432.058634</v>
      </c>
      <c r="G6" s="0" t="n">
        <f aca="false">F6*(1+G5/100)</f>
        <v>2805867.86009985</v>
      </c>
      <c r="H6" s="0" t="n">
        <f aca="false">G6*(1+H5/100)</f>
        <v>2861985.21730185</v>
      </c>
      <c r="I6" s="0" t="n">
        <f aca="false">H6*(1+I5/100)</f>
        <v>2904914.99556137</v>
      </c>
      <c r="J6" s="0" t="n">
        <f aca="false">I6*(1+J5/100)</f>
        <v>2948488.72049479</v>
      </c>
      <c r="K6" s="0" t="n">
        <f aca="false">J6*(1+K5/100)</f>
        <v>2992716.05130222</v>
      </c>
      <c r="L6" s="0" t="n">
        <f aca="false">K6*(1+L5/100)</f>
        <v>3037606.79207175</v>
      </c>
    </row>
    <row r="7" customFormat="false" ht="15" hidden="false" customHeight="false" outlineLevel="0" collapsed="false">
      <c r="A7" s="0" t="s">
        <v>100</v>
      </c>
      <c r="C7" s="4" t="n">
        <f aca="false">Assumptions!C42</f>
        <v>9.5</v>
      </c>
      <c r="D7" s="4" t="n">
        <f aca="false">Assumptions!D42</f>
        <v>10.8</v>
      </c>
      <c r="E7" s="4" t="n">
        <f aca="false">Assumptions!E42</f>
        <v>12</v>
      </c>
      <c r="F7" s="4" t="n">
        <f aca="false">Assumptions!F42</f>
        <v>13</v>
      </c>
      <c r="G7" s="4" t="n">
        <f aca="false">Assumptions!G42</f>
        <v>13.6</v>
      </c>
      <c r="H7" s="4" t="n">
        <f aca="false">Assumptions!H42</f>
        <v>14</v>
      </c>
      <c r="I7" s="4" t="n">
        <f aca="false">Assumptions!I42</f>
        <v>14</v>
      </c>
      <c r="J7" s="4" t="n">
        <f aca="false">Assumptions!J42</f>
        <v>14</v>
      </c>
      <c r="K7" s="4" t="n">
        <f aca="false">Assumptions!K42</f>
        <v>14</v>
      </c>
      <c r="L7" s="4" t="n">
        <f aca="false">Assumptions!L42</f>
        <v>14</v>
      </c>
    </row>
    <row r="8" customFormat="false" ht="15" hidden="false" customHeight="false" outlineLevel="0" collapsed="false">
      <c r="A8" s="0" t="s">
        <v>43</v>
      </c>
      <c r="C8" s="0" t="n">
        <f aca="false">C6*C7/100</f>
        <v>234561.1275</v>
      </c>
      <c r="D8" s="0" t="n">
        <f aca="false">D6*D7/100</f>
        <v>277325.32464</v>
      </c>
      <c r="E8" s="0" t="n">
        <f aca="false">E6*E7/100</f>
        <v>318924.123336</v>
      </c>
      <c r="F8" s="0" t="n">
        <f aca="false">F6*F7/100</f>
        <v>355866.16762242</v>
      </c>
      <c r="G8" s="0" t="n">
        <f aca="false">G6*G7/100</f>
        <v>381598.02897358</v>
      </c>
      <c r="H8" s="0" t="n">
        <f aca="false">H6*H7/100</f>
        <v>400677.930422259</v>
      </c>
      <c r="I8" s="0" t="n">
        <f aca="false">I6*I7/100</f>
        <v>406688.099378592</v>
      </c>
      <c r="J8" s="0" t="n">
        <f aca="false">J6*J7/100</f>
        <v>412788.420869271</v>
      </c>
      <c r="K8" s="0" t="n">
        <f aca="false">K6*K7/100</f>
        <v>418980.24718231</v>
      </c>
      <c r="L8" s="0" t="n">
        <f aca="false">L6*L7/100</f>
        <v>425264.950890045</v>
      </c>
    </row>
    <row r="9" customFormat="false" ht="15" hidden="false" customHeight="false" outlineLevel="0" collapsed="false">
      <c r="A9" s="0" t="s">
        <v>101</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234561.1275</v>
      </c>
      <c r="D11" s="0" t="n">
        <f aca="false">D8+D10+D24</f>
        <v>277325.32464</v>
      </c>
      <c r="E11" s="0" t="n">
        <f aca="false">E8+E10+E24</f>
        <v>318924.123336</v>
      </c>
      <c r="F11" s="0" t="n">
        <f aca="false">F8+F10+F24</f>
        <v>355866.16762242</v>
      </c>
      <c r="G11" s="0" t="n">
        <f aca="false">G8+G10+G24</f>
        <v>381598.02897358</v>
      </c>
      <c r="H11" s="0" t="n">
        <f aca="false">H8+H10+H24</f>
        <v>400677.930422259</v>
      </c>
      <c r="I11" s="0" t="n">
        <f aca="false">I8+I10+I24</f>
        <v>406688.099378592</v>
      </c>
      <c r="J11" s="0" t="n">
        <f aca="false">J8+J10+J24</f>
        <v>412788.420869271</v>
      </c>
      <c r="K11" s="0" t="n">
        <f aca="false">K8+K10+K24</f>
        <v>418980.24718231</v>
      </c>
      <c r="L11" s="0" t="n">
        <f aca="false">L8+L10+L24</f>
        <v>425264.950890045</v>
      </c>
    </row>
    <row r="12" customFormat="false" ht="15" hidden="false" customHeight="false" outlineLevel="0" collapsed="false">
      <c r="A12" s="0" t="s">
        <v>118</v>
      </c>
      <c r="C12" s="4" t="n">
        <f aca="false">-C6*Assumptions!C45/100</f>
        <v>-145674.8055</v>
      </c>
      <c r="D12" s="4" t="n">
        <f aca="false">-D6*Assumptions!D45/100</f>
        <v>-151501.79772</v>
      </c>
      <c r="E12" s="4" t="n">
        <f aca="false">-E6*Assumptions!E45/100</f>
        <v>-156804.3606402</v>
      </c>
      <c r="F12" s="4" t="n">
        <f aca="false">-F6*Assumptions!F45/100</f>
        <v>-161508.491459406</v>
      </c>
      <c r="G12" s="4" t="n">
        <f aca="false">-G6*Assumptions!G45/100</f>
        <v>-165546.203745891</v>
      </c>
      <c r="H12" s="4" t="n">
        <f aca="false">-H6*Assumptions!H45/100</f>
        <v>-168857.127820809</v>
      </c>
      <c r="I12" s="4" t="n">
        <f aca="false">-I6*Assumptions!I45/100</f>
        <v>-171389.984738121</v>
      </c>
      <c r="J12" s="4" t="n">
        <f aca="false">-J6*Assumptions!J45/100</f>
        <v>-173960.834509193</v>
      </c>
      <c r="K12" s="4" t="n">
        <f aca="false">-K6*Assumptions!K45/100</f>
        <v>-176570.247026831</v>
      </c>
      <c r="L12" s="4" t="n">
        <f aca="false">-L6*Assumptions!L45/100</f>
        <v>-179218.800732233</v>
      </c>
    </row>
    <row r="13" customFormat="false" ht="15" hidden="false" customHeight="false" outlineLevel="0" collapsed="false">
      <c r="A13" s="0" t="s">
        <v>119</v>
      </c>
      <c r="C13" s="0" t="n">
        <f aca="false">C11+C12</f>
        <v>88886.322</v>
      </c>
      <c r="D13" s="0" t="n">
        <f aca="false">D11+D12</f>
        <v>125823.52692</v>
      </c>
      <c r="E13" s="0" t="n">
        <f aca="false">E11+E12</f>
        <v>162119.7626958</v>
      </c>
      <c r="F13" s="0" t="n">
        <f aca="false">F11+F12</f>
        <v>194357.676163014</v>
      </c>
      <c r="G13" s="0" t="n">
        <f aca="false">G11+G12</f>
        <v>216051.825227688</v>
      </c>
      <c r="H13" s="0" t="n">
        <f aca="false">H11+H12</f>
        <v>231820.80260145</v>
      </c>
      <c r="I13" s="0" t="n">
        <f aca="false">I11+I12</f>
        <v>235298.114640471</v>
      </c>
      <c r="J13" s="0" t="n">
        <f aca="false">J11+J12</f>
        <v>238827.586360078</v>
      </c>
      <c r="K13" s="0" t="n">
        <f aca="false">K11+K12</f>
        <v>242410.00015548</v>
      </c>
      <c r="L13" s="0" t="n">
        <f aca="false">L11+L12</f>
        <v>246046.150157812</v>
      </c>
    </row>
    <row r="14" customFormat="false" ht="15" hidden="false" customHeight="false" outlineLevel="0" collapsed="false">
      <c r="A14" s="0" t="s">
        <v>105</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120</v>
      </c>
      <c r="C15" s="0" t="n">
        <f aca="false">C13-MAX(0,C13)*C14/100</f>
        <v>62220.4254</v>
      </c>
      <c r="D15" s="0" t="n">
        <f aca="false">D13-MAX(0,D13)*D14/100</f>
        <v>88076.468844</v>
      </c>
      <c r="E15" s="0" t="n">
        <f aca="false">E13-MAX(0,E13)*E14/100</f>
        <v>113483.83388706</v>
      </c>
      <c r="F15" s="0" t="n">
        <f aca="false">F13-MAX(0,F13)*F14/100</f>
        <v>136050.37331411</v>
      </c>
      <c r="G15" s="0" t="n">
        <f aca="false">G13-MAX(0,G13)*G14/100</f>
        <v>151236.277659382</v>
      </c>
      <c r="H15" s="0" t="n">
        <f aca="false">H13-MAX(0,H13)*H14/100</f>
        <v>162274.561821015</v>
      </c>
      <c r="I15" s="0" t="n">
        <f aca="false">I13-MAX(0,I13)*I14/100</f>
        <v>164708.68024833</v>
      </c>
      <c r="J15" s="0" t="n">
        <f aca="false">J13-MAX(0,J13)*J14/100</f>
        <v>167179.310452055</v>
      </c>
      <c r="K15" s="0" t="n">
        <f aca="false">K13-MAX(0,K13)*K14/100</f>
        <v>169687.000108836</v>
      </c>
      <c r="L15" s="0" t="n">
        <f aca="false">L13-MAX(0,L13)*L14/100</f>
        <v>172232.305110468</v>
      </c>
    </row>
    <row r="16" customFormat="false" ht="15" hidden="false" customHeight="false" outlineLevel="0" collapsed="false">
      <c r="A16" s="0" t="s">
        <v>121</v>
      </c>
      <c r="C16" s="0" t="n">
        <f aca="false">-C12</f>
        <v>145674.8055</v>
      </c>
      <c r="D16" s="0" t="n">
        <f aca="false">-D12</f>
        <v>151501.79772</v>
      </c>
      <c r="E16" s="0" t="n">
        <f aca="false">-E12</f>
        <v>156804.3606402</v>
      </c>
      <c r="F16" s="0" t="n">
        <f aca="false">-F12</f>
        <v>161508.491459406</v>
      </c>
      <c r="G16" s="0" t="n">
        <f aca="false">-G12</f>
        <v>165546.203745891</v>
      </c>
      <c r="H16" s="0" t="n">
        <f aca="false">-H12</f>
        <v>168857.127820809</v>
      </c>
      <c r="I16" s="0" t="n">
        <f aca="false">-I12</f>
        <v>171389.984738121</v>
      </c>
      <c r="J16" s="0" t="n">
        <f aca="false">-J12</f>
        <v>173960.834509193</v>
      </c>
      <c r="K16" s="0" t="n">
        <f aca="false">-K12</f>
        <v>176570.247026831</v>
      </c>
      <c r="L16" s="0" t="n">
        <f aca="false">-L12</f>
        <v>179218.800732233</v>
      </c>
    </row>
    <row r="17" customFormat="false" ht="15" hidden="false" customHeight="false" outlineLevel="0" collapsed="false">
      <c r="A17" s="0" t="s">
        <v>122</v>
      </c>
      <c r="C17" s="4" t="n">
        <f aca="false">-C6*Assumptions!C46/100</f>
        <v>-182710.773</v>
      </c>
      <c r="D17" s="4" t="n">
        <f aca="false">-D6*Assumptions!D46/100</f>
        <v>-179747.8956</v>
      </c>
      <c r="E17" s="4" t="n">
        <f aca="false">-E6*Assumptions!E46/100</f>
        <v>-178065.9688626</v>
      </c>
      <c r="F17" s="4" t="n">
        <f aca="false">-F6*Assumptions!F46/100</f>
        <v>-177933.08381121</v>
      </c>
      <c r="G17" s="4" t="n">
        <f aca="false">-G6*Assumptions!G46/100</f>
        <v>-179575.54304639</v>
      </c>
      <c r="H17" s="4" t="n">
        <f aca="false">-H6*Assumptions!H46/100</f>
        <v>-180305.068690016</v>
      </c>
      <c r="I17" s="4" t="n">
        <f aca="false">-I6*Assumptions!I46/100</f>
        <v>-183009.644720367</v>
      </c>
      <c r="J17" s="4" t="n">
        <f aca="false">-J6*Assumptions!J46/100</f>
        <v>-185754.789391172</v>
      </c>
      <c r="K17" s="4" t="n">
        <f aca="false">-K6*Assumptions!K46/100</f>
        <v>-188541.11123204</v>
      </c>
      <c r="L17" s="4" t="n">
        <f aca="false">-L6*Assumptions!L46/100</f>
        <v>-191369.22790052</v>
      </c>
    </row>
    <row r="18" customFormat="false" ht="15" hidden="false" customHeight="false" outlineLevel="0" collapsed="false">
      <c r="A18" s="0" t="s">
        <v>123</v>
      </c>
      <c r="C18" s="4" t="n">
        <f aca="false">(C6-B6)*Assumptions!$B$51/100</f>
        <v>-17636.175</v>
      </c>
      <c r="D18" s="4" t="n">
        <f aca="false">(D6-C6)*Assumptions!$B$51/100</f>
        <v>-14814.387</v>
      </c>
      <c r="E18" s="4" t="n">
        <f aca="false">(E6-D6)*Assumptions!$B$51/100</f>
        <v>-13481.09217</v>
      </c>
      <c r="F18" s="4" t="n">
        <f aca="false">(F6-E6)*Assumptions!$B$51/100</f>
        <v>-11959.6546251</v>
      </c>
      <c r="G18" s="4" t="n">
        <f aca="false">(G6-F6)*Assumptions!$B$51/100</f>
        <v>-10265.3702198775</v>
      </c>
      <c r="H18" s="4" t="n">
        <f aca="false">(H6-G6)*Assumptions!$B$51/100</f>
        <v>-8417.60358029958</v>
      </c>
      <c r="I18" s="4" t="n">
        <f aca="false">(I6-H6)*Assumptions!$B$51/100</f>
        <v>-6439.46673892911</v>
      </c>
      <c r="J18" s="4" t="n">
        <f aca="false">(J6-I6)*Assumptions!$B$51/100</f>
        <v>-6536.05874001305</v>
      </c>
      <c r="K18" s="4" t="n">
        <f aca="false">(K6-J6)*Assumptions!$B$51/100</f>
        <v>-6634.09962111327</v>
      </c>
      <c r="L18" s="4" t="n">
        <f aca="false">(L6-K6)*Assumptions!$B$51/100</f>
        <v>-6733.61111542995</v>
      </c>
    </row>
    <row r="19" customFormat="false" ht="15" hidden="false" customHeight="false" outlineLevel="0" collapsed="false">
      <c r="A19" s="0" t="s">
        <v>124</v>
      </c>
      <c r="C19" s="0" t="n">
        <f aca="false">C15+C16+C17+C18</f>
        <v>7548.28290000001</v>
      </c>
      <c r="D19" s="0" t="n">
        <f aca="false">D15+D16+D17+D18</f>
        <v>45015.983964</v>
      </c>
      <c r="E19" s="0" t="n">
        <f aca="false">E15+E16+E17+E18</f>
        <v>78741.1334946601</v>
      </c>
      <c r="F19" s="0" t="n">
        <f aca="false">F15+F16+F17+F18</f>
        <v>107666.126337206</v>
      </c>
      <c r="G19" s="0" t="n">
        <f aca="false">G15+G16+G17+G18</f>
        <v>126941.568139005</v>
      </c>
      <c r="H19" s="0" t="n">
        <f aca="false">H15+H16+H17+H18</f>
        <v>142409.017371508</v>
      </c>
      <c r="I19" s="0" t="n">
        <f aca="false">I15+I16+I17+I18</f>
        <v>146649.553527155</v>
      </c>
      <c r="J19" s="0" t="n">
        <f aca="false">J15+J16+J17+J18</f>
        <v>148849.296830063</v>
      </c>
      <c r="K19" s="0" t="n">
        <f aca="false">K15+K16+K17+K18</f>
        <v>151082.036282514</v>
      </c>
      <c r="L19" s="0" t="n">
        <f aca="false">L15+L16+L17+L18</f>
        <v>153348.266826751</v>
      </c>
    </row>
    <row r="20" customFormat="false" ht="15" hidden="false" customHeight="false" outlineLevel="0" collapsed="false">
      <c r="A20" s="0" t="s">
        <v>125</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126</v>
      </c>
      <c r="C21" s="0" t="n">
        <f aca="false">C19*C20</f>
        <v>7054.47000000001</v>
      </c>
      <c r="D21" s="0" t="n">
        <f aca="false">D19*D20</f>
        <v>39318.7037854834</v>
      </c>
      <c r="E21" s="0" t="n">
        <f aca="false">E19*E20</f>
        <v>64276.2200956702</v>
      </c>
      <c r="F21" s="0" t="n">
        <f aca="false">F19*F20</f>
        <v>82137.9722823582</v>
      </c>
      <c r="G21" s="0" t="n">
        <f aca="false">G19*G20</f>
        <v>90507.5836850951</v>
      </c>
      <c r="H21" s="0" t="n">
        <f aca="false">H19*H20</f>
        <v>94893.1413268549</v>
      </c>
      <c r="I21" s="0" t="n">
        <f aca="false">I19*I20</f>
        <v>91325.9716065265</v>
      </c>
      <c r="J21" s="0" t="n">
        <f aca="false">J19*J20</f>
        <v>86631.6459632003</v>
      </c>
      <c r="K21" s="0" t="n">
        <f aca="false">K19*K20</f>
        <v>82178.6174323816</v>
      </c>
      <c r="L21" s="0" t="n">
        <f aca="false">L19*L20</f>
        <v>77954.4828914648</v>
      </c>
    </row>
    <row r="23" customFormat="false" ht="15" hidden="false" customHeight="false" outlineLevel="0" collapsed="false">
      <c r="A23" s="0" t="s">
        <v>102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Assumptions!$B$48</f>
        <v>7</v>
      </c>
    </row>
    <row r="28" customFormat="false" ht="15" hidden="false" customHeight="false" outlineLevel="0" collapsed="false">
      <c r="A28" s="0" t="s">
        <v>107</v>
      </c>
      <c r="B28" s="4" t="n">
        <f aca="false">Assumptions!$B$49</f>
        <v>1.5</v>
      </c>
    </row>
    <row r="29" customFormat="false" ht="15" hidden="false" customHeight="false" outlineLevel="0" collapsed="false">
      <c r="A29" s="0" t="s">
        <v>108</v>
      </c>
      <c r="B29" s="4" t="n">
        <f aca="false">Assumptions!$B$50</f>
        <v>15</v>
      </c>
    </row>
    <row r="30" customFormat="false" ht="15" hidden="false" customHeight="false" outlineLevel="0" collapsed="false">
      <c r="A30" s="0" t="s">
        <v>129</v>
      </c>
      <c r="B30" s="0" t="n">
        <f aca="false">SUM(C21:L21)</f>
        <v>716278.809069035</v>
      </c>
    </row>
    <row r="31" customFormat="false" ht="15" hidden="false" customHeight="false" outlineLevel="0" collapsed="false">
      <c r="A31" s="0" t="s">
        <v>130</v>
      </c>
      <c r="B31" s="0" t="n">
        <f aca="false">L19</f>
        <v>153348.266826751</v>
      </c>
    </row>
    <row r="32" customFormat="false" ht="15" hidden="false" customHeight="false" outlineLevel="0" collapsed="false">
      <c r="A32" s="0" t="s">
        <v>131</v>
      </c>
      <c r="B32" s="0" t="n">
        <f aca="false">IF(B27&gt;B28,B31*(1+B28/100)/((B27-B28)/100),B31*B29)</f>
        <v>2829972.56053004</v>
      </c>
    </row>
    <row r="33" customFormat="false" ht="15" hidden="false" customHeight="false" outlineLevel="0" collapsed="false">
      <c r="A33" s="0" t="s">
        <v>132</v>
      </c>
      <c r="B33" s="0" t="n">
        <f aca="false">B31*B29</f>
        <v>2300224.00240127</v>
      </c>
    </row>
    <row r="34" customFormat="false" ht="15" hidden="false" customHeight="false" outlineLevel="0" collapsed="false">
      <c r="A34" s="0" t="s">
        <v>133</v>
      </c>
      <c r="B34" s="0" t="n">
        <f aca="false">MAX(0,MIN(B32,B33))</f>
        <v>2300224.00240127</v>
      </c>
    </row>
    <row r="35" customFormat="false" ht="15" hidden="false" customHeight="false" outlineLevel="0" collapsed="false">
      <c r="A35" s="0" t="s">
        <v>134</v>
      </c>
      <c r="B35" s="0" t="n">
        <f aca="false">B34/(1+B27/100)^L4</f>
        <v>1169317.24337197</v>
      </c>
    </row>
    <row r="36" customFormat="false" ht="15" hidden="false" customHeight="false" outlineLevel="0" collapsed="false">
      <c r="A36" s="0" t="s">
        <v>135</v>
      </c>
      <c r="B36" s="0" t="n">
        <f aca="false">B30+B35</f>
        <v>1885596.05244101</v>
      </c>
    </row>
    <row r="37" customFormat="false" ht="15" hidden="false" customHeight="false" outlineLevel="0" collapsed="false">
      <c r="A37" s="0" t="s">
        <v>136</v>
      </c>
      <c r="B37" s="0" t="n">
        <f aca="false">B36+Assumptions!$B$5-Assumptions!$B$4</f>
        <v>2219828.05244101</v>
      </c>
    </row>
    <row r="38" customFormat="false" ht="15" hidden="false" customHeight="false" outlineLevel="0" collapsed="false">
      <c r="A38" s="0" t="s">
        <v>137</v>
      </c>
      <c r="B38" s="0" t="n">
        <f aca="false">B37/Assumptions!$B$3*Assumptions!$B$10</f>
        <v>1633.80024320559</v>
      </c>
    </row>
    <row r="39" customFormat="false" ht="15" hidden="false" customHeight="false" outlineLevel="0" collapsed="false">
      <c r="A39" s="0" t="s">
        <v>138</v>
      </c>
      <c r="B39" s="4" t="n">
        <f aca="false">B38/Assumptions!$B$2-1</f>
        <v>0.396410464278284</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1633.80024320559</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1152951.78391965</v>
      </c>
    </row>
    <row r="47" customFormat="false" ht="15" hidden="false" customHeight="false" outlineLevel="0" collapsed="false">
      <c r="A47" s="0" t="s">
        <v>143</v>
      </c>
      <c r="B47" s="0" t="n">
        <f aca="false">(SUMPRODUCT(C19:L19/(1+B45/100)^C4:L4)+B46/(1+B45/100)^L4+Assumptions!$B$5-Assumptions!$B$4)/Assumptions!$B$3*Assumptions!$B$10</f>
        <v>796.708951295118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418.414477899414</v>
      </c>
      <c r="C4" s="0" t="n">
        <f aca="false">B4/Assumptions!$B$2-1</f>
        <v>-0.642380788120159</v>
      </c>
      <c r="D4" s="4" t="n">
        <f aca="false">Assumptions!$B$24</f>
        <v>0.25</v>
      </c>
      <c r="E4" s="4" t="n">
        <f aca="false">DCF_Bear!$B$43</f>
        <v>418.414477899414</v>
      </c>
      <c r="F4" s="4" t="n">
        <f aca="false">DCF_Bear!$B$47</f>
        <v>311.839370870291</v>
      </c>
    </row>
    <row r="5" customFormat="false" ht="15" hidden="false" customHeight="false" outlineLevel="0" collapsed="false">
      <c r="A5" s="0" t="s">
        <v>152</v>
      </c>
      <c r="B5" s="4" t="n">
        <f aca="false">DCF_Base!$B$38</f>
        <v>925.313574503794</v>
      </c>
      <c r="C5" s="0" t="n">
        <f aca="false">B5/Assumptions!$B$2-1</f>
        <v>-0.209133697005305</v>
      </c>
      <c r="D5" s="4" t="n">
        <f aca="false">Assumptions!$B$38</f>
        <v>0.5</v>
      </c>
      <c r="E5" s="4" t="n">
        <f aca="false">DCF_Base!$B$43</f>
        <v>925.313574503794</v>
      </c>
      <c r="F5" s="4" t="n">
        <f aca="false">DCF_Base!$B$47</f>
        <v>510.034906642607</v>
      </c>
    </row>
    <row r="6" customFormat="false" ht="15" hidden="false" customHeight="false" outlineLevel="0" collapsed="false">
      <c r="A6" s="0" t="s">
        <v>153</v>
      </c>
      <c r="B6" s="4" t="n">
        <f aca="false">DCF_Bull!$B$38</f>
        <v>1633.80024320559</v>
      </c>
      <c r="C6" s="0" t="n">
        <f aca="false">B6/Assumptions!$B$2-1</f>
        <v>0.396410464278284</v>
      </c>
      <c r="D6" s="4" t="n">
        <f aca="false">Assumptions!$B$52</f>
        <v>0.25</v>
      </c>
      <c r="E6" s="4" t="n">
        <f aca="false">DCF_Bull!$B$43</f>
        <v>1633.80024320559</v>
      </c>
      <c r="F6" s="4" t="n">
        <f aca="false">DCF_Bull!$B$47</f>
        <v>796.708951295118</v>
      </c>
    </row>
    <row r="8" customFormat="false" ht="15" hidden="false" customHeight="false" outlineLevel="0" collapsed="false">
      <c r="A8" s="0" t="s">
        <v>154</v>
      </c>
      <c r="B8" s="0" t="n">
        <f aca="false">SUMPRODUCT(B4:B6,D4:D6)</f>
        <v>975.710467528149</v>
      </c>
    </row>
    <row r="9" customFormat="false" ht="15" hidden="false" customHeight="false" outlineLevel="0" collapsed="false">
      <c r="A9" s="0" t="s">
        <v>155</v>
      </c>
      <c r="B9" s="0" t="n">
        <f aca="false">SUMPRODUCT(E4:E6,D4:D6)</f>
        <v>975.710467528149</v>
      </c>
    </row>
    <row r="10" customFormat="false" ht="15" hidden="false" customHeight="false" outlineLevel="0" collapsed="false">
      <c r="A10" s="0" t="s">
        <v>156</v>
      </c>
      <c r="B10" s="0" t="n">
        <f aca="false">1-Assumptions!$B$2/B8</f>
        <v>-0.199126215140504</v>
      </c>
    </row>
    <row r="11" customFormat="false" ht="15" hidden="false" customHeight="false" outlineLevel="0" collapsed="false">
      <c r="A11" s="0" t="s">
        <v>157</v>
      </c>
      <c r="B11" s="0" t="str">
        <f aca="false">IF(ABS(B9-B8)&gt;0.01*ABS(B8),(Assumptions!$B$2-B8)/(B9-B8)*100,"n/a")</f>
        <v>n/a</v>
      </c>
    </row>
    <row r="12" customFormat="false" ht="15" hidden="false" customHeight="false" outlineLevel="0" collapsed="false">
      <c r="A12" s="0" t="s">
        <v>158</v>
      </c>
      <c r="B12" s="0" t="n">
        <f aca="false">SUMPRODUCT(F4:F6,D4:D6)</f>
        <v>532.154533862656</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925.313574503794</v>
      </c>
      <c r="C15" s="3" t="n">
        <v>7</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788.880866729212</v>
      </c>
      <c r="C16" s="3" t="n">
        <v>9</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715.389098042694</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657.057824394236</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609.730395018242</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510.034906642607</v>
      </c>
      <c r="C20" s="3" t="n">
        <v>15</v>
      </c>
    </row>
    <row r="22" customFormat="false" ht="15" hidden="false" customHeight="false" outlineLevel="0" collapsed="false">
      <c r="A22" s="2" t="s">
        <v>167</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1048.30696173944</v>
      </c>
      <c r="C24" s="0" t="n">
        <f aca="false">(SUMPRODUCT(DCF_Base!$C$19:$L$19/(1+$A$24/100)^DCF_Base!$C$4:$L$4)+MAX(0,MIN(IF($A$24&gt;$C$23,DCF_Base!$L$19*(1+$C$23/100)/(($A$24-$C$23)/100),DCF_Base!$L$19*DCF_Base!$B$29),DCF_Base!$L$19*DCF_Base!$B$29))/(1+$A$24/100)^DCF_Base!$L$4+Assumptions!$B$5-Assumptions!$B$4)/Assumptions!$B$3*Assumptions!$B$10</f>
        <v>1048.30696173944</v>
      </c>
      <c r="D24" s="0" t="n">
        <f aca="false">(SUMPRODUCT(DCF_Base!$C$19:$L$19/(1+$A$24/100)^DCF_Base!$C$4:$L$4)+MAX(0,MIN(IF($A$24&gt;$D$23,DCF_Base!$L$19*(1+$D$23/100)/(($A$24-$D$23)/100),DCF_Base!$L$19*DCF_Base!$B$29),DCF_Base!$L$19*DCF_Base!$B$29))/(1+$A$24/100)^DCF_Base!$L$4+Assumptions!$B$5-Assumptions!$B$4)/Assumptions!$B$3*Assumptions!$B$10</f>
        <v>1048.30696173944</v>
      </c>
      <c r="E24" s="0" t="n">
        <f aca="false">(SUMPRODUCT(DCF_Base!$C$19:$L$19/(1+$A$24/100)^DCF_Base!$C$4:$L$4)+MAX(0,MIN(IF($A$24&gt;$E$23,DCF_Base!$L$19*(1+$E$23/100)/(($A$24-$E$23)/100),DCF_Base!$L$19*DCF_Base!$B$29),DCF_Base!$L$19*DCF_Base!$B$29))/(1+$A$24/100)^DCF_Base!$L$4+Assumptions!$B$5-Assumptions!$B$4)/Assumptions!$B$3*Assumptions!$B$10</f>
        <v>1048.30696173944</v>
      </c>
      <c r="F24" s="0" t="n">
        <f aca="false">(SUMPRODUCT(DCF_Base!$C$19:$L$19/(1+$A$24/100)^DCF_Base!$C$4:$L$4)+MAX(0,MIN(IF($A$24&gt;$F$23,DCF_Base!$L$19*(1+$F$23/100)/(($A$24-$F$23)/100),DCF_Base!$L$19*DCF_Base!$B$29),DCF_Base!$L$19*DCF_Base!$B$29))/(1+$A$24/100)^DCF_Base!$L$4+Assumptions!$B$5-Assumptions!$B$4)/Assumptions!$B$3*Assumptions!$B$10</f>
        <v>1048.30696173944</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983.831873112198</v>
      </c>
      <c r="C25" s="0" t="n">
        <f aca="false">(SUMPRODUCT(DCF_Base!$C$19:$L$19/(1+$A$25/100)^DCF_Base!$C$4:$L$4)+MAX(0,MIN(IF($A$25&gt;$C$23,DCF_Base!$L$19*(1+$C$23/100)/(($A$25-$C$23)/100),DCF_Base!$L$19*DCF_Base!$B$29),DCF_Base!$L$19*DCF_Base!$B$29))/(1+$A$25/100)^DCF_Base!$L$4+Assumptions!$B$5-Assumptions!$B$4)/Assumptions!$B$3*Assumptions!$B$10</f>
        <v>983.831873112198</v>
      </c>
      <c r="D25" s="0" t="n">
        <f aca="false">(SUMPRODUCT(DCF_Base!$C$19:$L$19/(1+$A$25/100)^DCF_Base!$C$4:$L$4)+MAX(0,MIN(IF($A$25&gt;$D$23,DCF_Base!$L$19*(1+$D$23/100)/(($A$25-$D$23)/100),DCF_Base!$L$19*DCF_Base!$B$29),DCF_Base!$L$19*DCF_Base!$B$29))/(1+$A$25/100)^DCF_Base!$L$4+Assumptions!$B$5-Assumptions!$B$4)/Assumptions!$B$3*Assumptions!$B$10</f>
        <v>983.831873112198</v>
      </c>
      <c r="E25" s="0" t="n">
        <f aca="false">(SUMPRODUCT(DCF_Base!$C$19:$L$19/(1+$A$25/100)^DCF_Base!$C$4:$L$4)+MAX(0,MIN(IF($A$25&gt;$E$23,DCF_Base!$L$19*(1+$E$23/100)/(($A$25-$E$23)/100),DCF_Base!$L$19*DCF_Base!$B$29),DCF_Base!$L$19*DCF_Base!$B$29))/(1+$A$25/100)^DCF_Base!$L$4+Assumptions!$B$5-Assumptions!$B$4)/Assumptions!$B$3*Assumptions!$B$10</f>
        <v>983.831873112198</v>
      </c>
      <c r="F25" s="0" t="n">
        <f aca="false">(SUMPRODUCT(DCF_Base!$C$19:$L$19/(1+$A$25/100)^DCF_Base!$C$4:$L$4)+MAX(0,MIN(IF($A$25&gt;$F$23,DCF_Base!$L$19*(1+$F$23/100)/(($A$25-$F$23)/100),DCF_Base!$L$19*DCF_Base!$B$29),DCF_Base!$L$19*DCF_Base!$B$29))/(1+$A$25/100)^DCF_Base!$L$4+Assumptions!$B$5-Assumptions!$B$4)/Assumptions!$B$3*Assumptions!$B$10</f>
        <v>983.831873112198</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925.313574503794</v>
      </c>
      <c r="C26" s="0" t="n">
        <f aca="false">(SUMPRODUCT(DCF_Base!$C$19:$L$19/(1+$A$26/100)^DCF_Base!$C$4:$L$4)+MAX(0,MIN(IF($A$26&gt;$C$23,DCF_Base!$L$19*(1+$C$23/100)/(($A$26-$C$23)/100),DCF_Base!$L$19*DCF_Base!$B$29),DCF_Base!$L$19*DCF_Base!$B$29))/(1+$A$26/100)^DCF_Base!$L$4+Assumptions!$B$5-Assumptions!$B$4)/Assumptions!$B$3*Assumptions!$B$10</f>
        <v>925.313574503794</v>
      </c>
      <c r="D26" s="0" t="n">
        <f aca="false">(SUMPRODUCT(DCF_Base!$C$19:$L$19/(1+$A$26/100)^DCF_Base!$C$4:$L$4)+MAX(0,MIN(IF($A$26&gt;$D$23,DCF_Base!$L$19*(1+$D$23/100)/(($A$26-$D$23)/100),DCF_Base!$L$19*DCF_Base!$B$29),DCF_Base!$L$19*DCF_Base!$B$29))/(1+$A$26/100)^DCF_Base!$L$4+Assumptions!$B$5-Assumptions!$B$4)/Assumptions!$B$3*Assumptions!$B$10</f>
        <v>925.313574503794</v>
      </c>
      <c r="E26" s="0" t="n">
        <f aca="false">(SUMPRODUCT(DCF_Base!$C$19:$L$19/(1+$A$26/100)^DCF_Base!$C$4:$L$4)+MAX(0,MIN(IF($A$26&gt;$E$23,DCF_Base!$L$19*(1+$E$23/100)/(($A$26-$E$23)/100),DCF_Base!$L$19*DCF_Base!$B$29),DCF_Base!$L$19*DCF_Base!$B$29))/(1+$A$26/100)^DCF_Base!$L$4+Assumptions!$B$5-Assumptions!$B$4)/Assumptions!$B$3*Assumptions!$B$10</f>
        <v>925.313574503794</v>
      </c>
      <c r="F26" s="0" t="n">
        <f aca="false">(SUMPRODUCT(DCF_Base!$C$19:$L$19/(1+$A$26/100)^DCF_Base!$C$4:$L$4)+MAX(0,MIN(IF($A$26&gt;$F$23,DCF_Base!$L$19*(1+$F$23/100)/(($A$26-$F$23)/100),DCF_Base!$L$19*DCF_Base!$B$29),DCF_Base!$L$19*DCF_Base!$B$29))/(1+$A$26/100)^DCF_Base!$L$4+Assumptions!$B$5-Assumptions!$B$4)/Assumptions!$B$3*Assumptions!$B$10</f>
        <v>925.313574503794</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830.401593131965</v>
      </c>
      <c r="C27" s="0" t="n">
        <f aca="false">(SUMPRODUCT(DCF_Base!$C$19:$L$19/(1+$A$27/100)^DCF_Base!$C$4:$L$4)+MAX(0,MIN(IF($A$27&gt;$C$23,DCF_Base!$L$19*(1+$C$23/100)/(($A$27-$C$23)/100),DCF_Base!$L$19*DCF_Base!$B$29),DCF_Base!$L$19*DCF_Base!$B$29))/(1+$A$27/100)^DCF_Base!$L$4+Assumptions!$B$5-Assumptions!$B$4)/Assumptions!$B$3*Assumptions!$B$10</f>
        <v>855.445631240305</v>
      </c>
      <c r="D27" s="0" t="n">
        <f aca="false">(SUMPRODUCT(DCF_Base!$C$19:$L$19/(1+$A$27/100)^DCF_Base!$C$4:$L$4)+MAX(0,MIN(IF($A$27&gt;$D$23,DCF_Base!$L$19*(1+$D$23/100)/(($A$27-$D$23)/100),DCF_Base!$L$19*DCF_Base!$B$29),DCF_Base!$L$19*DCF_Base!$B$29))/(1+$A$27/100)^DCF_Base!$L$4+Assumptions!$B$5-Assumptions!$B$4)/Assumptions!$B$3*Assumptions!$B$10</f>
        <v>872.141656645865</v>
      </c>
      <c r="E27" s="0" t="n">
        <f aca="false">(SUMPRODUCT(DCF_Base!$C$19:$L$19/(1+$A$27/100)^DCF_Base!$C$4:$L$4)+MAX(0,MIN(IF($A$27&gt;$E$23,DCF_Base!$L$19*(1+$E$23/100)/(($A$27-$E$23)/100),DCF_Base!$L$19*DCF_Base!$B$29),DCF_Base!$L$19*DCF_Base!$B$29))/(1+$A$27/100)^DCF_Base!$L$4+Assumptions!$B$5-Assumptions!$B$4)/Assumptions!$B$3*Assumptions!$B$10</f>
        <v>872.141656645865</v>
      </c>
      <c r="F27" s="0" t="n">
        <f aca="false">(SUMPRODUCT(DCF_Base!$C$19:$L$19/(1+$A$27/100)^DCF_Base!$C$4:$L$4)+MAX(0,MIN(IF($A$27&gt;$F$23,DCF_Base!$L$19*(1+$F$23/100)/(($A$27-$F$23)/100),DCF_Base!$L$19*DCF_Base!$B$29),DCF_Base!$L$19*DCF_Base!$B$29))/(1+$A$27/100)^DCF_Base!$L$4+Assumptions!$B$5-Assumptions!$B$4)/Assumptions!$B$3*Assumptions!$B$10</f>
        <v>872.141656645865</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750.463426567812</v>
      </c>
      <c r="C28" s="0" t="n">
        <f aca="false">(SUMPRODUCT(DCF_Base!$C$19:$L$19/(1+$A$28/100)^DCF_Base!$C$4:$L$4)+MAX(0,MIN(IF($A$28&gt;$C$23,DCF_Base!$L$19*(1+$C$23/100)/(($A$28-$C$23)/100),DCF_Base!$L$19*DCF_Base!$B$29),DCF_Base!$L$19*DCF_Base!$B$29))/(1+$A$28/100)^DCF_Base!$L$4+Assumptions!$B$5-Assumptions!$B$4)/Assumptions!$B$3*Assumptions!$B$10</f>
        <v>768.542221937883</v>
      </c>
      <c r="D28" s="0" t="n">
        <f aca="false">(SUMPRODUCT(DCF_Base!$C$19:$L$19/(1+$A$28/100)^DCF_Base!$C$4:$L$4)+MAX(0,MIN(IF($A$28&gt;$D$23,DCF_Base!$L$19*(1+$D$23/100)/(($A$28-$D$23)/100),DCF_Base!$L$19*DCF_Base!$B$29),DCF_Base!$L$19*DCF_Base!$B$29))/(1+$A$28/100)^DCF_Base!$L$4+Assumptions!$B$5-Assumptions!$B$4)/Assumptions!$B$3*Assumptions!$B$10</f>
        <v>788.880866729212</v>
      </c>
      <c r="E28" s="0" t="n">
        <f aca="false">(SUMPRODUCT(DCF_Base!$C$19:$L$19/(1+$A$28/100)^DCF_Base!$C$4:$L$4)+MAX(0,MIN(IF($A$28&gt;$E$23,DCF_Base!$L$19*(1+$E$23/100)/(($A$28-$E$23)/100),DCF_Base!$L$19*DCF_Base!$B$29),DCF_Base!$L$19*DCF_Base!$B$29))/(1+$A$28/100)^DCF_Base!$L$4+Assumptions!$B$5-Assumptions!$B$4)/Assumptions!$B$3*Assumptions!$B$10</f>
        <v>811.931330826052</v>
      </c>
      <c r="F28" s="0" t="n">
        <f aca="false">(SUMPRODUCT(DCF_Base!$C$19:$L$19/(1+$A$28/100)^DCF_Base!$C$4:$L$4)+MAX(0,MIN(IF($A$28&gt;$F$23,DCF_Base!$L$19*(1+$F$23/100)/(($A$28-$F$23)/100),DCF_Base!$L$19*DCF_Base!$B$29),DCF_Base!$L$19*DCF_Base!$B$29))/(1+$A$28/100)^DCF_Base!$L$4+Assumptions!$B$5-Assumptions!$B$4)/Assumptions!$B$3*Assumptions!$B$10</f>
        <v>823.773771095988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2026-10-31T01:06:43Z</dcterms:created>
  <dc:creator>openpyxl</dc:creator>
  <dc:description/>
  <dc:language>en-NZ</dc:language>
  <cp:lastModifiedBy/>
  <dcterms:modified xsi:type="dcterms:W3CDTF">2026-10-31T01:06:43Z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