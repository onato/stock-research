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<sst xmlns="http://schemas.openxmlformats.org/spreadsheetml/2006/main" count="387" uniqueCount="175">
  <si>
    <t xml:space="preserve">Ticker</t>
  </si>
  <si>
    <t xml:space="preserve">GS</t>
  </si>
  <si>
    <t xml:space="preserve">Company</t>
  </si>
  <si>
    <t xml:space="preserve">The Goldman Sachs Group, Inc.</t>
  </si>
  <si>
    <t xml:space="preserve">Valuation date</t>
  </si>
  <si>
    <t xml:space="preserve">2026-09-28</t>
  </si>
  <si>
    <t xml:space="preserve">Current price</t>
  </si>
  <si>
    <t xml:space="preserve">Price as of</t>
  </si>
  <si>
    <t xml:space="preserve">2026-09-25T20:00:02Z NYSE regular close (Friday); not an after-hours print</t>
  </si>
  <si>
    <t xml:space="preserve">Balance sheet date</t>
  </si>
  <si>
    <t xml:space="preserve">2026-06-30</t>
  </si>
  <si>
    <t xml:space="preserve">Model</t>
  </si>
  <si>
    <t xml:space="preserve">Bank FCFE capitalisation at cost of equity (engine route; earnings after regulatory capital retention, net debt zero, preferred stock deducted in the equity bridge)</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</si>
  <si>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</si>
  <si>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</si>
  <si>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</si>
  <si>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</si>
  <si>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</si>
  <si>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</si>
  <si>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</si>
  <si>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</si>
  <si>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2026-09-28T09:02:05Z</t>
  </si>
  <si>
    <t xml:space="preserve">Drivers file</t>
  </si>
  <si>
    <t xml:space="preserve">GS_Drivers.json</t>
  </si>
  <si>
    <t xml:space="preserve">Convention</t>
  </si>
  <si>
    <t xml:space="preserve">Percents stored as percents; formulas divide by 100. Blue = input, green = link, black = formula.</t>
  </si>
  <si>
    <t xml:space="preserve">Methodology</t>
  </si>
  <si>
    <t xml:space="preserve">summary: Value a bank on the cash it can distribute to common shareholders after funding its own capital requirement, discounted at the cost of equity -- never on operating cash flow, EBITDA or an enterprise value less net debt, none of which exist in a usable form for a G-SIB. Anchor on a mid-cycle margin rather than the record year, charge share-based compensation as the real expense it is (inside comp), hold the share count flat so buybacks are not counted twice, and deduct the preferred stock as the senior claim. The valuation asks what a permanent owner earns; the market's ~2.8x tangible book is a bet that FY2026's ~23% ROTE is the new normal.
key_risks_to_valuation: Cyclical peak in the anchor year: H1-2026 net revenues were +27% YoY with records in Equities and debt underwriting; the base already normalises FY2027 down 5%, but a FY2022-style -20% would take the value toward the bear case; Mid-cycle margin judgment: each 1pp of sustained pre-tax margin is worth roughly $20-25/share; the model's 33-34.5% sits above the FY2019-25 average and below the FY2024-26 run-rate; Retention assumption: if final Basel III / FRTB rules land harsher than the March 2026 re-proposal, or the G-SIB surcharge rises, more than 1.3x g of revenue growth must be retained and distributable cash falls; Private credit growth toward $300bn by 2029 adds a less liquid, credit-sensitive book whose losses have not been tested through a cycle; Cost of equity: at 9.5% instead of 10.5% the base value rises ~15%; at 11.5% it falls ~12%; the single 10.5% rate carries no scenario-specific premium; Goodwill and intangibles rose ~$2.5bn in H1-2026 (an acquisition not visible in the extracted data); tangible book and the ROTE cross-check should be re-checked against the Q2-26 10-Q note; Litigation / regulatory enforcement (1MDB precedent) and Apple Card partnership outcomes are not modelled as explicit charges</t>
  </si>
  <si>
    <t xml:space="preserve">Data sources</t>
  </si>
  <si>
    <t xml:space="preserve">price: Yahoo Finance chart API (regularMarketPrice) at inputs.price_as_of; 52-week range 740.01-1153.99
financials: research/GS/Reports/GS_Metrics.csv (SEC XBRL-derived, 97 periods) for net income, equity, weighted diluted shares, SBC, DPS; SEC companyfacts API CIK 0000886982 (10-K FY2025 filed 2026-02-25, 10-Q Q2-2026 filed 2026-08-03) for net revenues (RevenuesNetOfInterestExpense), pre-tax earnings, income tax, net income to common, preferred dividends and stock, goodwill, intangibles, unsecured long-term debt, deposits, repurchases, dividends declared, common shares outstanding
qualitative: research/GS/Reports/GS_Analysis.json (2026-09-28): segments, Q2-2026 results, FY2026 guidance (alternatives fundraising &gt;$125bn, private credit $300bn by 2029, dividend $5.00 from Q3-26), Basel III March 2026 re-proposal, bull/bear cases
method: .claude/skills/dcf-methods/SKILL.md routing (bank -&gt; residual income on tangible book), implemented as its FCFE clean-surplus equivalent on the component engine per the NAB.AX / IAG.AX / GL precedent</t>
  </si>
  <si>
    <t xml:space="preserve">Scenario narrative: bear</t>
  </si>
  <si>
    <t xml:space="preserve">A 2022-23 style reversal: FY2027 net revenues -15% and FY2028 -5% as the IPO window, AI-capex financing and M&amp;A slow together; pre-tax margin drops to 24-26% on sticky non-comp expense and rising private-credit/card provisions; final Basel III / FRTB rules come in tougher than the March 2026 re-proposal, so capital is retained rather than released through the downturn and the recovered margin is capped at ~31%. Revenue only regains the FY2026 level by FY2036.</t>
  </si>
  <si>
    <t xml:space="preserve">Scenario narrative: base</t>
  </si>
  <si>
    <t xml:space="preserve">Mid-cycle: FY2026 is a record year and the model does not compound from it. Net revenues fall 5% in FY2027 and are flat in FY2028, then grow ~4% tapering to 2.5% as alternatives, private credit and financing offset the cyclicality of IB and markets. Pre-tax margin settles at 33-34.5% (FY2019-25 average 32.3%), tax 21%, ~15-20% of earnings retained to fund RWA growth with the rest distributed, all capitalised at a 10.5% USD cost of equity. Implies a mid-cycle ROTE of ~16-17% and a fair P/TBV of ~1.8-2.0x.</t>
  </si>
  <si>
    <t xml:space="preserve">Scenario narrative: bull</t>
  </si>
  <si>
    <t xml:space="preserve">The capital-markets upcycle is structural rather than cyclical: AI-infrastructure financing, a permissive M&amp;A regime and the Basel III recalibration keep Global Banking &amp; Markets at record levels while Goldman Sachs Alternatives and private credit scale to management's 2029 targets. Revenue grows 5-6% through the decade, pre-tax margin holds at 39-40% (near the FY2021 peak), ROTE ~22%. This is roughly what the market price already discounts.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</si>
  <si>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</si>
  <si>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</si>
  <si>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</si>
  <si>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</si>
  <si>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</si>
  <si>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</si>
  <si>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</si>
  <si>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</si>
  <si>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</si>
  <si>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</si>
  <si>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</si>
  <si>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</si>
  <si>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</si>
  <si>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</si>
  <si>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</si>
  <si>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</si>
  <si>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</si>
  <si>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</si>
  <si>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</si>
  <si>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</si>
  <si>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</si>
  <si>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</si>
  <si>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</si>
  <si>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</si>
  <si>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</si>
  <si>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</si>
  <si>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</si>
  <si>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</si>
  <si>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</si>
  <si>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</si>
  <si>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</si>
  <si>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</si>
  <si>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</si>
  <si>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</si>
  <si>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</si>
  <si>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</si>
  <si>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</si>
  <si>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</si>
  <si>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</si>
  <si>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</si>
  <si>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</si>
  <si>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</si>
  <si>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</si>
  <si>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</si>
  <si>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</si>
  <si>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</si>
  <si>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</si>
  <si>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</si>
  <si>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</si>
  <si>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</si>
  <si>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</si>
  <si>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</si>
  <si>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</si>
  <si>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</si>
  <si>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</si>
  <si>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t>
  </si>
  <si>
    <t xml:space="preserve">Currency / units</t>
  </si>
  <si>
    <t xml:space="preserve">USD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</si>
  <si>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</si>
  <si>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</si>
  <si>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</si>
  <si>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</si>
  <si>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</si>
  <si>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</si>
  <si>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</si>
  <si>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</si>
  <si>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</si>
  <si>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</si>
  <si>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</si>
  <si>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</si>
  <si>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</si>
  <si>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</si>
  <si>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</si>
  <si>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</si>
  <si>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</si>
  <si>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</si>
  <si>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</si>
  <si>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</si>
  <si>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</si>
  <si>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</si>
  <si>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</si>
  <si>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</si>
  <si>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</si>
  <si>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</si>
  <si>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GS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</si>
  <si>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</si>
  <si>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</si>
  <si>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</si>
  <si>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</si>
  <si>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</si>
  <si>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</si>
  <si>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</si>
  <si>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</si>
  <si>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</si>
  <si>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</si>
  <si>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</si>
  <si>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</si>
  <si>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</si>
  <si>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</si>
  <si>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</si>
  <si>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</si>
  <si>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</si>
  <si>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</si>
  <si>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</si>
  <si>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</si>
  <si>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</si>
  <si>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</si>
  <si>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</si>
  <si>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</si>
  <si>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</si>
  <si>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</si>
  <si>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</si>
  <si>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</si>
  <si>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</si>
  <si>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</si>
  <si>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GS owner-FCF component DCF: base case (millions, USD)</t>
  </si>
  <si>
    <t xml:space="preserve">GS owner-FCF component DCF: bull case (millions, USD)</t>
  </si>
  <si>
    <t xml:space="preserve">GS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</si>
  <si>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</si>
  <si>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</si>
  <si>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</si>
  <si>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</si>
  <si>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</si>
  <si>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</si>
  <si>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</si>
  <si>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</si>
  <si>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</si>
  <si>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</si>
  <si>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</si>
  <si>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</si>
  <si>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</si>
  <si>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</si>
  <si>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</si>
  <si>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</si>
  <si>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10.5%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</si>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</sst>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935.45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46.2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I2" s="0" t="n">
        <v>11599</v>
      </c>
      <c r="K2" s="0" t="n">
        <v>26.34</v>
      </c>
      <c r="T2" s="0" t="n">
        <v>461.2</v>
      </c>
      <c r="U2" s="0" t="n">
        <v>4465</v>
      </c>
      <c r="AA2" s="0" t="s">
        <v>17</v>
      </c>
      <c r="AB2" s="0" t="s">
        <v>14</v>
      </c>
    </row>
    <row r="3" customFormat="false" ht="15" hidden="false" customHeight="false" outlineLevel="0" collapsed="false">
      <c r="A3" s="0" t="s">
        <v>64</v>
      </c>
      <c r="I3" s="0" t="n">
        <v>2322</v>
      </c>
      <c r="K3" s="0" t="n">
        <v>4.67</v>
      </c>
      <c r="O3" s="0" t="n">
        <v>64369</v>
      </c>
      <c r="P3" s="0" t="n">
        <v>1112225</v>
      </c>
      <c r="T3" s="0" t="n">
        <v>456.2</v>
      </c>
      <c r="U3" s="0" t="n">
        <v>1611</v>
      </c>
      <c r="V3" s="0" t="n">
        <v>1.4</v>
      </c>
      <c r="AA3" s="0" t="s">
        <v>17</v>
      </c>
      <c r="AB3" s="0" t="s">
        <v>14</v>
      </c>
    </row>
    <row r="4" customFormat="false" ht="15" hidden="false" customHeight="false" outlineLevel="0" collapsed="false">
      <c r="A4" s="0" t="s">
        <v>65</v>
      </c>
      <c r="I4" s="0" t="n">
        <v>13385</v>
      </c>
      <c r="K4" s="0" t="n">
        <v>23.74</v>
      </c>
      <c r="O4" s="0" t="n">
        <v>70714</v>
      </c>
      <c r="P4" s="0" t="n">
        <v>848942</v>
      </c>
      <c r="Q4" s="0" t="n">
        <v>778228</v>
      </c>
      <c r="R4" s="0" t="n">
        <v>196288</v>
      </c>
      <c r="T4" s="0" t="n">
        <v>550.9</v>
      </c>
      <c r="U4" s="0" t="n">
        <v>2009</v>
      </c>
      <c r="V4" s="0" t="n">
        <v>1.05</v>
      </c>
      <c r="AA4" s="0" t="s">
        <v>17</v>
      </c>
      <c r="AB4" s="0" t="s">
        <v>14</v>
      </c>
    </row>
    <row r="5" customFormat="false" ht="15" hidden="false" customHeight="false" outlineLevel="0" collapsed="false">
      <c r="A5" s="0" t="s">
        <v>66</v>
      </c>
      <c r="I5" s="0" t="n">
        <v>8354</v>
      </c>
      <c r="K5" s="0" t="n">
        <v>14.15</v>
      </c>
      <c r="O5" s="0" t="n">
        <v>77356</v>
      </c>
      <c r="P5" s="0" t="n">
        <v>911332</v>
      </c>
      <c r="Q5" s="0" t="n">
        <v>833976</v>
      </c>
      <c r="R5" s="0" t="n">
        <v>188247</v>
      </c>
      <c r="S5" s="0" t="n">
        <v>39788</v>
      </c>
      <c r="T5" s="0" t="n">
        <v>585.3</v>
      </c>
      <c r="U5" s="0" t="n">
        <v>4035</v>
      </c>
      <c r="V5" s="0" t="n">
        <v>1.4</v>
      </c>
      <c r="AA5" s="0" t="s">
        <v>17</v>
      </c>
      <c r="AB5" s="0" t="s">
        <v>14</v>
      </c>
    </row>
    <row r="6" customFormat="false" ht="15" hidden="false" customHeight="false" outlineLevel="0" collapsed="false">
      <c r="A6" s="0" t="s">
        <v>67</v>
      </c>
      <c r="I6" s="0" t="n">
        <v>4442</v>
      </c>
      <c r="K6" s="0" t="n">
        <v>4.71</v>
      </c>
      <c r="M6" s="0" t="n">
        <v>1184</v>
      </c>
      <c r="O6" s="0" t="n">
        <v>70379</v>
      </c>
      <c r="P6" s="0" t="n">
        <v>923225</v>
      </c>
      <c r="Q6" s="0" t="n">
        <v>852846</v>
      </c>
      <c r="R6" s="0" t="n">
        <v>181724</v>
      </c>
      <c r="S6" s="0" t="n">
        <v>56008</v>
      </c>
      <c r="T6" s="0" t="n">
        <v>556.9</v>
      </c>
      <c r="U6" s="0" t="n">
        <v>2849</v>
      </c>
      <c r="AA6" s="0" t="s">
        <v>17</v>
      </c>
      <c r="AB6" s="0" t="s">
        <v>14</v>
      </c>
    </row>
    <row r="7" customFormat="false" ht="15" hidden="false" customHeight="false" outlineLevel="0" collapsed="false">
      <c r="A7" s="0" t="s">
        <v>68</v>
      </c>
      <c r="I7" s="0" t="n">
        <v>7475</v>
      </c>
      <c r="K7" s="0" t="n">
        <v>14.63</v>
      </c>
      <c r="M7" s="0" t="n">
        <v>961</v>
      </c>
      <c r="O7" s="0" t="n">
        <v>75716</v>
      </c>
      <c r="P7" s="0" t="n">
        <v>938555</v>
      </c>
      <c r="Q7" s="0" t="n">
        <v>862839</v>
      </c>
      <c r="R7" s="0" t="n">
        <v>176270</v>
      </c>
      <c r="S7" s="0" t="n">
        <v>72669</v>
      </c>
      <c r="T7" s="0" t="n">
        <v>516.1</v>
      </c>
      <c r="U7" s="0" t="n">
        <v>1319</v>
      </c>
      <c r="V7" s="0" t="n">
        <v>1.77</v>
      </c>
      <c r="AA7" s="0" t="s">
        <v>17</v>
      </c>
      <c r="AB7" s="0" t="s">
        <v>14</v>
      </c>
    </row>
    <row r="8" customFormat="false" ht="15" hidden="false" customHeight="false" outlineLevel="0" collapsed="false">
      <c r="A8" s="0" t="s">
        <v>69</v>
      </c>
      <c r="I8" s="0" t="n">
        <v>8040</v>
      </c>
      <c r="K8" s="0" t="n">
        <v>16.34</v>
      </c>
      <c r="M8" s="0" t="n">
        <v>706</v>
      </c>
      <c r="O8" s="0" t="n">
        <v>78467</v>
      </c>
      <c r="P8" s="0" t="n">
        <v>911124</v>
      </c>
      <c r="Q8" s="0" t="n">
        <v>833040</v>
      </c>
      <c r="R8" s="0" t="n">
        <v>168489</v>
      </c>
      <c r="S8" s="0" t="n">
        <v>78867</v>
      </c>
      <c r="T8" s="0" t="n">
        <v>499.6</v>
      </c>
      <c r="U8" s="0" t="n">
        <v>2015</v>
      </c>
      <c r="V8" s="0" t="n">
        <v>2.05</v>
      </c>
      <c r="AA8" s="0" t="s">
        <v>17</v>
      </c>
      <c r="AB8" s="0" t="s">
        <v>14</v>
      </c>
    </row>
    <row r="9" customFormat="false" ht="15" hidden="false" customHeight="false" outlineLevel="0" collapsed="false">
      <c r="A9" s="0" t="s">
        <v>70</v>
      </c>
      <c r="I9" s="0" t="n">
        <v>8477</v>
      </c>
      <c r="K9" s="0" t="n">
        <v>17.55</v>
      </c>
      <c r="M9" s="0" t="n">
        <v>678</v>
      </c>
      <c r="O9" s="0" t="n">
        <v>82797</v>
      </c>
      <c r="P9" s="0" t="n">
        <v>855842</v>
      </c>
      <c r="Q9" s="0" t="n">
        <v>773045</v>
      </c>
      <c r="R9" s="0" t="n">
        <v>174551</v>
      </c>
      <c r="S9" s="0" t="n">
        <v>75025</v>
      </c>
      <c r="T9" s="0" t="n">
        <v>473.2</v>
      </c>
      <c r="U9" s="0" t="n">
        <v>2085</v>
      </c>
      <c r="V9" s="0" t="n">
        <v>2.25</v>
      </c>
      <c r="AA9" s="0" t="s">
        <v>17</v>
      </c>
      <c r="AB9" s="0" t="s">
        <v>14</v>
      </c>
    </row>
    <row r="10" customFormat="false" ht="15" hidden="false" customHeight="false" outlineLevel="0" collapsed="false">
      <c r="A10" s="0" t="s">
        <v>71</v>
      </c>
      <c r="I10" s="0" t="n">
        <v>6083</v>
      </c>
      <c r="K10" s="0" t="n">
        <v>12.35</v>
      </c>
      <c r="M10" s="0" t="n">
        <v>1833</v>
      </c>
      <c r="O10" s="0" t="n">
        <v>86728</v>
      </c>
      <c r="P10" s="0" t="n">
        <v>861395</v>
      </c>
      <c r="Q10" s="0" t="n">
        <v>774667</v>
      </c>
      <c r="R10" s="0" t="n">
        <v>185942</v>
      </c>
      <c r="S10" s="0" t="n">
        <v>93439</v>
      </c>
      <c r="T10" s="0" t="n">
        <v>458.6</v>
      </c>
      <c r="U10" s="0" t="n">
        <v>2272</v>
      </c>
      <c r="V10" s="0" t="n">
        <v>2.55</v>
      </c>
      <c r="AA10" s="0" t="s">
        <v>17</v>
      </c>
      <c r="AB10" s="0" t="s">
        <v>14</v>
      </c>
    </row>
    <row r="11" customFormat="false" ht="15" hidden="false" customHeight="false" outlineLevel="0" collapsed="false">
      <c r="A11" s="0" t="s">
        <v>72</v>
      </c>
      <c r="I11" s="0" t="n">
        <v>7398</v>
      </c>
      <c r="K11" s="0" t="n">
        <v>16.53</v>
      </c>
      <c r="L11" s="0" t="n">
        <v>6494</v>
      </c>
      <c r="M11" s="0" t="n">
        <v>2865</v>
      </c>
      <c r="N11" s="0" t="n">
        <v>3629</v>
      </c>
      <c r="O11" s="0" t="n">
        <v>86893</v>
      </c>
      <c r="P11" s="0" t="n">
        <v>860165</v>
      </c>
      <c r="Q11" s="0" t="n">
        <v>773272</v>
      </c>
      <c r="R11" s="0" t="n">
        <v>197491</v>
      </c>
      <c r="S11" s="0" t="n">
        <v>121711</v>
      </c>
      <c r="T11" s="0" t="n">
        <v>435.1</v>
      </c>
      <c r="U11" s="0" t="n">
        <v>2111</v>
      </c>
      <c r="V11" s="0" t="n">
        <v>2.6</v>
      </c>
      <c r="AA11" s="0" t="s">
        <v>17</v>
      </c>
      <c r="AB11" s="0" t="s">
        <v>14</v>
      </c>
    </row>
    <row r="12" customFormat="false" ht="15" hidden="false" customHeight="false" outlineLevel="0" collapsed="false">
      <c r="A12" s="0" t="s">
        <v>73</v>
      </c>
      <c r="I12" s="0" t="n">
        <v>4286</v>
      </c>
      <c r="K12" s="0" t="n">
        <v>9.12</v>
      </c>
      <c r="L12" s="0" t="n">
        <v>-20489</v>
      </c>
      <c r="M12" s="0" t="n">
        <v>3184</v>
      </c>
      <c r="N12" s="0" t="n">
        <v>-23673</v>
      </c>
      <c r="O12" s="0" t="n">
        <v>82243</v>
      </c>
      <c r="P12" s="0" t="n">
        <v>916776</v>
      </c>
      <c r="Q12" s="0" t="n">
        <v>834533</v>
      </c>
      <c r="R12" s="0" t="n">
        <v>227579</v>
      </c>
      <c r="S12" s="0" t="n">
        <v>110051</v>
      </c>
      <c r="T12" s="0" t="n">
        <v>409.1</v>
      </c>
      <c r="U12" s="0" t="n">
        <v>1769</v>
      </c>
      <c r="V12" s="0" t="n">
        <v>2.9</v>
      </c>
      <c r="AA12" s="0" t="s">
        <v>17</v>
      </c>
      <c r="AB12" s="0" t="s">
        <v>14</v>
      </c>
    </row>
    <row r="13" customFormat="false" ht="15" hidden="false" customHeight="false" outlineLevel="0" collapsed="false">
      <c r="A13" s="0" t="s">
        <v>74</v>
      </c>
      <c r="I13" s="0" t="n">
        <v>10459</v>
      </c>
      <c r="K13" s="0" t="n">
        <v>25.53</v>
      </c>
      <c r="L13" s="0" t="n">
        <v>16564</v>
      </c>
      <c r="M13" s="0" t="n">
        <v>7982</v>
      </c>
      <c r="N13" s="0" t="n">
        <v>8582</v>
      </c>
      <c r="O13" s="0" t="n">
        <v>90185</v>
      </c>
      <c r="P13" s="0" t="n">
        <v>931796</v>
      </c>
      <c r="Q13" s="0" t="n">
        <v>841611</v>
      </c>
      <c r="R13" s="0" t="n">
        <v>236027</v>
      </c>
      <c r="S13" s="0" t="n">
        <v>130547</v>
      </c>
      <c r="T13" s="0" t="n">
        <v>390.2</v>
      </c>
      <c r="U13" s="0" t="n">
        <v>1831</v>
      </c>
      <c r="V13" s="0" t="n">
        <v>3.15</v>
      </c>
      <c r="AA13" s="0" t="s">
        <v>17</v>
      </c>
      <c r="AB13" s="0" t="s">
        <v>14</v>
      </c>
    </row>
    <row r="14" customFormat="false" ht="15" hidden="false" customHeight="false" outlineLevel="0" collapsed="false">
      <c r="A14" s="0" t="s">
        <v>75</v>
      </c>
      <c r="I14" s="0" t="n">
        <v>8466</v>
      </c>
      <c r="K14" s="0" t="n">
        <v>21.18</v>
      </c>
      <c r="L14" s="0" t="n">
        <v>23868</v>
      </c>
      <c r="M14" s="0" t="n">
        <v>8443</v>
      </c>
      <c r="N14" s="0" t="n">
        <v>15425</v>
      </c>
      <c r="O14" s="0" t="n">
        <v>90265</v>
      </c>
      <c r="P14" s="0" t="n">
        <v>992968</v>
      </c>
      <c r="Q14" s="0" t="n">
        <v>902703</v>
      </c>
      <c r="S14" s="0" t="n">
        <v>133546</v>
      </c>
      <c r="T14" s="0" t="n">
        <v>375.5</v>
      </c>
      <c r="U14" s="0" t="n">
        <v>2018</v>
      </c>
      <c r="V14" s="0" t="n">
        <v>4.15</v>
      </c>
      <c r="AA14" s="0" t="s">
        <v>17</v>
      </c>
      <c r="AB14" s="0" t="s">
        <v>14</v>
      </c>
    </row>
    <row r="15" customFormat="false" ht="15" hidden="false" customHeight="false" outlineLevel="0" collapsed="false">
      <c r="A15" s="0" t="s">
        <v>76</v>
      </c>
      <c r="I15" s="0" t="n">
        <v>9459</v>
      </c>
      <c r="K15" s="0" t="n">
        <v>24.94</v>
      </c>
      <c r="L15" s="0" t="n">
        <v>-18535</v>
      </c>
      <c r="M15" s="0" t="n">
        <v>6309</v>
      </c>
      <c r="N15" s="0" t="n">
        <v>-24844</v>
      </c>
      <c r="O15" s="0" t="n">
        <v>95932</v>
      </c>
      <c r="P15" s="0" t="n">
        <v>1163028</v>
      </c>
      <c r="Q15" s="0" t="n">
        <v>1067096</v>
      </c>
      <c r="S15" s="0" t="n">
        <v>155842</v>
      </c>
      <c r="T15" s="0" t="n">
        <v>360.3</v>
      </c>
      <c r="U15" s="0" t="n">
        <v>1920</v>
      </c>
      <c r="V15" s="0" t="n">
        <v>5</v>
      </c>
      <c r="AA15" s="0" t="s">
        <v>17</v>
      </c>
      <c r="AB15" s="0" t="s">
        <v>14</v>
      </c>
    </row>
    <row r="16" customFormat="false" ht="15" hidden="false" customHeight="false" outlineLevel="0" collapsed="false">
      <c r="A16" s="0" t="s">
        <v>77</v>
      </c>
      <c r="I16" s="0" t="n">
        <v>21635</v>
      </c>
      <c r="K16" s="0" t="n">
        <v>60.25</v>
      </c>
      <c r="L16" s="0" t="n">
        <v>6298</v>
      </c>
      <c r="M16" s="0" t="n">
        <v>4667</v>
      </c>
      <c r="N16" s="0" t="n">
        <v>1631</v>
      </c>
      <c r="O16" s="0" t="n">
        <v>109926</v>
      </c>
      <c r="P16" s="0" t="n">
        <v>1463988</v>
      </c>
      <c r="Q16" s="0" t="n">
        <v>1354062</v>
      </c>
      <c r="S16" s="0" t="n">
        <v>261036</v>
      </c>
      <c r="T16" s="0" t="n">
        <v>355.8</v>
      </c>
      <c r="U16" s="0" t="n">
        <v>2348</v>
      </c>
      <c r="V16" s="0" t="n">
        <v>6.5</v>
      </c>
      <c r="AA16" s="0" t="s">
        <v>17</v>
      </c>
      <c r="AB16" s="0" t="s">
        <v>14</v>
      </c>
    </row>
    <row r="17" customFormat="false" ht="15" hidden="false" customHeight="false" outlineLevel="0" collapsed="false">
      <c r="A17" s="0" t="s">
        <v>78</v>
      </c>
      <c r="I17" s="0" t="n">
        <v>11261</v>
      </c>
      <c r="K17" s="0" t="n">
        <v>30.42</v>
      </c>
      <c r="L17" s="0" t="n">
        <v>8708</v>
      </c>
      <c r="M17" s="0" t="n">
        <v>3748</v>
      </c>
      <c r="N17" s="0" t="n">
        <v>4960</v>
      </c>
      <c r="O17" s="0" t="n">
        <v>117189</v>
      </c>
      <c r="P17" s="0" t="n">
        <v>1441799</v>
      </c>
      <c r="Q17" s="0" t="n">
        <v>1324610</v>
      </c>
      <c r="S17" s="0" t="n">
        <v>241825</v>
      </c>
      <c r="T17" s="0" t="n">
        <v>358.1</v>
      </c>
      <c r="U17" s="0" t="n">
        <v>4083</v>
      </c>
      <c r="V17" s="0" t="n">
        <v>9</v>
      </c>
      <c r="AA17" s="0" t="s">
        <v>17</v>
      </c>
      <c r="AB17" s="0" t="s">
        <v>14</v>
      </c>
    </row>
    <row r="18" customFormat="false" ht="15" hidden="false" customHeight="false" outlineLevel="0" collapsed="false">
      <c r="A18" s="0" t="s">
        <v>79</v>
      </c>
      <c r="I18" s="0" t="n">
        <v>8516</v>
      </c>
      <c r="K18" s="0" t="n">
        <v>23.05</v>
      </c>
      <c r="L18" s="0" t="n">
        <v>-12587</v>
      </c>
      <c r="M18" s="0" t="n">
        <v>2316</v>
      </c>
      <c r="N18" s="0" t="n">
        <v>-14903</v>
      </c>
      <c r="O18" s="0" t="n">
        <v>116905</v>
      </c>
      <c r="P18" s="0" t="n">
        <v>1641594</v>
      </c>
      <c r="Q18" s="0" t="n">
        <v>1524689</v>
      </c>
      <c r="S18" s="0" t="n">
        <v>241577</v>
      </c>
      <c r="T18" s="0" t="n">
        <v>345.8</v>
      </c>
      <c r="U18" s="0" t="n">
        <v>2085</v>
      </c>
      <c r="V18" s="0" t="n">
        <v>10.5</v>
      </c>
      <c r="AA18" s="0" t="s">
        <v>17</v>
      </c>
      <c r="AB18" s="0" t="s">
        <v>14</v>
      </c>
    </row>
    <row r="19" customFormat="false" ht="15" hidden="false" customHeight="false" outlineLevel="0" collapsed="false">
      <c r="A19" s="0" t="s">
        <v>80</v>
      </c>
      <c r="I19" s="0" t="n">
        <v>14276</v>
      </c>
      <c r="K19" s="0" t="n">
        <v>41.07</v>
      </c>
      <c r="L19" s="0" t="n">
        <v>-13212</v>
      </c>
      <c r="M19" s="0" t="n">
        <v>2091</v>
      </c>
      <c r="N19" s="0" t="n">
        <v>-15303</v>
      </c>
      <c r="O19" s="0" t="n">
        <v>121996</v>
      </c>
      <c r="P19" s="0" t="n">
        <v>1675972</v>
      </c>
      <c r="Q19" s="0" t="n">
        <v>1553976</v>
      </c>
      <c r="S19" s="0" t="n">
        <v>182092</v>
      </c>
      <c r="T19" s="0" t="n">
        <v>333.6</v>
      </c>
      <c r="U19" s="0" t="n">
        <v>2663</v>
      </c>
      <c r="V19" s="0" t="n">
        <v>11.5</v>
      </c>
      <c r="AA19" s="0" t="s">
        <v>17</v>
      </c>
      <c r="AB19" s="0" t="s">
        <v>14</v>
      </c>
    </row>
    <row r="20" customFormat="false" ht="15" hidden="false" customHeight="false" outlineLevel="0" collapsed="false">
      <c r="A20" s="0" t="s">
        <v>81</v>
      </c>
      <c r="I20" s="0" t="n">
        <v>17176</v>
      </c>
      <c r="K20" s="0" t="n">
        <v>51.95</v>
      </c>
      <c r="L20" s="0" t="n">
        <v>-45154</v>
      </c>
      <c r="M20" s="0" t="n">
        <v>2064</v>
      </c>
      <c r="N20" s="0" t="n">
        <v>-47218</v>
      </c>
      <c r="O20" s="0" t="n">
        <v>124972</v>
      </c>
      <c r="P20" s="0" t="n">
        <v>1809320</v>
      </c>
      <c r="Q20" s="0" t="n">
        <v>1684348</v>
      </c>
      <c r="S20" s="0" t="n">
        <v>164259</v>
      </c>
      <c r="T20" s="0" t="n">
        <v>317.6</v>
      </c>
      <c r="U20" s="0" t="n">
        <v>3445</v>
      </c>
      <c r="V20" s="0" t="n">
        <v>14</v>
      </c>
      <c r="AA20" s="0" t="s">
        <v>17</v>
      </c>
      <c r="AB20"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82</v>
      </c>
      <c r="B1" s="2" t="s">
        <v>83</v>
      </c>
    </row>
    <row r="2" customFormat="false" ht="15" hidden="false" customHeight="false" outlineLevel="0" collapsed="false">
      <c r="A2" s="0" t="s">
        <v>84</v>
      </c>
      <c r="B2" s="3" t="n">
        <v>935.45</v>
      </c>
    </row>
    <row r="3" customFormat="false" ht="15" hidden="false" customHeight="false" outlineLevel="0" collapsed="false">
      <c r="A3" s="0" t="s">
        <v>85</v>
      </c>
      <c r="B3" s="3" t="n">
        <v>303</v>
      </c>
    </row>
    <row r="4" customFormat="false" ht="15" hidden="false" customHeight="false" outlineLevel="0" collapsed="false">
      <c r="A4" s="0" t="s">
        <v>86</v>
      </c>
      <c r="B4" s="3" t="n">
        <v>0</v>
      </c>
    </row>
    <row r="5" customFormat="false" ht="15" hidden="false" customHeight="false" outlineLevel="0" collapsed="false">
      <c r="A5" s="0" t="s">
        <v>87</v>
      </c>
      <c r="B5" s="3" t="n">
        <v>-13028</v>
      </c>
    </row>
    <row r="6" customFormat="false" ht="15" hidden="false" customHeight="false" outlineLevel="0" collapsed="false">
      <c r="A6" s="0" t="s">
        <v>88</v>
      </c>
      <c r="B6" s="3" t="n">
        <v>15</v>
      </c>
    </row>
    <row r="7" customFormat="false" ht="15" hidden="false" customHeight="false" outlineLevel="0" collapsed="false">
      <c r="A7" s="0" t="s">
        <v>89</v>
      </c>
      <c r="B7" s="3" t="n">
        <v>72000</v>
      </c>
    </row>
    <row r="8" customFormat="false" ht="15" hidden="false" customHeight="false" outlineLevel="0" collapsed="false">
      <c r="A8" s="0" t="s">
        <v>90</v>
      </c>
      <c r="B8" s="3" t="s">
        <v>91</v>
      </c>
    </row>
    <row r="9" customFormat="false" ht="15" hidden="false" customHeight="false" outlineLevel="0" collapsed="false">
      <c r="A9" s="0" t="s">
        <v>92</v>
      </c>
      <c r="B9" s="3" t="s">
        <v>93</v>
      </c>
    </row>
    <row r="10" customFormat="false" ht="15" hidden="false" customHeight="false" outlineLevel="0" collapsed="false">
      <c r="A10" s="0" t="s">
        <v>94</v>
      </c>
      <c r="B10" s="3" t="n">
        <v>1</v>
      </c>
    </row>
    <row r="12" customFormat="false" ht="15" hidden="false" customHeight="false" outlineLevel="0" collapsed="false">
      <c r="A12" s="2" t="s">
        <v>95</v>
      </c>
      <c r="C12" s="2" t="s">
        <v>96</v>
      </c>
      <c r="D12" s="2" t="s">
        <v>97</v>
      </c>
      <c r="E12" s="2" t="s">
        <v>98</v>
      </c>
      <c r="F12" s="2" t="s">
        <v>99</v>
      </c>
      <c r="G12" s="2" t="s">
        <v>100</v>
      </c>
      <c r="H12" s="2" t="s">
        <v>101</v>
      </c>
      <c r="I12" s="2" t="s">
        <v>102</v>
      </c>
      <c r="J12" s="2" t="s">
        <v>103</v>
      </c>
      <c r="K12" s="2" t="s">
        <v>104</v>
      </c>
      <c r="L12" s="2" t="s">
        <v>105</v>
      </c>
    </row>
    <row r="13" customFormat="false" ht="15" hidden="false" customHeight="false" outlineLevel="0" collapsed="false">
      <c r="A13" s="0" t="s">
        <v>106</v>
      </c>
      <c r="C13" s="3" t="n">
        <v>-15</v>
      </c>
      <c r="D13" s="3" t="n">
        <v>-5</v>
      </c>
      <c r="E13" s="3" t="n">
        <v>3</v>
      </c>
      <c r="F13" s="3" t="n">
        <v>4</v>
      </c>
      <c r="G13" s="3" t="n">
        <v>4</v>
      </c>
      <c r="H13" s="3" t="n">
        <v>3</v>
      </c>
      <c r="I13" s="3" t="n">
        <v>3</v>
      </c>
      <c r="J13" s="3" t="n">
        <v>2.5</v>
      </c>
      <c r="K13" s="3" t="n">
        <v>2</v>
      </c>
      <c r="L13" s="3" t="n">
        <v>2</v>
      </c>
    </row>
    <row r="14" customFormat="false" ht="15" hidden="false" customHeight="false" outlineLevel="0" collapsed="false">
      <c r="A14" s="0" t="s">
        <v>107</v>
      </c>
      <c r="C14" s="3" t="n">
        <v>31</v>
      </c>
      <c r="D14" s="3" t="n">
        <v>29</v>
      </c>
      <c r="E14" s="3" t="n">
        <v>33</v>
      </c>
      <c r="F14" s="3" t="n">
        <v>35</v>
      </c>
      <c r="G14" s="3" t="n">
        <v>36</v>
      </c>
      <c r="H14" s="3" t="n">
        <v>36</v>
      </c>
      <c r="I14" s="3" t="n">
        <v>36</v>
      </c>
      <c r="J14" s="3" t="n">
        <v>36</v>
      </c>
      <c r="K14" s="3" t="n">
        <v>36</v>
      </c>
      <c r="L14" s="3" t="n">
        <v>36</v>
      </c>
    </row>
    <row r="15" customFormat="false" ht="15" hidden="false" customHeight="false" outlineLevel="0" collapsed="false">
      <c r="A15" s="0" t="s">
        <v>108</v>
      </c>
      <c r="C15" s="3" t="n">
        <v>5</v>
      </c>
      <c r="D15" s="3" t="n">
        <v>5</v>
      </c>
      <c r="E15" s="3" t="n">
        <v>5</v>
      </c>
      <c r="F15" s="3" t="n">
        <v>5</v>
      </c>
      <c r="G15" s="3" t="n">
        <v>5</v>
      </c>
      <c r="H15" s="3" t="n">
        <v>5</v>
      </c>
      <c r="I15" s="3" t="n">
        <v>5</v>
      </c>
      <c r="J15" s="3" t="n">
        <v>5</v>
      </c>
      <c r="K15" s="3" t="n">
        <v>5</v>
      </c>
      <c r="L15" s="3" t="n">
        <v>5</v>
      </c>
    </row>
    <row r="16" customFormat="false" ht="15" hidden="false" customHeight="false" outlineLevel="0" collapsed="false">
      <c r="A16" s="0" t="s">
        <v>109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110</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111</v>
      </c>
      <c r="C18" s="3" t="n">
        <v>3</v>
      </c>
      <c r="D18" s="3" t="n">
        <v>3</v>
      </c>
      <c r="E18" s="3" t="n">
        <v>3.9</v>
      </c>
      <c r="F18" s="3" t="n">
        <v>5.2</v>
      </c>
      <c r="G18" s="3" t="n">
        <v>5.2</v>
      </c>
      <c r="H18" s="3" t="n">
        <v>3.9</v>
      </c>
      <c r="I18" s="3" t="n">
        <v>3.9</v>
      </c>
      <c r="J18" s="3" t="n">
        <v>3.3</v>
      </c>
      <c r="K18" s="3" t="n">
        <v>2.6</v>
      </c>
      <c r="L18" s="3" t="n">
        <v>2.6</v>
      </c>
    </row>
    <row r="19" customFormat="false" ht="15" hidden="false" customHeight="false" outlineLevel="0" collapsed="false">
      <c r="A19" s="0" t="s">
        <v>112</v>
      </c>
      <c r="C19" s="3" t="n">
        <v>21</v>
      </c>
      <c r="D19" s="3" t="n">
        <v>21</v>
      </c>
      <c r="E19" s="3" t="n">
        <v>21</v>
      </c>
      <c r="F19" s="3" t="n">
        <v>21</v>
      </c>
      <c r="G19" s="3" t="n">
        <v>21</v>
      </c>
      <c r="H19" s="3" t="n">
        <v>21</v>
      </c>
      <c r="I19" s="3" t="n">
        <v>21</v>
      </c>
      <c r="J19" s="3" t="n">
        <v>21</v>
      </c>
      <c r="K19" s="3" t="n">
        <v>21</v>
      </c>
      <c r="L19" s="3" t="n">
        <v>21</v>
      </c>
    </row>
    <row r="20" customFormat="false" ht="15" hidden="false" customHeight="false" outlineLevel="0" collapsed="false">
      <c r="A20" s="0" t="s">
        <v>113</v>
      </c>
      <c r="B20" s="3" t="n">
        <v>10.5</v>
      </c>
    </row>
    <row r="21" customFormat="false" ht="15" hidden="false" customHeight="false" outlineLevel="0" collapsed="false">
      <c r="A21" s="0" t="s">
        <v>114</v>
      </c>
      <c r="B21" s="3" t="n">
        <v>2</v>
      </c>
    </row>
    <row r="22" customFormat="false" ht="15" hidden="false" customHeight="false" outlineLevel="0" collapsed="false">
      <c r="A22" s="0" t="s">
        <v>115</v>
      </c>
      <c r="B22" s="3" t="n">
        <v>14</v>
      </c>
    </row>
    <row r="23" customFormat="false" ht="15" hidden="false" customHeight="false" outlineLevel="0" collapsed="false">
      <c r="A23" s="0" t="s">
        <v>116</v>
      </c>
      <c r="B23" s="3" t="n">
        <v>0</v>
      </c>
    </row>
    <row r="24" customFormat="false" ht="15" hidden="false" customHeight="false" outlineLevel="0" collapsed="false">
      <c r="A24" s="0" t="s">
        <v>117</v>
      </c>
      <c r="B24" s="3" t="n">
        <v>0.25</v>
      </c>
    </row>
    <row r="26" customFormat="false" ht="15" hidden="false" customHeight="false" outlineLevel="0" collapsed="false">
      <c r="A26" s="2" t="s">
        <v>118</v>
      </c>
      <c r="C26" s="2" t="s">
        <v>96</v>
      </c>
      <c r="D26" s="2" t="s">
        <v>97</v>
      </c>
      <c r="E26" s="2" t="s">
        <v>98</v>
      </c>
      <c r="F26" s="2" t="s">
        <v>99</v>
      </c>
      <c r="G26" s="2" t="s">
        <v>100</v>
      </c>
      <c r="H26" s="2" t="s">
        <v>101</v>
      </c>
      <c r="I26" s="2" t="s">
        <v>102</v>
      </c>
      <c r="J26" s="2" t="s">
        <v>103</v>
      </c>
      <c r="K26" s="2" t="s">
        <v>104</v>
      </c>
      <c r="L26" s="2" t="s">
        <v>105</v>
      </c>
    </row>
    <row r="27" customFormat="false" ht="15" hidden="false" customHeight="false" outlineLevel="0" collapsed="false">
      <c r="A27" s="0" t="s">
        <v>106</v>
      </c>
      <c r="C27" s="3" t="n">
        <v>-5</v>
      </c>
      <c r="D27" s="3" t="n">
        <v>1</v>
      </c>
      <c r="E27" s="3" t="n">
        <v>4</v>
      </c>
      <c r="F27" s="3" t="n">
        <v>4</v>
      </c>
      <c r="G27" s="3" t="n">
        <v>3.5</v>
      </c>
      <c r="H27" s="3" t="n">
        <v>3.5</v>
      </c>
      <c r="I27" s="3" t="n">
        <v>3</v>
      </c>
      <c r="J27" s="3" t="n">
        <v>3</v>
      </c>
      <c r="K27" s="3" t="n">
        <v>2.5</v>
      </c>
      <c r="L27" s="3" t="n">
        <v>2.5</v>
      </c>
    </row>
    <row r="28" customFormat="false" ht="15" hidden="false" customHeight="false" outlineLevel="0" collapsed="false">
      <c r="A28" s="0" t="s">
        <v>107</v>
      </c>
      <c r="C28" s="3" t="n">
        <v>38</v>
      </c>
      <c r="D28" s="3" t="n">
        <v>38</v>
      </c>
      <c r="E28" s="3" t="n">
        <v>39</v>
      </c>
      <c r="F28" s="3" t="n">
        <v>39</v>
      </c>
      <c r="G28" s="3" t="n">
        <v>39.5</v>
      </c>
      <c r="H28" s="3" t="n">
        <v>39.5</v>
      </c>
      <c r="I28" s="3" t="n">
        <v>39.5</v>
      </c>
      <c r="J28" s="3" t="n">
        <v>39.5</v>
      </c>
      <c r="K28" s="3" t="n">
        <v>39.5</v>
      </c>
      <c r="L28" s="3" t="n">
        <v>39.5</v>
      </c>
    </row>
    <row r="29" customFormat="false" ht="15" hidden="false" customHeight="false" outlineLevel="0" collapsed="false">
      <c r="A29" s="0" t="s">
        <v>108</v>
      </c>
      <c r="C29" s="3" t="n">
        <v>5</v>
      </c>
      <c r="D29" s="3" t="n">
        <v>5</v>
      </c>
      <c r="E29" s="3" t="n">
        <v>5</v>
      </c>
      <c r="F29" s="3" t="n">
        <v>5</v>
      </c>
      <c r="G29" s="3" t="n">
        <v>5</v>
      </c>
      <c r="H29" s="3" t="n">
        <v>5</v>
      </c>
      <c r="I29" s="3" t="n">
        <v>5</v>
      </c>
      <c r="J29" s="3" t="n">
        <v>5</v>
      </c>
      <c r="K29" s="3" t="n">
        <v>5</v>
      </c>
      <c r="L29" s="3" t="n">
        <v>5</v>
      </c>
    </row>
    <row r="30" customFormat="false" ht="15" hidden="false" customHeight="false" outlineLevel="0" collapsed="false">
      <c r="A30" s="0" t="s">
        <v>109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110</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111</v>
      </c>
      <c r="C32" s="3" t="n">
        <v>1.5</v>
      </c>
      <c r="D32" s="3" t="n">
        <v>1.5</v>
      </c>
      <c r="E32" s="3" t="n">
        <v>5.2</v>
      </c>
      <c r="F32" s="3" t="n">
        <v>5.2</v>
      </c>
      <c r="G32" s="3" t="n">
        <v>4.6</v>
      </c>
      <c r="H32" s="3" t="n">
        <v>4.6</v>
      </c>
      <c r="I32" s="3" t="n">
        <v>3.9</v>
      </c>
      <c r="J32" s="3" t="n">
        <v>3.9</v>
      </c>
      <c r="K32" s="3" t="n">
        <v>3.3</v>
      </c>
      <c r="L32" s="3" t="n">
        <v>3.3</v>
      </c>
    </row>
    <row r="33" customFormat="false" ht="15" hidden="false" customHeight="false" outlineLevel="0" collapsed="false">
      <c r="A33" s="0" t="s">
        <v>112</v>
      </c>
      <c r="C33" s="3" t="n">
        <v>21</v>
      </c>
      <c r="D33" s="3" t="n">
        <v>21</v>
      </c>
      <c r="E33" s="3" t="n">
        <v>21</v>
      </c>
      <c r="F33" s="3" t="n">
        <v>21</v>
      </c>
      <c r="G33" s="3" t="n">
        <v>21</v>
      </c>
      <c r="H33" s="3" t="n">
        <v>21</v>
      </c>
      <c r="I33" s="3" t="n">
        <v>21</v>
      </c>
      <c r="J33" s="3" t="n">
        <v>21</v>
      </c>
      <c r="K33" s="3" t="n">
        <v>21</v>
      </c>
      <c r="L33" s="3" t="n">
        <v>21</v>
      </c>
    </row>
    <row r="34" customFormat="false" ht="15" hidden="false" customHeight="false" outlineLevel="0" collapsed="false">
      <c r="A34" s="0" t="s">
        <v>113</v>
      </c>
      <c r="B34" s="3" t="n">
        <v>10.5</v>
      </c>
    </row>
    <row r="35" customFormat="false" ht="15" hidden="false" customHeight="false" outlineLevel="0" collapsed="false">
      <c r="A35" s="0" t="s">
        <v>114</v>
      </c>
      <c r="B35" s="3" t="n">
        <v>2.5</v>
      </c>
    </row>
    <row r="36" customFormat="false" ht="15" hidden="false" customHeight="false" outlineLevel="0" collapsed="false">
      <c r="A36" s="0" t="s">
        <v>115</v>
      </c>
      <c r="B36" s="3" t="n">
        <v>14</v>
      </c>
    </row>
    <row r="37" customFormat="false" ht="15" hidden="false" customHeight="false" outlineLevel="0" collapsed="false">
      <c r="A37" s="0" t="s">
        <v>116</v>
      </c>
      <c r="B37" s="3" t="n">
        <v>0</v>
      </c>
    </row>
    <row r="38" customFormat="false" ht="15" hidden="false" customHeight="false" outlineLevel="0" collapsed="false">
      <c r="A38" s="0" t="s">
        <v>117</v>
      </c>
      <c r="B38" s="3" t="n">
        <v>0.5</v>
      </c>
    </row>
    <row r="40" customFormat="false" ht="15" hidden="false" customHeight="false" outlineLevel="0" collapsed="false">
      <c r="A40" s="2" t="s">
        <v>119</v>
      </c>
      <c r="C40" s="2" t="s">
        <v>96</v>
      </c>
      <c r="D40" s="2" t="s">
        <v>97</v>
      </c>
      <c r="E40" s="2" t="s">
        <v>98</v>
      </c>
      <c r="F40" s="2" t="s">
        <v>99</v>
      </c>
      <c r="G40" s="2" t="s">
        <v>100</v>
      </c>
      <c r="H40" s="2" t="s">
        <v>101</v>
      </c>
      <c r="I40" s="2" t="s">
        <v>102</v>
      </c>
      <c r="J40" s="2" t="s">
        <v>103</v>
      </c>
      <c r="K40" s="2" t="s">
        <v>104</v>
      </c>
      <c r="L40" s="2" t="s">
        <v>105</v>
      </c>
    </row>
    <row r="41" customFormat="false" ht="15" hidden="false" customHeight="false" outlineLevel="0" collapsed="false">
      <c r="A41" s="0" t="s">
        <v>106</v>
      </c>
      <c r="C41" s="3" t="n">
        <v>2</v>
      </c>
      <c r="D41" s="3" t="n">
        <v>5</v>
      </c>
      <c r="E41" s="3" t="n">
        <v>6</v>
      </c>
      <c r="F41" s="3" t="n">
        <v>5.5</v>
      </c>
      <c r="G41" s="3" t="n">
        <v>5</v>
      </c>
      <c r="H41" s="3" t="n">
        <v>4.5</v>
      </c>
      <c r="I41" s="3" t="n">
        <v>4</v>
      </c>
      <c r="J41" s="3" t="n">
        <v>3.5</v>
      </c>
      <c r="K41" s="3" t="n">
        <v>3</v>
      </c>
      <c r="L41" s="3" t="n">
        <v>3</v>
      </c>
    </row>
    <row r="42" customFormat="false" ht="15" hidden="false" customHeight="false" outlineLevel="0" collapsed="false">
      <c r="A42" s="0" t="s">
        <v>107</v>
      </c>
      <c r="C42" s="3" t="n">
        <v>44</v>
      </c>
      <c r="D42" s="3" t="n">
        <v>44</v>
      </c>
      <c r="E42" s="3" t="n">
        <v>45</v>
      </c>
      <c r="F42" s="3" t="n">
        <v>45</v>
      </c>
      <c r="G42" s="3" t="n">
        <v>45</v>
      </c>
      <c r="H42" s="3" t="n">
        <v>45</v>
      </c>
      <c r="I42" s="3" t="n">
        <v>45</v>
      </c>
      <c r="J42" s="3" t="n">
        <v>45</v>
      </c>
      <c r="K42" s="3" t="n">
        <v>45</v>
      </c>
      <c r="L42" s="3" t="n">
        <v>45</v>
      </c>
    </row>
    <row r="43" customFormat="false" ht="15" hidden="false" customHeight="false" outlineLevel="0" collapsed="false">
      <c r="A43" s="0" t="s">
        <v>108</v>
      </c>
      <c r="C43" s="3" t="n">
        <v>5</v>
      </c>
      <c r="D43" s="3" t="n">
        <v>5</v>
      </c>
      <c r="E43" s="3" t="n">
        <v>5</v>
      </c>
      <c r="F43" s="3" t="n">
        <v>5</v>
      </c>
      <c r="G43" s="3" t="n">
        <v>5</v>
      </c>
      <c r="H43" s="3" t="n">
        <v>5</v>
      </c>
      <c r="I43" s="3" t="n">
        <v>5</v>
      </c>
      <c r="J43" s="3" t="n">
        <v>5</v>
      </c>
      <c r="K43" s="3" t="n">
        <v>5</v>
      </c>
      <c r="L43" s="3" t="n">
        <v>5</v>
      </c>
    </row>
    <row r="44" customFormat="false" ht="15" hidden="false" customHeight="false" outlineLevel="0" collapsed="false">
      <c r="A44" s="0" t="s">
        <v>109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110</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111</v>
      </c>
      <c r="C46" s="3" t="n">
        <v>2.6</v>
      </c>
      <c r="D46" s="3" t="n">
        <v>6.5</v>
      </c>
      <c r="E46" s="3" t="n">
        <v>7.8</v>
      </c>
      <c r="F46" s="3" t="n">
        <v>7.2</v>
      </c>
      <c r="G46" s="3" t="n">
        <v>6.5</v>
      </c>
      <c r="H46" s="3" t="n">
        <v>5.9</v>
      </c>
      <c r="I46" s="3" t="n">
        <v>5.2</v>
      </c>
      <c r="J46" s="3" t="n">
        <v>4.6</v>
      </c>
      <c r="K46" s="3" t="n">
        <v>3.9</v>
      </c>
      <c r="L46" s="3" t="n">
        <v>3.9</v>
      </c>
    </row>
    <row r="47" customFormat="false" ht="15" hidden="false" customHeight="false" outlineLevel="0" collapsed="false">
      <c r="A47" s="0" t="s">
        <v>112</v>
      </c>
      <c r="C47" s="3" t="n">
        <v>21</v>
      </c>
      <c r="D47" s="3" t="n">
        <v>21</v>
      </c>
      <c r="E47" s="3" t="n">
        <v>21</v>
      </c>
      <c r="F47" s="3" t="n">
        <v>21</v>
      </c>
      <c r="G47" s="3" t="n">
        <v>21</v>
      </c>
      <c r="H47" s="3" t="n">
        <v>21</v>
      </c>
      <c r="I47" s="3" t="n">
        <v>21</v>
      </c>
      <c r="J47" s="3" t="n">
        <v>21</v>
      </c>
      <c r="K47" s="3" t="n">
        <v>21</v>
      </c>
      <c r="L47" s="3" t="n">
        <v>21</v>
      </c>
    </row>
    <row r="48" customFormat="false" ht="15" hidden="false" customHeight="false" outlineLevel="0" collapsed="false">
      <c r="A48" s="0" t="s">
        <v>113</v>
      </c>
      <c r="B48" s="3" t="n">
        <v>10.5</v>
      </c>
    </row>
    <row r="49" customFormat="false" ht="15" hidden="false" customHeight="false" outlineLevel="0" collapsed="false">
      <c r="A49" s="0" t="s">
        <v>114</v>
      </c>
      <c r="B49" s="3" t="n">
        <v>3</v>
      </c>
    </row>
    <row r="50" customFormat="false" ht="15" hidden="false" customHeight="false" outlineLevel="0" collapsed="false">
      <c r="A50" s="0" t="s">
        <v>115</v>
      </c>
      <c r="B50" s="3" t="n">
        <v>14</v>
      </c>
    </row>
    <row r="51" customFormat="false" ht="15" hidden="false" customHeight="false" outlineLevel="0" collapsed="false">
      <c r="A51" s="0" t="s">
        <v>116</v>
      </c>
      <c r="B51" s="3" t="n">
        <v>0</v>
      </c>
    </row>
    <row r="52" customFormat="false" ht="15" hidden="false" customHeight="false" outlineLevel="0" collapsed="false">
      <c r="A52" s="0" t="s">
        <v>117</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120</v>
      </c>
    </row>
    <row r="3" customFormat="false" ht="15" hidden="false" customHeight="false" outlineLevel="0" collapsed="false">
      <c r="A3" s="0" t="s">
        <v>121</v>
      </c>
      <c r="B3" s="0" t="s">
        <v>91</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Assumptions!C13</f>
        <v>-15</v>
      </c>
      <c r="D5" s="4" t="n">
        <f aca="false">Assumptions!D13</f>
        <v>-5</v>
      </c>
      <c r="E5" s="4" t="n">
        <f aca="false">Assumptions!E13</f>
        <v>3</v>
      </c>
      <c r="F5" s="4" t="n">
        <f aca="false">Assumptions!F13</f>
        <v>4</v>
      </c>
      <c r="G5" s="4" t="n">
        <f aca="false">Assumptions!G13</f>
        <v>4</v>
      </c>
      <c r="H5" s="4" t="n">
        <f aca="false">Assumptions!H13</f>
        <v>3</v>
      </c>
      <c r="I5" s="4" t="n">
        <f aca="false">Assumptions!I13</f>
        <v>3</v>
      </c>
      <c r="J5" s="4" t="n">
        <f aca="false">Assumptions!J13</f>
        <v>2.5</v>
      </c>
      <c r="K5" s="4" t="n">
        <f aca="false">Assumptions!K13</f>
        <v>2</v>
      </c>
      <c r="L5" s="4" t="n">
        <f aca="false">Assumptions!L13</f>
        <v>2</v>
      </c>
    </row>
    <row r="6" customFormat="false" ht="15" hidden="false" customHeight="false" outlineLevel="0" collapsed="false">
      <c r="A6" s="0" t="s">
        <v>37</v>
      </c>
      <c r="B6" s="3" t="n">
        <v>72000</v>
      </c>
      <c r="C6" s="0" t="n">
        <f aca="false">B6*(1+C5/100)</f>
        <v>61200</v>
      </c>
      <c r="D6" s="0" t="n">
        <f aca="false">C6*(1+D5/100)</f>
        <v>58140</v>
      </c>
      <c r="E6" s="0" t="n">
        <f aca="false">D6*(1+E5/100)</f>
        <v>59884.2</v>
      </c>
      <c r="F6" s="0" t="n">
        <f aca="false">E6*(1+F5/100)</f>
        <v>62279.568</v>
      </c>
      <c r="G6" s="0" t="n">
        <f aca="false">F6*(1+G5/100)</f>
        <v>64770.75072</v>
      </c>
      <c r="H6" s="0" t="n">
        <f aca="false">G6*(1+H5/100)</f>
        <v>66713.8732416</v>
      </c>
      <c r="I6" s="0" t="n">
        <f aca="false">H6*(1+I5/100)</f>
        <v>68715.289438848</v>
      </c>
      <c r="J6" s="0" t="n">
        <f aca="false">I6*(1+J5/100)</f>
        <v>70433.1716748192</v>
      </c>
      <c r="K6" s="0" t="n">
        <f aca="false">J6*(1+K5/100)</f>
        <v>71841.8351083156</v>
      </c>
      <c r="L6" s="0" t="n">
        <f aca="false">K6*(1+L5/100)</f>
        <v>73278.6718104819</v>
      </c>
    </row>
    <row r="7" customFormat="false" ht="15" hidden="false" customHeight="false" outlineLevel="0" collapsed="false">
      <c r="A7" s="0" t="s">
        <v>107</v>
      </c>
      <c r="C7" s="4" t="n">
        <f aca="false">Assumptions!C14</f>
        <v>31</v>
      </c>
      <c r="D7" s="4" t="n">
        <f aca="false">Assumptions!D14</f>
        <v>29</v>
      </c>
      <c r="E7" s="4" t="n">
        <f aca="false">Assumptions!E14</f>
        <v>33</v>
      </c>
      <c r="F7" s="4" t="n">
        <f aca="false">Assumptions!F14</f>
        <v>35</v>
      </c>
      <c r="G7" s="4" t="n">
        <f aca="false">Assumptions!G14</f>
        <v>36</v>
      </c>
      <c r="H7" s="4" t="n">
        <f aca="false">Assumptions!H14</f>
        <v>36</v>
      </c>
      <c r="I7" s="4" t="n">
        <f aca="false">Assumptions!I14</f>
        <v>36</v>
      </c>
      <c r="J7" s="4" t="n">
        <f aca="false">Assumptions!J14</f>
        <v>36</v>
      </c>
      <c r="K7" s="4" t="n">
        <f aca="false">Assumptions!K14</f>
        <v>36</v>
      </c>
      <c r="L7" s="4" t="n">
        <f aca="false">Assumptions!L14</f>
        <v>36</v>
      </c>
    </row>
    <row r="8" customFormat="false" ht="15" hidden="false" customHeight="false" outlineLevel="0" collapsed="false">
      <c r="A8" s="0" t="s">
        <v>43</v>
      </c>
      <c r="C8" s="0" t="n">
        <f aca="false">C6*C7/100</f>
        <v>18972</v>
      </c>
      <c r="D8" s="0" t="n">
        <f aca="false">D6*D7/100</f>
        <v>16860.6</v>
      </c>
      <c r="E8" s="0" t="n">
        <f aca="false">E6*E7/100</f>
        <v>19761.786</v>
      </c>
      <c r="F8" s="0" t="n">
        <f aca="false">F6*F7/100</f>
        <v>21797.8488</v>
      </c>
      <c r="G8" s="0" t="n">
        <f aca="false">G6*G7/100</f>
        <v>23317.4702592</v>
      </c>
      <c r="H8" s="0" t="n">
        <f aca="false">H6*H7/100</f>
        <v>24016.994366976</v>
      </c>
      <c r="I8" s="0" t="n">
        <f aca="false">I6*I7/100</f>
        <v>24737.5041979853</v>
      </c>
      <c r="J8" s="0" t="n">
        <f aca="false">J6*J7/100</f>
        <v>25355.9418029349</v>
      </c>
      <c r="K8" s="0" t="n">
        <f aca="false">K6*K7/100</f>
        <v>25863.0606389936</v>
      </c>
      <c r="L8" s="0" t="n">
        <f aca="false">L6*L7/100</f>
        <v>26380.3218517735</v>
      </c>
    </row>
    <row r="9" customFormat="false" ht="15" hidden="false" customHeight="false" outlineLevel="0" collapsed="false">
      <c r="A9" s="0" t="s">
        <v>108</v>
      </c>
      <c r="C9" s="4" t="n">
        <f aca="false">Assumptions!C15</f>
        <v>5</v>
      </c>
      <c r="D9" s="4" t="n">
        <f aca="false">Assumptions!D15</f>
        <v>5</v>
      </c>
      <c r="E9" s="4" t="n">
        <f aca="false">Assumptions!E15</f>
        <v>5</v>
      </c>
      <c r="F9" s="4" t="n">
        <f aca="false">Assumptions!F15</f>
        <v>5</v>
      </c>
      <c r="G9" s="4" t="n">
        <f aca="false">Assumptions!G15</f>
        <v>5</v>
      </c>
      <c r="H9" s="4" t="n">
        <f aca="false">Assumptions!H15</f>
        <v>5</v>
      </c>
      <c r="I9" s="4" t="n">
        <f aca="false">Assumptions!I15</f>
        <v>5</v>
      </c>
      <c r="J9" s="4" t="n">
        <f aca="false">Assumptions!J15</f>
        <v>5</v>
      </c>
      <c r="K9" s="4" t="n">
        <f aca="false">Assumptions!K15</f>
        <v>5</v>
      </c>
      <c r="L9" s="4" t="n">
        <f aca="false">Assumptions!L15</f>
        <v>5</v>
      </c>
    </row>
    <row r="10" customFormat="false" ht="15" hidden="false" customHeight="false" outlineLevel="0" collapsed="false">
      <c r="A10" s="0" t="s">
        <v>123</v>
      </c>
      <c r="C10" s="0" t="n">
        <f aca="false">-C6*C9/100</f>
        <v>-3060</v>
      </c>
      <c r="D10" s="0" t="n">
        <f aca="false">-D6*D9/100</f>
        <v>-2907</v>
      </c>
      <c r="E10" s="0" t="n">
        <f aca="false">-E6*E9/100</f>
        <v>-2994.21</v>
      </c>
      <c r="F10" s="0" t="n">
        <f aca="false">-F6*F9/100</f>
        <v>-3113.9784</v>
      </c>
      <c r="G10" s="0" t="n">
        <f aca="false">-G6*G9/100</f>
        <v>-3238.537536</v>
      </c>
      <c r="H10" s="0" t="n">
        <f aca="false">-H6*H9/100</f>
        <v>-3335.69366208</v>
      </c>
      <c r="I10" s="0" t="n">
        <f aca="false">-I6*I9/100</f>
        <v>-3435.7644719424</v>
      </c>
      <c r="J10" s="0" t="n">
        <f aca="false">-J6*J9/100</f>
        <v>-3521.65858374096</v>
      </c>
      <c r="K10" s="0" t="n">
        <f aca="false">-K6*K9/100</f>
        <v>-3592.09175541578</v>
      </c>
      <c r="L10" s="0" t="n">
        <f aca="false">-L6*L9/100</f>
        <v>-3663.9335905241</v>
      </c>
    </row>
    <row r="11" customFormat="false" ht="15" hidden="false" customHeight="false" outlineLevel="0" collapsed="false">
      <c r="A11" s="0" t="s">
        <v>124</v>
      </c>
      <c r="C11" s="0" t="n">
        <f aca="false">C8+C10+C24</f>
        <v>15912</v>
      </c>
      <c r="D11" s="0" t="n">
        <f aca="false">D8+D10+D24</f>
        <v>13953.6</v>
      </c>
      <c r="E11" s="0" t="n">
        <f aca="false">E8+E10+E24</f>
        <v>16767.576</v>
      </c>
      <c r="F11" s="0" t="n">
        <f aca="false">F8+F10+F24</f>
        <v>18683.8704</v>
      </c>
      <c r="G11" s="0" t="n">
        <f aca="false">G8+G10+G24</f>
        <v>20078.9327232</v>
      </c>
      <c r="H11" s="0" t="n">
        <f aca="false">H8+H10+H24</f>
        <v>20681.300704896</v>
      </c>
      <c r="I11" s="0" t="n">
        <f aca="false">I8+I10+I24</f>
        <v>21301.7397260429</v>
      </c>
      <c r="J11" s="0" t="n">
        <f aca="false">J8+J10+J24</f>
        <v>21834.283219194</v>
      </c>
      <c r="K11" s="0" t="n">
        <f aca="false">K8+K10+K24</f>
        <v>22270.9688835778</v>
      </c>
      <c r="L11" s="0" t="n">
        <f aca="false">L8+L10+L24</f>
        <v>22716.3882612494</v>
      </c>
    </row>
    <row r="12" customFormat="false" ht="15" hidden="false" customHeight="false" outlineLevel="0" collapsed="false">
      <c r="A12" s="0" t="s">
        <v>125</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126</v>
      </c>
      <c r="C13" s="0" t="n">
        <f aca="false">C11+C12</f>
        <v>15912</v>
      </c>
      <c r="D13" s="0" t="n">
        <f aca="false">D11+D12</f>
        <v>13953.6</v>
      </c>
      <c r="E13" s="0" t="n">
        <f aca="false">E11+E12</f>
        <v>16767.576</v>
      </c>
      <c r="F13" s="0" t="n">
        <f aca="false">F11+F12</f>
        <v>18683.8704</v>
      </c>
      <c r="G13" s="0" t="n">
        <f aca="false">G11+G12</f>
        <v>20078.9327232</v>
      </c>
      <c r="H13" s="0" t="n">
        <f aca="false">H11+H12</f>
        <v>20681.300704896</v>
      </c>
      <c r="I13" s="0" t="n">
        <f aca="false">I11+I12</f>
        <v>21301.7397260429</v>
      </c>
      <c r="J13" s="0" t="n">
        <f aca="false">J11+J12</f>
        <v>21834.283219194</v>
      </c>
      <c r="K13" s="0" t="n">
        <f aca="false">K11+K12</f>
        <v>22270.9688835778</v>
      </c>
      <c r="L13" s="0" t="n">
        <f aca="false">L11+L12</f>
        <v>22716.3882612494</v>
      </c>
    </row>
    <row r="14" customFormat="false" ht="15" hidden="false" customHeight="false" outlineLevel="0" collapsed="false">
      <c r="A14" s="0" t="s">
        <v>112</v>
      </c>
      <c r="C14" s="4" t="n">
        <f aca="false">Assumptions!C19</f>
        <v>21</v>
      </c>
      <c r="D14" s="4" t="n">
        <f aca="false">Assumptions!D19</f>
        <v>21</v>
      </c>
      <c r="E14" s="4" t="n">
        <f aca="false">Assumptions!E19</f>
        <v>21</v>
      </c>
      <c r="F14" s="4" t="n">
        <f aca="false">Assumptions!F19</f>
        <v>21</v>
      </c>
      <c r="G14" s="4" t="n">
        <f aca="false">Assumptions!G19</f>
        <v>21</v>
      </c>
      <c r="H14" s="4" t="n">
        <f aca="false">Assumptions!H19</f>
        <v>21</v>
      </c>
      <c r="I14" s="4" t="n">
        <f aca="false">Assumptions!I19</f>
        <v>21</v>
      </c>
      <c r="J14" s="4" t="n">
        <f aca="false">Assumptions!J19</f>
        <v>21</v>
      </c>
      <c r="K14" s="4" t="n">
        <f aca="false">Assumptions!K19</f>
        <v>21</v>
      </c>
      <c r="L14" s="4" t="n">
        <f aca="false">Assumptions!L19</f>
        <v>21</v>
      </c>
    </row>
    <row r="15" customFormat="false" ht="15" hidden="false" customHeight="false" outlineLevel="0" collapsed="false">
      <c r="A15" s="0" t="s">
        <v>127</v>
      </c>
      <c r="C15" s="0" t="n">
        <f aca="false">C13-MAX(0,C13)*C14/100</f>
        <v>12570.48</v>
      </c>
      <c r="D15" s="0" t="n">
        <f aca="false">D13-MAX(0,D13)*D14/100</f>
        <v>11023.344</v>
      </c>
      <c r="E15" s="0" t="n">
        <f aca="false">E13-MAX(0,E13)*E14/100</f>
        <v>13246.38504</v>
      </c>
      <c r="F15" s="0" t="n">
        <f aca="false">F13-MAX(0,F13)*F14/100</f>
        <v>14760.257616</v>
      </c>
      <c r="G15" s="0" t="n">
        <f aca="false">G13-MAX(0,G13)*G14/100</f>
        <v>15862.356851328</v>
      </c>
      <c r="H15" s="0" t="n">
        <f aca="false">H13-MAX(0,H13)*H14/100</f>
        <v>16338.2275568678</v>
      </c>
      <c r="I15" s="0" t="n">
        <f aca="false">I13-MAX(0,I13)*I14/100</f>
        <v>16828.3743835739</v>
      </c>
      <c r="J15" s="0" t="n">
        <f aca="false">J13-MAX(0,J13)*J14/100</f>
        <v>17249.0837431632</v>
      </c>
      <c r="K15" s="0" t="n">
        <f aca="false">K13-MAX(0,K13)*K14/100</f>
        <v>17594.0654180265</v>
      </c>
      <c r="L15" s="0" t="n">
        <f aca="false">L13-MAX(0,L13)*L14/100</f>
        <v>17945.946726387</v>
      </c>
    </row>
    <row r="16" customFormat="false" ht="15" hidden="false" customHeight="false" outlineLevel="0" collapsed="false">
      <c r="A16" s="0" t="s">
        <v>128</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129</v>
      </c>
      <c r="C17" s="4" t="n">
        <f aca="false">-C6*Assumptions!C18/100</f>
        <v>-1836</v>
      </c>
      <c r="D17" s="4" t="n">
        <f aca="false">-D6*Assumptions!D18/100</f>
        <v>-1744.2</v>
      </c>
      <c r="E17" s="4" t="n">
        <f aca="false">-E6*Assumptions!E18/100</f>
        <v>-2335.4838</v>
      </c>
      <c r="F17" s="4" t="n">
        <f aca="false">-F6*Assumptions!F18/100</f>
        <v>-3238.537536</v>
      </c>
      <c r="G17" s="4" t="n">
        <f aca="false">-G6*Assumptions!G18/100</f>
        <v>-3368.07903744</v>
      </c>
      <c r="H17" s="4" t="n">
        <f aca="false">-H6*Assumptions!H18/100</f>
        <v>-2601.8410564224</v>
      </c>
      <c r="I17" s="4" t="n">
        <f aca="false">-I6*Assumptions!I18/100</f>
        <v>-2679.89628811507</v>
      </c>
      <c r="J17" s="4" t="n">
        <f aca="false">-J6*Assumptions!J18/100</f>
        <v>-2324.29466526903</v>
      </c>
      <c r="K17" s="4" t="n">
        <f aca="false">-K6*Assumptions!K18/100</f>
        <v>-1867.88771281621</v>
      </c>
      <c r="L17" s="4" t="n">
        <f aca="false">-L6*Assumptions!L18/100</f>
        <v>-1905.24546707253</v>
      </c>
    </row>
    <row r="18" customFormat="false" ht="15" hidden="false" customHeight="false" outlineLevel="0" collapsed="false">
      <c r="A18" s="0" t="s">
        <v>130</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131</v>
      </c>
      <c r="C19" s="0" t="n">
        <f aca="false">C15+C16+C17+C18</f>
        <v>10734.48</v>
      </c>
      <c r="D19" s="0" t="n">
        <f aca="false">D15+D16+D17+D18</f>
        <v>9279.144</v>
      </c>
      <c r="E19" s="0" t="n">
        <f aca="false">E15+E16+E17+E18</f>
        <v>10910.90124</v>
      </c>
      <c r="F19" s="0" t="n">
        <f aca="false">F15+F16+F17+F18</f>
        <v>11521.72008</v>
      </c>
      <c r="G19" s="0" t="n">
        <f aca="false">G15+G16+G17+G18</f>
        <v>12494.277813888</v>
      </c>
      <c r="H19" s="0" t="n">
        <f aca="false">H15+H16+H17+H18</f>
        <v>13736.3865004454</v>
      </c>
      <c r="I19" s="0" t="n">
        <f aca="false">I15+I16+I17+I18</f>
        <v>14148.4780954588</v>
      </c>
      <c r="J19" s="0" t="n">
        <f aca="false">J15+J16+J17+J18</f>
        <v>14924.7890778942</v>
      </c>
      <c r="K19" s="0" t="n">
        <f aca="false">K15+K16+K17+K18</f>
        <v>15726.1777052103</v>
      </c>
      <c r="L19" s="0" t="n">
        <f aca="false">L15+L16+L17+L18</f>
        <v>16040.7012593145</v>
      </c>
    </row>
    <row r="20" customFormat="false" ht="15" hidden="false" customHeight="false" outlineLevel="0" collapsed="false">
      <c r="A20" s="0" t="s">
        <v>132</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133</v>
      </c>
      <c r="C21" s="0" t="n">
        <f aca="false">C19*C20</f>
        <v>9714.46153846154</v>
      </c>
      <c r="D21" s="0" t="n">
        <f aca="false">D19*D20</f>
        <v>7599.47093630351</v>
      </c>
      <c r="E21" s="0" t="n">
        <f aca="false">E19*E20</f>
        <v>8086.74578262588</v>
      </c>
      <c r="F21" s="0" t="n">
        <f aca="false">F19*F20</f>
        <v>7728.01947329135</v>
      </c>
      <c r="G21" s="0" t="n">
        <f aca="false">G19*G20</f>
        <v>7584.02521537883</v>
      </c>
      <c r="H21" s="0" t="n">
        <f aca="false">H19*H20</f>
        <v>7545.68782550636</v>
      </c>
      <c r="I21" s="0" t="n">
        <f aca="false">I19*I20</f>
        <v>7033.53706811905</v>
      </c>
      <c r="J21" s="0" t="n">
        <f aca="false">J19*J20</f>
        <v>6714.44279436614</v>
      </c>
      <c r="K21" s="0" t="n">
        <f aca="false">K19*K20</f>
        <v>6402.69297282499</v>
      </c>
      <c r="L21" s="0" t="n">
        <f aca="false">L19*L20</f>
        <v>5910.17812876153</v>
      </c>
    </row>
    <row r="23" customFormat="false" ht="15" hidden="false" customHeight="false" outlineLevel="0" collapsed="false">
      <c r="A23" s="0" t="s">
        <v>109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Assumptions!$B$20</f>
        <v>10.5</v>
      </c>
    </row>
    <row r="28" customFormat="false" ht="15" hidden="false" customHeight="false" outlineLevel="0" collapsed="false">
      <c r="A28" s="0" t="s">
        <v>114</v>
      </c>
      <c r="B28" s="4" t="n">
        <f aca="false">Assumptions!$B$21</f>
        <v>2</v>
      </c>
    </row>
    <row r="29" customFormat="false" ht="15" hidden="false" customHeight="false" outlineLevel="0" collapsed="false">
      <c r="A29" s="0" t="s">
        <v>115</v>
      </c>
      <c r="B29" s="4" t="n">
        <f aca="false">Assumptions!$B$22</f>
        <v>14</v>
      </c>
    </row>
    <row r="30" customFormat="false" ht="15" hidden="false" customHeight="false" outlineLevel="0" collapsed="false">
      <c r="A30" s="0" t="s">
        <v>136</v>
      </c>
      <c r="B30" s="0" t="n">
        <f aca="false">SUM(C21:L21)</f>
        <v>74319.2617356392</v>
      </c>
    </row>
    <row r="31" customFormat="false" ht="15" hidden="false" customHeight="false" outlineLevel="0" collapsed="false">
      <c r="A31" s="0" t="s">
        <v>137</v>
      </c>
      <c r="B31" s="0" t="n">
        <f aca="false">L19</f>
        <v>16040.7012593145</v>
      </c>
    </row>
    <row r="32" customFormat="false" ht="15" hidden="false" customHeight="false" outlineLevel="0" collapsed="false">
      <c r="A32" s="0" t="s">
        <v>138</v>
      </c>
      <c r="B32" s="0" t="n">
        <f aca="false">IF(B27&gt;B28,B31*(1+B28/100)/((B27-B28)/100),B31*B29)</f>
        <v>192488.415111774</v>
      </c>
    </row>
    <row r="33" customFormat="false" ht="15" hidden="false" customHeight="false" outlineLevel="0" collapsed="false">
      <c r="A33" s="0" t="s">
        <v>139</v>
      </c>
      <c r="B33" s="0" t="n">
        <f aca="false">B31*B29</f>
        <v>224569.817630403</v>
      </c>
    </row>
    <row r="34" customFormat="false" ht="15" hidden="false" customHeight="false" outlineLevel="0" collapsed="false">
      <c r="A34" s="0" t="s">
        <v>140</v>
      </c>
      <c r="B34" s="0" t="n">
        <f aca="false">MAX(0,MIN(B32,B33))</f>
        <v>192488.415111774</v>
      </c>
    </row>
    <row r="35" customFormat="false" ht="15" hidden="false" customHeight="false" outlineLevel="0" collapsed="false">
      <c r="A35" s="0" t="s">
        <v>141</v>
      </c>
      <c r="B35" s="0" t="n">
        <f aca="false">B34/(1+B27/100)^L4</f>
        <v>70922.1375451383</v>
      </c>
    </row>
    <row r="36" customFormat="false" ht="15" hidden="false" customHeight="false" outlineLevel="0" collapsed="false">
      <c r="A36" s="0" t="s">
        <v>142</v>
      </c>
      <c r="B36" s="0" t="n">
        <f aca="false">B30+B35</f>
        <v>145241.399280778</v>
      </c>
    </row>
    <row r="37" customFormat="false" ht="15" hidden="false" customHeight="false" outlineLevel="0" collapsed="false">
      <c r="A37" s="0" t="s">
        <v>143</v>
      </c>
      <c r="B37" s="0" t="n">
        <f aca="false">B36+Assumptions!$B$5-Assumptions!$B$4</f>
        <v>132213.399280778</v>
      </c>
    </row>
    <row r="38" customFormat="false" ht="15" hidden="false" customHeight="false" outlineLevel="0" collapsed="false">
      <c r="A38" s="0" t="s">
        <v>144</v>
      </c>
      <c r="B38" s="0" t="n">
        <f aca="false">B37/Assumptions!$B$3*Assumptions!$B$10</f>
        <v>436.347852411807</v>
      </c>
    </row>
    <row r="39" customFormat="false" ht="15" hidden="false" customHeight="false" outlineLevel="0" collapsed="false">
      <c r="A39" s="0" t="s">
        <v>145</v>
      </c>
      <c r="B39" s="4" t="n">
        <f aca="false">B38/Assumptions!$B$2-1</f>
        <v>-0.533542303263876</v>
      </c>
    </row>
    <row r="41" customFormat="false" ht="15" hidden="false" customHeight="false" outlineLevel="0" collapsed="false">
      <c r="A41" s="0" t="s">
        <v>146</v>
      </c>
      <c r="B41" s="0" t="n">
        <f aca="false">SUMPRODUCT(-C10:L10/(1+$B$27/100)^C4:L4)</f>
        <v>19360.8077918333</v>
      </c>
    </row>
    <row r="42" customFormat="false" ht="15" hidden="false" customHeight="false" outlineLevel="0" collapsed="false">
      <c r="A42" s="0" t="s">
        <v>147</v>
      </c>
      <c r="B42" s="0" t="n">
        <f aca="false">IF(B27&gt;B28,-L10*(1+B28/100)/((B27-B28)/100),-L10*20)/(1+B27/100)^L4</f>
        <v>16199.6659536634</v>
      </c>
    </row>
    <row r="43" customFormat="false" ht="15" hidden="false" customHeight="false" outlineLevel="0" collapsed="false">
      <c r="A43" s="0" t="s">
        <v>148</v>
      </c>
      <c r="B43" s="0" t="n">
        <f aca="false">(B37+B41+B42)/Assumptions!$B$3*Assumptions!$B$10</f>
        <v>553.709151901895</v>
      </c>
    </row>
    <row r="45" customFormat="false" ht="15" hidden="false" customHeight="false" outlineLevel="0" collapsed="false">
      <c r="A45" s="0" t="s">
        <v>88</v>
      </c>
      <c r="B45" s="4" t="n">
        <f aca="false">Assumptions!$B$6</f>
        <v>15</v>
      </c>
    </row>
    <row r="46" customFormat="false" ht="15" hidden="false" customHeight="false" outlineLevel="0" collapsed="false">
      <c r="A46" s="0" t="s">
        <v>149</v>
      </c>
      <c r="B46" s="0" t="n">
        <f aca="false">MAX(0,MIN(IF(B45&gt;B28,B31*(1+B28/100)/((B45-B28)/100),B31*B29),B31*B29))</f>
        <v>125857.809880775</v>
      </c>
    </row>
    <row r="47" customFormat="false" ht="15" hidden="false" customHeight="false" outlineLevel="0" collapsed="false">
      <c r="A47" s="0" t="s">
        <v>150</v>
      </c>
      <c r="B47" s="0" t="n">
        <f aca="false">(SUMPRODUCT(C19:L19/(1+B45/100)^C4:L4)+B46/(1+B45/100)^L4+Assumptions!$B$5-Assumptions!$B$4)/Assumptions!$B$3*Assumptions!$B$10</f>
        <v>260.654241322502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121</v>
      </c>
      <c r="B3" s="0" t="s">
        <v>91</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Assumptions!C27</f>
        <v>-5</v>
      </c>
      <c r="D5" s="4" t="n">
        <f aca="false">Assumptions!D27</f>
        <v>1</v>
      </c>
      <c r="E5" s="4" t="n">
        <f aca="false">Assumptions!E27</f>
        <v>4</v>
      </c>
      <c r="F5" s="4" t="n">
        <f aca="false">Assumptions!F27</f>
        <v>4</v>
      </c>
      <c r="G5" s="4" t="n">
        <f aca="false">Assumptions!G27</f>
        <v>3.5</v>
      </c>
      <c r="H5" s="4" t="n">
        <f aca="false">Assumptions!H27</f>
        <v>3.5</v>
      </c>
      <c r="I5" s="4" t="n">
        <f aca="false">Assumptions!I27</f>
        <v>3</v>
      </c>
      <c r="J5" s="4" t="n">
        <f aca="false">Assumptions!J27</f>
        <v>3</v>
      </c>
      <c r="K5" s="4" t="n">
        <f aca="false">Assumptions!K27</f>
        <v>2.5</v>
      </c>
      <c r="L5" s="4" t="n">
        <f aca="false">Assumptions!L27</f>
        <v>2.5</v>
      </c>
    </row>
    <row r="6" customFormat="false" ht="15" hidden="false" customHeight="false" outlineLevel="0" collapsed="false">
      <c r="A6" s="0" t="s">
        <v>37</v>
      </c>
      <c r="B6" s="3" t="n">
        <v>72000</v>
      </c>
      <c r="C6" s="0" t="n">
        <f aca="false">B6*(1+C5/100)</f>
        <v>68400</v>
      </c>
      <c r="D6" s="0" t="n">
        <f aca="false">C6*(1+D5/100)</f>
        <v>69084</v>
      </c>
      <c r="E6" s="0" t="n">
        <f aca="false">D6*(1+E5/100)</f>
        <v>71847.36</v>
      </c>
      <c r="F6" s="0" t="n">
        <f aca="false">E6*(1+F5/100)</f>
        <v>74721.2544</v>
      </c>
      <c r="G6" s="0" t="n">
        <f aca="false">F6*(1+G5/100)</f>
        <v>77336.498304</v>
      </c>
      <c r="H6" s="0" t="n">
        <f aca="false">G6*(1+H5/100)</f>
        <v>80043.27574464</v>
      </c>
      <c r="I6" s="0" t="n">
        <f aca="false">H6*(1+I5/100)</f>
        <v>82444.5740169792</v>
      </c>
      <c r="J6" s="0" t="n">
        <f aca="false">I6*(1+J5/100)</f>
        <v>84917.9112374886</v>
      </c>
      <c r="K6" s="0" t="n">
        <f aca="false">J6*(1+K5/100)</f>
        <v>87040.8590184258</v>
      </c>
      <c r="L6" s="0" t="n">
        <f aca="false">K6*(1+L5/100)</f>
        <v>89216.8804938864</v>
      </c>
    </row>
    <row r="7" customFormat="false" ht="15" hidden="false" customHeight="false" outlineLevel="0" collapsed="false">
      <c r="A7" s="0" t="s">
        <v>107</v>
      </c>
      <c r="C7" s="4" t="n">
        <f aca="false">Assumptions!C28</f>
        <v>38</v>
      </c>
      <c r="D7" s="4" t="n">
        <f aca="false">Assumptions!D28</f>
        <v>38</v>
      </c>
      <c r="E7" s="4" t="n">
        <f aca="false">Assumptions!E28</f>
        <v>39</v>
      </c>
      <c r="F7" s="4" t="n">
        <f aca="false">Assumptions!F28</f>
        <v>39</v>
      </c>
      <c r="G7" s="4" t="n">
        <f aca="false">Assumptions!G28</f>
        <v>39.5</v>
      </c>
      <c r="H7" s="4" t="n">
        <f aca="false">Assumptions!H28</f>
        <v>39.5</v>
      </c>
      <c r="I7" s="4" t="n">
        <f aca="false">Assumptions!I28</f>
        <v>39.5</v>
      </c>
      <c r="J7" s="4" t="n">
        <f aca="false">Assumptions!J28</f>
        <v>39.5</v>
      </c>
      <c r="K7" s="4" t="n">
        <f aca="false">Assumptions!K28</f>
        <v>39.5</v>
      </c>
      <c r="L7" s="4" t="n">
        <f aca="false">Assumptions!L28</f>
        <v>39.5</v>
      </c>
    </row>
    <row r="8" customFormat="false" ht="15" hidden="false" customHeight="false" outlineLevel="0" collapsed="false">
      <c r="A8" s="0" t="s">
        <v>43</v>
      </c>
      <c r="C8" s="0" t="n">
        <f aca="false">C6*C7/100</f>
        <v>25992</v>
      </c>
      <c r="D8" s="0" t="n">
        <f aca="false">D6*D7/100</f>
        <v>26251.92</v>
      </c>
      <c r="E8" s="0" t="n">
        <f aca="false">E6*E7/100</f>
        <v>28020.4704</v>
      </c>
      <c r="F8" s="0" t="n">
        <f aca="false">F6*F7/100</f>
        <v>29141.289216</v>
      </c>
      <c r="G8" s="0" t="n">
        <f aca="false">G6*G7/100</f>
        <v>30547.91683008</v>
      </c>
      <c r="H8" s="0" t="n">
        <f aca="false">H6*H7/100</f>
        <v>31617.0939191328</v>
      </c>
      <c r="I8" s="0" t="n">
        <f aca="false">I6*I7/100</f>
        <v>32565.6067367068</v>
      </c>
      <c r="J8" s="0" t="n">
        <f aca="false">J6*J7/100</f>
        <v>33542.574938808</v>
      </c>
      <c r="K8" s="0" t="n">
        <f aca="false">K6*K7/100</f>
        <v>34381.1393122782</v>
      </c>
      <c r="L8" s="0" t="n">
        <f aca="false">L6*L7/100</f>
        <v>35240.6677950851</v>
      </c>
    </row>
    <row r="9" customFormat="false" ht="15" hidden="false" customHeight="false" outlineLevel="0" collapsed="false">
      <c r="A9" s="0" t="s">
        <v>108</v>
      </c>
      <c r="C9" s="4" t="n">
        <f aca="false">Assumptions!C29</f>
        <v>5</v>
      </c>
      <c r="D9" s="4" t="n">
        <f aca="false">Assumptions!D29</f>
        <v>5</v>
      </c>
      <c r="E9" s="4" t="n">
        <f aca="false">Assumptions!E29</f>
        <v>5</v>
      </c>
      <c r="F9" s="4" t="n">
        <f aca="false">Assumptions!F29</f>
        <v>5</v>
      </c>
      <c r="G9" s="4" t="n">
        <f aca="false">Assumptions!G29</f>
        <v>5</v>
      </c>
      <c r="H9" s="4" t="n">
        <f aca="false">Assumptions!H29</f>
        <v>5</v>
      </c>
      <c r="I9" s="4" t="n">
        <f aca="false">Assumptions!I29</f>
        <v>5</v>
      </c>
      <c r="J9" s="4" t="n">
        <f aca="false">Assumptions!J29</f>
        <v>5</v>
      </c>
      <c r="K9" s="4" t="n">
        <f aca="false">Assumptions!K29</f>
        <v>5</v>
      </c>
      <c r="L9" s="4" t="n">
        <f aca="false">Assumptions!L29</f>
        <v>5</v>
      </c>
    </row>
    <row r="10" customFormat="false" ht="15" hidden="false" customHeight="false" outlineLevel="0" collapsed="false">
      <c r="A10" s="0" t="s">
        <v>123</v>
      </c>
      <c r="C10" s="0" t="n">
        <f aca="false">-C6*C9/100</f>
        <v>-3420</v>
      </c>
      <c r="D10" s="0" t="n">
        <f aca="false">-D6*D9/100</f>
        <v>-3454.2</v>
      </c>
      <c r="E10" s="0" t="n">
        <f aca="false">-E6*E9/100</f>
        <v>-3592.368</v>
      </c>
      <c r="F10" s="0" t="n">
        <f aca="false">-F6*F9/100</f>
        <v>-3736.06272</v>
      </c>
      <c r="G10" s="0" t="n">
        <f aca="false">-G6*G9/100</f>
        <v>-3866.8249152</v>
      </c>
      <c r="H10" s="0" t="n">
        <f aca="false">-H6*H9/100</f>
        <v>-4002.163787232</v>
      </c>
      <c r="I10" s="0" t="n">
        <f aca="false">-I6*I9/100</f>
        <v>-4122.22870084896</v>
      </c>
      <c r="J10" s="0" t="n">
        <f aca="false">-J6*J9/100</f>
        <v>-4245.89556187443</v>
      </c>
      <c r="K10" s="0" t="n">
        <f aca="false">-K6*K9/100</f>
        <v>-4352.04295092129</v>
      </c>
      <c r="L10" s="0" t="n">
        <f aca="false">-L6*L9/100</f>
        <v>-4460.84402469432</v>
      </c>
    </row>
    <row r="11" customFormat="false" ht="15" hidden="false" customHeight="false" outlineLevel="0" collapsed="false">
      <c r="A11" s="0" t="s">
        <v>124</v>
      </c>
      <c r="C11" s="0" t="n">
        <f aca="false">C8+C10+C24</f>
        <v>22572</v>
      </c>
      <c r="D11" s="0" t="n">
        <f aca="false">D8+D10+D24</f>
        <v>22797.72</v>
      </c>
      <c r="E11" s="0" t="n">
        <f aca="false">E8+E10+E24</f>
        <v>24428.1024</v>
      </c>
      <c r="F11" s="0" t="n">
        <f aca="false">F8+F10+F24</f>
        <v>25405.226496</v>
      </c>
      <c r="G11" s="0" t="n">
        <f aca="false">G8+G10+G24</f>
        <v>26681.09191488</v>
      </c>
      <c r="H11" s="0" t="n">
        <f aca="false">H8+H10+H24</f>
        <v>27614.9301319008</v>
      </c>
      <c r="I11" s="0" t="n">
        <f aca="false">I8+I10+I24</f>
        <v>28443.3780358578</v>
      </c>
      <c r="J11" s="0" t="n">
        <f aca="false">J8+J10+J24</f>
        <v>29296.6793769336</v>
      </c>
      <c r="K11" s="0" t="n">
        <f aca="false">K8+K10+K24</f>
        <v>30029.0963613569</v>
      </c>
      <c r="L11" s="0" t="n">
        <f aca="false">L8+L10+L24</f>
        <v>30779.8237703908</v>
      </c>
    </row>
    <row r="12" customFormat="false" ht="15" hidden="false" customHeight="false" outlineLevel="0" collapsed="false">
      <c r="A12" s="0" t="s">
        <v>125</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126</v>
      </c>
      <c r="C13" s="0" t="n">
        <f aca="false">C11+C12</f>
        <v>22572</v>
      </c>
      <c r="D13" s="0" t="n">
        <f aca="false">D11+D12</f>
        <v>22797.72</v>
      </c>
      <c r="E13" s="0" t="n">
        <f aca="false">E11+E12</f>
        <v>24428.1024</v>
      </c>
      <c r="F13" s="0" t="n">
        <f aca="false">F11+F12</f>
        <v>25405.226496</v>
      </c>
      <c r="G13" s="0" t="n">
        <f aca="false">G11+G12</f>
        <v>26681.09191488</v>
      </c>
      <c r="H13" s="0" t="n">
        <f aca="false">H11+H12</f>
        <v>27614.9301319008</v>
      </c>
      <c r="I13" s="0" t="n">
        <f aca="false">I11+I12</f>
        <v>28443.3780358578</v>
      </c>
      <c r="J13" s="0" t="n">
        <f aca="false">J11+J12</f>
        <v>29296.6793769336</v>
      </c>
      <c r="K13" s="0" t="n">
        <f aca="false">K11+K12</f>
        <v>30029.0963613569</v>
      </c>
      <c r="L13" s="0" t="n">
        <f aca="false">L11+L12</f>
        <v>30779.8237703908</v>
      </c>
    </row>
    <row r="14" customFormat="false" ht="15" hidden="false" customHeight="false" outlineLevel="0" collapsed="false">
      <c r="A14" s="0" t="s">
        <v>112</v>
      </c>
      <c r="C14" s="4" t="n">
        <f aca="false">Assumptions!C33</f>
        <v>21</v>
      </c>
      <c r="D14" s="4" t="n">
        <f aca="false">Assumptions!D33</f>
        <v>21</v>
      </c>
      <c r="E14" s="4" t="n">
        <f aca="false">Assumptions!E33</f>
        <v>21</v>
      </c>
      <c r="F14" s="4" t="n">
        <f aca="false">Assumptions!F33</f>
        <v>21</v>
      </c>
      <c r="G14" s="4" t="n">
        <f aca="false">Assumptions!G33</f>
        <v>21</v>
      </c>
      <c r="H14" s="4" t="n">
        <f aca="false">Assumptions!H33</f>
        <v>21</v>
      </c>
      <c r="I14" s="4" t="n">
        <f aca="false">Assumptions!I33</f>
        <v>21</v>
      </c>
      <c r="J14" s="4" t="n">
        <f aca="false">Assumptions!J33</f>
        <v>21</v>
      </c>
      <c r="K14" s="4" t="n">
        <f aca="false">Assumptions!K33</f>
        <v>21</v>
      </c>
      <c r="L14" s="4" t="n">
        <f aca="false">Assumptions!L33</f>
        <v>21</v>
      </c>
    </row>
    <row r="15" customFormat="false" ht="15" hidden="false" customHeight="false" outlineLevel="0" collapsed="false">
      <c r="A15" s="0" t="s">
        <v>127</v>
      </c>
      <c r="C15" s="0" t="n">
        <f aca="false">C13-MAX(0,C13)*C14/100</f>
        <v>17831.88</v>
      </c>
      <c r="D15" s="0" t="n">
        <f aca="false">D13-MAX(0,D13)*D14/100</f>
        <v>18010.1988</v>
      </c>
      <c r="E15" s="0" t="n">
        <f aca="false">E13-MAX(0,E13)*E14/100</f>
        <v>19298.200896</v>
      </c>
      <c r="F15" s="0" t="n">
        <f aca="false">F13-MAX(0,F13)*F14/100</f>
        <v>20070.12893184</v>
      </c>
      <c r="G15" s="0" t="n">
        <f aca="false">G13-MAX(0,G13)*G14/100</f>
        <v>21078.0626127552</v>
      </c>
      <c r="H15" s="0" t="n">
        <f aca="false">H13-MAX(0,H13)*H14/100</f>
        <v>21815.7948042016</v>
      </c>
      <c r="I15" s="0" t="n">
        <f aca="false">I13-MAX(0,I13)*I14/100</f>
        <v>22470.2686483277</v>
      </c>
      <c r="J15" s="0" t="n">
        <f aca="false">J13-MAX(0,J13)*J14/100</f>
        <v>23144.3767077775</v>
      </c>
      <c r="K15" s="0" t="n">
        <f aca="false">K13-MAX(0,K13)*K14/100</f>
        <v>23722.9861254719</v>
      </c>
      <c r="L15" s="0" t="n">
        <f aca="false">L13-MAX(0,L13)*L14/100</f>
        <v>24316.0607786087</v>
      </c>
    </row>
    <row r="16" customFormat="false" ht="15" hidden="false" customHeight="false" outlineLevel="0" collapsed="false">
      <c r="A16" s="0" t="s">
        <v>128</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129</v>
      </c>
      <c r="C17" s="4" t="n">
        <f aca="false">-C6*Assumptions!C32/100</f>
        <v>-1026</v>
      </c>
      <c r="D17" s="4" t="n">
        <f aca="false">-D6*Assumptions!D32/100</f>
        <v>-1036.26</v>
      </c>
      <c r="E17" s="4" t="n">
        <f aca="false">-E6*Assumptions!E32/100</f>
        <v>-3736.06272</v>
      </c>
      <c r="F17" s="4" t="n">
        <f aca="false">-F6*Assumptions!F32/100</f>
        <v>-3885.5052288</v>
      </c>
      <c r="G17" s="4" t="n">
        <f aca="false">-G6*Assumptions!G32/100</f>
        <v>-3557.478921984</v>
      </c>
      <c r="H17" s="4" t="n">
        <f aca="false">-H6*Assumptions!H32/100</f>
        <v>-3681.99068425344</v>
      </c>
      <c r="I17" s="4" t="n">
        <f aca="false">-I6*Assumptions!I32/100</f>
        <v>-3215.33838666219</v>
      </c>
      <c r="J17" s="4" t="n">
        <f aca="false">-J6*Assumptions!J32/100</f>
        <v>-3311.79853826205</v>
      </c>
      <c r="K17" s="4" t="n">
        <f aca="false">-K6*Assumptions!K32/100</f>
        <v>-2872.34834760805</v>
      </c>
      <c r="L17" s="4" t="n">
        <f aca="false">-L6*Assumptions!L32/100</f>
        <v>-2944.15705629825</v>
      </c>
    </row>
    <row r="18" customFormat="false" ht="15" hidden="false" customHeight="false" outlineLevel="0" collapsed="false">
      <c r="A18" s="0" t="s">
        <v>130</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131</v>
      </c>
      <c r="C19" s="0" t="n">
        <f aca="false">C15+C16+C17+C18</f>
        <v>16805.88</v>
      </c>
      <c r="D19" s="0" t="n">
        <f aca="false">D15+D16+D17+D18</f>
        <v>16973.9388</v>
      </c>
      <c r="E19" s="0" t="n">
        <f aca="false">E15+E16+E17+E18</f>
        <v>15562.138176</v>
      </c>
      <c r="F19" s="0" t="n">
        <f aca="false">F15+F16+F17+F18</f>
        <v>16184.62370304</v>
      </c>
      <c r="G19" s="0" t="n">
        <f aca="false">G15+G16+G17+G18</f>
        <v>17520.5836907712</v>
      </c>
      <c r="H19" s="0" t="n">
        <f aca="false">H15+H16+H17+H18</f>
        <v>18133.8041199482</v>
      </c>
      <c r="I19" s="0" t="n">
        <f aca="false">I15+I16+I17+I18</f>
        <v>19254.9302616655</v>
      </c>
      <c r="J19" s="0" t="n">
        <f aca="false">J15+J16+J17+J18</f>
        <v>19832.5781695155</v>
      </c>
      <c r="K19" s="0" t="n">
        <f aca="false">K15+K16+K17+K18</f>
        <v>20850.6377778639</v>
      </c>
      <c r="L19" s="0" t="n">
        <f aca="false">L15+L16+L17+L18</f>
        <v>21371.9037223105</v>
      </c>
    </row>
    <row r="20" customFormat="false" ht="15" hidden="false" customHeight="false" outlineLevel="0" collapsed="false">
      <c r="A20" s="0" t="s">
        <v>132</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133</v>
      </c>
      <c r="C21" s="0" t="n">
        <f aca="false">C19*C20</f>
        <v>15208.9411764706</v>
      </c>
      <c r="D21" s="0" t="n">
        <f aca="false">D19*D20</f>
        <v>13901.3851477242</v>
      </c>
      <c r="E21" s="0" t="n">
        <f aca="false">E19*E20</f>
        <v>11534.0660221583</v>
      </c>
      <c r="F21" s="0" t="n">
        <f aca="false">F19*F20</f>
        <v>10855.5915502667</v>
      </c>
      <c r="G21" s="0" t="n">
        <f aca="false">G19*G20</f>
        <v>10634.992312342</v>
      </c>
      <c r="H21" s="0" t="n">
        <f aca="false">H19*H20</f>
        <v>9961.28239210312</v>
      </c>
      <c r="I21" s="0" t="n">
        <f aca="false">I19*I20</f>
        <v>9572.07304034631</v>
      </c>
      <c r="J21" s="0" t="n">
        <f aca="false">J19*J20</f>
        <v>8922.38482493819</v>
      </c>
      <c r="K21" s="0" t="n">
        <f aca="false">K19*K20</f>
        <v>8489.04511202477</v>
      </c>
      <c r="L21" s="0" t="n">
        <f aca="false">L19*L20</f>
        <v>7874.45361070171</v>
      </c>
    </row>
    <row r="23" customFormat="false" ht="15" hidden="false" customHeight="false" outlineLevel="0" collapsed="false">
      <c r="A23" s="0" t="s">
        <v>109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Assumptions!$B$34</f>
        <v>10.5</v>
      </c>
    </row>
    <row r="28" customFormat="false" ht="15" hidden="false" customHeight="false" outlineLevel="0" collapsed="false">
      <c r="A28" s="0" t="s">
        <v>114</v>
      </c>
      <c r="B28" s="4" t="n">
        <f aca="false">Assumptions!$B$35</f>
        <v>2.5</v>
      </c>
    </row>
    <row r="29" customFormat="false" ht="15" hidden="false" customHeight="false" outlineLevel="0" collapsed="false">
      <c r="A29" s="0" t="s">
        <v>115</v>
      </c>
      <c r="B29" s="4" t="n">
        <f aca="false">Assumptions!$B$36</f>
        <v>14</v>
      </c>
    </row>
    <row r="30" customFormat="false" ht="15" hidden="false" customHeight="false" outlineLevel="0" collapsed="false">
      <c r="A30" s="0" t="s">
        <v>136</v>
      </c>
      <c r="B30" s="0" t="n">
        <f aca="false">SUM(C21:L21)</f>
        <v>106954.215189076</v>
      </c>
    </row>
    <row r="31" customFormat="false" ht="15" hidden="false" customHeight="false" outlineLevel="0" collapsed="false">
      <c r="A31" s="0" t="s">
        <v>137</v>
      </c>
      <c r="B31" s="0" t="n">
        <f aca="false">L19</f>
        <v>21371.9037223105</v>
      </c>
    </row>
    <row r="32" customFormat="false" ht="15" hidden="false" customHeight="false" outlineLevel="0" collapsed="false">
      <c r="A32" s="0" t="s">
        <v>138</v>
      </c>
      <c r="B32" s="0" t="n">
        <f aca="false">IF(B27&gt;B28,B31*(1+B28/100)/((B27-B28)/100),B31*B29)</f>
        <v>273827.516442103</v>
      </c>
    </row>
    <row r="33" customFormat="false" ht="15" hidden="false" customHeight="false" outlineLevel="0" collapsed="false">
      <c r="A33" s="0" t="s">
        <v>139</v>
      </c>
      <c r="B33" s="0" t="n">
        <f aca="false">B31*B29</f>
        <v>299206.652112347</v>
      </c>
    </row>
    <row r="34" customFormat="false" ht="15" hidden="false" customHeight="false" outlineLevel="0" collapsed="false">
      <c r="A34" s="0" t="s">
        <v>140</v>
      </c>
      <c r="B34" s="0" t="n">
        <f aca="false">MAX(0,MIN(B32,B33))</f>
        <v>273827.516442103</v>
      </c>
    </row>
    <row r="35" customFormat="false" ht="15" hidden="false" customHeight="false" outlineLevel="0" collapsed="false">
      <c r="A35" s="0" t="s">
        <v>141</v>
      </c>
      <c r="B35" s="0" t="n">
        <f aca="false">B34/(1+B27/100)^L4</f>
        <v>100891.436887116</v>
      </c>
    </row>
    <row r="36" customFormat="false" ht="15" hidden="false" customHeight="false" outlineLevel="0" collapsed="false">
      <c r="A36" s="0" t="s">
        <v>142</v>
      </c>
      <c r="B36" s="0" t="n">
        <f aca="false">B30+B35</f>
        <v>207845.652076192</v>
      </c>
    </row>
    <row r="37" customFormat="false" ht="15" hidden="false" customHeight="false" outlineLevel="0" collapsed="false">
      <c r="A37" s="0" t="s">
        <v>143</v>
      </c>
      <c r="B37" s="0" t="n">
        <f aca="false">B36+Assumptions!$B$5-Assumptions!$B$4</f>
        <v>194817.652076192</v>
      </c>
    </row>
    <row r="38" customFormat="false" ht="15" hidden="false" customHeight="false" outlineLevel="0" collapsed="false">
      <c r="A38" s="0" t="s">
        <v>144</v>
      </c>
      <c r="B38" s="0" t="n">
        <f aca="false">B37/Assumptions!$B$3*Assumptions!$B$10</f>
        <v>642.962548106243</v>
      </c>
    </row>
    <row r="39" customFormat="false" ht="15" hidden="false" customHeight="false" outlineLevel="0" collapsed="false">
      <c r="A39" s="0" t="s">
        <v>145</v>
      </c>
      <c r="B39" s="4" t="n">
        <f aca="false">B38/Assumptions!$B$2-1</f>
        <v>-0.312670321122195</v>
      </c>
    </row>
    <row r="41" customFormat="false" ht="15" hidden="false" customHeight="false" outlineLevel="0" collapsed="false">
      <c r="A41" s="0" t="s">
        <v>146</v>
      </c>
      <c r="B41" s="0" t="n">
        <f aca="false">SUMPRODUCT(-C10:L10/(1+$B$27/100)^C4:L4)</f>
        <v>23012.9149710338</v>
      </c>
    </row>
    <row r="42" customFormat="false" ht="15" hidden="false" customHeight="false" outlineLevel="0" collapsed="false">
      <c r="A42" s="0" t="s">
        <v>147</v>
      </c>
      <c r="B42" s="0" t="n">
        <f aca="false">IF(B27&gt;B28,-L10*(1+B28/100)/((B27-B28)/100),-L10*20)/(1+B27/100)^L4</f>
        <v>21058.5341029254</v>
      </c>
    </row>
    <row r="43" customFormat="false" ht="15" hidden="false" customHeight="false" outlineLevel="0" collapsed="false">
      <c r="A43" s="0" t="s">
        <v>148</v>
      </c>
      <c r="B43" s="0" t="n">
        <f aca="false">(B37+B41+B42)/Assumptions!$B$3*Assumptions!$B$10</f>
        <v>788.412875083006</v>
      </c>
    </row>
    <row r="45" customFormat="false" ht="15" hidden="false" customHeight="false" outlineLevel="0" collapsed="false">
      <c r="A45" s="0" t="s">
        <v>88</v>
      </c>
      <c r="B45" s="4" t="n">
        <f aca="false">Assumptions!$B$6</f>
        <v>15</v>
      </c>
    </row>
    <row r="46" customFormat="false" ht="15" hidden="false" customHeight="false" outlineLevel="0" collapsed="false">
      <c r="A46" s="0" t="s">
        <v>149</v>
      </c>
      <c r="B46" s="0" t="n">
        <f aca="false">MAX(0,MIN(IF(B45&gt;B28,B31*(1+B28/100)/((B45-B28)/100),B31*B29),B31*B29))</f>
        <v>175249.610522946</v>
      </c>
    </row>
    <row r="47" customFormat="false" ht="15" hidden="false" customHeight="false" outlineLevel="0" collapsed="false">
      <c r="A47" s="0" t="s">
        <v>150</v>
      </c>
      <c r="B47" s="0" t="n">
        <f aca="false">(SUMPRODUCT(C19:L19/(1+B45/100)^C4:L4)+B46/(1+B45/100)^L4+Assumptions!$B$5-Assumptions!$B$4)/Assumptions!$B$3*Assumptions!$B$10</f>
        <v>391.775298463567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121</v>
      </c>
      <c r="B3" s="0" t="s">
        <v>91</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Assumptions!C41</f>
        <v>2</v>
      </c>
      <c r="D5" s="4" t="n">
        <f aca="false">Assumptions!D41</f>
        <v>5</v>
      </c>
      <c r="E5" s="4" t="n">
        <f aca="false">Assumptions!E41</f>
        <v>6</v>
      </c>
      <c r="F5" s="4" t="n">
        <f aca="false">Assumptions!F41</f>
        <v>5.5</v>
      </c>
      <c r="G5" s="4" t="n">
        <f aca="false">Assumptions!G41</f>
        <v>5</v>
      </c>
      <c r="H5" s="4" t="n">
        <f aca="false">Assumptions!H41</f>
        <v>4.5</v>
      </c>
      <c r="I5" s="4" t="n">
        <f aca="false">Assumptions!I41</f>
        <v>4</v>
      </c>
      <c r="J5" s="4" t="n">
        <f aca="false">Assumptions!J41</f>
        <v>3.5</v>
      </c>
      <c r="K5" s="4" t="n">
        <f aca="false">Assumptions!K41</f>
        <v>3</v>
      </c>
      <c r="L5" s="4" t="n">
        <f aca="false">Assumptions!L41</f>
        <v>3</v>
      </c>
    </row>
    <row r="6" customFormat="false" ht="15" hidden="false" customHeight="false" outlineLevel="0" collapsed="false">
      <c r="A6" s="0" t="s">
        <v>37</v>
      </c>
      <c r="B6" s="3" t="n">
        <v>72000</v>
      </c>
      <c r="C6" s="0" t="n">
        <f aca="false">B6*(1+C5/100)</f>
        <v>73440</v>
      </c>
      <c r="D6" s="0" t="n">
        <f aca="false">C6*(1+D5/100)</f>
        <v>77112</v>
      </c>
      <c r="E6" s="0" t="n">
        <f aca="false">D6*(1+E5/100)</f>
        <v>81738.72</v>
      </c>
      <c r="F6" s="0" t="n">
        <f aca="false">E6*(1+F5/100)</f>
        <v>86234.3496</v>
      </c>
      <c r="G6" s="0" t="n">
        <f aca="false">F6*(1+G5/100)</f>
        <v>90546.06708</v>
      </c>
      <c r="H6" s="0" t="n">
        <f aca="false">G6*(1+H5/100)</f>
        <v>94620.6400986</v>
      </c>
      <c r="I6" s="0" t="n">
        <f aca="false">H6*(1+I5/100)</f>
        <v>98405.465702544</v>
      </c>
      <c r="J6" s="0" t="n">
        <f aca="false">I6*(1+J5/100)</f>
        <v>101849.657002133</v>
      </c>
      <c r="K6" s="0" t="n">
        <f aca="false">J6*(1+K5/100)</f>
        <v>104905.146712197</v>
      </c>
      <c r="L6" s="0" t="n">
        <f aca="false">K6*(1+L5/100)</f>
        <v>108052.301113563</v>
      </c>
    </row>
    <row r="7" customFormat="false" ht="15" hidden="false" customHeight="false" outlineLevel="0" collapsed="false">
      <c r="A7" s="0" t="s">
        <v>107</v>
      </c>
      <c r="C7" s="4" t="n">
        <f aca="false">Assumptions!C42</f>
        <v>44</v>
      </c>
      <c r="D7" s="4" t="n">
        <f aca="false">Assumptions!D42</f>
        <v>44</v>
      </c>
      <c r="E7" s="4" t="n">
        <f aca="false">Assumptions!E42</f>
        <v>45</v>
      </c>
      <c r="F7" s="4" t="n">
        <f aca="false">Assumptions!F42</f>
        <v>45</v>
      </c>
      <c r="G7" s="4" t="n">
        <f aca="false">Assumptions!G42</f>
        <v>45</v>
      </c>
      <c r="H7" s="4" t="n">
        <f aca="false">Assumptions!H42</f>
        <v>45</v>
      </c>
      <c r="I7" s="4" t="n">
        <f aca="false">Assumptions!I42</f>
        <v>45</v>
      </c>
      <c r="J7" s="4" t="n">
        <f aca="false">Assumptions!J42</f>
        <v>45</v>
      </c>
      <c r="K7" s="4" t="n">
        <f aca="false">Assumptions!K42</f>
        <v>45</v>
      </c>
      <c r="L7" s="4" t="n">
        <f aca="false">Assumptions!L42</f>
        <v>45</v>
      </c>
    </row>
    <row r="8" customFormat="false" ht="15" hidden="false" customHeight="false" outlineLevel="0" collapsed="false">
      <c r="A8" s="0" t="s">
        <v>43</v>
      </c>
      <c r="C8" s="0" t="n">
        <f aca="false">C6*C7/100</f>
        <v>32313.6</v>
      </c>
      <c r="D8" s="0" t="n">
        <f aca="false">D6*D7/100</f>
        <v>33929.28</v>
      </c>
      <c r="E8" s="0" t="n">
        <f aca="false">E6*E7/100</f>
        <v>36782.424</v>
      </c>
      <c r="F8" s="0" t="n">
        <f aca="false">F6*F7/100</f>
        <v>38805.45732</v>
      </c>
      <c r="G8" s="0" t="n">
        <f aca="false">G6*G7/100</f>
        <v>40745.730186</v>
      </c>
      <c r="H8" s="0" t="n">
        <f aca="false">H6*H7/100</f>
        <v>42579.28804437</v>
      </c>
      <c r="I8" s="0" t="n">
        <f aca="false">I6*I7/100</f>
        <v>44282.4595661448</v>
      </c>
      <c r="J8" s="0" t="n">
        <f aca="false">J6*J7/100</f>
        <v>45832.3456509599</v>
      </c>
      <c r="K8" s="0" t="n">
        <f aca="false">K6*K7/100</f>
        <v>47207.3160204887</v>
      </c>
      <c r="L8" s="0" t="n">
        <f aca="false">L6*L7/100</f>
        <v>48623.5355011033</v>
      </c>
    </row>
    <row r="9" customFormat="false" ht="15" hidden="false" customHeight="false" outlineLevel="0" collapsed="false">
      <c r="A9" s="0" t="s">
        <v>108</v>
      </c>
      <c r="C9" s="4" t="n">
        <f aca="false">Assumptions!C43</f>
        <v>5</v>
      </c>
      <c r="D9" s="4" t="n">
        <f aca="false">Assumptions!D43</f>
        <v>5</v>
      </c>
      <c r="E9" s="4" t="n">
        <f aca="false">Assumptions!E43</f>
        <v>5</v>
      </c>
      <c r="F9" s="4" t="n">
        <f aca="false">Assumptions!F43</f>
        <v>5</v>
      </c>
      <c r="G9" s="4" t="n">
        <f aca="false">Assumptions!G43</f>
        <v>5</v>
      </c>
      <c r="H9" s="4" t="n">
        <f aca="false">Assumptions!H43</f>
        <v>5</v>
      </c>
      <c r="I9" s="4" t="n">
        <f aca="false">Assumptions!I43</f>
        <v>5</v>
      </c>
      <c r="J9" s="4" t="n">
        <f aca="false">Assumptions!J43</f>
        <v>5</v>
      </c>
      <c r="K9" s="4" t="n">
        <f aca="false">Assumptions!K43</f>
        <v>5</v>
      </c>
      <c r="L9" s="4" t="n">
        <f aca="false">Assumptions!L43</f>
        <v>5</v>
      </c>
    </row>
    <row r="10" customFormat="false" ht="15" hidden="false" customHeight="false" outlineLevel="0" collapsed="false">
      <c r="A10" s="0" t="s">
        <v>123</v>
      </c>
      <c r="C10" s="0" t="n">
        <f aca="false">-C6*C9/100</f>
        <v>-3672</v>
      </c>
      <c r="D10" s="0" t="n">
        <f aca="false">-D6*D9/100</f>
        <v>-3855.6</v>
      </c>
      <c r="E10" s="0" t="n">
        <f aca="false">-E6*E9/100</f>
        <v>-4086.936</v>
      </c>
      <c r="F10" s="0" t="n">
        <f aca="false">-F6*F9/100</f>
        <v>-4311.71748</v>
      </c>
      <c r="G10" s="0" t="n">
        <f aca="false">-G6*G9/100</f>
        <v>-4527.303354</v>
      </c>
      <c r="H10" s="0" t="n">
        <f aca="false">-H6*H9/100</f>
        <v>-4731.03200493</v>
      </c>
      <c r="I10" s="0" t="n">
        <f aca="false">-I6*I9/100</f>
        <v>-4920.2732851272</v>
      </c>
      <c r="J10" s="0" t="n">
        <f aca="false">-J6*J9/100</f>
        <v>-5092.48285010665</v>
      </c>
      <c r="K10" s="0" t="n">
        <f aca="false">-K6*K9/100</f>
        <v>-5245.25733560985</v>
      </c>
      <c r="L10" s="0" t="n">
        <f aca="false">-L6*L9/100</f>
        <v>-5402.61505567815</v>
      </c>
    </row>
    <row r="11" customFormat="false" ht="15" hidden="false" customHeight="false" outlineLevel="0" collapsed="false">
      <c r="A11" s="0" t="s">
        <v>124</v>
      </c>
      <c r="C11" s="0" t="n">
        <f aca="false">C8+C10+C24</f>
        <v>28641.6</v>
      </c>
      <c r="D11" s="0" t="n">
        <f aca="false">D8+D10+D24</f>
        <v>30073.68</v>
      </c>
      <c r="E11" s="0" t="n">
        <f aca="false">E8+E10+E24</f>
        <v>32695.488</v>
      </c>
      <c r="F11" s="0" t="n">
        <f aca="false">F8+F10+F24</f>
        <v>34493.73984</v>
      </c>
      <c r="G11" s="0" t="n">
        <f aca="false">G8+G10+G24</f>
        <v>36218.426832</v>
      </c>
      <c r="H11" s="0" t="n">
        <f aca="false">H8+H10+H24</f>
        <v>37848.25603944</v>
      </c>
      <c r="I11" s="0" t="n">
        <f aca="false">I8+I10+I24</f>
        <v>39362.1862810176</v>
      </c>
      <c r="J11" s="0" t="n">
        <f aca="false">J8+J10+J24</f>
        <v>40739.8628008532</v>
      </c>
      <c r="K11" s="0" t="n">
        <f aca="false">K8+K10+K24</f>
        <v>41962.0586848788</v>
      </c>
      <c r="L11" s="0" t="n">
        <f aca="false">L8+L10+L24</f>
        <v>43220.9204454252</v>
      </c>
    </row>
    <row r="12" customFormat="false" ht="15" hidden="false" customHeight="false" outlineLevel="0" collapsed="false">
      <c r="A12" s="0" t="s">
        <v>125</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126</v>
      </c>
      <c r="C13" s="0" t="n">
        <f aca="false">C11+C12</f>
        <v>28641.6</v>
      </c>
      <c r="D13" s="0" t="n">
        <f aca="false">D11+D12</f>
        <v>30073.68</v>
      </c>
      <c r="E13" s="0" t="n">
        <f aca="false">E11+E12</f>
        <v>32695.488</v>
      </c>
      <c r="F13" s="0" t="n">
        <f aca="false">F11+F12</f>
        <v>34493.73984</v>
      </c>
      <c r="G13" s="0" t="n">
        <f aca="false">G11+G12</f>
        <v>36218.426832</v>
      </c>
      <c r="H13" s="0" t="n">
        <f aca="false">H11+H12</f>
        <v>37848.25603944</v>
      </c>
      <c r="I13" s="0" t="n">
        <f aca="false">I11+I12</f>
        <v>39362.1862810176</v>
      </c>
      <c r="J13" s="0" t="n">
        <f aca="false">J11+J12</f>
        <v>40739.8628008532</v>
      </c>
      <c r="K13" s="0" t="n">
        <f aca="false">K11+K12</f>
        <v>41962.0586848788</v>
      </c>
      <c r="L13" s="0" t="n">
        <f aca="false">L11+L12</f>
        <v>43220.9204454252</v>
      </c>
    </row>
    <row r="14" customFormat="false" ht="15" hidden="false" customHeight="false" outlineLevel="0" collapsed="false">
      <c r="A14" s="0" t="s">
        <v>112</v>
      </c>
      <c r="C14" s="4" t="n">
        <f aca="false">Assumptions!C47</f>
        <v>21</v>
      </c>
      <c r="D14" s="4" t="n">
        <f aca="false">Assumptions!D47</f>
        <v>21</v>
      </c>
      <c r="E14" s="4" t="n">
        <f aca="false">Assumptions!E47</f>
        <v>21</v>
      </c>
      <c r="F14" s="4" t="n">
        <f aca="false">Assumptions!F47</f>
        <v>21</v>
      </c>
      <c r="G14" s="4" t="n">
        <f aca="false">Assumptions!G47</f>
        <v>21</v>
      </c>
      <c r="H14" s="4" t="n">
        <f aca="false">Assumptions!H47</f>
        <v>21</v>
      </c>
      <c r="I14" s="4" t="n">
        <f aca="false">Assumptions!I47</f>
        <v>21</v>
      </c>
      <c r="J14" s="4" t="n">
        <f aca="false">Assumptions!J47</f>
        <v>21</v>
      </c>
      <c r="K14" s="4" t="n">
        <f aca="false">Assumptions!K47</f>
        <v>21</v>
      </c>
      <c r="L14" s="4" t="n">
        <f aca="false">Assumptions!L47</f>
        <v>21</v>
      </c>
    </row>
    <row r="15" customFormat="false" ht="15" hidden="false" customHeight="false" outlineLevel="0" collapsed="false">
      <c r="A15" s="0" t="s">
        <v>127</v>
      </c>
      <c r="C15" s="0" t="n">
        <f aca="false">C13-MAX(0,C13)*C14/100</f>
        <v>22626.864</v>
      </c>
      <c r="D15" s="0" t="n">
        <f aca="false">D13-MAX(0,D13)*D14/100</f>
        <v>23758.2072</v>
      </c>
      <c r="E15" s="0" t="n">
        <f aca="false">E13-MAX(0,E13)*E14/100</f>
        <v>25829.43552</v>
      </c>
      <c r="F15" s="0" t="n">
        <f aca="false">F13-MAX(0,F13)*F14/100</f>
        <v>27250.0544736</v>
      </c>
      <c r="G15" s="0" t="n">
        <f aca="false">G13-MAX(0,G13)*G14/100</f>
        <v>28612.55719728</v>
      </c>
      <c r="H15" s="0" t="n">
        <f aca="false">H13-MAX(0,H13)*H14/100</f>
        <v>29900.1222711576</v>
      </c>
      <c r="I15" s="0" t="n">
        <f aca="false">I13-MAX(0,I13)*I14/100</f>
        <v>31096.1271620039</v>
      </c>
      <c r="J15" s="0" t="n">
        <f aca="false">J13-MAX(0,J13)*J14/100</f>
        <v>32184.491612674</v>
      </c>
      <c r="K15" s="0" t="n">
        <f aca="false">K13-MAX(0,K13)*K14/100</f>
        <v>33150.0263610543</v>
      </c>
      <c r="L15" s="0" t="n">
        <f aca="false">L13-MAX(0,L13)*L14/100</f>
        <v>34144.5271518859</v>
      </c>
    </row>
    <row r="16" customFormat="false" ht="15" hidden="false" customHeight="false" outlineLevel="0" collapsed="false">
      <c r="A16" s="0" t="s">
        <v>128</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129</v>
      </c>
      <c r="C17" s="4" t="n">
        <f aca="false">-C6*Assumptions!C46/100</f>
        <v>-1909.44</v>
      </c>
      <c r="D17" s="4" t="n">
        <f aca="false">-D6*Assumptions!D46/100</f>
        <v>-5012.28</v>
      </c>
      <c r="E17" s="4" t="n">
        <f aca="false">-E6*Assumptions!E46/100</f>
        <v>-6375.62016</v>
      </c>
      <c r="F17" s="4" t="n">
        <f aca="false">-F6*Assumptions!F46/100</f>
        <v>-6208.8731712</v>
      </c>
      <c r="G17" s="4" t="n">
        <f aca="false">-G6*Assumptions!G46/100</f>
        <v>-5885.4943602</v>
      </c>
      <c r="H17" s="4" t="n">
        <f aca="false">-H6*Assumptions!H46/100</f>
        <v>-5582.6177658174</v>
      </c>
      <c r="I17" s="4" t="n">
        <f aca="false">-I6*Assumptions!I46/100</f>
        <v>-5117.08421653229</v>
      </c>
      <c r="J17" s="4" t="n">
        <f aca="false">-J6*Assumptions!J46/100</f>
        <v>-4685.08422209812</v>
      </c>
      <c r="K17" s="4" t="n">
        <f aca="false">-K6*Assumptions!K46/100</f>
        <v>-4091.30072177568</v>
      </c>
      <c r="L17" s="4" t="n">
        <f aca="false">-L6*Assumptions!L46/100</f>
        <v>-4214.03974342896</v>
      </c>
    </row>
    <row r="18" customFormat="false" ht="15" hidden="false" customHeight="false" outlineLevel="0" collapsed="false">
      <c r="A18" s="0" t="s">
        <v>130</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131</v>
      </c>
      <c r="C19" s="0" t="n">
        <f aca="false">C15+C16+C17+C18</f>
        <v>20717.424</v>
      </c>
      <c r="D19" s="0" t="n">
        <f aca="false">D15+D16+D17+D18</f>
        <v>18745.9272</v>
      </c>
      <c r="E19" s="0" t="n">
        <f aca="false">E15+E16+E17+E18</f>
        <v>19453.81536</v>
      </c>
      <c r="F19" s="0" t="n">
        <f aca="false">F15+F16+F17+F18</f>
        <v>21041.1813024</v>
      </c>
      <c r="G19" s="0" t="n">
        <f aca="false">G15+G16+G17+G18</f>
        <v>22727.06283708</v>
      </c>
      <c r="H19" s="0" t="n">
        <f aca="false">H15+H16+H17+H18</f>
        <v>24317.5045053402</v>
      </c>
      <c r="I19" s="0" t="n">
        <f aca="false">I15+I16+I17+I18</f>
        <v>25979.0429454716</v>
      </c>
      <c r="J19" s="0" t="n">
        <f aca="false">J15+J16+J17+J18</f>
        <v>27499.4073905759</v>
      </c>
      <c r="K19" s="0" t="n">
        <f aca="false">K15+K16+K17+K18</f>
        <v>29058.7256392786</v>
      </c>
      <c r="L19" s="0" t="n">
        <f aca="false">L15+L16+L17+L18</f>
        <v>29930.4874084569</v>
      </c>
    </row>
    <row r="20" customFormat="false" ht="15" hidden="false" customHeight="false" outlineLevel="0" collapsed="false">
      <c r="A20" s="0" t="s">
        <v>132</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133</v>
      </c>
      <c r="C21" s="0" t="n">
        <f aca="false">C19*C20</f>
        <v>18748.8</v>
      </c>
      <c r="D21" s="0" t="n">
        <f aca="false">D19*D20</f>
        <v>15352.6153846154</v>
      </c>
      <c r="E21" s="0" t="n">
        <f aca="false">E19*E20</f>
        <v>14418.4294090873</v>
      </c>
      <c r="F21" s="0" t="n">
        <f aca="false">F19*F20</f>
        <v>14113.0541027691</v>
      </c>
      <c r="G21" s="0" t="n">
        <f aca="false">G19*G20</f>
        <v>13795.3245634033</v>
      </c>
      <c r="H21" s="0" t="n">
        <f aca="false">H19*H20</f>
        <v>13358.1198874021</v>
      </c>
      <c r="I21" s="0" t="n">
        <f aca="false">I19*I20</f>
        <v>12914.7856270053</v>
      </c>
      <c r="J21" s="0" t="n">
        <f aca="false">J19*J20</f>
        <v>12371.5783746971</v>
      </c>
      <c r="K21" s="0" t="n">
        <f aca="false">K19*K20</f>
        <v>11830.853112401</v>
      </c>
      <c r="L21" s="0" t="n">
        <f aca="false">L19*L20</f>
        <v>11027.8540323738</v>
      </c>
    </row>
    <row r="23" customFormat="false" ht="15" hidden="false" customHeight="false" outlineLevel="0" collapsed="false">
      <c r="A23" s="0" t="s">
        <v>109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Assumptions!$B$48</f>
        <v>10.5</v>
      </c>
    </row>
    <row r="28" customFormat="false" ht="15" hidden="false" customHeight="false" outlineLevel="0" collapsed="false">
      <c r="A28" s="0" t="s">
        <v>114</v>
      </c>
      <c r="B28" s="4" t="n">
        <f aca="false">Assumptions!$B$49</f>
        <v>3</v>
      </c>
    </row>
    <row r="29" customFormat="false" ht="15" hidden="false" customHeight="false" outlineLevel="0" collapsed="false">
      <c r="A29" s="0" t="s">
        <v>115</v>
      </c>
      <c r="B29" s="4" t="n">
        <f aca="false">Assumptions!$B$50</f>
        <v>14</v>
      </c>
    </row>
    <row r="30" customFormat="false" ht="15" hidden="false" customHeight="false" outlineLevel="0" collapsed="false">
      <c r="A30" s="0" t="s">
        <v>136</v>
      </c>
      <c r="B30" s="0" t="n">
        <f aca="false">SUM(C21:L21)</f>
        <v>137931.414493754</v>
      </c>
    </row>
    <row r="31" customFormat="false" ht="15" hidden="false" customHeight="false" outlineLevel="0" collapsed="false">
      <c r="A31" s="0" t="s">
        <v>137</v>
      </c>
      <c r="B31" s="0" t="n">
        <f aca="false">L19</f>
        <v>29930.4874084569</v>
      </c>
    </row>
    <row r="32" customFormat="false" ht="15" hidden="false" customHeight="false" outlineLevel="0" collapsed="false">
      <c r="A32" s="0" t="s">
        <v>138</v>
      </c>
      <c r="B32" s="0" t="n">
        <f aca="false">IF(B27&gt;B28,B31*(1+B28/100)/((B27-B28)/100),B31*B29)</f>
        <v>411045.360409475</v>
      </c>
    </row>
    <row r="33" customFormat="false" ht="15" hidden="false" customHeight="false" outlineLevel="0" collapsed="false">
      <c r="A33" s="0" t="s">
        <v>139</v>
      </c>
      <c r="B33" s="0" t="n">
        <f aca="false">B31*B29</f>
        <v>419026.823718397</v>
      </c>
    </row>
    <row r="34" customFormat="false" ht="15" hidden="false" customHeight="false" outlineLevel="0" collapsed="false">
      <c r="A34" s="0" t="s">
        <v>140</v>
      </c>
      <c r="B34" s="0" t="n">
        <f aca="false">MAX(0,MIN(B32,B33))</f>
        <v>411045.360409475</v>
      </c>
    </row>
    <row r="35" customFormat="false" ht="15" hidden="false" customHeight="false" outlineLevel="0" collapsed="false">
      <c r="A35" s="0" t="s">
        <v>141</v>
      </c>
      <c r="B35" s="0" t="n">
        <f aca="false">B34/(1+B27/100)^L4</f>
        <v>151449.195377933</v>
      </c>
    </row>
    <row r="36" customFormat="false" ht="15" hidden="false" customHeight="false" outlineLevel="0" collapsed="false">
      <c r="A36" s="0" t="s">
        <v>142</v>
      </c>
      <c r="B36" s="0" t="n">
        <f aca="false">B30+B35</f>
        <v>289380.609871688</v>
      </c>
    </row>
    <row r="37" customFormat="false" ht="15" hidden="false" customHeight="false" outlineLevel="0" collapsed="false">
      <c r="A37" s="0" t="s">
        <v>143</v>
      </c>
      <c r="B37" s="0" t="n">
        <f aca="false">B36+Assumptions!$B$5-Assumptions!$B$4</f>
        <v>276352.609871688</v>
      </c>
    </row>
    <row r="38" customFormat="false" ht="15" hidden="false" customHeight="false" outlineLevel="0" collapsed="false">
      <c r="A38" s="0" t="s">
        <v>144</v>
      </c>
      <c r="B38" s="0" t="n">
        <f aca="false">B37/Assumptions!$B$3*Assumptions!$B$10</f>
        <v>912.054818058375</v>
      </c>
    </row>
    <row r="39" customFormat="false" ht="15" hidden="false" customHeight="false" outlineLevel="0" collapsed="false">
      <c r="A39" s="0" t="s">
        <v>145</v>
      </c>
      <c r="B39" s="4" t="n">
        <f aca="false">B38/Assumptions!$B$2-1</f>
        <v>-0.0250095482833134</v>
      </c>
    </row>
    <row r="41" customFormat="false" ht="15" hidden="false" customHeight="false" outlineLevel="0" collapsed="false">
      <c r="A41" s="0" t="s">
        <v>146</v>
      </c>
      <c r="B41" s="0" t="n">
        <f aca="false">SUMPRODUCT(-C10:L10/(1+$B$27/100)^C4:L4)</f>
        <v>26611.917132681</v>
      </c>
    </row>
    <row r="42" customFormat="false" ht="15" hidden="false" customHeight="false" outlineLevel="0" collapsed="false">
      <c r="A42" s="0" t="s">
        <v>147</v>
      </c>
      <c r="B42" s="0" t="n">
        <f aca="false">IF(B27&gt;B28,-L10*(1+B28/100)/((B27-B28)/100),-L10*20)/(1+B27/100)^L4</f>
        <v>27337.3998877136</v>
      </c>
    </row>
    <row r="43" customFormat="false" ht="15" hidden="false" customHeight="false" outlineLevel="0" collapsed="false">
      <c r="A43" s="0" t="s">
        <v>148</v>
      </c>
      <c r="B43" s="0" t="n">
        <f aca="false">(B37+B41+B42)/Assumptions!$B$3*Assumptions!$B$10</f>
        <v>1090.1053692808</v>
      </c>
    </row>
    <row r="45" customFormat="false" ht="15" hidden="false" customHeight="false" outlineLevel="0" collapsed="false">
      <c r="A45" s="0" t="s">
        <v>88</v>
      </c>
      <c r="B45" s="4" t="n">
        <f aca="false">Assumptions!$B$6</f>
        <v>15</v>
      </c>
    </row>
    <row r="46" customFormat="false" ht="15" hidden="false" customHeight="false" outlineLevel="0" collapsed="false">
      <c r="A46" s="0" t="s">
        <v>149</v>
      </c>
      <c r="B46" s="0" t="n">
        <f aca="false">MAX(0,MIN(IF(B45&gt;B28,B31*(1+B28/100)/((B45-B28)/100),B31*B29),B31*B29))</f>
        <v>256903.350255922</v>
      </c>
    </row>
    <row r="47" customFormat="false" ht="15" hidden="false" customHeight="false" outlineLevel="0" collapsed="false">
      <c r="A47" s="0" t="s">
        <v>150</v>
      </c>
      <c r="B47" s="0" t="n">
        <f aca="false">(SUMPRODUCT(C19:L19/(1+B45/100)^C4:L4)+B46/(1+B45/100)^L4+Assumptions!$B$5-Assumptions!$B$4)/Assumptions!$B$3*Assumptions!$B$10</f>
        <v>540.307440802351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153</v>
      </c>
    </row>
    <row r="3" customFormat="false" ht="15" hidden="false" customHeight="false" outlineLevel="0" collapsed="false">
      <c r="A3" s="2" t="s">
        <v>154</v>
      </c>
      <c r="B3" s="2" t="s">
        <v>155</v>
      </c>
      <c r="C3" s="2" t="s">
        <v>145</v>
      </c>
      <c r="D3" s="2" t="s">
        <v>156</v>
      </c>
      <c r="E3" s="2" t="s">
        <v>148</v>
      </c>
      <c r="F3" s="2" t="s">
        <v>157</v>
      </c>
    </row>
    <row r="4" customFormat="false" ht="15" hidden="false" customHeight="false" outlineLevel="0" collapsed="false">
      <c r="A4" s="0" t="s">
        <v>158</v>
      </c>
      <c r="B4" s="4" t="n">
        <f aca="false">DCF_Bear!$B$38</f>
        <v>436.347852411807</v>
      </c>
      <c r="C4" s="0" t="n">
        <f aca="false">B4/Assumptions!$B$2-1</f>
        <v>-0.533542303263876</v>
      </c>
      <c r="D4" s="4" t="n">
        <f aca="false">Assumptions!$B$24</f>
        <v>0.25</v>
      </c>
      <c r="E4" s="4" t="n">
        <f aca="false">DCF_Bear!$B$43</f>
        <v>553.709151901895</v>
      </c>
      <c r="F4" s="4" t="n">
        <f aca="false">DCF_Bear!$B$47</f>
        <v>260.654241322502</v>
      </c>
    </row>
    <row r="5" customFormat="false" ht="15" hidden="false" customHeight="false" outlineLevel="0" collapsed="false">
      <c r="A5" s="0" t="s">
        <v>159</v>
      </c>
      <c r="B5" s="4" t="n">
        <f aca="false">DCF_Base!$B$38</f>
        <v>642.962548106243</v>
      </c>
      <c r="C5" s="0" t="n">
        <f aca="false">B5/Assumptions!$B$2-1</f>
        <v>-0.312670321122195</v>
      </c>
      <c r="D5" s="4" t="n">
        <f aca="false">Assumptions!$B$38</f>
        <v>0.5</v>
      </c>
      <c r="E5" s="4" t="n">
        <f aca="false">DCF_Base!$B$43</f>
        <v>788.412875083006</v>
      </c>
      <c r="F5" s="4" t="n">
        <f aca="false">DCF_Base!$B$47</f>
        <v>391.775298463567</v>
      </c>
    </row>
    <row r="6" customFormat="false" ht="15" hidden="false" customHeight="false" outlineLevel="0" collapsed="false">
      <c r="A6" s="0" t="s">
        <v>160</v>
      </c>
      <c r="B6" s="4" t="n">
        <f aca="false">DCF_Bull!$B$38</f>
        <v>912.054818058375</v>
      </c>
      <c r="C6" s="0" t="n">
        <f aca="false">B6/Assumptions!$B$2-1</f>
        <v>-0.0250095482833134</v>
      </c>
      <c r="D6" s="4" t="n">
        <f aca="false">Assumptions!$B$52</f>
        <v>0.25</v>
      </c>
      <c r="E6" s="4" t="n">
        <f aca="false">DCF_Bull!$B$43</f>
        <v>1090.1053692808</v>
      </c>
      <c r="F6" s="4" t="n">
        <f aca="false">DCF_Bull!$B$47</f>
        <v>540.307440802351</v>
      </c>
    </row>
    <row r="8" customFormat="false" ht="15" hidden="false" customHeight="false" outlineLevel="0" collapsed="false">
      <c r="A8" s="0" t="s">
        <v>161</v>
      </c>
      <c r="B8" s="0" t="n">
        <f aca="false">SUMPRODUCT(B4:B6,D4:D6)</f>
        <v>658.581941670667</v>
      </c>
    </row>
    <row r="9" customFormat="false" ht="15" hidden="false" customHeight="false" outlineLevel="0" collapsed="false">
      <c r="A9" s="0" t="s">
        <v>162</v>
      </c>
      <c r="B9" s="0" t="n">
        <f aca="false">SUMPRODUCT(E4:E6,D4:D6)</f>
        <v>805.160067837177</v>
      </c>
    </row>
    <row r="10" customFormat="false" ht="15" hidden="false" customHeight="false" outlineLevel="0" collapsed="false">
      <c r="A10" s="0" t="s">
        <v>163</v>
      </c>
      <c r="B10" s="0" t="n">
        <f aca="false">1-Assumptions!$B$2/B8</f>
        <v>-0.420400318944344</v>
      </c>
    </row>
    <row r="11" customFormat="false" ht="15" hidden="false" customHeight="false" outlineLevel="0" collapsed="false">
      <c r="A11" s="0" t="s">
        <v>164</v>
      </c>
      <c r="B11" s="0" t="n">
        <f aca="false">IF(ABS(B9-B8)&gt;0.01*ABS(B8),(Assumptions!$B$2-B8)/(B9-B8)*100,"n/a")</f>
        <v>188.88770485087</v>
      </c>
    </row>
    <row r="12" customFormat="false" ht="15" hidden="false" customHeight="false" outlineLevel="0" collapsed="false">
      <c r="A12" s="0" t="s">
        <v>165</v>
      </c>
      <c r="B12" s="0" t="n">
        <f aca="false">SUMPRODUCT(F4:F6,D4:D6)</f>
        <v>396.128069762997</v>
      </c>
    </row>
    <row r="14" customFormat="false" ht="15" hidden="false" customHeight="false" outlineLevel="0" collapsed="false">
      <c r="A14" s="2" t="s">
        <v>166</v>
      </c>
      <c r="C14" s="0" t="s">
        <v>167</v>
      </c>
    </row>
    <row r="15" customFormat="false" ht="15" hidden="false" customHeight="false" outlineLevel="0" collapsed="false">
      <c r="A15" s="0" t="s">
        <v>168</v>
      </c>
      <c r="B15" s="0" t="n">
        <f aca="false">(SUMPRODUCT(DCF_Base!$C$19:$L$19/(1+$C$15/100)^DCF_Base!$C$4:$L$4)+MAX(0,MIN(IF($C$15&gt;DCF_Base!$B$28,DCF_Base!$L$19*(1+DCF_Base!$B$28/100)/(($C$15-DCF_Base!$B$28)/100),DCF_Base!$L$19*DCF_Base!$B$29),DCF_Base!$L$19*DCF_Base!$B$29))/(1+$C$15/100)^DCF_Base!$L$4+Assumptions!$B$5-Assumptions!$B$4)/Assumptions!$B$3*Assumptions!$B$10</f>
        <v>752.018233049546</v>
      </c>
      <c r="C15" s="3" t="n">
        <v>9</v>
      </c>
    </row>
    <row r="16" customFormat="false" ht="15" hidden="false" customHeight="false" outlineLevel="0" collapsed="false">
      <c r="A16" s="0" t="s">
        <v>169</v>
      </c>
      <c r="B16" s="0" t="n">
        <f aca="false">(SUMPRODUCT(DCF_Base!$C$19:$L$19/(1+$C$16/100)^DCF_Base!$C$4:$L$4)+MAX(0,MIN(IF($C$16&gt;DCF_Base!$B$28,DCF_Base!$L$19*(1+DCF_Base!$B$28/100)/(($C$16-DCF_Base!$B$28)/100),DCF_Base!$L$19*DCF_Base!$B$29),DCF_Base!$L$19*DCF_Base!$B$29))/(1+$C$16/100)^DCF_Base!$L$4+Assumptions!$B$5-Assumptions!$B$4)/Assumptions!$B$3*Assumptions!$B$10</f>
        <v>689.654627442421</v>
      </c>
      <c r="C16" s="3" t="n">
        <v>10</v>
      </c>
    </row>
    <row r="17" customFormat="false" ht="15" hidden="false" customHeight="false" outlineLevel="0" collapsed="false">
      <c r="A17" s="0" t="s">
        <v>170</v>
      </c>
      <c r="B17" s="0" t="n">
        <f aca="false">(SUMPRODUCT(DCF_Base!$C$19:$L$19/(1+$C$17/100)^DCF_Base!$C$4:$L$4)+MAX(0,MIN(IF($C$17&gt;DCF_Base!$B$28,DCF_Base!$L$19*(1+DCF_Base!$B$28/100)/(($C$17-DCF_Base!$B$28)/100),DCF_Base!$L$19*DCF_Base!$B$29),DCF_Base!$L$19*DCF_Base!$B$29))/(1+$C$17/100)^DCF_Base!$L$4+Assumptions!$B$5-Assumptions!$B$4)/Assumptions!$B$3*Assumptions!$B$10</f>
        <v>642.962548106243</v>
      </c>
      <c r="C17" s="3" t="n">
        <v>10.5</v>
      </c>
    </row>
    <row r="18" customFormat="false" ht="15" hidden="false" customHeight="false" outlineLevel="0" collapsed="false">
      <c r="A18" s="0" t="s">
        <v>171</v>
      </c>
      <c r="B18" s="0" t="n">
        <f aca="false">(SUMPRODUCT(DCF_Base!$C$19:$L$19/(1+$C$18/100)^DCF_Base!$C$4:$L$4)+MAX(0,MIN(IF($C$18&gt;DCF_Base!$B$28,DCF_Base!$L$19*(1+DCF_Base!$B$28/100)/(($C$18-DCF_Base!$B$28)/100),DCF_Base!$L$19*DCF_Base!$B$29),DCF_Base!$L$19*DCF_Base!$B$29))/(1+$C$18/100)^DCF_Base!$L$4+Assumptions!$B$5-Assumptions!$B$4)/Assumptions!$B$3*Assumptions!$B$10</f>
        <v>601.79807001795</v>
      </c>
      <c r="C18" s="3" t="n">
        <v>11</v>
      </c>
    </row>
    <row r="19" customFormat="false" ht="15" hidden="false" customHeight="false" outlineLevel="0" collapsed="false">
      <c r="A19" s="0" t="s">
        <v>172</v>
      </c>
      <c r="B19" s="0" t="n">
        <f aca="false">(SUMPRODUCT(DCF_Base!$C$19:$L$19/(1+$C$19/100)^DCF_Base!$C$4:$L$4)+MAX(0,MIN(IF($C$19&gt;DCF_Base!$B$28,DCF_Base!$L$19*(1+DCF_Base!$B$28/100)/(($C$19-DCF_Base!$B$28)/100),DCF_Base!$L$19*DCF_Base!$B$29),DCF_Base!$L$19*DCF_Base!$B$29))/(1+$C$19/100)^DCF_Base!$L$4+Assumptions!$B$5-Assumptions!$B$4)/Assumptions!$B$3*Assumptions!$B$10</f>
        <v>532.555982211142</v>
      </c>
      <c r="C19" s="3" t="n">
        <v>12</v>
      </c>
    </row>
    <row r="20" customFormat="false" ht="15" hidden="false" customHeight="false" outlineLevel="0" collapsed="false">
      <c r="A20" s="0" t="s">
        <v>173</v>
      </c>
      <c r="B20" s="0" t="n">
        <f aca="false">(SUMPRODUCT(DCF_Base!$C$19:$L$19/(1+$C$20/100)^DCF_Base!$C$4:$L$4)+MAX(0,MIN(IF($C$20&gt;DCF_Base!$B$28,DCF_Base!$L$19*(1+DCF_Base!$B$28/100)/(($C$20-DCF_Base!$B$28)/100),DCF_Base!$L$19*DCF_Base!$B$29),DCF_Base!$L$19*DCF_Base!$B$29))/(1+$C$20/100)^DCF_Base!$L$4+Assumptions!$B$5-Assumptions!$B$4)/Assumptions!$B$3*Assumptions!$B$10</f>
        <v>391.775298463567</v>
      </c>
      <c r="C20" s="3" t="n">
        <v>15</v>
      </c>
    </row>
    <row r="22" customFormat="false" ht="15" hidden="false" customHeight="false" outlineLevel="0" collapsed="false">
      <c r="A22" s="2" t="s">
        <v>174</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8.5</v>
      </c>
      <c r="B24" s="0" t="n">
        <f aca="false">(SUMPRODUCT(DCF_Base!$C$19:$L$19/(1+$A$24/100)^DCF_Base!$C$4:$L$4)+MAX(0,MIN(IF($A$24&gt;$B$23,DCF_Base!$L$19*(1+$B$23/100)/(($A$24-$B$23)/100),DCF_Base!$L$19*DCF_Base!$B$29),DCF_Base!$L$19*DCF_Base!$B$29))/(1+$A$24/100)^DCF_Base!$L$4+Assumptions!$B$5-Assumptions!$B$4)/Assumptions!$B$3*Assumptions!$B$10</f>
        <v>780.547481079589</v>
      </c>
      <c r="C24" s="0" t="n">
        <f aca="false">(SUMPRODUCT(DCF_Base!$C$19:$L$19/(1+$A$24/100)^DCF_Base!$C$4:$L$4)+MAX(0,MIN(IF($A$24&gt;$C$23,DCF_Base!$L$19*(1+$C$23/100)/(($A$24-$C$23)/100),DCF_Base!$L$19*DCF_Base!$B$29),DCF_Base!$L$19*DCF_Base!$B$29))/(1+$A$24/100)^DCF_Base!$L$4+Assumptions!$B$5-Assumptions!$B$4)/Assumptions!$B$3*Assumptions!$B$10</f>
        <v>780.547481079589</v>
      </c>
      <c r="D24" s="0" t="n">
        <f aca="false">(SUMPRODUCT(DCF_Base!$C$19:$L$19/(1+$A$24/100)^DCF_Base!$C$4:$L$4)+MAX(0,MIN(IF($A$24&gt;$D$23,DCF_Base!$L$19*(1+$D$23/100)/(($A$24-$D$23)/100),DCF_Base!$L$19*DCF_Base!$B$29),DCF_Base!$L$19*DCF_Base!$B$29))/(1+$A$24/100)^DCF_Base!$L$4+Assumptions!$B$5-Assumptions!$B$4)/Assumptions!$B$3*Assumptions!$B$10</f>
        <v>780.547481079589</v>
      </c>
      <c r="E24" s="0" t="n">
        <f aca="false">(SUMPRODUCT(DCF_Base!$C$19:$L$19/(1+$A$24/100)^DCF_Base!$C$4:$L$4)+MAX(0,MIN(IF($A$24&gt;$E$23,DCF_Base!$L$19*(1+$E$23/100)/(($A$24-$E$23)/100),DCF_Base!$L$19*DCF_Base!$B$29),DCF_Base!$L$19*DCF_Base!$B$29))/(1+$A$24/100)^DCF_Base!$L$4+Assumptions!$B$5-Assumptions!$B$4)/Assumptions!$B$3*Assumptions!$B$10</f>
        <v>780.547481079589</v>
      </c>
      <c r="F24" s="0" t="n">
        <f aca="false">(SUMPRODUCT(DCF_Base!$C$19:$L$19/(1+$A$24/100)^DCF_Base!$C$4:$L$4)+MAX(0,MIN(IF($A$24&gt;$F$23,DCF_Base!$L$19*(1+$F$23/100)/(($A$24-$F$23)/100),DCF_Base!$L$19*DCF_Base!$B$29),DCF_Base!$L$19*DCF_Base!$B$29))/(1+$A$24/100)^DCF_Base!$L$4+Assumptions!$B$5-Assumptions!$B$4)/Assumptions!$B$3*Assumptions!$B$10</f>
        <v>780.547481079589</v>
      </c>
    </row>
    <row r="25" customFormat="false" ht="15" hidden="false" customHeight="false" outlineLevel="0" collapsed="false">
      <c r="A25" s="3" t="n">
        <v>9.5</v>
      </c>
      <c r="B25" s="0" t="n">
        <f aca="false">(SUMPRODUCT(DCF_Base!$C$19:$L$19/(1+$A$25/100)^DCF_Base!$C$4:$L$4)+MAX(0,MIN(IF($A$25&gt;$B$23,DCF_Base!$L$19*(1+$B$23/100)/(($A$25-$B$23)/100),DCF_Base!$L$19*DCF_Base!$B$29),DCF_Base!$L$19*DCF_Base!$B$29))/(1+$A$25/100)^DCF_Base!$L$4+Assumptions!$B$5-Assumptions!$B$4)/Assumptions!$B$3*Assumptions!$B$10</f>
        <v>687.407918905711</v>
      </c>
      <c r="C25" s="0" t="n">
        <f aca="false">(SUMPRODUCT(DCF_Base!$C$19:$L$19/(1+$A$25/100)^DCF_Base!$C$4:$L$4)+MAX(0,MIN(IF($A$25&gt;$C$23,DCF_Base!$L$19*(1+$C$23/100)/(($A$25-$C$23)/100),DCF_Base!$L$19*DCF_Base!$B$29),DCF_Base!$L$19*DCF_Base!$B$29))/(1+$A$25/100)^DCF_Base!$L$4+Assumptions!$B$5-Assumptions!$B$4)/Assumptions!$B$3*Assumptions!$B$10</f>
        <v>713.379133572356</v>
      </c>
      <c r="D25" s="0" t="n">
        <f aca="false">(SUMPRODUCT(DCF_Base!$C$19:$L$19/(1+$A$25/100)^DCF_Base!$C$4:$L$4)+MAX(0,MIN(IF($A$25&gt;$D$23,DCF_Base!$L$19*(1+$D$23/100)/(($A$25-$D$23)/100),DCF_Base!$L$19*DCF_Base!$B$29),DCF_Base!$L$19*DCF_Base!$B$29))/(1+$A$25/100)^DCF_Base!$L$4+Assumptions!$B$5-Assumptions!$B$4)/Assumptions!$B$3*Assumptions!$B$10</f>
        <v>724.763775618008</v>
      </c>
      <c r="E25" s="0" t="n">
        <f aca="false">(SUMPRODUCT(DCF_Base!$C$19:$L$19/(1+$A$25/100)^DCF_Base!$C$4:$L$4)+MAX(0,MIN(IF($A$25&gt;$E$23,DCF_Base!$L$19*(1+$E$23/100)/(($A$25-$E$23)/100),DCF_Base!$L$19*DCF_Base!$B$29),DCF_Base!$L$19*DCF_Base!$B$29))/(1+$A$25/100)^DCF_Base!$L$4+Assumptions!$B$5-Assumptions!$B$4)/Assumptions!$B$3*Assumptions!$B$10</f>
        <v>724.763775618008</v>
      </c>
      <c r="F25" s="0" t="n">
        <f aca="false">(SUMPRODUCT(DCF_Base!$C$19:$L$19/(1+$A$25/100)^DCF_Base!$C$4:$L$4)+MAX(0,MIN(IF($A$25&gt;$F$23,DCF_Base!$L$19*(1+$F$23/100)/(($A$25-$F$23)/100),DCF_Base!$L$19*DCF_Base!$B$29),DCF_Base!$L$19*DCF_Base!$B$29))/(1+$A$25/100)^DCF_Base!$L$4+Assumptions!$B$5-Assumptions!$B$4)/Assumptions!$B$3*Assumptions!$B$10</f>
        <v>724.763775618008</v>
      </c>
    </row>
    <row r="26" customFormat="false" ht="15" hidden="false" customHeight="false" outlineLevel="0" collapsed="false">
      <c r="A26" s="3" t="n">
        <v>10.5</v>
      </c>
      <c r="B26" s="0" t="n">
        <f aca="false">(SUMPRODUCT(DCF_Base!$C$19:$L$19/(1+$A$26/100)^DCF_Base!$C$4:$L$4)+MAX(0,MIN(IF($A$26&gt;$B$23,DCF_Base!$L$19*(1+$B$23/100)/(($A$26-$B$23)/100),DCF_Base!$L$19*DCF_Base!$B$29),DCF_Base!$L$19*DCF_Base!$B$29))/(1+$A$26/100)^DCF_Base!$L$4+Assumptions!$B$5-Assumptions!$B$4)/Assumptions!$B$3*Assumptions!$B$10</f>
        <v>603.077733108877</v>
      </c>
      <c r="C26" s="0" t="n">
        <f aca="false">(SUMPRODUCT(DCF_Base!$C$19:$L$19/(1+$A$26/100)^DCF_Base!$C$4:$L$4)+MAX(0,MIN(IF($A$26&gt;$C$23,DCF_Base!$L$19*(1+$C$23/100)/(($A$26-$C$23)/100),DCF_Base!$L$19*DCF_Base!$B$29),DCF_Base!$L$19*DCF_Base!$B$29))/(1+$A$26/100)^DCF_Base!$L$4+Assumptions!$B$5-Assumptions!$B$4)/Assumptions!$B$3*Assumptions!$B$10</f>
        <v>621.84705781352</v>
      </c>
      <c r="D26" s="0" t="n">
        <f aca="false">(SUMPRODUCT(DCF_Base!$C$19:$L$19/(1+$A$26/100)^DCF_Base!$C$4:$L$4)+MAX(0,MIN(IF($A$26&gt;$D$23,DCF_Base!$L$19*(1+$D$23/100)/(($A$26-$D$23)/100),DCF_Base!$L$19*DCF_Base!$B$29),DCF_Base!$L$19*DCF_Base!$B$29))/(1+$A$26/100)^DCF_Base!$L$4+Assumptions!$B$5-Assumptions!$B$4)/Assumptions!$B$3*Assumptions!$B$10</f>
        <v>642.962548106243</v>
      </c>
      <c r="E26" s="0" t="n">
        <f aca="false">(SUMPRODUCT(DCF_Base!$C$19:$L$19/(1+$A$26/100)^DCF_Base!$C$4:$L$4)+MAX(0,MIN(IF($A$26&gt;$E$23,DCF_Base!$L$19*(1+$E$23/100)/(($A$26-$E$23)/100),DCF_Base!$L$19*DCF_Base!$B$29),DCF_Base!$L$19*DCF_Base!$B$29))/(1+$A$26/100)^DCF_Base!$L$4+Assumptions!$B$5-Assumptions!$B$4)/Assumptions!$B$3*Assumptions!$B$10</f>
        <v>666.893437104663</v>
      </c>
      <c r="F26" s="0" t="n">
        <f aca="false">(SUMPRODUCT(DCF_Base!$C$19:$L$19/(1+$A$26/100)^DCF_Base!$C$4:$L$4)+MAX(0,MIN(IF($A$26&gt;$F$23,DCF_Base!$L$19*(1+$F$23/100)/(($A$26-$F$23)/100),DCF_Base!$L$19*DCF_Base!$B$29),DCF_Base!$L$19*DCF_Base!$B$29))/(1+$A$26/100)^DCF_Base!$L$4+Assumptions!$B$5-Assumptions!$B$4)/Assumptions!$B$3*Assumptions!$B$10</f>
        <v>673.8236493033</v>
      </c>
    </row>
    <row r="27" customFormat="false" ht="15" hidden="false" customHeight="false" outlineLevel="0" collapsed="false">
      <c r="A27" s="3" t="n">
        <v>11.5</v>
      </c>
      <c r="B27" s="0" t="n">
        <f aca="false">(SUMPRODUCT(DCF_Base!$C$19:$L$19/(1+$A$27/100)^DCF_Base!$C$4:$L$4)+MAX(0,MIN(IF($A$27&gt;$B$23,DCF_Base!$L$19*(1+$B$23/100)/(($A$27-$B$23)/100),DCF_Base!$L$19*DCF_Base!$B$29),DCF_Base!$L$19*DCF_Base!$B$29))/(1+$A$27/100)^DCF_Base!$L$4+Assumptions!$B$5-Assumptions!$B$4)/Assumptions!$B$3*Assumptions!$B$10</f>
        <v>535.815822845355</v>
      </c>
      <c r="C27" s="0" t="n">
        <f aca="false">(SUMPRODUCT(DCF_Base!$C$19:$L$19/(1+$A$27/100)^DCF_Base!$C$4:$L$4)+MAX(0,MIN(IF($A$27&gt;$C$23,DCF_Base!$L$19*(1+$C$23/100)/(($A$27-$C$23)/100),DCF_Base!$L$19*DCF_Base!$B$29),DCF_Base!$L$19*DCF_Base!$B$29))/(1+$A$27/100)^DCF_Base!$L$4+Assumptions!$B$5-Assumptions!$B$4)/Assumptions!$B$3*Assumptions!$B$10</f>
        <v>549.752947138695</v>
      </c>
      <c r="D27" s="0" t="n">
        <f aca="false">(SUMPRODUCT(DCF_Base!$C$19:$L$19/(1+$A$27/100)^DCF_Base!$C$4:$L$4)+MAX(0,MIN(IF($A$27&gt;$D$23,DCF_Base!$L$19*(1+$D$23/100)/(($A$27-$D$23)/100),DCF_Base!$L$19*DCF_Base!$B$29),DCF_Base!$L$19*DCF_Base!$B$29))/(1+$A$27/100)^DCF_Base!$L$4+Assumptions!$B$5-Assumptions!$B$4)/Assumptions!$B$3*Assumptions!$B$10</f>
        <v>565.238640797962</v>
      </c>
      <c r="E27" s="0" t="n">
        <f aca="false">(SUMPRODUCT(DCF_Base!$C$19:$L$19/(1+$A$27/100)^DCF_Base!$C$4:$L$4)+MAX(0,MIN(IF($A$27&gt;$E$23,DCF_Base!$L$19*(1+$E$23/100)/(($A$27-$E$23)/100),DCF_Base!$L$19*DCF_Base!$B$29),DCF_Base!$L$19*DCF_Base!$B$29))/(1+$A$27/100)^DCF_Base!$L$4+Assumptions!$B$5-Assumptions!$B$4)/Assumptions!$B$3*Assumptions!$B$10</f>
        <v>582.546180770084</v>
      </c>
      <c r="F27" s="0" t="n">
        <f aca="false">(SUMPRODUCT(DCF_Base!$C$19:$L$19/(1+$A$27/100)^DCF_Base!$C$4:$L$4)+MAX(0,MIN(IF($A$27&gt;$F$23,DCF_Base!$L$19*(1+$F$23/100)/(($A$27-$F$23)/100),DCF_Base!$L$19*DCF_Base!$B$29),DCF_Base!$L$19*DCF_Base!$B$29))/(1+$A$27/100)^DCF_Base!$L$4+Assumptions!$B$5-Assumptions!$B$4)/Assumptions!$B$3*Assumptions!$B$10</f>
        <v>602.017163238721</v>
      </c>
    </row>
    <row r="28" customFormat="false" ht="15" hidden="false" customHeight="false" outlineLevel="0" collapsed="false">
      <c r="A28" s="3" t="n">
        <v>12.5</v>
      </c>
      <c r="B28" s="0" t="n">
        <f aca="false">(SUMPRODUCT(DCF_Base!$C$19:$L$19/(1+$A$28/100)^DCF_Base!$C$4:$L$4)+MAX(0,MIN(IF($A$28&gt;$B$23,DCF_Base!$L$19*(1+$B$23/100)/(($A$28-$B$23)/100),DCF_Base!$L$19*DCF_Base!$B$29),DCF_Base!$L$19*DCF_Base!$B$29))/(1+$A$28/100)^DCF_Base!$L$4+Assumptions!$B$5-Assumptions!$B$4)/Assumptions!$B$3*Assumptions!$B$10</f>
        <v>480.953088266617</v>
      </c>
      <c r="C28" s="0" t="n">
        <f aca="false">(SUMPRODUCT(DCF_Base!$C$19:$L$19/(1+$A$28/100)^DCF_Base!$C$4:$L$4)+MAX(0,MIN(IF($A$28&gt;$C$23,DCF_Base!$L$19*(1+$C$23/100)/(($A$28-$C$23)/100),DCF_Base!$L$19*DCF_Base!$B$29),DCF_Base!$L$19*DCF_Base!$B$29))/(1+$A$28/100)^DCF_Base!$L$4+Assumptions!$B$5-Assumptions!$B$4)/Assumptions!$B$3*Assumptions!$B$10</f>
        <v>491.531388734971</v>
      </c>
      <c r="D28" s="0" t="n">
        <f aca="false">(SUMPRODUCT(DCF_Base!$C$19:$L$19/(1+$A$28/100)^DCF_Base!$C$4:$L$4)+MAX(0,MIN(IF($A$28&gt;$D$23,DCF_Base!$L$19*(1+$D$23/100)/(($A$28-$D$23)/100),DCF_Base!$L$19*DCF_Base!$B$29),DCF_Base!$L$19*DCF_Base!$B$29))/(1+$A$28/100)^DCF_Base!$L$4+Assumptions!$B$5-Assumptions!$B$4)/Assumptions!$B$3*Assumptions!$B$10</f>
        <v>503.167519250161</v>
      </c>
      <c r="E28" s="0" t="n">
        <f aca="false">(SUMPRODUCT(DCF_Base!$C$19:$L$19/(1+$A$28/100)^DCF_Base!$C$4:$L$4)+MAX(0,MIN(IF($A$28&gt;$E$23,DCF_Base!$L$19*(1+$E$23/100)/(($A$28-$E$23)/100),DCF_Base!$L$19*DCF_Base!$B$29),DCF_Base!$L$19*DCF_Base!$B$29))/(1+$A$28/100)^DCF_Base!$L$4+Assumptions!$B$5-Assumptions!$B$4)/Assumptions!$B$3*Assumptions!$B$10</f>
        <v>516.028505609054</v>
      </c>
      <c r="F28" s="0" t="n">
        <f aca="false">(SUMPRODUCT(DCF_Base!$C$19:$L$19/(1+$A$28/100)^DCF_Base!$C$4:$L$4)+MAX(0,MIN(IF($A$28&gt;$F$23,DCF_Base!$L$19*(1+$F$23/100)/(($A$28-$F$23)/100),DCF_Base!$L$19*DCF_Base!$B$29),DCF_Base!$L$19*DCF_Base!$B$29))/(1+$A$28/100)^DCF_Base!$L$4+Assumptions!$B$5-Assumptions!$B$4)/Assumptions!$B$3*Assumptions!$B$10</f>
        <v>530.31849045227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2026-09-28T09:02:05Z</dcterms:created>
  <dc:creator>openpyxl</dc:creator>
  <dc:description/>
  <dc:language>en-NZ</dc:language>
  <cp:lastModifiedBy/>
  <dcterms:modified xsi:type="dcterms:W3CDTF">2026-09-28T09:02:05Z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