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<sst xmlns="http://schemas.openxmlformats.org/spreadsheetml/2006/main" count="363" uniqueCount="166">
  <si>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</si>
  <si>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LIN</t>
  </si>
  <si>
    <t xml:space="preserve">Company</t>
  </si>
  <si>
    <t xml:space="preserve">Linde plc</t>
  </si>
  <si>
    <t xml:space="preserve">Valuation date</t>
  </si>
  <si>
    <t xml:space="preserve">2026-10-02</t>
  </si>
  <si>
    <t xml:space="preserve">Current price</t>
  </si>
  <si>
    <t xml:space="preserve">Price as of</t>
  </si>
  <si>
    <t xml:space="preserve">2026-10-01T20:00:01Z regular close (Yahoo Finance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</si>
  <si>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</si>
  <si>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</si>
  <si>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</si>
  <si>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</si>
  <si>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</si>
  <si>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</si>
  <si>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</si>
  <si>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</si>
  <si>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</si>
  <si>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</si>
  <si>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</si>
  <si>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</si>
  <si>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2026-10-02T00:27:18Z</t>
  </si>
  <si>
    <t xml:space="preserve">Drivers file</t>
  </si>
  <si>
    <t xml:space="preserve">LIN_Drivers.json</t>
  </si>
  <si>
    <t xml:space="preserve">Convention</t>
  </si>
  <si>
    <t xml:space="preserve">Percents stored as percents; formulas divide by 100. Blue = input, green = link, black = formula.</t>
  </si>
  <si>
    <t xml:space="preserve">Methodology</t>
  </si>
  <si>
    <t xml:space="preserve">summary: Linde is valued as a stream of owner free cash flow: SBC (0.5% of revenue) fully expensed with the share count held flat, cash taxes at the rate actually paid rather than the GAAP provision, and the backlog capex supercycle modelled explicitly over 10 years rather than capitalising FY2025's depressed FCF or an adjusted-EPS multiple. The result is dominated by two choices, both disclosed: an 8% USD WACC and a 20x terminal owner-FCF cap. The market price embeds a materially lower discount rate for this duopoly compounder; the required-return table shows which rate today's price implies, and that gap is the finding rather than a modelling error.
key_risks_to_valuation: Terminal value share: with a 10-year horizon and a 20x cap, roughly two-thirds of enterprise value is terminal; the WACC x g grid and the required-return table bound this.; Capex normalisation is the single largest driver of the owner-FCF margin ramp; if project capex stays at 15-16% of revenue permanently the base value falls toward the bear case.; Margin: each 1pp of pre-SBC EBITDA margin at terminal is worth roughly $25-30/share.; Debt vintage: net debt $23.1B at 2026-06-30 already reflects H1-2026 distributions; the Q3-2026 balance sheet (due early November) will move it by the H2 buyback pace (~$0.8B/quarter).; Non-deductible merger amortisation makes the engine's EBIT-based cash tax rate higher than the GAAP ETR; the path drifts down as it rolls off, but if the roll-off is slower than assumed, taxes are modestly overstated (conservative).; Metrics.csv TotalDebt (25,626) is mis-constructed (double-counts the current portion, omits short-term borrowings); the DCF uses the filer's combined-debt tag (28,013).</t>
  </si>
  <si>
    <t xml:space="preserve">Data sources</t>
  </si>
  <si>
    <t xml:space="preserve">price: Yahoo Finance chart API regularMarketPrice at inputs.price_as_of (regular close); 52-week range 387.78-548.20
financials: Metrics.csv (SEC XBRL, FY2016-Q2 2026) for revenue, EBITDA, OCF, capex, SBC, shares; SEC companyfacts API (CIK 1707925) for diluted/basic shares, NCI, interest, taxes paid, leases, equity-method investments, pension and the combined-debt tag at 2026-06-30; Q2-2026 earnings release (8-K 2026-07-31, Exhibit 99.1) for guidance, backlog and capex outlook
qualitative: LIN_Analysis.json (2026-10-02): business model, moat, growth drivers, bull/bear cases, guidance</t>
  </si>
  <si>
    <t xml:space="preserve">Scenario narrative: bear</t>
  </si>
  <si>
    <t xml:space="preserve">The bear axes are the industrial cycle, the margin trend and policy dependence of the backlog. A 2027-28 manufacturing recession removes volume growth (merchant and packaged correlate with PMI) while take-or-pay contracts hold revenue to the ~2% price line; Americas margin slippage continues as energy and labour inflation outruns price (37% pre-SBC plateau); clean-hydrogen/CCS projects slip or lose incentive support so capex stays at 13% of revenue without matching revenue conversion, and the $28B of debt funding buybacks and capex becomes a constraint on returns. Pillar Two lifts cash tax to 26.5%; exit at 16x owner FCF with 2.5% terminal growth. Not a solvency scenario: an A-rated balance sheet and $10B+ of operating cash flow survive it.</t>
  </si>
  <si>
    <t xml:space="preserve">Scenario narrative: base</t>
  </si>
  <si>
    <t xml:space="preserve">Linde's base case is the business management describes: ~2% annual price attainment plus 2-3% volume as the record $8.1B sale-of-gas backlog (57% clean energy, with the Fort Saskatchewan/Dow and Beaumont projects and new US electronics contracts) starts up through 2026-28, decelerating to 3% nominal growth by year 10. Pre-SBC EBITDA margin expands only ~120bp from FY2025's 37.8% to a 39% plateau because the Q2-2026 Americas slippage shows pricing is no longer fully outrunning cost inflation. Capex, the swing factor, falls from the guided ~16% of revenue to 12% by FY2032 as project spend normalises, lifting the owner-FCF margin from ~14.7% in FY2026 to ~19.7% at terminal. 8% WACC, 3% terminal growth, 20x terminal cap binding.</t>
  </si>
  <si>
    <t xml:space="preserve">Scenario narrative: bull</t>
  </si>
  <si>
    <t xml:space="preserve">The bull axes are backlog momentum and margin cadence: proposal activity in electronics and decarbonisation keeps the sale-of-gas backlog above $8B indefinitely, volumes run 3-4% rather than 2%, and productivity restores the 50-80bp/yr margin expansion of 2019-24 to a 40.5% pre-SBC plateau. Project capex normalises faster (11.5% of revenue) because start-ups outpace new awards. Terminal 3.5% growth and a 22x owner-FCF exit, consistent with the premium the market pays the Linde/Air Liquide duopoly.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</si>
  <si>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</si>
  <si>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</si>
  <si>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</si>
  <si>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</si>
  <si>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</si>
  <si>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</si>
  <si>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</si>
  <si>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</si>
  <si>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</si>
  <si>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</si>
  <si>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</si>
  <si>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</si>
  <si>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</si>
  <si>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</si>
  <si>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</si>
  <si>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</si>
  <si>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</si>
  <si>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</si>
  <si>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</si>
  <si>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</si>
  <si>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</si>
  <si>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</si>
  <si>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</si>
  <si>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</si>
  <si>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</si>
  <si>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</si>
  <si>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</si>
  <si>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</si>
  <si>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</si>
  <si>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</si>
  <si>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</si>
  <si>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</si>
  <si>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</si>
  <si>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</si>
  <si>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</si>
  <si>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</si>
  <si>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</si>
  <si>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</si>
  <si>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</si>
  <si>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</si>
  <si>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</si>
  <si>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</si>
  <si>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</si>
  <si>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</si>
  <si>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</si>
  <si>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</si>
  <si>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</si>
  <si>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</si>
  <si>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</si>
  <si>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</si>
  <si>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</si>
  <si>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</si>
  <si>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</si>
  <si>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</si>
  <si>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</si>
  <si>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</si>
  <si>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</si>
  <si>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</si>
  <si>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</si>
  <si>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</si>
  <si>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</si>
  <si>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</si>
  <si>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</si>
  <si>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</si>
  <si>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</si>
  <si>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</si>
  <si>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</si>
  <si>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</si>
  <si>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</si>
  <si>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</si>
  <si>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</si>
  <si>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</si>
  <si>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</si>
  <si>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</si>
  <si>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</si>
  <si>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LIN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</si>
  <si>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</si>
  <si>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</si>
  <si>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</si>
  <si>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</si>
  <si>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</si>
  <si>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</si>
  <si>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</si>
  <si>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</si>
  <si>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</si>
  <si>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</si>
  <si>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</si>
  <si>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</si>
  <si>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</si>
  <si>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</si>
  <si>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</si>
  <si>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</si>
  <si>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</si>
  <si>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</si>
  <si>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</si>
  <si>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</si>
  <si>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</si>
  <si>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</si>
  <si>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</si>
  <si>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</si>
  <si>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</si>
  <si>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</si>
  <si>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</si>
  <si>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</si>
  <si>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</si>
  <si>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</si>
  <si>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LIN owner-FCF component DCF: base case (millions, USD)</t>
  </si>
  <si>
    <t xml:space="preserve">LIN owner-FCF component DCF: bull case (millions, USD)</t>
  </si>
  <si>
    <t xml:space="preserve">LIN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</si>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</sst>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469.45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4793</v>
      </c>
      <c r="S2" s="0" t="n">
        <v>147</v>
      </c>
      <c r="AA2" s="0" t="s">
        <v>17</v>
      </c>
      <c r="AB2" s="0" t="s">
        <v>14</v>
      </c>
    </row>
    <row r="3" customFormat="false" ht="15" hidden="false" customHeight="false" outlineLevel="0" collapsed="false">
      <c r="A3" s="0" t="s">
        <v>64</v>
      </c>
      <c r="B3" s="0" t="n">
        <v>10534</v>
      </c>
      <c r="F3" s="0" t="n">
        <v>2247</v>
      </c>
      <c r="G3" s="0" t="n">
        <v>21.3309284222518</v>
      </c>
      <c r="H3" s="0" t="n">
        <v>3369</v>
      </c>
      <c r="I3" s="0" t="n">
        <v>1535</v>
      </c>
      <c r="J3" s="0" t="n">
        <v>14.5718625403456</v>
      </c>
      <c r="K3" s="0" t="n">
        <v>5.25</v>
      </c>
      <c r="M3" s="0" t="n">
        <v>1465</v>
      </c>
      <c r="O3" s="0" t="n">
        <v>5441</v>
      </c>
      <c r="S3" s="0" t="n">
        <v>524</v>
      </c>
      <c r="T3" s="0" t="n">
        <v>287.757</v>
      </c>
      <c r="U3" s="0" t="n">
        <v>39</v>
      </c>
      <c r="V3" s="0" t="n">
        <v>3</v>
      </c>
      <c r="AA3" s="0" t="s">
        <v>17</v>
      </c>
      <c r="AB3" s="0" t="s">
        <v>14</v>
      </c>
    </row>
    <row r="4" customFormat="false" ht="15" hidden="false" customHeight="false" outlineLevel="0" collapsed="false">
      <c r="A4" s="0" t="s">
        <v>65</v>
      </c>
      <c r="B4" s="0" t="n">
        <v>11358</v>
      </c>
      <c r="F4" s="0" t="n">
        <v>2444</v>
      </c>
      <c r="G4" s="0" t="n">
        <v>21.517872864941</v>
      </c>
      <c r="H4" s="0" t="n">
        <v>3628</v>
      </c>
      <c r="I4" s="0" t="n">
        <v>1306</v>
      </c>
      <c r="J4" s="0" t="n">
        <v>11.4985032576158</v>
      </c>
      <c r="K4" s="0" t="n">
        <v>4.36</v>
      </c>
      <c r="M4" s="0" t="n">
        <v>1311</v>
      </c>
      <c r="O4" s="0" t="n">
        <v>6511</v>
      </c>
      <c r="P4" s="0" t="n">
        <v>20436</v>
      </c>
      <c r="Q4" s="0" t="n">
        <v>13914</v>
      </c>
      <c r="R4" s="0" t="n">
        <v>9741</v>
      </c>
      <c r="S4" s="0" t="n">
        <v>617</v>
      </c>
      <c r="T4" s="0" t="n">
        <v>289.114</v>
      </c>
      <c r="U4" s="0" t="n">
        <v>59</v>
      </c>
      <c r="V4" s="0" t="n">
        <v>3.15</v>
      </c>
      <c r="AA4" s="0" t="s">
        <v>17</v>
      </c>
      <c r="AB4" s="0" t="s">
        <v>14</v>
      </c>
    </row>
    <row r="5" customFormat="false" ht="15" hidden="false" customHeight="false" outlineLevel="0" collapsed="false">
      <c r="A5" s="0" t="s">
        <v>66</v>
      </c>
      <c r="B5" s="0" t="n">
        <v>14836</v>
      </c>
      <c r="F5" s="0" t="n">
        <v>5247</v>
      </c>
      <c r="G5" s="0" t="n">
        <v>35.366675653815</v>
      </c>
      <c r="H5" s="0" t="n">
        <v>7077</v>
      </c>
      <c r="I5" s="0" t="n">
        <v>4402</v>
      </c>
      <c r="J5" s="0" t="n">
        <v>29.6710703693718</v>
      </c>
      <c r="K5" s="0" t="n">
        <v>13.26</v>
      </c>
      <c r="M5" s="0" t="n">
        <v>1883</v>
      </c>
      <c r="O5" s="0" t="n">
        <v>57080</v>
      </c>
      <c r="P5" s="0" t="n">
        <v>93386</v>
      </c>
      <c r="Q5" s="0" t="n">
        <v>36290</v>
      </c>
      <c r="R5" s="0" t="n">
        <v>15334</v>
      </c>
      <c r="S5" s="0" t="n">
        <v>4466</v>
      </c>
      <c r="T5" s="0" t="n">
        <v>547.24163</v>
      </c>
      <c r="U5" s="0" t="n">
        <v>62</v>
      </c>
      <c r="V5" s="0" t="n">
        <v>3.3</v>
      </c>
      <c r="AA5" s="0" t="s">
        <v>17</v>
      </c>
      <c r="AB5" s="0" t="s">
        <v>14</v>
      </c>
    </row>
    <row r="6" customFormat="false" ht="15" hidden="false" customHeight="false" outlineLevel="0" collapsed="false">
      <c r="A6" s="0" t="s">
        <v>67</v>
      </c>
      <c r="B6" s="0" t="n">
        <v>28228</v>
      </c>
      <c r="F6" s="0" t="n">
        <v>2933</v>
      </c>
      <c r="G6" s="0" t="n">
        <v>10.3903925180672</v>
      </c>
      <c r="H6" s="0" t="n">
        <v>7608</v>
      </c>
      <c r="I6" s="0" t="n">
        <v>2379</v>
      </c>
      <c r="J6" s="0" t="n">
        <v>8.42780218223041</v>
      </c>
      <c r="K6" s="0" t="n">
        <v>4.22</v>
      </c>
      <c r="M6" s="0" t="n">
        <v>3682</v>
      </c>
      <c r="O6" s="0" t="n">
        <v>51522</v>
      </c>
      <c r="P6" s="0" t="n">
        <v>86612</v>
      </c>
      <c r="Q6" s="0" t="n">
        <v>34977</v>
      </c>
      <c r="R6" s="0" t="n">
        <v>13755</v>
      </c>
      <c r="S6" s="0" t="n">
        <v>2700</v>
      </c>
      <c r="T6" s="0" t="n">
        <v>545.17</v>
      </c>
      <c r="U6" s="0" t="n">
        <v>95</v>
      </c>
      <c r="V6" s="0" t="n">
        <v>3.5</v>
      </c>
      <c r="AA6" s="0" t="s">
        <v>17</v>
      </c>
      <c r="AB6" s="0" t="s">
        <v>14</v>
      </c>
    </row>
    <row r="7" customFormat="false" ht="15" hidden="false" customHeight="false" outlineLevel="0" collapsed="false">
      <c r="A7" s="0" t="s">
        <v>68</v>
      </c>
      <c r="B7" s="0" t="n">
        <v>27243</v>
      </c>
      <c r="F7" s="0" t="n">
        <v>3322</v>
      </c>
      <c r="G7" s="0" t="n">
        <v>12.1939580809749</v>
      </c>
      <c r="H7" s="0" t="n">
        <v>7948</v>
      </c>
      <c r="I7" s="0" t="n">
        <v>2626</v>
      </c>
      <c r="J7" s="0" t="n">
        <v>9.63917336563521</v>
      </c>
      <c r="K7" s="0" t="n">
        <v>4.75</v>
      </c>
      <c r="L7" s="0" t="n">
        <v>7429</v>
      </c>
      <c r="M7" s="0" t="n">
        <v>3400</v>
      </c>
      <c r="N7" s="0" t="n">
        <v>4029</v>
      </c>
      <c r="O7" s="0" t="n">
        <v>49569</v>
      </c>
      <c r="P7" s="0" t="n">
        <v>88229</v>
      </c>
      <c r="Q7" s="0" t="n">
        <v>38647</v>
      </c>
      <c r="R7" s="0" t="n">
        <v>13654</v>
      </c>
      <c r="S7" s="0" t="n">
        <v>3754</v>
      </c>
      <c r="T7" s="0" t="n">
        <v>531.157</v>
      </c>
      <c r="U7" s="0" t="n">
        <v>133</v>
      </c>
      <c r="V7" s="0" t="n">
        <v>3.852</v>
      </c>
      <c r="AA7" s="0" t="s">
        <v>17</v>
      </c>
      <c r="AB7" s="0" t="s">
        <v>14</v>
      </c>
    </row>
    <row r="8" customFormat="false" ht="15" hidden="false" customHeight="false" outlineLevel="0" collapsed="false">
      <c r="A8" s="0" t="s">
        <v>69</v>
      </c>
      <c r="B8" s="0" t="n">
        <v>30793</v>
      </c>
      <c r="F8" s="0" t="n">
        <v>4984</v>
      </c>
      <c r="G8" s="0" t="n">
        <v>16.1854967037963</v>
      </c>
      <c r="H8" s="0" t="n">
        <v>9619</v>
      </c>
      <c r="I8" s="0" t="n">
        <v>3961</v>
      </c>
      <c r="J8" s="0" t="n">
        <v>12.8633130906375</v>
      </c>
      <c r="K8" s="0" t="n">
        <v>7.4</v>
      </c>
      <c r="L8" s="0" t="n">
        <v>9725</v>
      </c>
      <c r="M8" s="0" t="n">
        <v>3086</v>
      </c>
      <c r="N8" s="0" t="n">
        <v>6639</v>
      </c>
      <c r="O8" s="0" t="n">
        <v>45428</v>
      </c>
      <c r="P8" s="0" t="n">
        <v>81605</v>
      </c>
      <c r="Q8" s="0" t="n">
        <v>36164</v>
      </c>
      <c r="R8" s="0" t="n">
        <v>14753</v>
      </c>
      <c r="S8" s="0" t="n">
        <v>2823</v>
      </c>
      <c r="T8" s="0" t="n">
        <v>521.875</v>
      </c>
      <c r="U8" s="0" t="n">
        <v>128</v>
      </c>
      <c r="V8" s="0" t="n">
        <v>4.24</v>
      </c>
      <c r="AA8" s="0" t="s">
        <v>17</v>
      </c>
      <c r="AB8" s="0" t="s">
        <v>14</v>
      </c>
    </row>
    <row r="9" customFormat="false" ht="15" hidden="false" customHeight="false" outlineLevel="0" collapsed="false">
      <c r="A9" s="0" t="s">
        <v>70</v>
      </c>
      <c r="B9" s="0" t="n">
        <v>33364</v>
      </c>
      <c r="F9" s="0" t="n">
        <v>5369</v>
      </c>
      <c r="G9" s="0" t="n">
        <v>16.092195180434</v>
      </c>
      <c r="H9" s="0" t="n">
        <v>9573</v>
      </c>
      <c r="I9" s="0" t="n">
        <v>4281</v>
      </c>
      <c r="J9" s="0" t="n">
        <v>12.8311953003237</v>
      </c>
      <c r="K9" s="0" t="n">
        <v>8.3</v>
      </c>
      <c r="L9" s="0" t="n">
        <v>8864</v>
      </c>
      <c r="M9" s="0" t="n">
        <v>3173</v>
      </c>
      <c r="N9" s="0" t="n">
        <v>5691</v>
      </c>
      <c r="O9" s="0" t="n">
        <v>41374</v>
      </c>
      <c r="P9" s="0" t="n">
        <v>79658</v>
      </c>
      <c r="Q9" s="0" t="n">
        <v>38271</v>
      </c>
      <c r="R9" s="0" t="n">
        <v>15396</v>
      </c>
      <c r="S9" s="0" t="n">
        <v>5436</v>
      </c>
      <c r="T9" s="0" t="n">
        <v>504.038</v>
      </c>
      <c r="U9" s="0" t="n">
        <v>107</v>
      </c>
      <c r="V9" s="0" t="n">
        <v>4.68</v>
      </c>
      <c r="AA9" s="0" t="s">
        <v>17</v>
      </c>
      <c r="AB9" s="0" t="s">
        <v>14</v>
      </c>
    </row>
    <row r="10" customFormat="false" ht="15" hidden="false" customHeight="false" outlineLevel="0" collapsed="false">
      <c r="A10" s="0" t="s">
        <v>71</v>
      </c>
      <c r="B10" s="0" t="n">
        <v>32854</v>
      </c>
      <c r="F10" s="0" t="n">
        <v>8024</v>
      </c>
      <c r="G10" s="0" t="n">
        <v>24.4232056979363</v>
      </c>
      <c r="H10" s="0" t="n">
        <v>11840</v>
      </c>
      <c r="I10" s="0" t="n">
        <v>6341</v>
      </c>
      <c r="J10" s="0" t="n">
        <v>19.3005417909539</v>
      </c>
      <c r="K10" s="0" t="n">
        <v>12.7</v>
      </c>
      <c r="L10" s="0" t="n">
        <v>9305</v>
      </c>
      <c r="M10" s="0" t="n">
        <v>3787</v>
      </c>
      <c r="N10" s="0" t="n">
        <v>5518</v>
      </c>
      <c r="O10" s="0" t="n">
        <v>41082</v>
      </c>
      <c r="P10" s="0" t="n">
        <v>80811</v>
      </c>
      <c r="Q10" s="0" t="n">
        <v>39716</v>
      </c>
      <c r="R10" s="0" t="n">
        <v>15923</v>
      </c>
      <c r="S10" s="0" t="n">
        <v>4664</v>
      </c>
      <c r="T10" s="0" t="n">
        <v>492.29</v>
      </c>
      <c r="U10" s="0" t="n">
        <v>141</v>
      </c>
      <c r="V10" s="0" t="n">
        <v>5.1</v>
      </c>
      <c r="AA10" s="0" t="s">
        <v>17</v>
      </c>
      <c r="AB10" s="0" t="s">
        <v>14</v>
      </c>
    </row>
    <row r="11" customFormat="false" ht="15" hidden="false" customHeight="false" outlineLevel="0" collapsed="false">
      <c r="A11" s="0" t="s">
        <v>72</v>
      </c>
      <c r="B11" s="0" t="n">
        <v>33005</v>
      </c>
      <c r="F11" s="0" t="n">
        <v>8635</v>
      </c>
      <c r="G11" s="0" t="n">
        <v>26.162702620815</v>
      </c>
      <c r="H11" s="0" t="n">
        <v>12415</v>
      </c>
      <c r="I11" s="0" t="n">
        <v>6737</v>
      </c>
      <c r="J11" s="0" t="n">
        <v>20.4120587789729</v>
      </c>
      <c r="K11" s="0" t="n">
        <v>13.71</v>
      </c>
      <c r="L11" s="0" t="n">
        <v>9423</v>
      </c>
      <c r="M11" s="0" t="n">
        <v>4497</v>
      </c>
      <c r="N11" s="0" t="n">
        <v>4926</v>
      </c>
      <c r="O11" s="0" t="n">
        <v>39475</v>
      </c>
      <c r="P11" s="0" t="n">
        <v>80147</v>
      </c>
      <c r="Q11" s="0" t="n">
        <v>40659</v>
      </c>
      <c r="R11" s="0" t="n">
        <v>19457</v>
      </c>
      <c r="S11" s="0" t="n">
        <v>4850</v>
      </c>
      <c r="T11" s="0" t="n">
        <v>482.092</v>
      </c>
      <c r="U11" s="0" t="n">
        <v>160</v>
      </c>
      <c r="V11" s="0" t="n">
        <v>5.56</v>
      </c>
      <c r="AA11" s="0" t="s">
        <v>17</v>
      </c>
      <c r="AB11" s="0" t="s">
        <v>14</v>
      </c>
    </row>
    <row r="12" customFormat="false" ht="15" hidden="false" customHeight="false" outlineLevel="0" collapsed="false">
      <c r="A12" s="0" t="s">
        <v>73</v>
      </c>
      <c r="B12" s="0" t="n">
        <v>33986</v>
      </c>
      <c r="F12" s="0" t="n">
        <v>8923</v>
      </c>
      <c r="G12" s="0" t="n">
        <v>26.2549284999706</v>
      </c>
      <c r="H12" s="0" t="n">
        <v>12686</v>
      </c>
      <c r="I12" s="0" t="n">
        <v>7058</v>
      </c>
      <c r="J12" s="0" t="n">
        <v>20.7673748013888</v>
      </c>
      <c r="K12" s="0" t="n">
        <v>14.69</v>
      </c>
      <c r="L12" s="0" t="n">
        <v>10350</v>
      </c>
      <c r="M12" s="0" t="n">
        <v>5261</v>
      </c>
      <c r="N12" s="0" t="n">
        <v>5089</v>
      </c>
      <c r="O12" s="0" t="n">
        <v>39728</v>
      </c>
      <c r="P12" s="0" t="n">
        <v>86817</v>
      </c>
      <c r="Q12" s="0" t="n">
        <v>47076</v>
      </c>
      <c r="R12" s="0" t="n">
        <v>24275</v>
      </c>
      <c r="S12" s="0" t="n">
        <v>5056</v>
      </c>
      <c r="T12" s="0" t="n">
        <v>472.195</v>
      </c>
      <c r="U12" s="0" t="n">
        <v>164</v>
      </c>
      <c r="V12" s="0" t="n">
        <v>6</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469.45</v>
      </c>
    </row>
    <row r="3" customFormat="false" ht="15" hidden="false" customHeight="false" outlineLevel="0" collapsed="false">
      <c r="A3" s="0" t="s">
        <v>77</v>
      </c>
      <c r="B3" s="3" t="n">
        <v>463</v>
      </c>
    </row>
    <row r="4" customFormat="false" ht="15" hidden="false" customHeight="false" outlineLevel="0" collapsed="false">
      <c r="A4" s="0" t="s">
        <v>78</v>
      </c>
      <c r="B4" s="3" t="n">
        <v>23115</v>
      </c>
    </row>
    <row r="5" customFormat="false" ht="15" hidden="false" customHeight="false" outlineLevel="0" collapsed="false">
      <c r="A5" s="0" t="s">
        <v>79</v>
      </c>
      <c r="B5" s="3" t="n">
        <v>-1358</v>
      </c>
    </row>
    <row r="6" customFormat="false" ht="15" hidden="false" customHeight="false" outlineLevel="0" collapsed="false">
      <c r="A6" s="0" t="s">
        <v>80</v>
      </c>
      <c r="B6" s="3" t="n">
        <v>15</v>
      </c>
    </row>
    <row r="7" customFormat="false" ht="15" hidden="false" customHeight="false" outlineLevel="0" collapsed="false">
      <c r="A7" s="0" t="s">
        <v>81</v>
      </c>
      <c r="B7" s="3" t="n">
        <v>33986</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5.5</v>
      </c>
      <c r="D13" s="3" t="n">
        <v>2</v>
      </c>
      <c r="E13" s="3" t="n">
        <v>2</v>
      </c>
      <c r="F13" s="3" t="n">
        <v>2.5</v>
      </c>
      <c r="G13" s="3" t="n">
        <v>2.5</v>
      </c>
      <c r="H13" s="3" t="n">
        <v>2.5</v>
      </c>
      <c r="I13" s="3" t="n">
        <v>2.5</v>
      </c>
      <c r="J13" s="3" t="n">
        <v>2.5</v>
      </c>
      <c r="K13" s="3" t="n">
        <v>2.5</v>
      </c>
      <c r="L13" s="3" t="n">
        <v>2.5</v>
      </c>
    </row>
    <row r="14" customFormat="false" ht="15" hidden="false" customHeight="false" outlineLevel="0" collapsed="false">
      <c r="A14" s="0" t="s">
        <v>98</v>
      </c>
      <c r="C14" s="3" t="n">
        <v>37.8</v>
      </c>
      <c r="D14" s="3" t="n">
        <v>37.3</v>
      </c>
      <c r="E14" s="3" t="n">
        <v>37</v>
      </c>
      <c r="F14" s="3" t="n">
        <v>37</v>
      </c>
      <c r="G14" s="3" t="n">
        <v>37</v>
      </c>
      <c r="H14" s="3" t="n">
        <v>37</v>
      </c>
      <c r="I14" s="3" t="n">
        <v>37</v>
      </c>
      <c r="J14" s="3" t="n">
        <v>37</v>
      </c>
      <c r="K14" s="3" t="n">
        <v>37</v>
      </c>
      <c r="L14" s="3" t="n">
        <v>37</v>
      </c>
    </row>
    <row r="15" customFormat="false" ht="15" hidden="false" customHeight="false" outlineLevel="0" collapsed="false">
      <c r="A15" s="0" t="s">
        <v>99</v>
      </c>
      <c r="C15" s="3" t="n">
        <v>0.48</v>
      </c>
      <c r="D15" s="3" t="n">
        <v>0.48</v>
      </c>
      <c r="E15" s="3" t="n">
        <v>0.48</v>
      </c>
      <c r="F15" s="3" t="n">
        <v>0.48</v>
      </c>
      <c r="G15" s="3" t="n">
        <v>0.48</v>
      </c>
      <c r="H15" s="3" t="n">
        <v>0.48</v>
      </c>
      <c r="I15" s="3" t="n">
        <v>0.48</v>
      </c>
      <c r="J15" s="3" t="n">
        <v>0.48</v>
      </c>
      <c r="K15" s="3" t="n">
        <v>0.48</v>
      </c>
      <c r="L15" s="3" t="n">
        <v>0.48</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11</v>
      </c>
      <c r="D17" s="3" t="n">
        <v>11.2</v>
      </c>
      <c r="E17" s="3" t="n">
        <v>11.3</v>
      </c>
      <c r="F17" s="3" t="n">
        <v>11.3</v>
      </c>
      <c r="G17" s="3" t="n">
        <v>11.3</v>
      </c>
      <c r="H17" s="3" t="n">
        <v>11.3</v>
      </c>
      <c r="I17" s="3" t="n">
        <v>11.3</v>
      </c>
      <c r="J17" s="3" t="n">
        <v>11.3</v>
      </c>
      <c r="K17" s="3" t="n">
        <v>11.3</v>
      </c>
      <c r="L17" s="3" t="n">
        <v>11.3</v>
      </c>
    </row>
    <row r="18" customFormat="false" ht="15" hidden="false" customHeight="false" outlineLevel="0" collapsed="false">
      <c r="A18" s="0" t="s">
        <v>102</v>
      </c>
      <c r="C18" s="3" t="n">
        <v>16.5</v>
      </c>
      <c r="D18" s="3" t="n">
        <v>16</v>
      </c>
      <c r="E18" s="3" t="n">
        <v>15</v>
      </c>
      <c r="F18" s="3" t="n">
        <v>14</v>
      </c>
      <c r="G18" s="3" t="n">
        <v>13.5</v>
      </c>
      <c r="H18" s="3" t="n">
        <v>13</v>
      </c>
      <c r="I18" s="3" t="n">
        <v>13</v>
      </c>
      <c r="J18" s="3" t="n">
        <v>13</v>
      </c>
      <c r="K18" s="3" t="n">
        <v>13</v>
      </c>
      <c r="L18" s="3" t="n">
        <v>13</v>
      </c>
    </row>
    <row r="19" customFormat="false" ht="15" hidden="false" customHeight="false" outlineLevel="0" collapsed="false">
      <c r="A19" s="0" t="s">
        <v>103</v>
      </c>
      <c r="C19" s="3" t="n">
        <v>26.5</v>
      </c>
      <c r="D19" s="3" t="n">
        <v>26.5</v>
      </c>
      <c r="E19" s="3" t="n">
        <v>26.5</v>
      </c>
      <c r="F19" s="3" t="n">
        <v>26.5</v>
      </c>
      <c r="G19" s="3" t="n">
        <v>26.5</v>
      </c>
      <c r="H19" s="3" t="n">
        <v>26.5</v>
      </c>
      <c r="I19" s="3" t="n">
        <v>26.5</v>
      </c>
      <c r="J19" s="3" t="n">
        <v>26.5</v>
      </c>
      <c r="K19" s="3" t="n">
        <v>26.5</v>
      </c>
      <c r="L19" s="3" t="n">
        <v>26.5</v>
      </c>
    </row>
    <row r="20" customFormat="false" ht="15" hidden="false" customHeight="false" outlineLevel="0" collapsed="false">
      <c r="A20" s="0" t="s">
        <v>104</v>
      </c>
      <c r="B20" s="3" t="n">
        <v>8</v>
      </c>
    </row>
    <row r="21" customFormat="false" ht="15" hidden="false" customHeight="false" outlineLevel="0" collapsed="false">
      <c r="A21" s="0" t="s">
        <v>105</v>
      </c>
      <c r="B21" s="3" t="n">
        <v>2.5</v>
      </c>
    </row>
    <row r="22" customFormat="false" ht="15" hidden="false" customHeight="false" outlineLevel="0" collapsed="false">
      <c r="A22" s="0" t="s">
        <v>106</v>
      </c>
      <c r="B22" s="3" t="n">
        <v>16</v>
      </c>
    </row>
    <row r="23" customFormat="false" ht="15" hidden="false" customHeight="false" outlineLevel="0" collapsed="false">
      <c r="A23" s="0" t="s">
        <v>107</v>
      </c>
      <c r="B23" s="3" t="n">
        <v>-5</v>
      </c>
    </row>
    <row r="24" customFormat="false" ht="15" hidden="false" customHeight="false" outlineLevel="0" collapsed="false">
      <c r="A24" s="0" t="s">
        <v>108</v>
      </c>
      <c r="B24" s="3" t="n">
        <v>0.2</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7</v>
      </c>
      <c r="D27" s="3" t="n">
        <v>5.5</v>
      </c>
      <c r="E27" s="3" t="n">
        <v>5.5</v>
      </c>
      <c r="F27" s="3" t="n">
        <v>5</v>
      </c>
      <c r="G27" s="3" t="n">
        <v>4.5</v>
      </c>
      <c r="H27" s="3" t="n">
        <v>4</v>
      </c>
      <c r="I27" s="3" t="n">
        <v>4</v>
      </c>
      <c r="J27" s="3" t="n">
        <v>3.5</v>
      </c>
      <c r="K27" s="3" t="n">
        <v>3.5</v>
      </c>
      <c r="L27" s="3" t="n">
        <v>3</v>
      </c>
    </row>
    <row r="28" customFormat="false" ht="15" hidden="false" customHeight="false" outlineLevel="0" collapsed="false">
      <c r="A28" s="0" t="s">
        <v>98</v>
      </c>
      <c r="C28" s="3" t="n">
        <v>38.3</v>
      </c>
      <c r="D28" s="3" t="n">
        <v>38.5</v>
      </c>
      <c r="E28" s="3" t="n">
        <v>38.7</v>
      </c>
      <c r="F28" s="3" t="n">
        <v>38.9</v>
      </c>
      <c r="G28" s="3" t="n">
        <v>39</v>
      </c>
      <c r="H28" s="3" t="n">
        <v>39</v>
      </c>
      <c r="I28" s="3" t="n">
        <v>39</v>
      </c>
      <c r="J28" s="3" t="n">
        <v>39</v>
      </c>
      <c r="K28" s="3" t="n">
        <v>39</v>
      </c>
      <c r="L28" s="3" t="n">
        <v>39</v>
      </c>
    </row>
    <row r="29" customFormat="false" ht="15" hidden="false" customHeight="false" outlineLevel="0" collapsed="false">
      <c r="A29" s="0" t="s">
        <v>99</v>
      </c>
      <c r="C29" s="3" t="n">
        <v>0.48</v>
      </c>
      <c r="D29" s="3" t="n">
        <v>0.48</v>
      </c>
      <c r="E29" s="3" t="n">
        <v>0.48</v>
      </c>
      <c r="F29" s="3" t="n">
        <v>0.48</v>
      </c>
      <c r="G29" s="3" t="n">
        <v>0.48</v>
      </c>
      <c r="H29" s="3" t="n">
        <v>0.48</v>
      </c>
      <c r="I29" s="3" t="n">
        <v>0.48</v>
      </c>
      <c r="J29" s="3" t="n">
        <v>0.48</v>
      </c>
      <c r="K29" s="3" t="n">
        <v>0.48</v>
      </c>
      <c r="L29" s="3" t="n">
        <v>0.48</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11</v>
      </c>
      <c r="D31" s="3" t="n">
        <v>11</v>
      </c>
      <c r="E31" s="3" t="n">
        <v>11</v>
      </c>
      <c r="F31" s="3" t="n">
        <v>10.8</v>
      </c>
      <c r="G31" s="3" t="n">
        <v>10.6</v>
      </c>
      <c r="H31" s="3" t="n">
        <v>10.5</v>
      </c>
      <c r="I31" s="3" t="n">
        <v>10.5</v>
      </c>
      <c r="J31" s="3" t="n">
        <v>10.5</v>
      </c>
      <c r="K31" s="3" t="n">
        <v>10.5</v>
      </c>
      <c r="L31" s="3" t="n">
        <v>10.5</v>
      </c>
    </row>
    <row r="32" customFormat="false" ht="15" hidden="false" customHeight="false" outlineLevel="0" collapsed="false">
      <c r="A32" s="0" t="s">
        <v>102</v>
      </c>
      <c r="C32" s="3" t="n">
        <v>16</v>
      </c>
      <c r="D32" s="3" t="n">
        <v>15.5</v>
      </c>
      <c r="E32" s="3" t="n">
        <v>14.5</v>
      </c>
      <c r="F32" s="3" t="n">
        <v>13.5</v>
      </c>
      <c r="G32" s="3" t="n">
        <v>13</v>
      </c>
      <c r="H32" s="3" t="n">
        <v>12.5</v>
      </c>
      <c r="I32" s="3" t="n">
        <v>12</v>
      </c>
      <c r="J32" s="3" t="n">
        <v>12</v>
      </c>
      <c r="K32" s="3" t="n">
        <v>12</v>
      </c>
      <c r="L32" s="3" t="n">
        <v>12</v>
      </c>
    </row>
    <row r="33" customFormat="false" ht="15" hidden="false" customHeight="false" outlineLevel="0" collapsed="false">
      <c r="A33" s="0" t="s">
        <v>103</v>
      </c>
      <c r="C33" s="3" t="n">
        <v>25.5</v>
      </c>
      <c r="D33" s="3" t="n">
        <v>25.5</v>
      </c>
      <c r="E33" s="3" t="n">
        <v>25.5</v>
      </c>
      <c r="F33" s="3" t="n">
        <v>25</v>
      </c>
      <c r="G33" s="3" t="n">
        <v>25</v>
      </c>
      <c r="H33" s="3" t="n">
        <v>24.5</v>
      </c>
      <c r="I33" s="3" t="n">
        <v>24.5</v>
      </c>
      <c r="J33" s="3" t="n">
        <v>24</v>
      </c>
      <c r="K33" s="3" t="n">
        <v>24</v>
      </c>
      <c r="L33" s="3" t="n">
        <v>24</v>
      </c>
    </row>
    <row r="34" customFormat="false" ht="15" hidden="false" customHeight="false" outlineLevel="0" collapsed="false">
      <c r="A34" s="0" t="s">
        <v>104</v>
      </c>
      <c r="B34" s="3" t="n">
        <v>8</v>
      </c>
    </row>
    <row r="35" customFormat="false" ht="15" hidden="false" customHeight="false" outlineLevel="0" collapsed="false">
      <c r="A35" s="0" t="s">
        <v>105</v>
      </c>
      <c r="B35" s="3" t="n">
        <v>3</v>
      </c>
    </row>
    <row r="36" customFormat="false" ht="15" hidden="false" customHeight="false" outlineLevel="0" collapsed="false">
      <c r="A36" s="0" t="s">
        <v>106</v>
      </c>
      <c r="B36" s="3" t="n">
        <v>20</v>
      </c>
    </row>
    <row r="37" customFormat="false" ht="15" hidden="false" customHeight="false" outlineLevel="0" collapsed="false">
      <c r="A37" s="0" t="s">
        <v>107</v>
      </c>
      <c r="B37" s="3" t="n">
        <v>-5</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7.5</v>
      </c>
      <c r="D41" s="3" t="n">
        <v>6.5</v>
      </c>
      <c r="E41" s="3" t="n">
        <v>6.5</v>
      </c>
      <c r="F41" s="3" t="n">
        <v>6</v>
      </c>
      <c r="G41" s="3" t="n">
        <v>5.5</v>
      </c>
      <c r="H41" s="3" t="n">
        <v>5</v>
      </c>
      <c r="I41" s="3" t="n">
        <v>4.5</v>
      </c>
      <c r="J41" s="3" t="n">
        <v>4</v>
      </c>
      <c r="K41" s="3" t="n">
        <v>4</v>
      </c>
      <c r="L41" s="3" t="n">
        <v>3.5</v>
      </c>
    </row>
    <row r="42" customFormat="false" ht="15" hidden="false" customHeight="false" outlineLevel="0" collapsed="false">
      <c r="A42" s="0" t="s">
        <v>98</v>
      </c>
      <c r="C42" s="3" t="n">
        <v>38.5</v>
      </c>
      <c r="D42" s="3" t="n">
        <v>39</v>
      </c>
      <c r="E42" s="3" t="n">
        <v>39.5</v>
      </c>
      <c r="F42" s="3" t="n">
        <v>40</v>
      </c>
      <c r="G42" s="3" t="n">
        <v>40.3</v>
      </c>
      <c r="H42" s="3" t="n">
        <v>40.5</v>
      </c>
      <c r="I42" s="3" t="n">
        <v>40.5</v>
      </c>
      <c r="J42" s="3" t="n">
        <v>40.5</v>
      </c>
      <c r="K42" s="3" t="n">
        <v>40.5</v>
      </c>
      <c r="L42" s="3" t="n">
        <v>40.5</v>
      </c>
    </row>
    <row r="43" customFormat="false" ht="15" hidden="false" customHeight="false" outlineLevel="0" collapsed="false">
      <c r="A43" s="0" t="s">
        <v>99</v>
      </c>
      <c r="C43" s="3" t="n">
        <v>0.48</v>
      </c>
      <c r="D43" s="3" t="n">
        <v>0.48</v>
      </c>
      <c r="E43" s="3" t="n">
        <v>0.48</v>
      </c>
      <c r="F43" s="3" t="n">
        <v>0.48</v>
      </c>
      <c r="G43" s="3" t="n">
        <v>0.48</v>
      </c>
      <c r="H43" s="3" t="n">
        <v>0.48</v>
      </c>
      <c r="I43" s="3" t="n">
        <v>0.48</v>
      </c>
      <c r="J43" s="3" t="n">
        <v>0.48</v>
      </c>
      <c r="K43" s="3" t="n">
        <v>0.48</v>
      </c>
      <c r="L43" s="3" t="n">
        <v>0.48</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11</v>
      </c>
      <c r="D45" s="3" t="n">
        <v>11</v>
      </c>
      <c r="E45" s="3" t="n">
        <v>11</v>
      </c>
      <c r="F45" s="3" t="n">
        <v>10.8</v>
      </c>
      <c r="G45" s="3" t="n">
        <v>10.6</v>
      </c>
      <c r="H45" s="3" t="n">
        <v>10.5</v>
      </c>
      <c r="I45" s="3" t="n">
        <v>10.5</v>
      </c>
      <c r="J45" s="3" t="n">
        <v>10.5</v>
      </c>
      <c r="K45" s="3" t="n">
        <v>10.5</v>
      </c>
      <c r="L45" s="3" t="n">
        <v>10.5</v>
      </c>
    </row>
    <row r="46" customFormat="false" ht="15" hidden="false" customHeight="false" outlineLevel="0" collapsed="false">
      <c r="A46" s="0" t="s">
        <v>102</v>
      </c>
      <c r="C46" s="3" t="n">
        <v>16</v>
      </c>
      <c r="D46" s="3" t="n">
        <v>15</v>
      </c>
      <c r="E46" s="3" t="n">
        <v>14</v>
      </c>
      <c r="F46" s="3" t="n">
        <v>12.5</v>
      </c>
      <c r="G46" s="3" t="n">
        <v>12</v>
      </c>
      <c r="H46" s="3" t="n">
        <v>11.5</v>
      </c>
      <c r="I46" s="3" t="n">
        <v>11.5</v>
      </c>
      <c r="J46" s="3" t="n">
        <v>11.5</v>
      </c>
      <c r="K46" s="3" t="n">
        <v>11.5</v>
      </c>
      <c r="L46" s="3" t="n">
        <v>11.5</v>
      </c>
    </row>
    <row r="47" customFormat="false" ht="15" hidden="false" customHeight="false" outlineLevel="0" collapsed="false">
      <c r="A47" s="0" t="s">
        <v>103</v>
      </c>
      <c r="C47" s="3" t="n">
        <v>25</v>
      </c>
      <c r="D47" s="3" t="n">
        <v>25</v>
      </c>
      <c r="E47" s="3" t="n">
        <v>24.5</v>
      </c>
      <c r="F47" s="3" t="n">
        <v>24.5</v>
      </c>
      <c r="G47" s="3" t="n">
        <v>24</v>
      </c>
      <c r="H47" s="3" t="n">
        <v>24</v>
      </c>
      <c r="I47" s="3" t="n">
        <v>23.5</v>
      </c>
      <c r="J47" s="3" t="n">
        <v>23.5</v>
      </c>
      <c r="K47" s="3" t="n">
        <v>23.5</v>
      </c>
      <c r="L47" s="3" t="n">
        <v>23.5</v>
      </c>
    </row>
    <row r="48" customFormat="false" ht="15" hidden="false" customHeight="false" outlineLevel="0" collapsed="false">
      <c r="A48" s="0" t="s">
        <v>104</v>
      </c>
      <c r="B48" s="3" t="n">
        <v>8</v>
      </c>
    </row>
    <row r="49" customFormat="false" ht="15" hidden="false" customHeight="false" outlineLevel="0" collapsed="false">
      <c r="A49" s="0" t="s">
        <v>105</v>
      </c>
      <c r="B49" s="3" t="n">
        <v>3.5</v>
      </c>
    </row>
    <row r="50" customFormat="false" ht="15" hidden="false" customHeight="false" outlineLevel="0" collapsed="false">
      <c r="A50" s="0" t="s">
        <v>106</v>
      </c>
      <c r="B50" s="3" t="n">
        <v>22</v>
      </c>
    </row>
    <row r="51" customFormat="false" ht="15" hidden="false" customHeight="false" outlineLevel="0" collapsed="false">
      <c r="A51" s="0" t="s">
        <v>107</v>
      </c>
      <c r="B51" s="3" t="n">
        <v>-5</v>
      </c>
    </row>
    <row r="52" customFormat="false" ht="15" hidden="false" customHeight="false" outlineLevel="0" collapsed="false">
      <c r="A52" s="0" t="s">
        <v>108</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5.5</v>
      </c>
      <c r="D5" s="4" t="n">
        <f aca="false">Assumptions!D13</f>
        <v>2</v>
      </c>
      <c r="E5" s="4" t="n">
        <f aca="false">Assumptions!E13</f>
        <v>2</v>
      </c>
      <c r="F5" s="4" t="n">
        <f aca="false">Assumptions!F13</f>
        <v>2.5</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33986</v>
      </c>
      <c r="C6" s="0" t="n">
        <f aca="false">B6*(1+C5/100)</f>
        <v>35855.23</v>
      </c>
      <c r="D6" s="0" t="n">
        <f aca="false">C6*(1+D5/100)</f>
        <v>36572.3346</v>
      </c>
      <c r="E6" s="0" t="n">
        <f aca="false">D6*(1+E5/100)</f>
        <v>37303.781292</v>
      </c>
      <c r="F6" s="0" t="n">
        <f aca="false">E6*(1+F5/100)</f>
        <v>38236.3758243</v>
      </c>
      <c r="G6" s="0" t="n">
        <f aca="false">F6*(1+G5/100)</f>
        <v>39192.2852199075</v>
      </c>
      <c r="H6" s="0" t="n">
        <f aca="false">G6*(1+H5/100)</f>
        <v>40172.0923504052</v>
      </c>
      <c r="I6" s="0" t="n">
        <f aca="false">H6*(1+I5/100)</f>
        <v>41176.3946591653</v>
      </c>
      <c r="J6" s="0" t="n">
        <f aca="false">I6*(1+J5/100)</f>
        <v>42205.8045256444</v>
      </c>
      <c r="K6" s="0" t="n">
        <f aca="false">J6*(1+K5/100)</f>
        <v>43260.9496387855</v>
      </c>
      <c r="L6" s="0" t="n">
        <f aca="false">K6*(1+L5/100)</f>
        <v>44342.4733797552</v>
      </c>
    </row>
    <row r="7" customFormat="false" ht="15" hidden="false" customHeight="false" outlineLevel="0" collapsed="false">
      <c r="A7" s="0" t="s">
        <v>98</v>
      </c>
      <c r="C7" s="4" t="n">
        <f aca="false">Assumptions!C14</f>
        <v>37.8</v>
      </c>
      <c r="D7" s="4" t="n">
        <f aca="false">Assumptions!D14</f>
        <v>37.3</v>
      </c>
      <c r="E7" s="4" t="n">
        <f aca="false">Assumptions!E14</f>
        <v>37</v>
      </c>
      <c r="F7" s="4" t="n">
        <f aca="false">Assumptions!F14</f>
        <v>37</v>
      </c>
      <c r="G7" s="4" t="n">
        <f aca="false">Assumptions!G14</f>
        <v>37</v>
      </c>
      <c r="H7" s="4" t="n">
        <f aca="false">Assumptions!H14</f>
        <v>37</v>
      </c>
      <c r="I7" s="4" t="n">
        <f aca="false">Assumptions!I14</f>
        <v>37</v>
      </c>
      <c r="J7" s="4" t="n">
        <f aca="false">Assumptions!J14</f>
        <v>37</v>
      </c>
      <c r="K7" s="4" t="n">
        <f aca="false">Assumptions!K14</f>
        <v>37</v>
      </c>
      <c r="L7" s="4" t="n">
        <f aca="false">Assumptions!L14</f>
        <v>37</v>
      </c>
    </row>
    <row r="8" customFormat="false" ht="15" hidden="false" customHeight="false" outlineLevel="0" collapsed="false">
      <c r="A8" s="0" t="s">
        <v>43</v>
      </c>
      <c r="C8" s="0" t="n">
        <f aca="false">C6*C7/100</f>
        <v>13553.27694</v>
      </c>
      <c r="D8" s="0" t="n">
        <f aca="false">D6*D7/100</f>
        <v>13641.4808058</v>
      </c>
      <c r="E8" s="0" t="n">
        <f aca="false">E6*E7/100</f>
        <v>13802.39907804</v>
      </c>
      <c r="F8" s="0" t="n">
        <f aca="false">F6*F7/100</f>
        <v>14147.459054991</v>
      </c>
      <c r="G8" s="0" t="n">
        <f aca="false">G6*G7/100</f>
        <v>14501.1455313658</v>
      </c>
      <c r="H8" s="0" t="n">
        <f aca="false">H6*H7/100</f>
        <v>14863.6741696499</v>
      </c>
      <c r="I8" s="0" t="n">
        <f aca="false">I6*I7/100</f>
        <v>15235.2660238912</v>
      </c>
      <c r="J8" s="0" t="n">
        <f aca="false">J6*J7/100</f>
        <v>15616.1476744884</v>
      </c>
      <c r="K8" s="0" t="n">
        <f aca="false">K6*K7/100</f>
        <v>16006.5513663506</v>
      </c>
      <c r="L8" s="0" t="n">
        <f aca="false">L6*L7/100</f>
        <v>16406.7151505094</v>
      </c>
    </row>
    <row r="9" customFormat="false" ht="15" hidden="false" customHeight="false" outlineLevel="0" collapsed="false">
      <c r="A9" s="0" t="s">
        <v>99</v>
      </c>
      <c r="C9" s="4" t="n">
        <f aca="false">Assumptions!C15</f>
        <v>0.48</v>
      </c>
      <c r="D9" s="4" t="n">
        <f aca="false">Assumptions!D15</f>
        <v>0.48</v>
      </c>
      <c r="E9" s="4" t="n">
        <f aca="false">Assumptions!E15</f>
        <v>0.48</v>
      </c>
      <c r="F9" s="4" t="n">
        <f aca="false">Assumptions!F15</f>
        <v>0.48</v>
      </c>
      <c r="G9" s="4" t="n">
        <f aca="false">Assumptions!G15</f>
        <v>0.48</v>
      </c>
      <c r="H9" s="4" t="n">
        <f aca="false">Assumptions!H15</f>
        <v>0.48</v>
      </c>
      <c r="I9" s="4" t="n">
        <f aca="false">Assumptions!I15</f>
        <v>0.48</v>
      </c>
      <c r="J9" s="4" t="n">
        <f aca="false">Assumptions!J15</f>
        <v>0.48</v>
      </c>
      <c r="K9" s="4" t="n">
        <f aca="false">Assumptions!K15</f>
        <v>0.48</v>
      </c>
      <c r="L9" s="4" t="n">
        <f aca="false">Assumptions!L15</f>
        <v>0.48</v>
      </c>
    </row>
    <row r="10" customFormat="false" ht="15" hidden="false" customHeight="false" outlineLevel="0" collapsed="false">
      <c r="A10" s="0" t="s">
        <v>114</v>
      </c>
      <c r="C10" s="0" t="n">
        <f aca="false">-C6*C9/100</f>
        <v>-172.105104</v>
      </c>
      <c r="D10" s="0" t="n">
        <f aca="false">-D6*D9/100</f>
        <v>-175.54720608</v>
      </c>
      <c r="E10" s="0" t="n">
        <f aca="false">-E6*E9/100</f>
        <v>-179.0581502016</v>
      </c>
      <c r="F10" s="0" t="n">
        <f aca="false">-F6*F9/100</f>
        <v>-183.53460395664</v>
      </c>
      <c r="G10" s="0" t="n">
        <f aca="false">-G6*G9/100</f>
        <v>-188.122969055556</v>
      </c>
      <c r="H10" s="0" t="n">
        <f aca="false">-H6*H9/100</f>
        <v>-192.826043281945</v>
      </c>
      <c r="I10" s="0" t="n">
        <f aca="false">-I6*I9/100</f>
        <v>-197.646694363993</v>
      </c>
      <c r="J10" s="0" t="n">
        <f aca="false">-J6*J9/100</f>
        <v>-202.587861723093</v>
      </c>
      <c r="K10" s="0" t="n">
        <f aca="false">-K6*K9/100</f>
        <v>-207.652558266171</v>
      </c>
      <c r="L10" s="0" t="n">
        <f aca="false">-L6*L9/100</f>
        <v>-212.843872222825</v>
      </c>
    </row>
    <row r="11" customFormat="false" ht="15" hidden="false" customHeight="false" outlineLevel="0" collapsed="false">
      <c r="A11" s="0" t="s">
        <v>115</v>
      </c>
      <c r="C11" s="0" t="n">
        <f aca="false">C8+C10+C24</f>
        <v>13381.171836</v>
      </c>
      <c r="D11" s="0" t="n">
        <f aca="false">D8+D10+D24</f>
        <v>13465.93359972</v>
      </c>
      <c r="E11" s="0" t="n">
        <f aca="false">E8+E10+E24</f>
        <v>13623.3409278384</v>
      </c>
      <c r="F11" s="0" t="n">
        <f aca="false">F8+F10+F24</f>
        <v>13963.9244510344</v>
      </c>
      <c r="G11" s="0" t="n">
        <f aca="false">G8+G10+G24</f>
        <v>14313.0225623102</v>
      </c>
      <c r="H11" s="0" t="n">
        <f aca="false">H8+H10+H24</f>
        <v>14670.848126368</v>
      </c>
      <c r="I11" s="0" t="n">
        <f aca="false">I8+I10+I24</f>
        <v>15037.6193295272</v>
      </c>
      <c r="J11" s="0" t="n">
        <f aca="false">J8+J10+J24</f>
        <v>15413.5598127653</v>
      </c>
      <c r="K11" s="0" t="n">
        <f aca="false">K8+K10+K24</f>
        <v>15798.8988080845</v>
      </c>
      <c r="L11" s="0" t="n">
        <f aca="false">L8+L10+L24</f>
        <v>16193.8712782866</v>
      </c>
    </row>
    <row r="12" customFormat="false" ht="15" hidden="false" customHeight="false" outlineLevel="0" collapsed="false">
      <c r="A12" s="0" t="s">
        <v>116</v>
      </c>
      <c r="C12" s="4" t="n">
        <f aca="false">-C6*Assumptions!C17/100</f>
        <v>-3944.0753</v>
      </c>
      <c r="D12" s="4" t="n">
        <f aca="false">-D6*Assumptions!D17/100</f>
        <v>-4096.1014752</v>
      </c>
      <c r="E12" s="4" t="n">
        <f aca="false">-E6*Assumptions!E17/100</f>
        <v>-4215.327285996</v>
      </c>
      <c r="F12" s="4" t="n">
        <f aca="false">-F6*Assumptions!F17/100</f>
        <v>-4320.7104681459</v>
      </c>
      <c r="G12" s="4" t="n">
        <f aca="false">-G6*Assumptions!G17/100</f>
        <v>-4428.72822984955</v>
      </c>
      <c r="H12" s="4" t="n">
        <f aca="false">-H6*Assumptions!H17/100</f>
        <v>-4539.44643559578</v>
      </c>
      <c r="I12" s="4" t="n">
        <f aca="false">-I6*Assumptions!I17/100</f>
        <v>-4652.93259648568</v>
      </c>
      <c r="J12" s="4" t="n">
        <f aca="false">-J6*Assumptions!J17/100</f>
        <v>-4769.25591139782</v>
      </c>
      <c r="K12" s="4" t="n">
        <f aca="false">-K6*Assumptions!K17/100</f>
        <v>-4888.48730918277</v>
      </c>
      <c r="L12" s="4" t="n">
        <f aca="false">-L6*Assumptions!L17/100</f>
        <v>-5010.69949191233</v>
      </c>
    </row>
    <row r="13" customFormat="false" ht="15" hidden="false" customHeight="false" outlineLevel="0" collapsed="false">
      <c r="A13" s="0" t="s">
        <v>117</v>
      </c>
      <c r="C13" s="0" t="n">
        <f aca="false">C11+C12</f>
        <v>9437.096536</v>
      </c>
      <c r="D13" s="0" t="n">
        <f aca="false">D11+D12</f>
        <v>9369.83212452</v>
      </c>
      <c r="E13" s="0" t="n">
        <f aca="false">E11+E12</f>
        <v>9408.0136418424</v>
      </c>
      <c r="F13" s="0" t="n">
        <f aca="false">F11+F12</f>
        <v>9643.21398288846</v>
      </c>
      <c r="G13" s="0" t="n">
        <f aca="false">G11+G12</f>
        <v>9884.29433246067</v>
      </c>
      <c r="H13" s="0" t="n">
        <f aca="false">H11+H12</f>
        <v>10131.4016907722</v>
      </c>
      <c r="I13" s="0" t="n">
        <f aca="false">I11+I12</f>
        <v>10384.6867330415</v>
      </c>
      <c r="J13" s="0" t="n">
        <f aca="false">J11+J12</f>
        <v>10644.3039013675</v>
      </c>
      <c r="K13" s="0" t="n">
        <f aca="false">K11+K12</f>
        <v>10910.4114989017</v>
      </c>
      <c r="L13" s="0" t="n">
        <f aca="false">L11+L12</f>
        <v>11183.1717863743</v>
      </c>
    </row>
    <row r="14" customFormat="false" ht="15" hidden="false" customHeight="false" outlineLevel="0" collapsed="false">
      <c r="A14" s="0" t="s">
        <v>103</v>
      </c>
      <c r="C14" s="4" t="n">
        <f aca="false">Assumptions!C19</f>
        <v>26.5</v>
      </c>
      <c r="D14" s="4" t="n">
        <f aca="false">Assumptions!D19</f>
        <v>26.5</v>
      </c>
      <c r="E14" s="4" t="n">
        <f aca="false">Assumptions!E19</f>
        <v>26.5</v>
      </c>
      <c r="F14" s="4" t="n">
        <f aca="false">Assumptions!F19</f>
        <v>26.5</v>
      </c>
      <c r="G14" s="4" t="n">
        <f aca="false">Assumptions!G19</f>
        <v>26.5</v>
      </c>
      <c r="H14" s="4" t="n">
        <f aca="false">Assumptions!H19</f>
        <v>26.5</v>
      </c>
      <c r="I14" s="4" t="n">
        <f aca="false">Assumptions!I19</f>
        <v>26.5</v>
      </c>
      <c r="J14" s="4" t="n">
        <f aca="false">Assumptions!J19</f>
        <v>26.5</v>
      </c>
      <c r="K14" s="4" t="n">
        <f aca="false">Assumptions!K19</f>
        <v>26.5</v>
      </c>
      <c r="L14" s="4" t="n">
        <f aca="false">Assumptions!L19</f>
        <v>26.5</v>
      </c>
    </row>
    <row r="15" customFormat="false" ht="15" hidden="false" customHeight="false" outlineLevel="0" collapsed="false">
      <c r="A15" s="0" t="s">
        <v>118</v>
      </c>
      <c r="C15" s="0" t="n">
        <f aca="false">C13-MAX(0,C13)*C14/100</f>
        <v>6936.26595396</v>
      </c>
      <c r="D15" s="0" t="n">
        <f aca="false">D13-MAX(0,D13)*D14/100</f>
        <v>6886.8266115222</v>
      </c>
      <c r="E15" s="0" t="n">
        <f aca="false">E13-MAX(0,E13)*E14/100</f>
        <v>6914.89002675417</v>
      </c>
      <c r="F15" s="0" t="n">
        <f aca="false">F13-MAX(0,F13)*F14/100</f>
        <v>7087.76227742302</v>
      </c>
      <c r="G15" s="0" t="n">
        <f aca="false">G13-MAX(0,G13)*G14/100</f>
        <v>7264.95633435859</v>
      </c>
      <c r="H15" s="0" t="n">
        <f aca="false">H13-MAX(0,H13)*H14/100</f>
        <v>7446.58024271756</v>
      </c>
      <c r="I15" s="0" t="n">
        <f aca="false">I13-MAX(0,I13)*I14/100</f>
        <v>7632.74474878549</v>
      </c>
      <c r="J15" s="0" t="n">
        <f aca="false">J13-MAX(0,J13)*J14/100</f>
        <v>7823.56336750513</v>
      </c>
      <c r="K15" s="0" t="n">
        <f aca="false">K13-MAX(0,K13)*K14/100</f>
        <v>8019.15245169276</v>
      </c>
      <c r="L15" s="0" t="n">
        <f aca="false">L13-MAX(0,L13)*L14/100</f>
        <v>8219.63126298508</v>
      </c>
    </row>
    <row r="16" customFormat="false" ht="15" hidden="false" customHeight="false" outlineLevel="0" collapsed="false">
      <c r="A16" s="0" t="s">
        <v>119</v>
      </c>
      <c r="C16" s="0" t="n">
        <f aca="false">-C12</f>
        <v>3944.0753</v>
      </c>
      <c r="D16" s="0" t="n">
        <f aca="false">-D12</f>
        <v>4096.1014752</v>
      </c>
      <c r="E16" s="0" t="n">
        <f aca="false">-E12</f>
        <v>4215.327285996</v>
      </c>
      <c r="F16" s="0" t="n">
        <f aca="false">-F12</f>
        <v>4320.7104681459</v>
      </c>
      <c r="G16" s="0" t="n">
        <f aca="false">-G12</f>
        <v>4428.72822984955</v>
      </c>
      <c r="H16" s="0" t="n">
        <f aca="false">-H12</f>
        <v>4539.44643559578</v>
      </c>
      <c r="I16" s="0" t="n">
        <f aca="false">-I12</f>
        <v>4652.93259648568</v>
      </c>
      <c r="J16" s="0" t="n">
        <f aca="false">-J12</f>
        <v>4769.25591139782</v>
      </c>
      <c r="K16" s="0" t="n">
        <f aca="false">-K12</f>
        <v>4888.48730918277</v>
      </c>
      <c r="L16" s="0" t="n">
        <f aca="false">-L12</f>
        <v>5010.69949191233</v>
      </c>
    </row>
    <row r="17" customFormat="false" ht="15" hidden="false" customHeight="false" outlineLevel="0" collapsed="false">
      <c r="A17" s="0" t="s">
        <v>120</v>
      </c>
      <c r="C17" s="4" t="n">
        <f aca="false">-C6*Assumptions!C18/100</f>
        <v>-5916.11295</v>
      </c>
      <c r="D17" s="4" t="n">
        <f aca="false">-D6*Assumptions!D18/100</f>
        <v>-5851.573536</v>
      </c>
      <c r="E17" s="4" t="n">
        <f aca="false">-E6*Assumptions!E18/100</f>
        <v>-5595.5671938</v>
      </c>
      <c r="F17" s="4" t="n">
        <f aca="false">-F6*Assumptions!F18/100</f>
        <v>-5353.092615402</v>
      </c>
      <c r="G17" s="4" t="n">
        <f aca="false">-G6*Assumptions!G18/100</f>
        <v>-5290.95850468751</v>
      </c>
      <c r="H17" s="4" t="n">
        <f aca="false">-H6*Assumptions!H18/100</f>
        <v>-5222.37200555267</v>
      </c>
      <c r="I17" s="4" t="n">
        <f aca="false">-I6*Assumptions!I18/100</f>
        <v>-5352.93130569149</v>
      </c>
      <c r="J17" s="4" t="n">
        <f aca="false">-J6*Assumptions!J18/100</f>
        <v>-5486.75458833377</v>
      </c>
      <c r="K17" s="4" t="n">
        <f aca="false">-K6*Assumptions!K18/100</f>
        <v>-5623.92345304212</v>
      </c>
      <c r="L17" s="4" t="n">
        <f aca="false">-L6*Assumptions!L18/100</f>
        <v>-5764.52153936817</v>
      </c>
    </row>
    <row r="18" customFormat="false" ht="15" hidden="false" customHeight="false" outlineLevel="0" collapsed="false">
      <c r="A18" s="0" t="s">
        <v>121</v>
      </c>
      <c r="C18" s="4" t="n">
        <f aca="false">(C6-B6)*Assumptions!$B$23/100</f>
        <v>-93.4614999999998</v>
      </c>
      <c r="D18" s="4" t="n">
        <f aca="false">(D6-C6)*Assumptions!$B$23/100</f>
        <v>-35.8552299999999</v>
      </c>
      <c r="E18" s="4" t="n">
        <f aca="false">(E6-D6)*Assumptions!$B$23/100</f>
        <v>-36.5723345999999</v>
      </c>
      <c r="F18" s="4" t="n">
        <f aca="false">(F6-E6)*Assumptions!$B$23/100</f>
        <v>-46.6297266149999</v>
      </c>
      <c r="G18" s="4" t="n">
        <f aca="false">(G6-F6)*Assumptions!$B$23/100</f>
        <v>-47.7954697803747</v>
      </c>
      <c r="H18" s="4" t="n">
        <f aca="false">(H6-G6)*Assumptions!$B$23/100</f>
        <v>-48.9903565248842</v>
      </c>
      <c r="I18" s="4" t="n">
        <f aca="false">(I6-H6)*Assumptions!$B$23/100</f>
        <v>-50.2151154380063</v>
      </c>
      <c r="J18" s="4" t="n">
        <f aca="false">(J6-I6)*Assumptions!$B$23/100</f>
        <v>-51.4704933239565</v>
      </c>
      <c r="K18" s="4" t="n">
        <f aca="false">(K6-J6)*Assumptions!$B$23/100</f>
        <v>-52.7572556570554</v>
      </c>
      <c r="L18" s="4" t="n">
        <f aca="false">(L6-K6)*Assumptions!$B$23/100</f>
        <v>-54.0761870484817</v>
      </c>
    </row>
    <row r="19" customFormat="false" ht="15" hidden="false" customHeight="false" outlineLevel="0" collapsed="false">
      <c r="A19" s="0" t="s">
        <v>122</v>
      </c>
      <c r="C19" s="0" t="n">
        <f aca="false">C15+C16+C17+C18</f>
        <v>4870.76680396</v>
      </c>
      <c r="D19" s="0" t="n">
        <f aca="false">D15+D16+D17+D18</f>
        <v>5095.4993207222</v>
      </c>
      <c r="E19" s="0" t="n">
        <f aca="false">E15+E16+E17+E18</f>
        <v>5498.07778435017</v>
      </c>
      <c r="F19" s="0" t="n">
        <f aca="false">F15+F16+F17+F18</f>
        <v>6008.75040355192</v>
      </c>
      <c r="G19" s="0" t="n">
        <f aca="false">G15+G16+G17+G18</f>
        <v>6354.93058974025</v>
      </c>
      <c r="H19" s="0" t="n">
        <f aca="false">H15+H16+H17+H18</f>
        <v>6714.66431623578</v>
      </c>
      <c r="I19" s="0" t="n">
        <f aca="false">I15+I16+I17+I18</f>
        <v>6882.53092414168</v>
      </c>
      <c r="J19" s="0" t="n">
        <f aca="false">J15+J16+J17+J18</f>
        <v>7054.59419724522</v>
      </c>
      <c r="K19" s="0" t="n">
        <f aca="false">K15+K16+K17+K18</f>
        <v>7230.95905217635</v>
      </c>
      <c r="L19" s="0" t="n">
        <f aca="false">L15+L16+L17+L18</f>
        <v>7411.73302848076</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4509.96926292592</v>
      </c>
      <c r="D21" s="0" t="n">
        <f aca="false">D19*D20</f>
        <v>4368.56937647651</v>
      </c>
      <c r="E21" s="0" t="n">
        <f aca="false">E19*E20</f>
        <v>4364.5514088539</v>
      </c>
      <c r="F21" s="0" t="n">
        <f aca="false">F19*F20</f>
        <v>4416.6109246134</v>
      </c>
      <c r="G21" s="0" t="n">
        <f aca="false">G19*G20</f>
        <v>4325.05897769301</v>
      </c>
      <c r="H21" s="0" t="n">
        <f aca="false">H19*H20</f>
        <v>4231.3775068076</v>
      </c>
      <c r="I21" s="0" t="n">
        <f aca="false">I19*I20</f>
        <v>4015.89068933129</v>
      </c>
      <c r="J21" s="0" t="n">
        <f aca="false">J19*J20</f>
        <v>3811.37773755979</v>
      </c>
      <c r="K21" s="0" t="n">
        <f aca="false">K19*K20</f>
        <v>3617.27979722109</v>
      </c>
      <c r="L21" s="0" t="n">
        <f aca="false">L19*L20</f>
        <v>3433.06647421446</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8</v>
      </c>
    </row>
    <row r="28" customFormat="false" ht="15" hidden="false" customHeight="false" outlineLevel="0" collapsed="false">
      <c r="A28" s="0" t="s">
        <v>105</v>
      </c>
      <c r="B28" s="4" t="n">
        <f aca="false">Assumptions!$B$21</f>
        <v>2.5</v>
      </c>
    </row>
    <row r="29" customFormat="false" ht="15" hidden="false" customHeight="false" outlineLevel="0" collapsed="false">
      <c r="A29" s="0" t="s">
        <v>106</v>
      </c>
      <c r="B29" s="4" t="n">
        <f aca="false">Assumptions!$B$22</f>
        <v>16</v>
      </c>
    </row>
    <row r="30" customFormat="false" ht="15" hidden="false" customHeight="false" outlineLevel="0" collapsed="false">
      <c r="A30" s="0" t="s">
        <v>127</v>
      </c>
      <c r="B30" s="0" t="n">
        <f aca="false">SUM(C21:L21)</f>
        <v>41093.752155697</v>
      </c>
    </row>
    <row r="31" customFormat="false" ht="15" hidden="false" customHeight="false" outlineLevel="0" collapsed="false">
      <c r="A31" s="0" t="s">
        <v>128</v>
      </c>
      <c r="B31" s="0" t="n">
        <f aca="false">L19</f>
        <v>7411.73302848076</v>
      </c>
    </row>
    <row r="32" customFormat="false" ht="15" hidden="false" customHeight="false" outlineLevel="0" collapsed="false">
      <c r="A32" s="0" t="s">
        <v>129</v>
      </c>
      <c r="B32" s="0" t="n">
        <f aca="false">IF(B27&gt;B28,B31*(1+B28/100)/((B27-B28)/100),B31*B29)</f>
        <v>138127.751894414</v>
      </c>
    </row>
    <row r="33" customFormat="false" ht="15" hidden="false" customHeight="false" outlineLevel="0" collapsed="false">
      <c r="A33" s="0" t="s">
        <v>130</v>
      </c>
      <c r="B33" s="0" t="n">
        <f aca="false">B31*B29</f>
        <v>118587.728455692</v>
      </c>
    </row>
    <row r="34" customFormat="false" ht="15" hidden="false" customHeight="false" outlineLevel="0" collapsed="false">
      <c r="A34" s="0" t="s">
        <v>131</v>
      </c>
      <c r="B34" s="0" t="n">
        <f aca="false">MAX(0,MIN(B32,B33))</f>
        <v>118587.728455692</v>
      </c>
    </row>
    <row r="35" customFormat="false" ht="15" hidden="false" customHeight="false" outlineLevel="0" collapsed="false">
      <c r="A35" s="0" t="s">
        <v>132</v>
      </c>
      <c r="B35" s="0" t="n">
        <f aca="false">B34/(1+B27/100)^L4</f>
        <v>54929.0635874314</v>
      </c>
    </row>
    <row r="36" customFormat="false" ht="15" hidden="false" customHeight="false" outlineLevel="0" collapsed="false">
      <c r="A36" s="0" t="s">
        <v>133</v>
      </c>
      <c r="B36" s="0" t="n">
        <f aca="false">B30+B35</f>
        <v>96022.8157431284</v>
      </c>
    </row>
    <row r="37" customFormat="false" ht="15" hidden="false" customHeight="false" outlineLevel="0" collapsed="false">
      <c r="A37" s="0" t="s">
        <v>134</v>
      </c>
      <c r="B37" s="0" t="n">
        <f aca="false">B36+Assumptions!$B$5-Assumptions!$B$4</f>
        <v>71549.8157431284</v>
      </c>
    </row>
    <row r="38" customFormat="false" ht="15" hidden="false" customHeight="false" outlineLevel="0" collapsed="false">
      <c r="A38" s="0" t="s">
        <v>135</v>
      </c>
      <c r="B38" s="0" t="n">
        <f aca="false">B37/Assumptions!$B$3*Assumptions!$B$10</f>
        <v>154.535239186022</v>
      </c>
    </row>
    <row r="39" customFormat="false" ht="15" hidden="false" customHeight="false" outlineLevel="0" collapsed="false">
      <c r="A39" s="0" t="s">
        <v>136</v>
      </c>
      <c r="B39" s="4" t="n">
        <f aca="false">B38/Assumptions!$B$2-1</f>
        <v>-0.670816403906652</v>
      </c>
    </row>
    <row r="41" customFormat="false" ht="15" hidden="false" customHeight="false" outlineLevel="0" collapsed="false">
      <c r="A41" s="0" t="s">
        <v>137</v>
      </c>
      <c r="B41" s="0" t="n">
        <f aca="false">SUMPRODUCT(-C10:L10/(1+$B$27/100)^C4:L4)</f>
        <v>1263.69474465676</v>
      </c>
    </row>
    <row r="42" customFormat="false" ht="15" hidden="false" customHeight="false" outlineLevel="0" collapsed="false">
      <c r="A42" s="0" t="s">
        <v>138</v>
      </c>
      <c r="B42" s="0" t="n">
        <f aca="false">IF(B27&gt;B28,-L10*(1+B28/100)/((B27-B28)/100),-L10*20)/(1+B27/100)^L4</f>
        <v>1837.31987240272</v>
      </c>
    </row>
    <row r="43" customFormat="false" ht="15" hidden="false" customHeight="false" outlineLevel="0" collapsed="false">
      <c r="A43" s="0" t="s">
        <v>139</v>
      </c>
      <c r="B43" s="0" t="n">
        <f aca="false">(B37+B41+B42)/Assumptions!$B$3*Assumptions!$B$10</f>
        <v>161.23289494641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60776.2108335422</v>
      </c>
    </row>
    <row r="47" customFormat="false" ht="15" hidden="false" customHeight="false" outlineLevel="0" collapsed="false">
      <c r="A47" s="0" t="s">
        <v>141</v>
      </c>
      <c r="B47" s="0" t="n">
        <f aca="false">(SUMPRODUCT(C19:L19/(1+B45/100)^C4:L4)+B46/(1+B45/100)^L4+Assumptions!$B$5-Assumptions!$B$4)/Assumptions!$B$3*Assumptions!$B$10</f>
        <v>44.3466513693623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7</v>
      </c>
      <c r="D5" s="4" t="n">
        <f aca="false">Assumptions!D27</f>
        <v>5.5</v>
      </c>
      <c r="E5" s="4" t="n">
        <f aca="false">Assumptions!E27</f>
        <v>5.5</v>
      </c>
      <c r="F5" s="4" t="n">
        <f aca="false">Assumptions!F27</f>
        <v>5</v>
      </c>
      <c r="G5" s="4" t="n">
        <f aca="false">Assumptions!G27</f>
        <v>4.5</v>
      </c>
      <c r="H5" s="4" t="n">
        <f aca="false">Assumptions!H27</f>
        <v>4</v>
      </c>
      <c r="I5" s="4" t="n">
        <f aca="false">Assumptions!I27</f>
        <v>4</v>
      </c>
      <c r="J5" s="4" t="n">
        <f aca="false">Assumptions!J27</f>
        <v>3.5</v>
      </c>
      <c r="K5" s="4" t="n">
        <f aca="false">Assumptions!K27</f>
        <v>3.5</v>
      </c>
      <c r="L5" s="4" t="n">
        <f aca="false">Assumptions!L27</f>
        <v>3</v>
      </c>
    </row>
    <row r="6" customFormat="false" ht="15" hidden="false" customHeight="false" outlineLevel="0" collapsed="false">
      <c r="A6" s="0" t="s">
        <v>37</v>
      </c>
      <c r="B6" s="3" t="n">
        <v>33986</v>
      </c>
      <c r="C6" s="0" t="n">
        <f aca="false">B6*(1+C5/100)</f>
        <v>36365.02</v>
      </c>
      <c r="D6" s="0" t="n">
        <f aca="false">C6*(1+D5/100)</f>
        <v>38365.0961</v>
      </c>
      <c r="E6" s="0" t="n">
        <f aca="false">D6*(1+E5/100)</f>
        <v>40475.1763855</v>
      </c>
      <c r="F6" s="0" t="n">
        <f aca="false">E6*(1+F5/100)</f>
        <v>42498.935204775</v>
      </c>
      <c r="G6" s="0" t="n">
        <f aca="false">F6*(1+G5/100)</f>
        <v>44411.3872889899</v>
      </c>
      <c r="H6" s="0" t="n">
        <f aca="false">G6*(1+H5/100)</f>
        <v>46187.8427805495</v>
      </c>
      <c r="I6" s="0" t="n">
        <f aca="false">H6*(1+I5/100)</f>
        <v>48035.3564917715</v>
      </c>
      <c r="J6" s="0" t="n">
        <f aca="false">I6*(1+J5/100)</f>
        <v>49716.5939689835</v>
      </c>
      <c r="K6" s="0" t="n">
        <f aca="false">J6*(1+K5/100)</f>
        <v>51456.6747578979</v>
      </c>
      <c r="L6" s="0" t="n">
        <f aca="false">K6*(1+L5/100)</f>
        <v>53000.3750006348</v>
      </c>
    </row>
    <row r="7" customFormat="false" ht="15" hidden="false" customHeight="false" outlineLevel="0" collapsed="false">
      <c r="A7" s="0" t="s">
        <v>98</v>
      </c>
      <c r="C7" s="4" t="n">
        <f aca="false">Assumptions!C28</f>
        <v>38.3</v>
      </c>
      <c r="D7" s="4" t="n">
        <f aca="false">Assumptions!D28</f>
        <v>38.5</v>
      </c>
      <c r="E7" s="4" t="n">
        <f aca="false">Assumptions!E28</f>
        <v>38.7</v>
      </c>
      <c r="F7" s="4" t="n">
        <f aca="false">Assumptions!F28</f>
        <v>38.9</v>
      </c>
      <c r="G7" s="4" t="n">
        <f aca="false">Assumptions!G28</f>
        <v>39</v>
      </c>
      <c r="H7" s="4" t="n">
        <f aca="false">Assumptions!H28</f>
        <v>39</v>
      </c>
      <c r="I7" s="4" t="n">
        <f aca="false">Assumptions!I28</f>
        <v>39</v>
      </c>
      <c r="J7" s="4" t="n">
        <f aca="false">Assumptions!J28</f>
        <v>39</v>
      </c>
      <c r="K7" s="4" t="n">
        <f aca="false">Assumptions!K28</f>
        <v>39</v>
      </c>
      <c r="L7" s="4" t="n">
        <f aca="false">Assumptions!L28</f>
        <v>39</v>
      </c>
    </row>
    <row r="8" customFormat="false" ht="15" hidden="false" customHeight="false" outlineLevel="0" collapsed="false">
      <c r="A8" s="0" t="s">
        <v>43</v>
      </c>
      <c r="C8" s="0" t="n">
        <f aca="false">C6*C7/100</f>
        <v>13927.80266</v>
      </c>
      <c r="D8" s="0" t="n">
        <f aca="false">D6*D7/100</f>
        <v>14770.5619985</v>
      </c>
      <c r="E8" s="0" t="n">
        <f aca="false">E6*E7/100</f>
        <v>15663.8932611885</v>
      </c>
      <c r="F8" s="0" t="n">
        <f aca="false">F6*F7/100</f>
        <v>16532.0857946575</v>
      </c>
      <c r="G8" s="0" t="n">
        <f aca="false">G6*G7/100</f>
        <v>17320.4410427061</v>
      </c>
      <c r="H8" s="0" t="n">
        <f aca="false">H6*H7/100</f>
        <v>18013.2586844143</v>
      </c>
      <c r="I8" s="0" t="n">
        <f aca="false">I6*I7/100</f>
        <v>18733.7890317909</v>
      </c>
      <c r="J8" s="0" t="n">
        <f aca="false">J6*J7/100</f>
        <v>19389.4716479035</v>
      </c>
      <c r="K8" s="0" t="n">
        <f aca="false">K6*K7/100</f>
        <v>20068.1031555802</v>
      </c>
      <c r="L8" s="0" t="n">
        <f aca="false">L6*L7/100</f>
        <v>20670.1462502476</v>
      </c>
    </row>
    <row r="9" customFormat="false" ht="15" hidden="false" customHeight="false" outlineLevel="0" collapsed="false">
      <c r="A9" s="0" t="s">
        <v>99</v>
      </c>
      <c r="C9" s="4" t="n">
        <f aca="false">Assumptions!C29</f>
        <v>0.48</v>
      </c>
      <c r="D9" s="4" t="n">
        <f aca="false">Assumptions!D29</f>
        <v>0.48</v>
      </c>
      <c r="E9" s="4" t="n">
        <f aca="false">Assumptions!E29</f>
        <v>0.48</v>
      </c>
      <c r="F9" s="4" t="n">
        <f aca="false">Assumptions!F29</f>
        <v>0.48</v>
      </c>
      <c r="G9" s="4" t="n">
        <f aca="false">Assumptions!G29</f>
        <v>0.48</v>
      </c>
      <c r="H9" s="4" t="n">
        <f aca="false">Assumptions!H29</f>
        <v>0.48</v>
      </c>
      <c r="I9" s="4" t="n">
        <f aca="false">Assumptions!I29</f>
        <v>0.48</v>
      </c>
      <c r="J9" s="4" t="n">
        <f aca="false">Assumptions!J29</f>
        <v>0.48</v>
      </c>
      <c r="K9" s="4" t="n">
        <f aca="false">Assumptions!K29</f>
        <v>0.48</v>
      </c>
      <c r="L9" s="4" t="n">
        <f aca="false">Assumptions!L29</f>
        <v>0.48</v>
      </c>
    </row>
    <row r="10" customFormat="false" ht="15" hidden="false" customHeight="false" outlineLevel="0" collapsed="false">
      <c r="A10" s="0" t="s">
        <v>114</v>
      </c>
      <c r="C10" s="0" t="n">
        <f aca="false">-C6*C9/100</f>
        <v>-174.552096</v>
      </c>
      <c r="D10" s="0" t="n">
        <f aca="false">-D6*D9/100</f>
        <v>-184.15246128</v>
      </c>
      <c r="E10" s="0" t="n">
        <f aca="false">-E6*E9/100</f>
        <v>-194.2808466504</v>
      </c>
      <c r="F10" s="0" t="n">
        <f aca="false">-F6*F9/100</f>
        <v>-203.99488898292</v>
      </c>
      <c r="G10" s="0" t="n">
        <f aca="false">-G6*G9/100</f>
        <v>-213.174658987151</v>
      </c>
      <c r="H10" s="0" t="n">
        <f aca="false">-H6*H9/100</f>
        <v>-221.701645346637</v>
      </c>
      <c r="I10" s="0" t="n">
        <f aca="false">-I6*I9/100</f>
        <v>-230.569711160503</v>
      </c>
      <c r="J10" s="0" t="n">
        <f aca="false">-J6*J9/100</f>
        <v>-238.639651051121</v>
      </c>
      <c r="K10" s="0" t="n">
        <f aca="false">-K6*K9/100</f>
        <v>-246.99203883791</v>
      </c>
      <c r="L10" s="0" t="n">
        <f aca="false">-L6*L9/100</f>
        <v>-254.401800003047</v>
      </c>
    </row>
    <row r="11" customFormat="false" ht="15" hidden="false" customHeight="false" outlineLevel="0" collapsed="false">
      <c r="A11" s="0" t="s">
        <v>115</v>
      </c>
      <c r="C11" s="0" t="n">
        <f aca="false">C8+C10+C24</f>
        <v>13753.250564</v>
      </c>
      <c r="D11" s="0" t="n">
        <f aca="false">D8+D10+D24</f>
        <v>14586.40953722</v>
      </c>
      <c r="E11" s="0" t="n">
        <f aca="false">E8+E10+E24</f>
        <v>15469.6124145381</v>
      </c>
      <c r="F11" s="0" t="n">
        <f aca="false">F8+F10+F24</f>
        <v>16328.0909056746</v>
      </c>
      <c r="G11" s="0" t="n">
        <f aca="false">G8+G10+G24</f>
        <v>17107.2663837189</v>
      </c>
      <c r="H11" s="0" t="n">
        <f aca="false">H8+H10+H24</f>
        <v>17791.5570390677</v>
      </c>
      <c r="I11" s="0" t="n">
        <f aca="false">I8+I10+I24</f>
        <v>18503.2193206304</v>
      </c>
      <c r="J11" s="0" t="n">
        <f aca="false">J8+J10+J24</f>
        <v>19150.8319968524</v>
      </c>
      <c r="K11" s="0" t="n">
        <f aca="false">K8+K10+K24</f>
        <v>19821.1111167423</v>
      </c>
      <c r="L11" s="0" t="n">
        <f aca="false">L8+L10+L24</f>
        <v>20415.7444502445</v>
      </c>
    </row>
    <row r="12" customFormat="false" ht="15" hidden="false" customHeight="false" outlineLevel="0" collapsed="false">
      <c r="A12" s="0" t="s">
        <v>116</v>
      </c>
      <c r="C12" s="4" t="n">
        <f aca="false">-C6*Assumptions!C31/100</f>
        <v>-4000.1522</v>
      </c>
      <c r="D12" s="4" t="n">
        <f aca="false">-D6*Assumptions!D31/100</f>
        <v>-4220.160571</v>
      </c>
      <c r="E12" s="4" t="n">
        <f aca="false">-E6*Assumptions!E31/100</f>
        <v>-4452.269402405</v>
      </c>
      <c r="F12" s="4" t="n">
        <f aca="false">-F6*Assumptions!F31/100</f>
        <v>-4589.8850021157</v>
      </c>
      <c r="G12" s="4" t="n">
        <f aca="false">-G6*Assumptions!G31/100</f>
        <v>-4707.60705263293</v>
      </c>
      <c r="H12" s="4" t="n">
        <f aca="false">-H6*Assumptions!H31/100</f>
        <v>-4849.7234919577</v>
      </c>
      <c r="I12" s="4" t="n">
        <f aca="false">-I6*Assumptions!I31/100</f>
        <v>-5043.712431636</v>
      </c>
      <c r="J12" s="4" t="n">
        <f aca="false">-J6*Assumptions!J31/100</f>
        <v>-5220.24236674326</v>
      </c>
      <c r="K12" s="4" t="n">
        <f aca="false">-K6*Assumptions!K31/100</f>
        <v>-5402.95084957928</v>
      </c>
      <c r="L12" s="4" t="n">
        <f aca="false">-L6*Assumptions!L31/100</f>
        <v>-5565.03937506665</v>
      </c>
    </row>
    <row r="13" customFormat="false" ht="15" hidden="false" customHeight="false" outlineLevel="0" collapsed="false">
      <c r="A13" s="0" t="s">
        <v>117</v>
      </c>
      <c r="C13" s="0" t="n">
        <f aca="false">C11+C12</f>
        <v>9753.098364</v>
      </c>
      <c r="D13" s="0" t="n">
        <f aca="false">D11+D12</f>
        <v>10366.24896622</v>
      </c>
      <c r="E13" s="0" t="n">
        <f aca="false">E11+E12</f>
        <v>11017.3430121331</v>
      </c>
      <c r="F13" s="0" t="n">
        <f aca="false">F11+F12</f>
        <v>11738.2059035589</v>
      </c>
      <c r="G13" s="0" t="n">
        <f aca="false">G11+G12</f>
        <v>12399.659331086</v>
      </c>
      <c r="H13" s="0" t="n">
        <f aca="false">H11+H12</f>
        <v>12941.83354711</v>
      </c>
      <c r="I13" s="0" t="n">
        <f aca="false">I11+I12</f>
        <v>13459.5068889944</v>
      </c>
      <c r="J13" s="0" t="n">
        <f aca="false">J11+J12</f>
        <v>13930.5896301092</v>
      </c>
      <c r="K13" s="0" t="n">
        <f aca="false">K11+K12</f>
        <v>14418.160267163</v>
      </c>
      <c r="L13" s="0" t="n">
        <f aca="false">L11+L12</f>
        <v>14850.7050751779</v>
      </c>
    </row>
    <row r="14" customFormat="false" ht="15" hidden="false" customHeight="false" outlineLevel="0" collapsed="false">
      <c r="A14" s="0" t="s">
        <v>103</v>
      </c>
      <c r="C14" s="4" t="n">
        <f aca="false">Assumptions!C33</f>
        <v>25.5</v>
      </c>
      <c r="D14" s="4" t="n">
        <f aca="false">Assumptions!D33</f>
        <v>25.5</v>
      </c>
      <c r="E14" s="4" t="n">
        <f aca="false">Assumptions!E33</f>
        <v>25.5</v>
      </c>
      <c r="F14" s="4" t="n">
        <f aca="false">Assumptions!F33</f>
        <v>25</v>
      </c>
      <c r="G14" s="4" t="n">
        <f aca="false">Assumptions!G33</f>
        <v>25</v>
      </c>
      <c r="H14" s="4" t="n">
        <f aca="false">Assumptions!H33</f>
        <v>24.5</v>
      </c>
      <c r="I14" s="4" t="n">
        <f aca="false">Assumptions!I33</f>
        <v>24.5</v>
      </c>
      <c r="J14" s="4" t="n">
        <f aca="false">Assumptions!J33</f>
        <v>24</v>
      </c>
      <c r="K14" s="4" t="n">
        <f aca="false">Assumptions!K33</f>
        <v>24</v>
      </c>
      <c r="L14" s="4" t="n">
        <f aca="false">Assumptions!L33</f>
        <v>24</v>
      </c>
    </row>
    <row r="15" customFormat="false" ht="15" hidden="false" customHeight="false" outlineLevel="0" collapsed="false">
      <c r="A15" s="0" t="s">
        <v>118</v>
      </c>
      <c r="C15" s="0" t="n">
        <f aca="false">C13-MAX(0,C13)*C14/100</f>
        <v>7266.05828118</v>
      </c>
      <c r="D15" s="0" t="n">
        <f aca="false">D13-MAX(0,D13)*D14/100</f>
        <v>7722.8554798339</v>
      </c>
      <c r="E15" s="0" t="n">
        <f aca="false">E13-MAX(0,E13)*E14/100</f>
        <v>8207.92054403916</v>
      </c>
      <c r="F15" s="0" t="n">
        <f aca="false">F13-MAX(0,F13)*F14/100</f>
        <v>8803.65442766914</v>
      </c>
      <c r="G15" s="0" t="n">
        <f aca="false">G13-MAX(0,G13)*G14/100</f>
        <v>9299.74449831448</v>
      </c>
      <c r="H15" s="0" t="n">
        <f aca="false">H13-MAX(0,H13)*H14/100</f>
        <v>9771.08432806802</v>
      </c>
      <c r="I15" s="0" t="n">
        <f aca="false">I13-MAX(0,I13)*I14/100</f>
        <v>10161.9277011907</v>
      </c>
      <c r="J15" s="0" t="n">
        <f aca="false">J13-MAX(0,J13)*J14/100</f>
        <v>10587.248118883</v>
      </c>
      <c r="K15" s="0" t="n">
        <f aca="false">K13-MAX(0,K13)*K14/100</f>
        <v>10957.8018030439</v>
      </c>
      <c r="L15" s="0" t="n">
        <f aca="false">L13-MAX(0,L13)*L14/100</f>
        <v>11286.5358571352</v>
      </c>
    </row>
    <row r="16" customFormat="false" ht="15" hidden="false" customHeight="false" outlineLevel="0" collapsed="false">
      <c r="A16" s="0" t="s">
        <v>119</v>
      </c>
      <c r="C16" s="0" t="n">
        <f aca="false">-C12</f>
        <v>4000.1522</v>
      </c>
      <c r="D16" s="0" t="n">
        <f aca="false">-D12</f>
        <v>4220.160571</v>
      </c>
      <c r="E16" s="0" t="n">
        <f aca="false">-E12</f>
        <v>4452.269402405</v>
      </c>
      <c r="F16" s="0" t="n">
        <f aca="false">-F12</f>
        <v>4589.8850021157</v>
      </c>
      <c r="G16" s="0" t="n">
        <f aca="false">-G12</f>
        <v>4707.60705263293</v>
      </c>
      <c r="H16" s="0" t="n">
        <f aca="false">-H12</f>
        <v>4849.7234919577</v>
      </c>
      <c r="I16" s="0" t="n">
        <f aca="false">-I12</f>
        <v>5043.712431636</v>
      </c>
      <c r="J16" s="0" t="n">
        <f aca="false">-J12</f>
        <v>5220.24236674326</v>
      </c>
      <c r="K16" s="0" t="n">
        <f aca="false">-K12</f>
        <v>5402.95084957928</v>
      </c>
      <c r="L16" s="0" t="n">
        <f aca="false">-L12</f>
        <v>5565.03937506665</v>
      </c>
    </row>
    <row r="17" customFormat="false" ht="15" hidden="false" customHeight="false" outlineLevel="0" collapsed="false">
      <c r="A17" s="0" t="s">
        <v>120</v>
      </c>
      <c r="C17" s="4" t="n">
        <f aca="false">-C6*Assumptions!C32/100</f>
        <v>-5818.4032</v>
      </c>
      <c r="D17" s="4" t="n">
        <f aca="false">-D6*Assumptions!D32/100</f>
        <v>-5946.5898955</v>
      </c>
      <c r="E17" s="4" t="n">
        <f aca="false">-E6*Assumptions!E32/100</f>
        <v>-5868.9005758975</v>
      </c>
      <c r="F17" s="4" t="n">
        <f aca="false">-F6*Assumptions!F32/100</f>
        <v>-5737.35625264463</v>
      </c>
      <c r="G17" s="4" t="n">
        <f aca="false">-G6*Assumptions!G32/100</f>
        <v>-5773.48034756868</v>
      </c>
      <c r="H17" s="4" t="n">
        <f aca="false">-H6*Assumptions!H32/100</f>
        <v>-5773.48034756868</v>
      </c>
      <c r="I17" s="4" t="n">
        <f aca="false">-I6*Assumptions!I32/100</f>
        <v>-5764.24277901257</v>
      </c>
      <c r="J17" s="4" t="n">
        <f aca="false">-J6*Assumptions!J32/100</f>
        <v>-5965.99127627801</v>
      </c>
      <c r="K17" s="4" t="n">
        <f aca="false">-K6*Assumptions!K32/100</f>
        <v>-6174.80097094775</v>
      </c>
      <c r="L17" s="4" t="n">
        <f aca="false">-L6*Assumptions!L32/100</f>
        <v>-6360.04500007618</v>
      </c>
    </row>
    <row r="18" customFormat="false" ht="15" hidden="false" customHeight="false" outlineLevel="0" collapsed="false">
      <c r="A18" s="0" t="s">
        <v>121</v>
      </c>
      <c r="C18" s="4" t="n">
        <f aca="false">(C6-B6)*Assumptions!$B$37/100</f>
        <v>-118.951</v>
      </c>
      <c r="D18" s="4" t="n">
        <f aca="false">(D6-C6)*Assumptions!$B$37/100</f>
        <v>-100.003805</v>
      </c>
      <c r="E18" s="4" t="n">
        <f aca="false">(E6-D6)*Assumptions!$B$37/100</f>
        <v>-105.504014275</v>
      </c>
      <c r="F18" s="4" t="n">
        <f aca="false">(F6-E6)*Assumptions!$B$37/100</f>
        <v>-101.18794096375</v>
      </c>
      <c r="G18" s="4" t="n">
        <f aca="false">(G6-F6)*Assumptions!$B$37/100</f>
        <v>-95.6226042107435</v>
      </c>
      <c r="H18" s="4" t="n">
        <f aca="false">(H6-G6)*Assumptions!$B$37/100</f>
        <v>-88.8227745779797</v>
      </c>
      <c r="I18" s="4" t="n">
        <f aca="false">(I6-H6)*Assumptions!$B$37/100</f>
        <v>-92.3756855610991</v>
      </c>
      <c r="J18" s="4" t="n">
        <f aca="false">(J6-I6)*Assumptions!$B$37/100</f>
        <v>-84.0618738605997</v>
      </c>
      <c r="K18" s="4" t="n">
        <f aca="false">(K6-J6)*Assumptions!$B$37/100</f>
        <v>-87.004039445721</v>
      </c>
      <c r="L18" s="4" t="n">
        <f aca="false">(L6-K6)*Assumptions!$B$37/100</f>
        <v>-77.1850121368469</v>
      </c>
    </row>
    <row r="19" customFormat="false" ht="15" hidden="false" customHeight="false" outlineLevel="0" collapsed="false">
      <c r="A19" s="0" t="s">
        <v>122</v>
      </c>
      <c r="C19" s="0" t="n">
        <f aca="false">C15+C16+C17+C18</f>
        <v>5328.85628118</v>
      </c>
      <c r="D19" s="0" t="n">
        <f aca="false">D15+D16+D17+D18</f>
        <v>5896.4223503339</v>
      </c>
      <c r="E19" s="0" t="n">
        <f aca="false">E15+E16+E17+E18</f>
        <v>6685.78535627166</v>
      </c>
      <c r="F19" s="0" t="n">
        <f aca="false">F15+F16+F17+F18</f>
        <v>7554.99523617647</v>
      </c>
      <c r="G19" s="0" t="n">
        <f aca="false">G15+G16+G17+G18</f>
        <v>8138.24859916798</v>
      </c>
      <c r="H19" s="0" t="n">
        <f aca="false">H15+H16+H17+H18</f>
        <v>8758.50469787905</v>
      </c>
      <c r="I19" s="0" t="n">
        <f aca="false">I15+I16+I17+I18</f>
        <v>9349.02166825307</v>
      </c>
      <c r="J19" s="0" t="n">
        <f aca="false">J15+J16+J17+J18</f>
        <v>9757.43733548761</v>
      </c>
      <c r="K19" s="0" t="n">
        <f aca="false">K15+K16+K17+K18</f>
        <v>10098.9476422297</v>
      </c>
      <c r="L19" s="0" t="n">
        <f aca="false">L15+L16+L17+L18</f>
        <v>10414.3452199888</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4934.12618627778</v>
      </c>
      <c r="D21" s="0" t="n">
        <f aca="false">D19*D20</f>
        <v>5055.23178183633</v>
      </c>
      <c r="E21" s="0" t="n">
        <f aca="false">E19*E20</f>
        <v>5307.39197234896</v>
      </c>
      <c r="F21" s="0" t="n">
        <f aca="false">F19*F20</f>
        <v>5553.1470363247</v>
      </c>
      <c r="G21" s="0" t="n">
        <f aca="false">G19*G20</f>
        <v>5538.7552498772</v>
      </c>
      <c r="H21" s="0" t="n">
        <f aca="false">H19*H20</f>
        <v>5519.34363751636</v>
      </c>
      <c r="I21" s="0" t="n">
        <f aca="false">I19*I20</f>
        <v>5455.06434852324</v>
      </c>
      <c r="J21" s="0" t="n">
        <f aca="false">J19*J20</f>
        <v>5271.63978484182</v>
      </c>
      <c r="K21" s="0" t="n">
        <f aca="false">K19*K20</f>
        <v>5051.98812714008</v>
      </c>
      <c r="L21" s="0" t="n">
        <f aca="false">L19*L20</f>
        <v>4823.85688856468</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8</v>
      </c>
    </row>
    <row r="28" customFormat="false" ht="15" hidden="false" customHeight="false" outlineLevel="0" collapsed="false">
      <c r="A28" s="0" t="s">
        <v>105</v>
      </c>
      <c r="B28" s="4" t="n">
        <f aca="false">Assumptions!$B$35</f>
        <v>3</v>
      </c>
    </row>
    <row r="29" customFormat="false" ht="15" hidden="false" customHeight="false" outlineLevel="0" collapsed="false">
      <c r="A29" s="0" t="s">
        <v>106</v>
      </c>
      <c r="B29" s="4" t="n">
        <f aca="false">Assumptions!$B$36</f>
        <v>20</v>
      </c>
    </row>
    <row r="30" customFormat="false" ht="15" hidden="false" customHeight="false" outlineLevel="0" collapsed="false">
      <c r="A30" s="0" t="s">
        <v>127</v>
      </c>
      <c r="B30" s="0" t="n">
        <f aca="false">SUM(C21:L21)</f>
        <v>52510.5450132512</v>
      </c>
    </row>
    <row r="31" customFormat="false" ht="15" hidden="false" customHeight="false" outlineLevel="0" collapsed="false">
      <c r="A31" s="0" t="s">
        <v>128</v>
      </c>
      <c r="B31" s="0" t="n">
        <f aca="false">L19</f>
        <v>10414.3452199888</v>
      </c>
    </row>
    <row r="32" customFormat="false" ht="15" hidden="false" customHeight="false" outlineLevel="0" collapsed="false">
      <c r="A32" s="0" t="s">
        <v>129</v>
      </c>
      <c r="B32" s="0" t="n">
        <f aca="false">IF(B27&gt;B28,B31*(1+B28/100)/((B27-B28)/100),B31*B29)</f>
        <v>214535.51153177</v>
      </c>
    </row>
    <row r="33" customFormat="false" ht="15" hidden="false" customHeight="false" outlineLevel="0" collapsed="false">
      <c r="A33" s="0" t="s">
        <v>130</v>
      </c>
      <c r="B33" s="0" t="n">
        <f aca="false">B31*B29</f>
        <v>208286.904399776</v>
      </c>
    </row>
    <row r="34" customFormat="false" ht="15" hidden="false" customHeight="false" outlineLevel="0" collapsed="false">
      <c r="A34" s="0" t="s">
        <v>131</v>
      </c>
      <c r="B34" s="0" t="n">
        <f aca="false">MAX(0,MIN(B32,B33))</f>
        <v>208286.904399776</v>
      </c>
    </row>
    <row r="35" customFormat="false" ht="15" hidden="false" customHeight="false" outlineLevel="0" collapsed="false">
      <c r="A35" s="0" t="s">
        <v>132</v>
      </c>
      <c r="B35" s="0" t="n">
        <f aca="false">B34/(1+B27/100)^L4</f>
        <v>96477.1377712935</v>
      </c>
    </row>
    <row r="36" customFormat="false" ht="15" hidden="false" customHeight="false" outlineLevel="0" collapsed="false">
      <c r="A36" s="0" t="s">
        <v>133</v>
      </c>
      <c r="B36" s="0" t="n">
        <f aca="false">B30+B35</f>
        <v>148987.682784545</v>
      </c>
    </row>
    <row r="37" customFormat="false" ht="15" hidden="false" customHeight="false" outlineLevel="0" collapsed="false">
      <c r="A37" s="0" t="s">
        <v>134</v>
      </c>
      <c r="B37" s="0" t="n">
        <f aca="false">B36+Assumptions!$B$5-Assumptions!$B$4</f>
        <v>124514.682784545</v>
      </c>
    </row>
    <row r="38" customFormat="false" ht="15" hidden="false" customHeight="false" outlineLevel="0" collapsed="false">
      <c r="A38" s="0" t="s">
        <v>135</v>
      </c>
      <c r="B38" s="0" t="n">
        <f aca="false">B37/Assumptions!$B$3*Assumptions!$B$10</f>
        <v>268.930200398585</v>
      </c>
    </row>
    <row r="39" customFormat="false" ht="15" hidden="false" customHeight="false" outlineLevel="0" collapsed="false">
      <c r="A39" s="0" t="s">
        <v>136</v>
      </c>
      <c r="B39" s="4" t="n">
        <f aca="false">B38/Assumptions!$B$2-1</f>
        <v>-0.42713771349753</v>
      </c>
    </row>
    <row r="41" customFormat="false" ht="15" hidden="false" customHeight="false" outlineLevel="0" collapsed="false">
      <c r="A41" s="0" t="s">
        <v>137</v>
      </c>
      <c r="B41" s="0" t="n">
        <f aca="false">SUMPRODUCT(-C10:L10/(1+$B$27/100)^C4:L4)</f>
        <v>1413.32439160086</v>
      </c>
    </row>
    <row r="42" customFormat="false" ht="15" hidden="false" customHeight="false" outlineLevel="0" collapsed="false">
      <c r="A42" s="0" t="s">
        <v>138</v>
      </c>
      <c r="B42" s="0" t="n">
        <f aca="false">IF(B27&gt;B28,-L10*(1+B28/100)/((B27-B28)/100),-L10*20)/(1+B27/100)^L4</f>
        <v>2427.44749663973</v>
      </c>
    </row>
    <row r="43" customFormat="false" ht="15" hidden="false" customHeight="false" outlineLevel="0" collapsed="false">
      <c r="A43" s="0" t="s">
        <v>139</v>
      </c>
      <c r="B43" s="0" t="n">
        <f aca="false">(B37+B41+B42)/Assumptions!$B$3*Assumptions!$B$10</f>
        <v>277.225604044893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89389.7964715706</v>
      </c>
    </row>
    <row r="47" customFormat="false" ht="15" hidden="false" customHeight="false" outlineLevel="0" collapsed="false">
      <c r="A47" s="0" t="s">
        <v>141</v>
      </c>
      <c r="B47" s="0" t="n">
        <f aca="false">(SUMPRODUCT(C19:L19/(1+B45/100)^C4:L4)+B46/(1+B45/100)^L4+Assumptions!$B$5-Assumptions!$B$4)/Assumptions!$B$3*Assumptions!$B$10</f>
        <v>76.4855352912538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7.5</v>
      </c>
      <c r="D5" s="4" t="n">
        <f aca="false">Assumptions!D41</f>
        <v>6.5</v>
      </c>
      <c r="E5" s="4" t="n">
        <f aca="false">Assumptions!E41</f>
        <v>6.5</v>
      </c>
      <c r="F5" s="4" t="n">
        <f aca="false">Assumptions!F41</f>
        <v>6</v>
      </c>
      <c r="G5" s="4" t="n">
        <f aca="false">Assumptions!G41</f>
        <v>5.5</v>
      </c>
      <c r="H5" s="4" t="n">
        <f aca="false">Assumptions!H41</f>
        <v>5</v>
      </c>
      <c r="I5" s="4" t="n">
        <f aca="false">Assumptions!I41</f>
        <v>4.5</v>
      </c>
      <c r="J5" s="4" t="n">
        <f aca="false">Assumptions!J41</f>
        <v>4</v>
      </c>
      <c r="K5" s="4" t="n">
        <f aca="false">Assumptions!K41</f>
        <v>4</v>
      </c>
      <c r="L5" s="4" t="n">
        <f aca="false">Assumptions!L41</f>
        <v>3.5</v>
      </c>
    </row>
    <row r="6" customFormat="false" ht="15" hidden="false" customHeight="false" outlineLevel="0" collapsed="false">
      <c r="A6" s="0" t="s">
        <v>37</v>
      </c>
      <c r="B6" s="3" t="n">
        <v>33986</v>
      </c>
      <c r="C6" s="0" t="n">
        <f aca="false">B6*(1+C5/100)</f>
        <v>36534.95</v>
      </c>
      <c r="D6" s="0" t="n">
        <f aca="false">C6*(1+D5/100)</f>
        <v>38909.72175</v>
      </c>
      <c r="E6" s="0" t="n">
        <f aca="false">D6*(1+E5/100)</f>
        <v>41438.85366375</v>
      </c>
      <c r="F6" s="0" t="n">
        <f aca="false">E6*(1+F5/100)</f>
        <v>43925.184883575</v>
      </c>
      <c r="G6" s="0" t="n">
        <f aca="false">F6*(1+G5/100)</f>
        <v>46341.0700521716</v>
      </c>
      <c r="H6" s="0" t="n">
        <f aca="false">G6*(1+H5/100)</f>
        <v>48658.1235547802</v>
      </c>
      <c r="I6" s="0" t="n">
        <f aca="false">H6*(1+I5/100)</f>
        <v>50847.7391147453</v>
      </c>
      <c r="J6" s="0" t="n">
        <f aca="false">I6*(1+J5/100)</f>
        <v>52881.6486793351</v>
      </c>
      <c r="K6" s="0" t="n">
        <f aca="false">J6*(1+K5/100)</f>
        <v>54996.9146265085</v>
      </c>
      <c r="L6" s="0" t="n">
        <f aca="false">K6*(1+L5/100)</f>
        <v>56921.8066384363</v>
      </c>
    </row>
    <row r="7" customFormat="false" ht="15" hidden="false" customHeight="false" outlineLevel="0" collapsed="false">
      <c r="A7" s="0" t="s">
        <v>98</v>
      </c>
      <c r="C7" s="4" t="n">
        <f aca="false">Assumptions!C42</f>
        <v>38.5</v>
      </c>
      <c r="D7" s="4" t="n">
        <f aca="false">Assumptions!D42</f>
        <v>39</v>
      </c>
      <c r="E7" s="4" t="n">
        <f aca="false">Assumptions!E42</f>
        <v>39.5</v>
      </c>
      <c r="F7" s="4" t="n">
        <f aca="false">Assumptions!F42</f>
        <v>40</v>
      </c>
      <c r="G7" s="4" t="n">
        <f aca="false">Assumptions!G42</f>
        <v>40.3</v>
      </c>
      <c r="H7" s="4" t="n">
        <f aca="false">Assumptions!H42</f>
        <v>40.5</v>
      </c>
      <c r="I7" s="4" t="n">
        <f aca="false">Assumptions!I42</f>
        <v>40.5</v>
      </c>
      <c r="J7" s="4" t="n">
        <f aca="false">Assumptions!J42</f>
        <v>40.5</v>
      </c>
      <c r="K7" s="4" t="n">
        <f aca="false">Assumptions!K42</f>
        <v>40.5</v>
      </c>
      <c r="L7" s="4" t="n">
        <f aca="false">Assumptions!L42</f>
        <v>40.5</v>
      </c>
    </row>
    <row r="8" customFormat="false" ht="15" hidden="false" customHeight="false" outlineLevel="0" collapsed="false">
      <c r="A8" s="0" t="s">
        <v>43</v>
      </c>
      <c r="C8" s="0" t="n">
        <f aca="false">C6*C7/100</f>
        <v>14065.95575</v>
      </c>
      <c r="D8" s="0" t="n">
        <f aca="false">D6*D7/100</f>
        <v>15174.7914825</v>
      </c>
      <c r="E8" s="0" t="n">
        <f aca="false">E6*E7/100</f>
        <v>16368.3471971812</v>
      </c>
      <c r="F8" s="0" t="n">
        <f aca="false">F6*F7/100</f>
        <v>17570.07395343</v>
      </c>
      <c r="G8" s="0" t="n">
        <f aca="false">G6*G7/100</f>
        <v>18675.4512310252</v>
      </c>
      <c r="H8" s="0" t="n">
        <f aca="false">H6*H7/100</f>
        <v>19706.540039686</v>
      </c>
      <c r="I8" s="0" t="n">
        <f aca="false">I6*I7/100</f>
        <v>20593.3343414718</v>
      </c>
      <c r="J8" s="0" t="n">
        <f aca="false">J6*J7/100</f>
        <v>21417.0677151307</v>
      </c>
      <c r="K8" s="0" t="n">
        <f aca="false">K6*K7/100</f>
        <v>22273.750423736</v>
      </c>
      <c r="L8" s="0" t="n">
        <f aca="false">L6*L7/100</f>
        <v>23053.3316885667</v>
      </c>
    </row>
    <row r="9" customFormat="false" ht="15" hidden="false" customHeight="false" outlineLevel="0" collapsed="false">
      <c r="A9" s="0" t="s">
        <v>99</v>
      </c>
      <c r="C9" s="4" t="n">
        <f aca="false">Assumptions!C43</f>
        <v>0.48</v>
      </c>
      <c r="D9" s="4" t="n">
        <f aca="false">Assumptions!D43</f>
        <v>0.48</v>
      </c>
      <c r="E9" s="4" t="n">
        <f aca="false">Assumptions!E43</f>
        <v>0.48</v>
      </c>
      <c r="F9" s="4" t="n">
        <f aca="false">Assumptions!F43</f>
        <v>0.48</v>
      </c>
      <c r="G9" s="4" t="n">
        <f aca="false">Assumptions!G43</f>
        <v>0.48</v>
      </c>
      <c r="H9" s="4" t="n">
        <f aca="false">Assumptions!H43</f>
        <v>0.48</v>
      </c>
      <c r="I9" s="4" t="n">
        <f aca="false">Assumptions!I43</f>
        <v>0.48</v>
      </c>
      <c r="J9" s="4" t="n">
        <f aca="false">Assumptions!J43</f>
        <v>0.48</v>
      </c>
      <c r="K9" s="4" t="n">
        <f aca="false">Assumptions!K43</f>
        <v>0.48</v>
      </c>
      <c r="L9" s="4" t="n">
        <f aca="false">Assumptions!L43</f>
        <v>0.48</v>
      </c>
    </row>
    <row r="10" customFormat="false" ht="15" hidden="false" customHeight="false" outlineLevel="0" collapsed="false">
      <c r="A10" s="0" t="s">
        <v>114</v>
      </c>
      <c r="C10" s="0" t="n">
        <f aca="false">-C6*C9/100</f>
        <v>-175.36776</v>
      </c>
      <c r="D10" s="0" t="n">
        <f aca="false">-D6*D9/100</f>
        <v>-186.7666644</v>
      </c>
      <c r="E10" s="0" t="n">
        <f aca="false">-E6*E9/100</f>
        <v>-198.906497586</v>
      </c>
      <c r="F10" s="0" t="n">
        <f aca="false">-F6*F9/100</f>
        <v>-210.84088744116</v>
      </c>
      <c r="G10" s="0" t="n">
        <f aca="false">-G6*G9/100</f>
        <v>-222.437136250424</v>
      </c>
      <c r="H10" s="0" t="n">
        <f aca="false">-H6*H9/100</f>
        <v>-233.558993062945</v>
      </c>
      <c r="I10" s="0" t="n">
        <f aca="false">-I6*I9/100</f>
        <v>-244.069147750777</v>
      </c>
      <c r="J10" s="0" t="n">
        <f aca="false">-J6*J9/100</f>
        <v>-253.831913660809</v>
      </c>
      <c r="K10" s="0" t="n">
        <f aca="false">-K6*K9/100</f>
        <v>-263.985190207241</v>
      </c>
      <c r="L10" s="0" t="n">
        <f aca="false">-L6*L9/100</f>
        <v>-273.224671864494</v>
      </c>
    </row>
    <row r="11" customFormat="false" ht="15" hidden="false" customHeight="false" outlineLevel="0" collapsed="false">
      <c r="A11" s="0" t="s">
        <v>115</v>
      </c>
      <c r="C11" s="0" t="n">
        <f aca="false">C8+C10+C24</f>
        <v>13890.58799</v>
      </c>
      <c r="D11" s="0" t="n">
        <f aca="false">D8+D10+D24</f>
        <v>14988.0248181</v>
      </c>
      <c r="E11" s="0" t="n">
        <f aca="false">E8+E10+E24</f>
        <v>16169.4406995952</v>
      </c>
      <c r="F11" s="0" t="n">
        <f aca="false">F8+F10+F24</f>
        <v>17359.2330659888</v>
      </c>
      <c r="G11" s="0" t="n">
        <f aca="false">G8+G10+G24</f>
        <v>18453.0140947747</v>
      </c>
      <c r="H11" s="0" t="n">
        <f aca="false">H8+H10+H24</f>
        <v>19472.981046623</v>
      </c>
      <c r="I11" s="0" t="n">
        <f aca="false">I8+I10+I24</f>
        <v>20349.2651937211</v>
      </c>
      <c r="J11" s="0" t="n">
        <f aca="false">J8+J10+J24</f>
        <v>21163.2358014699</v>
      </c>
      <c r="K11" s="0" t="n">
        <f aca="false">K8+K10+K24</f>
        <v>22009.7652335287</v>
      </c>
      <c r="L11" s="0" t="n">
        <f aca="false">L8+L10+L24</f>
        <v>22780.1070167022</v>
      </c>
    </row>
    <row r="12" customFormat="false" ht="15" hidden="false" customHeight="false" outlineLevel="0" collapsed="false">
      <c r="A12" s="0" t="s">
        <v>116</v>
      </c>
      <c r="C12" s="4" t="n">
        <f aca="false">-C6*Assumptions!C45/100</f>
        <v>-4018.8445</v>
      </c>
      <c r="D12" s="4" t="n">
        <f aca="false">-D6*Assumptions!D45/100</f>
        <v>-4280.0693925</v>
      </c>
      <c r="E12" s="4" t="n">
        <f aca="false">-E6*Assumptions!E45/100</f>
        <v>-4558.2739030125</v>
      </c>
      <c r="F12" s="4" t="n">
        <f aca="false">-F6*Assumptions!F45/100</f>
        <v>-4743.9199674261</v>
      </c>
      <c r="G12" s="4" t="n">
        <f aca="false">-G6*Assumptions!G45/100</f>
        <v>-4912.15342553019</v>
      </c>
      <c r="H12" s="4" t="n">
        <f aca="false">-H6*Assumptions!H45/100</f>
        <v>-5109.10297325192</v>
      </c>
      <c r="I12" s="4" t="n">
        <f aca="false">-I6*Assumptions!I45/100</f>
        <v>-5339.01260704826</v>
      </c>
      <c r="J12" s="4" t="n">
        <f aca="false">-J6*Assumptions!J45/100</f>
        <v>-5552.57311133019</v>
      </c>
      <c r="K12" s="4" t="n">
        <f aca="false">-K6*Assumptions!K45/100</f>
        <v>-5774.6760357834</v>
      </c>
      <c r="L12" s="4" t="n">
        <f aca="false">-L6*Assumptions!L45/100</f>
        <v>-5976.78969703581</v>
      </c>
    </row>
    <row r="13" customFormat="false" ht="15" hidden="false" customHeight="false" outlineLevel="0" collapsed="false">
      <c r="A13" s="0" t="s">
        <v>117</v>
      </c>
      <c r="C13" s="0" t="n">
        <f aca="false">C11+C12</f>
        <v>9871.74349</v>
      </c>
      <c r="D13" s="0" t="n">
        <f aca="false">D11+D12</f>
        <v>10707.9554256</v>
      </c>
      <c r="E13" s="0" t="n">
        <f aca="false">E11+E12</f>
        <v>11611.1667965827</v>
      </c>
      <c r="F13" s="0" t="n">
        <f aca="false">F11+F12</f>
        <v>12615.3130985627</v>
      </c>
      <c r="G13" s="0" t="n">
        <f aca="false">G11+G12</f>
        <v>13540.8606692445</v>
      </c>
      <c r="H13" s="0" t="n">
        <f aca="false">H11+H12</f>
        <v>14363.8780733711</v>
      </c>
      <c r="I13" s="0" t="n">
        <f aca="false">I11+I12</f>
        <v>15010.2525866728</v>
      </c>
      <c r="J13" s="0" t="n">
        <f aca="false">J11+J12</f>
        <v>15610.6626901397</v>
      </c>
      <c r="K13" s="0" t="n">
        <f aca="false">K11+K12</f>
        <v>16235.0891977453</v>
      </c>
      <c r="L13" s="0" t="n">
        <f aca="false">L11+L12</f>
        <v>16803.3173196664</v>
      </c>
    </row>
    <row r="14" customFormat="false" ht="15" hidden="false" customHeight="false" outlineLevel="0" collapsed="false">
      <c r="A14" s="0" t="s">
        <v>103</v>
      </c>
      <c r="C14" s="4" t="n">
        <f aca="false">Assumptions!C47</f>
        <v>25</v>
      </c>
      <c r="D14" s="4" t="n">
        <f aca="false">Assumptions!D47</f>
        <v>25</v>
      </c>
      <c r="E14" s="4" t="n">
        <f aca="false">Assumptions!E47</f>
        <v>24.5</v>
      </c>
      <c r="F14" s="4" t="n">
        <f aca="false">Assumptions!F47</f>
        <v>24.5</v>
      </c>
      <c r="G14" s="4" t="n">
        <f aca="false">Assumptions!G47</f>
        <v>24</v>
      </c>
      <c r="H14" s="4" t="n">
        <f aca="false">Assumptions!H47</f>
        <v>24</v>
      </c>
      <c r="I14" s="4" t="n">
        <f aca="false">Assumptions!I47</f>
        <v>23.5</v>
      </c>
      <c r="J14" s="4" t="n">
        <f aca="false">Assumptions!J47</f>
        <v>23.5</v>
      </c>
      <c r="K14" s="4" t="n">
        <f aca="false">Assumptions!K47</f>
        <v>23.5</v>
      </c>
      <c r="L14" s="4" t="n">
        <f aca="false">Assumptions!L47</f>
        <v>23.5</v>
      </c>
    </row>
    <row r="15" customFormat="false" ht="15" hidden="false" customHeight="false" outlineLevel="0" collapsed="false">
      <c r="A15" s="0" t="s">
        <v>118</v>
      </c>
      <c r="C15" s="0" t="n">
        <f aca="false">C13-MAX(0,C13)*C14/100</f>
        <v>7403.8076175</v>
      </c>
      <c r="D15" s="0" t="n">
        <f aca="false">D13-MAX(0,D13)*D14/100</f>
        <v>8030.9665692</v>
      </c>
      <c r="E15" s="0" t="n">
        <f aca="false">E13-MAX(0,E13)*E14/100</f>
        <v>8766.43093141998</v>
      </c>
      <c r="F15" s="0" t="n">
        <f aca="false">F13-MAX(0,F13)*F14/100</f>
        <v>9524.56138941487</v>
      </c>
      <c r="G15" s="0" t="n">
        <f aca="false">G13-MAX(0,G13)*G14/100</f>
        <v>10291.0541086259</v>
      </c>
      <c r="H15" s="0" t="n">
        <f aca="false">H13-MAX(0,H13)*H14/100</f>
        <v>10916.547335762</v>
      </c>
      <c r="I15" s="0" t="n">
        <f aca="false">I13-MAX(0,I13)*I14/100</f>
        <v>11482.8432288047</v>
      </c>
      <c r="J15" s="0" t="n">
        <f aca="false">J13-MAX(0,J13)*J14/100</f>
        <v>11942.1569579569</v>
      </c>
      <c r="K15" s="0" t="n">
        <f aca="false">K13-MAX(0,K13)*K14/100</f>
        <v>12419.8432362752</v>
      </c>
      <c r="L15" s="0" t="n">
        <f aca="false">L13-MAX(0,L13)*L14/100</f>
        <v>12854.5377495448</v>
      </c>
    </row>
    <row r="16" customFormat="false" ht="15" hidden="false" customHeight="false" outlineLevel="0" collapsed="false">
      <c r="A16" s="0" t="s">
        <v>119</v>
      </c>
      <c r="C16" s="0" t="n">
        <f aca="false">-C12</f>
        <v>4018.8445</v>
      </c>
      <c r="D16" s="0" t="n">
        <f aca="false">-D12</f>
        <v>4280.0693925</v>
      </c>
      <c r="E16" s="0" t="n">
        <f aca="false">-E12</f>
        <v>4558.2739030125</v>
      </c>
      <c r="F16" s="0" t="n">
        <f aca="false">-F12</f>
        <v>4743.9199674261</v>
      </c>
      <c r="G16" s="0" t="n">
        <f aca="false">-G12</f>
        <v>4912.15342553019</v>
      </c>
      <c r="H16" s="0" t="n">
        <f aca="false">-H12</f>
        <v>5109.10297325192</v>
      </c>
      <c r="I16" s="0" t="n">
        <f aca="false">-I12</f>
        <v>5339.01260704826</v>
      </c>
      <c r="J16" s="0" t="n">
        <f aca="false">-J12</f>
        <v>5552.57311133019</v>
      </c>
      <c r="K16" s="0" t="n">
        <f aca="false">-K12</f>
        <v>5774.6760357834</v>
      </c>
      <c r="L16" s="0" t="n">
        <f aca="false">-L12</f>
        <v>5976.78969703581</v>
      </c>
    </row>
    <row r="17" customFormat="false" ht="15" hidden="false" customHeight="false" outlineLevel="0" collapsed="false">
      <c r="A17" s="0" t="s">
        <v>120</v>
      </c>
      <c r="C17" s="4" t="n">
        <f aca="false">-C6*Assumptions!C46/100</f>
        <v>-5845.592</v>
      </c>
      <c r="D17" s="4" t="n">
        <f aca="false">-D6*Assumptions!D46/100</f>
        <v>-5836.4582625</v>
      </c>
      <c r="E17" s="4" t="n">
        <f aca="false">-E6*Assumptions!E46/100</f>
        <v>-5801.439512925</v>
      </c>
      <c r="F17" s="4" t="n">
        <f aca="false">-F6*Assumptions!F46/100</f>
        <v>-5490.64811044687</v>
      </c>
      <c r="G17" s="4" t="n">
        <f aca="false">-G6*Assumptions!G46/100</f>
        <v>-5560.92840626059</v>
      </c>
      <c r="H17" s="4" t="n">
        <f aca="false">-H6*Assumptions!H46/100</f>
        <v>-5595.68420879972</v>
      </c>
      <c r="I17" s="4" t="n">
        <f aca="false">-I6*Assumptions!I46/100</f>
        <v>-5847.48999819571</v>
      </c>
      <c r="J17" s="4" t="n">
        <f aca="false">-J6*Assumptions!J46/100</f>
        <v>-6081.38959812354</v>
      </c>
      <c r="K17" s="4" t="n">
        <f aca="false">-K6*Assumptions!K46/100</f>
        <v>-6324.64518204848</v>
      </c>
      <c r="L17" s="4" t="n">
        <f aca="false">-L6*Assumptions!L46/100</f>
        <v>-6546.00776342018</v>
      </c>
    </row>
    <row r="18" customFormat="false" ht="15" hidden="false" customHeight="false" outlineLevel="0" collapsed="false">
      <c r="A18" s="0" t="s">
        <v>121</v>
      </c>
      <c r="C18" s="4" t="n">
        <f aca="false">(C6-B6)*Assumptions!$B$51/100</f>
        <v>-127.4475</v>
      </c>
      <c r="D18" s="4" t="n">
        <f aca="false">(D6-C6)*Assumptions!$B$51/100</f>
        <v>-118.7385875</v>
      </c>
      <c r="E18" s="4" t="n">
        <f aca="false">(E6-D6)*Assumptions!$B$51/100</f>
        <v>-126.4565956875</v>
      </c>
      <c r="F18" s="4" t="n">
        <f aca="false">(F6-E6)*Assumptions!$B$51/100</f>
        <v>-124.31656099125</v>
      </c>
      <c r="G18" s="4" t="n">
        <f aca="false">(G6-F6)*Assumptions!$B$51/100</f>
        <v>-120.794258429831</v>
      </c>
      <c r="H18" s="4" t="n">
        <f aca="false">(H6-G6)*Assumptions!$B$51/100</f>
        <v>-115.852675130429</v>
      </c>
      <c r="I18" s="4" t="n">
        <f aca="false">(I6-H6)*Assumptions!$B$51/100</f>
        <v>-109.480777998255</v>
      </c>
      <c r="J18" s="4" t="n">
        <f aca="false">(J6-I6)*Assumptions!$B$51/100</f>
        <v>-101.695478229491</v>
      </c>
      <c r="K18" s="4" t="n">
        <f aca="false">(K6-J6)*Assumptions!$B$51/100</f>
        <v>-105.76329735867</v>
      </c>
      <c r="L18" s="4" t="n">
        <f aca="false">(L6-K6)*Assumptions!$B$51/100</f>
        <v>-96.2446005963899</v>
      </c>
    </row>
    <row r="19" customFormat="false" ht="15" hidden="false" customHeight="false" outlineLevel="0" collapsed="false">
      <c r="A19" s="0" t="s">
        <v>122</v>
      </c>
      <c r="C19" s="0" t="n">
        <f aca="false">C15+C16+C17+C18</f>
        <v>5449.6126175</v>
      </c>
      <c r="D19" s="0" t="n">
        <f aca="false">D15+D16+D17+D18</f>
        <v>6355.8391117</v>
      </c>
      <c r="E19" s="0" t="n">
        <f aca="false">E15+E16+E17+E18</f>
        <v>7396.80872581998</v>
      </c>
      <c r="F19" s="0" t="n">
        <f aca="false">F15+F16+F17+F18</f>
        <v>8653.51668540284</v>
      </c>
      <c r="G19" s="0" t="n">
        <f aca="false">G15+G16+G17+G18</f>
        <v>9521.48486946562</v>
      </c>
      <c r="H19" s="0" t="n">
        <f aca="false">H15+H16+H17+H18</f>
        <v>10314.1134250838</v>
      </c>
      <c r="I19" s="0" t="n">
        <f aca="false">I15+I16+I17+I18</f>
        <v>10864.885059659</v>
      </c>
      <c r="J19" s="0" t="n">
        <f aca="false">J15+J16+J17+J18</f>
        <v>11311.6449929341</v>
      </c>
      <c r="K19" s="0" t="n">
        <f aca="false">K15+K16+K17+K18</f>
        <v>11764.1107926514</v>
      </c>
      <c r="L19" s="0" t="n">
        <f aca="false">L15+L16+L17+L18</f>
        <v>12189.075082564</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5045.9376087963</v>
      </c>
      <c r="D21" s="0" t="n">
        <f aca="false">D19*D20</f>
        <v>5449.10760605281</v>
      </c>
      <c r="E21" s="0" t="n">
        <f aca="false">E19*E20</f>
        <v>5871.82524721522</v>
      </c>
      <c r="F21" s="0" t="n">
        <f aca="false">F19*F20</f>
        <v>6360.5930954433</v>
      </c>
      <c r="G21" s="0" t="n">
        <f aca="false">G19*G20</f>
        <v>6480.16261296942</v>
      </c>
      <c r="H21" s="0" t="n">
        <f aca="false">H19*H20</f>
        <v>6499.64100871509</v>
      </c>
      <c r="I21" s="0" t="n">
        <f aca="false">I19*I20</f>
        <v>6339.55607793808</v>
      </c>
      <c r="J21" s="0" t="n">
        <f aca="false">J19*J20</f>
        <v>6111.32982221484</v>
      </c>
      <c r="K21" s="0" t="n">
        <f aca="false">K19*K20</f>
        <v>5884.98427324392</v>
      </c>
      <c r="L21" s="0" t="n">
        <f aca="false">L19*L20</f>
        <v>5645.90020401895</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8</v>
      </c>
    </row>
    <row r="28" customFormat="false" ht="15" hidden="false" customHeight="false" outlineLevel="0" collapsed="false">
      <c r="A28" s="0" t="s">
        <v>105</v>
      </c>
      <c r="B28" s="4" t="n">
        <f aca="false">Assumptions!$B$49</f>
        <v>3.5</v>
      </c>
    </row>
    <row r="29" customFormat="false" ht="15" hidden="false" customHeight="false" outlineLevel="0" collapsed="false">
      <c r="A29" s="0" t="s">
        <v>106</v>
      </c>
      <c r="B29" s="4" t="n">
        <f aca="false">Assumptions!$B$50</f>
        <v>22</v>
      </c>
    </row>
    <row r="30" customFormat="false" ht="15" hidden="false" customHeight="false" outlineLevel="0" collapsed="false">
      <c r="A30" s="0" t="s">
        <v>127</v>
      </c>
      <c r="B30" s="0" t="n">
        <f aca="false">SUM(C21:L21)</f>
        <v>59689.0375566079</v>
      </c>
    </row>
    <row r="31" customFormat="false" ht="15" hidden="false" customHeight="false" outlineLevel="0" collapsed="false">
      <c r="A31" s="0" t="s">
        <v>128</v>
      </c>
      <c r="B31" s="0" t="n">
        <f aca="false">L19</f>
        <v>12189.075082564</v>
      </c>
    </row>
    <row r="32" customFormat="false" ht="15" hidden="false" customHeight="false" outlineLevel="0" collapsed="false">
      <c r="A32" s="0" t="s">
        <v>129</v>
      </c>
      <c r="B32" s="0" t="n">
        <f aca="false">IF(B27&gt;B28,B31*(1+B28/100)/((B27-B28)/100),B31*B29)</f>
        <v>280348.726898973</v>
      </c>
    </row>
    <row r="33" customFormat="false" ht="15" hidden="false" customHeight="false" outlineLevel="0" collapsed="false">
      <c r="A33" s="0" t="s">
        <v>130</v>
      </c>
      <c r="B33" s="0" t="n">
        <f aca="false">B31*B29</f>
        <v>268159.651816409</v>
      </c>
    </row>
    <row r="34" customFormat="false" ht="15" hidden="false" customHeight="false" outlineLevel="0" collapsed="false">
      <c r="A34" s="0" t="s">
        <v>131</v>
      </c>
      <c r="B34" s="0" t="n">
        <f aca="false">MAX(0,MIN(B32,B33))</f>
        <v>268159.651816409</v>
      </c>
    </row>
    <row r="35" customFormat="false" ht="15" hidden="false" customHeight="false" outlineLevel="0" collapsed="false">
      <c r="A35" s="0" t="s">
        <v>132</v>
      </c>
      <c r="B35" s="0" t="n">
        <f aca="false">B34/(1+B27/100)^L4</f>
        <v>124209.804488417</v>
      </c>
    </row>
    <row r="36" customFormat="false" ht="15" hidden="false" customHeight="false" outlineLevel="0" collapsed="false">
      <c r="A36" s="0" t="s">
        <v>133</v>
      </c>
      <c r="B36" s="0" t="n">
        <f aca="false">B30+B35</f>
        <v>183898.842045025</v>
      </c>
    </row>
    <row r="37" customFormat="false" ht="15" hidden="false" customHeight="false" outlineLevel="0" collapsed="false">
      <c r="A37" s="0" t="s">
        <v>134</v>
      </c>
      <c r="B37" s="0" t="n">
        <f aca="false">B36+Assumptions!$B$5-Assumptions!$B$4</f>
        <v>159425.842045025</v>
      </c>
    </row>
    <row r="38" customFormat="false" ht="15" hidden="false" customHeight="false" outlineLevel="0" collapsed="false">
      <c r="A38" s="0" t="s">
        <v>135</v>
      </c>
      <c r="B38" s="0" t="n">
        <f aca="false">B37/Assumptions!$B$3*Assumptions!$B$10</f>
        <v>344.332272235475</v>
      </c>
    </row>
    <row r="39" customFormat="false" ht="15" hidden="false" customHeight="false" outlineLevel="0" collapsed="false">
      <c r="A39" s="0" t="s">
        <v>136</v>
      </c>
      <c r="B39" s="4" t="n">
        <f aca="false">B38/Assumptions!$B$2-1</f>
        <v>-0.266519816305305</v>
      </c>
    </row>
    <row r="41" customFormat="false" ht="15" hidden="false" customHeight="false" outlineLevel="0" collapsed="false">
      <c r="A41" s="0" t="s">
        <v>137</v>
      </c>
      <c r="B41" s="0" t="n">
        <f aca="false">SUMPRODUCT(-C10:L10/(1+$B$27/100)^C4:L4)</f>
        <v>1472.10506118529</v>
      </c>
    </row>
    <row r="42" customFormat="false" ht="15" hidden="false" customHeight="false" outlineLevel="0" collapsed="false">
      <c r="A42" s="0" t="s">
        <v>138</v>
      </c>
      <c r="B42" s="0" t="n">
        <f aca="false">IF(B27&gt;B28,-L10*(1+B28/100)/((B27-B28)/100),-L10*20)/(1+B27/100)^L4</f>
        <v>2910.78544220929</v>
      </c>
    </row>
    <row r="43" customFormat="false" ht="15" hidden="false" customHeight="false" outlineLevel="0" collapsed="false">
      <c r="A43" s="0" t="s">
        <v>139</v>
      </c>
      <c r="B43" s="0" t="n">
        <f aca="false">(B37+B41+B42)/Assumptions!$B$3*Assumptions!$B$10</f>
        <v>353.798558419912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109701.675743076</v>
      </c>
    </row>
    <row r="47" customFormat="false" ht="15" hidden="false" customHeight="false" outlineLevel="0" collapsed="false">
      <c r="A47" s="0" t="s">
        <v>141</v>
      </c>
      <c r="B47" s="0" t="n">
        <f aca="false">(SUMPRODUCT(C19:L19/(1+B45/100)^C4:L4)+B46/(1+B45/100)^L4+Assumptions!$B$5-Assumptions!$B$4)/Assumptions!$B$3*Assumptions!$B$10</f>
        <v>97.9088320254719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154.535239186022</v>
      </c>
      <c r="C4" s="0" t="n">
        <f aca="false">B4/Assumptions!$B$2-1</f>
        <v>-0.670816403906652</v>
      </c>
      <c r="D4" s="4" t="n">
        <f aca="false">Assumptions!$B$24</f>
        <v>0.2</v>
      </c>
      <c r="E4" s="4" t="n">
        <f aca="false">DCF_Bear!$B$43</f>
        <v>161.23289494641</v>
      </c>
      <c r="F4" s="4" t="n">
        <f aca="false">DCF_Bear!$B$47</f>
        <v>44.3466513693623</v>
      </c>
    </row>
    <row r="5" customFormat="false" ht="15" hidden="false" customHeight="false" outlineLevel="0" collapsed="false">
      <c r="A5" s="0" t="s">
        <v>150</v>
      </c>
      <c r="B5" s="4" t="n">
        <f aca="false">DCF_Base!$B$38</f>
        <v>268.930200398585</v>
      </c>
      <c r="C5" s="0" t="n">
        <f aca="false">B5/Assumptions!$B$2-1</f>
        <v>-0.42713771349753</v>
      </c>
      <c r="D5" s="4" t="n">
        <f aca="false">Assumptions!$B$38</f>
        <v>0.5</v>
      </c>
      <c r="E5" s="4" t="n">
        <f aca="false">DCF_Base!$B$43</f>
        <v>277.225604044893</v>
      </c>
      <c r="F5" s="4" t="n">
        <f aca="false">DCF_Base!$B$47</f>
        <v>76.4855352912538</v>
      </c>
    </row>
    <row r="6" customFormat="false" ht="15" hidden="false" customHeight="false" outlineLevel="0" collapsed="false">
      <c r="A6" s="0" t="s">
        <v>151</v>
      </c>
      <c r="B6" s="4" t="n">
        <f aca="false">DCF_Bull!$B$38</f>
        <v>344.332272235475</v>
      </c>
      <c r="C6" s="0" t="n">
        <f aca="false">B6/Assumptions!$B$2-1</f>
        <v>-0.266519816305305</v>
      </c>
      <c r="D6" s="4" t="n">
        <f aca="false">Assumptions!$B$52</f>
        <v>0.3</v>
      </c>
      <c r="E6" s="4" t="n">
        <f aca="false">DCF_Bull!$B$43</f>
        <v>353.798558419912</v>
      </c>
      <c r="F6" s="4" t="n">
        <f aca="false">DCF_Bull!$B$47</f>
        <v>97.9088320254719</v>
      </c>
    </row>
    <row r="8" customFormat="false" ht="15" hidden="false" customHeight="false" outlineLevel="0" collapsed="false">
      <c r="A8" s="0" t="s">
        <v>152</v>
      </c>
      <c r="B8" s="0" t="n">
        <f aca="false">SUMPRODUCT(B4:B6,D4:D6)</f>
        <v>268.671829707139</v>
      </c>
    </row>
    <row r="9" customFormat="false" ht="15" hidden="false" customHeight="false" outlineLevel="0" collapsed="false">
      <c r="A9" s="0" t="s">
        <v>153</v>
      </c>
      <c r="B9" s="0" t="n">
        <f aca="false">SUMPRODUCT(E4:E6,D4:D6)</f>
        <v>276.998948537702</v>
      </c>
    </row>
    <row r="10" customFormat="false" ht="15" hidden="false" customHeight="false" outlineLevel="0" collapsed="false">
      <c r="A10" s="0" t="s">
        <v>154</v>
      </c>
      <c r="B10" s="0" t="n">
        <f aca="false">1-Assumptions!$B$2/B8</f>
        <v>-0.747298927884309</v>
      </c>
    </row>
    <row r="11" customFormat="false" ht="15" hidden="false" customHeight="false" outlineLevel="0" collapsed="false">
      <c r="A11" s="0" t="s">
        <v>155</v>
      </c>
      <c r="B11" s="0" t="n">
        <f aca="false">IF(ABS(B9-B8)&gt;0.01*ABS(B8),(Assumptions!$B$2-B8)/(B9-B8)*100,"n/a")</f>
        <v>2411.13612496979</v>
      </c>
    </row>
    <row r="12" customFormat="false" ht="15" hidden="false" customHeight="false" outlineLevel="0" collapsed="false">
      <c r="A12" s="0" t="s">
        <v>156</v>
      </c>
      <c r="B12" s="0" t="n">
        <f aca="false">SUMPRODUCT(F4:F6,D4:D6)</f>
        <v>76.484747527141</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268.930200398585</v>
      </c>
      <c r="C15" s="3" t="n">
        <v>8</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218.107643788814</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177.436341858921</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147.011533844539</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123.413556427086</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76.4855352912538</v>
      </c>
      <c r="C20" s="3" t="n">
        <v>15</v>
      </c>
    </row>
    <row r="22" customFormat="false" ht="15" hidden="false" customHeight="false" outlineLevel="0" collapsed="false">
      <c r="A22" s="2" t="s">
        <v>165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324.177810580682</v>
      </c>
      <c r="C24" s="0" t="n">
        <f aca="false">(SUMPRODUCT(DCF_Base!$C$19:$L$19/(1+$A$24/100)^DCF_Base!$C$4:$L$4)+MAX(0,MIN(IF($A$24&gt;$C$23,DCF_Base!$L$19*(1+$C$23/100)/(($A$24-$C$23)/100),DCF_Base!$L$19*DCF_Base!$B$29),DCF_Base!$L$19*DCF_Base!$B$29))/(1+$A$24/100)^DCF_Base!$L$4+Assumptions!$B$5-Assumptions!$B$4)/Assumptions!$B$3*Assumptions!$B$10</f>
        <v>324.177810580682</v>
      </c>
      <c r="D24" s="0" t="n">
        <f aca="false">(SUMPRODUCT(DCF_Base!$C$19:$L$19/(1+$A$24/100)^DCF_Base!$C$4:$L$4)+MAX(0,MIN(IF($A$24&gt;$D$23,DCF_Base!$L$19*(1+$D$23/100)/(($A$24-$D$23)/100),DCF_Base!$L$19*DCF_Base!$B$29),DCF_Base!$L$19*DCF_Base!$B$29))/(1+$A$24/100)^DCF_Base!$L$4+Assumptions!$B$5-Assumptions!$B$4)/Assumptions!$B$3*Assumptions!$B$10</f>
        <v>324.177810580682</v>
      </c>
      <c r="E24" s="0" t="n">
        <f aca="false">(SUMPRODUCT(DCF_Base!$C$19:$L$19/(1+$A$24/100)^DCF_Base!$C$4:$L$4)+MAX(0,MIN(IF($A$24&gt;$E$23,DCF_Base!$L$19*(1+$E$23/100)/(($A$24-$E$23)/100),DCF_Base!$L$19*DCF_Base!$B$29),DCF_Base!$L$19*DCF_Base!$B$29))/(1+$A$24/100)^DCF_Base!$L$4+Assumptions!$B$5-Assumptions!$B$4)/Assumptions!$B$3*Assumptions!$B$10</f>
        <v>324.177810580682</v>
      </c>
      <c r="F24" s="0" t="n">
        <f aca="false">(SUMPRODUCT(DCF_Base!$C$19:$L$19/(1+$A$24/100)^DCF_Base!$C$4:$L$4)+MAX(0,MIN(IF($A$24&gt;$F$23,DCF_Base!$L$19*(1+$F$23/100)/(($A$24-$F$23)/100),DCF_Base!$L$19*DCF_Base!$B$29),DCF_Base!$L$19*DCF_Base!$B$29))/(1+$A$24/100)^DCF_Base!$L$4+Assumptions!$B$5-Assumptions!$B$4)/Assumptions!$B$3*Assumptions!$B$10</f>
        <v>324.177810580682</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295.222651253333</v>
      </c>
      <c r="C25" s="0" t="n">
        <f aca="false">(SUMPRODUCT(DCF_Base!$C$19:$L$19/(1+$A$25/100)^DCF_Base!$C$4:$L$4)+MAX(0,MIN(IF($A$25&gt;$C$23,DCF_Base!$L$19*(1+$C$23/100)/(($A$25-$C$23)/100),DCF_Base!$L$19*DCF_Base!$B$29),DCF_Base!$L$19*DCF_Base!$B$29))/(1+$A$25/100)^DCF_Base!$L$4+Assumptions!$B$5-Assumptions!$B$4)/Assumptions!$B$3*Assumptions!$B$10</f>
        <v>295.222651253333</v>
      </c>
      <c r="D25" s="0" t="n">
        <f aca="false">(SUMPRODUCT(DCF_Base!$C$19:$L$19/(1+$A$25/100)^DCF_Base!$C$4:$L$4)+MAX(0,MIN(IF($A$25&gt;$D$23,DCF_Base!$L$19*(1+$D$23/100)/(($A$25-$D$23)/100),DCF_Base!$L$19*DCF_Base!$B$29),DCF_Base!$L$19*DCF_Base!$B$29))/(1+$A$25/100)^DCF_Base!$L$4+Assumptions!$B$5-Assumptions!$B$4)/Assumptions!$B$3*Assumptions!$B$10</f>
        <v>295.222651253333</v>
      </c>
      <c r="E25" s="0" t="n">
        <f aca="false">(SUMPRODUCT(DCF_Base!$C$19:$L$19/(1+$A$25/100)^DCF_Base!$C$4:$L$4)+MAX(0,MIN(IF($A$25&gt;$E$23,DCF_Base!$L$19*(1+$E$23/100)/(($A$25-$E$23)/100),DCF_Base!$L$19*DCF_Base!$B$29),DCF_Base!$L$19*DCF_Base!$B$29))/(1+$A$25/100)^DCF_Base!$L$4+Assumptions!$B$5-Assumptions!$B$4)/Assumptions!$B$3*Assumptions!$B$10</f>
        <v>295.222651253333</v>
      </c>
      <c r="F25" s="0" t="n">
        <f aca="false">(SUMPRODUCT(DCF_Base!$C$19:$L$19/(1+$A$25/100)^DCF_Base!$C$4:$L$4)+MAX(0,MIN(IF($A$25&gt;$F$23,DCF_Base!$L$19*(1+$F$23/100)/(($A$25-$F$23)/100),DCF_Base!$L$19*DCF_Base!$B$29),DCF_Base!$L$19*DCF_Base!$B$29))/(1+$A$25/100)^DCF_Base!$L$4+Assumptions!$B$5-Assumptions!$B$4)/Assumptions!$B$3*Assumptions!$B$10</f>
        <v>295.222651253333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237.674108248058</v>
      </c>
      <c r="C26" s="0" t="n">
        <f aca="false">(SUMPRODUCT(DCF_Base!$C$19:$L$19/(1+$A$26/100)^DCF_Base!$C$4:$L$4)+MAX(0,MIN(IF($A$26&gt;$C$23,DCF_Base!$L$19*(1+$C$23/100)/(($A$26-$C$23)/100),DCF_Base!$L$19*DCF_Base!$B$29),DCF_Base!$L$19*DCF_Base!$B$29))/(1+$A$26/100)^DCF_Base!$L$4+Assumptions!$B$5-Assumptions!$B$4)/Assumptions!$B$3*Assumptions!$B$10</f>
        <v>254.722885784709</v>
      </c>
      <c r="D26" s="0" t="n">
        <f aca="false">(SUMPRODUCT(DCF_Base!$C$19:$L$19/(1+$A$26/100)^DCF_Base!$C$4:$L$4)+MAX(0,MIN(IF($A$26&gt;$D$23,DCF_Base!$L$19*(1+$D$23/100)/(($A$26-$D$23)/100),DCF_Base!$L$19*DCF_Base!$B$29),DCF_Base!$L$19*DCF_Base!$B$29))/(1+$A$26/100)^DCF_Base!$L$4+Assumptions!$B$5-Assumptions!$B$4)/Assumptions!$B$3*Assumptions!$B$10</f>
        <v>268.930200398585</v>
      </c>
      <c r="E26" s="0" t="n">
        <f aca="false">(SUMPRODUCT(DCF_Base!$C$19:$L$19/(1+$A$26/100)^DCF_Base!$C$4:$L$4)+MAX(0,MIN(IF($A$26&gt;$E$23,DCF_Base!$L$19*(1+$E$23/100)/(($A$26-$E$23)/100),DCF_Base!$L$19*DCF_Base!$B$29),DCF_Base!$L$19*DCF_Base!$B$29))/(1+$A$26/100)^DCF_Base!$L$4+Assumptions!$B$5-Assumptions!$B$4)/Assumptions!$B$3*Assumptions!$B$10</f>
        <v>268.930200398585</v>
      </c>
      <c r="F26" s="0" t="n">
        <f aca="false">(SUMPRODUCT(DCF_Base!$C$19:$L$19/(1+$A$26/100)^DCF_Base!$C$4:$L$4)+MAX(0,MIN(IF($A$26&gt;$F$23,DCF_Base!$L$19*(1+$F$23/100)/(($A$26-$F$23)/100),DCF_Base!$L$19*DCF_Base!$B$29),DCF_Base!$L$19*DCF_Base!$B$29))/(1+$A$26/100)^DCF_Base!$L$4+Assumptions!$B$5-Assumptions!$B$4)/Assumptions!$B$3*Assumptions!$B$10</f>
        <v>268.930200398585</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193.449339537267</v>
      </c>
      <c r="C27" s="0" t="n">
        <f aca="false">(SUMPRODUCT(DCF_Base!$C$19:$L$19/(1+$A$27/100)^DCF_Base!$C$4:$L$4)+MAX(0,MIN(IF($A$27&gt;$C$23,DCF_Base!$L$19*(1+$C$23/100)/(($A$27-$C$23)/100),DCF_Base!$L$19*DCF_Base!$B$29),DCF_Base!$L$19*DCF_Base!$B$29))/(1+$A$27/100)^DCF_Base!$L$4+Assumptions!$B$5-Assumptions!$B$4)/Assumptions!$B$3*Assumptions!$B$10</f>
        <v>204.830095345673</v>
      </c>
      <c r="D27" s="0" t="n">
        <f aca="false">(SUMPRODUCT(DCF_Base!$C$19:$L$19/(1+$A$27/100)^DCF_Base!$C$4:$L$4)+MAX(0,MIN(IF($A$27&gt;$D$23,DCF_Base!$L$19*(1+$D$23/100)/(($A$27-$D$23)/100),DCF_Base!$L$19*DCF_Base!$B$29),DCF_Base!$L$19*DCF_Base!$B$29))/(1+$A$27/100)^DCF_Base!$L$4+Assumptions!$B$5-Assumptions!$B$4)/Assumptions!$B$3*Assumptions!$B$10</f>
        <v>218.107643788814</v>
      </c>
      <c r="E27" s="0" t="n">
        <f aca="false">(SUMPRODUCT(DCF_Base!$C$19:$L$19/(1+$A$27/100)^DCF_Base!$C$4:$L$4)+MAX(0,MIN(IF($A$27&gt;$E$23,DCF_Base!$L$19*(1+$E$23/100)/(($A$27-$E$23)/100),DCF_Base!$L$19*DCF_Base!$B$29),DCF_Base!$L$19*DCF_Base!$B$29))/(1+$A$27/100)^DCF_Base!$L$4+Assumptions!$B$5-Assumptions!$B$4)/Assumptions!$B$3*Assumptions!$B$10</f>
        <v>233.799291948888</v>
      </c>
      <c r="F27" s="0" t="n">
        <f aca="false">(SUMPRODUCT(DCF_Base!$C$19:$L$19/(1+$A$27/100)^DCF_Base!$C$4:$L$4)+MAX(0,MIN(IF($A$27&gt;$F$23,DCF_Base!$L$19*(1+$F$23/100)/(($A$27-$F$23)/100),DCF_Base!$L$19*DCF_Base!$B$29),DCF_Base!$L$19*DCF_Base!$B$29))/(1+$A$27/100)^DCF_Base!$L$4+Assumptions!$B$5-Assumptions!$B$4)/Assumptions!$B$3*Assumptions!$B$10</f>
        <v>245.028177788208</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160.401865598869</v>
      </c>
      <c r="C28" s="0" t="n">
        <f aca="false">(SUMPRODUCT(DCF_Base!$C$19:$L$19/(1+$A$28/100)^DCF_Base!$C$4:$L$4)+MAX(0,MIN(IF($A$28&gt;$C$23,DCF_Base!$L$19*(1+$C$23/100)/(($A$28-$C$23)/100),DCF_Base!$L$19*DCF_Base!$B$29),DCF_Base!$L$19*DCF_Base!$B$29))/(1+$A$28/100)^DCF_Base!$L$4+Assumptions!$B$5-Assumptions!$B$4)/Assumptions!$B$3*Assumptions!$B$10</f>
        <v>168.35128785356</v>
      </c>
      <c r="D28" s="0" t="n">
        <f aca="false">(SUMPRODUCT(DCF_Base!$C$19:$L$19/(1+$A$28/100)^DCF_Base!$C$4:$L$4)+MAX(0,MIN(IF($A$28&gt;$D$23,DCF_Base!$L$19*(1+$D$23/100)/(($A$28-$D$23)/100),DCF_Base!$L$19*DCF_Base!$B$29),DCF_Base!$L$19*DCF_Base!$B$29))/(1+$A$28/100)^DCF_Base!$L$4+Assumptions!$B$5-Assumptions!$B$4)/Assumptions!$B$3*Assumptions!$B$10</f>
        <v>177.436341858921</v>
      </c>
      <c r="E28" s="0" t="n">
        <f aca="false">(SUMPRODUCT(DCF_Base!$C$19:$L$19/(1+$A$28/100)^DCF_Base!$C$4:$L$4)+MAX(0,MIN(IF($A$28&gt;$E$23,DCF_Base!$L$19*(1+$E$23/100)/(($A$28-$E$23)/100),DCF_Base!$L$19*DCF_Base!$B$29),DCF_Base!$L$19*DCF_Base!$B$29))/(1+$A$28/100)^DCF_Base!$L$4+Assumptions!$B$5-Assumptions!$B$4)/Assumptions!$B$3*Assumptions!$B$10</f>
        <v>187.919096480491</v>
      </c>
      <c r="F28" s="0" t="n">
        <f aca="false">(SUMPRODUCT(DCF_Base!$C$19:$L$19/(1+$A$28/100)^DCF_Base!$C$4:$L$4)+MAX(0,MIN(IF($A$28&gt;$F$23,DCF_Base!$L$19*(1+$F$23/100)/(($A$28-$F$23)/100),DCF_Base!$L$19*DCF_Base!$B$29),DCF_Base!$L$19*DCF_Base!$B$29))/(1+$A$28/100)^DCF_Base!$L$4+Assumptions!$B$5-Assumptions!$B$4)/Assumptions!$B$3*Assumptions!$B$10</f>
        <v>200.148976872323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2026-10-02T00:27:18Z</dcterms:created>
  <dc:creator>openpyxl</dc:creator>
  <dc:description/>
  <dc:language>en-NZ</dc:language>
  <cp:lastModifiedBy/>
  <dcterms:modified xsi:type="dcterms:W3CDTF">2026-10-02T00:27:18Z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