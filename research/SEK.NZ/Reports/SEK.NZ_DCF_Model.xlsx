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Historical" sheetId="3" r:id="rId3"/>
    <sheet name="FCF Quality" sheetId="4" r:id="rId4"/>
    <sheet name="Model_Info" sheetId="5" r:id="rId5"/>
  </sheets>
  <calcPr calcId="124519" fullCalcOnLoad="1"/>
</workbook>
</file>

<file path=xl/sharedStrings.xml><?xml version="1.0" encoding="utf-8"?>
<sst xmlns="http://schemas.openxmlformats.org/spreadsheetml/2006/main" count="140" uniqueCount="122">
  <si>
    <t>SEK.NZ (Seeka Limited) DCF Valuation Model - BASE CASE</t>
  </si>
  <si>
    <t>Gray cells are INPUTS - adjust to see valuation change. Mid-cycle component build (EBITDA-&gt;SBC-&gt;D&amp;A-&gt;tax-&gt;capex-&gt;WC), NOT FY2025 peak-FCF extrapolation.</t>
  </si>
  <si>
    <t>KEY INPUTS</t>
  </si>
  <si>
    <t>Current Stock Price (NZD)</t>
  </si>
  <si>
    <t>Shares Outstanding Today (M)</t>
  </si>
  <si>
    <t>Cash &amp; Equivalents (NZ$M)</t>
  </si>
  <si>
    <t>Total Bank Debt (NZ$M)</t>
  </si>
  <si>
    <t>Net Debt (NZ$M)</t>
  </si>
  <si>
    <t>Annual Share Growth (DRP dilution)</t>
  </si>
  <si>
    <t>WACC</t>
  </si>
  <si>
    <t>Terminal Growth Rate</t>
  </si>
  <si>
    <t>Terminal EV/EBITDA Cap Multiple</t>
  </si>
  <si>
    <t>D&amp;A (% of revenue)</t>
  </si>
  <si>
    <t>Working Capital Capture (% of revenue GROWTH)</t>
  </si>
  <si>
    <t>Mid-Cycle Starting Revenue (NZ$M, Yr0 base)</t>
  </si>
  <si>
    <t>ANNUAL ASSUMPTIONS</t>
  </si>
  <si>
    <t>FY2027E</t>
  </si>
  <si>
    <t>FY2028E</t>
  </si>
  <si>
    <t>FY2029E</t>
  </si>
  <si>
    <t>FY2030E</t>
  </si>
  <si>
    <t>FY2031E</t>
  </si>
  <si>
    <t>Revenue Growth %</t>
  </si>
  <si>
    <t>EBITDA Margin %</t>
  </si>
  <si>
    <t>Capex % of Revenue</t>
  </si>
  <si>
    <t>Cash Tax Rate %</t>
  </si>
  <si>
    <t>PROJECTIONS (Component Build)</t>
  </si>
  <si>
    <t>Revenue</t>
  </si>
  <si>
    <t>Adj. EBITDA</t>
  </si>
  <si>
    <t>D&amp;A</t>
  </si>
  <si>
    <t>EBIT</t>
  </si>
  <si>
    <t>NOPAT (EBIT x (1-tax))</t>
  </si>
  <si>
    <t>Capex</t>
  </si>
  <si>
    <t>Working Capital (capture x change in revenue)</t>
  </si>
  <si>
    <t>Owner FCF (NOPAT+D&amp;A-Capex-WC)</t>
  </si>
  <si>
    <t>Owner FCF Margin %</t>
  </si>
  <si>
    <t>Shares Outstanding (M)</t>
  </si>
  <si>
    <t>Discount Factor</t>
  </si>
  <si>
    <t>PV of Owner FCF</t>
  </si>
  <si>
    <t>VALUATION</t>
  </si>
  <si>
    <t>Sum of PV of FCF (Yr1-5)</t>
  </si>
  <si>
    <t>Terminal FCF (Yr5 FCF x (1+g))</t>
  </si>
  <si>
    <t>Terminal Value (Gordon)</t>
  </si>
  <si>
    <t>Terminal Value (EV/EBITDA Cap)</t>
  </si>
  <si>
    <t>Terminal Value (Lower of Gordon/Cap)</t>
  </si>
  <si>
    <t>PV of Terminal Value</t>
  </si>
  <si>
    <t>Enterprise Value</t>
  </si>
  <si>
    <t>Less: Net Debt</t>
  </si>
  <si>
    <t>Equity Value</t>
  </si>
  <si>
    <t>INTRINSIC VALUE/SHARE (NZD)</t>
  </si>
  <si>
    <t>Terminal Value % of Enterprise Value</t>
  </si>
  <si>
    <t>ENTRY PRICE (15% IRR Target)</t>
  </si>
  <si>
    <t>PV of Yrs 1-5 FCF @15%</t>
  </si>
  <si>
    <t>PV of Terminal Value @15%</t>
  </si>
  <si>
    <t>Entry Price (15% IRR)</t>
  </si>
  <si>
    <t>Upside to Intrinsic Value</t>
  </si>
  <si>
    <t>Upside to Entry Price</t>
  </si>
  <si>
    <t>Sensitivity Analysis - Base Case Intrinsic Value</t>
  </si>
  <si>
    <t>WACC (rows) x Terminal Growth (columns); terminal value = MIN(Gordon, 5.5x terminal EBITDA cap)</t>
  </si>
  <si>
    <t>WACC \ Term G</t>
  </si>
  <si>
    <t>Historical Growth Rates &amp; Multiples</t>
  </si>
  <si>
    <t>Metric</t>
  </si>
  <si>
    <t>3-Year CAGR</t>
  </si>
  <si>
    <t>5-Year CAGR</t>
  </si>
  <si>
    <t>EPS (distorted - see note)</t>
  </si>
  <si>
    <t>Equity/Book Value</t>
  </si>
  <si>
    <t>EBITDA</t>
  </si>
  <si>
    <t>Growth Divergence Warning:</t>
  </si>
  <si>
    <t>EPS and FCF CAGRs are NOT meaningful for this ticker: FY2023 was a loss-making trough (EPS -$0.34, FCF -$20.1m) and FY2020-2022 FCF alternates sign, making CAGR math undefined or explosive (e.g. EPS 3yr CAGR 68% purely reflects recovery off a near-zero FY2022 base of $0.16). Revenue CAGR (8-12%) and Equity CAGR (3-11%) are usable but even these span a trough-to-peak window. Growth for the DCF was NOT selected via CAGR extrapolation; base-case revenue growth (1-3.5%/yr) reflects modest post-moderation volume growth off a mid-cycle starting revenue of $400m, informed by Zespri's 5-year industry plan (+10% trays to 2030) rather than any single historical CAGR.</t>
  </si>
  <si>
    <t>FY-End EV/EBITDA History (SBC-adj)</t>
  </si>
  <si>
    <t>FY</t>
  </si>
  <si>
    <t>EV/EBITDA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</si>
  <si>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</si>
  <si>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</si>
  <si>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</si>
  <si>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</si>
  <si>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</si>
  <si>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</si>
  <si>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</si>
  <si>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</si>
  <si>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</si>
  <si>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</si>
  <si>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Note:</t>
  </si>
  <si>
    <t>FY-end (31 December close) EV/EBITDA computed on SBC-adjusted (i.e. effectively unadjusted, since SBC is negligible for this ticker) trailing EBITDA. These will NOT match Yahoo/screener GAAP multiples exactly due to differing EBITDA/net-debt definitions and timing. FY2023 is a trough-EBITDA outlier (10.9x) excluded from the 'average'/'max' figures used for scenario multiple caps.</t>
  </si>
  <si>
    <t>FCF Quality: Reported vs Owner FCF Reconciliation</t>
  </si>
  <si>
    <t>SBC is negligible for this ticker (never exceeding 0.05% of revenue), so reported and owner FCF are virtually identical. The material historical distortion is NOT SBC -- it is cyclicality: FY2015-2023 FCF is mostly negative from orchard/post-harvest EXPANSION capex (packhouse build-out, orchard acquisition), not distress, and must not be used as a 'normal' base. Interest income is not stripped because Seeka is a net-debt company throughout.</t>
  </si>
  <si>
    <t>Period</t>
  </si>
  <si>
    <t>FY2015</t>
  </si>
  <si>
    <t>Revenue (NZ$M)</t>
  </si>
  <si>
    <t>Reported FCF (NZ$M)</t>
  </si>
  <si>
    <t>less: SBC (NZ$M)</t>
  </si>
  <si>
    <t>Owner FCF (NZ$M)</t>
  </si>
  <si>
    <t>Reported FCF Margin %</t>
  </si>
  <si>
    <t>Cash Tax Paid (NZ$M, memo)</t>
  </si>
  <si>
    <t>Memo: FY2015-2023 negative FCF reflects orchard/post-harvest EXPANSION capex</t>
  </si>
  <si>
    <t>(packhouse build-out, orchard acquisition), NOT distress - do not use as a "normal" base.</t>
  </si>
  <si>
    <t>Model Provenance &amp; Methodology Notes</t>
  </si>
  <si>
    <t>Built by</t>
  </si>
  <si>
    <t>Claude dcf-analyst agent, per /Users/swilliams/Stocks/Research/.claude/agents/dcf-analyst.md</t>
  </si>
  <si>
    <t>Data vintage</t>
  </si>
  <si>
    <t>Share price NZ$4.95 fetched live from Yahoo Finance chart API on 2026-08-01. FY2025 annual result released 2026-02-27 (year ended 31-Dec-2025). FY2026 first guidance issued 17/18-Jun-2026 (NPBT $38-42m). H1-2026 result release advised 27-Jul-2026 but NOT YET PUBLISHED as of the valuation date (2026-08-01) - net debt, dividend, and volume figures used are the FY2025 year-end/guidance-vintage figures, not H1-2026 actuals.</t>
  </si>
  <si>
    <t>Methodology - core choice</t>
  </si>
  <si>
    <t>MID-CYCLE component-build DCF, deliberately NOT extrapolating FY2025 record-year FCF/EBITDA. This ticker is the repo's canonical peak-FCF sanity-check case (see "warning" field in the JSON) after a prior run produced IV $22.75 by flat-lining peak margins.</t>
  </si>
  <si>
    <t>Mid-cycle EBITDA selection</t>
  </si>
  <si>
    <t>Year-1 base-case EBITDA ~$66.7m on $404m revenue (16.5% margin), chosen between the FY2022-2025 straight 4-year average ($61.0m) and a guidance-informed blend including FY2026E ($69.7m), reflecting structurally higher SunGold mix without assuming the FY2025 record repeats.</t>
  </si>
  <si>
    <t>SBC treatment</t>
  </si>
  <si>
    <t>SBC is genuinely negligible for Seeka (0-$0.15m/yr, never &gt;0.05% of revenue, verified against duckdb kpis EquityAwardTaxes=0 every year). The SBC adjustment step is applied mechanically but is immaterial - the real trap here is peak-vs-trough cyclicality, not stock compensation.</t>
  </si>
  <si>
    <t>Net debt / interest income</t>
  </si>
  <si>
    <t>Seeka is a NET DEBT company (net debt $100.3m at Dec-2025, not net cash) so interest income is NOT stripped from FCF - the interest-income double-count trap in the agent instructions applies only to net-cash companies.</t>
  </si>
  <si>
    <t>WACC build</t>
  </si>
  <si>
    <t>15.5% base = ~11-12% NZ small-cap base + Zespri single-marketer concentration premium (1.5-2.0%) + weather/cyclone cyclicality premium (1.0-1.5%) + NZX illiquidity/small-cap premium (1.5-2.0%). Bull 14.0%, Bear 17.5%. See "wacc_rationale" block in the JSON for full detail.</t>
  </si>
  <si>
    <t>Terminal value</t>
  </si>
  <si>
    <t>MIN(Gordon growth, EV/EBITDA cap). Gordon growth structurally binds in all three scenarios at this WACC/FCF-conversion combination (SEK converts ~50-55% of EBITDA to owner FCF, and at a mid-teens WACC even a 2.5% terminal growth rate produces a Gordon value below the EV/EBITDA cap) - this is a legitimate mechanical outcome for a mid-teens-WACC cyclical, not a modeling error. EV/EBITDA caps (bear 3.5x/base 5.5x/bull 7.9x) are calibrated to Seeka's own FY-end trading history (10-year range 3.1x-7.9x ex the FY2023 trough-EBITDA outlier of 10.9x).</t>
  </si>
  <si>
    <t>Horizon</t>
  </si>
  <si>
    <t>5-year explicit projection - appropriate because base-case owner-FCF margin is roughly stable across the window (9.5%-&gt;10.6%), not still steeply ramping, reflecting a mature business past its packhouse capacity build-out.</t>
  </si>
  <si>
    <t>Sanity checks</t>
  </si>
  <si>
    <t>Base IV ($4.54) implies a BELOW-average P/E (5.97x vs 13.0x avg) and EV/EBITDA (3.13x vs 5.58x avg) against FY2025 PEAK earnings - expected for a cyclical valued at mid-cycle vs a record year, and well within the hard 2x/1.5x ceilings. Against MID-CYCLE (5yr average) earnings, implied P/E (16.6x) and EV/EBITDA (4.50x) both sit close to or within historical average ranges, cross-confirming the valuation.</t>
  </si>
  <si>
    <t>What to refresh after next earnings/data</t>
  </si>
  <si>
    <t>H1-2026 result (expected mid-to-late Aug 2026): update net debt, dividend declaration, H1 tray volumes and revenue/EBITDA run-rate. FY2026 full-year result (expected Feb-2027): rebuild mid-cycle EBITDA anchor once the FY2026 actual NPBT (guided $38-42m) is confirmed; reassess whether mid-cycle margin assumptions (16.5%-&gt;18.3%) remain appropriate. Re-fetch live share price from Yahoo before reusing this model - it decays with market moves for a stock this volatile.</t>
  </si>
  <si>
    <t>Cell colour conventions</t>
  </si>
  <si>
    <t>GRAY cells = editable inputs. WHITE cells with borders = formula outputs (change automatically). GREEN highlighted cells = headline valuation outputs (Intrinsic Value/Share, Entry Price).</t>
  </si>
  <si>
    <t>Caveat</t>
  </si>
  <si>
    <t>All figures will go stale. This is a snapshot as of 2026-08-01 using the FY2025 annual result and Jun-2026 guidance update as the latest data points; re-verify net debt, dividend, and volume assumptions against the H1-2026 result once published before relying on this model for a live decision.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</si>
</sst>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%"/>
    <numFmt numFmtId="166" formatCode="&quot;$&quot;#,##0.00"/>
  </numFmts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D6303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4" fillId="3" borderId="2" xfId="0" applyFont="1" applyFill="1" applyBorder="1"/>
    <xf numFmtId="165" fontId="0" fillId="0" borderId="2" xfId="0" applyNumberFormat="1" applyBorder="1"/>
    <xf numFmtId="0" fontId="5" fillId="0" borderId="0" xfId="0" applyFont="1"/>
    <xf numFmtId="166" fontId="4" fillId="4" borderId="2" xfId="0" applyNumberFormat="1" applyFont="1" applyFill="1" applyBorder="1"/>
    <xf numFmtId="165" fontId="4" fillId="3" borderId="0" xfId="0" applyNumberFormat="1" applyFont="1" applyFill="1"/>
    <xf numFmtId="166" fontId="0" fillId="0" borderId="2" xfId="0" applyNumberFormat="1" applyBorder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tabSelected="1" workbookViewId="0"/>
  </sheetViews>
  <sheetFormatPr defaultRowHeight="15"/>
  <cols>
    <col min="1" max="1" width="30.7109375" customWidth="1"/>
    <col min="2" max="8" width="13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</row>
    <row r="5" spans="1:2">
      <c r="A5" t="s">
        <v>3</v>
      </c>
      <c r="B5" s="4">
        <v>4.95</v>
      </c>
    </row>
    <row r="6" spans="1:2">
      <c r="A6" t="s">
        <v>4</v>
      </c>
      <c r="B6" s="4">
        <v>44.03</v>
      </c>
    </row>
    <row r="7" spans="1:2">
      <c r="A7" t="s">
        <v>5</v>
      </c>
      <c r="B7" s="4">
        <v>19.361</v>
      </c>
    </row>
    <row r="8" spans="1:2">
      <c r="A8" t="s">
        <v>6</v>
      </c>
      <c r="B8" s="4">
        <v>119.62</v>
      </c>
    </row>
    <row r="9" spans="1:2">
      <c r="A9" t="s">
        <v>7</v>
      </c>
      <c r="B9" s="5">
        <f>B8-B7</f>
        <v>0</v>
      </c>
    </row>
    <row r="10" spans="1:2">
      <c r="A10" t="s">
        <v>8</v>
      </c>
      <c r="B10" s="6">
        <v>0.0175</v>
      </c>
    </row>
    <row r="12" spans="1:2">
      <c r="A12" t="s">
        <v>9</v>
      </c>
      <c r="B12" s="6">
        <v>0.155</v>
      </c>
    </row>
    <row r="13" spans="1:2">
      <c r="A13" t="s">
        <v>10</v>
      </c>
      <c r="B13" s="6">
        <v>0.02</v>
      </c>
    </row>
    <row r="14" spans="1:2">
      <c r="A14" t="s">
        <v>11</v>
      </c>
      <c r="B14" s="4">
        <v>5.5</v>
      </c>
    </row>
    <row r="15" spans="1:2">
      <c r="A15" t="s">
        <v>12</v>
      </c>
      <c r="B15" s="6">
        <v>0.07000000000000001</v>
      </c>
    </row>
    <row r="16" spans="1:2">
      <c r="A16" t="s">
        <v>13</v>
      </c>
      <c r="B16" s="6">
        <v>0.12</v>
      </c>
    </row>
    <row r="18" spans="1:6">
      <c r="A18" t="s">
        <v>14</v>
      </c>
      <c r="B18" s="4">
        <v>400</v>
      </c>
    </row>
    <row r="20" spans="1:6">
      <c r="A20" s="3" t="s">
        <v>15</v>
      </c>
    </row>
    <row r="21" spans="1:6">
      <c r="A21" s="7"/>
      <c r="B21" s="7" t="s">
        <v>16</v>
      </c>
      <c r="C21" s="7" t="s">
        <v>17</v>
      </c>
      <c r="D21" s="7" t="s">
        <v>18</v>
      </c>
      <c r="E21" s="7" t="s">
        <v>19</v>
      </c>
      <c r="F21" s="7" t="s">
        <v>20</v>
      </c>
    </row>
    <row r="22" spans="1:6">
      <c r="A22" t="s">
        <v>21</v>
      </c>
      <c r="B22" s="6">
        <v>0.01</v>
      </c>
      <c r="C22" s="6">
        <v>0.03</v>
      </c>
      <c r="D22" s="6">
        <v>0.035</v>
      </c>
      <c r="E22" s="6">
        <v>0.035</v>
      </c>
      <c r="F22" s="6">
        <v>0.03</v>
      </c>
    </row>
    <row r="23" spans="1:6">
      <c r="A23" t="s">
        <v>22</v>
      </c>
      <c r="B23" s="6">
        <v>0.165</v>
      </c>
      <c r="C23" s="6">
        <v>0.17</v>
      </c>
      <c r="D23" s="6">
        <v>0.175</v>
      </c>
      <c r="E23" s="6">
        <v>0.18</v>
      </c>
      <c r="F23" s="6">
        <v>0.183</v>
      </c>
    </row>
    <row r="24" spans="1:6">
      <c r="A24" t="s">
        <v>23</v>
      </c>
      <c r="B24" s="6">
        <v>0.059</v>
      </c>
      <c r="C24" s="6">
        <v>0.057</v>
      </c>
      <c r="D24" s="6">
        <v>0.055</v>
      </c>
      <c r="E24" s="6">
        <v>0.052</v>
      </c>
      <c r="F24" s="6">
        <v>0.05</v>
      </c>
    </row>
    <row r="25" spans="1:6">
      <c r="A25" t="s">
        <v>24</v>
      </c>
      <c r="B25" s="6">
        <v>0.1</v>
      </c>
      <c r="C25" s="6">
        <v>0.14</v>
      </c>
      <c r="D25" s="6">
        <v>0.17</v>
      </c>
      <c r="E25" s="6">
        <v>0.19</v>
      </c>
      <c r="F25" s="6">
        <v>0.21</v>
      </c>
    </row>
    <row r="27" spans="1:6">
      <c r="A27" s="3" t="s">
        <v>25</v>
      </c>
    </row>
    <row r="28" spans="1:6">
      <c r="A28" s="7"/>
      <c r="B28" s="7" t="s">
        <v>16</v>
      </c>
      <c r="C28" s="7" t="s">
        <v>17</v>
      </c>
      <c r="D28" s="7" t="s">
        <v>18</v>
      </c>
      <c r="E28" s="7" t="s">
        <v>19</v>
      </c>
      <c r="F28" s="7" t="s">
        <v>20</v>
      </c>
    </row>
    <row r="29" spans="1:6">
      <c r="A29" t="s">
        <v>26</v>
      </c>
      <c r="B29" s="5">
        <f>$B$18*(1+B22)</f>
        <v>0</v>
      </c>
      <c r="C29" s="5">
        <f>B29*(1+C22)</f>
        <v>0</v>
      </c>
      <c r="D29" s="5">
        <f>C29*(1+D22)</f>
        <v>0</v>
      </c>
      <c r="E29" s="5">
        <f>D29*(1+E22)</f>
        <v>0</v>
      </c>
      <c r="F29" s="5">
        <f>E29*(1+F22)</f>
        <v>0</v>
      </c>
    </row>
    <row r="30" spans="1:6">
      <c r="A30" t="s">
        <v>27</v>
      </c>
      <c r="B30" s="5">
        <f>B29*B23</f>
        <v>0</v>
      </c>
      <c r="C30" s="5">
        <f>C29*C23</f>
        <v>0</v>
      </c>
      <c r="D30" s="5">
        <f>D29*D23</f>
        <v>0</v>
      </c>
      <c r="E30" s="5">
        <f>E29*E23</f>
        <v>0</v>
      </c>
      <c r="F30" s="5">
        <f>F29*F23</f>
        <v>0</v>
      </c>
    </row>
    <row r="31" spans="1:6">
      <c r="A31" t="s">
        <v>28</v>
      </c>
      <c r="B31" s="5">
        <f>B29*$B$15</f>
        <v>0</v>
      </c>
      <c r="C31" s="5">
        <f>C29*$B$15</f>
        <v>0</v>
      </c>
      <c r="D31" s="5">
        <f>D29*$B$15</f>
        <v>0</v>
      </c>
      <c r="E31" s="5">
        <f>E29*$B$15</f>
        <v>0</v>
      </c>
      <c r="F31" s="5">
        <f>F29*$B$15</f>
        <v>0</v>
      </c>
    </row>
    <row r="32" spans="1:6">
      <c r="A32" t="s">
        <v>29</v>
      </c>
      <c r="B32" s="5">
        <f>B30-B31</f>
        <v>0</v>
      </c>
      <c r="C32" s="5">
        <f>C30-C31</f>
        <v>0</v>
      </c>
      <c r="D32" s="5">
        <f>D30-D31</f>
        <v>0</v>
      </c>
      <c r="E32" s="5">
        <f>E30-E31</f>
        <v>0</v>
      </c>
      <c r="F32" s="5">
        <f>F30-F31</f>
        <v>0</v>
      </c>
    </row>
    <row r="33" spans="1:6">
      <c r="A33" t="s">
        <v>30</v>
      </c>
      <c r="B33" s="5">
        <f>B32*(1-B25)</f>
        <v>0</v>
      </c>
      <c r="C33" s="5">
        <f>C32*(1-C25)</f>
        <v>0</v>
      </c>
      <c r="D33" s="5">
        <f>D32*(1-D25)</f>
        <v>0</v>
      </c>
      <c r="E33" s="5">
        <f>E32*(1-E25)</f>
        <v>0</v>
      </c>
      <c r="F33" s="5">
        <f>F32*(1-F25)</f>
        <v>0</v>
      </c>
    </row>
    <row r="34" spans="1:6">
      <c r="A34" t="s">
        <v>31</v>
      </c>
      <c r="B34" s="5">
        <f>B29*B24</f>
        <v>0</v>
      </c>
      <c r="C34" s="5">
        <f>C29*C24</f>
        <v>0</v>
      </c>
      <c r="D34" s="5">
        <f>D29*D24</f>
        <v>0</v>
      </c>
      <c r="E34" s="5">
        <f>E29*E24</f>
        <v>0</v>
      </c>
      <c r="F34" s="5">
        <f>F29*F24</f>
        <v>0</v>
      </c>
    </row>
    <row r="35" spans="1:6">
      <c r="A35" t="s">
        <v>32</v>
      </c>
      <c r="B35" s="5">
        <f>$B$16*(B29-$B$18)</f>
        <v>0</v>
      </c>
      <c r="C35" s="5">
        <f>$B$16*(C29-B29)</f>
        <v>0</v>
      </c>
      <c r="D35" s="5">
        <f>$B$16*(D29-C29)</f>
        <v>0</v>
      </c>
      <c r="E35" s="5">
        <f>$B$16*(E29-D29)</f>
        <v>0</v>
      </c>
      <c r="F35" s="5">
        <f>$B$16*(F29-E29)</f>
        <v>0</v>
      </c>
    </row>
    <row r="36" spans="1:6">
      <c r="A36" t="s">
        <v>33</v>
      </c>
      <c r="B36" s="5">
        <f>B33+B31-B34-B35</f>
        <v>0</v>
      </c>
      <c r="C36" s="5">
        <f>C33+C31-C34-C35</f>
        <v>0</v>
      </c>
      <c r="D36" s="5">
        <f>D33+D31-D34-D35</f>
        <v>0</v>
      </c>
      <c r="E36" s="5">
        <f>E33+E31-E34-E35</f>
        <v>0</v>
      </c>
      <c r="F36" s="5">
        <f>F33+F31-F34-F35</f>
        <v>0</v>
      </c>
    </row>
    <row r="37" spans="1:6">
      <c r="A37" t="s">
        <v>34</v>
      </c>
      <c r="B37" s="8">
        <f>B36/B29</f>
        <v>0</v>
      </c>
      <c r="C37" s="8">
        <f>C36/C29</f>
        <v>0</v>
      </c>
      <c r="D37" s="8">
        <f>D36/D29</f>
        <v>0</v>
      </c>
      <c r="E37" s="8">
        <f>E36/E29</f>
        <v>0</v>
      </c>
      <c r="F37" s="8">
        <f>F36/F29</f>
        <v>0</v>
      </c>
    </row>
    <row r="38" spans="1:6">
      <c r="A38" t="s">
        <v>35</v>
      </c>
      <c r="B38" s="5">
        <f>$B$6*(1+$B$10)</f>
        <v>0</v>
      </c>
      <c r="C38" s="5">
        <f>B38*(1+$B$10)</f>
        <v>0</v>
      </c>
      <c r="D38" s="5">
        <f>C38*(1+$B$10)</f>
        <v>0</v>
      </c>
      <c r="E38" s="5">
        <f>D38*(1+$B$10)</f>
        <v>0</v>
      </c>
      <c r="F38" s="5">
        <f>E38*(1+$B$10)</f>
        <v>0</v>
      </c>
    </row>
    <row r="39" spans="1:6">
      <c r="A39" t="s">
        <v>36</v>
      </c>
      <c r="B39" s="5">
        <f>1/(1+$B$12)^1</f>
        <v>0</v>
      </c>
      <c r="C39" s="5">
        <f>1/(1+$B$12)^2</f>
        <v>0</v>
      </c>
      <c r="D39" s="5">
        <f>1/(1+$B$12)^3</f>
        <v>0</v>
      </c>
      <c r="E39" s="5">
        <f>1/(1+$B$12)^4</f>
        <v>0</v>
      </c>
      <c r="F39" s="5">
        <f>1/(1+$B$12)^5</f>
        <v>0</v>
      </c>
    </row>
    <row r="40" spans="1:6">
      <c r="A40" t="s">
        <v>37</v>
      </c>
      <c r="B40" s="5">
        <f>B36*B39</f>
        <v>0</v>
      </c>
      <c r="C40" s="5">
        <f>C36*C39</f>
        <v>0</v>
      </c>
      <c r="D40" s="5">
        <f>D36*D39</f>
        <v>0</v>
      </c>
      <c r="E40" s="5">
        <f>E36*E39</f>
        <v>0</v>
      </c>
      <c r="F40" s="5">
        <f>F36*F39</f>
        <v>0</v>
      </c>
    </row>
    <row r="42" spans="1:6">
      <c r="A42" s="3" t="s">
        <v>38</v>
      </c>
    </row>
    <row r="43" spans="1:6">
      <c r="A43" t="s">
        <v>39</v>
      </c>
      <c r="B43" s="5">
        <f>SUM(B40:F40)</f>
        <v>0</v>
      </c>
    </row>
    <row r="44" spans="1:6">
      <c r="A44" t="s">
        <v>40</v>
      </c>
      <c r="B44" s="5">
        <f>F36*(1+$B$13)</f>
        <v>0</v>
      </c>
    </row>
    <row r="45" spans="1:6">
      <c r="A45" t="s">
        <v>41</v>
      </c>
      <c r="B45" s="5">
        <f>B44/($B$12-$B$13)</f>
        <v>0</v>
      </c>
    </row>
    <row r="46" spans="1:6">
      <c r="A46" t="s">
        <v>42</v>
      </c>
      <c r="B46" s="5">
        <f>$B$14*F30</f>
        <v>0</v>
      </c>
    </row>
    <row r="47" spans="1:6">
      <c r="A47" t="s">
        <v>43</v>
      </c>
      <c r="B47" s="5">
        <f>MIN(B45,B46)</f>
        <v>0</v>
      </c>
    </row>
    <row r="48" spans="1:6">
      <c r="A48" t="s">
        <v>44</v>
      </c>
      <c r="B48" s="5">
        <f>B47*F39</f>
        <v>0</v>
      </c>
    </row>
    <row r="49" spans="1:2">
      <c r="A49" t="s">
        <v>45</v>
      </c>
      <c r="B49" s="5">
        <f>B43+B48</f>
        <v>0</v>
      </c>
    </row>
    <row r="50" spans="1:2">
      <c r="A50" t="s">
        <v>46</v>
      </c>
      <c r="B50" s="5">
        <f>B9</f>
        <v>0</v>
      </c>
    </row>
    <row r="51" spans="1:2">
      <c r="A51" t="s">
        <v>47</v>
      </c>
      <c r="B51" s="5">
        <f>B49-B50</f>
        <v>0</v>
      </c>
    </row>
    <row r="52" spans="1:2">
      <c r="A52" s="9" t="s">
        <v>48</v>
      </c>
      <c r="B52" s="10">
        <f>B51/F38</f>
        <v>0</v>
      </c>
    </row>
    <row r="53" spans="1:2">
      <c r="A53" t="s">
        <v>49</v>
      </c>
      <c r="B53" s="8">
        <f>B48/B49</f>
        <v>0</v>
      </c>
    </row>
    <row r="55" spans="1:2">
      <c r="A55" s="3" t="s">
        <v>50</v>
      </c>
    </row>
    <row r="56" spans="1:2">
      <c r="A56" t="s">
        <v>51</v>
      </c>
      <c r="B56" s="5">
        <f>NPV(0.15,B36:F36)</f>
        <v>0</v>
      </c>
    </row>
    <row r="57" spans="1:2">
      <c r="A57" t="s">
        <v>52</v>
      </c>
      <c r="B57" s="5">
        <f>B47/(1.15^5)</f>
        <v>0</v>
      </c>
    </row>
    <row r="58" spans="1:2">
      <c r="A58" t="s">
        <v>46</v>
      </c>
      <c r="B58" s="5">
        <f>B9</f>
        <v>0</v>
      </c>
    </row>
    <row r="59" spans="1:2">
      <c r="A59" t="s">
        <v>53</v>
      </c>
      <c r="B59" s="10">
        <f>(B56+B57-B58)/F38</f>
        <v>0</v>
      </c>
    </row>
    <row r="61" spans="1:2">
      <c r="A61" t="s">
        <v>54</v>
      </c>
      <c r="B61" s="8">
        <f>(B52-B5)/B5</f>
        <v>0</v>
      </c>
    </row>
    <row r="62" spans="1:2">
      <c r="A62" t="s">
        <v>55</v>
      </c>
      <c r="B62" s="8">
        <f>(B5-B59)/B5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56</v>
      </c>
    </row>
    <row r="2" spans="1:6">
      <c r="A2" t="s">
        <v>57</v>
      </c>
    </row>
    <row r="4" spans="1:6">
      <c r="A4" s="7" t="s">
        <v>58</v>
      </c>
      <c r="B4" s="11">
        <v>0.01</v>
      </c>
      <c r="C4" s="11">
        <v>0.015</v>
      </c>
      <c r="D4" s="11">
        <v>0.02</v>
      </c>
      <c r="E4" s="11">
        <v>0.025</v>
      </c>
      <c r="F4" s="11">
        <v>0.03</v>
      </c>
    </row>
    <row r="5" spans="1:6">
      <c r="A5" s="11">
        <v>0.135</v>
      </c>
      <c r="B5" s="12">
        <f>(SUMPRODUCT('DCF Model'!$B$36:$F$36,1/(1+0.135)^{1,2,3,4,5})+MIN((('DCF Model'!$F$36*(1+0.01))/(0.135-0.01)),'DCF Model'!$B$14*'DCF Model'!$F$30)/(1+0.135)^5-'DCF Model'!$B$9)/'DCF Model'!$F$38</f>
        <v>0</v>
      </c>
      <c r="C5" s="12">
        <f>(SUMPRODUCT('DCF Model'!$B$36:$F$36,1/(1+0.135)^{1,2,3,4,5})+MIN((('DCF Model'!$F$36*(1+0.015))/(0.135-0.015)),'DCF Model'!$B$14*'DCF Model'!$F$30)/(1+0.135)^5-'DCF Model'!$B$9)/'DCF Model'!$F$38</f>
        <v>0</v>
      </c>
      <c r="D5" s="12">
        <f>(SUMPRODUCT('DCF Model'!$B$36:$F$36,1/(1+0.135)^{1,2,3,4,5})+MIN((('DCF Model'!$F$36*(1+0.02))/(0.135-0.02)),'DCF Model'!$B$14*'DCF Model'!$F$30)/(1+0.135)^5-'DCF Model'!$B$9)/'DCF Model'!$F$38</f>
        <v>0</v>
      </c>
      <c r="E5" s="12">
        <f>(SUMPRODUCT('DCF Model'!$B$36:$F$36,1/(1+0.135)^{1,2,3,4,5})+MIN((('DCF Model'!$F$36*(1+0.025))/(0.135-0.025)),'DCF Model'!$B$14*'DCF Model'!$F$30)/(1+0.135)^5-'DCF Model'!$B$9)/'DCF Model'!$F$38</f>
        <v>0</v>
      </c>
      <c r="F5" s="12">
        <f>(SUMPRODUCT('DCF Model'!$B$36:$F$36,1/(1+0.135)^{1,2,3,4,5})+MIN((('DCF Model'!$F$36*(1+0.03))/(0.135-0.03)),'DCF Model'!$B$14*'DCF Model'!$F$30)/(1+0.135)^5-'DCF Model'!$B$9)/'DCF Model'!$F$38</f>
        <v>0</v>
      </c>
    </row>
    <row r="6" spans="1:6">
      <c r="A6" s="11">
        <v>0.145</v>
      </c>
      <c r="B6" s="12">
        <f>(SUMPRODUCT('DCF Model'!$B$36:$F$36,1/(1+0.145)^{1,2,3,4,5})+MIN((('DCF Model'!$F$36*(1+0.01))/(0.145-0.01)),'DCF Model'!$B$14*'DCF Model'!$F$30)/(1+0.145)^5-'DCF Model'!$B$9)/'DCF Model'!$F$38</f>
        <v>0</v>
      </c>
      <c r="C6" s="12">
        <f>(SUMPRODUCT('DCF Model'!$B$36:$F$36,1/(1+0.145)^{1,2,3,4,5})+MIN((('DCF Model'!$F$36*(1+0.015))/(0.145-0.015)),'DCF Model'!$B$14*'DCF Model'!$F$30)/(1+0.145)^5-'DCF Model'!$B$9)/'DCF Model'!$F$38</f>
        <v>0</v>
      </c>
      <c r="D6" s="12">
        <f>(SUMPRODUCT('DCF Model'!$B$36:$F$36,1/(1+0.145)^{1,2,3,4,5})+MIN((('DCF Model'!$F$36*(1+0.02))/(0.145-0.02)),'DCF Model'!$B$14*'DCF Model'!$F$30)/(1+0.145)^5-'DCF Model'!$B$9)/'DCF Model'!$F$38</f>
        <v>0</v>
      </c>
      <c r="E6" s="12">
        <f>(SUMPRODUCT('DCF Model'!$B$36:$F$36,1/(1+0.145)^{1,2,3,4,5})+MIN((('DCF Model'!$F$36*(1+0.025))/(0.145-0.025)),'DCF Model'!$B$14*'DCF Model'!$F$30)/(1+0.145)^5-'DCF Model'!$B$9)/'DCF Model'!$F$38</f>
        <v>0</v>
      </c>
      <c r="F6" s="12">
        <f>(SUMPRODUCT('DCF Model'!$B$36:$F$36,1/(1+0.145)^{1,2,3,4,5})+MIN((('DCF Model'!$F$36*(1+0.03))/(0.145-0.03)),'DCF Model'!$B$14*'DCF Model'!$F$30)/(1+0.145)^5-'DCF Model'!$B$9)/'DCF Model'!$F$38</f>
        <v>0</v>
      </c>
    </row>
    <row r="7" spans="1:6">
      <c r="A7" s="11">
        <v>0.155</v>
      </c>
      <c r="B7" s="12">
        <f>(SUMPRODUCT('DCF Model'!$B$36:$F$36,1/(1+0.155)^{1,2,3,4,5})+MIN((('DCF Model'!$F$36*(1+0.01))/(0.155-0.01)),'DCF Model'!$B$14*'DCF Model'!$F$30)/(1+0.155)^5-'DCF Model'!$B$9)/'DCF Model'!$F$38</f>
        <v>0</v>
      </c>
      <c r="C7" s="12">
        <f>(SUMPRODUCT('DCF Model'!$B$36:$F$36,1/(1+0.155)^{1,2,3,4,5})+MIN((('DCF Model'!$F$36*(1+0.015))/(0.155-0.015)),'DCF Model'!$B$14*'DCF Model'!$F$30)/(1+0.155)^5-'DCF Model'!$B$9)/'DCF Model'!$F$38</f>
        <v>0</v>
      </c>
      <c r="D7" s="12">
        <f>(SUMPRODUCT('DCF Model'!$B$36:$F$36,1/(1+0.155)^{1,2,3,4,5})+MIN((('DCF Model'!$F$36*(1+0.02))/(0.155-0.02)),'DCF Model'!$B$14*'DCF Model'!$F$30)/(1+0.155)^5-'DCF Model'!$B$9)/'DCF Model'!$F$38</f>
        <v>0</v>
      </c>
      <c r="E7" s="12">
        <f>(SUMPRODUCT('DCF Model'!$B$36:$F$36,1/(1+0.155)^{1,2,3,4,5})+MIN((('DCF Model'!$F$36*(1+0.025))/(0.155-0.025)),'DCF Model'!$B$14*'DCF Model'!$F$30)/(1+0.155)^5-'DCF Model'!$B$9)/'DCF Model'!$F$38</f>
        <v>0</v>
      </c>
      <c r="F7" s="12">
        <f>(SUMPRODUCT('DCF Model'!$B$36:$F$36,1/(1+0.155)^{1,2,3,4,5})+MIN((('DCF Model'!$F$36*(1+0.03))/(0.155-0.03)),'DCF Model'!$B$14*'DCF Model'!$F$30)/(1+0.155)^5-'DCF Model'!$B$9)/'DCF Model'!$F$38</f>
        <v>0</v>
      </c>
    </row>
    <row r="8" spans="1:6">
      <c r="A8" s="11">
        <v>0.165</v>
      </c>
      <c r="B8" s="12">
        <f>(SUMPRODUCT('DCF Model'!$B$36:$F$36,1/(1+0.165)^{1,2,3,4,5})+MIN((('DCF Model'!$F$36*(1+0.01))/(0.165-0.01)),'DCF Model'!$B$14*'DCF Model'!$F$30)/(1+0.165)^5-'DCF Model'!$B$9)/'DCF Model'!$F$38</f>
        <v>0</v>
      </c>
      <c r="C8" s="12">
        <f>(SUMPRODUCT('DCF Model'!$B$36:$F$36,1/(1+0.165)^{1,2,3,4,5})+MIN((('DCF Model'!$F$36*(1+0.015))/(0.165-0.015)),'DCF Model'!$B$14*'DCF Model'!$F$30)/(1+0.165)^5-'DCF Model'!$B$9)/'DCF Model'!$F$38</f>
        <v>0</v>
      </c>
      <c r="D8" s="12">
        <f>(SUMPRODUCT('DCF Model'!$B$36:$F$36,1/(1+0.165)^{1,2,3,4,5})+MIN((('DCF Model'!$F$36*(1+0.02))/(0.165-0.02)),'DCF Model'!$B$14*'DCF Model'!$F$30)/(1+0.165)^5-'DCF Model'!$B$9)/'DCF Model'!$F$38</f>
        <v>0</v>
      </c>
      <c r="E8" s="12">
        <f>(SUMPRODUCT('DCF Model'!$B$36:$F$36,1/(1+0.165)^{1,2,3,4,5})+MIN((('DCF Model'!$F$36*(1+0.025))/(0.165-0.025)),'DCF Model'!$B$14*'DCF Model'!$F$30)/(1+0.165)^5-'DCF Model'!$B$9)/'DCF Model'!$F$38</f>
        <v>0</v>
      </c>
      <c r="F8" s="12">
        <f>(SUMPRODUCT('DCF Model'!$B$36:$F$36,1/(1+0.165)^{1,2,3,4,5})+MIN((('DCF Model'!$F$36*(1+0.03))/(0.165-0.03)),'DCF Model'!$B$14*'DCF Model'!$F$30)/(1+0.165)^5-'DCF Model'!$B$9)/'DCF Model'!$F$38</f>
        <v>0</v>
      </c>
    </row>
    <row r="9" spans="1:6">
      <c r="A9" s="11">
        <v>0.175</v>
      </c>
      <c r="B9" s="12">
        <f>(SUMPRODUCT('DCF Model'!$B$36:$F$36,1/(1+0.175)^{1,2,3,4,5})+MIN((('DCF Model'!$F$36*(1+0.01))/(0.175-0.01)),'DCF Model'!$B$14*'DCF Model'!$F$30)/(1+0.175)^5-'DCF Model'!$B$9)/'DCF Model'!$F$38</f>
        <v>0</v>
      </c>
      <c r="C9" s="12">
        <f>(SUMPRODUCT('DCF Model'!$B$36:$F$36,1/(1+0.175)^{1,2,3,4,5})+MIN((('DCF Model'!$F$36*(1+0.015))/(0.175-0.015)),'DCF Model'!$B$14*'DCF Model'!$F$30)/(1+0.175)^5-'DCF Model'!$B$9)/'DCF Model'!$F$38</f>
        <v>0</v>
      </c>
      <c r="D9" s="12">
        <f>(SUMPRODUCT('DCF Model'!$B$36:$F$36,1/(1+0.175)^{1,2,3,4,5})+MIN((('DCF Model'!$F$36*(1+0.02))/(0.175-0.02)),'DCF Model'!$B$14*'DCF Model'!$F$30)/(1+0.175)^5-'DCF Model'!$B$9)/'DCF Model'!$F$38</f>
        <v>0</v>
      </c>
      <c r="E9" s="12">
        <f>(SUMPRODUCT('DCF Model'!$B$36:$F$36,1/(1+0.175)^{1,2,3,4,5})+MIN((('DCF Model'!$F$36*(1+0.025))/(0.175-0.025)),'DCF Model'!$B$14*'DCF Model'!$F$30)/(1+0.175)^5-'DCF Model'!$B$9)/'DCF Model'!$F$38</f>
        <v>0</v>
      </c>
      <c r="F9" s="12">
        <f>(SUMPRODUCT('DCF Model'!$B$36:$F$36,1/(1+0.175)^{1,2,3,4,5})+MIN((('DCF Model'!$F$36*(1+0.03))/(0.175-0.03)),'DCF Model'!$B$14*'DCF Model'!$F$30)/(1+0.175)^5-'DCF Model'!$B$9)/'DCF Model'!$F$38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cols>
    <col min="1" max="1" width="24.7109375" customWidth="1"/>
    <col min="2" max="4" width="15.7109375" customWidth="1"/>
  </cols>
  <sheetData>
    <row r="1" spans="1:3">
      <c r="A1" s="1" t="s">
        <v>59</v>
      </c>
    </row>
    <row r="3" spans="1:3">
      <c r="A3" s="7" t="s">
        <v>60</v>
      </c>
      <c r="B3" s="7" t="s">
        <v>61</v>
      </c>
      <c r="C3" s="7" t="s">
        <v>62</v>
      </c>
    </row>
    <row r="4" spans="1:3">
      <c r="A4" t="s">
        <v>26</v>
      </c>
      <c r="B4" s="8">
        <v>0.0806</v>
      </c>
      <c r="C4" s="8">
        <v>0.1182</v>
      </c>
    </row>
    <row r="5" spans="1:3">
      <c r="A5" t="s">
        <v>63</v>
      </c>
      <c r="B5" s="8">
        <v>0.6809999999999999</v>
      </c>
      <c r="C5" s="8">
        <v>0.0789</v>
      </c>
    </row>
    <row r="6" spans="1:3">
      <c r="A6" t="s">
        <v>64</v>
      </c>
      <c r="B6" s="8">
        <v>0.03240000000000001</v>
      </c>
      <c r="C6" s="8">
        <v>0.1108</v>
      </c>
    </row>
    <row r="7" spans="1:3">
      <c r="A7" t="s">
        <v>65</v>
      </c>
      <c r="B7" s="8">
        <v>0.2766</v>
      </c>
      <c r="C7" s="8">
        <v>0.1742</v>
      </c>
    </row>
    <row r="9" spans="1:3">
      <c r="A9" s="9" t="s">
        <v>66</v>
      </c>
    </row>
    <row r="10" spans="1:3" ht="90" customHeight="1">
      <c r="A10" s="13" t="s">
        <v>67</v>
      </c>
    </row>
    <row r="12" spans="1:3">
      <c r="A12" s="3" t="s">
        <v>68</v>
      </c>
    </row>
    <row r="13" spans="1:3">
      <c r="A13" s="7" t="s">
        <v>69</v>
      </c>
      <c r="B13" s="7" t="s">
        <v>70</v>
      </c>
    </row>
    <row r="15" spans="1:3">
      <c r="A15" t="s">
        <v>71</v>
      </c>
      <c r="B15" s="5">
        <v>5.6</v>
      </c>
    </row>
    <row r="16" spans="1:3">
      <c r="A16" t="s">
        <v>72</v>
      </c>
      <c r="B16" s="5">
        <v>7.9</v>
      </c>
    </row>
    <row r="17" spans="1:2">
      <c r="A17" t="s">
        <v>73</v>
      </c>
      <c r="B17" s="5">
        <v>6.3</v>
      </c>
    </row>
    <row r="18" spans="1:2">
      <c r="A18" t="s">
        <v>74</v>
      </c>
      <c r="B18" s="5">
        <v>7.5</v>
      </c>
    </row>
    <row r="19" spans="1:2">
      <c r="A19" t="s">
        <v>75</v>
      </c>
      <c r="B19" s="5">
        <v>5</v>
      </c>
    </row>
    <row r="20" spans="1:2">
      <c r="A20" t="s">
        <v>76</v>
      </c>
      <c r="B20" s="5">
        <v>4.9</v>
      </c>
    </row>
    <row r="21" spans="1:2">
      <c r="A21" t="s">
        <v>77</v>
      </c>
      <c r="B21" s="5">
        <v>6.2</v>
      </c>
    </row>
    <row r="22" spans="1:2">
      <c r="A22" t="s">
        <v>78</v>
      </c>
      <c r="B22" s="5">
        <v>10.9</v>
      </c>
    </row>
    <row r="23" spans="1:2">
      <c r="A23" t="s">
        <v>79</v>
      </c>
      <c r="B23" s="5">
        <v>3.7</v>
      </c>
    </row>
    <row r="24" spans="1:2">
      <c r="A24" t="s">
        <v>80</v>
      </c>
      <c r="B24" s="5">
        <v>3.1</v>
      </c>
    </row>
    <row r="25" spans="1:2">
      <c r="A25" s="9" t="s">
        <v>81</v>
      </c>
    </row>
    <row r="26" spans="1:2" ht="60" customHeight="1">
      <c r="A26" s="13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" width="12.7109375" customWidth="1"/>
    <col min="2" max="12" width="11.7109375" customWidth="1"/>
  </cols>
  <sheetData>
    <row r="1" spans="1:12">
      <c r="A1" s="1" t="s">
        <v>83</v>
      </c>
    </row>
    <row r="2" spans="1:12" ht="60" customHeight="1">
      <c r="A2" s="13" t="s">
        <v>84</v>
      </c>
    </row>
    <row r="4" spans="1:12">
      <c r="A4" s="7" t="s">
        <v>85</v>
      </c>
      <c r="B4" s="7" t="s">
        <v>86</v>
      </c>
      <c r="C4" s="7" t="s">
        <v>71</v>
      </c>
      <c r="D4" s="7" t="s">
        <v>72</v>
      </c>
      <c r="E4" s="7" t="s">
        <v>73</v>
      </c>
      <c r="F4" s="7" t="s">
        <v>74</v>
      </c>
      <c r="G4" s="7" t="s">
        <v>75</v>
      </c>
      <c r="H4" s="7" t="s">
        <v>76</v>
      </c>
      <c r="I4" s="7" t="s">
        <v>77</v>
      </c>
      <c r="J4" s="7" t="s">
        <v>78</v>
      </c>
      <c r="K4" s="7" t="s">
        <v>79</v>
      </c>
      <c r="L4" s="7" t="s">
        <v>80</v>
      </c>
    </row>
    <row r="5" spans="1:12">
      <c r="A5" t="s">
        <v>87</v>
      </c>
      <c r="B5" s="5">
        <v>142.112</v>
      </c>
      <c r="C5" s="5">
        <v>191.317</v>
      </c>
      <c r="D5" s="5">
        <v>186.814</v>
      </c>
      <c r="E5" s="5">
        <v>203.713</v>
      </c>
      <c r="F5" s="5">
        <v>236.868</v>
      </c>
      <c r="G5" s="5">
        <v>251.457</v>
      </c>
      <c r="H5" s="5">
        <v>309.569</v>
      </c>
      <c r="I5" s="5">
        <v>348.387</v>
      </c>
      <c r="J5" s="5">
        <v>300.92</v>
      </c>
      <c r="K5" s="5">
        <v>411.412</v>
      </c>
      <c r="L5" s="5">
        <v>439.611</v>
      </c>
    </row>
    <row r="6" spans="1:12">
      <c r="A6" t="s">
        <v>88</v>
      </c>
      <c r="B6" s="5">
        <v>-14.663</v>
      </c>
      <c r="C6" s="5">
        <v>-20.55</v>
      </c>
      <c r="D6" s="5">
        <v>-10.3</v>
      </c>
      <c r="E6" s="5">
        <v>-25.114</v>
      </c>
      <c r="F6" s="5">
        <v>-19.986</v>
      </c>
      <c r="G6" s="5">
        <v>6.081</v>
      </c>
      <c r="H6" s="5">
        <v>12.094</v>
      </c>
      <c r="I6" s="5">
        <v>-21.736</v>
      </c>
      <c r="J6" s="5">
        <v>-20.065</v>
      </c>
      <c r="K6" s="5">
        <v>47.741</v>
      </c>
      <c r="L6" s="5">
        <v>53.301</v>
      </c>
    </row>
    <row r="7" spans="1:12">
      <c r="A7" t="s">
        <v>89</v>
      </c>
      <c r="B7" s="5">
        <v>0</v>
      </c>
      <c r="C7" s="5">
        <v>0</v>
      </c>
      <c r="D7" s="5">
        <v>0.133</v>
      </c>
      <c r="E7" s="5">
        <v>0.062</v>
      </c>
      <c r="F7" s="5">
        <v>-0.044</v>
      </c>
      <c r="G7" s="5">
        <v>0.153</v>
      </c>
      <c r="H7" s="5">
        <v>0.153</v>
      </c>
      <c r="I7" s="5">
        <v>0.038</v>
      </c>
      <c r="J7" s="5">
        <v>0</v>
      </c>
      <c r="K7" s="5">
        <v>0.049</v>
      </c>
      <c r="L7" s="5">
        <v>0.073</v>
      </c>
    </row>
    <row r="8" spans="1:12">
      <c r="A8" s="9" t="s">
        <v>90</v>
      </c>
      <c r="B8" s="5">
        <v>-14.66</v>
      </c>
      <c r="C8" s="5">
        <v>-20.55</v>
      </c>
      <c r="D8" s="5">
        <v>-10.43</v>
      </c>
      <c r="E8" s="5">
        <v>-25.18</v>
      </c>
      <c r="F8" s="5">
        <v>-19.94</v>
      </c>
      <c r="G8" s="5">
        <v>5.93</v>
      </c>
      <c r="H8" s="5">
        <v>11.94</v>
      </c>
      <c r="I8" s="5">
        <v>-21.77</v>
      </c>
      <c r="J8" s="5">
        <v>-20.07</v>
      </c>
      <c r="K8" s="5">
        <v>47.69</v>
      </c>
      <c r="L8" s="5">
        <v>53.23</v>
      </c>
    </row>
    <row r="9" spans="1:12">
      <c r="A9" t="s">
        <v>91</v>
      </c>
      <c r="B9" s="8">
        <v>-0.103</v>
      </c>
      <c r="C9" s="8">
        <v>-0.107</v>
      </c>
      <c r="D9" s="8">
        <v>-0.055</v>
      </c>
      <c r="E9" s="8">
        <v>-0.123</v>
      </c>
      <c r="F9" s="8">
        <v>-0.08400000000000001</v>
      </c>
      <c r="G9" s="8">
        <v>0.024</v>
      </c>
      <c r="H9" s="8">
        <v>0.039</v>
      </c>
      <c r="I9" s="8">
        <v>-0.062</v>
      </c>
      <c r="J9" s="8">
        <v>-0.067</v>
      </c>
      <c r="K9" s="8">
        <v>0.116</v>
      </c>
      <c r="L9" s="8">
        <v>0.121</v>
      </c>
    </row>
    <row r="10" spans="1:12">
      <c r="A10" t="s">
        <v>34</v>
      </c>
      <c r="B10" s="8">
        <v>-0.103</v>
      </c>
      <c r="C10" s="8">
        <v>-0.107</v>
      </c>
      <c r="D10" s="8">
        <v>-0.05599999999999999</v>
      </c>
      <c r="E10" s="8">
        <v>-0.124</v>
      </c>
      <c r="F10" s="8">
        <v>-0.08400000000000001</v>
      </c>
      <c r="G10" s="8">
        <v>0.024</v>
      </c>
      <c r="H10" s="8">
        <v>0.039</v>
      </c>
      <c r="I10" s="8">
        <v>-0.062</v>
      </c>
      <c r="J10" s="8">
        <v>-0.067</v>
      </c>
      <c r="K10" s="8">
        <v>0.116</v>
      </c>
      <c r="L10" s="8">
        <v>0.121</v>
      </c>
    </row>
    <row r="11" spans="1:12">
      <c r="A11" t="s">
        <v>92</v>
      </c>
      <c r="B11" s="5">
        <v>1.2</v>
      </c>
      <c r="C11" s="5">
        <v>0.97</v>
      </c>
      <c r="D11" s="5">
        <v>4.17</v>
      </c>
      <c r="E11" s="5">
        <v>4.92</v>
      </c>
      <c r="F11" s="5">
        <v>2.29</v>
      </c>
      <c r="G11" s="5">
        <v>2.37</v>
      </c>
      <c r="H11" s="5">
        <v>7.66</v>
      </c>
      <c r="I11" s="5">
        <v>9.130000000000001</v>
      </c>
      <c r="J11" s="5">
        <v>-1.86</v>
      </c>
      <c r="K11" s="5">
        <v>0.02</v>
      </c>
      <c r="L11" s="5">
        <v>4.73</v>
      </c>
    </row>
    <row r="13" spans="1:12">
      <c r="A13" s="13" t="s">
        <v>93</v>
      </c>
    </row>
    <row r="14" spans="1:12">
      <c r="A14" s="13" t="s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1" t="s">
        <v>95</v>
      </c>
    </row>
    <row r="4" spans="1:2" ht="45" customHeight="1">
      <c r="A4" s="9" t="s">
        <v>96</v>
      </c>
      <c r="B4" s="13" t="s">
        <v>97</v>
      </c>
    </row>
    <row r="5" spans="1:2" ht="45" customHeight="1">
      <c r="A5" s="9" t="s">
        <v>98</v>
      </c>
      <c r="B5" s="13" t="s">
        <v>99</v>
      </c>
    </row>
    <row r="6" spans="1:2" ht="45" customHeight="1">
      <c r="A6" s="9" t="s">
        <v>100</v>
      </c>
      <c r="B6" s="13" t="s">
        <v>101</v>
      </c>
    </row>
    <row r="7" spans="1:2" ht="45" customHeight="1">
      <c r="A7" s="9" t="s">
        <v>102</v>
      </c>
      <c r="B7" s="13" t="s">
        <v>103</v>
      </c>
    </row>
    <row r="8" spans="1:2" ht="45" customHeight="1">
      <c r="A8" s="9" t="s">
        <v>104</v>
      </c>
      <c r="B8" s="13" t="s">
        <v>105</v>
      </c>
    </row>
    <row r="9" spans="1:2" ht="45" customHeight="1">
      <c r="A9" s="9" t="s">
        <v>106</v>
      </c>
      <c r="B9" s="13" t="s">
        <v>107</v>
      </c>
    </row>
    <row r="10" spans="1:2" ht="45" customHeight="1">
      <c r="A10" s="9" t="s">
        <v>108</v>
      </c>
      <c r="B10" s="13" t="s">
        <v>109</v>
      </c>
    </row>
    <row r="11" spans="1:2" ht="45" customHeight="1">
      <c r="A11" s="9" t="s">
        <v>110</v>
      </c>
      <c r="B11" s="13" t="s">
        <v>111</v>
      </c>
    </row>
    <row r="12" spans="1:2" ht="45" customHeight="1">
      <c r="A12" s="9" t="s">
        <v>112</v>
      </c>
      <c r="B12" s="13" t="s">
        <v>113</v>
      </c>
    </row>
    <row r="13" spans="1:2" ht="45" customHeight="1">
      <c r="A13" s="9" t="s">
        <v>114</v>
      </c>
      <c r="B13" s="13" t="s">
        <v>115</v>
      </c>
    </row>
    <row r="14" spans="1:2" ht="45" customHeight="1">
      <c r="A14" s="9" t="s">
        <v>116</v>
      </c>
      <c r="B14" s="13" t="s">
        <v>117</v>
      </c>
    </row>
    <row r="15" spans="1:2" ht="45" customHeight="1">
      <c r="A15" s="9" t="s">
        <v>118</v>
      </c>
      <c r="B15" s="13" t="s">
        <v>119</v>
      </c>
    </row>
    <row r="16" spans="1:2" ht="45" customHeight="1">
      <c r="A16" s="9" t="s">
        <v>120</v>
      </c>
      <c r="B16" s="1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Sensitivity</vt:lpstr>
      <vt:lpstr>Historical</vt:lpstr>
      <vt:lpstr>FCF Quality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2026-08-01T02:32:42Z</dcterms:created>
  <dcterms:modified xsi:type="dcterms:W3CDTF">2026-08-01T02:32:42Z</dcterms:modified>
</cp:coreProperties>
</file>