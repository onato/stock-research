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<sst xmlns="http://schemas.openxmlformats.org/spreadsheetml/2006/main" count="382" uniqueCount="176">
  <si>
    <t xml:space="preserve">Ticker</t>
  </si>
  <si>
    <t xml:space="preserve">5108.T</t>
  </si>
  <si>
    <t xml:space="preserve">Company</t>
  </si>
  <si>
    <t xml:space="preserve">Bridgestone Corporation</t>
  </si>
  <si>
    <t xml:space="preserve">Valuation date</t>
  </si>
  <si>
    <t xml:space="preserve">2026-10-31</t>
  </si>
  <si>
    <t xml:space="preserve">Current price</t>
  </si>
  <si>
    <t xml:space="preserve">Price as of</t>
  </si>
  <si>
    <t xml:space="preserve">2026-10-30T06:30:00Z (TSE regular close 30 Oct 2026, 15:30 JST)</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</si>
  <si>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</si>
  <si>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</si>
  <si>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</si>
  <si>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</si>
  <si>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</si>
  <si>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</si>
  <si>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</si>
  <si>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</si>
  <si>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</si>
  <si>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</si>
  <si>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</si>
  <si>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</si>
  <si>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2026-10-31T07:13:06Z</t>
  </si>
  <si>
    <t xml:space="preserve">Drivers file</t>
  </si>
  <si>
    <t xml:space="preserve">5108.T_Drivers.json</t>
  </si>
  <si>
    <t xml:space="preserve">Convention</t>
  </si>
  <si>
    <t xml:space="preserve">Percents stored as percents; formulas divide by 100. Blue = input, green = link, black = formula.</t>
  </si>
  <si>
    <t xml:space="preserve">Methodology</t>
  </si>
  <si>
    <t xml:space="preserve">summary: Bridgestone is valued as a mature, net-cash, globally diversified cyclical whose intrinsic value is a stream of unlevered owner free cash flow built from components, not from the latest reported FCF. Three judgments carry the number. (1) The margin base is the company's adjusted operating profit LESS an allowance for restructuring that has recurred in every IFRS year (statutory operating margin averaged ~10.4% FY2021-25 against ~11.2% adjusted): the base case therefore holds the EBIT margin at 11.5% -- essentially the FY2026 guidance -- rather than assuming the restructuring tailwind compounds into the 13% mid-term-plan target (bull) or that the FY2022 pre-tariff 11.7% peak is a floor. (2) Leases are charged once, as an operating cost (treatment B), with lease liabilities kept out of net debt and D&amp;A ex right-of-use used for the tax EBIT, which makes the IFRS-16 EBITDA comparable to the pre-IFRS era and avoids the double-charge seen on other Japanese filers. (3) Risk is charged once: one JPY-built 7.5% WACC for all scenarios, with cyclicality, tariffs and Chinese competition expressed in the scenario flows and in a 25/50/25 weighting rather than in an ad-hoc discount-rate premium. The terminal value is capped at 15x FCF (12x in the bear case), which binds in every scenario at a 7.5% WACC, so the valuation does not depend on the Gordon growth assumption. Buybacks are treated as value-neutral (they fund the flat share count); the real shareholder-return lever is the dividend, which is inside the FCF. FY0 is the TTM to June 2026 so that the flows and the June-2026 balance sheet (net cash JPY232bn, 1,244.6m post-split shares) carry the same date. Because SBC is 0.03% of revenue the house/street band collapses to a point and band_position is null.
restructuring_margin_trajectory: Adjusted OP margin: FY2022 11.7%, FY2023 11.1%, FY2024 10.9%, FY2025 11.1%, TTM Jun-2026 11.65%, FY2026 guidance 11.4%. The recovery from FY2024 is treated as a return to the FY2022-25 range, not a new regime: the base case plateaus at 11.5% EBIT (11.0% in year 1 to absorb the JPY30bn tariff step-up and H2 FX normalisation), the bull case reaches 13.0% only in year 5, and the bear case gives back the recovery to 9.5%.
key_risks_to_valuation: Margin plateau assumption: every 1pp of sustained EBIT margin is roughly JPY45bn of FCF, i.e. about 10% of the base value; the 13% MBP target would add that twice over, a slide to 9.5% removes it twice over; FX translation: 86% of revenue is non-JPY; a 10% yen appreciation cuts reported revenue and FCF by roughly 8-9% with no change in the underlying business; US tariffs guided at JPY55bn in FY2026 (0.9pp of margin) with mitigation dependent on supply-chain moves that take years; Structural low-end competition from Chinese/Korean makers moving up-tier and into EV OE fitments; Recurring 'non-recurring' restructuring: FY2024 43bn and FY2025 94bn of restructuring expense excluded from adjusted OP; the base case carries only a ~0.4pp allowance in year 1 and none thereafter; Working-capital swings (FY2025 inventory release of 79bn) make any single year's FCF an unreliable anchor; the model builds from EBIT, so the TTM FCF of 432bn is not the base; Terminal value is cap-bound at 15x (12x bear): a market that de-rates global tyre makers toward Michelin's 10-12x FCF would cut the base value by roughly 15%</t>
  </si>
  <si>
    <t xml:space="preserve">Data sources</t>
  </si>
  <si>
    <t xml:space="preserve">price: Yahoo Finance chart API regular close at inputs.price_as_of; 52-week range 3,180-4,393
financials: research/5108.T/Reports/5108.T_Metrics.csv (IFRS FY2020-FY2025 annual plus H1 2026); 5108.T_Annual_FY2025.txt (cash-flow statement lines ~7570-7640, lease note lines ~9019-9056, other financial assets note 11 line ~8528); 5108.T_HalfYear_H1-2026.txt (share counts lines 114-130, balance sheet lines 174-234, cash flow line ~570)
qualitative: research/5108.T/Reports/5108.T_Analysis.json (2026-10-31): guidance, restructuring, tariff and China TBR exit detail</t>
  </si>
  <si>
    <t xml:space="preserve">Scenario narrative: bear</t>
  </si>
  <si>
    <t xml:space="preserve">Chinese and Korean capacity keeps moving up-tier (Sailun, Linglong, Zhongce) and into EV OE fitments, the US tariff hit of JPY55bn is only partly mitigated, a stronger yen (USD/JPY back toward 135) deflates reported revenue by 3% in year one, and a mining/freight downcycle hits the high-margin specialty tires. Management keeps restructuring (another plant-closure round) so statutory margins stay ~1pp below adjusted; the adjusted operating margin itself slips to the FY2024 statutory ~10% level. Terminal growth 1% and a 12x cap reflect a de-rated cyclical; net cash and the asset base keep the downside bounded.</t>
  </si>
  <si>
    <t xml:space="preserve">Scenario narrative: base</t>
  </si>
  <si>
    <t xml:space="preserve">Restructuring stage two is complete and its ~JPY147bn cumulative cost saving is real, but it is absorbed by the tariff step-up (JPY25bn to JPY55bn), low-end Chinese import pressure in Latin America/APAC and softer OE volumes, so the adjusted operating margin plateaus at the guided 11.4-11.5% rather than climbing to the 13% MBP target. HRD/premium mix and replacement-tire share gains deliver 2.5-3% nominal JPY revenue growth, fading to 2%. Capex (FY2026 plan JPY410bn incl. leases) runs ~0.5-0.7pp above D&amp;A for Gen2 ENLITEN/MASTERCORE capacity before converging. Buybacks continue but are value-neutral in the model (flat count).</t>
  </si>
  <si>
    <t xml:space="preserve">Scenario narrative: bull</t>
  </si>
  <si>
    <t xml:space="preserve">Premium mix-up compounds: Europe gets to its 7%+ margin target, Truck &amp; Bus and mining solutions keep lifting the Japan hub's 15.7% margin, Chinese TBR exit and the LatAm/EU plant closures prove to have removed the structural drag, tariffs are mitigated by local-for-local supply, and the yen stays weak. The adjusted operating margin reaches the 13% mid-term-plan level by 2030 and revenue grows 4-5% for three years. Still capped at a 15x exit multiple and discounted at the same 7.5%.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</si>
  <si>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</si>
  <si>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</si>
  <si>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</si>
  <si>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</si>
  <si>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</si>
  <si>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</si>
  <si>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</si>
  <si>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</si>
  <si>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</si>
  <si>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</si>
  <si>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</si>
  <si>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</si>
  <si>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</si>
  <si>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</si>
  <si>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</si>
  <si>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</si>
  <si>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</si>
  <si>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</si>
  <si>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</si>
  <si>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</si>
  <si>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</si>
  <si>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</si>
  <si>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</si>
  <si>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</si>
  <si>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</si>
  <si>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</si>
  <si>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</si>
  <si>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AdjustedOperatingProfit</t>
  </si>
  <si>
    <t xml:space="preserve">EPSBasic</t>
  </si>
  <si>
    <t xml:space="preserve">SegmentRevenueAmericas</t>
  </si>
  <si>
    <t xml:space="preserve">SegmentRevenueEMEA</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</si>
  <si>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</si>
  <si>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</si>
  <si>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</si>
  <si>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</si>
  <si>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</si>
  <si>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</si>
  <si>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</si>
  <si>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</si>
  <si>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</si>
  <si>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</si>
  <si>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</si>
  <si>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</si>
  <si>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</si>
  <si>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</si>
  <si>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</si>
  <si>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</si>
  <si>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</si>
  <si>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</si>
  <si>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</si>
  <si>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</si>
  <si>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</si>
  <si>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</si>
  <si>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</si>
  <si>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</si>
  <si>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</si>
  <si>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Jun-2026</t>
  </si>
  <si>
    <t xml:space="preserve">Currency / units</t>
  </si>
  <si>
    <t xml:space="preserve">JPY millions</t>
  </si>
  <si>
    <t xml:space="preserve">FX rate (model -&gt; quote)</t>
  </si>
  <si>
    <t xml:space="preserve">BEAR</t>
  </si>
  <si>
    <t xml:space="preserve">TTM Jun-2027</t>
  </si>
  <si>
    <t xml:space="preserve">TTM Jun-2028</t>
  </si>
  <si>
    <t xml:space="preserve">TTM Jun-2029</t>
  </si>
  <si>
    <t xml:space="preserve">TTM Jun-2030</t>
  </si>
  <si>
    <t xml:space="preserve">TTM Jun-2031</t>
  </si>
  <si>
    <t xml:space="preserve">TTM Jun-2032</t>
  </si>
  <si>
    <t xml:space="preserve">TTM Jun-2033</t>
  </si>
  <si>
    <t xml:space="preserve">TTM Jun-2034</t>
  </si>
  <si>
    <t xml:space="preserve">TTM Jun-2035</t>
  </si>
  <si>
    <t xml:space="preserve">TTM Jun-2036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</si>
  <si>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</si>
  <si>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</si>
  <si>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</si>
  <si>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</si>
  <si>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</si>
  <si>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</si>
  <si>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</si>
  <si>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</si>
  <si>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</si>
  <si>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</si>
  <si>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</si>
  <si>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</si>
  <si>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</si>
  <si>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</si>
  <si>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5108.T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</si>
  <si>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</si>
  <si>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</si>
  <si>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</si>
  <si>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</si>
  <si>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</si>
  <si>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</si>
  <si>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</si>
  <si>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</si>
  <si>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</si>
  <si>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</si>
  <si>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</si>
  <si>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</si>
  <si>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</si>
  <si>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</si>
  <si>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</si>
  <si>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</si>
  <si>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</si>
  <si>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</si>
  <si>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</si>
  <si>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</si>
  <si>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</si>
  <si>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</si>
  <si>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</si>
  <si>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</si>
  <si>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</si>
  <si>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</si>
  <si>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</si>
  <si>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</si>
  <si>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</si>
  <si>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</si>
  <si>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5108.T owner-FCF component DCF: base case (millions, JPY)</t>
  </si>
  <si>
    <t xml:space="preserve">5108.T owner-FCF component DCF: bull case (millions, JPY)</t>
  </si>
  <si>
    <t xml:space="preserve">5108.T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</si>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</sst>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3987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35.0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row>
    <row r="2" customFormat="false" ht="15" hidden="false" customHeight="false" outlineLevel="0" collapsed="false">
      <c r="A2" s="0" t="s">
        <v>67</v>
      </c>
      <c r="B2" s="0" t="n">
        <v>2861615</v>
      </c>
      <c r="C2" s="0" t="n">
        <v>1936309</v>
      </c>
      <c r="D2" s="0" t="n">
        <v>925306</v>
      </c>
      <c r="E2" s="0" t="n">
        <v>32.3</v>
      </c>
      <c r="F2" s="0" t="n">
        <v>166450</v>
      </c>
      <c r="G2" s="0" t="n">
        <v>5.8</v>
      </c>
      <c r="H2" s="0" t="n">
        <v>337112</v>
      </c>
      <c r="I2" s="0" t="n">
        <v>98913</v>
      </c>
      <c r="J2" s="0" t="n">
        <v>3.5</v>
      </c>
      <c r="K2" s="0" t="n">
        <v>63.08</v>
      </c>
      <c r="L2" s="0" t="n">
        <v>247736</v>
      </c>
      <c r="O2" s="0" t="n">
        <v>1141128</v>
      </c>
      <c r="P2" s="0" t="n">
        <v>2706639</v>
      </c>
      <c r="Q2" s="0" t="n">
        <v>1530492</v>
      </c>
      <c r="R2" s="0" t="n">
        <v>656240</v>
      </c>
      <c r="S2" s="0" t="n">
        <v>216924</v>
      </c>
      <c r="T2" s="0" t="n">
        <v>1568.1</v>
      </c>
      <c r="V2" s="0" t="n">
        <v>10</v>
      </c>
      <c r="AA2" s="0" t="s">
        <v>17</v>
      </c>
      <c r="AB2" s="0" t="s">
        <v>14</v>
      </c>
      <c r="AD2" s="0" t="n">
        <v>63.095</v>
      </c>
    </row>
    <row r="3" customFormat="false" ht="15" hidden="false" customHeight="false" outlineLevel="0" collapsed="false">
      <c r="A3" s="0" t="s">
        <v>68</v>
      </c>
      <c r="B3" s="0" t="n">
        <v>3024355</v>
      </c>
      <c r="C3" s="0" t="n">
        <v>2091718</v>
      </c>
      <c r="D3" s="0" t="n">
        <v>932637</v>
      </c>
      <c r="E3" s="0" t="n">
        <v>30.8</v>
      </c>
      <c r="F3" s="0" t="n">
        <v>191321</v>
      </c>
      <c r="G3" s="0" t="n">
        <v>6.3</v>
      </c>
      <c r="H3" s="0" t="n">
        <v>349365</v>
      </c>
      <c r="I3" s="0" t="n">
        <v>102970</v>
      </c>
      <c r="J3" s="0" t="n">
        <v>3.4</v>
      </c>
      <c r="K3" s="0" t="n">
        <v>65.75</v>
      </c>
      <c r="L3" s="0" t="n">
        <v>152157</v>
      </c>
      <c r="M3" s="0" t="n">
        <v>188710</v>
      </c>
      <c r="N3" s="0" t="n">
        <v>-36553</v>
      </c>
      <c r="O3" s="0" t="n">
        <v>1130577</v>
      </c>
      <c r="P3" s="0" t="n">
        <v>2677344</v>
      </c>
      <c r="Q3" s="0" t="n">
        <v>1511671</v>
      </c>
      <c r="R3" s="0" t="n">
        <v>591775</v>
      </c>
      <c r="S3" s="0" t="n">
        <v>128840</v>
      </c>
      <c r="T3" s="0" t="n">
        <v>1566.1</v>
      </c>
      <c r="V3" s="0" t="n">
        <v>11</v>
      </c>
      <c r="AA3" s="0" t="s">
        <v>17</v>
      </c>
      <c r="AB3" s="0" t="s">
        <v>14</v>
      </c>
      <c r="AD3" s="0" t="n">
        <v>65.78</v>
      </c>
    </row>
    <row r="4" customFormat="false" ht="15" hidden="false" customHeight="false" outlineLevel="0" collapsed="false">
      <c r="A4" s="0" t="s">
        <v>69</v>
      </c>
      <c r="B4" s="0" t="n">
        <v>3039738</v>
      </c>
      <c r="C4" s="0" t="n">
        <v>2017238</v>
      </c>
      <c r="D4" s="0" t="n">
        <v>1022500</v>
      </c>
      <c r="E4" s="0" t="n">
        <v>33.6</v>
      </c>
      <c r="F4" s="0" t="n">
        <v>285995</v>
      </c>
      <c r="G4" s="0" t="n">
        <v>9.4</v>
      </c>
      <c r="H4" s="0" t="n">
        <v>441060</v>
      </c>
      <c r="I4" s="0" t="n">
        <v>171605</v>
      </c>
      <c r="J4" s="0" t="n">
        <v>5.6</v>
      </c>
      <c r="K4" s="0" t="n">
        <v>109.55</v>
      </c>
      <c r="L4" s="0" t="n">
        <v>404467</v>
      </c>
      <c r="M4" s="0" t="n">
        <v>244989</v>
      </c>
      <c r="N4" s="0" t="n">
        <v>159478</v>
      </c>
      <c r="O4" s="0" t="n">
        <v>1373021</v>
      </c>
      <c r="P4" s="0" t="n">
        <v>3039798</v>
      </c>
      <c r="Q4" s="0" t="n">
        <v>1622451</v>
      </c>
      <c r="R4" s="0" t="n">
        <v>609679</v>
      </c>
      <c r="S4" s="0" t="n">
        <v>269416</v>
      </c>
      <c r="T4" s="0" t="n">
        <v>1566.5</v>
      </c>
      <c r="V4" s="0" t="n">
        <v>16</v>
      </c>
      <c r="AA4" s="0" t="s">
        <v>17</v>
      </c>
      <c r="AB4" s="0" t="s">
        <v>14</v>
      </c>
      <c r="AD4" s="0" t="n">
        <v>109.63</v>
      </c>
    </row>
    <row r="5" customFormat="false" ht="15" hidden="false" customHeight="false" outlineLevel="0" collapsed="false">
      <c r="A5" s="0" t="s">
        <v>70</v>
      </c>
      <c r="B5" s="0" t="n">
        <v>3568091</v>
      </c>
      <c r="C5" s="0" t="n">
        <v>2267663</v>
      </c>
      <c r="D5" s="0" t="n">
        <v>1300428</v>
      </c>
      <c r="E5" s="0" t="n">
        <v>36.4</v>
      </c>
      <c r="F5" s="0" t="n">
        <v>438131</v>
      </c>
      <c r="G5" s="0" t="n">
        <v>12.3</v>
      </c>
      <c r="H5" s="0" t="n">
        <v>614310</v>
      </c>
      <c r="I5" s="0" t="n">
        <v>202053</v>
      </c>
      <c r="J5" s="0" t="n">
        <v>5.7</v>
      </c>
      <c r="K5" s="0" t="n">
        <v>128.905</v>
      </c>
      <c r="L5" s="0" t="n">
        <v>471771</v>
      </c>
      <c r="M5" s="0" t="n">
        <v>274566</v>
      </c>
      <c r="N5" s="0" t="n">
        <v>197205</v>
      </c>
      <c r="O5" s="0" t="n">
        <v>1805285</v>
      </c>
      <c r="P5" s="0" t="n">
        <v>3577045</v>
      </c>
      <c r="Q5" s="0" t="n">
        <v>1714082</v>
      </c>
      <c r="R5" s="0" t="n">
        <v>551838</v>
      </c>
      <c r="S5" s="0" t="n">
        <v>324596</v>
      </c>
      <c r="T5" s="0" t="n">
        <v>1567.5</v>
      </c>
      <c r="V5" s="0" t="n">
        <v>28.5</v>
      </c>
      <c r="AA5" s="0" t="s">
        <v>17</v>
      </c>
      <c r="AB5" s="0" t="s">
        <v>14</v>
      </c>
      <c r="AD5" s="0" t="n">
        <v>129.05</v>
      </c>
    </row>
    <row r="6" customFormat="false" ht="15" hidden="false" customHeight="false" outlineLevel="0" collapsed="false">
      <c r="A6" s="0" t="s">
        <v>71</v>
      </c>
      <c r="B6" s="0" t="n">
        <v>3673964</v>
      </c>
      <c r="C6" s="0" t="n">
        <v>2289625</v>
      </c>
      <c r="D6" s="0" t="n">
        <v>1384339</v>
      </c>
      <c r="E6" s="0" t="n">
        <v>37.7</v>
      </c>
      <c r="F6" s="0" t="n">
        <v>478038</v>
      </c>
      <c r="G6" s="0" t="n">
        <v>13</v>
      </c>
      <c r="H6" s="0" t="n">
        <v>666370</v>
      </c>
      <c r="I6" s="0" t="n">
        <v>300589</v>
      </c>
      <c r="J6" s="0" t="n">
        <v>8.2</v>
      </c>
      <c r="K6" s="0" t="n">
        <v>191.695</v>
      </c>
      <c r="L6" s="0" t="n">
        <v>428621</v>
      </c>
      <c r="M6" s="0" t="n">
        <v>290969</v>
      </c>
      <c r="N6" s="0" t="n">
        <v>137652</v>
      </c>
      <c r="O6" s="0" t="n">
        <v>2075685</v>
      </c>
      <c r="P6" s="0" t="n">
        <v>3960908</v>
      </c>
      <c r="Q6" s="0" t="n">
        <v>1814251</v>
      </c>
      <c r="R6" s="0" t="n">
        <v>579426</v>
      </c>
      <c r="S6" s="0" t="n">
        <v>390181</v>
      </c>
      <c r="T6" s="0" t="n">
        <v>1568.1</v>
      </c>
      <c r="V6" s="0" t="n">
        <v>50</v>
      </c>
      <c r="AA6" s="0" t="s">
        <v>17</v>
      </c>
      <c r="AB6" s="0" t="s">
        <v>14</v>
      </c>
      <c r="AD6" s="0" t="n">
        <v>191.92</v>
      </c>
    </row>
    <row r="7" customFormat="false" ht="15" hidden="false" customHeight="false" outlineLevel="0" collapsed="false">
      <c r="A7" s="0" t="s">
        <v>72</v>
      </c>
      <c r="B7" s="0" t="n">
        <v>3790251</v>
      </c>
      <c r="C7" s="0" t="n">
        <v>2293938</v>
      </c>
      <c r="D7" s="0" t="n">
        <v>1496313</v>
      </c>
      <c r="E7" s="0" t="n">
        <v>39.5</v>
      </c>
      <c r="F7" s="0" t="n">
        <v>517248</v>
      </c>
      <c r="G7" s="0" t="n">
        <v>13.6</v>
      </c>
      <c r="H7" s="0" t="n">
        <v>719581</v>
      </c>
      <c r="I7" s="0" t="n">
        <v>284294</v>
      </c>
      <c r="J7" s="0" t="n">
        <v>7.5</v>
      </c>
      <c r="K7" s="0" t="n">
        <v>181.26</v>
      </c>
      <c r="L7" s="0" t="n">
        <v>553938</v>
      </c>
      <c r="M7" s="0" t="n">
        <v>259217</v>
      </c>
      <c r="N7" s="0" t="n">
        <v>294721</v>
      </c>
      <c r="O7" s="0" t="n">
        <v>2209068</v>
      </c>
      <c r="P7" s="0" t="n">
        <v>3795846</v>
      </c>
      <c r="Q7" s="0" t="n">
        <v>1513835</v>
      </c>
      <c r="R7" s="0" t="n">
        <v>434183</v>
      </c>
      <c r="S7" s="0" t="n">
        <v>426727</v>
      </c>
      <c r="T7" s="0" t="n">
        <v>1568.4</v>
      </c>
      <c r="V7" s="0" t="n">
        <v>65</v>
      </c>
      <c r="AA7" s="0" t="s">
        <v>17</v>
      </c>
      <c r="AB7" s="0" t="s">
        <v>14</v>
      </c>
      <c r="AD7" s="0" t="n">
        <v>181.495</v>
      </c>
    </row>
    <row r="8" customFormat="false" ht="15" hidden="false" customHeight="false" outlineLevel="0" collapsed="false">
      <c r="A8" s="0" t="s">
        <v>73</v>
      </c>
      <c r="B8" s="0" t="n">
        <v>3337017</v>
      </c>
      <c r="C8" s="0" t="n">
        <v>1972476</v>
      </c>
      <c r="D8" s="0" t="n">
        <v>1364541</v>
      </c>
      <c r="E8" s="0" t="n">
        <v>40.9</v>
      </c>
      <c r="F8" s="0" t="n">
        <v>449548</v>
      </c>
      <c r="G8" s="0" t="n">
        <v>13.5</v>
      </c>
      <c r="H8" s="0" t="n">
        <v>637610</v>
      </c>
      <c r="I8" s="0" t="n">
        <v>265550</v>
      </c>
      <c r="J8" s="0" t="n">
        <v>8</v>
      </c>
      <c r="K8" s="0" t="n">
        <v>169.26</v>
      </c>
      <c r="L8" s="0" t="n">
        <v>444535</v>
      </c>
      <c r="M8" s="0" t="n">
        <v>192714</v>
      </c>
      <c r="N8" s="0" t="n">
        <v>251821</v>
      </c>
      <c r="O8" s="0" t="n">
        <v>2283860</v>
      </c>
      <c r="P8" s="0" t="n">
        <v>3716030</v>
      </c>
      <c r="Q8" s="0" t="n">
        <v>1370131</v>
      </c>
      <c r="R8" s="0" t="n">
        <v>335136</v>
      </c>
      <c r="S8" s="0" t="n">
        <v>471741</v>
      </c>
      <c r="T8" s="0" t="n">
        <v>1568.9</v>
      </c>
      <c r="V8" s="0" t="n">
        <v>70</v>
      </c>
      <c r="AA8" s="0" t="s">
        <v>17</v>
      </c>
      <c r="AB8" s="0" t="s">
        <v>14</v>
      </c>
      <c r="AD8" s="0" t="n">
        <v>169.52</v>
      </c>
    </row>
    <row r="9" customFormat="false" ht="15" hidden="false" customHeight="false" outlineLevel="0" collapsed="false">
      <c r="A9" s="0" t="s">
        <v>74</v>
      </c>
      <c r="B9" s="0" t="n">
        <v>3643427</v>
      </c>
      <c r="C9" s="0" t="n">
        <v>2262589</v>
      </c>
      <c r="D9" s="0" t="n">
        <v>1380838</v>
      </c>
      <c r="E9" s="0" t="n">
        <v>37.9</v>
      </c>
      <c r="F9" s="0" t="n">
        <v>419047</v>
      </c>
      <c r="G9" s="0" t="n">
        <v>11.5</v>
      </c>
      <c r="H9" s="0" t="n">
        <v>619424</v>
      </c>
      <c r="I9" s="0" t="n">
        <v>288275</v>
      </c>
      <c r="J9" s="0" t="n">
        <v>7.9</v>
      </c>
      <c r="K9" s="0" t="n">
        <v>187.505</v>
      </c>
      <c r="L9" s="0" t="n">
        <v>418109</v>
      </c>
      <c r="M9" s="0" t="n">
        <v>204554</v>
      </c>
      <c r="N9" s="0" t="n">
        <v>213555</v>
      </c>
      <c r="O9" s="0" t="n">
        <v>2342147</v>
      </c>
      <c r="P9" s="0" t="n">
        <v>3959038</v>
      </c>
      <c r="Q9" s="0" t="n">
        <v>1556300</v>
      </c>
      <c r="R9" s="0" t="n">
        <v>416334</v>
      </c>
      <c r="S9" s="0" t="n">
        <v>501797</v>
      </c>
      <c r="T9" s="0" t="n">
        <v>1537.4</v>
      </c>
      <c r="V9" s="0" t="n">
        <v>75</v>
      </c>
      <c r="AA9" s="0" t="s">
        <v>17</v>
      </c>
      <c r="AB9" s="0" t="s">
        <v>14</v>
      </c>
      <c r="AD9" s="0" t="n">
        <v>187.835</v>
      </c>
    </row>
    <row r="10" customFormat="false" ht="15" hidden="false" customHeight="false" outlineLevel="0" collapsed="false">
      <c r="A10" s="0" t="s">
        <v>75</v>
      </c>
      <c r="B10" s="0" t="n">
        <v>3650111</v>
      </c>
      <c r="C10" s="0" t="n">
        <v>2268744</v>
      </c>
      <c r="D10" s="0" t="n">
        <v>1381367</v>
      </c>
      <c r="E10" s="0" t="n">
        <v>37.8</v>
      </c>
      <c r="F10" s="0" t="n">
        <v>402732</v>
      </c>
      <c r="G10" s="0" t="n">
        <v>11</v>
      </c>
      <c r="H10" s="0" t="n">
        <v>603208</v>
      </c>
      <c r="I10" s="0" t="n">
        <v>291642</v>
      </c>
      <c r="J10" s="0" t="n">
        <v>8</v>
      </c>
      <c r="K10" s="0" t="n">
        <v>193.64</v>
      </c>
      <c r="L10" s="0" t="n">
        <v>360955</v>
      </c>
      <c r="M10" s="0" t="n">
        <v>263301</v>
      </c>
      <c r="N10" s="0" t="n">
        <v>97654</v>
      </c>
      <c r="O10" s="0" t="n">
        <v>2378511</v>
      </c>
      <c r="P10" s="0" t="n">
        <v>3840269</v>
      </c>
      <c r="Q10" s="0" t="n">
        <v>1404107</v>
      </c>
      <c r="R10" s="0" t="n">
        <v>379623</v>
      </c>
      <c r="S10" s="0" t="n">
        <v>433916</v>
      </c>
      <c r="T10" s="0" t="n">
        <v>1506.1</v>
      </c>
      <c r="V10" s="0" t="n">
        <v>80</v>
      </c>
      <c r="AA10" s="0" t="s">
        <v>17</v>
      </c>
      <c r="AB10" s="0" t="s">
        <v>14</v>
      </c>
      <c r="AD10" s="0" t="n">
        <v>193.975</v>
      </c>
    </row>
    <row r="11" customFormat="false" ht="15" hidden="false" customHeight="false" outlineLevel="0" collapsed="false">
      <c r="A11" s="0" t="s">
        <v>76</v>
      </c>
      <c r="B11" s="0" t="n">
        <v>3507243</v>
      </c>
      <c r="C11" s="0" t="n">
        <v>2182554</v>
      </c>
      <c r="D11" s="0" t="n">
        <v>1324689</v>
      </c>
      <c r="E11" s="0" t="n">
        <v>37.8</v>
      </c>
      <c r="F11" s="0" t="n">
        <v>349336</v>
      </c>
      <c r="G11" s="0" t="n">
        <v>10</v>
      </c>
      <c r="H11" s="0" t="n">
        <v>619085</v>
      </c>
      <c r="I11" s="0" t="n">
        <v>240111</v>
      </c>
      <c r="J11" s="0" t="n">
        <v>6.8</v>
      </c>
      <c r="K11" s="0" t="n">
        <v>165.88</v>
      </c>
      <c r="L11" s="0" t="n">
        <v>505029</v>
      </c>
      <c r="M11" s="0" t="n">
        <v>281786</v>
      </c>
      <c r="N11" s="0" t="n">
        <v>223243</v>
      </c>
      <c r="O11" s="0" t="n">
        <v>2349378</v>
      </c>
      <c r="P11" s="0" t="n">
        <v>4277016</v>
      </c>
      <c r="Q11" s="0" t="n">
        <v>1874539</v>
      </c>
      <c r="R11" s="0" t="n">
        <v>540956</v>
      </c>
      <c r="S11" s="0" t="n">
        <v>432924</v>
      </c>
      <c r="T11" s="0" t="n">
        <v>1447.5</v>
      </c>
      <c r="V11" s="0" t="n">
        <v>80</v>
      </c>
      <c r="AA11" s="0" t="s">
        <v>17</v>
      </c>
      <c r="AB11" s="0" t="s">
        <v>14</v>
      </c>
      <c r="AC11" s="0" t="n">
        <v>343122</v>
      </c>
      <c r="AD11" s="0" t="n">
        <v>166.155</v>
      </c>
    </row>
    <row r="12" customFormat="false" ht="15" hidden="false" customHeight="false" outlineLevel="0" collapsed="false">
      <c r="A12" s="0" t="s">
        <v>77</v>
      </c>
      <c r="B12" s="0" t="n">
        <v>2994524</v>
      </c>
      <c r="C12" s="0" t="n">
        <v>1906553</v>
      </c>
      <c r="D12" s="0" t="n">
        <v>1087971</v>
      </c>
      <c r="E12" s="0" t="n">
        <v>36.3</v>
      </c>
      <c r="F12" s="0" t="n">
        <v>64114</v>
      </c>
      <c r="G12" s="0" t="n">
        <v>2.1</v>
      </c>
      <c r="H12" s="0" t="n">
        <v>331568</v>
      </c>
      <c r="I12" s="0" t="n">
        <v>-23301</v>
      </c>
      <c r="J12" s="0" t="n">
        <v>-0.8</v>
      </c>
      <c r="K12" s="0" t="n">
        <v>-16.545</v>
      </c>
      <c r="L12" s="0" t="n">
        <v>526947</v>
      </c>
      <c r="M12" s="0" t="n">
        <v>218113</v>
      </c>
      <c r="N12" s="0" t="n">
        <v>308834</v>
      </c>
      <c r="O12" s="0" t="n">
        <v>2149958</v>
      </c>
      <c r="P12" s="0" t="n">
        <v>4189327</v>
      </c>
      <c r="Q12" s="0" t="n">
        <v>1994036</v>
      </c>
      <c r="R12" s="0" t="n">
        <v>706038</v>
      </c>
      <c r="S12" s="0" t="n">
        <v>810546</v>
      </c>
      <c r="T12" s="0" t="n">
        <v>1408.2</v>
      </c>
      <c r="U12" s="0" t="n">
        <v>-1013</v>
      </c>
      <c r="V12" s="0" t="n">
        <v>55</v>
      </c>
      <c r="X12" s="0" t="n">
        <v>2695224</v>
      </c>
      <c r="AA12" s="0" t="s">
        <v>17</v>
      </c>
      <c r="AB12" s="0" t="s">
        <v>14</v>
      </c>
      <c r="AC12" s="0" t="n">
        <v>222932</v>
      </c>
      <c r="AD12" s="0" t="n">
        <v>-16.545</v>
      </c>
      <c r="AE12" s="0" t="n">
        <v>1157990</v>
      </c>
      <c r="AF12" s="0" t="n">
        <v>546644</v>
      </c>
    </row>
    <row r="13" customFormat="false" ht="15" hidden="false" customHeight="false" outlineLevel="0" collapsed="false">
      <c r="A13" s="0" t="s">
        <v>78</v>
      </c>
      <c r="B13" s="0" t="n">
        <v>3246057</v>
      </c>
      <c r="C13" s="0" t="n">
        <v>1929613</v>
      </c>
      <c r="D13" s="0" t="n">
        <v>1316444</v>
      </c>
      <c r="E13" s="0" t="n">
        <v>40.6</v>
      </c>
      <c r="F13" s="0" t="n">
        <v>376799</v>
      </c>
      <c r="G13" s="0" t="n">
        <v>11.6</v>
      </c>
      <c r="H13" s="0" t="n">
        <v>627247</v>
      </c>
      <c r="I13" s="0" t="n">
        <v>394037</v>
      </c>
      <c r="J13" s="0" t="n">
        <v>12.1</v>
      </c>
      <c r="K13" s="0" t="n">
        <v>279.355</v>
      </c>
      <c r="L13" s="0" t="n">
        <v>281538</v>
      </c>
      <c r="M13" s="0" t="n">
        <v>184991</v>
      </c>
      <c r="N13" s="0" t="n">
        <v>96547</v>
      </c>
      <c r="O13" s="0" t="n">
        <v>2629883</v>
      </c>
      <c r="P13" s="0" t="n">
        <v>4574892</v>
      </c>
      <c r="Q13" s="0" t="n">
        <v>1899538</v>
      </c>
      <c r="R13" s="0" t="n">
        <v>506648</v>
      </c>
      <c r="S13" s="0" t="n">
        <v>787542</v>
      </c>
      <c r="T13" s="0" t="n">
        <v>1410.5</v>
      </c>
      <c r="U13" s="0" t="n">
        <v>1545</v>
      </c>
      <c r="V13" s="0" t="n">
        <v>85</v>
      </c>
      <c r="AA13" s="0" t="s">
        <v>17</v>
      </c>
      <c r="AB13" s="0" t="s">
        <v>14</v>
      </c>
      <c r="AC13" s="0" t="n">
        <v>394340</v>
      </c>
      <c r="AD13" s="0" t="n">
        <v>279.78</v>
      </c>
      <c r="AE13" s="0" t="n">
        <v>1443758</v>
      </c>
      <c r="AF13" s="0" t="n">
        <v>686140</v>
      </c>
    </row>
    <row r="14" customFormat="false" ht="15" hidden="false" customHeight="false" outlineLevel="0" collapsed="false">
      <c r="A14" s="0" t="s">
        <v>79</v>
      </c>
      <c r="B14" s="0" t="n">
        <v>4110070</v>
      </c>
      <c r="C14" s="0" t="n">
        <v>2516821</v>
      </c>
      <c r="D14" s="0" t="n">
        <v>1593249</v>
      </c>
      <c r="E14" s="0" t="n">
        <v>38.8</v>
      </c>
      <c r="F14" s="0" t="n">
        <v>441298</v>
      </c>
      <c r="G14" s="0" t="n">
        <v>10.7</v>
      </c>
      <c r="H14" s="0" t="n">
        <v>723406</v>
      </c>
      <c r="I14" s="0" t="n">
        <v>300305</v>
      </c>
      <c r="J14" s="0" t="n">
        <v>7.3</v>
      </c>
      <c r="K14" s="0" t="n">
        <v>215.805</v>
      </c>
      <c r="L14" s="0" t="n">
        <v>268483</v>
      </c>
      <c r="M14" s="0" t="n">
        <v>254726</v>
      </c>
      <c r="N14" s="0" t="n">
        <v>13757</v>
      </c>
      <c r="O14" s="0" t="n">
        <v>2965835</v>
      </c>
      <c r="P14" s="0" t="n">
        <v>4962203</v>
      </c>
      <c r="Q14" s="0" t="n">
        <v>1949701</v>
      </c>
      <c r="R14" s="0" t="n">
        <v>453450</v>
      </c>
      <c r="S14" s="0" t="n">
        <v>518905</v>
      </c>
      <c r="T14" s="0" t="n">
        <v>1391.6</v>
      </c>
      <c r="U14" s="0" t="n">
        <v>1772</v>
      </c>
      <c r="V14" s="0" t="n">
        <v>87.5</v>
      </c>
      <c r="AA14" s="0" t="s">
        <v>17</v>
      </c>
      <c r="AB14" s="0" t="s">
        <v>14</v>
      </c>
      <c r="AC14" s="0" t="n">
        <v>482629</v>
      </c>
      <c r="AD14" s="0" t="n">
        <v>216.1</v>
      </c>
      <c r="AE14" s="0" t="n">
        <v>1970276</v>
      </c>
      <c r="AF14" s="0" t="n">
        <v>856443</v>
      </c>
    </row>
    <row r="15" customFormat="false" ht="15" hidden="false" customHeight="false" outlineLevel="0" collapsed="false">
      <c r="A15" s="0" t="s">
        <v>80</v>
      </c>
      <c r="B15" s="0" t="n">
        <v>4313800</v>
      </c>
      <c r="C15" s="0" t="n">
        <v>2661227</v>
      </c>
      <c r="D15" s="0" t="n">
        <v>1652573</v>
      </c>
      <c r="E15" s="0" t="n">
        <v>38.3</v>
      </c>
      <c r="F15" s="0" t="n">
        <v>481775</v>
      </c>
      <c r="G15" s="0" t="n">
        <v>11.2</v>
      </c>
      <c r="H15" s="0" t="n">
        <v>787580</v>
      </c>
      <c r="I15" s="0" t="n">
        <v>331305</v>
      </c>
      <c r="J15" s="0" t="n">
        <v>7.7</v>
      </c>
      <c r="K15" s="0" t="n">
        <v>241.705</v>
      </c>
      <c r="L15" s="0" t="n">
        <v>661433</v>
      </c>
      <c r="M15" s="0" t="n">
        <v>342937</v>
      </c>
      <c r="N15" s="0" t="n">
        <v>318496</v>
      </c>
      <c r="O15" s="0" t="n">
        <v>3353592</v>
      </c>
      <c r="P15" s="0" t="n">
        <v>5427813</v>
      </c>
      <c r="Q15" s="0" t="n">
        <v>2022419</v>
      </c>
      <c r="R15" s="0" t="n">
        <v>497863</v>
      </c>
      <c r="S15" s="0" t="n">
        <v>724601</v>
      </c>
      <c r="T15" s="0" t="n">
        <v>1370.7</v>
      </c>
      <c r="U15" s="0" t="n">
        <v>1809</v>
      </c>
      <c r="V15" s="0" t="n">
        <v>100</v>
      </c>
      <c r="AA15" s="0" t="s">
        <v>17</v>
      </c>
      <c r="AB15" s="0" t="s">
        <v>14</v>
      </c>
      <c r="AC15" s="0" t="n">
        <v>480602</v>
      </c>
      <c r="AD15" s="0" t="n">
        <v>241.995</v>
      </c>
      <c r="AE15" s="0" t="n">
        <v>2063073</v>
      </c>
      <c r="AF15" s="0" t="n">
        <v>799261</v>
      </c>
    </row>
    <row r="16" customFormat="false" ht="15" hidden="false" customHeight="false" outlineLevel="0" collapsed="false">
      <c r="A16" s="0" t="s">
        <v>81</v>
      </c>
      <c r="B16" s="0" t="n">
        <v>4430096</v>
      </c>
      <c r="C16" s="0" t="n">
        <v>2704093</v>
      </c>
      <c r="D16" s="0" t="n">
        <v>1726003</v>
      </c>
      <c r="E16" s="0" t="n">
        <v>39</v>
      </c>
      <c r="F16" s="0" t="n">
        <v>443319</v>
      </c>
      <c r="G16" s="0" t="n">
        <v>10</v>
      </c>
      <c r="H16" s="0" t="n">
        <v>791377</v>
      </c>
      <c r="I16" s="0" t="n">
        <v>284989</v>
      </c>
      <c r="J16" s="0" t="n">
        <v>6.4</v>
      </c>
      <c r="K16" s="0" t="n">
        <v>207.88</v>
      </c>
      <c r="L16" s="0" t="n">
        <v>548844</v>
      </c>
      <c r="M16" s="0" t="n">
        <v>337293</v>
      </c>
      <c r="N16" s="0" t="n">
        <v>211551</v>
      </c>
      <c r="O16" s="0" t="n">
        <v>3731606</v>
      </c>
      <c r="P16" s="0" t="n">
        <v>5723517</v>
      </c>
      <c r="Q16" s="0" t="n">
        <v>1937029</v>
      </c>
      <c r="R16" s="0" t="n">
        <v>378381</v>
      </c>
      <c r="S16" s="0" t="n">
        <v>706732</v>
      </c>
      <c r="T16" s="0" t="n">
        <v>1370.9</v>
      </c>
      <c r="U16" s="0" t="n">
        <v>818</v>
      </c>
      <c r="V16" s="0" t="n">
        <v>105</v>
      </c>
      <c r="AA16" s="0" t="s">
        <v>17</v>
      </c>
      <c r="AB16" s="0" t="s">
        <v>14</v>
      </c>
      <c r="AC16" s="0" t="n">
        <v>483303</v>
      </c>
      <c r="AD16" s="0" t="n">
        <v>208.1</v>
      </c>
      <c r="AE16" s="0" t="n">
        <v>2157097</v>
      </c>
      <c r="AF16" s="0" t="n">
        <v>813048</v>
      </c>
    </row>
    <row r="17" customFormat="false" ht="15" hidden="false" customHeight="false" outlineLevel="0" collapsed="false">
      <c r="A17" s="0" t="s">
        <v>82</v>
      </c>
      <c r="B17" s="0" t="n">
        <v>4429452</v>
      </c>
      <c r="C17" s="0" t="n">
        <v>2722789</v>
      </c>
      <c r="D17" s="0" t="n">
        <v>1706663</v>
      </c>
      <c r="E17" s="0" t="n">
        <v>38.5</v>
      </c>
      <c r="F17" s="0" t="n">
        <v>381237</v>
      </c>
      <c r="G17" s="0" t="n">
        <v>8.6</v>
      </c>
      <c r="H17" s="0" t="n">
        <v>734466</v>
      </c>
      <c r="I17" s="0" t="n">
        <v>327264</v>
      </c>
      <c r="J17" s="0" t="n">
        <v>7.4</v>
      </c>
      <c r="K17" s="0" t="n">
        <v>245.77</v>
      </c>
      <c r="L17" s="0" t="n">
        <v>660442</v>
      </c>
      <c r="M17" s="0" t="n">
        <v>287155</v>
      </c>
      <c r="N17" s="0" t="n">
        <v>373287</v>
      </c>
      <c r="O17" s="0" t="n">
        <v>3661793</v>
      </c>
      <c r="P17" s="0" t="n">
        <v>5747705</v>
      </c>
      <c r="Q17" s="0" t="n">
        <v>2027817</v>
      </c>
      <c r="R17" s="0" t="n">
        <v>487270</v>
      </c>
      <c r="S17" s="0" t="n">
        <v>713810</v>
      </c>
      <c r="T17" s="0" t="n">
        <v>1331.6</v>
      </c>
      <c r="U17" s="0" t="n">
        <v>1389</v>
      </c>
      <c r="V17" s="0" t="n">
        <v>115</v>
      </c>
      <c r="AA17" s="0" t="s">
        <v>17</v>
      </c>
      <c r="AB17" s="0" t="s">
        <v>14</v>
      </c>
      <c r="AC17" s="0" t="n">
        <v>493717</v>
      </c>
      <c r="AD17" s="0" t="n">
        <v>246</v>
      </c>
      <c r="AE17" s="0" t="n">
        <v>2107190</v>
      </c>
      <c r="AF17" s="0" t="n">
        <v>831840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3987</v>
      </c>
    </row>
    <row r="3" customFormat="false" ht="15" hidden="false" customHeight="false" outlineLevel="0" collapsed="false">
      <c r="A3" s="0" t="s">
        <v>86</v>
      </c>
      <c r="B3" s="3" t="n">
        <v>1244.6</v>
      </c>
    </row>
    <row r="4" customFormat="false" ht="15" hidden="false" customHeight="false" outlineLevel="0" collapsed="false">
      <c r="A4" s="0" t="s">
        <v>87</v>
      </c>
      <c r="B4" s="3" t="n">
        <v>-231667</v>
      </c>
    </row>
    <row r="5" customFormat="false" ht="15" hidden="false" customHeight="false" outlineLevel="0" collapsed="false">
      <c r="A5" s="0" t="s">
        <v>88</v>
      </c>
      <c r="B5" s="3" t="n">
        <v>2960</v>
      </c>
    </row>
    <row r="6" customFormat="false" ht="15" hidden="false" customHeight="false" outlineLevel="0" collapsed="false">
      <c r="A6" s="0" t="s">
        <v>89</v>
      </c>
      <c r="B6" s="3" t="n">
        <v>15</v>
      </c>
    </row>
    <row r="7" customFormat="false" ht="15" hidden="false" customHeight="false" outlineLevel="0" collapsed="false">
      <c r="A7" s="0" t="s">
        <v>90</v>
      </c>
      <c r="B7" s="3" t="n">
        <v>4634682</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-3</v>
      </c>
      <c r="D13" s="3" t="n">
        <v>0</v>
      </c>
      <c r="E13" s="3" t="n">
        <v>1</v>
      </c>
      <c r="F13" s="3" t="n">
        <v>1.5</v>
      </c>
      <c r="G13" s="3" t="n">
        <v>1.5</v>
      </c>
      <c r="H13" s="3" t="n">
        <v>1.5</v>
      </c>
      <c r="I13" s="3" t="n">
        <v>1.5</v>
      </c>
      <c r="J13" s="3" t="n">
        <v>1.5</v>
      </c>
      <c r="K13" s="3" t="n">
        <v>1.5</v>
      </c>
      <c r="L13" s="3" t="n">
        <v>1.5</v>
      </c>
    </row>
    <row r="14" customFormat="false" ht="15" hidden="false" customHeight="false" outlineLevel="0" collapsed="false">
      <c r="A14" s="0" t="s">
        <v>108</v>
      </c>
      <c r="C14" s="3" t="n">
        <v>18.4</v>
      </c>
      <c r="D14" s="3" t="n">
        <v>18</v>
      </c>
      <c r="E14" s="3" t="n">
        <v>17.8</v>
      </c>
      <c r="F14" s="3" t="n">
        <v>17.8</v>
      </c>
      <c r="G14" s="3" t="n">
        <v>17.9</v>
      </c>
      <c r="H14" s="3" t="n">
        <v>17.9</v>
      </c>
      <c r="I14" s="3" t="n">
        <v>17.9</v>
      </c>
      <c r="J14" s="3" t="n">
        <v>17.9</v>
      </c>
      <c r="K14" s="3" t="n">
        <v>17.9</v>
      </c>
      <c r="L14" s="3" t="n">
        <v>17.9</v>
      </c>
    </row>
    <row r="15" customFormat="false" ht="15" hidden="false" customHeight="false" outlineLevel="0" collapsed="false">
      <c r="A15" s="0" t="s">
        <v>109</v>
      </c>
      <c r="C15" s="3" t="n">
        <v>0.03</v>
      </c>
      <c r="D15" s="3" t="n">
        <v>0.03</v>
      </c>
      <c r="E15" s="3" t="n">
        <v>0.03</v>
      </c>
      <c r="F15" s="3" t="n">
        <v>0.03</v>
      </c>
      <c r="G15" s="3" t="n">
        <v>0.03</v>
      </c>
      <c r="H15" s="3" t="n">
        <v>0.03</v>
      </c>
      <c r="I15" s="3" t="n">
        <v>0.03</v>
      </c>
      <c r="J15" s="3" t="n">
        <v>0.03</v>
      </c>
      <c r="K15" s="3" t="n">
        <v>0.03</v>
      </c>
      <c r="L15" s="3" t="n">
        <v>0.03</v>
      </c>
    </row>
    <row r="16" customFormat="false" ht="15" hidden="false" customHeight="false" outlineLevel="0" collapsed="false">
      <c r="A16" s="0" t="s">
        <v>110</v>
      </c>
      <c r="C16" s="3" t="n">
        <v>1.86</v>
      </c>
      <c r="D16" s="3" t="n">
        <v>1.86</v>
      </c>
      <c r="E16" s="3" t="n">
        <v>1.86</v>
      </c>
      <c r="F16" s="3" t="n">
        <v>1.86</v>
      </c>
      <c r="G16" s="3" t="n">
        <v>1.86</v>
      </c>
      <c r="H16" s="3" t="n">
        <v>1.86</v>
      </c>
      <c r="I16" s="3" t="n">
        <v>1.86</v>
      </c>
      <c r="J16" s="3" t="n">
        <v>1.86</v>
      </c>
      <c r="K16" s="3" t="n">
        <v>1.86</v>
      </c>
      <c r="L16" s="3" t="n">
        <v>1.86</v>
      </c>
    </row>
    <row r="17" customFormat="false" ht="15" hidden="false" customHeight="false" outlineLevel="0" collapsed="false">
      <c r="A17" s="0" t="s">
        <v>111</v>
      </c>
      <c r="C17" s="3" t="n">
        <v>6.25</v>
      </c>
      <c r="D17" s="3" t="n">
        <v>6.3</v>
      </c>
      <c r="E17" s="3" t="n">
        <v>6.4</v>
      </c>
      <c r="F17" s="3" t="n">
        <v>6.4</v>
      </c>
      <c r="G17" s="3" t="n">
        <v>6.5</v>
      </c>
      <c r="H17" s="3" t="n">
        <v>6.5</v>
      </c>
      <c r="I17" s="3" t="n">
        <v>6.5</v>
      </c>
      <c r="J17" s="3" t="n">
        <v>6.5</v>
      </c>
      <c r="K17" s="3" t="n">
        <v>6.5</v>
      </c>
      <c r="L17" s="3" t="n">
        <v>6.5</v>
      </c>
    </row>
    <row r="18" customFormat="false" ht="15" hidden="false" customHeight="false" outlineLevel="0" collapsed="false">
      <c r="A18" s="0" t="s">
        <v>112</v>
      </c>
      <c r="C18" s="3" t="n">
        <v>7</v>
      </c>
      <c r="D18" s="3" t="n">
        <v>6.8</v>
      </c>
      <c r="E18" s="3" t="n">
        <v>6.6</v>
      </c>
      <c r="F18" s="3" t="n">
        <v>6.5</v>
      </c>
      <c r="G18" s="3" t="n">
        <v>6.5</v>
      </c>
      <c r="H18" s="3" t="n">
        <v>6.5</v>
      </c>
      <c r="I18" s="3" t="n">
        <v>6.5</v>
      </c>
      <c r="J18" s="3" t="n">
        <v>6.5</v>
      </c>
      <c r="K18" s="3" t="n">
        <v>6.5</v>
      </c>
      <c r="L18" s="3" t="n">
        <v>6.5</v>
      </c>
    </row>
    <row r="19" customFormat="false" ht="15" hidden="false" customHeight="false" outlineLevel="0" collapsed="false">
      <c r="A19" s="0" t="s">
        <v>113</v>
      </c>
      <c r="C19" s="3" t="n">
        <v>28</v>
      </c>
      <c r="D19" s="3" t="n">
        <v>28</v>
      </c>
      <c r="E19" s="3" t="n">
        <v>28</v>
      </c>
      <c r="F19" s="3" t="n">
        <v>28</v>
      </c>
      <c r="G19" s="3" t="n">
        <v>28</v>
      </c>
      <c r="H19" s="3" t="n">
        <v>28</v>
      </c>
      <c r="I19" s="3" t="n">
        <v>28</v>
      </c>
      <c r="J19" s="3" t="n">
        <v>28</v>
      </c>
      <c r="K19" s="3" t="n">
        <v>28</v>
      </c>
      <c r="L19" s="3" t="n">
        <v>28</v>
      </c>
    </row>
    <row r="20" customFormat="false" ht="15" hidden="false" customHeight="false" outlineLevel="0" collapsed="false">
      <c r="A20" s="0" t="s">
        <v>114</v>
      </c>
      <c r="B20" s="3" t="n">
        <v>7.5</v>
      </c>
    </row>
    <row r="21" customFormat="false" ht="15" hidden="false" customHeight="false" outlineLevel="0" collapsed="false">
      <c r="A21" s="0" t="s">
        <v>115</v>
      </c>
      <c r="B21" s="3" t="n">
        <v>1</v>
      </c>
    </row>
    <row r="22" customFormat="false" ht="15" hidden="false" customHeight="false" outlineLevel="0" collapsed="false">
      <c r="A22" s="0" t="s">
        <v>116</v>
      </c>
      <c r="B22" s="3" t="n">
        <v>12</v>
      </c>
    </row>
    <row r="23" customFormat="false" ht="15" hidden="false" customHeight="false" outlineLevel="0" collapsed="false">
      <c r="A23" s="0" t="s">
        <v>117</v>
      </c>
      <c r="B23" s="3" t="n">
        <v>-15</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1.5</v>
      </c>
      <c r="D27" s="3" t="n">
        <v>2.5</v>
      </c>
      <c r="E27" s="3" t="n">
        <v>3</v>
      </c>
      <c r="F27" s="3" t="n">
        <v>3</v>
      </c>
      <c r="G27" s="3" t="n">
        <v>2.5</v>
      </c>
      <c r="H27" s="3" t="n">
        <v>2.5</v>
      </c>
      <c r="I27" s="3" t="n">
        <v>2.5</v>
      </c>
      <c r="J27" s="3" t="n">
        <v>2</v>
      </c>
      <c r="K27" s="3" t="n">
        <v>2</v>
      </c>
      <c r="L27" s="3" t="n">
        <v>2</v>
      </c>
    </row>
    <row r="28" customFormat="false" ht="15" hidden="false" customHeight="false" outlineLevel="0" collapsed="false">
      <c r="A28" s="0" t="s">
        <v>108</v>
      </c>
      <c r="C28" s="3" t="n">
        <v>19.1</v>
      </c>
      <c r="D28" s="3" t="n">
        <v>19.4</v>
      </c>
      <c r="E28" s="3" t="n">
        <v>19.7</v>
      </c>
      <c r="F28" s="3" t="n">
        <v>19.8</v>
      </c>
      <c r="G28" s="3" t="n">
        <v>19.9</v>
      </c>
      <c r="H28" s="3" t="n">
        <v>19.9</v>
      </c>
      <c r="I28" s="3" t="n">
        <v>19.9</v>
      </c>
      <c r="J28" s="3" t="n">
        <v>19.9</v>
      </c>
      <c r="K28" s="3" t="n">
        <v>19.9</v>
      </c>
      <c r="L28" s="3" t="n">
        <v>19.9</v>
      </c>
    </row>
    <row r="29" customFormat="false" ht="15" hidden="false" customHeight="false" outlineLevel="0" collapsed="false">
      <c r="A29" s="0" t="s">
        <v>109</v>
      </c>
      <c r="C29" s="3" t="n">
        <v>0.03</v>
      </c>
      <c r="D29" s="3" t="n">
        <v>0.03</v>
      </c>
      <c r="E29" s="3" t="n">
        <v>0.03</v>
      </c>
      <c r="F29" s="3" t="n">
        <v>0.03</v>
      </c>
      <c r="G29" s="3" t="n">
        <v>0.03</v>
      </c>
      <c r="H29" s="3" t="n">
        <v>0.03</v>
      </c>
      <c r="I29" s="3" t="n">
        <v>0.03</v>
      </c>
      <c r="J29" s="3" t="n">
        <v>0.03</v>
      </c>
      <c r="K29" s="3" t="n">
        <v>0.03</v>
      </c>
      <c r="L29" s="3" t="n">
        <v>0.03</v>
      </c>
    </row>
    <row r="30" customFormat="false" ht="15" hidden="false" customHeight="false" outlineLevel="0" collapsed="false">
      <c r="A30" s="0" t="s">
        <v>110</v>
      </c>
      <c r="C30" s="3" t="n">
        <v>1.86</v>
      </c>
      <c r="D30" s="3" t="n">
        <v>1.86</v>
      </c>
      <c r="E30" s="3" t="n">
        <v>1.86</v>
      </c>
      <c r="F30" s="3" t="n">
        <v>1.86</v>
      </c>
      <c r="G30" s="3" t="n">
        <v>1.86</v>
      </c>
      <c r="H30" s="3" t="n">
        <v>1.86</v>
      </c>
      <c r="I30" s="3" t="n">
        <v>1.86</v>
      </c>
      <c r="J30" s="3" t="n">
        <v>1.86</v>
      </c>
      <c r="K30" s="3" t="n">
        <v>1.86</v>
      </c>
      <c r="L30" s="3" t="n">
        <v>1.86</v>
      </c>
    </row>
    <row r="31" customFormat="false" ht="15" hidden="false" customHeight="false" outlineLevel="0" collapsed="false">
      <c r="A31" s="0" t="s">
        <v>111</v>
      </c>
      <c r="C31" s="3" t="n">
        <v>6.25</v>
      </c>
      <c r="D31" s="3" t="n">
        <v>6.3</v>
      </c>
      <c r="E31" s="3" t="n">
        <v>6.4</v>
      </c>
      <c r="F31" s="3" t="n">
        <v>6.4</v>
      </c>
      <c r="G31" s="3" t="n">
        <v>6.5</v>
      </c>
      <c r="H31" s="3" t="n">
        <v>6.5</v>
      </c>
      <c r="I31" s="3" t="n">
        <v>6.5</v>
      </c>
      <c r="J31" s="3" t="n">
        <v>6.5</v>
      </c>
      <c r="K31" s="3" t="n">
        <v>6.5</v>
      </c>
      <c r="L31" s="3" t="n">
        <v>6.5</v>
      </c>
    </row>
    <row r="32" customFormat="false" ht="15" hidden="false" customHeight="false" outlineLevel="0" collapsed="false">
      <c r="A32" s="0" t="s">
        <v>112</v>
      </c>
      <c r="C32" s="3" t="n">
        <v>7</v>
      </c>
      <c r="D32" s="3" t="n">
        <v>7</v>
      </c>
      <c r="E32" s="3" t="n">
        <v>6.8</v>
      </c>
      <c r="F32" s="3" t="n">
        <v>6.7</v>
      </c>
      <c r="G32" s="3" t="n">
        <v>6.6</v>
      </c>
      <c r="H32" s="3" t="n">
        <v>6.5</v>
      </c>
      <c r="I32" s="3" t="n">
        <v>6.5</v>
      </c>
      <c r="J32" s="3" t="n">
        <v>6.5</v>
      </c>
      <c r="K32" s="3" t="n">
        <v>6.5</v>
      </c>
      <c r="L32" s="3" t="n">
        <v>6.5</v>
      </c>
    </row>
    <row r="33" customFormat="false" ht="15" hidden="false" customHeight="false" outlineLevel="0" collapsed="false">
      <c r="A33" s="0" t="s">
        <v>113</v>
      </c>
      <c r="C33" s="3" t="n">
        <v>28</v>
      </c>
      <c r="D33" s="3" t="n">
        <v>28</v>
      </c>
      <c r="E33" s="3" t="n">
        <v>28</v>
      </c>
      <c r="F33" s="3" t="n">
        <v>28</v>
      </c>
      <c r="G33" s="3" t="n">
        <v>28</v>
      </c>
      <c r="H33" s="3" t="n">
        <v>28</v>
      </c>
      <c r="I33" s="3" t="n">
        <v>28</v>
      </c>
      <c r="J33" s="3" t="n">
        <v>28</v>
      </c>
      <c r="K33" s="3" t="n">
        <v>28</v>
      </c>
      <c r="L33" s="3" t="n">
        <v>28</v>
      </c>
    </row>
    <row r="34" customFormat="false" ht="15" hidden="false" customHeight="false" outlineLevel="0" collapsed="false">
      <c r="A34" s="0" t="s">
        <v>114</v>
      </c>
      <c r="B34" s="3" t="n">
        <v>7.5</v>
      </c>
    </row>
    <row r="35" customFormat="false" ht="15" hidden="false" customHeight="false" outlineLevel="0" collapsed="false">
      <c r="A35" s="0" t="s">
        <v>115</v>
      </c>
      <c r="B35" s="3" t="n">
        <v>2</v>
      </c>
    </row>
    <row r="36" customFormat="false" ht="15" hidden="false" customHeight="false" outlineLevel="0" collapsed="false">
      <c r="A36" s="0" t="s">
        <v>116</v>
      </c>
      <c r="B36" s="3" t="n">
        <v>15</v>
      </c>
    </row>
    <row r="37" customFormat="false" ht="15" hidden="false" customHeight="false" outlineLevel="0" collapsed="false">
      <c r="A37" s="0" t="s">
        <v>117</v>
      </c>
      <c r="B37" s="3" t="n">
        <v>-15</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4</v>
      </c>
      <c r="D41" s="3" t="n">
        <v>5</v>
      </c>
      <c r="E41" s="3" t="n">
        <v>5</v>
      </c>
      <c r="F41" s="3" t="n">
        <v>4.5</v>
      </c>
      <c r="G41" s="3" t="n">
        <v>4</v>
      </c>
      <c r="H41" s="3" t="n">
        <v>3.5</v>
      </c>
      <c r="I41" s="3" t="n">
        <v>3</v>
      </c>
      <c r="J41" s="3" t="n">
        <v>3</v>
      </c>
      <c r="K41" s="3" t="n">
        <v>2.5</v>
      </c>
      <c r="L41" s="3" t="n">
        <v>2.5</v>
      </c>
    </row>
    <row r="42" customFormat="false" ht="15" hidden="false" customHeight="false" outlineLevel="0" collapsed="false">
      <c r="A42" s="0" t="s">
        <v>108</v>
      </c>
      <c r="C42" s="3" t="n">
        <v>19.5</v>
      </c>
      <c r="D42" s="3" t="n">
        <v>20</v>
      </c>
      <c r="E42" s="3" t="n">
        <v>20.5</v>
      </c>
      <c r="F42" s="3" t="n">
        <v>20.9</v>
      </c>
      <c r="G42" s="3" t="n">
        <v>21.4</v>
      </c>
      <c r="H42" s="3" t="n">
        <v>21.4</v>
      </c>
      <c r="I42" s="3" t="n">
        <v>21.4</v>
      </c>
      <c r="J42" s="3" t="n">
        <v>21.4</v>
      </c>
      <c r="K42" s="3" t="n">
        <v>21.4</v>
      </c>
      <c r="L42" s="3" t="n">
        <v>21.4</v>
      </c>
    </row>
    <row r="43" customFormat="false" ht="15" hidden="false" customHeight="false" outlineLevel="0" collapsed="false">
      <c r="A43" s="0" t="s">
        <v>109</v>
      </c>
      <c r="C43" s="3" t="n">
        <v>0.03</v>
      </c>
      <c r="D43" s="3" t="n">
        <v>0.03</v>
      </c>
      <c r="E43" s="3" t="n">
        <v>0.03</v>
      </c>
      <c r="F43" s="3" t="n">
        <v>0.03</v>
      </c>
      <c r="G43" s="3" t="n">
        <v>0.03</v>
      </c>
      <c r="H43" s="3" t="n">
        <v>0.03</v>
      </c>
      <c r="I43" s="3" t="n">
        <v>0.03</v>
      </c>
      <c r="J43" s="3" t="n">
        <v>0.03</v>
      </c>
      <c r="K43" s="3" t="n">
        <v>0.03</v>
      </c>
      <c r="L43" s="3" t="n">
        <v>0.03</v>
      </c>
    </row>
    <row r="44" customFormat="false" ht="15" hidden="false" customHeight="false" outlineLevel="0" collapsed="false">
      <c r="A44" s="0" t="s">
        <v>110</v>
      </c>
      <c r="C44" s="3" t="n">
        <v>1.86</v>
      </c>
      <c r="D44" s="3" t="n">
        <v>1.86</v>
      </c>
      <c r="E44" s="3" t="n">
        <v>1.86</v>
      </c>
      <c r="F44" s="3" t="n">
        <v>1.86</v>
      </c>
      <c r="G44" s="3" t="n">
        <v>1.86</v>
      </c>
      <c r="H44" s="3" t="n">
        <v>1.86</v>
      </c>
      <c r="I44" s="3" t="n">
        <v>1.86</v>
      </c>
      <c r="J44" s="3" t="n">
        <v>1.86</v>
      </c>
      <c r="K44" s="3" t="n">
        <v>1.86</v>
      </c>
      <c r="L44" s="3" t="n">
        <v>1.86</v>
      </c>
    </row>
    <row r="45" customFormat="false" ht="15" hidden="false" customHeight="false" outlineLevel="0" collapsed="false">
      <c r="A45" s="0" t="s">
        <v>111</v>
      </c>
      <c r="C45" s="3" t="n">
        <v>6.25</v>
      </c>
      <c r="D45" s="3" t="n">
        <v>6.3</v>
      </c>
      <c r="E45" s="3" t="n">
        <v>6.4</v>
      </c>
      <c r="F45" s="3" t="n">
        <v>6.4</v>
      </c>
      <c r="G45" s="3" t="n">
        <v>6.5</v>
      </c>
      <c r="H45" s="3" t="n">
        <v>6.5</v>
      </c>
      <c r="I45" s="3" t="n">
        <v>6.5</v>
      </c>
      <c r="J45" s="3" t="n">
        <v>6.5</v>
      </c>
      <c r="K45" s="3" t="n">
        <v>6.5</v>
      </c>
      <c r="L45" s="3" t="n">
        <v>6.5</v>
      </c>
    </row>
    <row r="46" customFormat="false" ht="15" hidden="false" customHeight="false" outlineLevel="0" collapsed="false">
      <c r="A46" s="0" t="s">
        <v>112</v>
      </c>
      <c r="C46" s="3" t="n">
        <v>7.2</v>
      </c>
      <c r="D46" s="3" t="n">
        <v>7.2</v>
      </c>
      <c r="E46" s="3" t="n">
        <v>7</v>
      </c>
      <c r="F46" s="3" t="n">
        <v>7</v>
      </c>
      <c r="G46" s="3" t="n">
        <v>6.8</v>
      </c>
      <c r="H46" s="3" t="n">
        <v>6.8</v>
      </c>
      <c r="I46" s="3" t="n">
        <v>6.8</v>
      </c>
      <c r="J46" s="3" t="n">
        <v>6.8</v>
      </c>
      <c r="K46" s="3" t="n">
        <v>6.8</v>
      </c>
      <c r="L46" s="3" t="n">
        <v>6.8</v>
      </c>
    </row>
    <row r="47" customFormat="false" ht="15" hidden="false" customHeight="false" outlineLevel="0" collapsed="false">
      <c r="A47" s="0" t="s">
        <v>113</v>
      </c>
      <c r="C47" s="3" t="n">
        <v>28</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114</v>
      </c>
      <c r="B48" s="3" t="n">
        <v>7.5</v>
      </c>
    </row>
    <row r="49" customFormat="false" ht="15" hidden="false" customHeight="false" outlineLevel="0" collapsed="false">
      <c r="A49" s="0" t="s">
        <v>115</v>
      </c>
      <c r="B49" s="3" t="n">
        <v>2.5</v>
      </c>
    </row>
    <row r="50" customFormat="false" ht="15" hidden="false" customHeight="false" outlineLevel="0" collapsed="false">
      <c r="A50" s="0" t="s">
        <v>116</v>
      </c>
      <c r="B50" s="3" t="n">
        <v>15</v>
      </c>
    </row>
    <row r="51" customFormat="false" ht="15" hidden="false" customHeight="false" outlineLevel="0" collapsed="false">
      <c r="A51" s="0" t="s">
        <v>117</v>
      </c>
      <c r="B51" s="3" t="n">
        <v>-15</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-3</v>
      </c>
      <c r="D5" s="4" t="n">
        <f aca="false">Assumptions!D13</f>
        <v>0</v>
      </c>
      <c r="E5" s="4" t="n">
        <f aca="false">Assumptions!E13</f>
        <v>1</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4634682</v>
      </c>
      <c r="C6" s="0" t="n">
        <f aca="false">B6*(1+C5/100)</f>
        <v>4495641.54</v>
      </c>
      <c r="D6" s="0" t="n">
        <f aca="false">C6*(1+D5/100)</f>
        <v>4495641.54</v>
      </c>
      <c r="E6" s="0" t="n">
        <f aca="false">D6*(1+E5/100)</f>
        <v>4540597.9554</v>
      </c>
      <c r="F6" s="0" t="n">
        <f aca="false">E6*(1+F5/100)</f>
        <v>4608706.924731</v>
      </c>
      <c r="G6" s="0" t="n">
        <f aca="false">F6*(1+G5/100)</f>
        <v>4677837.52860197</v>
      </c>
      <c r="H6" s="0" t="n">
        <f aca="false">G6*(1+H5/100)</f>
        <v>4748005.09153099</v>
      </c>
      <c r="I6" s="0" t="n">
        <f aca="false">H6*(1+I5/100)</f>
        <v>4819225.16790396</v>
      </c>
      <c r="J6" s="0" t="n">
        <f aca="false">I6*(1+J5/100)</f>
        <v>4891513.54542252</v>
      </c>
      <c r="K6" s="0" t="n">
        <f aca="false">J6*(1+K5/100)</f>
        <v>4964886.24860385</v>
      </c>
      <c r="L6" s="0" t="n">
        <f aca="false">K6*(1+L5/100)</f>
        <v>5039359.54233291</v>
      </c>
    </row>
    <row r="7" customFormat="false" ht="15" hidden="false" customHeight="false" outlineLevel="0" collapsed="false">
      <c r="A7" s="0" t="s">
        <v>108</v>
      </c>
      <c r="C7" s="4" t="n">
        <f aca="false">Assumptions!C14</f>
        <v>18.4</v>
      </c>
      <c r="D7" s="4" t="n">
        <f aca="false">Assumptions!D14</f>
        <v>18</v>
      </c>
      <c r="E7" s="4" t="n">
        <f aca="false">Assumptions!E14</f>
        <v>17.8</v>
      </c>
      <c r="F7" s="4" t="n">
        <f aca="false">Assumptions!F14</f>
        <v>17.8</v>
      </c>
      <c r="G7" s="4" t="n">
        <f aca="false">Assumptions!G14</f>
        <v>17.9</v>
      </c>
      <c r="H7" s="4" t="n">
        <f aca="false">Assumptions!H14</f>
        <v>17.9</v>
      </c>
      <c r="I7" s="4" t="n">
        <f aca="false">Assumptions!I14</f>
        <v>17.9</v>
      </c>
      <c r="J7" s="4" t="n">
        <f aca="false">Assumptions!J14</f>
        <v>17.9</v>
      </c>
      <c r="K7" s="4" t="n">
        <f aca="false">Assumptions!K14</f>
        <v>17.9</v>
      </c>
      <c r="L7" s="4" t="n">
        <f aca="false">Assumptions!L14</f>
        <v>17.9</v>
      </c>
    </row>
    <row r="8" customFormat="false" ht="15" hidden="false" customHeight="false" outlineLevel="0" collapsed="false">
      <c r="A8" s="0" t="s">
        <v>43</v>
      </c>
      <c r="C8" s="0" t="n">
        <f aca="false">C6*C7/100</f>
        <v>827198.04336</v>
      </c>
      <c r="D8" s="0" t="n">
        <f aca="false">D6*D7/100</f>
        <v>809215.4772</v>
      </c>
      <c r="E8" s="0" t="n">
        <f aca="false">E6*E7/100</f>
        <v>808226.4360612</v>
      </c>
      <c r="F8" s="0" t="n">
        <f aca="false">F6*F7/100</f>
        <v>820349.832602118</v>
      </c>
      <c r="G8" s="0" t="n">
        <f aca="false">G6*G7/100</f>
        <v>837332.917619752</v>
      </c>
      <c r="H8" s="0" t="n">
        <f aca="false">H6*H7/100</f>
        <v>849892.911384048</v>
      </c>
      <c r="I8" s="0" t="n">
        <f aca="false">I6*I7/100</f>
        <v>862641.305054808</v>
      </c>
      <c r="J8" s="0" t="n">
        <f aca="false">J6*J7/100</f>
        <v>875580.92463063</v>
      </c>
      <c r="K8" s="0" t="n">
        <f aca="false">K6*K7/100</f>
        <v>888714.63850009</v>
      </c>
      <c r="L8" s="0" t="n">
        <f aca="false">L6*L7/100</f>
        <v>902045.358077591</v>
      </c>
    </row>
    <row r="9" customFormat="false" ht="15" hidden="false" customHeight="false" outlineLevel="0" collapsed="false">
      <c r="A9" s="0" t="s">
        <v>109</v>
      </c>
      <c r="C9" s="4" t="n">
        <f aca="false">Assumptions!C15</f>
        <v>0.03</v>
      </c>
      <c r="D9" s="4" t="n">
        <f aca="false">Assumptions!D15</f>
        <v>0.03</v>
      </c>
      <c r="E9" s="4" t="n">
        <f aca="false">Assumptions!E15</f>
        <v>0.03</v>
      </c>
      <c r="F9" s="4" t="n">
        <f aca="false">Assumptions!F15</f>
        <v>0.03</v>
      </c>
      <c r="G9" s="4" t="n">
        <f aca="false">Assumptions!G15</f>
        <v>0.03</v>
      </c>
      <c r="H9" s="4" t="n">
        <f aca="false">Assumptions!H15</f>
        <v>0.03</v>
      </c>
      <c r="I9" s="4" t="n">
        <f aca="false">Assumptions!I15</f>
        <v>0.03</v>
      </c>
      <c r="J9" s="4" t="n">
        <f aca="false">Assumptions!J15</f>
        <v>0.03</v>
      </c>
      <c r="K9" s="4" t="n">
        <f aca="false">Assumptions!K15</f>
        <v>0.03</v>
      </c>
      <c r="L9" s="4" t="n">
        <f aca="false">Assumptions!L15</f>
        <v>0.03</v>
      </c>
    </row>
    <row r="10" customFormat="false" ht="15" hidden="false" customHeight="false" outlineLevel="0" collapsed="false">
      <c r="A10" s="0" t="s">
        <v>124</v>
      </c>
      <c r="C10" s="0" t="n">
        <f aca="false">-C6*C9/100</f>
        <v>-1348.692462</v>
      </c>
      <c r="D10" s="0" t="n">
        <f aca="false">-D6*D9/100</f>
        <v>-1348.692462</v>
      </c>
      <c r="E10" s="0" t="n">
        <f aca="false">-E6*E9/100</f>
        <v>-1362.17938662</v>
      </c>
      <c r="F10" s="0" t="n">
        <f aca="false">-F6*F9/100</f>
        <v>-1382.6120774193</v>
      </c>
      <c r="G10" s="0" t="n">
        <f aca="false">-G6*G9/100</f>
        <v>-1403.35125858059</v>
      </c>
      <c r="H10" s="0" t="n">
        <f aca="false">-H6*H9/100</f>
        <v>-1424.4015274593</v>
      </c>
      <c r="I10" s="0" t="n">
        <f aca="false">-I6*I9/100</f>
        <v>-1445.76755037119</v>
      </c>
      <c r="J10" s="0" t="n">
        <f aca="false">-J6*J9/100</f>
        <v>-1467.45406362676</v>
      </c>
      <c r="K10" s="0" t="n">
        <f aca="false">-K6*K9/100</f>
        <v>-1489.46587458116</v>
      </c>
      <c r="L10" s="0" t="n">
        <f aca="false">-L6*L9/100</f>
        <v>-1511.80786269987</v>
      </c>
    </row>
    <row r="11" customFormat="false" ht="15" hidden="false" customHeight="false" outlineLevel="0" collapsed="false">
      <c r="A11" s="0" t="s">
        <v>125</v>
      </c>
      <c r="C11" s="0" t="n">
        <f aca="false">C8+C10+C24</f>
        <v>742230.418254</v>
      </c>
      <c r="D11" s="0" t="n">
        <f aca="false">D8+D10+D24</f>
        <v>724247.852094</v>
      </c>
      <c r="E11" s="0" t="n">
        <f aca="false">E8+E10+E24</f>
        <v>722409.13470414</v>
      </c>
      <c r="F11" s="0" t="n">
        <f aca="false">F8+F10+F24</f>
        <v>733245.271724702</v>
      </c>
      <c r="G11" s="0" t="n">
        <f aca="false">G8+G10+G24</f>
        <v>748921.788329175</v>
      </c>
      <c r="H11" s="0" t="n">
        <f aca="false">H8+H10+H24</f>
        <v>760155.615154112</v>
      </c>
      <c r="I11" s="0" t="n">
        <f aca="false">I8+I10+I24</f>
        <v>771557.949381424</v>
      </c>
      <c r="J11" s="0" t="n">
        <f aca="false">J8+J10+J24</f>
        <v>783131.318622145</v>
      </c>
      <c r="K11" s="0" t="n">
        <f aca="false">K8+K10+K24</f>
        <v>794878.288401477</v>
      </c>
      <c r="L11" s="0" t="n">
        <f aca="false">L8+L10+L24</f>
        <v>806801.462727499</v>
      </c>
    </row>
    <row r="12" customFormat="false" ht="15" hidden="false" customHeight="false" outlineLevel="0" collapsed="false">
      <c r="A12" s="0" t="s">
        <v>126</v>
      </c>
      <c r="C12" s="4" t="n">
        <f aca="false">-C6*Assumptions!C17/100</f>
        <v>-280977.59625</v>
      </c>
      <c r="D12" s="4" t="n">
        <f aca="false">-D6*Assumptions!D17/100</f>
        <v>-283225.41702</v>
      </c>
      <c r="E12" s="4" t="n">
        <f aca="false">-E6*Assumptions!E17/100</f>
        <v>-290598.2691456</v>
      </c>
      <c r="F12" s="4" t="n">
        <f aca="false">-F6*Assumptions!F17/100</f>
        <v>-294957.243182784</v>
      </c>
      <c r="G12" s="4" t="n">
        <f aca="false">-G6*Assumptions!G17/100</f>
        <v>-304059.439359128</v>
      </c>
      <c r="H12" s="4" t="n">
        <f aca="false">-H6*Assumptions!H17/100</f>
        <v>-308620.330949515</v>
      </c>
      <c r="I12" s="4" t="n">
        <f aca="false">-I6*Assumptions!I17/100</f>
        <v>-313249.635913757</v>
      </c>
      <c r="J12" s="4" t="n">
        <f aca="false">-J6*Assumptions!J17/100</f>
        <v>-317948.380452464</v>
      </c>
      <c r="K12" s="4" t="n">
        <f aca="false">-K6*Assumptions!K17/100</f>
        <v>-322717.606159251</v>
      </c>
      <c r="L12" s="4" t="n">
        <f aca="false">-L6*Assumptions!L17/100</f>
        <v>-327558.370251639</v>
      </c>
    </row>
    <row r="13" customFormat="false" ht="15" hidden="false" customHeight="false" outlineLevel="0" collapsed="false">
      <c r="A13" s="0" t="s">
        <v>127</v>
      </c>
      <c r="C13" s="0" t="n">
        <f aca="false">C11+C12</f>
        <v>461252.822004</v>
      </c>
      <c r="D13" s="0" t="n">
        <f aca="false">D11+D12</f>
        <v>441022.435074</v>
      </c>
      <c r="E13" s="0" t="n">
        <f aca="false">E11+E12</f>
        <v>431810.86555854</v>
      </c>
      <c r="F13" s="0" t="n">
        <f aca="false">F11+F12</f>
        <v>438288.028541918</v>
      </c>
      <c r="G13" s="0" t="n">
        <f aca="false">G11+G12</f>
        <v>444862.348970047</v>
      </c>
      <c r="H13" s="0" t="n">
        <f aca="false">H11+H12</f>
        <v>451535.284204597</v>
      </c>
      <c r="I13" s="0" t="n">
        <f aca="false">I11+I12</f>
        <v>458308.313467666</v>
      </c>
      <c r="J13" s="0" t="n">
        <f aca="false">J11+J12</f>
        <v>465182.938169681</v>
      </c>
      <c r="K13" s="0" t="n">
        <f aca="false">K11+K12</f>
        <v>472160.682242226</v>
      </c>
      <c r="L13" s="0" t="n">
        <f aca="false">L11+L12</f>
        <v>479243.09247586</v>
      </c>
    </row>
    <row r="14" customFormat="false" ht="15" hidden="false" customHeight="false" outlineLevel="0" collapsed="false">
      <c r="A14" s="0" t="s">
        <v>113</v>
      </c>
      <c r="C14" s="4" t="n">
        <f aca="false">Assumptions!C19</f>
        <v>28</v>
      </c>
      <c r="D14" s="4" t="n">
        <f aca="false">Assumptions!D19</f>
        <v>28</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128</v>
      </c>
      <c r="C15" s="0" t="n">
        <f aca="false">C13-MAX(0,C13)*C14/100</f>
        <v>332102.03184288</v>
      </c>
      <c r="D15" s="0" t="n">
        <f aca="false">D13-MAX(0,D13)*D14/100</f>
        <v>317536.15325328</v>
      </c>
      <c r="E15" s="0" t="n">
        <f aca="false">E13-MAX(0,E13)*E14/100</f>
        <v>310903.823202149</v>
      </c>
      <c r="F15" s="0" t="n">
        <f aca="false">F13-MAX(0,F13)*F14/100</f>
        <v>315567.380550181</v>
      </c>
      <c r="G15" s="0" t="n">
        <f aca="false">G13-MAX(0,G13)*G14/100</f>
        <v>320300.891258434</v>
      </c>
      <c r="H15" s="0" t="n">
        <f aca="false">H13-MAX(0,H13)*H14/100</f>
        <v>325105.40462731</v>
      </c>
      <c r="I15" s="0" t="n">
        <f aca="false">I13-MAX(0,I13)*I14/100</f>
        <v>329981.98569672</v>
      </c>
      <c r="J15" s="0" t="n">
        <f aca="false">J13-MAX(0,J13)*J14/100</f>
        <v>334931.715482171</v>
      </c>
      <c r="K15" s="0" t="n">
        <f aca="false">K13-MAX(0,K13)*K14/100</f>
        <v>339955.691214403</v>
      </c>
      <c r="L15" s="0" t="n">
        <f aca="false">L13-MAX(0,L13)*L14/100</f>
        <v>345055.026582619</v>
      </c>
    </row>
    <row r="16" customFormat="false" ht="15" hidden="false" customHeight="false" outlineLevel="0" collapsed="false">
      <c r="A16" s="0" t="s">
        <v>129</v>
      </c>
      <c r="C16" s="0" t="n">
        <f aca="false">-C12</f>
        <v>280977.59625</v>
      </c>
      <c r="D16" s="0" t="n">
        <f aca="false">-D12</f>
        <v>283225.41702</v>
      </c>
      <c r="E16" s="0" t="n">
        <f aca="false">-E12</f>
        <v>290598.2691456</v>
      </c>
      <c r="F16" s="0" t="n">
        <f aca="false">-F12</f>
        <v>294957.243182784</v>
      </c>
      <c r="G16" s="0" t="n">
        <f aca="false">-G12</f>
        <v>304059.439359128</v>
      </c>
      <c r="H16" s="0" t="n">
        <f aca="false">-H12</f>
        <v>308620.330949515</v>
      </c>
      <c r="I16" s="0" t="n">
        <f aca="false">-I12</f>
        <v>313249.635913757</v>
      </c>
      <c r="J16" s="0" t="n">
        <f aca="false">-J12</f>
        <v>317948.380452464</v>
      </c>
      <c r="K16" s="0" t="n">
        <f aca="false">-K12</f>
        <v>322717.606159251</v>
      </c>
      <c r="L16" s="0" t="n">
        <f aca="false">-L12</f>
        <v>327558.370251639</v>
      </c>
    </row>
    <row r="17" customFormat="false" ht="15" hidden="false" customHeight="false" outlineLevel="0" collapsed="false">
      <c r="A17" s="0" t="s">
        <v>130</v>
      </c>
      <c r="C17" s="4" t="n">
        <f aca="false">-C6*Assumptions!C18/100</f>
        <v>-314694.9078</v>
      </c>
      <c r="D17" s="4" t="n">
        <f aca="false">-D6*Assumptions!D18/100</f>
        <v>-305703.62472</v>
      </c>
      <c r="E17" s="4" t="n">
        <f aca="false">-E6*Assumptions!E18/100</f>
        <v>-299679.4650564</v>
      </c>
      <c r="F17" s="4" t="n">
        <f aca="false">-F6*Assumptions!F18/100</f>
        <v>-299565.950107515</v>
      </c>
      <c r="G17" s="4" t="n">
        <f aca="false">-G6*Assumptions!G18/100</f>
        <v>-304059.439359128</v>
      </c>
      <c r="H17" s="4" t="n">
        <f aca="false">-H6*Assumptions!H18/100</f>
        <v>-308620.330949515</v>
      </c>
      <c r="I17" s="4" t="n">
        <f aca="false">-I6*Assumptions!I18/100</f>
        <v>-313249.635913757</v>
      </c>
      <c r="J17" s="4" t="n">
        <f aca="false">-J6*Assumptions!J18/100</f>
        <v>-317948.380452464</v>
      </c>
      <c r="K17" s="4" t="n">
        <f aca="false">-K6*Assumptions!K18/100</f>
        <v>-322717.606159251</v>
      </c>
      <c r="L17" s="4" t="n">
        <f aca="false">-L6*Assumptions!L18/100</f>
        <v>-327558.370251639</v>
      </c>
    </row>
    <row r="18" customFormat="false" ht="15" hidden="false" customHeight="false" outlineLevel="0" collapsed="false">
      <c r="A18" s="0" t="s">
        <v>131</v>
      </c>
      <c r="C18" s="4" t="n">
        <f aca="false">(C6-B6)*Assumptions!$B$23/100</f>
        <v>20856.069</v>
      </c>
      <c r="D18" s="4" t="n">
        <f aca="false">(D6-C6)*Assumptions!$B$23/100</f>
        <v>-0</v>
      </c>
      <c r="E18" s="4" t="n">
        <f aca="false">(E6-D6)*Assumptions!$B$23/100</f>
        <v>-6743.46231000004</v>
      </c>
      <c r="F18" s="4" t="n">
        <f aca="false">(F6-E6)*Assumptions!$B$23/100</f>
        <v>-10216.34539965</v>
      </c>
      <c r="G18" s="4" t="n">
        <f aca="false">(G6-F6)*Assumptions!$B$23/100</f>
        <v>-10369.5905806447</v>
      </c>
      <c r="H18" s="4" t="n">
        <f aca="false">(H6-G6)*Assumptions!$B$23/100</f>
        <v>-10525.1344393543</v>
      </c>
      <c r="I18" s="4" t="n">
        <f aca="false">(I6-H6)*Assumptions!$B$23/100</f>
        <v>-10683.0114559446</v>
      </c>
      <c r="J18" s="4" t="n">
        <f aca="false">(J6-I6)*Assumptions!$B$23/100</f>
        <v>-10843.2566277838</v>
      </c>
      <c r="K18" s="4" t="n">
        <f aca="false">(K6-J6)*Assumptions!$B$23/100</f>
        <v>-11005.9054772006</v>
      </c>
      <c r="L18" s="4" t="n">
        <f aca="false">(L6-K6)*Assumptions!$B$23/100</f>
        <v>-11170.9940593586</v>
      </c>
    </row>
    <row r="19" customFormat="false" ht="15" hidden="false" customHeight="false" outlineLevel="0" collapsed="false">
      <c r="A19" s="0" t="s">
        <v>132</v>
      </c>
      <c r="C19" s="0" t="n">
        <f aca="false">C15+C16+C17+C18</f>
        <v>319240.78929288</v>
      </c>
      <c r="D19" s="0" t="n">
        <f aca="false">D15+D16+D17+D18</f>
        <v>295057.94555328</v>
      </c>
      <c r="E19" s="0" t="n">
        <f aca="false">E15+E16+E17+E18</f>
        <v>295079.164981349</v>
      </c>
      <c r="F19" s="0" t="n">
        <f aca="false">F15+F16+F17+F18</f>
        <v>300742.3282258</v>
      </c>
      <c r="G19" s="0" t="n">
        <f aca="false">G15+G16+G17+G18</f>
        <v>309931.300677789</v>
      </c>
      <c r="H19" s="0" t="n">
        <f aca="false">H15+H16+H17+H18</f>
        <v>314580.270187956</v>
      </c>
      <c r="I19" s="0" t="n">
        <f aca="false">I15+I16+I17+I18</f>
        <v>319298.974240775</v>
      </c>
      <c r="J19" s="0" t="n">
        <f aca="false">J15+J16+J17+J18</f>
        <v>324088.458854387</v>
      </c>
      <c r="K19" s="0" t="n">
        <f aca="false">K15+K16+K17+K18</f>
        <v>328949.785737202</v>
      </c>
      <c r="L19" s="0" t="n">
        <f aca="false">L15+L16+L17+L18</f>
        <v>333884.032523261</v>
      </c>
    </row>
    <row r="20" customFormat="false" ht="15" hidden="false" customHeight="false" outlineLevel="0" collapsed="false">
      <c r="A20" s="0" t="s">
        <v>133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134</v>
      </c>
      <c r="C21" s="0" t="n">
        <f aca="false">C19*C20</f>
        <v>296968.1760864</v>
      </c>
      <c r="D21" s="0" t="n">
        <f aca="false">D19*D20</f>
        <v>255323.262782719</v>
      </c>
      <c r="E21" s="0" t="n">
        <f aca="false">E19*E20</f>
        <v>237527.092693805</v>
      </c>
      <c r="F21" s="0" t="n">
        <f aca="false">F19*F20</f>
        <v>225196.01470166</v>
      </c>
      <c r="G21" s="0" t="n">
        <f aca="false">G19*G20</f>
        <v>215885.322922613</v>
      </c>
      <c r="H21" s="0" t="n">
        <f aca="false">H19*H20</f>
        <v>203835.909550188</v>
      </c>
      <c r="I21" s="0" t="n">
        <f aca="false">I19*I20</f>
        <v>192459.021575294</v>
      </c>
      <c r="J21" s="0" t="n">
        <f aca="false">J19*J20</f>
        <v>181717.122696673</v>
      </c>
      <c r="K21" s="0" t="n">
        <f aca="false">K19*K20</f>
        <v>171574.77166244</v>
      </c>
      <c r="L21" s="0" t="n">
        <f aca="false">L19*L20</f>
        <v>161998.505337095</v>
      </c>
    </row>
    <row r="23" customFormat="false" ht="15" hidden="false" customHeight="false" outlineLevel="0" collapsed="false">
      <c r="A23" s="0" t="s">
        <v>110</v>
      </c>
      <c r="C23" s="4" t="n">
        <f aca="false">Assumptions!C16</f>
        <v>1.86</v>
      </c>
      <c r="D23" s="4" t="n">
        <f aca="false">Assumptions!D16</f>
        <v>1.86</v>
      </c>
      <c r="E23" s="4" t="n">
        <f aca="false">Assumptions!E16</f>
        <v>1.86</v>
      </c>
      <c r="F23" s="4" t="n">
        <f aca="false">Assumptions!F16</f>
        <v>1.86</v>
      </c>
      <c r="G23" s="4" t="n">
        <f aca="false">Assumptions!G16</f>
        <v>1.86</v>
      </c>
      <c r="H23" s="4" t="n">
        <f aca="false">Assumptions!H16</f>
        <v>1.86</v>
      </c>
      <c r="I23" s="4" t="n">
        <f aca="false">Assumptions!I16</f>
        <v>1.86</v>
      </c>
      <c r="J23" s="4" t="n">
        <f aca="false">Assumptions!J16</f>
        <v>1.86</v>
      </c>
      <c r="K23" s="4" t="n">
        <f aca="false">Assumptions!K16</f>
        <v>1.86</v>
      </c>
      <c r="L23" s="4" t="n">
        <f aca="false">Assumptions!L16</f>
        <v>1.86</v>
      </c>
    </row>
    <row r="24" customFormat="false" ht="15" hidden="false" customHeight="false" outlineLevel="0" collapsed="false">
      <c r="A24" s="0" t="s">
        <v>135</v>
      </c>
      <c r="C24" s="0" t="n">
        <f aca="false">-C6*C23/100</f>
        <v>-83618.932644</v>
      </c>
      <c r="D24" s="0" t="n">
        <f aca="false">-D6*D23/100</f>
        <v>-83618.932644</v>
      </c>
      <c r="E24" s="0" t="n">
        <f aca="false">-E6*E23/100</f>
        <v>-84455.12197044</v>
      </c>
      <c r="F24" s="0" t="n">
        <f aca="false">-F6*F23/100</f>
        <v>-85721.9487999966</v>
      </c>
      <c r="G24" s="0" t="n">
        <f aca="false">-G6*G23/100</f>
        <v>-87007.7780319965</v>
      </c>
      <c r="H24" s="0" t="n">
        <f aca="false">-H6*H23/100</f>
        <v>-88312.8947024765</v>
      </c>
      <c r="I24" s="0" t="n">
        <f aca="false">-I6*I23/100</f>
        <v>-89637.5881230136</v>
      </c>
      <c r="J24" s="0" t="n">
        <f aca="false">-J6*J23/100</f>
        <v>-90982.1519448588</v>
      </c>
      <c r="K24" s="0" t="n">
        <f aca="false">-K6*K23/100</f>
        <v>-92346.8842240317</v>
      </c>
      <c r="L24" s="0" t="n">
        <f aca="false">-L6*L23/100</f>
        <v>-93732.0874873922</v>
      </c>
    </row>
    <row r="26" customFormat="false" ht="15" hidden="false" customHeight="false" outlineLevel="0" collapsed="false">
      <c r="A26" s="2" t="s">
        <v>136</v>
      </c>
    </row>
    <row r="27" customFormat="false" ht="15" hidden="false" customHeight="false" outlineLevel="0" collapsed="false">
      <c r="A27" s="0" t="s">
        <v>114</v>
      </c>
      <c r="B27" s="4" t="n">
        <f aca="false">Assumptions!$B$20</f>
        <v>7.5</v>
      </c>
    </row>
    <row r="28" customFormat="false" ht="15" hidden="false" customHeight="false" outlineLevel="0" collapsed="false">
      <c r="A28" s="0" t="s">
        <v>115</v>
      </c>
      <c r="B28" s="4" t="n">
        <f aca="false">Assumptions!$B$21</f>
        <v>1</v>
      </c>
    </row>
    <row r="29" customFormat="false" ht="15" hidden="false" customHeight="false" outlineLevel="0" collapsed="false">
      <c r="A29" s="0" t="s">
        <v>116</v>
      </c>
      <c r="B29" s="4" t="n">
        <f aca="false">Assumptions!$B$22</f>
        <v>12</v>
      </c>
    </row>
    <row r="30" customFormat="false" ht="15" hidden="false" customHeight="false" outlineLevel="0" collapsed="false">
      <c r="A30" s="0" t="s">
        <v>137</v>
      </c>
      <c r="B30" s="0" t="n">
        <f aca="false">SUM(C21:L21)</f>
        <v>2142485.20000889</v>
      </c>
    </row>
    <row r="31" customFormat="false" ht="15" hidden="false" customHeight="false" outlineLevel="0" collapsed="false">
      <c r="A31" s="0" t="s">
        <v>138</v>
      </c>
      <c r="B31" s="0" t="n">
        <f aca="false">L19</f>
        <v>333884.032523261</v>
      </c>
    </row>
    <row r="32" customFormat="false" ht="15" hidden="false" customHeight="false" outlineLevel="0" collapsed="false">
      <c r="A32" s="0" t="s">
        <v>139</v>
      </c>
      <c r="B32" s="0" t="n">
        <f aca="false">IF(B27&gt;B28,B31*(1+B28/100)/((B27-B28)/100),B31*B29)</f>
        <v>5188044.19766913</v>
      </c>
    </row>
    <row r="33" customFormat="false" ht="15" hidden="false" customHeight="false" outlineLevel="0" collapsed="false">
      <c r="A33" s="0" t="s">
        <v>140</v>
      </c>
      <c r="B33" s="0" t="n">
        <f aca="false">B31*B29</f>
        <v>4006608.39027913</v>
      </c>
    </row>
    <row r="34" customFormat="false" ht="15" hidden="false" customHeight="false" outlineLevel="0" collapsed="false">
      <c r="A34" s="0" t="s">
        <v>141</v>
      </c>
      <c r="B34" s="0" t="n">
        <f aca="false">MAX(0,MIN(B32,B33))</f>
        <v>4006608.39027913</v>
      </c>
    </row>
    <row r="35" customFormat="false" ht="15" hidden="false" customHeight="false" outlineLevel="0" collapsed="false">
      <c r="A35" s="0" t="s">
        <v>142</v>
      </c>
      <c r="B35" s="0" t="n">
        <f aca="false">B34/(1+B27/100)^L4</f>
        <v>1943982.06404514</v>
      </c>
    </row>
    <row r="36" customFormat="false" ht="15" hidden="false" customHeight="false" outlineLevel="0" collapsed="false">
      <c r="A36" s="0" t="s">
        <v>143</v>
      </c>
      <c r="B36" s="0" t="n">
        <f aca="false">B30+B35</f>
        <v>4086467.26405402</v>
      </c>
    </row>
    <row r="37" customFormat="false" ht="15" hidden="false" customHeight="false" outlineLevel="0" collapsed="false">
      <c r="A37" s="0" t="s">
        <v>144</v>
      </c>
      <c r="B37" s="0" t="n">
        <f aca="false">B36+Assumptions!$B$5-Assumptions!$B$4</f>
        <v>4321094.26405403</v>
      </c>
    </row>
    <row r="38" customFormat="false" ht="15" hidden="false" customHeight="false" outlineLevel="0" collapsed="false">
      <c r="A38" s="0" t="s">
        <v>145</v>
      </c>
      <c r="B38" s="0" t="n">
        <f aca="false">B37/Assumptions!$B$3*Assumptions!$B$10</f>
        <v>3471.87390651938</v>
      </c>
    </row>
    <row r="39" customFormat="false" ht="15" hidden="false" customHeight="false" outlineLevel="0" collapsed="false">
      <c r="A39" s="0" t="s">
        <v>146</v>
      </c>
      <c r="B39" s="4" t="n">
        <f aca="false">B38/Assumptions!$B$2-1</f>
        <v>-0.129201428011191</v>
      </c>
    </row>
    <row r="41" customFormat="false" ht="15" hidden="false" customHeight="false" outlineLevel="0" collapsed="false">
      <c r="A41" s="0" t="s">
        <v>147</v>
      </c>
      <c r="B41" s="0" t="n">
        <f aca="false">SUMPRODUCT(-C10:L10/(1+$B$27/100)^C4:L4)</f>
        <v>9658.58939802194</v>
      </c>
    </row>
    <row r="42" customFormat="false" ht="15" hidden="false" customHeight="false" outlineLevel="0" collapsed="false">
      <c r="A42" s="0" t="s">
        <v>148</v>
      </c>
      <c r="B42" s="0" t="n">
        <f aca="false">IF(B27&gt;B28,-L10*(1+B28/100)/((B27-B28)/100),-L10*20)/(1+B27/100)^L4</f>
        <v>11397.7722415046</v>
      </c>
    </row>
    <row r="43" customFormat="false" ht="15" hidden="false" customHeight="false" outlineLevel="0" collapsed="false">
      <c r="A43" s="0" t="s">
        <v>149</v>
      </c>
      <c r="B43" s="0" t="n">
        <f aca="false">(B37+B41+B42)/Assumptions!$B$3*Assumptions!$B$10</f>
        <v>3488.7920823506</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2408734.80606067</v>
      </c>
    </row>
    <row r="47" customFormat="false" ht="15" hidden="false" customHeight="false" outlineLevel="0" collapsed="false">
      <c r="A47" s="0" t="s">
        <v>151</v>
      </c>
      <c r="B47" s="0" t="n">
        <f aca="false">(SUMPRODUCT(C19:L19/(1+B45/100)^C4:L4)+B46/(1+B45/100)^L4+Assumptions!$B$5-Assumptions!$B$4)/Assumptions!$B$3*Assumptions!$B$10</f>
        <v>1919.34668573614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1.5</v>
      </c>
      <c r="D5" s="4" t="n">
        <f aca="false">Assumptions!D27</f>
        <v>2.5</v>
      </c>
      <c r="E5" s="4" t="n">
        <f aca="false">Assumptions!E27</f>
        <v>3</v>
      </c>
      <c r="F5" s="4" t="n">
        <f aca="false">Assumptions!F27</f>
        <v>3</v>
      </c>
      <c r="G5" s="4" t="n">
        <f aca="false">Assumptions!G27</f>
        <v>2.5</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37</v>
      </c>
      <c r="B6" s="3" t="n">
        <v>4634682</v>
      </c>
      <c r="C6" s="0" t="n">
        <f aca="false">B6*(1+C5/100)</f>
        <v>4704202.23</v>
      </c>
      <c r="D6" s="0" t="n">
        <f aca="false">C6*(1+D5/100)</f>
        <v>4821807.28575</v>
      </c>
      <c r="E6" s="0" t="n">
        <f aca="false">D6*(1+E5/100)</f>
        <v>4966461.5043225</v>
      </c>
      <c r="F6" s="0" t="n">
        <f aca="false">E6*(1+F5/100)</f>
        <v>5115455.34945217</v>
      </c>
      <c r="G6" s="0" t="n">
        <f aca="false">F6*(1+G5/100)</f>
        <v>5243341.73318848</v>
      </c>
      <c r="H6" s="0" t="n">
        <f aca="false">G6*(1+H5/100)</f>
        <v>5374425.27651819</v>
      </c>
      <c r="I6" s="0" t="n">
        <f aca="false">H6*(1+I5/100)</f>
        <v>5508785.90843114</v>
      </c>
      <c r="J6" s="0" t="n">
        <f aca="false">I6*(1+J5/100)</f>
        <v>5618961.62659977</v>
      </c>
      <c r="K6" s="0" t="n">
        <f aca="false">J6*(1+K5/100)</f>
        <v>5731340.85913176</v>
      </c>
      <c r="L6" s="0" t="n">
        <f aca="false">K6*(1+L5/100)</f>
        <v>5845967.6763144</v>
      </c>
    </row>
    <row r="7" customFormat="false" ht="15" hidden="false" customHeight="false" outlineLevel="0" collapsed="false">
      <c r="A7" s="0" t="s">
        <v>108</v>
      </c>
      <c r="C7" s="4" t="n">
        <f aca="false">Assumptions!C28</f>
        <v>19.1</v>
      </c>
      <c r="D7" s="4" t="n">
        <f aca="false">Assumptions!D28</f>
        <v>19.4</v>
      </c>
      <c r="E7" s="4" t="n">
        <f aca="false">Assumptions!E28</f>
        <v>19.7</v>
      </c>
      <c r="F7" s="4" t="n">
        <f aca="false">Assumptions!F28</f>
        <v>19.8</v>
      </c>
      <c r="G7" s="4" t="n">
        <f aca="false">Assumptions!G28</f>
        <v>19.9</v>
      </c>
      <c r="H7" s="4" t="n">
        <f aca="false">Assumptions!H28</f>
        <v>19.9</v>
      </c>
      <c r="I7" s="4" t="n">
        <f aca="false">Assumptions!I28</f>
        <v>19.9</v>
      </c>
      <c r="J7" s="4" t="n">
        <f aca="false">Assumptions!J28</f>
        <v>19.9</v>
      </c>
      <c r="K7" s="4" t="n">
        <f aca="false">Assumptions!K28</f>
        <v>19.9</v>
      </c>
      <c r="L7" s="4" t="n">
        <f aca="false">Assumptions!L28</f>
        <v>19.9</v>
      </c>
    </row>
    <row r="8" customFormat="false" ht="15" hidden="false" customHeight="false" outlineLevel="0" collapsed="false">
      <c r="A8" s="0" t="s">
        <v>43</v>
      </c>
      <c r="C8" s="0" t="n">
        <f aca="false">C6*C7/100</f>
        <v>898502.62593</v>
      </c>
      <c r="D8" s="0" t="n">
        <f aca="false">D6*D7/100</f>
        <v>935430.6134355</v>
      </c>
      <c r="E8" s="0" t="n">
        <f aca="false">E6*E7/100</f>
        <v>978392.916351532</v>
      </c>
      <c r="F8" s="0" t="n">
        <f aca="false">F6*F7/100</f>
        <v>1012860.15919153</v>
      </c>
      <c r="G8" s="0" t="n">
        <f aca="false">G6*G7/100</f>
        <v>1043425.00490451</v>
      </c>
      <c r="H8" s="0" t="n">
        <f aca="false">H6*H7/100</f>
        <v>1069510.63002712</v>
      </c>
      <c r="I8" s="0" t="n">
        <f aca="false">I6*I7/100</f>
        <v>1096248.3957778</v>
      </c>
      <c r="J8" s="0" t="n">
        <f aca="false">J6*J7/100</f>
        <v>1118173.36369335</v>
      </c>
      <c r="K8" s="0" t="n">
        <f aca="false">K6*K7/100</f>
        <v>1140536.83096722</v>
      </c>
      <c r="L8" s="0" t="n">
        <f aca="false">L6*L7/100</f>
        <v>1163347.56758657</v>
      </c>
    </row>
    <row r="9" customFormat="false" ht="15" hidden="false" customHeight="false" outlineLevel="0" collapsed="false">
      <c r="A9" s="0" t="s">
        <v>109</v>
      </c>
      <c r="C9" s="4" t="n">
        <f aca="false">Assumptions!C29</f>
        <v>0.03</v>
      </c>
      <c r="D9" s="4" t="n">
        <f aca="false">Assumptions!D29</f>
        <v>0.03</v>
      </c>
      <c r="E9" s="4" t="n">
        <f aca="false">Assumptions!E29</f>
        <v>0.03</v>
      </c>
      <c r="F9" s="4" t="n">
        <f aca="false">Assumptions!F29</f>
        <v>0.03</v>
      </c>
      <c r="G9" s="4" t="n">
        <f aca="false">Assumptions!G29</f>
        <v>0.03</v>
      </c>
      <c r="H9" s="4" t="n">
        <f aca="false">Assumptions!H29</f>
        <v>0.03</v>
      </c>
      <c r="I9" s="4" t="n">
        <f aca="false">Assumptions!I29</f>
        <v>0.03</v>
      </c>
      <c r="J9" s="4" t="n">
        <f aca="false">Assumptions!J29</f>
        <v>0.03</v>
      </c>
      <c r="K9" s="4" t="n">
        <f aca="false">Assumptions!K29</f>
        <v>0.03</v>
      </c>
      <c r="L9" s="4" t="n">
        <f aca="false">Assumptions!L29</f>
        <v>0.03</v>
      </c>
    </row>
    <row r="10" customFormat="false" ht="15" hidden="false" customHeight="false" outlineLevel="0" collapsed="false">
      <c r="A10" s="0" t="s">
        <v>124</v>
      </c>
      <c r="C10" s="0" t="n">
        <f aca="false">-C6*C9/100</f>
        <v>-1411.260669</v>
      </c>
      <c r="D10" s="0" t="n">
        <f aca="false">-D6*D9/100</f>
        <v>-1446.542185725</v>
      </c>
      <c r="E10" s="0" t="n">
        <f aca="false">-E6*E9/100</f>
        <v>-1489.93845129675</v>
      </c>
      <c r="F10" s="0" t="n">
        <f aca="false">-F6*F9/100</f>
        <v>-1534.63660483565</v>
      </c>
      <c r="G10" s="0" t="n">
        <f aca="false">-G6*G9/100</f>
        <v>-1573.00251995654</v>
      </c>
      <c r="H10" s="0" t="n">
        <f aca="false">-H6*H9/100</f>
        <v>-1612.32758295546</v>
      </c>
      <c r="I10" s="0" t="n">
        <f aca="false">-I6*I9/100</f>
        <v>-1652.63577252934</v>
      </c>
      <c r="J10" s="0" t="n">
        <f aca="false">-J6*J9/100</f>
        <v>-1685.68848797993</v>
      </c>
      <c r="K10" s="0" t="n">
        <f aca="false">-K6*K9/100</f>
        <v>-1719.40225773953</v>
      </c>
      <c r="L10" s="0" t="n">
        <f aca="false">-L6*L9/100</f>
        <v>-1753.79030289432</v>
      </c>
    </row>
    <row r="11" customFormat="false" ht="15" hidden="false" customHeight="false" outlineLevel="0" collapsed="false">
      <c r="A11" s="0" t="s">
        <v>125</v>
      </c>
      <c r="C11" s="0" t="n">
        <f aca="false">C8+C10+C24</f>
        <v>809593.203783</v>
      </c>
      <c r="D11" s="0" t="n">
        <f aca="false">D8+D10+D24</f>
        <v>844298.455734825</v>
      </c>
      <c r="E11" s="0" t="n">
        <f aca="false">E8+E10+E24</f>
        <v>884526.793919837</v>
      </c>
      <c r="F11" s="0" t="n">
        <f aca="false">F8+F10+F24</f>
        <v>916178.053086884</v>
      </c>
      <c r="G11" s="0" t="n">
        <f aca="false">G8+G10+G24</f>
        <v>944325.846147245</v>
      </c>
      <c r="H11" s="0" t="n">
        <f aca="false">H8+H10+H24</f>
        <v>967933.992300926</v>
      </c>
      <c r="I11" s="0" t="n">
        <f aca="false">I8+I10+I24</f>
        <v>992132.342108449</v>
      </c>
      <c r="J11" s="0" t="n">
        <f aca="false">J8+J10+J24</f>
        <v>1011974.98895062</v>
      </c>
      <c r="K11" s="0" t="n">
        <f aca="false">K8+K10+K24</f>
        <v>1032214.48872963</v>
      </c>
      <c r="L11" s="0" t="n">
        <f aca="false">L8+L10+L24</f>
        <v>1052858.77850422</v>
      </c>
    </row>
    <row r="12" customFormat="false" ht="15" hidden="false" customHeight="false" outlineLevel="0" collapsed="false">
      <c r="A12" s="0" t="s">
        <v>126</v>
      </c>
      <c r="C12" s="4" t="n">
        <f aca="false">-C6*Assumptions!C31/100</f>
        <v>-294012.639375</v>
      </c>
      <c r="D12" s="4" t="n">
        <f aca="false">-D6*Assumptions!D31/100</f>
        <v>-303773.85900225</v>
      </c>
      <c r="E12" s="4" t="n">
        <f aca="false">-E6*Assumptions!E31/100</f>
        <v>-317853.53627664</v>
      </c>
      <c r="F12" s="4" t="n">
        <f aca="false">-F6*Assumptions!F31/100</f>
        <v>-327389.142364939</v>
      </c>
      <c r="G12" s="4" t="n">
        <f aca="false">-G6*Assumptions!G31/100</f>
        <v>-340817.212657251</v>
      </c>
      <c r="H12" s="4" t="n">
        <f aca="false">-H6*Assumptions!H31/100</f>
        <v>-349337.642973682</v>
      </c>
      <c r="I12" s="4" t="n">
        <f aca="false">-I6*Assumptions!I31/100</f>
        <v>-358071.084048024</v>
      </c>
      <c r="J12" s="4" t="n">
        <f aca="false">-J6*Assumptions!J31/100</f>
        <v>-365232.505728985</v>
      </c>
      <c r="K12" s="4" t="n">
        <f aca="false">-K6*Assumptions!K31/100</f>
        <v>-372537.155843565</v>
      </c>
      <c r="L12" s="4" t="n">
        <f aca="false">-L6*Assumptions!L31/100</f>
        <v>-379987.898960436</v>
      </c>
    </row>
    <row r="13" customFormat="false" ht="15" hidden="false" customHeight="false" outlineLevel="0" collapsed="false">
      <c r="A13" s="0" t="s">
        <v>127</v>
      </c>
      <c r="C13" s="0" t="n">
        <f aca="false">C11+C12</f>
        <v>515580.564408</v>
      </c>
      <c r="D13" s="0" t="n">
        <f aca="false">D11+D12</f>
        <v>540524.596732575</v>
      </c>
      <c r="E13" s="0" t="n">
        <f aca="false">E11+E12</f>
        <v>566673.257643197</v>
      </c>
      <c r="F13" s="0" t="n">
        <f aca="false">F11+F12</f>
        <v>588788.910721945</v>
      </c>
      <c r="G13" s="0" t="n">
        <f aca="false">G11+G12</f>
        <v>603508.633489994</v>
      </c>
      <c r="H13" s="0" t="n">
        <f aca="false">H11+H12</f>
        <v>618596.349327244</v>
      </c>
      <c r="I13" s="0" t="n">
        <f aca="false">I11+I12</f>
        <v>634061.258060425</v>
      </c>
      <c r="J13" s="0" t="n">
        <f aca="false">J11+J12</f>
        <v>646742.483221633</v>
      </c>
      <c r="K13" s="0" t="n">
        <f aca="false">K11+K12</f>
        <v>659677.332886066</v>
      </c>
      <c r="L13" s="0" t="n">
        <f aca="false">L11+L12</f>
        <v>672870.879543787</v>
      </c>
    </row>
    <row r="14" customFormat="false" ht="15" hidden="false" customHeight="false" outlineLevel="0" collapsed="false">
      <c r="A14" s="0" t="s">
        <v>113</v>
      </c>
      <c r="C14" s="4" t="n">
        <f aca="false">Assumptions!C33</f>
        <v>28</v>
      </c>
      <c r="D14" s="4" t="n">
        <f aca="false">Assumptions!D33</f>
        <v>28</v>
      </c>
      <c r="E14" s="4" t="n">
        <f aca="false">Assumptions!E33</f>
        <v>28</v>
      </c>
      <c r="F14" s="4" t="n">
        <f aca="false">Assumptions!F33</f>
        <v>28</v>
      </c>
      <c r="G14" s="4" t="n">
        <f aca="false">Assumptions!G33</f>
        <v>28</v>
      </c>
      <c r="H14" s="4" t="n">
        <f aca="false">Assumptions!H33</f>
        <v>28</v>
      </c>
      <c r="I14" s="4" t="n">
        <f aca="false">Assumptions!I33</f>
        <v>28</v>
      </c>
      <c r="J14" s="4" t="n">
        <f aca="false">Assumptions!J33</f>
        <v>28</v>
      </c>
      <c r="K14" s="4" t="n">
        <f aca="false">Assumptions!K33</f>
        <v>28</v>
      </c>
      <c r="L14" s="4" t="n">
        <f aca="false">Assumptions!L33</f>
        <v>28</v>
      </c>
    </row>
    <row r="15" customFormat="false" ht="15" hidden="false" customHeight="false" outlineLevel="0" collapsed="false">
      <c r="A15" s="0" t="s">
        <v>128</v>
      </c>
      <c r="C15" s="0" t="n">
        <f aca="false">C13-MAX(0,C13)*C14/100</f>
        <v>371218.00637376</v>
      </c>
      <c r="D15" s="0" t="n">
        <f aca="false">D13-MAX(0,D13)*D14/100</f>
        <v>389177.709647454</v>
      </c>
      <c r="E15" s="0" t="n">
        <f aca="false">E13-MAX(0,E13)*E14/100</f>
        <v>408004.745503102</v>
      </c>
      <c r="F15" s="0" t="n">
        <f aca="false">F13-MAX(0,F13)*F14/100</f>
        <v>423928.015719801</v>
      </c>
      <c r="G15" s="0" t="n">
        <f aca="false">G13-MAX(0,G13)*G14/100</f>
        <v>434526.216112796</v>
      </c>
      <c r="H15" s="0" t="n">
        <f aca="false">H13-MAX(0,H13)*H14/100</f>
        <v>445389.371515616</v>
      </c>
      <c r="I15" s="0" t="n">
        <f aca="false">I13-MAX(0,I13)*I14/100</f>
        <v>456524.105803506</v>
      </c>
      <c r="J15" s="0" t="n">
        <f aca="false">J13-MAX(0,J13)*J14/100</f>
        <v>465654.587919576</v>
      </c>
      <c r="K15" s="0" t="n">
        <f aca="false">K13-MAX(0,K13)*K14/100</f>
        <v>474967.679677967</v>
      </c>
      <c r="L15" s="0" t="n">
        <f aca="false">L13-MAX(0,L13)*L14/100</f>
        <v>484467.033271527</v>
      </c>
    </row>
    <row r="16" customFormat="false" ht="15" hidden="false" customHeight="false" outlineLevel="0" collapsed="false">
      <c r="A16" s="0" t="s">
        <v>129</v>
      </c>
      <c r="C16" s="0" t="n">
        <f aca="false">-C12</f>
        <v>294012.639375</v>
      </c>
      <c r="D16" s="0" t="n">
        <f aca="false">-D12</f>
        <v>303773.85900225</v>
      </c>
      <c r="E16" s="0" t="n">
        <f aca="false">-E12</f>
        <v>317853.53627664</v>
      </c>
      <c r="F16" s="0" t="n">
        <f aca="false">-F12</f>
        <v>327389.142364939</v>
      </c>
      <c r="G16" s="0" t="n">
        <f aca="false">-G12</f>
        <v>340817.212657251</v>
      </c>
      <c r="H16" s="0" t="n">
        <f aca="false">-H12</f>
        <v>349337.642973682</v>
      </c>
      <c r="I16" s="0" t="n">
        <f aca="false">-I12</f>
        <v>358071.084048024</v>
      </c>
      <c r="J16" s="0" t="n">
        <f aca="false">-J12</f>
        <v>365232.505728985</v>
      </c>
      <c r="K16" s="0" t="n">
        <f aca="false">-K12</f>
        <v>372537.155843565</v>
      </c>
      <c r="L16" s="0" t="n">
        <f aca="false">-L12</f>
        <v>379987.898960436</v>
      </c>
    </row>
    <row r="17" customFormat="false" ht="15" hidden="false" customHeight="false" outlineLevel="0" collapsed="false">
      <c r="A17" s="0" t="s">
        <v>130</v>
      </c>
      <c r="C17" s="4" t="n">
        <f aca="false">-C6*Assumptions!C32/100</f>
        <v>-329294.1561</v>
      </c>
      <c r="D17" s="4" t="n">
        <f aca="false">-D6*Assumptions!D32/100</f>
        <v>-337526.5100025</v>
      </c>
      <c r="E17" s="4" t="n">
        <f aca="false">-E6*Assumptions!E32/100</f>
        <v>-337719.38229393</v>
      </c>
      <c r="F17" s="4" t="n">
        <f aca="false">-F6*Assumptions!F32/100</f>
        <v>-342735.508413296</v>
      </c>
      <c r="G17" s="4" t="n">
        <f aca="false">-G6*Assumptions!G32/100</f>
        <v>-346060.55439044</v>
      </c>
      <c r="H17" s="4" t="n">
        <f aca="false">-H6*Assumptions!H32/100</f>
        <v>-349337.642973682</v>
      </c>
      <c r="I17" s="4" t="n">
        <f aca="false">-I6*Assumptions!I32/100</f>
        <v>-358071.084048024</v>
      </c>
      <c r="J17" s="4" t="n">
        <f aca="false">-J6*Assumptions!J32/100</f>
        <v>-365232.505728985</v>
      </c>
      <c r="K17" s="4" t="n">
        <f aca="false">-K6*Assumptions!K32/100</f>
        <v>-372537.155843565</v>
      </c>
      <c r="L17" s="4" t="n">
        <f aca="false">-L6*Assumptions!L32/100</f>
        <v>-379987.898960436</v>
      </c>
    </row>
    <row r="18" customFormat="false" ht="15" hidden="false" customHeight="false" outlineLevel="0" collapsed="false">
      <c r="A18" s="0" t="s">
        <v>131</v>
      </c>
      <c r="C18" s="4" t="n">
        <f aca="false">(C6-B6)*Assumptions!$B$37/100</f>
        <v>-10428.0344999999</v>
      </c>
      <c r="D18" s="4" t="n">
        <f aca="false">(D6-C6)*Assumptions!$B$37/100</f>
        <v>-17640.7583624999</v>
      </c>
      <c r="E18" s="4" t="n">
        <f aca="false">(E6-D6)*Assumptions!$B$37/100</f>
        <v>-21698.132785875</v>
      </c>
      <c r="F18" s="4" t="n">
        <f aca="false">(F6-E6)*Assumptions!$B$37/100</f>
        <v>-22349.0767694513</v>
      </c>
      <c r="G18" s="4" t="n">
        <f aca="false">(G6-F6)*Assumptions!$B$37/100</f>
        <v>-19182.9575604456</v>
      </c>
      <c r="H18" s="4" t="n">
        <f aca="false">(H6-G6)*Assumptions!$B$37/100</f>
        <v>-19662.5314994567</v>
      </c>
      <c r="I18" s="4" t="n">
        <f aca="false">(I6-H6)*Assumptions!$B$37/100</f>
        <v>-20154.0947869431</v>
      </c>
      <c r="J18" s="4" t="n">
        <f aca="false">(J6-I6)*Assumptions!$B$37/100</f>
        <v>-16526.3577252934</v>
      </c>
      <c r="K18" s="4" t="n">
        <f aca="false">(K6-J6)*Assumptions!$B$37/100</f>
        <v>-16856.8848797993</v>
      </c>
      <c r="L18" s="4" t="n">
        <f aca="false">(L6-K6)*Assumptions!$B$37/100</f>
        <v>-17194.0225773952</v>
      </c>
    </row>
    <row r="19" customFormat="false" ht="15" hidden="false" customHeight="false" outlineLevel="0" collapsed="false">
      <c r="A19" s="0" t="s">
        <v>132</v>
      </c>
      <c r="C19" s="0" t="n">
        <f aca="false">C15+C16+C17+C18</f>
        <v>325508.45514876</v>
      </c>
      <c r="D19" s="0" t="n">
        <f aca="false">D15+D16+D17+D18</f>
        <v>337784.300284704</v>
      </c>
      <c r="E19" s="0" t="n">
        <f aca="false">E15+E16+E17+E18</f>
        <v>366440.766699937</v>
      </c>
      <c r="F19" s="0" t="n">
        <f aca="false">F15+F16+F17+F18</f>
        <v>386232.572901993</v>
      </c>
      <c r="G19" s="0" t="n">
        <f aca="false">G15+G16+G17+G18</f>
        <v>410099.916819161</v>
      </c>
      <c r="H19" s="0" t="n">
        <f aca="false">H15+H16+H17+H18</f>
        <v>425726.840016159</v>
      </c>
      <c r="I19" s="0" t="n">
        <f aca="false">I15+I16+I17+I18</f>
        <v>436370.011016563</v>
      </c>
      <c r="J19" s="0" t="n">
        <f aca="false">J15+J16+J17+J18</f>
        <v>449128.230194283</v>
      </c>
      <c r="K19" s="0" t="n">
        <f aca="false">K15+K16+K17+K18</f>
        <v>458110.794798168</v>
      </c>
      <c r="L19" s="0" t="n">
        <f aca="false">L15+L16+L17+L18</f>
        <v>467273.010694131</v>
      </c>
    </row>
    <row r="20" customFormat="false" ht="15" hidden="false" customHeight="false" outlineLevel="0" collapsed="false">
      <c r="A20" s="0" t="s">
        <v>133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134</v>
      </c>
      <c r="C21" s="0" t="n">
        <f aca="false">C19*C20</f>
        <v>302798.562929079</v>
      </c>
      <c r="D21" s="0" t="n">
        <f aca="false">D19*D20</f>
        <v>292295.770933222</v>
      </c>
      <c r="E21" s="0" t="n">
        <f aca="false">E19*E20</f>
        <v>294970.368254317</v>
      </c>
      <c r="F21" s="0" t="n">
        <f aca="false">F19*F20</f>
        <v>289211.155205905</v>
      </c>
      <c r="G21" s="0" t="n">
        <f aca="false">G19*G20</f>
        <v>285658.637186452</v>
      </c>
      <c r="H21" s="0" t="n">
        <f aca="false">H19*H20</f>
        <v>275854.609708272</v>
      </c>
      <c r="I21" s="0" t="n">
        <f aca="false">I19*I20</f>
        <v>263024.162745096</v>
      </c>
      <c r="J21" s="0" t="n">
        <f aca="false">J19*J20</f>
        <v>251827.20174995</v>
      </c>
      <c r="K21" s="0" t="n">
        <f aca="false">K19*K20</f>
        <v>238943.019334836</v>
      </c>
      <c r="L21" s="0" t="n">
        <f aca="false">L19*L20</f>
        <v>226718.027647938</v>
      </c>
    </row>
    <row r="23" customFormat="false" ht="15" hidden="false" customHeight="false" outlineLevel="0" collapsed="false">
      <c r="A23" s="0" t="s">
        <v>110</v>
      </c>
      <c r="C23" s="4" t="n">
        <f aca="false">Assumptions!C30</f>
        <v>1.86</v>
      </c>
      <c r="D23" s="4" t="n">
        <f aca="false">Assumptions!D30</f>
        <v>1.86</v>
      </c>
      <c r="E23" s="4" t="n">
        <f aca="false">Assumptions!E30</f>
        <v>1.86</v>
      </c>
      <c r="F23" s="4" t="n">
        <f aca="false">Assumptions!F30</f>
        <v>1.86</v>
      </c>
      <c r="G23" s="4" t="n">
        <f aca="false">Assumptions!G30</f>
        <v>1.86</v>
      </c>
      <c r="H23" s="4" t="n">
        <f aca="false">Assumptions!H30</f>
        <v>1.86</v>
      </c>
      <c r="I23" s="4" t="n">
        <f aca="false">Assumptions!I30</f>
        <v>1.86</v>
      </c>
      <c r="J23" s="4" t="n">
        <f aca="false">Assumptions!J30</f>
        <v>1.86</v>
      </c>
      <c r="K23" s="4" t="n">
        <f aca="false">Assumptions!K30</f>
        <v>1.86</v>
      </c>
      <c r="L23" s="4" t="n">
        <f aca="false">Assumptions!L30</f>
        <v>1.86</v>
      </c>
    </row>
    <row r="24" customFormat="false" ht="15" hidden="false" customHeight="false" outlineLevel="0" collapsed="false">
      <c r="A24" s="0" t="s">
        <v>135</v>
      </c>
      <c r="C24" s="0" t="n">
        <f aca="false">-C6*C23/100</f>
        <v>-87498.161478</v>
      </c>
      <c r="D24" s="0" t="n">
        <f aca="false">-D6*D23/100</f>
        <v>-89685.61551495</v>
      </c>
      <c r="E24" s="0" t="n">
        <f aca="false">-E6*E23/100</f>
        <v>-92376.1839803985</v>
      </c>
      <c r="F24" s="0" t="n">
        <f aca="false">-F6*F23/100</f>
        <v>-95147.4694998105</v>
      </c>
      <c r="G24" s="0" t="n">
        <f aca="false">-G6*G23/100</f>
        <v>-97526.1562373057</v>
      </c>
      <c r="H24" s="0" t="n">
        <f aca="false">-H6*H23/100</f>
        <v>-99964.3101432383</v>
      </c>
      <c r="I24" s="0" t="n">
        <f aca="false">-I6*I23/100</f>
        <v>-102463.417896819</v>
      </c>
      <c r="J24" s="0" t="n">
        <f aca="false">-J6*J23/100</f>
        <v>-104512.686254756</v>
      </c>
      <c r="K24" s="0" t="n">
        <f aca="false">-K6*K23/100</f>
        <v>-106602.939979851</v>
      </c>
      <c r="L24" s="0" t="n">
        <f aca="false">-L6*L23/100</f>
        <v>-108734.998779448</v>
      </c>
    </row>
    <row r="26" customFormat="false" ht="15" hidden="false" customHeight="false" outlineLevel="0" collapsed="false">
      <c r="A26" s="2" t="s">
        <v>136</v>
      </c>
    </row>
    <row r="27" customFormat="false" ht="15" hidden="false" customHeight="false" outlineLevel="0" collapsed="false">
      <c r="A27" s="0" t="s">
        <v>114</v>
      </c>
      <c r="B27" s="4" t="n">
        <f aca="false">Assumptions!$B$34</f>
        <v>7.5</v>
      </c>
    </row>
    <row r="28" customFormat="false" ht="15" hidden="false" customHeight="false" outlineLevel="0" collapsed="false">
      <c r="A28" s="0" t="s">
        <v>115</v>
      </c>
      <c r="B28" s="4" t="n">
        <f aca="false">Assumptions!$B$35</f>
        <v>2</v>
      </c>
    </row>
    <row r="29" customFormat="false" ht="15" hidden="false" customHeight="false" outlineLevel="0" collapsed="false">
      <c r="A29" s="0" t="s">
        <v>116</v>
      </c>
      <c r="B29" s="4" t="n">
        <f aca="false">Assumptions!$B$36</f>
        <v>15</v>
      </c>
    </row>
    <row r="30" customFormat="false" ht="15" hidden="false" customHeight="false" outlineLevel="0" collapsed="false">
      <c r="A30" s="0" t="s">
        <v>137</v>
      </c>
      <c r="B30" s="0" t="n">
        <f aca="false">SUM(C21:L21)</f>
        <v>2721301.51569507</v>
      </c>
    </row>
    <row r="31" customFormat="false" ht="15" hidden="false" customHeight="false" outlineLevel="0" collapsed="false">
      <c r="A31" s="0" t="s">
        <v>138</v>
      </c>
      <c r="B31" s="0" t="n">
        <f aca="false">L19</f>
        <v>467273.010694131</v>
      </c>
    </row>
    <row r="32" customFormat="false" ht="15" hidden="false" customHeight="false" outlineLevel="0" collapsed="false">
      <c r="A32" s="0" t="s">
        <v>139</v>
      </c>
      <c r="B32" s="0" t="n">
        <f aca="false">IF(B27&gt;B28,B31*(1+B28/100)/((B27-B28)/100),B31*B29)</f>
        <v>8665790.38014571</v>
      </c>
    </row>
    <row r="33" customFormat="false" ht="15" hidden="false" customHeight="false" outlineLevel="0" collapsed="false">
      <c r="A33" s="0" t="s">
        <v>140</v>
      </c>
      <c r="B33" s="0" t="n">
        <f aca="false">B31*B29</f>
        <v>7009095.16041197</v>
      </c>
    </row>
    <row r="34" customFormat="false" ht="15" hidden="false" customHeight="false" outlineLevel="0" collapsed="false">
      <c r="A34" s="0" t="s">
        <v>141</v>
      </c>
      <c r="B34" s="0" t="n">
        <f aca="false">MAX(0,MIN(B32,B33))</f>
        <v>7009095.16041197</v>
      </c>
    </row>
    <row r="35" customFormat="false" ht="15" hidden="false" customHeight="false" outlineLevel="0" collapsed="false">
      <c r="A35" s="0" t="s">
        <v>142</v>
      </c>
      <c r="B35" s="0" t="n">
        <f aca="false">B34/(1+B27/100)^L4</f>
        <v>3400770.41471907</v>
      </c>
    </row>
    <row r="36" customFormat="false" ht="15" hidden="false" customHeight="false" outlineLevel="0" collapsed="false">
      <c r="A36" s="0" t="s">
        <v>143</v>
      </c>
      <c r="B36" s="0" t="n">
        <f aca="false">B30+B35</f>
        <v>6122071.93041414</v>
      </c>
    </row>
    <row r="37" customFormat="false" ht="15" hidden="false" customHeight="false" outlineLevel="0" collapsed="false">
      <c r="A37" s="0" t="s">
        <v>144</v>
      </c>
      <c r="B37" s="0" t="n">
        <f aca="false">B36+Assumptions!$B$5-Assumptions!$B$4</f>
        <v>6356698.93041414</v>
      </c>
    </row>
    <row r="38" customFormat="false" ht="15" hidden="false" customHeight="false" outlineLevel="0" collapsed="false">
      <c r="A38" s="0" t="s">
        <v>145</v>
      </c>
      <c r="B38" s="0" t="n">
        <f aca="false">B37/Assumptions!$B$3*Assumptions!$B$10</f>
        <v>5107.42321260978</v>
      </c>
    </row>
    <row r="39" customFormat="false" ht="15" hidden="false" customHeight="false" outlineLevel="0" collapsed="false">
      <c r="A39" s="0" t="s">
        <v>146</v>
      </c>
      <c r="B39" s="4" t="n">
        <f aca="false">B38/Assumptions!$B$2-1</f>
        <v>0.281019115277096</v>
      </c>
    </row>
    <row r="41" customFormat="false" ht="15" hidden="false" customHeight="false" outlineLevel="0" collapsed="false">
      <c r="A41" s="0" t="s">
        <v>147</v>
      </c>
      <c r="B41" s="0" t="n">
        <f aca="false">SUMPRODUCT(-C10:L10/(1+$B$27/100)^C4:L4)</f>
        <v>10742.4776892248</v>
      </c>
    </row>
    <row r="42" customFormat="false" ht="15" hidden="false" customHeight="false" outlineLevel="0" collapsed="false">
      <c r="A42" s="0" t="s">
        <v>148</v>
      </c>
      <c r="B42" s="0" t="n">
        <f aca="false">IF(B27&gt;B28,-L10*(1+B28/100)/((B27-B28)/100),-L10*20)/(1+B27/100)^L4</f>
        <v>15780.8540837796</v>
      </c>
    </row>
    <row r="43" customFormat="false" ht="15" hidden="false" customHeight="false" outlineLevel="0" collapsed="false">
      <c r="A43" s="0" t="s">
        <v>149</v>
      </c>
      <c r="B43" s="0" t="n">
        <f aca="false">(B37+B41+B42)/Assumptions!$B$3*Assumptions!$B$10</f>
        <v>5128.73394037212</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3666295.93006165</v>
      </c>
    </row>
    <row r="47" customFormat="false" ht="15" hidden="false" customHeight="false" outlineLevel="0" collapsed="false">
      <c r="A47" s="0" t="s">
        <v>151</v>
      </c>
      <c r="B47" s="0" t="n">
        <f aca="false">(SUMPRODUCT(C19:L19/(1+B45/100)^C4:L4)+B46/(1+B45/100)^L4+Assumptions!$B$5-Assumptions!$B$4)/Assumptions!$B$3*Assumptions!$B$10</f>
        <v>2479.23392044068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4</v>
      </c>
      <c r="D5" s="4" t="n">
        <f aca="false">Assumptions!D41</f>
        <v>5</v>
      </c>
      <c r="E5" s="4" t="n">
        <f aca="false">Assumptions!E41</f>
        <v>5</v>
      </c>
      <c r="F5" s="4" t="n">
        <f aca="false">Assumptions!F41</f>
        <v>4.5</v>
      </c>
      <c r="G5" s="4" t="n">
        <f aca="false">Assumptions!G41</f>
        <v>4</v>
      </c>
      <c r="H5" s="4" t="n">
        <f aca="false">Assumptions!H41</f>
        <v>3.5</v>
      </c>
      <c r="I5" s="4" t="n">
        <f aca="false">Assumptions!I41</f>
        <v>3</v>
      </c>
      <c r="J5" s="4" t="n">
        <f aca="false">Assumptions!J41</f>
        <v>3</v>
      </c>
      <c r="K5" s="4" t="n">
        <f aca="false">Assumptions!K41</f>
        <v>2.5</v>
      </c>
      <c r="L5" s="4" t="n">
        <f aca="false">Assumptions!L41</f>
        <v>2.5</v>
      </c>
    </row>
    <row r="6" customFormat="false" ht="15" hidden="false" customHeight="false" outlineLevel="0" collapsed="false">
      <c r="A6" s="0" t="s">
        <v>37</v>
      </c>
      <c r="B6" s="3" t="n">
        <v>4634682</v>
      </c>
      <c r="C6" s="0" t="n">
        <f aca="false">B6*(1+C5/100)</f>
        <v>4820069.28</v>
      </c>
      <c r="D6" s="0" t="n">
        <f aca="false">C6*(1+D5/100)</f>
        <v>5061072.744</v>
      </c>
      <c r="E6" s="0" t="n">
        <f aca="false">D6*(1+E5/100)</f>
        <v>5314126.3812</v>
      </c>
      <c r="F6" s="0" t="n">
        <f aca="false">E6*(1+F5/100)</f>
        <v>5553262.068354</v>
      </c>
      <c r="G6" s="0" t="n">
        <f aca="false">F6*(1+G5/100)</f>
        <v>5775392.55108816</v>
      </c>
      <c r="H6" s="0" t="n">
        <f aca="false">G6*(1+H5/100)</f>
        <v>5977531.29037625</v>
      </c>
      <c r="I6" s="0" t="n">
        <f aca="false">H6*(1+I5/100)</f>
        <v>6156857.22908753</v>
      </c>
      <c r="J6" s="0" t="n">
        <f aca="false">I6*(1+J5/100)</f>
        <v>6341562.94596016</v>
      </c>
      <c r="K6" s="0" t="n">
        <f aca="false">J6*(1+K5/100)</f>
        <v>6500102.01960916</v>
      </c>
      <c r="L6" s="0" t="n">
        <f aca="false">K6*(1+L5/100)</f>
        <v>6662604.57009939</v>
      </c>
    </row>
    <row r="7" customFormat="false" ht="15" hidden="false" customHeight="false" outlineLevel="0" collapsed="false">
      <c r="A7" s="0" t="s">
        <v>108</v>
      </c>
      <c r="C7" s="4" t="n">
        <f aca="false">Assumptions!C42</f>
        <v>19.5</v>
      </c>
      <c r="D7" s="4" t="n">
        <f aca="false">Assumptions!D42</f>
        <v>20</v>
      </c>
      <c r="E7" s="4" t="n">
        <f aca="false">Assumptions!E42</f>
        <v>20.5</v>
      </c>
      <c r="F7" s="4" t="n">
        <f aca="false">Assumptions!F42</f>
        <v>20.9</v>
      </c>
      <c r="G7" s="4" t="n">
        <f aca="false">Assumptions!G42</f>
        <v>21.4</v>
      </c>
      <c r="H7" s="4" t="n">
        <f aca="false">Assumptions!H42</f>
        <v>21.4</v>
      </c>
      <c r="I7" s="4" t="n">
        <f aca="false">Assumptions!I42</f>
        <v>21.4</v>
      </c>
      <c r="J7" s="4" t="n">
        <f aca="false">Assumptions!J42</f>
        <v>21.4</v>
      </c>
      <c r="K7" s="4" t="n">
        <f aca="false">Assumptions!K42</f>
        <v>21.4</v>
      </c>
      <c r="L7" s="4" t="n">
        <f aca="false">Assumptions!L42</f>
        <v>21.4</v>
      </c>
    </row>
    <row r="8" customFormat="false" ht="15" hidden="false" customHeight="false" outlineLevel="0" collapsed="false">
      <c r="A8" s="0" t="s">
        <v>43</v>
      </c>
      <c r="C8" s="0" t="n">
        <f aca="false">C6*C7/100</f>
        <v>939913.5096</v>
      </c>
      <c r="D8" s="0" t="n">
        <f aca="false">D6*D7/100</f>
        <v>1012214.5488</v>
      </c>
      <c r="E8" s="0" t="n">
        <f aca="false">E6*E7/100</f>
        <v>1089395.908146</v>
      </c>
      <c r="F8" s="0" t="n">
        <f aca="false">F6*F7/100</f>
        <v>1160631.77228599</v>
      </c>
      <c r="G8" s="0" t="n">
        <f aca="false">G6*G7/100</f>
        <v>1235934.00593287</v>
      </c>
      <c r="H8" s="0" t="n">
        <f aca="false">H6*H7/100</f>
        <v>1279191.69614052</v>
      </c>
      <c r="I8" s="0" t="n">
        <f aca="false">I6*I7/100</f>
        <v>1317567.44702473</v>
      </c>
      <c r="J8" s="0" t="n">
        <f aca="false">J6*J7/100</f>
        <v>1357094.47043547</v>
      </c>
      <c r="K8" s="0" t="n">
        <f aca="false">K6*K7/100</f>
        <v>1391021.83219636</v>
      </c>
      <c r="L8" s="0" t="n">
        <f aca="false">L6*L7/100</f>
        <v>1425797.37800127</v>
      </c>
    </row>
    <row r="9" customFormat="false" ht="15" hidden="false" customHeight="false" outlineLevel="0" collapsed="false">
      <c r="A9" s="0" t="s">
        <v>109</v>
      </c>
      <c r="C9" s="4" t="n">
        <f aca="false">Assumptions!C43</f>
        <v>0.03</v>
      </c>
      <c r="D9" s="4" t="n">
        <f aca="false">Assumptions!D43</f>
        <v>0.03</v>
      </c>
      <c r="E9" s="4" t="n">
        <f aca="false">Assumptions!E43</f>
        <v>0.03</v>
      </c>
      <c r="F9" s="4" t="n">
        <f aca="false">Assumptions!F43</f>
        <v>0.03</v>
      </c>
      <c r="G9" s="4" t="n">
        <f aca="false">Assumptions!G43</f>
        <v>0.03</v>
      </c>
      <c r="H9" s="4" t="n">
        <f aca="false">Assumptions!H43</f>
        <v>0.03</v>
      </c>
      <c r="I9" s="4" t="n">
        <f aca="false">Assumptions!I43</f>
        <v>0.03</v>
      </c>
      <c r="J9" s="4" t="n">
        <f aca="false">Assumptions!J43</f>
        <v>0.03</v>
      </c>
      <c r="K9" s="4" t="n">
        <f aca="false">Assumptions!K43</f>
        <v>0.03</v>
      </c>
      <c r="L9" s="4" t="n">
        <f aca="false">Assumptions!L43</f>
        <v>0.03</v>
      </c>
    </row>
    <row r="10" customFormat="false" ht="15" hidden="false" customHeight="false" outlineLevel="0" collapsed="false">
      <c r="A10" s="0" t="s">
        <v>124</v>
      </c>
      <c r="C10" s="0" t="n">
        <f aca="false">-C6*C9/100</f>
        <v>-1446.020784</v>
      </c>
      <c r="D10" s="0" t="n">
        <f aca="false">-D6*D9/100</f>
        <v>-1518.3218232</v>
      </c>
      <c r="E10" s="0" t="n">
        <f aca="false">-E6*E9/100</f>
        <v>-1594.23791436</v>
      </c>
      <c r="F10" s="0" t="n">
        <f aca="false">-F6*F9/100</f>
        <v>-1665.9786205062</v>
      </c>
      <c r="G10" s="0" t="n">
        <f aca="false">-G6*G9/100</f>
        <v>-1732.61776532645</v>
      </c>
      <c r="H10" s="0" t="n">
        <f aca="false">-H6*H9/100</f>
        <v>-1793.25938711287</v>
      </c>
      <c r="I10" s="0" t="n">
        <f aca="false">-I6*I9/100</f>
        <v>-1847.05716872626</v>
      </c>
      <c r="J10" s="0" t="n">
        <f aca="false">-J6*J9/100</f>
        <v>-1902.46888378805</v>
      </c>
      <c r="K10" s="0" t="n">
        <f aca="false">-K6*K9/100</f>
        <v>-1950.03060588275</v>
      </c>
      <c r="L10" s="0" t="n">
        <f aca="false">-L6*L9/100</f>
        <v>-1998.78137102982</v>
      </c>
    </row>
    <row r="11" customFormat="false" ht="15" hidden="false" customHeight="false" outlineLevel="0" collapsed="false">
      <c r="A11" s="0" t="s">
        <v>125</v>
      </c>
      <c r="C11" s="0" t="n">
        <f aca="false">C8+C10+C24</f>
        <v>848814.200208</v>
      </c>
      <c r="D11" s="0" t="n">
        <f aca="false">D8+D10+D24</f>
        <v>916560.2739384</v>
      </c>
      <c r="E11" s="0" t="n">
        <f aca="false">E8+E10+E24</f>
        <v>988958.919541321</v>
      </c>
      <c r="F11" s="0" t="n">
        <f aca="false">F8+F10+F24</f>
        <v>1055675.1191941</v>
      </c>
      <c r="G11" s="0" t="n">
        <f aca="false">G8+G10+G24</f>
        <v>1126779.0867173</v>
      </c>
      <c r="H11" s="0" t="n">
        <f aca="false">H8+H10+H24</f>
        <v>1166216.35475241</v>
      </c>
      <c r="I11" s="0" t="n">
        <f aca="false">I8+I10+I24</f>
        <v>1201202.84539498</v>
      </c>
      <c r="J11" s="0" t="n">
        <f aca="false">J8+J10+J24</f>
        <v>1237238.93075683</v>
      </c>
      <c r="K11" s="0" t="n">
        <f aca="false">K8+K10+K24</f>
        <v>1268169.90402575</v>
      </c>
      <c r="L11" s="0" t="n">
        <f aca="false">L8+L10+L24</f>
        <v>1299874.15162639</v>
      </c>
    </row>
    <row r="12" customFormat="false" ht="15" hidden="false" customHeight="false" outlineLevel="0" collapsed="false">
      <c r="A12" s="0" t="s">
        <v>126</v>
      </c>
      <c r="C12" s="4" t="n">
        <f aca="false">-C6*Assumptions!C45/100</f>
        <v>-301254.33</v>
      </c>
      <c r="D12" s="4" t="n">
        <f aca="false">-D6*Assumptions!D45/100</f>
        <v>-318847.582872</v>
      </c>
      <c r="E12" s="4" t="n">
        <f aca="false">-E6*Assumptions!E45/100</f>
        <v>-340104.0883968</v>
      </c>
      <c r="F12" s="4" t="n">
        <f aca="false">-F6*Assumptions!F45/100</f>
        <v>-355408.772374656</v>
      </c>
      <c r="G12" s="4" t="n">
        <f aca="false">-G6*Assumptions!G45/100</f>
        <v>-375400.515820731</v>
      </c>
      <c r="H12" s="4" t="n">
        <f aca="false">-H6*Assumptions!H45/100</f>
        <v>-388539.533874456</v>
      </c>
      <c r="I12" s="4" t="n">
        <f aca="false">-I6*Assumptions!I45/100</f>
        <v>-400195.71989069</v>
      </c>
      <c r="J12" s="4" t="n">
        <f aca="false">-J6*Assumptions!J45/100</f>
        <v>-412201.59148741</v>
      </c>
      <c r="K12" s="4" t="n">
        <f aca="false">-K6*Assumptions!K45/100</f>
        <v>-422506.631274596</v>
      </c>
      <c r="L12" s="4" t="n">
        <f aca="false">-L6*Assumptions!L45/100</f>
        <v>-433069.29705646</v>
      </c>
    </row>
    <row r="13" customFormat="false" ht="15" hidden="false" customHeight="false" outlineLevel="0" collapsed="false">
      <c r="A13" s="0" t="s">
        <v>127</v>
      </c>
      <c r="C13" s="0" t="n">
        <f aca="false">C11+C12</f>
        <v>547559.870208</v>
      </c>
      <c r="D13" s="0" t="n">
        <f aca="false">D11+D12</f>
        <v>597712.6910664</v>
      </c>
      <c r="E13" s="0" t="n">
        <f aca="false">E11+E12</f>
        <v>648854.83114452</v>
      </c>
      <c r="F13" s="0" t="n">
        <f aca="false">F11+F12</f>
        <v>700266.34681944</v>
      </c>
      <c r="G13" s="0" t="n">
        <f aca="false">G11+G12</f>
        <v>751378.57089657</v>
      </c>
      <c r="H13" s="0" t="n">
        <f aca="false">H11+H12</f>
        <v>777676.82087795</v>
      </c>
      <c r="I13" s="0" t="n">
        <f aca="false">I11+I12</f>
        <v>801007.125504288</v>
      </c>
      <c r="J13" s="0" t="n">
        <f aca="false">J11+J12</f>
        <v>825037.339269417</v>
      </c>
      <c r="K13" s="0" t="n">
        <f aca="false">K11+K12</f>
        <v>845663.272751152</v>
      </c>
      <c r="L13" s="0" t="n">
        <f aca="false">L11+L12</f>
        <v>866804.854569931</v>
      </c>
    </row>
    <row r="14" customFormat="false" ht="15" hidden="false" customHeight="false" outlineLevel="0" collapsed="false">
      <c r="A14" s="0" t="s">
        <v>113</v>
      </c>
      <c r="C14" s="4" t="n">
        <f aca="false">Assumptions!C47</f>
        <v>28</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128</v>
      </c>
      <c r="C15" s="0" t="n">
        <f aca="false">C13-MAX(0,C13)*C14/100</f>
        <v>394243.10654976</v>
      </c>
      <c r="D15" s="0" t="n">
        <f aca="false">D13-MAX(0,D13)*D14/100</f>
        <v>430353.137567808</v>
      </c>
      <c r="E15" s="0" t="n">
        <f aca="false">E13-MAX(0,E13)*E14/100</f>
        <v>467175.478424055</v>
      </c>
      <c r="F15" s="0" t="n">
        <f aca="false">F13-MAX(0,F13)*F14/100</f>
        <v>504191.769709997</v>
      </c>
      <c r="G15" s="0" t="n">
        <f aca="false">G13-MAX(0,G13)*G14/100</f>
        <v>540992.57104553</v>
      </c>
      <c r="H15" s="0" t="n">
        <f aca="false">H13-MAX(0,H13)*H14/100</f>
        <v>559927.311032124</v>
      </c>
      <c r="I15" s="0" t="n">
        <f aca="false">I13-MAX(0,I13)*I14/100</f>
        <v>576725.130363087</v>
      </c>
      <c r="J15" s="0" t="n">
        <f aca="false">J13-MAX(0,J13)*J14/100</f>
        <v>594026.88427398</v>
      </c>
      <c r="K15" s="0" t="n">
        <f aca="false">K13-MAX(0,K13)*K14/100</f>
        <v>608877.55638083</v>
      </c>
      <c r="L15" s="0" t="n">
        <f aca="false">L13-MAX(0,L13)*L14/100</f>
        <v>624099.49529035</v>
      </c>
    </row>
    <row r="16" customFormat="false" ht="15" hidden="false" customHeight="false" outlineLevel="0" collapsed="false">
      <c r="A16" s="0" t="s">
        <v>129</v>
      </c>
      <c r="C16" s="0" t="n">
        <f aca="false">-C12</f>
        <v>301254.33</v>
      </c>
      <c r="D16" s="0" t="n">
        <f aca="false">-D12</f>
        <v>318847.582872</v>
      </c>
      <c r="E16" s="0" t="n">
        <f aca="false">-E12</f>
        <v>340104.0883968</v>
      </c>
      <c r="F16" s="0" t="n">
        <f aca="false">-F12</f>
        <v>355408.772374656</v>
      </c>
      <c r="G16" s="0" t="n">
        <f aca="false">-G12</f>
        <v>375400.515820731</v>
      </c>
      <c r="H16" s="0" t="n">
        <f aca="false">-H12</f>
        <v>388539.533874456</v>
      </c>
      <c r="I16" s="0" t="n">
        <f aca="false">-I12</f>
        <v>400195.71989069</v>
      </c>
      <c r="J16" s="0" t="n">
        <f aca="false">-J12</f>
        <v>412201.59148741</v>
      </c>
      <c r="K16" s="0" t="n">
        <f aca="false">-K12</f>
        <v>422506.631274596</v>
      </c>
      <c r="L16" s="0" t="n">
        <f aca="false">-L12</f>
        <v>433069.29705646</v>
      </c>
    </row>
    <row r="17" customFormat="false" ht="15" hidden="false" customHeight="false" outlineLevel="0" collapsed="false">
      <c r="A17" s="0" t="s">
        <v>130</v>
      </c>
      <c r="C17" s="4" t="n">
        <f aca="false">-C6*Assumptions!C46/100</f>
        <v>-347044.98816</v>
      </c>
      <c r="D17" s="4" t="n">
        <f aca="false">-D6*Assumptions!D46/100</f>
        <v>-364397.237568</v>
      </c>
      <c r="E17" s="4" t="n">
        <f aca="false">-E6*Assumptions!E46/100</f>
        <v>-371988.846684</v>
      </c>
      <c r="F17" s="4" t="n">
        <f aca="false">-F6*Assumptions!F46/100</f>
        <v>-388728.34478478</v>
      </c>
      <c r="G17" s="4" t="n">
        <f aca="false">-G6*Assumptions!G46/100</f>
        <v>-392726.693473995</v>
      </c>
      <c r="H17" s="4" t="n">
        <f aca="false">-H6*Assumptions!H46/100</f>
        <v>-406472.127745585</v>
      </c>
      <c r="I17" s="4" t="n">
        <f aca="false">-I6*Assumptions!I46/100</f>
        <v>-418666.291577952</v>
      </c>
      <c r="J17" s="4" t="n">
        <f aca="false">-J6*Assumptions!J46/100</f>
        <v>-431226.280325291</v>
      </c>
      <c r="K17" s="4" t="n">
        <f aca="false">-K6*Assumptions!K46/100</f>
        <v>-442006.937333423</v>
      </c>
      <c r="L17" s="4" t="n">
        <f aca="false">-L6*Assumptions!L46/100</f>
        <v>-453057.110766759</v>
      </c>
    </row>
    <row r="18" customFormat="false" ht="15" hidden="false" customHeight="false" outlineLevel="0" collapsed="false">
      <c r="A18" s="0" t="s">
        <v>131</v>
      </c>
      <c r="C18" s="4" t="n">
        <f aca="false">(C6-B6)*Assumptions!$B$51/100</f>
        <v>-27808.092</v>
      </c>
      <c r="D18" s="4" t="n">
        <f aca="false">(D6-C6)*Assumptions!$B$51/100</f>
        <v>-36150.5196000001</v>
      </c>
      <c r="E18" s="4" t="n">
        <f aca="false">(E6-D6)*Assumptions!$B$51/100</f>
        <v>-37958.0455800001</v>
      </c>
      <c r="F18" s="4" t="n">
        <f aca="false">(F6-E6)*Assumptions!$B$51/100</f>
        <v>-35870.3530731</v>
      </c>
      <c r="G18" s="4" t="n">
        <f aca="false">(G6-F6)*Assumptions!$B$51/100</f>
        <v>-33319.5724101241</v>
      </c>
      <c r="H18" s="4" t="n">
        <f aca="false">(H6-G6)*Assumptions!$B$51/100</f>
        <v>-30320.8108932128</v>
      </c>
      <c r="I18" s="4" t="n">
        <f aca="false">(I6-H6)*Assumptions!$B$51/100</f>
        <v>-26898.8908066931</v>
      </c>
      <c r="J18" s="4" t="n">
        <f aca="false">(J6-I6)*Assumptions!$B$51/100</f>
        <v>-27705.8575308939</v>
      </c>
      <c r="K18" s="4" t="n">
        <f aca="false">(K6-J6)*Assumptions!$B$51/100</f>
        <v>-23780.8610473505</v>
      </c>
      <c r="L18" s="4" t="n">
        <f aca="false">(L6-K6)*Assumptions!$B$51/100</f>
        <v>-24375.3825735343</v>
      </c>
    </row>
    <row r="19" customFormat="false" ht="15" hidden="false" customHeight="false" outlineLevel="0" collapsed="false">
      <c r="A19" s="0" t="s">
        <v>132</v>
      </c>
      <c r="C19" s="0" t="n">
        <f aca="false">C15+C16+C17+C18</f>
        <v>320644.35638976</v>
      </c>
      <c r="D19" s="0" t="n">
        <f aca="false">D15+D16+D17+D18</f>
        <v>348652.963271808</v>
      </c>
      <c r="E19" s="0" t="n">
        <f aca="false">E15+E16+E17+E18</f>
        <v>397332.674556855</v>
      </c>
      <c r="F19" s="0" t="n">
        <f aca="false">F15+F16+F17+F18</f>
        <v>435001.844226773</v>
      </c>
      <c r="G19" s="0" t="n">
        <f aca="false">G15+G16+G17+G18</f>
        <v>490346.820982142</v>
      </c>
      <c r="H19" s="0" t="n">
        <f aca="false">H15+H16+H17+H18</f>
        <v>511673.906267782</v>
      </c>
      <c r="I19" s="0" t="n">
        <f aca="false">I15+I16+I17+I18</f>
        <v>531355.667869132</v>
      </c>
      <c r="J19" s="0" t="n">
        <f aca="false">J15+J16+J17+J18</f>
        <v>547296.337905206</v>
      </c>
      <c r="K19" s="0" t="n">
        <f aca="false">K15+K16+K17+K18</f>
        <v>565596.389274652</v>
      </c>
      <c r="L19" s="0" t="n">
        <f aca="false">L15+L16+L17+L18</f>
        <v>579736.299006518</v>
      </c>
    </row>
    <row r="20" customFormat="false" ht="15" hidden="false" customHeight="false" outlineLevel="0" collapsed="false">
      <c r="A20" s="0" t="s">
        <v>133</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134</v>
      </c>
      <c r="C21" s="0" t="n">
        <f aca="false">C19*C20</f>
        <v>298273.819897451</v>
      </c>
      <c r="D21" s="0" t="n">
        <f aca="false">D19*D20</f>
        <v>301700.779467222</v>
      </c>
      <c r="E21" s="0" t="n">
        <f aca="false">E19*E20</f>
        <v>319837.135996059</v>
      </c>
      <c r="F21" s="0" t="n">
        <f aca="false">F19*F20</f>
        <v>325729.611410707</v>
      </c>
      <c r="G21" s="0" t="n">
        <f aca="false">G19*G20</f>
        <v>341555.311000548</v>
      </c>
      <c r="H21" s="0" t="n">
        <f aca="false">H19*H20</f>
        <v>331545.001264305</v>
      </c>
      <c r="I21" s="0" t="n">
        <f aca="false">I19*I20</f>
        <v>320277.232927987</v>
      </c>
      <c r="J21" s="0" t="n">
        <f aca="false">J19*J20</f>
        <v>306870.278991467</v>
      </c>
      <c r="K21" s="0" t="n">
        <f aca="false">K19*K20</f>
        <v>295005.72899119</v>
      </c>
      <c r="L21" s="0" t="n">
        <f aca="false">L19*L20</f>
        <v>281284.532293925</v>
      </c>
    </row>
    <row r="23" customFormat="false" ht="15" hidden="false" customHeight="false" outlineLevel="0" collapsed="false">
      <c r="A23" s="0" t="s">
        <v>110</v>
      </c>
      <c r="C23" s="4" t="n">
        <f aca="false">Assumptions!C44</f>
        <v>1.86</v>
      </c>
      <c r="D23" s="4" t="n">
        <f aca="false">Assumptions!D44</f>
        <v>1.86</v>
      </c>
      <c r="E23" s="4" t="n">
        <f aca="false">Assumptions!E44</f>
        <v>1.86</v>
      </c>
      <c r="F23" s="4" t="n">
        <f aca="false">Assumptions!F44</f>
        <v>1.86</v>
      </c>
      <c r="G23" s="4" t="n">
        <f aca="false">Assumptions!G44</f>
        <v>1.86</v>
      </c>
      <c r="H23" s="4" t="n">
        <f aca="false">Assumptions!H44</f>
        <v>1.86</v>
      </c>
      <c r="I23" s="4" t="n">
        <f aca="false">Assumptions!I44</f>
        <v>1.86</v>
      </c>
      <c r="J23" s="4" t="n">
        <f aca="false">Assumptions!J44</f>
        <v>1.86</v>
      </c>
      <c r="K23" s="4" t="n">
        <f aca="false">Assumptions!K44</f>
        <v>1.86</v>
      </c>
      <c r="L23" s="4" t="n">
        <f aca="false">Assumptions!L44</f>
        <v>1.86</v>
      </c>
    </row>
    <row r="24" customFormat="false" ht="15" hidden="false" customHeight="false" outlineLevel="0" collapsed="false">
      <c r="A24" s="0" t="s">
        <v>135</v>
      </c>
      <c r="C24" s="0" t="n">
        <f aca="false">-C6*C23/100</f>
        <v>-89653.288608</v>
      </c>
      <c r="D24" s="0" t="n">
        <f aca="false">-D6*D23/100</f>
        <v>-94135.9530384</v>
      </c>
      <c r="E24" s="0" t="n">
        <f aca="false">-E6*E23/100</f>
        <v>-98842.75069032</v>
      </c>
      <c r="F24" s="0" t="n">
        <f aca="false">-F6*F23/100</f>
        <v>-103290.674471384</v>
      </c>
      <c r="G24" s="0" t="n">
        <f aca="false">-G6*G23/100</f>
        <v>-107422.30145024</v>
      </c>
      <c r="H24" s="0" t="n">
        <f aca="false">-H6*H23/100</f>
        <v>-111182.082000998</v>
      </c>
      <c r="I24" s="0" t="n">
        <f aca="false">-I6*I23/100</f>
        <v>-114517.544461028</v>
      </c>
      <c r="J24" s="0" t="n">
        <f aca="false">-J6*J23/100</f>
        <v>-117953.070794859</v>
      </c>
      <c r="K24" s="0" t="n">
        <f aca="false">-K6*K23/100</f>
        <v>-120901.89756473</v>
      </c>
      <c r="L24" s="0" t="n">
        <f aca="false">-L6*L23/100</f>
        <v>-123924.445003849</v>
      </c>
    </row>
    <row r="26" customFormat="false" ht="15" hidden="false" customHeight="false" outlineLevel="0" collapsed="false">
      <c r="A26" s="2" t="s">
        <v>136</v>
      </c>
    </row>
    <row r="27" customFormat="false" ht="15" hidden="false" customHeight="false" outlineLevel="0" collapsed="false">
      <c r="A27" s="0" t="s">
        <v>114</v>
      </c>
      <c r="B27" s="4" t="n">
        <f aca="false">Assumptions!$B$48</f>
        <v>7.5</v>
      </c>
    </row>
    <row r="28" customFormat="false" ht="15" hidden="false" customHeight="false" outlineLevel="0" collapsed="false">
      <c r="A28" s="0" t="s">
        <v>115</v>
      </c>
      <c r="B28" s="4" t="n">
        <f aca="false">Assumptions!$B$49</f>
        <v>2.5</v>
      </c>
    </row>
    <row r="29" customFormat="false" ht="15" hidden="false" customHeight="false" outlineLevel="0" collapsed="false">
      <c r="A29" s="0" t="s">
        <v>116</v>
      </c>
      <c r="B29" s="4" t="n">
        <f aca="false">Assumptions!$B$50</f>
        <v>15</v>
      </c>
    </row>
    <row r="30" customFormat="false" ht="15" hidden="false" customHeight="false" outlineLevel="0" collapsed="false">
      <c r="A30" s="0" t="s">
        <v>137</v>
      </c>
      <c r="B30" s="0" t="n">
        <f aca="false">SUM(C21:L21)</f>
        <v>3122079.43224086</v>
      </c>
    </row>
    <row r="31" customFormat="false" ht="15" hidden="false" customHeight="false" outlineLevel="0" collapsed="false">
      <c r="A31" s="0" t="s">
        <v>138</v>
      </c>
      <c r="B31" s="0" t="n">
        <f aca="false">L19</f>
        <v>579736.299006518</v>
      </c>
    </row>
    <row r="32" customFormat="false" ht="15" hidden="false" customHeight="false" outlineLevel="0" collapsed="false">
      <c r="A32" s="0" t="s">
        <v>139</v>
      </c>
      <c r="B32" s="0" t="n">
        <f aca="false">IF(B27&gt;B28,B31*(1+B28/100)/((B27-B28)/100),B31*B29)</f>
        <v>11884594.1296336</v>
      </c>
    </row>
    <row r="33" customFormat="false" ht="15" hidden="false" customHeight="false" outlineLevel="0" collapsed="false">
      <c r="A33" s="0" t="s">
        <v>140</v>
      </c>
      <c r="B33" s="0" t="n">
        <f aca="false">B31*B29</f>
        <v>8696044.48509776</v>
      </c>
    </row>
    <row r="34" customFormat="false" ht="15" hidden="false" customHeight="false" outlineLevel="0" collapsed="false">
      <c r="A34" s="0" t="s">
        <v>141</v>
      </c>
      <c r="B34" s="0" t="n">
        <f aca="false">MAX(0,MIN(B32,B33))</f>
        <v>8696044.48509776</v>
      </c>
    </row>
    <row r="35" customFormat="false" ht="15" hidden="false" customHeight="false" outlineLevel="0" collapsed="false">
      <c r="A35" s="0" t="s">
        <v>142</v>
      </c>
      <c r="B35" s="0" t="n">
        <f aca="false">B34/(1+B27/100)^L4</f>
        <v>4219267.98440887</v>
      </c>
    </row>
    <row r="36" customFormat="false" ht="15" hidden="false" customHeight="false" outlineLevel="0" collapsed="false">
      <c r="A36" s="0" t="s">
        <v>143</v>
      </c>
      <c r="B36" s="0" t="n">
        <f aca="false">B30+B35</f>
        <v>7341347.41664973</v>
      </c>
    </row>
    <row r="37" customFormat="false" ht="15" hidden="false" customHeight="false" outlineLevel="0" collapsed="false">
      <c r="A37" s="0" t="s">
        <v>144</v>
      </c>
      <c r="B37" s="0" t="n">
        <f aca="false">B36+Assumptions!$B$5-Assumptions!$B$4</f>
        <v>7575974.41664973</v>
      </c>
    </row>
    <row r="38" customFormat="false" ht="15" hidden="false" customHeight="false" outlineLevel="0" collapsed="false">
      <c r="A38" s="0" t="s">
        <v>145</v>
      </c>
      <c r="B38" s="0" t="n">
        <f aca="false">B37/Assumptions!$B$3*Assumptions!$B$10</f>
        <v>6087.07570034528</v>
      </c>
    </row>
    <row r="39" customFormat="false" ht="15" hidden="false" customHeight="false" outlineLevel="0" collapsed="false">
      <c r="A39" s="0" t="s">
        <v>146</v>
      </c>
      <c r="B39" s="4" t="n">
        <f aca="false">B38/Assumptions!$B$2-1</f>
        <v>0.526730800186926</v>
      </c>
    </row>
    <row r="41" customFormat="false" ht="15" hidden="false" customHeight="false" outlineLevel="0" collapsed="false">
      <c r="A41" s="0" t="s">
        <v>147</v>
      </c>
      <c r="B41" s="0" t="n">
        <f aca="false">SUMPRODUCT(-C10:L10/(1+$B$27/100)^C4:L4)</f>
        <v>11725.547905813</v>
      </c>
    </row>
    <row r="42" customFormat="false" ht="15" hidden="false" customHeight="false" outlineLevel="0" collapsed="false">
      <c r="A42" s="0" t="s">
        <v>148</v>
      </c>
      <c r="B42" s="0" t="n">
        <f aca="false">IF(B27&gt;B28,-L10*(1+B28/100)/((B27-B28)/100),-L10*20)/(1+B27/100)^L4</f>
        <v>19880.8299971278</v>
      </c>
    </row>
    <row r="43" customFormat="false" ht="15" hidden="false" customHeight="false" outlineLevel="0" collapsed="false">
      <c r="A43" s="0" t="s">
        <v>149</v>
      </c>
      <c r="B43" s="0" t="n">
        <f aca="false">(B37+B41+B42)/Assumptions!$B$3*Assumptions!$B$10</f>
        <v>6112.47050823772</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4753837.65185344</v>
      </c>
    </row>
    <row r="47" customFormat="false" ht="15" hidden="false" customHeight="false" outlineLevel="0" collapsed="false">
      <c r="A47" s="0" t="s">
        <v>151</v>
      </c>
      <c r="B47" s="0" t="n">
        <f aca="false">(SUMPRODUCT(C19:L19/(1+B45/100)^C4:L4)+B46/(1+B45/100)^L4+Assumptions!$B$5-Assumptions!$B$4)/Assumptions!$B$3*Assumptions!$B$10</f>
        <v>2900.42601212916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3471.87390651938</v>
      </c>
      <c r="C4" s="0" t="n">
        <f aca="false">B4/Assumptions!$B$2-1</f>
        <v>-0.129201428011191</v>
      </c>
      <c r="D4" s="4" t="n">
        <f aca="false">Assumptions!$B$24</f>
        <v>0.25</v>
      </c>
      <c r="E4" s="4" t="n">
        <f aca="false">DCF_Bear!$B$43</f>
        <v>3488.7920823506</v>
      </c>
      <c r="F4" s="4" t="n">
        <f aca="false">DCF_Bear!$B$47</f>
        <v>1919.34668573614</v>
      </c>
    </row>
    <row r="5" customFormat="false" ht="15" hidden="false" customHeight="false" outlineLevel="0" collapsed="false">
      <c r="A5" s="0" t="s">
        <v>160</v>
      </c>
      <c r="B5" s="4" t="n">
        <f aca="false">DCF_Base!$B$38</f>
        <v>5107.42321260978</v>
      </c>
      <c r="C5" s="0" t="n">
        <f aca="false">B5/Assumptions!$B$2-1</f>
        <v>0.281019115277096</v>
      </c>
      <c r="D5" s="4" t="n">
        <f aca="false">Assumptions!$B$38</f>
        <v>0.5</v>
      </c>
      <c r="E5" s="4" t="n">
        <f aca="false">DCF_Base!$B$43</f>
        <v>5128.73394037212</v>
      </c>
      <c r="F5" s="4" t="n">
        <f aca="false">DCF_Base!$B$47</f>
        <v>2479.23392044068</v>
      </c>
    </row>
    <row r="6" customFormat="false" ht="15" hidden="false" customHeight="false" outlineLevel="0" collapsed="false">
      <c r="A6" s="0" t="s">
        <v>161</v>
      </c>
      <c r="B6" s="4" t="n">
        <f aca="false">DCF_Bull!$B$38</f>
        <v>6087.07570034528</v>
      </c>
      <c r="C6" s="0" t="n">
        <f aca="false">B6/Assumptions!$B$2-1</f>
        <v>0.526730800186926</v>
      </c>
      <c r="D6" s="4" t="n">
        <f aca="false">Assumptions!$B$52</f>
        <v>0.25</v>
      </c>
      <c r="E6" s="4" t="n">
        <f aca="false">DCF_Bull!$B$43</f>
        <v>6112.47050823772</v>
      </c>
      <c r="F6" s="4" t="n">
        <f aca="false">DCF_Bull!$B$47</f>
        <v>2900.42601212916</v>
      </c>
    </row>
    <row r="8" customFormat="false" ht="15" hidden="false" customHeight="false" outlineLevel="0" collapsed="false">
      <c r="A8" s="0" t="s">
        <v>162</v>
      </c>
      <c r="B8" s="0" t="n">
        <f aca="false">SUMPRODUCT(B4:B6,D4:D6)</f>
        <v>4943.44900802106</v>
      </c>
    </row>
    <row r="9" customFormat="false" ht="15" hidden="false" customHeight="false" outlineLevel="0" collapsed="false">
      <c r="A9" s="0" t="s">
        <v>163</v>
      </c>
      <c r="B9" s="0" t="n">
        <f aca="false">SUMPRODUCT(E4:E6,D4:D6)</f>
        <v>4964.68261783314</v>
      </c>
    </row>
    <row r="10" customFormat="false" ht="15" hidden="false" customHeight="false" outlineLevel="0" collapsed="false">
      <c r="A10" s="0" t="s">
        <v>164</v>
      </c>
      <c r="B10" s="0" t="n">
        <f aca="false">1-Assumptions!$B$2/B8</f>
        <v>0.193478077040778</v>
      </c>
    </row>
    <row r="11" customFormat="false" ht="15" hidden="false" customHeight="false" outlineLevel="0" collapsed="false">
      <c r="A11" s="0" t="s">
        <v>165</v>
      </c>
      <c r="B11" s="0" t="str">
        <f aca="false">IF(ABS(B9-B8)&gt;0.01*ABS(B8),(Assumptions!$B$2-B8)/(B9-B8)*100,"n/a")</f>
        <v>n/a</v>
      </c>
    </row>
    <row r="12" customFormat="false" ht="15" hidden="false" customHeight="false" outlineLevel="0" collapsed="false">
      <c r="A12" s="0" t="s">
        <v>166</v>
      </c>
      <c r="B12" s="0" t="n">
        <f aca="false">SUMPRODUCT(F4:F6,D4:D6)</f>
        <v>2444.56013468666</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5107.42321260978</v>
      </c>
      <c r="C15" s="3" t="n">
        <v>7.5</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4534.04345177405</v>
      </c>
      <c r="C16" s="3" t="n">
        <v>9</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3976.07226363077</v>
      </c>
      <c r="C17" s="3" t="n">
        <v>10</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3542.65305895074</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3196.39244533381</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2479.23392044068</v>
      </c>
      <c r="C20" s="3" t="n">
        <v>15</v>
      </c>
    </row>
    <row r="22" customFormat="false" ht="15" hidden="false" customHeight="false" outlineLevel="0" collapsed="false">
      <c r="A22" s="2" t="s">
        <v>175</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5901.88967814666</v>
      </c>
      <c r="C24" s="0" t="n">
        <f aca="false">(SUMPRODUCT(DCF_Base!$C$19:$L$19/(1+$A$24/100)^DCF_Base!$C$4:$L$4)+MAX(0,MIN(IF($A$24&gt;$C$23,DCF_Base!$L$19*(1+$C$23/100)/(($A$24-$C$23)/100),DCF_Base!$L$19*DCF_Base!$B$29),DCF_Base!$L$19*DCF_Base!$B$29))/(1+$A$24/100)^DCF_Base!$L$4+Assumptions!$B$5-Assumptions!$B$4)/Assumptions!$B$3*Assumptions!$B$10</f>
        <v>5901.88967814666</v>
      </c>
      <c r="D24" s="0" t="n">
        <f aca="false">(SUMPRODUCT(DCF_Base!$C$19:$L$19/(1+$A$24/100)^DCF_Base!$C$4:$L$4)+MAX(0,MIN(IF($A$24&gt;$D$23,DCF_Base!$L$19*(1+$D$23/100)/(($A$24-$D$23)/100),DCF_Base!$L$19*DCF_Base!$B$29),DCF_Base!$L$19*DCF_Base!$B$29))/(1+$A$24/100)^DCF_Base!$L$4+Assumptions!$B$5-Assumptions!$B$4)/Assumptions!$B$3*Assumptions!$B$10</f>
        <v>5901.88967814666</v>
      </c>
      <c r="E24" s="0" t="n">
        <f aca="false">(SUMPRODUCT(DCF_Base!$C$19:$L$19/(1+$A$24/100)^DCF_Base!$C$4:$L$4)+MAX(0,MIN(IF($A$24&gt;$E$23,DCF_Base!$L$19*(1+$E$23/100)/(($A$24-$E$23)/100),DCF_Base!$L$19*DCF_Base!$B$29),DCF_Base!$L$19*DCF_Base!$B$29))/(1+$A$24/100)^DCF_Base!$L$4+Assumptions!$B$5-Assumptions!$B$4)/Assumptions!$B$3*Assumptions!$B$10</f>
        <v>5901.88967814666</v>
      </c>
      <c r="F24" s="0" t="n">
        <f aca="false">(SUMPRODUCT(DCF_Base!$C$19:$L$19/(1+$A$24/100)^DCF_Base!$C$4:$L$4)+MAX(0,MIN(IF($A$24&gt;$F$23,DCF_Base!$L$19*(1+$F$23/100)/(($A$24-$F$23)/100),DCF_Base!$L$19*DCF_Base!$B$29),DCF_Base!$L$19*DCF_Base!$B$29))/(1+$A$24/100)^DCF_Base!$L$4+Assumptions!$B$5-Assumptions!$B$4)/Assumptions!$B$3*Assumptions!$B$10</f>
        <v>5901.88967814666</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5485.86250219452</v>
      </c>
      <c r="C25" s="0" t="n">
        <f aca="false">(SUMPRODUCT(DCF_Base!$C$19:$L$19/(1+$A$25/100)^DCF_Base!$C$4:$L$4)+MAX(0,MIN(IF($A$25&gt;$C$23,DCF_Base!$L$19*(1+$C$23/100)/(($A$25-$C$23)/100),DCF_Base!$L$19*DCF_Base!$B$29),DCF_Base!$L$19*DCF_Base!$B$29))/(1+$A$25/100)^DCF_Base!$L$4+Assumptions!$B$5-Assumptions!$B$4)/Assumptions!$B$3*Assumptions!$B$10</f>
        <v>5485.86250219452</v>
      </c>
      <c r="D25" s="0" t="n">
        <f aca="false">(SUMPRODUCT(DCF_Base!$C$19:$L$19/(1+$A$25/100)^DCF_Base!$C$4:$L$4)+MAX(0,MIN(IF($A$25&gt;$D$23,DCF_Base!$L$19*(1+$D$23/100)/(($A$25-$D$23)/100),DCF_Base!$L$19*DCF_Base!$B$29),DCF_Base!$L$19*DCF_Base!$B$29))/(1+$A$25/100)^DCF_Base!$L$4+Assumptions!$B$5-Assumptions!$B$4)/Assumptions!$B$3*Assumptions!$B$10</f>
        <v>5485.86250219452</v>
      </c>
      <c r="E25" s="0" t="n">
        <f aca="false">(SUMPRODUCT(DCF_Base!$C$19:$L$19/(1+$A$25/100)^DCF_Base!$C$4:$L$4)+MAX(0,MIN(IF($A$25&gt;$E$23,DCF_Base!$L$19*(1+$E$23/100)/(($A$25-$E$23)/100),DCF_Base!$L$19*DCF_Base!$B$29),DCF_Base!$L$19*DCF_Base!$B$29))/(1+$A$25/100)^DCF_Base!$L$4+Assumptions!$B$5-Assumptions!$B$4)/Assumptions!$B$3*Assumptions!$B$10</f>
        <v>5485.86250219452</v>
      </c>
      <c r="F25" s="0" t="n">
        <f aca="false">(SUMPRODUCT(DCF_Base!$C$19:$L$19/(1+$A$25/100)^DCF_Base!$C$4:$L$4)+MAX(0,MIN(IF($A$25&gt;$F$23,DCF_Base!$L$19*(1+$F$23/100)/(($A$25-$F$23)/100),DCF_Base!$L$19*DCF_Base!$B$29),DCF_Base!$L$19*DCF_Base!$B$29))/(1+$A$25/100)^DCF_Base!$L$4+Assumptions!$B$5-Assumptions!$B$4)/Assumptions!$B$3*Assumptions!$B$10</f>
        <v>5485.86250219452</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5107.42321260978</v>
      </c>
      <c r="C26" s="0" t="n">
        <f aca="false">(SUMPRODUCT(DCF_Base!$C$19:$L$19/(1+$A$26/100)^DCF_Base!$C$4:$L$4)+MAX(0,MIN(IF($A$26&gt;$C$23,DCF_Base!$L$19*(1+$C$23/100)/(($A$26-$C$23)/100),DCF_Base!$L$19*DCF_Base!$B$29),DCF_Base!$L$19*DCF_Base!$B$29))/(1+$A$26/100)^DCF_Base!$L$4+Assumptions!$B$5-Assumptions!$B$4)/Assumptions!$B$3*Assumptions!$B$10</f>
        <v>5107.42321260978</v>
      </c>
      <c r="D26" s="0" t="n">
        <f aca="false">(SUMPRODUCT(DCF_Base!$C$19:$L$19/(1+$A$26/100)^DCF_Base!$C$4:$L$4)+MAX(0,MIN(IF($A$26&gt;$D$23,DCF_Base!$L$19*(1+$D$23/100)/(($A$26-$D$23)/100),DCF_Base!$L$19*DCF_Base!$B$29),DCF_Base!$L$19*DCF_Base!$B$29))/(1+$A$26/100)^DCF_Base!$L$4+Assumptions!$B$5-Assumptions!$B$4)/Assumptions!$B$3*Assumptions!$B$10</f>
        <v>5107.42321260978</v>
      </c>
      <c r="E26" s="0" t="n">
        <f aca="false">(SUMPRODUCT(DCF_Base!$C$19:$L$19/(1+$A$26/100)^DCF_Base!$C$4:$L$4)+MAX(0,MIN(IF($A$26&gt;$E$23,DCF_Base!$L$19*(1+$E$23/100)/(($A$26-$E$23)/100),DCF_Base!$L$19*DCF_Base!$B$29),DCF_Base!$L$19*DCF_Base!$B$29))/(1+$A$26/100)^DCF_Base!$L$4+Assumptions!$B$5-Assumptions!$B$4)/Assumptions!$B$3*Assumptions!$B$10</f>
        <v>5107.42321260978</v>
      </c>
      <c r="F26" s="0" t="n">
        <f aca="false">(SUMPRODUCT(DCF_Base!$C$19:$L$19/(1+$A$26/100)^DCF_Base!$C$4:$L$4)+MAX(0,MIN(IF($A$26&gt;$F$23,DCF_Base!$L$19*(1+$F$23/100)/(($A$26-$F$23)/100),DCF_Base!$L$19*DCF_Base!$B$29),DCF_Base!$L$19*DCF_Base!$B$29))/(1+$A$26/100)^DCF_Base!$L$4+Assumptions!$B$5-Assumptions!$B$4)/Assumptions!$B$3*Assumptions!$B$10</f>
        <v>5107.42321260978</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4508.14283433249</v>
      </c>
      <c r="C27" s="0" t="n">
        <f aca="false">(SUMPRODUCT(DCF_Base!$C$19:$L$19/(1+$A$27/100)^DCF_Base!$C$4:$L$4)+MAX(0,MIN(IF($A$27&gt;$C$23,DCF_Base!$L$19*(1+$C$23/100)/(($A$27-$C$23)/100),DCF_Base!$L$19*DCF_Base!$B$29),DCF_Base!$L$19*DCF_Base!$B$29))/(1+$A$27/100)^DCF_Base!$L$4+Assumptions!$B$5-Assumptions!$B$4)/Assumptions!$B$3*Assumptions!$B$10</f>
        <v>4679.7296670922</v>
      </c>
      <c r="D27" s="0" t="n">
        <f aca="false">(SUMPRODUCT(DCF_Base!$C$19:$L$19/(1+$A$27/100)^DCF_Base!$C$4:$L$4)+MAX(0,MIN(IF($A$27&gt;$D$23,DCF_Base!$L$19*(1+$D$23/100)/(($A$27-$D$23)/100),DCF_Base!$L$19*DCF_Base!$B$29),DCF_Base!$L$19*DCF_Base!$B$29))/(1+$A$27/100)^DCF_Base!$L$4+Assumptions!$B$5-Assumptions!$B$4)/Assumptions!$B$3*Assumptions!$B$10</f>
        <v>4762.75555391142</v>
      </c>
      <c r="E27" s="0" t="n">
        <f aca="false">(SUMPRODUCT(DCF_Base!$C$19:$L$19/(1+$A$27/100)^DCF_Base!$C$4:$L$4)+MAX(0,MIN(IF($A$27&gt;$E$23,DCF_Base!$L$19*(1+$E$23/100)/(($A$27-$E$23)/100),DCF_Base!$L$19*DCF_Base!$B$29),DCF_Base!$L$19*DCF_Base!$B$29))/(1+$A$27/100)^DCF_Base!$L$4+Assumptions!$B$5-Assumptions!$B$4)/Assumptions!$B$3*Assumptions!$B$10</f>
        <v>4762.75555391142</v>
      </c>
      <c r="F27" s="0" t="n">
        <f aca="false">(SUMPRODUCT(DCF_Base!$C$19:$L$19/(1+$A$27/100)^DCF_Base!$C$4:$L$4)+MAX(0,MIN(IF($A$27&gt;$F$23,DCF_Base!$L$19*(1+$F$23/100)/(($A$27-$F$23)/100),DCF_Base!$L$19*DCF_Base!$B$29),DCF_Base!$L$19*DCF_Base!$B$29))/(1+$A$27/100)^DCF_Base!$L$4+Assumptions!$B$5-Assumptions!$B$4)/Assumptions!$B$3*Assumptions!$B$10</f>
        <v>4762.75555391142</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3976.15685557764</v>
      </c>
      <c r="C28" s="0" t="n">
        <f aca="false">(SUMPRODUCT(DCF_Base!$C$19:$L$19/(1+$A$28/100)^DCF_Base!$C$4:$L$4)+MAX(0,MIN(IF($A$28&gt;$C$23,DCF_Base!$L$19*(1+$C$23/100)/(($A$28-$C$23)/100),DCF_Base!$L$19*DCF_Base!$B$29),DCF_Base!$L$19*DCF_Base!$B$29))/(1+$A$28/100)^DCF_Base!$L$4+Assumptions!$B$5-Assumptions!$B$4)/Assumptions!$B$3*Assumptions!$B$10</f>
        <v>4098.13300509686</v>
      </c>
      <c r="D28" s="0" t="n">
        <f aca="false">(SUMPRODUCT(DCF_Base!$C$19:$L$19/(1+$A$28/100)^DCF_Base!$C$4:$L$4)+MAX(0,MIN(IF($A$28&gt;$D$23,DCF_Base!$L$19*(1+$D$23/100)/(($A$28-$D$23)/100),DCF_Base!$L$19*DCF_Base!$B$29),DCF_Base!$L$19*DCF_Base!$B$29))/(1+$A$28/100)^DCF_Base!$L$4+Assumptions!$B$5-Assumptions!$B$4)/Assumptions!$B$3*Assumptions!$B$10</f>
        <v>4236.37264121865</v>
      </c>
      <c r="E28" s="0" t="n">
        <f aca="false">(SUMPRODUCT(DCF_Base!$C$19:$L$19/(1+$A$28/100)^DCF_Base!$C$4:$L$4)+MAX(0,MIN(IF($A$28&gt;$E$23,DCF_Base!$L$19*(1+$E$23/100)/(($A$28-$E$23)/100),DCF_Base!$L$19*DCF_Base!$B$29),DCF_Base!$L$19*DCF_Base!$B$29))/(1+$A$28/100)^DCF_Base!$L$4+Assumptions!$B$5-Assumptions!$B$4)/Assumptions!$B$3*Assumptions!$B$10</f>
        <v>4394.3607967864</v>
      </c>
      <c r="F28" s="0" t="n">
        <f aca="false">(SUMPRODUCT(DCF_Base!$C$19:$L$19/(1+$A$28/100)^DCF_Base!$C$4:$L$4)+MAX(0,MIN(IF($A$28&gt;$F$23,DCF_Base!$L$19*(1+$F$23/100)/(($A$28-$F$23)/100),DCF_Base!$L$19*DCF_Base!$B$29),DCF_Base!$L$19*DCF_Base!$B$29))/(1+$A$28/100)^DCF_Base!$L$4+Assumptions!$B$5-Assumptions!$B$4)/Assumptions!$B$3*Assumptions!$B$10</f>
        <v>4448.46632951508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2026-10-31T07:13:06Z</dcterms:created>
  <dc:creator>openpyxl</dc:creator>
  <dc:description/>
  <dc:language>en-NZ</dc:language>
  <cp:lastModifiedBy/>
  <dcterms:modified xsi:type="dcterms:W3CDTF">2026-10-31T07:13:06Z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