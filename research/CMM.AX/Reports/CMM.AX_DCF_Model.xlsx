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<sst xmlns="http://schemas.openxmlformats.org/spreadsheetml/2006/main" count="364" uniqueCount="168">
  <si>
    <t xml:space="preserve">Ticker</t>
  </si>
  <si>
    <t xml:space="preserve">CMM.AX</t>
  </si>
  <si>
    <t xml:space="preserve">Company</t>
  </si>
  <si>
    <t xml:space="preserve">Capricorn Metals Ltd</t>
  </si>
  <si>
    <t xml:space="preserve">Valuation date</t>
  </si>
  <si>
    <t xml:space="preserve">2026-09-22</t>
  </si>
  <si>
    <t xml:space="preserve">Current price</t>
  </si>
  <si>
    <t xml:space="preserve">Price as of</t>
  </si>
  <si>
    <t xml:space="preserve">2026-09-22T06:10:05Z ASX regular close (Yahoo regularMarketTime); 52w range 9.41-18.26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</si>
  <si>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</si>
  <si>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</si>
  <si>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</si>
  <si>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</si>
  <si>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</si>
  <si>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AUD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</si>
  <si>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</si>
  <si>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</si>
  <si>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</si>
  <si>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</si>
  <si>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</si>
  <si>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</si>
  <si>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2026-09-22T09:31:32Z</t>
  </si>
  <si>
    <t xml:space="preserve">Drivers file</t>
  </si>
  <si>
    <t xml:space="preserve">CMM.AX_Drivers.json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</si>
  <si>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</si>
  <si>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</si>
  <si>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</si>
  <si>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Capricorn is a low-cost, ungeared, unhedged WA gold producer about to triple output (KEP to 150koz now; Mt Gibson 260koz from FY31) funded entirely from A$505m cash and Karlawinda cash flow. The valuation question is not execution -- the KGP build came in on time and Mt Gibson is permitted federally with a 14-month PFS payback -- it is what gold price to capitalise 400koz/yr at. The house answer is a reverting price (A$4,800 base) with a depleting-asset terminal (8x, 0% growth), which values the business well below a spot-price DCF; the bull case shows what the market is paying for.
key_risks_to_valuation: AUD gold price: every A$500/oz is ~A$200m/yr of EBITDA at 400koz; spot is ~2x the 5-year average and the company is fully unhedged; MGGP timing: WA EPA Part 4 / Works Approval still outstanding; PFS accuracy +/-25% on A$345m plant capex; first gold Q3 FY28 assumed; Karlawinda cost creep: AISC guided up 17-29% to A$1,900-2,100/oz in FY27 (strip 7.7:1, deeper Bibra pit); Depletion: 10-year KGP reserve life and 19-year MGGP life; terminal value assumes reserves are replaced only at the cap-multiple level; Underground contribution (14% of MGGP LOM ounces, years 3-6) rests on a maiden 365koz UG reserve 'still in its infancy'; Capital allocation: Range 500 / Golden Range Stage 2 could redirect FCF into a third plant before MGGP is derisked</t>
  </si>
  <si>
    <t xml:space="preserve">Data sources</t>
  </si>
  <si>
    <t xml:space="preserve">price: Yahoo Finance chart API CMM.AX 2026-09-22T06:10:05Z; gold GC=F US$4,357.6 and AUDUSD 0.7112 same day for the spot AUD gold reference
financials: research/CMM.AX/Reports/CMM.AX_Metrics.csv (FY2016-FY2026, AUD, financial-parser 2026-09-22); FY2026 Annual Report (Extracted/CMM.AX_Annual_FY2026.txt) for cash flow, note 23 issued capital, note 22 tax, hedge reserve, lease cash, commitments
qualitative: Compelling Mt Gibson PFS Update (ASX 27-Jul-2026, downloaded to PDFs/CMM.AX_Presentation_Compelling-Mt-Gibson-PFS-Update.pdf) and Range 500 Aspiration (27-Jul-2026) for production outlook, capex, AISC and timing; FY27 guidance from the FY26 AR (137-147koz, AISC A$1,900-2,100, growth capital A$70-85m). No Analysis JSON existed at build time.</t>
  </si>
  <si>
    <t xml:space="preserve">Scenario narrative: bear</t>
  </si>
  <si>
    <t xml:space="preserve">Gold mean-reverts: A$5,600 FY27, A$4,600 FY28, A$3,800 from FY29 (roughly the 5-year average) and stays there. WA EPA Part 4 approval for MGGP slips, pushing first gold to FY29 and adding 25% to the A$474m pre-production estimate (A$592m). Karlawinda underdelivers at 140koz with cash costs +6% (deeper Bibra pit, strip 7.7:1). At A$3,800 KGP's EBITDA margin compresses to ~25-30% and MGGP earns ~A$1,700/oz on a A$2,100 cost base; owner FCF is negative through FY29 and the A$505m cash pile is largely consumed by the build. Terminal 6x with zero growth. Not a solvency case -- the company is unhedged and ungeared -- but a 'paid A$7bn for a A$3,800 gold world' case.</t>
  </si>
  <si>
    <t xml:space="preserve">Scenario narrative: base</t>
  </si>
  <si>
    <t xml:space="preserve">Gold reverts but stays well above reserve pricing: A$5,900/oz FY27 (spot ~A$6,130 today) sliding to A$4,800 by FY30 and holding nominal -- about 22% below spot, still 85% above the A$2,600 reserve price. KEP lifts Karlawinda to 150koz from FY28 at an EBITDA cash cost of ~A$2,600/oz (FY27 AISC guidance A$1,900-2,100 plus the ~A$700/oz of cost-of-sales items AISC defers). Mt Gibson starts site works Q2 FY27 and pours first gold Q3 FY28, ramping 60/170/225/255koz to ~260koz steady state by FY32, roughly one quarter behind the company's chart, at ~PFS costs (A$1,800-2,000/oz). Combined output ~405-410koz FY31-FY33, easing to ~330k as the Orion South underground finishes. Golden Range Stage 2 excluded. Owner FCF is heavily negative-to-thin in FY27-FY28 while ~A$870m of growth capital is spent from cash, then A$450-600m/yr. Terminal capped at 8x with zero growth: the asset depletes.</t>
  </si>
  <si>
    <t xml:space="preserve">Scenario narrative: bull</t>
  </si>
  <si>
    <t xml:space="preserve">Gold holds A$6,200/oz -- the FY26 realised price sustained -- through the horizon. Both builds execute on the company's own schedule: MGGP 70/180/230/260koz FY28-31, KGP nudges to 155koz on reserve growth (KGP reserve rose 32% to 1.57Moz in FY26). Golden Range Stage 2 (Warriedar's 1.38Moz) gets a PFS/FID in CY27 and adds 60-90koz from FY31 for ~A$250m, taking the group to ~500koz (the Range 500 aspiration). Costs as base. Terminal 10x with 1% growth reflecting 8.7Moz of resources beyond the 5.2Moz reserve.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</si>
  <si>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</si>
  <si>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</si>
  <si>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</si>
  <si>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</si>
  <si>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</si>
  <si>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</si>
  <si>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</si>
  <si>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</si>
  <si>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</si>
  <si>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</si>
  <si>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</si>
  <si>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</si>
  <si>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</si>
  <si>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</si>
  <si>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</si>
  <si>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</si>
  <si>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</si>
  <si>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</si>
  <si>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</si>
  <si>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</si>
  <si>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</si>
  <si>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</si>
  <si>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</si>
  <si>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</si>
  <si>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</si>
  <si>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</si>
  <si>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</si>
  <si>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AISC</t>
  </si>
  <si>
    <t xml:space="preserve">FY2016</t>
  </si>
  <si>
    <t xml:space="preserve">thousands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</si>
  <si>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</si>
  <si>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</si>
  <si>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</si>
  <si>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</si>
  <si>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</si>
  <si>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</si>
  <si>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</si>
  <si>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</si>
  <si>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</si>
  <si>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</si>
  <si>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</si>
  <si>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</si>
  <si>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</si>
  <si>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</si>
  <si>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</si>
  <si>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</si>
  <si>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</si>
  <si>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</si>
  <si>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</si>
  <si>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</si>
  <si>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AUD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</si>
  <si>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</si>
  <si>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</si>
  <si>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</si>
  <si>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</si>
  <si>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</si>
  <si>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</si>
  <si>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</si>
  <si>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</si>
  <si>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</si>
  <si>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</si>
  <si>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</si>
  <si>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</si>
  <si>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</si>
  <si>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</si>
  <si>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</si>
  <si>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</si>
  <si>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</si>
  <si>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</si>
  <si>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</si>
  <si>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</si>
  <si>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</si>
  <si>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</si>
  <si>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</si>
  <si>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</si>
  <si>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</si>
  <si>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</si>
  <si>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CMM.AX owner-FCF component DCF: bear case (millions, AUD)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</si>
  <si>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</si>
  <si>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</si>
  <si>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</si>
  <si>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</si>
  <si>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</si>
  <si>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</si>
  <si>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</si>
  <si>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</si>
  <si>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</si>
  <si>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</si>
  <si>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</si>
  <si>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</si>
  <si>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</si>
  <si>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</si>
  <si>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</si>
  <si>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</si>
  <si>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</si>
  <si>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</si>
  <si>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</si>
  <si>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</si>
  <si>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</si>
  <si>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</si>
  <si>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</si>
  <si>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</si>
  <si>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</si>
  <si>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</si>
  <si>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</si>
  <si>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</si>
  <si>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</si>
  <si>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</si>
  <si>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CMM.AX owner-FCF component DCF: base case (millions, AUD)</t>
  </si>
  <si>
    <t xml:space="preserve">CMM.AX owner-FCF component DCF: bull case (millions, AUD)</t>
  </si>
  <si>
    <t xml:space="preserve">CMM.AX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</si>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</sst>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15.48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</row>
    <row r="2" customFormat="false" ht="15" hidden="false" customHeight="false" outlineLevel="0" collapsed="false">
      <c r="A2" s="0" t="s">
        <v>64</v>
      </c>
      <c r="B2" s="0" t="n">
        <v>248.099</v>
      </c>
      <c r="I2" s="0" t="n">
        <v>-3700.87</v>
      </c>
      <c r="J2" s="0" t="n">
        <v>-1491.7</v>
      </c>
      <c r="K2" s="0" t="n">
        <v>-0.0136</v>
      </c>
      <c r="L2" s="0" t="n">
        <v>-1520.85</v>
      </c>
      <c r="O2" s="0" t="n">
        <v>23210.5</v>
      </c>
      <c r="P2" s="0" t="n">
        <v>25480.4</v>
      </c>
      <c r="Q2" s="0" t="n">
        <v>2269.83</v>
      </c>
      <c r="S2" s="0" t="n">
        <v>11755.9</v>
      </c>
      <c r="T2" s="0" t="n">
        <v>271652</v>
      </c>
      <c r="AA2" s="0" t="s">
        <v>65</v>
      </c>
      <c r="AB2" s="0" t="s">
        <v>14</v>
      </c>
    </row>
    <row r="3" customFormat="false" ht="15" hidden="false" customHeight="false" outlineLevel="0" collapsed="false">
      <c r="A3" s="0" t="s">
        <v>66</v>
      </c>
      <c r="B3" s="0" t="n">
        <v>189.214</v>
      </c>
      <c r="I3" s="0" t="n">
        <v>-3293.24</v>
      </c>
      <c r="J3" s="0" t="n">
        <v>-1740.5</v>
      </c>
      <c r="K3" s="0" t="n">
        <v>-0.0065</v>
      </c>
      <c r="L3" s="0" t="n">
        <v>-1763.9</v>
      </c>
      <c r="O3" s="0" t="n">
        <v>30107.5</v>
      </c>
      <c r="P3" s="0" t="n">
        <v>31923.8</v>
      </c>
      <c r="Q3" s="0" t="n">
        <v>1816.22</v>
      </c>
      <c r="S3" s="0" t="n">
        <v>5541.66</v>
      </c>
      <c r="T3" s="0" t="n">
        <v>508216</v>
      </c>
      <c r="U3" s="0" t="n">
        <v>545.221</v>
      </c>
      <c r="AA3" s="0" t="s">
        <v>65</v>
      </c>
      <c r="AB3" s="0" t="s">
        <v>14</v>
      </c>
    </row>
    <row r="4" customFormat="false" ht="15" hidden="false" customHeight="false" outlineLevel="0" collapsed="false">
      <c r="A4" s="0" t="s">
        <v>67</v>
      </c>
      <c r="B4" s="0" t="n">
        <v>186.222</v>
      </c>
      <c r="I4" s="0" t="n">
        <v>-3118.429</v>
      </c>
      <c r="J4" s="0" t="n">
        <v>-1674.6</v>
      </c>
      <c r="K4" s="0" t="n">
        <v>-0.0047</v>
      </c>
      <c r="L4" s="0" t="n">
        <v>-2670.65</v>
      </c>
      <c r="O4" s="0" t="n">
        <v>35983.8</v>
      </c>
      <c r="P4" s="0" t="n">
        <v>37388.4</v>
      </c>
      <c r="Q4" s="0" t="n">
        <v>1404.61</v>
      </c>
      <c r="S4" s="0" t="n">
        <v>5586.44</v>
      </c>
      <c r="T4" s="0" t="n">
        <v>669248</v>
      </c>
      <c r="AA4" s="0" t="s">
        <v>65</v>
      </c>
      <c r="AB4" s="0" t="s">
        <v>14</v>
      </c>
    </row>
    <row r="5" customFormat="false" ht="15" hidden="false" customHeight="false" outlineLevel="0" collapsed="false">
      <c r="A5" s="0" t="s">
        <v>68</v>
      </c>
      <c r="B5" s="0" t="n">
        <v>159.794</v>
      </c>
      <c r="I5" s="0" t="n">
        <v>-23817.278</v>
      </c>
      <c r="J5" s="0" t="n">
        <v>-14905</v>
      </c>
      <c r="K5" s="0" t="n">
        <v>-0.0304</v>
      </c>
      <c r="L5" s="0" t="n">
        <v>-3471.57</v>
      </c>
      <c r="O5" s="0" t="n">
        <v>23817.3</v>
      </c>
      <c r="P5" s="0" t="n">
        <v>26284</v>
      </c>
      <c r="Q5" s="0" t="n">
        <v>2466.62</v>
      </c>
      <c r="S5" s="0" t="n">
        <v>9039.77</v>
      </c>
      <c r="T5" s="0" t="n">
        <v>783866</v>
      </c>
      <c r="U5" s="0" t="n">
        <v>81.177</v>
      </c>
      <c r="AA5" s="0" t="s">
        <v>65</v>
      </c>
      <c r="AB5" s="0" t="s">
        <v>14</v>
      </c>
    </row>
    <row r="6" customFormat="false" ht="15" hidden="false" customHeight="false" outlineLevel="0" collapsed="false">
      <c r="A6" s="0" t="s">
        <v>69</v>
      </c>
      <c r="B6" s="0" t="n">
        <v>122</v>
      </c>
      <c r="I6" s="0" t="n">
        <v>-17947</v>
      </c>
      <c r="J6" s="0" t="n">
        <v>-14710.7</v>
      </c>
      <c r="K6" s="0" t="n">
        <v>-0.0595</v>
      </c>
      <c r="L6" s="0" t="n">
        <v>-4281.94</v>
      </c>
      <c r="O6" s="0" t="n">
        <v>101476</v>
      </c>
      <c r="P6" s="0" t="n">
        <v>118734</v>
      </c>
      <c r="Q6" s="0" t="n">
        <v>17257.9</v>
      </c>
      <c r="S6" s="0" t="n">
        <v>45694.8</v>
      </c>
      <c r="T6" s="0" t="n">
        <v>301853</v>
      </c>
      <c r="U6" s="0" t="n">
        <v>8237.32</v>
      </c>
      <c r="AA6" s="0" t="s">
        <v>65</v>
      </c>
      <c r="AB6" s="0" t="s">
        <v>14</v>
      </c>
    </row>
    <row r="7" customFormat="false" ht="15" hidden="false" customHeight="false" outlineLevel="0" collapsed="false">
      <c r="A7" s="0" t="s">
        <v>70</v>
      </c>
      <c r="B7" s="0" t="n">
        <v>110</v>
      </c>
      <c r="C7" s="0" t="n">
        <v>0</v>
      </c>
      <c r="D7" s="0" t="n">
        <v>110</v>
      </c>
      <c r="E7" s="0" t="n">
        <v>100</v>
      </c>
      <c r="I7" s="0" t="n">
        <v>-4765</v>
      </c>
      <c r="J7" s="0" t="n">
        <v>-4331.8</v>
      </c>
      <c r="K7" s="0" t="n">
        <v>-0.0139</v>
      </c>
      <c r="L7" s="0" t="n">
        <v>-18897</v>
      </c>
      <c r="M7" s="0" t="n">
        <v>117507</v>
      </c>
      <c r="N7" s="0" t="n">
        <v>-136404</v>
      </c>
      <c r="O7" s="0" t="n">
        <v>130460</v>
      </c>
      <c r="P7" s="0" t="n">
        <v>299595</v>
      </c>
      <c r="Q7" s="0" t="n">
        <v>169135</v>
      </c>
      <c r="R7" s="0" t="n">
        <v>121055</v>
      </c>
      <c r="S7" s="0" t="n">
        <v>10312</v>
      </c>
      <c r="T7" s="0" t="n">
        <v>343354</v>
      </c>
      <c r="U7" s="0" t="n">
        <v>3277</v>
      </c>
      <c r="AA7" s="0" t="s">
        <v>65</v>
      </c>
      <c r="AB7" s="0" t="s">
        <v>14</v>
      </c>
    </row>
    <row r="8" customFormat="false" ht="15" hidden="false" customHeight="false" outlineLevel="0" collapsed="false">
      <c r="A8" s="0" t="s">
        <v>71</v>
      </c>
      <c r="B8" s="0" t="n">
        <v>287043</v>
      </c>
      <c r="C8" s="0" t="n">
        <v>149480</v>
      </c>
      <c r="D8" s="0" t="n">
        <v>137563</v>
      </c>
      <c r="E8" s="0" t="n">
        <v>47.9</v>
      </c>
      <c r="H8" s="0" t="n">
        <v>153934</v>
      </c>
      <c r="I8" s="0" t="n">
        <v>89483</v>
      </c>
      <c r="J8" s="0" t="n">
        <v>31.2</v>
      </c>
      <c r="K8" s="0" t="n">
        <v>0.2427</v>
      </c>
      <c r="L8" s="0" t="n">
        <v>134657</v>
      </c>
      <c r="M8" s="0" t="n">
        <v>32325</v>
      </c>
      <c r="N8" s="0" t="n">
        <v>102332</v>
      </c>
      <c r="O8" s="0" t="n">
        <v>247535</v>
      </c>
      <c r="P8" s="0" t="n">
        <v>448512</v>
      </c>
      <c r="Q8" s="0" t="n">
        <v>200977</v>
      </c>
      <c r="R8" s="0" t="n">
        <v>110821</v>
      </c>
      <c r="S8" s="0" t="n">
        <v>61502</v>
      </c>
      <c r="T8" s="0" t="n">
        <v>368757</v>
      </c>
      <c r="U8" s="0" t="n">
        <v>4893</v>
      </c>
      <c r="AA8" s="0" t="s">
        <v>65</v>
      </c>
      <c r="AB8" s="0" t="s">
        <v>14</v>
      </c>
      <c r="AC8" s="0" t="n">
        <v>1112</v>
      </c>
    </row>
    <row r="9" customFormat="false" ht="15" hidden="false" customHeight="false" outlineLevel="0" collapsed="false">
      <c r="A9" s="0" t="s">
        <v>72</v>
      </c>
      <c r="B9" s="0" t="n">
        <v>320840</v>
      </c>
      <c r="C9" s="0" t="n">
        <v>171570</v>
      </c>
      <c r="D9" s="0" t="n">
        <v>149270</v>
      </c>
      <c r="E9" s="0" t="n">
        <v>46.5</v>
      </c>
      <c r="H9" s="0" t="n">
        <v>161925</v>
      </c>
      <c r="I9" s="0" t="n">
        <v>4399</v>
      </c>
      <c r="J9" s="0" t="n">
        <v>1.4</v>
      </c>
      <c r="K9" s="0" t="n">
        <v>0.0118</v>
      </c>
      <c r="L9" s="0" t="n">
        <v>152560</v>
      </c>
      <c r="M9" s="0" t="n">
        <v>47103</v>
      </c>
      <c r="N9" s="0" t="n">
        <v>105457</v>
      </c>
      <c r="O9" s="0" t="n">
        <v>256537</v>
      </c>
      <c r="P9" s="0" t="n">
        <v>536485</v>
      </c>
      <c r="Q9" s="0" t="n">
        <v>279948</v>
      </c>
      <c r="R9" s="0" t="n">
        <v>91810</v>
      </c>
      <c r="S9" s="0" t="n">
        <v>106471</v>
      </c>
      <c r="T9" s="0" t="n">
        <v>373757</v>
      </c>
      <c r="U9" s="0" t="n">
        <v>4712</v>
      </c>
      <c r="AA9" s="0" t="s">
        <v>65</v>
      </c>
      <c r="AB9" s="0" t="s">
        <v>14</v>
      </c>
      <c r="AC9" s="0" t="n">
        <v>1208</v>
      </c>
    </row>
    <row r="10" customFormat="false" ht="15" hidden="false" customHeight="false" outlineLevel="0" collapsed="false">
      <c r="A10" s="0" t="s">
        <v>73</v>
      </c>
      <c r="B10" s="0" t="n">
        <v>359834</v>
      </c>
      <c r="C10" s="0" t="n">
        <v>202820</v>
      </c>
      <c r="D10" s="0" t="n">
        <v>157014</v>
      </c>
      <c r="E10" s="0" t="n">
        <v>43.6</v>
      </c>
      <c r="H10" s="0" t="n">
        <v>168330</v>
      </c>
      <c r="I10" s="0" t="n">
        <v>87138</v>
      </c>
      <c r="J10" s="0" t="n">
        <v>24.2</v>
      </c>
      <c r="K10" s="0" t="n">
        <v>0.2313</v>
      </c>
      <c r="L10" s="0" t="n">
        <v>158184</v>
      </c>
      <c r="M10" s="0" t="n">
        <v>65640</v>
      </c>
      <c r="N10" s="0" t="n">
        <v>92544</v>
      </c>
      <c r="O10" s="0" t="n">
        <v>309265</v>
      </c>
      <c r="P10" s="0" t="n">
        <v>623559</v>
      </c>
      <c r="Q10" s="0" t="n">
        <v>314294</v>
      </c>
      <c r="R10" s="0" t="n">
        <v>84110</v>
      </c>
      <c r="S10" s="0" t="n">
        <v>119917</v>
      </c>
      <c r="T10" s="0" t="n">
        <v>376765</v>
      </c>
      <c r="U10" s="0" t="n">
        <v>4966</v>
      </c>
      <c r="AA10" s="0" t="s">
        <v>65</v>
      </c>
      <c r="AB10" s="0" t="s">
        <v>14</v>
      </c>
      <c r="AC10" s="0" t="n">
        <v>1421</v>
      </c>
    </row>
    <row r="11" customFormat="false" ht="15" hidden="false" customHeight="false" outlineLevel="0" collapsed="false">
      <c r="A11" s="0" t="s">
        <v>74</v>
      </c>
      <c r="B11" s="0" t="n">
        <v>505892</v>
      </c>
      <c r="C11" s="0" t="n">
        <v>234237</v>
      </c>
      <c r="D11" s="0" t="n">
        <v>271655</v>
      </c>
      <c r="E11" s="0" t="n">
        <v>53.7</v>
      </c>
      <c r="H11" s="0" t="n">
        <v>273374</v>
      </c>
      <c r="I11" s="0" t="n">
        <v>150277</v>
      </c>
      <c r="J11" s="0" t="n">
        <v>29.7</v>
      </c>
      <c r="K11" s="0" t="n">
        <v>0.3708</v>
      </c>
      <c r="L11" s="0" t="n">
        <v>259314</v>
      </c>
      <c r="M11" s="0" t="n">
        <v>97449</v>
      </c>
      <c r="N11" s="0" t="n">
        <v>161865</v>
      </c>
      <c r="O11" s="0" t="n">
        <v>781209</v>
      </c>
      <c r="P11" s="0" t="n">
        <v>1039687</v>
      </c>
      <c r="Q11" s="0" t="n">
        <v>258478</v>
      </c>
      <c r="R11" s="0" t="n">
        <v>31803</v>
      </c>
      <c r="S11" s="0" t="n">
        <v>355748</v>
      </c>
      <c r="T11" s="0" t="n">
        <v>405236</v>
      </c>
      <c r="U11" s="0" t="n">
        <v>6646</v>
      </c>
      <c r="AA11" s="0" t="s">
        <v>65</v>
      </c>
      <c r="AB11" s="0" t="s">
        <v>14</v>
      </c>
      <c r="AC11" s="0" t="n">
        <v>1468</v>
      </c>
    </row>
    <row r="12" customFormat="false" ht="15" hidden="false" customHeight="false" outlineLevel="0" collapsed="false">
      <c r="A12" s="0" t="s">
        <v>75</v>
      </c>
      <c r="B12" s="0" t="n">
        <v>711361</v>
      </c>
      <c r="C12" s="0" t="n">
        <v>288600</v>
      </c>
      <c r="D12" s="0" t="n">
        <v>422761</v>
      </c>
      <c r="E12" s="0" t="n">
        <v>59.4</v>
      </c>
      <c r="H12" s="0" t="n">
        <v>425658</v>
      </c>
      <c r="I12" s="0" t="n">
        <v>282194</v>
      </c>
      <c r="J12" s="0" t="n">
        <v>39.7</v>
      </c>
      <c r="K12" s="0" t="n">
        <v>0.6327</v>
      </c>
      <c r="L12" s="0" t="n">
        <v>470171</v>
      </c>
      <c r="M12" s="0" t="n">
        <v>300668</v>
      </c>
      <c r="N12" s="0" t="n">
        <v>169503</v>
      </c>
      <c r="O12" s="0" t="n">
        <v>1432119</v>
      </c>
      <c r="P12" s="0" t="n">
        <v>1843926</v>
      </c>
      <c r="Q12" s="0" t="n">
        <v>411807</v>
      </c>
      <c r="R12" s="0" t="n">
        <v>20295</v>
      </c>
      <c r="S12" s="0" t="n">
        <v>504811</v>
      </c>
      <c r="T12" s="0" t="n">
        <v>445986</v>
      </c>
      <c r="U12" s="0" t="n">
        <v>8069</v>
      </c>
      <c r="AA12" s="0" t="s">
        <v>65</v>
      </c>
      <c r="AB12" s="0" t="s">
        <v>14</v>
      </c>
      <c r="AC12" s="0" t="n">
        <v>1629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76</v>
      </c>
      <c r="B1" s="2" t="s">
        <v>77</v>
      </c>
    </row>
    <row r="2" customFormat="false" ht="15" hidden="false" customHeight="false" outlineLevel="0" collapsed="false">
      <c r="A2" s="0" t="s">
        <v>78</v>
      </c>
      <c r="B2" s="3" t="n">
        <v>15.48</v>
      </c>
    </row>
    <row r="3" customFormat="false" ht="15" hidden="false" customHeight="false" outlineLevel="0" collapsed="false">
      <c r="A3" s="0" t="s">
        <v>79</v>
      </c>
      <c r="B3" s="3" t="n">
        <v>458.5</v>
      </c>
    </row>
    <row r="4" customFormat="false" ht="15" hidden="false" customHeight="false" outlineLevel="0" collapsed="false">
      <c r="A4" s="0" t="s">
        <v>80</v>
      </c>
      <c r="B4" s="3" t="n">
        <v>-504.811</v>
      </c>
    </row>
    <row r="5" customFormat="false" ht="15" hidden="false" customHeight="false" outlineLevel="0" collapsed="false">
      <c r="A5" s="0" t="s">
        <v>81</v>
      </c>
      <c r="B5" s="3" t="n">
        <v>-102.834</v>
      </c>
    </row>
    <row r="6" customFormat="false" ht="15" hidden="false" customHeight="false" outlineLevel="0" collapsed="false">
      <c r="A6" s="0" t="s">
        <v>82</v>
      </c>
      <c r="B6" s="3" t="n">
        <v>15</v>
      </c>
    </row>
    <row r="7" customFormat="false" ht="15" hidden="false" customHeight="false" outlineLevel="0" collapsed="false">
      <c r="A7" s="0" t="s">
        <v>83</v>
      </c>
      <c r="B7" s="3" t="n">
        <v>769.346</v>
      </c>
    </row>
    <row r="8" customFormat="false" ht="15" hidden="false" customHeight="false" outlineLevel="0" collapsed="false">
      <c r="A8" s="0" t="s">
        <v>84</v>
      </c>
      <c r="B8" s="3" t="s">
        <v>75</v>
      </c>
    </row>
    <row r="9" customFormat="false" ht="15" hidden="false" customHeight="false" outlineLevel="0" collapsed="false">
      <c r="A9" s="0" t="s">
        <v>85</v>
      </c>
      <c r="B9" s="3" t="s">
        <v>86</v>
      </c>
    </row>
    <row r="10" customFormat="false" ht="15" hidden="false" customHeight="false" outlineLevel="0" collapsed="false">
      <c r="A10" s="0" t="s">
        <v>87</v>
      </c>
      <c r="B10" s="3" t="n">
        <v>1</v>
      </c>
    </row>
    <row r="12" customFormat="false" ht="15" hidden="false" customHeight="false" outlineLevel="0" collapsed="false">
      <c r="A12" s="2" t="s">
        <v>88</v>
      </c>
      <c r="C12" s="2" t="s">
        <v>89</v>
      </c>
      <c r="D12" s="2" t="s">
        <v>90</v>
      </c>
      <c r="E12" s="2" t="s">
        <v>91</v>
      </c>
      <c r="F12" s="2" t="s">
        <v>92</v>
      </c>
      <c r="G12" s="2" t="s">
        <v>93</v>
      </c>
      <c r="H12" s="2" t="s">
        <v>94</v>
      </c>
      <c r="I12" s="2" t="s">
        <v>95</v>
      </c>
      <c r="J12" s="2" t="s">
        <v>96</v>
      </c>
      <c r="K12" s="2" t="s">
        <v>97</v>
      </c>
      <c r="L12" s="2" t="s">
        <v>98</v>
      </c>
    </row>
    <row r="13" customFormat="false" ht="15" hidden="false" customHeight="false" outlineLevel="0" collapsed="false">
      <c r="A13" s="0" t="s">
        <v>99</v>
      </c>
      <c r="C13" s="3" t="n">
        <v>1.9</v>
      </c>
      <c r="D13" s="3" t="n">
        <v>-11.99</v>
      </c>
      <c r="E13" s="3" t="n">
        <v>32.17</v>
      </c>
      <c r="F13" s="3" t="n">
        <v>41.67</v>
      </c>
      <c r="G13" s="3" t="n">
        <v>8.82</v>
      </c>
      <c r="H13" s="3" t="n">
        <v>5.41</v>
      </c>
      <c r="I13" s="3" t="n">
        <v>-2.56</v>
      </c>
      <c r="J13" s="3" t="n">
        <v>0</v>
      </c>
      <c r="K13" s="3" t="n">
        <v>-15.79</v>
      </c>
      <c r="L13" s="3" t="n">
        <v>-3.12</v>
      </c>
    </row>
    <row r="14" customFormat="false" ht="15" hidden="false" customHeight="false" outlineLevel="0" collapsed="false">
      <c r="A14" s="0" t="s">
        <v>100</v>
      </c>
      <c r="C14" s="3" t="n">
        <v>49.74</v>
      </c>
      <c r="D14" s="3" t="n">
        <v>36.06</v>
      </c>
      <c r="E14" s="3" t="n">
        <v>27.37</v>
      </c>
      <c r="F14" s="3" t="n">
        <v>33.82</v>
      </c>
      <c r="G14" s="3" t="n">
        <v>35.45</v>
      </c>
      <c r="H14" s="3" t="n">
        <v>34.64</v>
      </c>
      <c r="I14" s="3" t="n">
        <v>32.78</v>
      </c>
      <c r="J14" s="3" t="n">
        <v>30.75</v>
      </c>
      <c r="K14" s="3" t="n">
        <v>24.61</v>
      </c>
      <c r="L14" s="3" t="n">
        <v>22.13</v>
      </c>
    </row>
    <row r="15" customFormat="false" ht="15" hidden="false" customHeight="false" outlineLevel="0" collapsed="false">
      <c r="A15" s="0" t="s">
        <v>101</v>
      </c>
      <c r="C15" s="3" t="n">
        <v>1</v>
      </c>
      <c r="D15" s="3" t="n">
        <v>1.1</v>
      </c>
      <c r="E15" s="3" t="n">
        <v>0.9</v>
      </c>
      <c r="F15" s="3" t="n">
        <v>0.7</v>
      </c>
      <c r="G15" s="3" t="n">
        <v>0.7</v>
      </c>
      <c r="H15" s="3" t="n">
        <v>0.7</v>
      </c>
      <c r="I15" s="3" t="n">
        <v>0.7</v>
      </c>
      <c r="J15" s="3" t="n">
        <v>0.7</v>
      </c>
      <c r="K15" s="3" t="n">
        <v>0.8</v>
      </c>
      <c r="L15" s="3" t="n">
        <v>0.8</v>
      </c>
    </row>
    <row r="16" customFormat="false" ht="15" hidden="false" customHeight="false" outlineLevel="0" collapsed="false">
      <c r="A16" s="0" t="s">
        <v>102</v>
      </c>
      <c r="C16" s="3" t="n">
        <v>1.6</v>
      </c>
      <c r="D16" s="3" t="n">
        <v>1.8</v>
      </c>
      <c r="E16" s="3" t="n">
        <v>1.5</v>
      </c>
      <c r="F16" s="3" t="n">
        <v>1.2</v>
      </c>
      <c r="G16" s="3" t="n">
        <v>1.2</v>
      </c>
      <c r="H16" s="3" t="n">
        <v>1.2</v>
      </c>
      <c r="I16" s="3" t="n">
        <v>1.2</v>
      </c>
      <c r="J16" s="3" t="n">
        <v>1.2</v>
      </c>
      <c r="K16" s="3" t="n">
        <v>1.4</v>
      </c>
      <c r="L16" s="3" t="n">
        <v>1.4</v>
      </c>
    </row>
    <row r="17" customFormat="false" ht="15" hidden="false" customHeight="false" outlineLevel="0" collapsed="false">
      <c r="A17" s="0" t="s">
        <v>103</v>
      </c>
      <c r="C17" s="3" t="n">
        <v>5.8</v>
      </c>
      <c r="D17" s="3" t="n">
        <v>7.5</v>
      </c>
      <c r="E17" s="3" t="n">
        <v>9</v>
      </c>
      <c r="F17" s="3" t="n">
        <v>8.5</v>
      </c>
      <c r="G17" s="3" t="n">
        <v>8.5</v>
      </c>
      <c r="H17" s="3" t="n">
        <v>8.5</v>
      </c>
      <c r="I17" s="3" t="n">
        <v>8.7</v>
      </c>
      <c r="J17" s="3" t="n">
        <v>9</v>
      </c>
      <c r="K17" s="3" t="n">
        <v>10</v>
      </c>
      <c r="L17" s="3" t="n">
        <v>10.5</v>
      </c>
    </row>
    <row r="18" customFormat="false" ht="15" hidden="false" customHeight="false" outlineLevel="0" collapsed="false">
      <c r="A18" s="0" t="s">
        <v>104</v>
      </c>
      <c r="C18" s="3" t="n">
        <v>51.02</v>
      </c>
      <c r="D18" s="3" t="n">
        <v>68.12</v>
      </c>
      <c r="E18" s="3" t="n">
        <v>27.41</v>
      </c>
      <c r="F18" s="3" t="n">
        <v>14.71</v>
      </c>
      <c r="G18" s="3" t="n">
        <v>13.51</v>
      </c>
      <c r="H18" s="3" t="n">
        <v>13.16</v>
      </c>
      <c r="I18" s="3" t="n">
        <v>13.5</v>
      </c>
      <c r="J18" s="3" t="n">
        <v>13.5</v>
      </c>
      <c r="K18" s="3" t="n">
        <v>15.21</v>
      </c>
      <c r="L18" s="3" t="n">
        <v>15.7</v>
      </c>
    </row>
    <row r="19" customFormat="false" ht="15" hidden="false" customHeight="false" outlineLevel="0" collapsed="false">
      <c r="A19" s="0" t="s">
        <v>105</v>
      </c>
      <c r="C19" s="3" t="n">
        <v>22</v>
      </c>
      <c r="D19" s="3" t="n">
        <v>15</v>
      </c>
      <c r="E19" s="3" t="n">
        <v>20</v>
      </c>
      <c r="F19" s="3" t="n">
        <v>28</v>
      </c>
      <c r="G19" s="3" t="n">
        <v>30</v>
      </c>
      <c r="H19" s="3" t="n">
        <v>30</v>
      </c>
      <c r="I19" s="3" t="n">
        <v>30</v>
      </c>
      <c r="J19" s="3" t="n">
        <v>30</v>
      </c>
      <c r="K19" s="3" t="n">
        <v>30</v>
      </c>
      <c r="L19" s="3" t="n">
        <v>30</v>
      </c>
    </row>
    <row r="20" customFormat="false" ht="15" hidden="false" customHeight="false" outlineLevel="0" collapsed="false">
      <c r="A20" s="0" t="s">
        <v>106</v>
      </c>
      <c r="B20" s="3" t="n">
        <v>9.5</v>
      </c>
    </row>
    <row r="21" customFormat="false" ht="15" hidden="false" customHeight="false" outlineLevel="0" collapsed="false">
      <c r="A21" s="0" t="s">
        <v>107</v>
      </c>
      <c r="B21" s="3" t="n">
        <v>0</v>
      </c>
    </row>
    <row r="22" customFormat="false" ht="15" hidden="false" customHeight="false" outlineLevel="0" collapsed="false">
      <c r="A22" s="0" t="s">
        <v>108</v>
      </c>
      <c r="B22" s="3" t="n">
        <v>6</v>
      </c>
    </row>
    <row r="23" customFormat="false" ht="15" hidden="false" customHeight="false" outlineLevel="0" collapsed="false">
      <c r="A23" s="0" t="s">
        <v>109</v>
      </c>
      <c r="B23" s="3" t="n">
        <v>-3</v>
      </c>
    </row>
    <row r="24" customFormat="false" ht="15" hidden="false" customHeight="false" outlineLevel="0" collapsed="false">
      <c r="A24" s="0" t="s">
        <v>110</v>
      </c>
      <c r="B24" s="3" t="n">
        <v>0.3</v>
      </c>
    </row>
    <row r="26" customFormat="false" ht="15" hidden="false" customHeight="false" outlineLevel="0" collapsed="false">
      <c r="A26" s="2" t="s">
        <v>111</v>
      </c>
      <c r="C26" s="2" t="s">
        <v>89</v>
      </c>
      <c r="D26" s="2" t="s">
        <v>90</v>
      </c>
      <c r="E26" s="2" t="s">
        <v>91</v>
      </c>
      <c r="F26" s="2" t="s">
        <v>92</v>
      </c>
      <c r="G26" s="2" t="s">
        <v>93</v>
      </c>
      <c r="H26" s="2" t="s">
        <v>94</v>
      </c>
      <c r="I26" s="2" t="s">
        <v>95</v>
      </c>
      <c r="J26" s="2" t="s">
        <v>96</v>
      </c>
      <c r="K26" s="2" t="s">
        <v>97</v>
      </c>
      <c r="L26" s="2" t="s">
        <v>98</v>
      </c>
    </row>
    <row r="27" customFormat="false" ht="15" hidden="false" customHeight="false" outlineLevel="0" collapsed="false">
      <c r="A27" s="0" t="s">
        <v>99</v>
      </c>
      <c r="C27" s="3" t="n">
        <v>8.9</v>
      </c>
      <c r="D27" s="3" t="n">
        <v>35.35</v>
      </c>
      <c r="E27" s="3" t="n">
        <v>41.09</v>
      </c>
      <c r="F27" s="3" t="n">
        <v>12.5</v>
      </c>
      <c r="G27" s="3" t="n">
        <v>8</v>
      </c>
      <c r="H27" s="3" t="n">
        <v>1.23</v>
      </c>
      <c r="I27" s="3" t="n">
        <v>0</v>
      </c>
      <c r="J27" s="3" t="n">
        <v>-2.44</v>
      </c>
      <c r="K27" s="3" t="n">
        <v>-15</v>
      </c>
      <c r="L27" s="3" t="n">
        <v>-2.94</v>
      </c>
    </row>
    <row r="28" customFormat="false" ht="15" hidden="false" customHeight="false" outlineLevel="0" collapsed="false">
      <c r="A28" s="0" t="s">
        <v>100</v>
      </c>
      <c r="C28" s="3" t="n">
        <v>54.87</v>
      </c>
      <c r="D28" s="3" t="n">
        <v>51.68</v>
      </c>
      <c r="E28" s="3" t="n">
        <v>52.53</v>
      </c>
      <c r="F28" s="3" t="n">
        <v>53.15</v>
      </c>
      <c r="G28" s="3" t="n">
        <v>54.04</v>
      </c>
      <c r="H28" s="3" t="n">
        <v>53.31</v>
      </c>
      <c r="I28" s="3" t="n">
        <v>52.4</v>
      </c>
      <c r="J28" s="3" t="n">
        <v>51.03</v>
      </c>
      <c r="K28" s="3" t="n">
        <v>46.97</v>
      </c>
      <c r="L28" s="3" t="n">
        <v>45.58</v>
      </c>
    </row>
    <row r="29" customFormat="false" ht="15" hidden="false" customHeight="false" outlineLevel="0" collapsed="false">
      <c r="A29" s="0" t="s">
        <v>101</v>
      </c>
      <c r="C29" s="3" t="n">
        <v>1</v>
      </c>
      <c r="D29" s="3" t="n">
        <v>0.9</v>
      </c>
      <c r="E29" s="3" t="n">
        <v>0.7</v>
      </c>
      <c r="F29" s="3" t="n">
        <v>0.6</v>
      </c>
      <c r="G29" s="3" t="n">
        <v>0.6</v>
      </c>
      <c r="H29" s="3" t="n">
        <v>0.6</v>
      </c>
      <c r="I29" s="3" t="n">
        <v>0.6</v>
      </c>
      <c r="J29" s="3" t="n">
        <v>0.6</v>
      </c>
      <c r="K29" s="3" t="n">
        <v>0.6</v>
      </c>
      <c r="L29" s="3" t="n">
        <v>0.6</v>
      </c>
    </row>
    <row r="30" customFormat="false" ht="15" hidden="false" customHeight="false" outlineLevel="0" collapsed="false">
      <c r="A30" s="0" t="s">
        <v>102</v>
      </c>
      <c r="C30" s="3" t="n">
        <v>1.5</v>
      </c>
      <c r="D30" s="3" t="n">
        <v>1.4</v>
      </c>
      <c r="E30" s="3" t="n">
        <v>1.2</v>
      </c>
      <c r="F30" s="3" t="n">
        <v>1.1</v>
      </c>
      <c r="G30" s="3" t="n">
        <v>1</v>
      </c>
      <c r="H30" s="3" t="n">
        <v>1</v>
      </c>
      <c r="I30" s="3" t="n">
        <v>1</v>
      </c>
      <c r="J30" s="3" t="n">
        <v>1</v>
      </c>
      <c r="K30" s="3" t="n">
        <v>1.1</v>
      </c>
      <c r="L30" s="3" t="n">
        <v>1.1</v>
      </c>
    </row>
    <row r="31" customFormat="false" ht="15" hidden="false" customHeight="false" outlineLevel="0" collapsed="false">
      <c r="A31" s="0" t="s">
        <v>103</v>
      </c>
      <c r="C31" s="3" t="n">
        <v>5.4</v>
      </c>
      <c r="D31" s="3" t="n">
        <v>6.6</v>
      </c>
      <c r="E31" s="3" t="n">
        <v>6.9</v>
      </c>
      <c r="F31" s="3" t="n">
        <v>6.9</v>
      </c>
      <c r="G31" s="3" t="n">
        <v>6.7</v>
      </c>
      <c r="H31" s="3" t="n">
        <v>6.7</v>
      </c>
      <c r="I31" s="3" t="n">
        <v>6.8</v>
      </c>
      <c r="J31" s="3" t="n">
        <v>7</v>
      </c>
      <c r="K31" s="3" t="n">
        <v>7.8</v>
      </c>
      <c r="L31" s="3" t="n">
        <v>8</v>
      </c>
    </row>
    <row r="32" customFormat="false" ht="15" hidden="false" customHeight="false" outlineLevel="0" collapsed="false">
      <c r="A32" s="0" t="s">
        <v>104</v>
      </c>
      <c r="C32" s="3" t="n">
        <v>54.07</v>
      </c>
      <c r="D32" s="3" t="n">
        <v>36.86</v>
      </c>
      <c r="E32" s="3" t="n">
        <v>11.44</v>
      </c>
      <c r="F32" s="3" t="n">
        <v>9.5</v>
      </c>
      <c r="G32" s="3" t="n">
        <v>9.26</v>
      </c>
      <c r="H32" s="3" t="n">
        <v>9.4</v>
      </c>
      <c r="I32" s="3" t="n">
        <v>9.4</v>
      </c>
      <c r="J32" s="3" t="n">
        <v>9.64</v>
      </c>
      <c r="K32" s="3" t="n">
        <v>10.72</v>
      </c>
      <c r="L32" s="3" t="n">
        <v>11.05</v>
      </c>
    </row>
    <row r="33" customFormat="false" ht="15" hidden="false" customHeight="false" outlineLevel="0" collapsed="false">
      <c r="A33" s="0" t="s">
        <v>105</v>
      </c>
      <c r="C33" s="3" t="n">
        <v>22</v>
      </c>
      <c r="D33" s="3" t="n">
        <v>22</v>
      </c>
      <c r="E33" s="3" t="n">
        <v>26</v>
      </c>
      <c r="F33" s="3" t="n">
        <v>30</v>
      </c>
      <c r="G33" s="3" t="n">
        <v>30</v>
      </c>
      <c r="H33" s="3" t="n">
        <v>30</v>
      </c>
      <c r="I33" s="3" t="n">
        <v>30</v>
      </c>
      <c r="J33" s="3" t="n">
        <v>30</v>
      </c>
      <c r="K33" s="3" t="n">
        <v>30</v>
      </c>
      <c r="L33" s="3" t="n">
        <v>30</v>
      </c>
    </row>
    <row r="34" customFormat="false" ht="15" hidden="false" customHeight="false" outlineLevel="0" collapsed="false">
      <c r="A34" s="0" t="s">
        <v>106</v>
      </c>
      <c r="B34" s="3" t="n">
        <v>9.5</v>
      </c>
    </row>
    <row r="35" customFormat="false" ht="15" hidden="false" customHeight="false" outlineLevel="0" collapsed="false">
      <c r="A35" s="0" t="s">
        <v>107</v>
      </c>
      <c r="B35" s="3" t="n">
        <v>0</v>
      </c>
    </row>
    <row r="36" customFormat="false" ht="15" hidden="false" customHeight="false" outlineLevel="0" collapsed="false">
      <c r="A36" s="0" t="s">
        <v>108</v>
      </c>
      <c r="B36" s="3" t="n">
        <v>8</v>
      </c>
    </row>
    <row r="37" customFormat="false" ht="15" hidden="false" customHeight="false" outlineLevel="0" collapsed="false">
      <c r="A37" s="0" t="s">
        <v>109</v>
      </c>
      <c r="B37" s="3" t="n">
        <v>-3</v>
      </c>
    </row>
    <row r="38" customFormat="false" ht="15" hidden="false" customHeight="false" outlineLevel="0" collapsed="false">
      <c r="A38" s="0" t="s">
        <v>110</v>
      </c>
      <c r="B38" s="3" t="n">
        <v>0.5</v>
      </c>
    </row>
    <row r="40" customFormat="false" ht="15" hidden="false" customHeight="false" outlineLevel="0" collapsed="false">
      <c r="A40" s="2" t="s">
        <v>112</v>
      </c>
      <c r="C40" s="2" t="s">
        <v>89</v>
      </c>
      <c r="D40" s="2" t="s">
        <v>90</v>
      </c>
      <c r="E40" s="2" t="s">
        <v>91</v>
      </c>
      <c r="F40" s="2" t="s">
        <v>92</v>
      </c>
      <c r="G40" s="2" t="s">
        <v>93</v>
      </c>
      <c r="H40" s="2" t="s">
        <v>94</v>
      </c>
      <c r="I40" s="2" t="s">
        <v>95</v>
      </c>
      <c r="J40" s="2" t="s">
        <v>96</v>
      </c>
      <c r="K40" s="2" t="s">
        <v>97</v>
      </c>
      <c r="L40" s="2" t="s">
        <v>98</v>
      </c>
    </row>
    <row r="41" customFormat="false" ht="15" hidden="false" customHeight="false" outlineLevel="0" collapsed="false">
      <c r="A41" s="0" t="s">
        <v>99</v>
      </c>
      <c r="C41" s="3" t="n">
        <v>18.74</v>
      </c>
      <c r="D41" s="3" t="n">
        <v>50.67</v>
      </c>
      <c r="E41" s="3" t="n">
        <v>50.9</v>
      </c>
      <c r="F41" s="3" t="n">
        <v>14.93</v>
      </c>
      <c r="G41" s="3" t="n">
        <v>23.38</v>
      </c>
      <c r="H41" s="3" t="n">
        <v>7.37</v>
      </c>
      <c r="I41" s="3" t="n">
        <v>0</v>
      </c>
      <c r="J41" s="3" t="n">
        <v>-0.98</v>
      </c>
      <c r="K41" s="3" t="n">
        <v>-11.88</v>
      </c>
      <c r="L41" s="3" t="n">
        <v>-2.25</v>
      </c>
    </row>
    <row r="42" customFormat="false" ht="15" hidden="false" customHeight="false" outlineLevel="0" collapsed="false">
      <c r="A42" s="0" t="s">
        <v>100</v>
      </c>
      <c r="C42" s="3" t="n">
        <v>58.57</v>
      </c>
      <c r="D42" s="3" t="n">
        <v>58.94</v>
      </c>
      <c r="E42" s="3" t="n">
        <v>62.64</v>
      </c>
      <c r="F42" s="3" t="n">
        <v>64.44</v>
      </c>
      <c r="G42" s="3" t="n">
        <v>64.77</v>
      </c>
      <c r="H42" s="3" t="n">
        <v>64.77</v>
      </c>
      <c r="I42" s="3" t="n">
        <v>64.19</v>
      </c>
      <c r="J42" s="3" t="n">
        <v>63.25</v>
      </c>
      <c r="K42" s="3" t="n">
        <v>60.66</v>
      </c>
      <c r="L42" s="3" t="n">
        <v>59.67</v>
      </c>
    </row>
    <row r="43" customFormat="false" ht="15" hidden="false" customHeight="false" outlineLevel="0" collapsed="false">
      <c r="A43" s="0" t="s">
        <v>101</v>
      </c>
      <c r="C43" s="3" t="n">
        <v>1</v>
      </c>
      <c r="D43" s="3" t="n">
        <v>0.9</v>
      </c>
      <c r="E43" s="3" t="n">
        <v>0.7</v>
      </c>
      <c r="F43" s="3" t="n">
        <v>0.6</v>
      </c>
      <c r="G43" s="3" t="n">
        <v>0.5</v>
      </c>
      <c r="H43" s="3" t="n">
        <v>0.5</v>
      </c>
      <c r="I43" s="3" t="n">
        <v>0.5</v>
      </c>
      <c r="J43" s="3" t="n">
        <v>0.5</v>
      </c>
      <c r="K43" s="3" t="n">
        <v>0.5</v>
      </c>
      <c r="L43" s="3" t="n">
        <v>0.5</v>
      </c>
    </row>
    <row r="44" customFormat="false" ht="15" hidden="false" customHeight="false" outlineLevel="0" collapsed="false">
      <c r="A44" s="0" t="s">
        <v>102</v>
      </c>
      <c r="C44" s="3" t="n">
        <v>1.4</v>
      </c>
      <c r="D44" s="3" t="n">
        <v>1.3</v>
      </c>
      <c r="E44" s="3" t="n">
        <v>1.1</v>
      </c>
      <c r="F44" s="3" t="n">
        <v>1</v>
      </c>
      <c r="G44" s="3" t="n">
        <v>0.9</v>
      </c>
      <c r="H44" s="3" t="n">
        <v>0.9</v>
      </c>
      <c r="I44" s="3" t="n">
        <v>0.9</v>
      </c>
      <c r="J44" s="3" t="n">
        <v>0.9</v>
      </c>
      <c r="K44" s="3" t="n">
        <v>1</v>
      </c>
      <c r="L44" s="3" t="n">
        <v>1</v>
      </c>
    </row>
    <row r="45" customFormat="false" ht="15" hidden="false" customHeight="false" outlineLevel="0" collapsed="false">
      <c r="A45" s="0" t="s">
        <v>103</v>
      </c>
      <c r="C45" s="3" t="n">
        <v>5</v>
      </c>
      <c r="D45" s="3" t="n">
        <v>5.8</v>
      </c>
      <c r="E45" s="3" t="n">
        <v>6</v>
      </c>
      <c r="F45" s="3" t="n">
        <v>6</v>
      </c>
      <c r="G45" s="3" t="n">
        <v>6.2</v>
      </c>
      <c r="H45" s="3" t="n">
        <v>6.2</v>
      </c>
      <c r="I45" s="3" t="n">
        <v>6.3</v>
      </c>
      <c r="J45" s="3" t="n">
        <v>6.5</v>
      </c>
      <c r="K45" s="3" t="n">
        <v>7.2</v>
      </c>
      <c r="L45" s="3" t="n">
        <v>7.4</v>
      </c>
    </row>
    <row r="46" customFormat="false" ht="15" hidden="false" customHeight="false" outlineLevel="0" collapsed="false">
      <c r="A46" s="0" t="s">
        <v>104</v>
      </c>
      <c r="C46" s="3" t="n">
        <v>49.59</v>
      </c>
      <c r="D46" s="3" t="n">
        <v>31.24</v>
      </c>
      <c r="E46" s="3" t="n">
        <v>14.44</v>
      </c>
      <c r="F46" s="3" t="n">
        <v>12.15</v>
      </c>
      <c r="G46" s="3" t="n">
        <v>6.79</v>
      </c>
      <c r="H46" s="3" t="n">
        <v>6.17</v>
      </c>
      <c r="I46" s="3" t="n">
        <v>6.17</v>
      </c>
      <c r="J46" s="3" t="n">
        <v>6.23</v>
      </c>
      <c r="K46" s="3" t="n">
        <v>6.71</v>
      </c>
      <c r="L46" s="3" t="n">
        <v>6.86</v>
      </c>
    </row>
    <row r="47" customFormat="false" ht="15" hidden="false" customHeight="false" outlineLevel="0" collapsed="false">
      <c r="A47" s="0" t="s">
        <v>105</v>
      </c>
      <c r="C47" s="3" t="n">
        <v>22</v>
      </c>
      <c r="D47" s="3" t="n">
        <v>22</v>
      </c>
      <c r="E47" s="3" t="n">
        <v>26</v>
      </c>
      <c r="F47" s="3" t="n">
        <v>28</v>
      </c>
      <c r="G47" s="3" t="n">
        <v>30</v>
      </c>
      <c r="H47" s="3" t="n">
        <v>30</v>
      </c>
      <c r="I47" s="3" t="n">
        <v>30</v>
      </c>
      <c r="J47" s="3" t="n">
        <v>30</v>
      </c>
      <c r="K47" s="3" t="n">
        <v>30</v>
      </c>
      <c r="L47" s="3" t="n">
        <v>30</v>
      </c>
    </row>
    <row r="48" customFormat="false" ht="15" hidden="false" customHeight="false" outlineLevel="0" collapsed="false">
      <c r="A48" s="0" t="s">
        <v>106</v>
      </c>
      <c r="B48" s="3" t="n">
        <v>9.5</v>
      </c>
    </row>
    <row r="49" customFormat="false" ht="15" hidden="false" customHeight="false" outlineLevel="0" collapsed="false">
      <c r="A49" s="0" t="s">
        <v>107</v>
      </c>
      <c r="B49" s="3" t="n">
        <v>1</v>
      </c>
    </row>
    <row r="50" customFormat="false" ht="15" hidden="false" customHeight="false" outlineLevel="0" collapsed="false">
      <c r="A50" s="0" t="s">
        <v>108</v>
      </c>
      <c r="B50" s="3" t="n">
        <v>10</v>
      </c>
    </row>
    <row r="51" customFormat="false" ht="15" hidden="false" customHeight="false" outlineLevel="0" collapsed="false">
      <c r="A51" s="0" t="s">
        <v>109</v>
      </c>
      <c r="B51" s="3" t="n">
        <v>-3</v>
      </c>
    </row>
    <row r="52" customFormat="false" ht="15" hidden="false" customHeight="false" outlineLevel="0" collapsed="false">
      <c r="A52" s="0" t="s">
        <v>110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113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Assumptions!C13</f>
        <v>1.9</v>
      </c>
      <c r="D5" s="4" t="n">
        <f aca="false">Assumptions!D13</f>
        <v>-11.99</v>
      </c>
      <c r="E5" s="4" t="n">
        <f aca="false">Assumptions!E13</f>
        <v>32.17</v>
      </c>
      <c r="F5" s="4" t="n">
        <f aca="false">Assumptions!F13</f>
        <v>41.67</v>
      </c>
      <c r="G5" s="4" t="n">
        <f aca="false">Assumptions!G13</f>
        <v>8.82</v>
      </c>
      <c r="H5" s="4" t="n">
        <f aca="false">Assumptions!H13</f>
        <v>5.41</v>
      </c>
      <c r="I5" s="4" t="n">
        <f aca="false">Assumptions!I13</f>
        <v>-2.56</v>
      </c>
      <c r="J5" s="4" t="n">
        <f aca="false">Assumptions!J13</f>
        <v>0</v>
      </c>
      <c r="K5" s="4" t="n">
        <f aca="false">Assumptions!K13</f>
        <v>-15.79</v>
      </c>
      <c r="L5" s="4" t="n">
        <f aca="false">Assumptions!L13</f>
        <v>-3.12</v>
      </c>
    </row>
    <row r="6" customFormat="false" ht="15" hidden="false" customHeight="false" outlineLevel="0" collapsed="false">
      <c r="A6" s="0" t="s">
        <v>37</v>
      </c>
      <c r="B6" s="3" t="n">
        <v>769.346</v>
      </c>
      <c r="C6" s="0" t="n">
        <f aca="false">B6*(1+C5/100)</f>
        <v>783.963574</v>
      </c>
      <c r="D6" s="0" t="n">
        <f aca="false">C6*(1+D5/100)</f>
        <v>689.9663414774</v>
      </c>
      <c r="E6" s="0" t="n">
        <f aca="false">D6*(1+E5/100)</f>
        <v>911.928513530679</v>
      </c>
      <c r="F6" s="0" t="n">
        <f aca="false">E6*(1+F5/100)</f>
        <v>1291.92912511891</v>
      </c>
      <c r="G6" s="0" t="n">
        <f aca="false">F6*(1+G5/100)</f>
        <v>1405.8772739544</v>
      </c>
      <c r="H6" s="0" t="n">
        <f aca="false">G6*(1+H5/100)</f>
        <v>1481.93523447534</v>
      </c>
      <c r="I6" s="0" t="n">
        <f aca="false">H6*(1+I5/100)</f>
        <v>1443.99769247277</v>
      </c>
      <c r="J6" s="0" t="n">
        <f aca="false">I6*(1+J5/100)</f>
        <v>1443.99769247277</v>
      </c>
      <c r="K6" s="0" t="n">
        <f aca="false">J6*(1+K5/100)</f>
        <v>1215.99045683132</v>
      </c>
      <c r="L6" s="0" t="n">
        <f aca="false">K6*(1+L5/100)</f>
        <v>1178.05155457818</v>
      </c>
    </row>
    <row r="7" customFormat="false" ht="15" hidden="false" customHeight="false" outlineLevel="0" collapsed="false">
      <c r="A7" s="0" t="s">
        <v>100</v>
      </c>
      <c r="C7" s="4" t="n">
        <f aca="false">Assumptions!C14</f>
        <v>49.74</v>
      </c>
      <c r="D7" s="4" t="n">
        <f aca="false">Assumptions!D14</f>
        <v>36.06</v>
      </c>
      <c r="E7" s="4" t="n">
        <f aca="false">Assumptions!E14</f>
        <v>27.37</v>
      </c>
      <c r="F7" s="4" t="n">
        <f aca="false">Assumptions!F14</f>
        <v>33.82</v>
      </c>
      <c r="G7" s="4" t="n">
        <f aca="false">Assumptions!G14</f>
        <v>35.45</v>
      </c>
      <c r="H7" s="4" t="n">
        <f aca="false">Assumptions!H14</f>
        <v>34.64</v>
      </c>
      <c r="I7" s="4" t="n">
        <f aca="false">Assumptions!I14</f>
        <v>32.78</v>
      </c>
      <c r="J7" s="4" t="n">
        <f aca="false">Assumptions!J14</f>
        <v>30.75</v>
      </c>
      <c r="K7" s="4" t="n">
        <f aca="false">Assumptions!K14</f>
        <v>24.61</v>
      </c>
      <c r="L7" s="4" t="n">
        <f aca="false">Assumptions!L14</f>
        <v>22.13</v>
      </c>
    </row>
    <row r="8" customFormat="false" ht="15" hidden="false" customHeight="false" outlineLevel="0" collapsed="false">
      <c r="A8" s="0" t="s">
        <v>43</v>
      </c>
      <c r="C8" s="0" t="n">
        <f aca="false">C6*C7/100</f>
        <v>389.9434817076</v>
      </c>
      <c r="D8" s="0" t="n">
        <f aca="false">D6*D7/100</f>
        <v>248.80186273675</v>
      </c>
      <c r="E8" s="0" t="n">
        <f aca="false">E6*E7/100</f>
        <v>249.594834153347</v>
      </c>
      <c r="F8" s="0" t="n">
        <f aca="false">F6*F7/100</f>
        <v>436.930430115217</v>
      </c>
      <c r="G8" s="0" t="n">
        <f aca="false">G6*G7/100</f>
        <v>498.383493616836</v>
      </c>
      <c r="H8" s="0" t="n">
        <f aca="false">H6*H7/100</f>
        <v>513.342365222256</v>
      </c>
      <c r="I8" s="0" t="n">
        <f aca="false">I6*I7/100</f>
        <v>473.342443592573</v>
      </c>
      <c r="J8" s="0" t="n">
        <f aca="false">J6*J7/100</f>
        <v>444.029290435376</v>
      </c>
      <c r="K8" s="0" t="n">
        <f aca="false">K6*K7/100</f>
        <v>299.255251426187</v>
      </c>
      <c r="L8" s="0" t="n">
        <f aca="false">L6*L7/100</f>
        <v>260.702809028151</v>
      </c>
    </row>
    <row r="9" customFormat="false" ht="15" hidden="false" customHeight="false" outlineLevel="0" collapsed="false">
      <c r="A9" s="0" t="s">
        <v>101</v>
      </c>
      <c r="C9" s="4" t="n">
        <f aca="false">Assumptions!C15</f>
        <v>1</v>
      </c>
      <c r="D9" s="4" t="n">
        <f aca="false">Assumptions!D15</f>
        <v>1.1</v>
      </c>
      <c r="E9" s="4" t="n">
        <f aca="false">Assumptions!E15</f>
        <v>0.9</v>
      </c>
      <c r="F9" s="4" t="n">
        <f aca="false">Assumptions!F15</f>
        <v>0.7</v>
      </c>
      <c r="G9" s="4" t="n">
        <f aca="false">Assumptions!G15</f>
        <v>0.7</v>
      </c>
      <c r="H9" s="4" t="n">
        <f aca="false">Assumptions!H15</f>
        <v>0.7</v>
      </c>
      <c r="I9" s="4" t="n">
        <f aca="false">Assumptions!I15</f>
        <v>0.7</v>
      </c>
      <c r="J9" s="4" t="n">
        <f aca="false">Assumptions!J15</f>
        <v>0.7</v>
      </c>
      <c r="K9" s="4" t="n">
        <f aca="false">Assumptions!K15</f>
        <v>0.8</v>
      </c>
      <c r="L9" s="4" t="n">
        <f aca="false">Assumptions!L15</f>
        <v>0.8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-7.83963574</v>
      </c>
      <c r="D10" s="0" t="n">
        <f aca="false">-D6*D9/100</f>
        <v>-7.5896297562514</v>
      </c>
      <c r="E10" s="0" t="n">
        <f aca="false">-E6*E9/100</f>
        <v>-8.20735662177612</v>
      </c>
      <c r="F10" s="0" t="n">
        <f aca="false">-F6*F9/100</f>
        <v>-9.04350387583239</v>
      </c>
      <c r="G10" s="0" t="n">
        <f aca="false">-G6*G9/100</f>
        <v>-9.84114091768081</v>
      </c>
      <c r="H10" s="0" t="n">
        <f aca="false">-H6*H9/100</f>
        <v>-10.3735466413273</v>
      </c>
      <c r="I10" s="0" t="n">
        <f aca="false">-I6*I9/100</f>
        <v>-10.1079838473094</v>
      </c>
      <c r="J10" s="0" t="n">
        <f aca="false">-J6*J9/100</f>
        <v>-10.1079838473094</v>
      </c>
      <c r="K10" s="0" t="n">
        <f aca="false">-K6*K9/100</f>
        <v>-9.72792365465053</v>
      </c>
      <c r="L10" s="0" t="n">
        <f aca="false">-L6*L9/100</f>
        <v>-9.42441243662544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369.5604287836</v>
      </c>
      <c r="D11" s="0" t="n">
        <f aca="false">D8+D10+D24</f>
        <v>228.792838833906</v>
      </c>
      <c r="E11" s="0" t="n">
        <f aca="false">E8+E10+E24</f>
        <v>227.708549828611</v>
      </c>
      <c r="F11" s="0" t="n">
        <f aca="false">F8+F10+F24</f>
        <v>412.383776737957</v>
      </c>
      <c r="G11" s="0" t="n">
        <f aca="false">G8+G10+G24</f>
        <v>471.671825411702</v>
      </c>
      <c r="H11" s="0" t="n">
        <f aca="false">H8+H10+H24</f>
        <v>485.185595767225</v>
      </c>
      <c r="I11" s="0" t="n">
        <f aca="false">I8+I10+I24</f>
        <v>445.90648743559</v>
      </c>
      <c r="J11" s="0" t="n">
        <f aca="false">J8+J10+J24</f>
        <v>416.593334278393</v>
      </c>
      <c r="K11" s="0" t="n">
        <f aca="false">K8+K10+K24</f>
        <v>272.503461375898</v>
      </c>
      <c r="L11" s="0" t="n">
        <f aca="false">L8+L10+L24</f>
        <v>234.785674827431</v>
      </c>
    </row>
    <row r="12" customFormat="false" ht="15" hidden="false" customHeight="false" outlineLevel="0" collapsed="false">
      <c r="A12" s="0" t="s">
        <v>118</v>
      </c>
      <c r="C12" s="4" t="n">
        <f aca="false">-C6*Assumptions!C17/100</f>
        <v>-45.469887292</v>
      </c>
      <c r="D12" s="4" t="n">
        <f aca="false">-D6*Assumptions!D17/100</f>
        <v>-51.747475610805</v>
      </c>
      <c r="E12" s="4" t="n">
        <f aca="false">-E6*Assumptions!E17/100</f>
        <v>-82.0735662177611</v>
      </c>
      <c r="F12" s="4" t="n">
        <f aca="false">-F6*Assumptions!F17/100</f>
        <v>-109.813975635108</v>
      </c>
      <c r="G12" s="4" t="n">
        <f aca="false">-G6*Assumptions!G17/100</f>
        <v>-119.499568286124</v>
      </c>
      <c r="H12" s="4" t="n">
        <f aca="false">-H6*Assumptions!H17/100</f>
        <v>-125.964494930403</v>
      </c>
      <c r="I12" s="4" t="n">
        <f aca="false">-I6*Assumptions!I17/100</f>
        <v>-125.627799245131</v>
      </c>
      <c r="J12" s="4" t="n">
        <f aca="false">-J6*Assumptions!J17/100</f>
        <v>-129.959792322549</v>
      </c>
      <c r="K12" s="4" t="n">
        <f aca="false">-K6*Assumptions!K17/100</f>
        <v>-121.599045683132</v>
      </c>
      <c r="L12" s="4" t="n">
        <f aca="false">-L6*Assumptions!L17/100</f>
        <v>-123.695413230709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324.0905414916</v>
      </c>
      <c r="D13" s="0" t="n">
        <f aca="false">D11+D12</f>
        <v>177.045363223101</v>
      </c>
      <c r="E13" s="0" t="n">
        <f aca="false">E11+E12</f>
        <v>145.63498361085</v>
      </c>
      <c r="F13" s="0" t="n">
        <f aca="false">F11+F12</f>
        <v>302.56980110285</v>
      </c>
      <c r="G13" s="0" t="n">
        <f aca="false">G11+G12</f>
        <v>352.172257125578</v>
      </c>
      <c r="H13" s="0" t="n">
        <f aca="false">H11+H12</f>
        <v>359.221100836821</v>
      </c>
      <c r="I13" s="0" t="n">
        <f aca="false">I11+I12</f>
        <v>320.27868819046</v>
      </c>
      <c r="J13" s="0" t="n">
        <f aca="false">J11+J12</f>
        <v>286.633541955844</v>
      </c>
      <c r="K13" s="0" t="n">
        <f aca="false">K11+K12</f>
        <v>150.904415692766</v>
      </c>
      <c r="L13" s="0" t="n">
        <f aca="false">L11+L12</f>
        <v>111.090261596722</v>
      </c>
    </row>
    <row r="14" customFormat="false" ht="15" hidden="false" customHeight="false" outlineLevel="0" collapsed="false">
      <c r="A14" s="0" t="s">
        <v>105</v>
      </c>
      <c r="C14" s="4" t="n">
        <f aca="false">Assumptions!C19</f>
        <v>22</v>
      </c>
      <c r="D14" s="4" t="n">
        <f aca="false">Assumptions!D19</f>
        <v>15</v>
      </c>
      <c r="E14" s="4" t="n">
        <f aca="false">Assumptions!E19</f>
        <v>20</v>
      </c>
      <c r="F14" s="4" t="n">
        <f aca="false">Assumptions!F19</f>
        <v>28</v>
      </c>
      <c r="G14" s="4" t="n">
        <f aca="false">Assumptions!G19</f>
        <v>30</v>
      </c>
      <c r="H14" s="4" t="n">
        <f aca="false">Assumptions!H19</f>
        <v>30</v>
      </c>
      <c r="I14" s="4" t="n">
        <f aca="false">Assumptions!I19</f>
        <v>30</v>
      </c>
      <c r="J14" s="4" t="n">
        <f aca="false">Assumptions!J19</f>
        <v>30</v>
      </c>
      <c r="K14" s="4" t="n">
        <f aca="false">Assumptions!K19</f>
        <v>30</v>
      </c>
      <c r="L14" s="4" t="n">
        <f aca="false">Assumptions!L19</f>
        <v>30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252.790622363448</v>
      </c>
      <c r="D15" s="0" t="n">
        <f aca="false">D13-MAX(0,D13)*D14/100</f>
        <v>150.488558739636</v>
      </c>
      <c r="E15" s="0" t="n">
        <f aca="false">E13-MAX(0,E13)*E14/100</f>
        <v>116.50798688868</v>
      </c>
      <c r="F15" s="0" t="n">
        <f aca="false">F13-MAX(0,F13)*F14/100</f>
        <v>217.850256794052</v>
      </c>
      <c r="G15" s="0" t="n">
        <f aca="false">G13-MAX(0,G13)*G14/100</f>
        <v>246.520579987904</v>
      </c>
      <c r="H15" s="0" t="n">
        <f aca="false">H13-MAX(0,H13)*H14/100</f>
        <v>251.454770585775</v>
      </c>
      <c r="I15" s="0" t="n">
        <f aca="false">I13-MAX(0,I13)*I14/100</f>
        <v>224.195081733322</v>
      </c>
      <c r="J15" s="0" t="n">
        <f aca="false">J13-MAX(0,J13)*J14/100</f>
        <v>200.643479369091</v>
      </c>
      <c r="K15" s="0" t="n">
        <f aca="false">K13-MAX(0,K13)*K14/100</f>
        <v>105.633090984936</v>
      </c>
      <c r="L15" s="0" t="n">
        <f aca="false">L13-MAX(0,L13)*L14/100</f>
        <v>77.7631831177056</v>
      </c>
    </row>
    <row r="16" customFormat="false" ht="15" hidden="false" customHeight="false" outlineLevel="0" collapsed="false">
      <c r="A16" s="0" t="s">
        <v>121</v>
      </c>
      <c r="C16" s="0" t="n">
        <f aca="false">-C12</f>
        <v>45.469887292</v>
      </c>
      <c r="D16" s="0" t="n">
        <f aca="false">-D12</f>
        <v>51.747475610805</v>
      </c>
      <c r="E16" s="0" t="n">
        <f aca="false">-E12</f>
        <v>82.0735662177611</v>
      </c>
      <c r="F16" s="0" t="n">
        <f aca="false">-F12</f>
        <v>109.813975635108</v>
      </c>
      <c r="G16" s="0" t="n">
        <f aca="false">-G12</f>
        <v>119.499568286124</v>
      </c>
      <c r="H16" s="0" t="n">
        <f aca="false">-H12</f>
        <v>125.964494930403</v>
      </c>
      <c r="I16" s="0" t="n">
        <f aca="false">-I12</f>
        <v>125.627799245131</v>
      </c>
      <c r="J16" s="0" t="n">
        <f aca="false">-J12</f>
        <v>129.959792322549</v>
      </c>
      <c r="K16" s="0" t="n">
        <f aca="false">-K12</f>
        <v>121.599045683132</v>
      </c>
      <c r="L16" s="0" t="n">
        <f aca="false">-L12</f>
        <v>123.695413230709</v>
      </c>
    </row>
    <row r="17" customFormat="false" ht="15" hidden="false" customHeight="false" outlineLevel="0" collapsed="false">
      <c r="A17" s="0" t="s">
        <v>122</v>
      </c>
      <c r="C17" s="4" t="n">
        <f aca="false">-C6*Assumptions!C18/100</f>
        <v>-399.9782154548</v>
      </c>
      <c r="D17" s="4" t="n">
        <f aca="false">-D6*Assumptions!D18/100</f>
        <v>-470.005071814405</v>
      </c>
      <c r="E17" s="4" t="n">
        <f aca="false">-E6*Assumptions!E18/100</f>
        <v>-249.959605558759</v>
      </c>
      <c r="F17" s="4" t="n">
        <f aca="false">-F6*Assumptions!F18/100</f>
        <v>-190.042774304992</v>
      </c>
      <c r="G17" s="4" t="n">
        <f aca="false">-G6*Assumptions!G18/100</f>
        <v>-189.93401971124</v>
      </c>
      <c r="H17" s="4" t="n">
        <f aca="false">-H6*Assumptions!H18/100</f>
        <v>-195.022676856954</v>
      </c>
      <c r="I17" s="4" t="n">
        <f aca="false">-I6*Assumptions!I18/100</f>
        <v>-194.939688483823</v>
      </c>
      <c r="J17" s="4" t="n">
        <f aca="false">-J6*Assumptions!J18/100</f>
        <v>-194.939688483823</v>
      </c>
      <c r="K17" s="4" t="n">
        <f aca="false">-K6*Assumptions!K18/100</f>
        <v>-184.952148484043</v>
      </c>
      <c r="L17" s="4" t="n">
        <f aca="false">-L6*Assumptions!L18/100</f>
        <v>-184.954094068774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(C6-B6)*Assumptions!$B$23/100</f>
        <v>-0.438527219999996</v>
      </c>
      <c r="D18" s="4" t="n">
        <f aca="false">(D6-C6)*Assumptions!$B$23/100</f>
        <v>2.819916975678</v>
      </c>
      <c r="E18" s="4" t="n">
        <f aca="false">(E6-D6)*Assumptions!$B$23/100</f>
        <v>-6.65886516159839</v>
      </c>
      <c r="F18" s="4" t="n">
        <f aca="false">(F6-E6)*Assumptions!$B$23/100</f>
        <v>-11.400018347647</v>
      </c>
      <c r="G18" s="4" t="n">
        <f aca="false">(G6-F6)*Assumptions!$B$23/100</f>
        <v>-3.41844446506464</v>
      </c>
      <c r="H18" s="4" t="n">
        <f aca="false">(H6-G6)*Assumptions!$B$23/100</f>
        <v>-2.281738815628</v>
      </c>
      <c r="I18" s="4" t="n">
        <f aca="false">(I6-H6)*Assumptions!$B$23/100</f>
        <v>1.13812626007706</v>
      </c>
      <c r="J18" s="4" t="n">
        <f aca="false">(J6-I6)*Assumptions!$B$23/100</f>
        <v>-0</v>
      </c>
      <c r="K18" s="4" t="n">
        <f aca="false">(K6-J6)*Assumptions!$B$23/100</f>
        <v>6.84021706924349</v>
      </c>
      <c r="L18" s="4" t="n">
        <f aca="false">(L6-K6)*Assumptions!$B$23/100</f>
        <v>1.13816706759411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-102.156233019352</v>
      </c>
      <c r="D19" s="0" t="n">
        <f aca="false">D15+D16+D17+D18</f>
        <v>-264.949120488286</v>
      </c>
      <c r="E19" s="0" t="n">
        <f aca="false">E15+E16+E17+E18</f>
        <v>-58.0369176139169</v>
      </c>
      <c r="F19" s="0" t="n">
        <f aca="false">F15+F16+F17+F18</f>
        <v>126.22143977652</v>
      </c>
      <c r="G19" s="0" t="n">
        <f aca="false">G15+G16+G17+G18</f>
        <v>172.667684097724</v>
      </c>
      <c r="H19" s="0" t="n">
        <f aca="false">H15+H16+H17+H18</f>
        <v>180.114849843596</v>
      </c>
      <c r="I19" s="0" t="n">
        <f aca="false">I15+I16+I17+I18</f>
        <v>156.021318754706</v>
      </c>
      <c r="J19" s="0" t="n">
        <f aca="false">J15+J16+J17+J18</f>
        <v>135.663583207816</v>
      </c>
      <c r="K19" s="0" t="n">
        <f aca="false">K15+K16+K17+K18</f>
        <v>49.1202052532684</v>
      </c>
      <c r="L19" s="0" t="n">
        <f aca="false">L15+L16+L17+L18</f>
        <v>17.6426693472344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-93.2933634879928</v>
      </c>
      <c r="D21" s="0" t="n">
        <f aca="false">D19*D20</f>
        <v>-220.970472248941</v>
      </c>
      <c r="E21" s="0" t="n">
        <f aca="false">E19*E20</f>
        <v>-44.2040418219688</v>
      </c>
      <c r="F21" s="0" t="n">
        <f aca="false">F19*F20</f>
        <v>87.7963887950406</v>
      </c>
      <c r="G21" s="0" t="n">
        <f aca="false">G19*G20</f>
        <v>109.683289839023</v>
      </c>
      <c r="H21" s="0" t="n">
        <f aca="false">H19*H20</f>
        <v>104.487612373279</v>
      </c>
      <c r="I21" s="0" t="n">
        <f aca="false">I19*I20</f>
        <v>82.6580413642326</v>
      </c>
      <c r="J21" s="0" t="n">
        <f aca="false">J19*J20</f>
        <v>65.6372429119761</v>
      </c>
      <c r="K21" s="0" t="n">
        <f aca="false">K19*K20</f>
        <v>21.7036661443957</v>
      </c>
      <c r="L21" s="0" t="n">
        <f aca="false">L19*L20</f>
        <v>7.11906737356223</v>
      </c>
    </row>
    <row r="23" customFormat="false" ht="15" hidden="false" customHeight="false" outlineLevel="0" collapsed="false">
      <c r="A23" s="0" t="s">
        <v>102</v>
      </c>
      <c r="C23" s="4" t="n">
        <f aca="false">Assumptions!C16</f>
        <v>1.6</v>
      </c>
      <c r="D23" s="4" t="n">
        <f aca="false">Assumptions!D16</f>
        <v>1.8</v>
      </c>
      <c r="E23" s="4" t="n">
        <f aca="false">Assumptions!E16</f>
        <v>1.5</v>
      </c>
      <c r="F23" s="4" t="n">
        <f aca="false">Assumptions!F16</f>
        <v>1.2</v>
      </c>
      <c r="G23" s="4" t="n">
        <f aca="false">Assumptions!G16</f>
        <v>1.2</v>
      </c>
      <c r="H23" s="4" t="n">
        <f aca="false">Assumptions!H16</f>
        <v>1.2</v>
      </c>
      <c r="I23" s="4" t="n">
        <f aca="false">Assumptions!I16</f>
        <v>1.2</v>
      </c>
      <c r="J23" s="4" t="n">
        <f aca="false">Assumptions!J16</f>
        <v>1.2</v>
      </c>
      <c r="K23" s="4" t="n">
        <f aca="false">Assumptions!K16</f>
        <v>1.4</v>
      </c>
      <c r="L23" s="4" t="n">
        <f aca="false">Assumptions!L16</f>
        <v>1.4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-12.543417184</v>
      </c>
      <c r="D24" s="0" t="n">
        <f aca="false">-D6*D23/100</f>
        <v>-12.4193941465932</v>
      </c>
      <c r="E24" s="0" t="n">
        <f aca="false">-E6*E23/100</f>
        <v>-13.6789277029602</v>
      </c>
      <c r="F24" s="0" t="n">
        <f aca="false">-F6*F23/100</f>
        <v>-15.503149501427</v>
      </c>
      <c r="G24" s="0" t="n">
        <f aca="false">-G6*G23/100</f>
        <v>-16.8705272874528</v>
      </c>
      <c r="H24" s="0" t="n">
        <f aca="false">-H6*H23/100</f>
        <v>-17.783222813704</v>
      </c>
      <c r="I24" s="0" t="n">
        <f aca="false">-I6*I23/100</f>
        <v>-17.3279723096732</v>
      </c>
      <c r="J24" s="0" t="n">
        <f aca="false">-J6*J23/100</f>
        <v>-17.3279723096732</v>
      </c>
      <c r="K24" s="0" t="n">
        <f aca="false">-K6*K23/100</f>
        <v>-17.0238663956384</v>
      </c>
      <c r="L24" s="0" t="n">
        <f aca="false">-L6*L23/100</f>
        <v>-16.4927217640945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107</v>
      </c>
      <c r="B28" s="4" t="n">
        <f aca="false">Assumptions!$B$21</f>
        <v>0</v>
      </c>
    </row>
    <row r="29" customFormat="false" ht="15" hidden="false" customHeight="false" outlineLevel="0" collapsed="false">
      <c r="A29" s="0" t="s">
        <v>108</v>
      </c>
      <c r="B29" s="4" t="n">
        <f aca="false">Assumptions!$B$22</f>
        <v>6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120.617431242607</v>
      </c>
    </row>
    <row r="31" customFormat="false" ht="15" hidden="false" customHeight="false" outlineLevel="0" collapsed="false">
      <c r="A31" s="0" t="s">
        <v>130</v>
      </c>
      <c r="B31" s="0" t="n">
        <f aca="false">L19</f>
        <v>17.6426693472344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185.712308918257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105.856016083407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105.856016083407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42.7144042413734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163.331835483981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565.308835483981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1.23295274914718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-0.920351889589976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56.6468502068946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40.0303591564423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1.44380816760593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105.856016083407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0.998955385766963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Assumptions!C27</f>
        <v>8.9</v>
      </c>
      <c r="D5" s="4" t="n">
        <f aca="false">Assumptions!D27</f>
        <v>35.35</v>
      </c>
      <c r="E5" s="4" t="n">
        <f aca="false">Assumptions!E27</f>
        <v>41.09</v>
      </c>
      <c r="F5" s="4" t="n">
        <f aca="false">Assumptions!F27</f>
        <v>12.5</v>
      </c>
      <c r="G5" s="4" t="n">
        <f aca="false">Assumptions!G27</f>
        <v>8</v>
      </c>
      <c r="H5" s="4" t="n">
        <f aca="false">Assumptions!H27</f>
        <v>1.23</v>
      </c>
      <c r="I5" s="4" t="n">
        <f aca="false">Assumptions!I27</f>
        <v>0</v>
      </c>
      <c r="J5" s="4" t="n">
        <f aca="false">Assumptions!J27</f>
        <v>-2.44</v>
      </c>
      <c r="K5" s="4" t="n">
        <f aca="false">Assumptions!K27</f>
        <v>-15</v>
      </c>
      <c r="L5" s="4" t="n">
        <f aca="false">Assumptions!L27</f>
        <v>-2.94</v>
      </c>
    </row>
    <row r="6" customFormat="false" ht="15" hidden="false" customHeight="false" outlineLevel="0" collapsed="false">
      <c r="A6" s="0" t="s">
        <v>37</v>
      </c>
      <c r="B6" s="3" t="n">
        <v>769.346</v>
      </c>
      <c r="C6" s="0" t="n">
        <f aca="false">B6*(1+C5/100)</f>
        <v>837.817794</v>
      </c>
      <c r="D6" s="0" t="n">
        <f aca="false">C6*(1+D5/100)</f>
        <v>1133.986384179</v>
      </c>
      <c r="E6" s="0" t="n">
        <f aca="false">D6*(1+E5/100)</f>
        <v>1599.94138943815</v>
      </c>
      <c r="F6" s="0" t="n">
        <f aca="false">E6*(1+F5/100)</f>
        <v>1799.93406311792</v>
      </c>
      <c r="G6" s="0" t="n">
        <f aca="false">F6*(1+G5/100)</f>
        <v>1943.92878816735</v>
      </c>
      <c r="H6" s="0" t="n">
        <f aca="false">G6*(1+H5/100)</f>
        <v>1967.83911226181</v>
      </c>
      <c r="I6" s="0" t="n">
        <f aca="false">H6*(1+I5/100)</f>
        <v>1967.83911226181</v>
      </c>
      <c r="J6" s="0" t="n">
        <f aca="false">I6*(1+J5/100)</f>
        <v>1919.82383792262</v>
      </c>
      <c r="K6" s="0" t="n">
        <f aca="false">J6*(1+K5/100)</f>
        <v>1631.85026223423</v>
      </c>
      <c r="L6" s="0" t="n">
        <f aca="false">K6*(1+L5/100)</f>
        <v>1583.87386452454</v>
      </c>
    </row>
    <row r="7" customFormat="false" ht="15" hidden="false" customHeight="false" outlineLevel="0" collapsed="false">
      <c r="A7" s="0" t="s">
        <v>100</v>
      </c>
      <c r="C7" s="4" t="n">
        <f aca="false">Assumptions!C28</f>
        <v>54.87</v>
      </c>
      <c r="D7" s="4" t="n">
        <f aca="false">Assumptions!D28</f>
        <v>51.68</v>
      </c>
      <c r="E7" s="4" t="n">
        <f aca="false">Assumptions!E28</f>
        <v>52.53</v>
      </c>
      <c r="F7" s="4" t="n">
        <f aca="false">Assumptions!F28</f>
        <v>53.15</v>
      </c>
      <c r="G7" s="4" t="n">
        <f aca="false">Assumptions!G28</f>
        <v>54.04</v>
      </c>
      <c r="H7" s="4" t="n">
        <f aca="false">Assumptions!H28</f>
        <v>53.31</v>
      </c>
      <c r="I7" s="4" t="n">
        <f aca="false">Assumptions!I28</f>
        <v>52.4</v>
      </c>
      <c r="J7" s="4" t="n">
        <f aca="false">Assumptions!J28</f>
        <v>51.03</v>
      </c>
      <c r="K7" s="4" t="n">
        <f aca="false">Assumptions!K28</f>
        <v>46.97</v>
      </c>
      <c r="L7" s="4" t="n">
        <f aca="false">Assumptions!L28</f>
        <v>45.58</v>
      </c>
    </row>
    <row r="8" customFormat="false" ht="15" hidden="false" customHeight="false" outlineLevel="0" collapsed="false">
      <c r="A8" s="0" t="s">
        <v>43</v>
      </c>
      <c r="C8" s="0" t="n">
        <f aca="false">C6*C7/100</f>
        <v>459.7106235678</v>
      </c>
      <c r="D8" s="0" t="n">
        <f aca="false">D6*D7/100</f>
        <v>586.044163343707</v>
      </c>
      <c r="E8" s="0" t="n">
        <f aca="false">E6*E7/100</f>
        <v>840.449211871861</v>
      </c>
      <c r="F8" s="0" t="n">
        <f aca="false">F6*F7/100</f>
        <v>956.664954547174</v>
      </c>
      <c r="G8" s="0" t="n">
        <f aca="false">G6*G7/100</f>
        <v>1050.49911712564</v>
      </c>
      <c r="H8" s="0" t="n">
        <f aca="false">H6*H7/100</f>
        <v>1049.05503074677</v>
      </c>
      <c r="I8" s="0" t="n">
        <f aca="false">I6*I7/100</f>
        <v>1031.14769482519</v>
      </c>
      <c r="J8" s="0" t="n">
        <f aca="false">J6*J7/100</f>
        <v>979.686104491915</v>
      </c>
      <c r="K8" s="0" t="n">
        <f aca="false">K6*K7/100</f>
        <v>766.480068171418</v>
      </c>
      <c r="L8" s="0" t="n">
        <f aca="false">L6*L7/100</f>
        <v>721.929707450287</v>
      </c>
    </row>
    <row r="9" customFormat="false" ht="15" hidden="false" customHeight="false" outlineLevel="0" collapsed="false">
      <c r="A9" s="0" t="s">
        <v>101</v>
      </c>
      <c r="C9" s="4" t="n">
        <f aca="false">Assumptions!C29</f>
        <v>1</v>
      </c>
      <c r="D9" s="4" t="n">
        <f aca="false">Assumptions!D29</f>
        <v>0.9</v>
      </c>
      <c r="E9" s="4" t="n">
        <f aca="false">Assumptions!E29</f>
        <v>0.7</v>
      </c>
      <c r="F9" s="4" t="n">
        <f aca="false">Assumptions!F29</f>
        <v>0.6</v>
      </c>
      <c r="G9" s="4" t="n">
        <f aca="false">Assumptions!G29</f>
        <v>0.6</v>
      </c>
      <c r="H9" s="4" t="n">
        <f aca="false">Assumptions!H29</f>
        <v>0.6</v>
      </c>
      <c r="I9" s="4" t="n">
        <f aca="false">Assumptions!I29</f>
        <v>0.6</v>
      </c>
      <c r="J9" s="4" t="n">
        <f aca="false">Assumptions!J29</f>
        <v>0.6</v>
      </c>
      <c r="K9" s="4" t="n">
        <f aca="false">Assumptions!K29</f>
        <v>0.6</v>
      </c>
      <c r="L9" s="4" t="n">
        <f aca="false">Assumptions!L29</f>
        <v>0.6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-8.37817794</v>
      </c>
      <c r="D10" s="0" t="n">
        <f aca="false">-D6*D9/100</f>
        <v>-10.205877457611</v>
      </c>
      <c r="E10" s="0" t="n">
        <f aca="false">-E6*E9/100</f>
        <v>-11.1995897260671</v>
      </c>
      <c r="F10" s="0" t="n">
        <f aca="false">-F6*F9/100</f>
        <v>-10.7996043787075</v>
      </c>
      <c r="G10" s="0" t="n">
        <f aca="false">-G6*G9/100</f>
        <v>-11.6635727290041</v>
      </c>
      <c r="H10" s="0" t="n">
        <f aca="false">-H6*H9/100</f>
        <v>-11.8070346735709</v>
      </c>
      <c r="I10" s="0" t="n">
        <f aca="false">-I6*I9/100</f>
        <v>-11.8070346735709</v>
      </c>
      <c r="J10" s="0" t="n">
        <f aca="false">-J6*J9/100</f>
        <v>-11.5189430275357</v>
      </c>
      <c r="K10" s="0" t="n">
        <f aca="false">-K6*K9/100</f>
        <v>-9.79110157340538</v>
      </c>
      <c r="L10" s="0" t="n">
        <f aca="false">-L6*L9/100</f>
        <v>-9.50324318714726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438.7651787178</v>
      </c>
      <c r="D11" s="0" t="n">
        <f aca="false">D8+D10+D24</f>
        <v>559.96247650759</v>
      </c>
      <c r="E11" s="0" t="n">
        <f aca="false">E8+E10+E24</f>
        <v>810.050325472536</v>
      </c>
      <c r="F11" s="0" t="n">
        <f aca="false">F8+F10+F24</f>
        <v>926.06607547417</v>
      </c>
      <c r="G11" s="0" t="n">
        <f aca="false">G8+G10+G24</f>
        <v>1019.39625651496</v>
      </c>
      <c r="H11" s="0" t="n">
        <f aca="false">H8+H10+H24</f>
        <v>1017.56960495058</v>
      </c>
      <c r="I11" s="0" t="n">
        <f aca="false">I8+I10+I24</f>
        <v>999.662269029</v>
      </c>
      <c r="J11" s="0" t="n">
        <f aca="false">J8+J10+J24</f>
        <v>948.968923085153</v>
      </c>
      <c r="K11" s="0" t="n">
        <f aca="false">K8+K10+K24</f>
        <v>738.738613713436</v>
      </c>
      <c r="L11" s="0" t="n">
        <f aca="false">L8+L10+L24</f>
        <v>695.00385175337</v>
      </c>
    </row>
    <row r="12" customFormat="false" ht="15" hidden="false" customHeight="false" outlineLevel="0" collapsed="false">
      <c r="A12" s="0" t="s">
        <v>118</v>
      </c>
      <c r="C12" s="4" t="n">
        <f aca="false">-C6*Assumptions!C31/100</f>
        <v>-45.242160876</v>
      </c>
      <c r="D12" s="4" t="n">
        <f aca="false">-D6*Assumptions!D31/100</f>
        <v>-74.843101355814</v>
      </c>
      <c r="E12" s="4" t="n">
        <f aca="false">-E6*Assumptions!E31/100</f>
        <v>-110.395955871232</v>
      </c>
      <c r="F12" s="4" t="n">
        <f aca="false">-F6*Assumptions!F31/100</f>
        <v>-124.195450355136</v>
      </c>
      <c r="G12" s="4" t="n">
        <f aca="false">-G6*Assumptions!G31/100</f>
        <v>-130.243228807213</v>
      </c>
      <c r="H12" s="4" t="n">
        <f aca="false">-H6*Assumptions!H31/100</f>
        <v>-131.845220521541</v>
      </c>
      <c r="I12" s="4" t="n">
        <f aca="false">-I6*Assumptions!I31/100</f>
        <v>-133.813059633803</v>
      </c>
      <c r="J12" s="4" t="n">
        <f aca="false">-J6*Assumptions!J31/100</f>
        <v>-134.387668654584</v>
      </c>
      <c r="K12" s="4" t="n">
        <f aca="false">-K6*Assumptions!K31/100</f>
        <v>-127.28432045427</v>
      </c>
      <c r="L12" s="4" t="n">
        <f aca="false">-L6*Assumptions!L31/100</f>
        <v>-126.709909161964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393.5230178418</v>
      </c>
      <c r="D13" s="0" t="n">
        <f aca="false">D11+D12</f>
        <v>485.119375151776</v>
      </c>
      <c r="E13" s="0" t="n">
        <f aca="false">E11+E12</f>
        <v>699.654369601303</v>
      </c>
      <c r="F13" s="0" t="n">
        <f aca="false">F11+F12</f>
        <v>801.870625119033</v>
      </c>
      <c r="G13" s="0" t="n">
        <f aca="false">G11+G12</f>
        <v>889.153027707748</v>
      </c>
      <c r="H13" s="0" t="n">
        <f aca="false">H11+H12</f>
        <v>885.724384429042</v>
      </c>
      <c r="I13" s="0" t="n">
        <f aca="false">I11+I12</f>
        <v>865.849209395197</v>
      </c>
      <c r="J13" s="0" t="n">
        <f aca="false">J11+J12</f>
        <v>814.581254430569</v>
      </c>
      <c r="K13" s="0" t="n">
        <f aca="false">K11+K12</f>
        <v>611.454293259166</v>
      </c>
      <c r="L13" s="0" t="n">
        <f aca="false">L11+L12</f>
        <v>568.293942591406</v>
      </c>
    </row>
    <row r="14" customFormat="false" ht="15" hidden="false" customHeight="false" outlineLevel="0" collapsed="false">
      <c r="A14" s="0" t="s">
        <v>105</v>
      </c>
      <c r="C14" s="4" t="n">
        <f aca="false">Assumptions!C33</f>
        <v>22</v>
      </c>
      <c r="D14" s="4" t="n">
        <f aca="false">Assumptions!D33</f>
        <v>22</v>
      </c>
      <c r="E14" s="4" t="n">
        <f aca="false">Assumptions!E33</f>
        <v>26</v>
      </c>
      <c r="F14" s="4" t="n">
        <f aca="false">Assumptions!F33</f>
        <v>30</v>
      </c>
      <c r="G14" s="4" t="n">
        <f aca="false">Assumptions!G33</f>
        <v>30</v>
      </c>
      <c r="H14" s="4" t="n">
        <f aca="false">Assumptions!H33</f>
        <v>30</v>
      </c>
      <c r="I14" s="4" t="n">
        <f aca="false">Assumptions!I33</f>
        <v>30</v>
      </c>
      <c r="J14" s="4" t="n">
        <f aca="false">Assumptions!J33</f>
        <v>30</v>
      </c>
      <c r="K14" s="4" t="n">
        <f aca="false">Assumptions!K33</f>
        <v>30</v>
      </c>
      <c r="L14" s="4" t="n">
        <f aca="false">Assumptions!L33</f>
        <v>30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306.947953916604</v>
      </c>
      <c r="D15" s="0" t="n">
        <f aca="false">D13-MAX(0,D13)*D14/100</f>
        <v>378.393112618385</v>
      </c>
      <c r="E15" s="0" t="n">
        <f aca="false">E13-MAX(0,E13)*E14/100</f>
        <v>517.744233504964</v>
      </c>
      <c r="F15" s="0" t="n">
        <f aca="false">F13-MAX(0,F13)*F14/100</f>
        <v>561.309437583323</v>
      </c>
      <c r="G15" s="0" t="n">
        <f aca="false">G13-MAX(0,G13)*G14/100</f>
        <v>622.407119395423</v>
      </c>
      <c r="H15" s="0" t="n">
        <f aca="false">H13-MAX(0,H13)*H14/100</f>
        <v>620.007069100329</v>
      </c>
      <c r="I15" s="0" t="n">
        <f aca="false">I13-MAX(0,I13)*I14/100</f>
        <v>606.094446576638</v>
      </c>
      <c r="J15" s="0" t="n">
        <f aca="false">J13-MAX(0,J13)*J14/100</f>
        <v>570.206878101398</v>
      </c>
      <c r="K15" s="0" t="n">
        <f aca="false">K13-MAX(0,K13)*K14/100</f>
        <v>428.018005281416</v>
      </c>
      <c r="L15" s="0" t="n">
        <f aca="false">L13-MAX(0,L13)*L14/100</f>
        <v>397.805759813984</v>
      </c>
    </row>
    <row r="16" customFormat="false" ht="15" hidden="false" customHeight="false" outlineLevel="0" collapsed="false">
      <c r="A16" s="0" t="s">
        <v>121</v>
      </c>
      <c r="C16" s="0" t="n">
        <f aca="false">-C12</f>
        <v>45.242160876</v>
      </c>
      <c r="D16" s="0" t="n">
        <f aca="false">-D12</f>
        <v>74.843101355814</v>
      </c>
      <c r="E16" s="0" t="n">
        <f aca="false">-E12</f>
        <v>110.395955871232</v>
      </c>
      <c r="F16" s="0" t="n">
        <f aca="false">-F12</f>
        <v>124.195450355136</v>
      </c>
      <c r="G16" s="0" t="n">
        <f aca="false">-G12</f>
        <v>130.243228807213</v>
      </c>
      <c r="H16" s="0" t="n">
        <f aca="false">-H12</f>
        <v>131.845220521541</v>
      </c>
      <c r="I16" s="0" t="n">
        <f aca="false">-I12</f>
        <v>133.813059633803</v>
      </c>
      <c r="J16" s="0" t="n">
        <f aca="false">-J12</f>
        <v>134.387668654584</v>
      </c>
      <c r="K16" s="0" t="n">
        <f aca="false">-K12</f>
        <v>127.28432045427</v>
      </c>
      <c r="L16" s="0" t="n">
        <f aca="false">-L12</f>
        <v>126.709909161964</v>
      </c>
    </row>
    <row r="17" customFormat="false" ht="15" hidden="false" customHeight="false" outlineLevel="0" collapsed="false">
      <c r="A17" s="0" t="s">
        <v>122</v>
      </c>
      <c r="C17" s="4" t="n">
        <f aca="false">-C6*Assumptions!C32/100</f>
        <v>-453.0080812158</v>
      </c>
      <c r="D17" s="4" t="n">
        <f aca="false">-D6*Assumptions!D32/100</f>
        <v>-417.987381208379</v>
      </c>
      <c r="E17" s="4" t="n">
        <f aca="false">-E6*Assumptions!E32/100</f>
        <v>-183.033294951724</v>
      </c>
      <c r="F17" s="4" t="n">
        <f aca="false">-F6*Assumptions!F32/100</f>
        <v>-170.993735996202</v>
      </c>
      <c r="G17" s="4" t="n">
        <f aca="false">-G6*Assumptions!G32/100</f>
        <v>-180.007805784297</v>
      </c>
      <c r="H17" s="4" t="n">
        <f aca="false">-H6*Assumptions!H32/100</f>
        <v>-184.97687655261</v>
      </c>
      <c r="I17" s="4" t="n">
        <f aca="false">-I6*Assumptions!I32/100</f>
        <v>-184.97687655261</v>
      </c>
      <c r="J17" s="4" t="n">
        <f aca="false">-J6*Assumptions!J32/100</f>
        <v>-185.071017975741</v>
      </c>
      <c r="K17" s="4" t="n">
        <f aca="false">-K6*Assumptions!K32/100</f>
        <v>-174.934348111509</v>
      </c>
      <c r="L17" s="4" t="n">
        <f aca="false">-L6*Assumptions!L32/100</f>
        <v>-175.018062029962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(C6-B6)*Assumptions!$B$37/100</f>
        <v>-2.05415382</v>
      </c>
      <c r="D18" s="4" t="n">
        <f aca="false">(D6-C6)*Assumptions!$B$37/100</f>
        <v>-8.88505770537</v>
      </c>
      <c r="E18" s="4" t="n">
        <f aca="false">(E6-D6)*Assumptions!$B$37/100</f>
        <v>-13.9786501577745</v>
      </c>
      <c r="F18" s="4" t="n">
        <f aca="false">(F6-E6)*Assumptions!$B$37/100</f>
        <v>-5.99978021039306</v>
      </c>
      <c r="G18" s="4" t="n">
        <f aca="false">(G6-F6)*Assumptions!$B$37/100</f>
        <v>-4.31984175148301</v>
      </c>
      <c r="H18" s="4" t="n">
        <f aca="false">(H6-G6)*Assumptions!$B$37/100</f>
        <v>-0.717309722833754</v>
      </c>
      <c r="I18" s="4" t="n">
        <f aca="false">(I6-H6)*Assumptions!$B$37/100</f>
        <v>-0</v>
      </c>
      <c r="J18" s="4" t="n">
        <f aca="false">(J6-I6)*Assumptions!$B$37/100</f>
        <v>1.44045823017565</v>
      </c>
      <c r="K18" s="4" t="n">
        <f aca="false">(K6-J6)*Assumptions!$B$37/100</f>
        <v>8.63920727065181</v>
      </c>
      <c r="L18" s="4" t="n">
        <f aca="false">(L6-K6)*Assumptions!$B$37/100</f>
        <v>1.43929193129059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-102.872120243196</v>
      </c>
      <c r="D19" s="0" t="n">
        <f aca="false">D15+D16+D17+D18</f>
        <v>26.36377506045</v>
      </c>
      <c r="E19" s="0" t="n">
        <f aca="false">E15+E16+E17+E18</f>
        <v>431.128244266698</v>
      </c>
      <c r="F19" s="0" t="n">
        <f aca="false">F15+F16+F17+F18</f>
        <v>508.511371731864</v>
      </c>
      <c r="G19" s="0" t="n">
        <f aca="false">G15+G16+G17+G18</f>
        <v>568.322700666856</v>
      </c>
      <c r="H19" s="0" t="n">
        <f aca="false">H15+H16+H17+H18</f>
        <v>566.158103346427</v>
      </c>
      <c r="I19" s="0" t="n">
        <f aca="false">I15+I16+I17+I18</f>
        <v>554.930629657831</v>
      </c>
      <c r="J19" s="0" t="n">
        <f aca="false">J15+J16+J17+J18</f>
        <v>520.963987010417</v>
      </c>
      <c r="K19" s="0" t="n">
        <f aca="false">K15+K16+K17+K18</f>
        <v>389.007184894828</v>
      </c>
      <c r="L19" s="0" t="n">
        <f aca="false">L15+L16+L17+L18</f>
        <v>350.936898877276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-93.9471417746082</v>
      </c>
      <c r="D21" s="0" t="n">
        <f aca="false">D19*D20</f>
        <v>21.9876775383749</v>
      </c>
      <c r="E21" s="0" t="n">
        <f aca="false">E19*E20</f>
        <v>328.370487677782</v>
      </c>
      <c r="F21" s="0" t="n">
        <f aca="false">F19*F20</f>
        <v>353.707438120787</v>
      </c>
      <c r="G21" s="0" t="n">
        <f aca="false">G19*G20</f>
        <v>361.014302271289</v>
      </c>
      <c r="H21" s="0" t="n">
        <f aca="false">H19*H20</f>
        <v>328.437707917039</v>
      </c>
      <c r="I21" s="0" t="n">
        <f aca="false">I19*I20</f>
        <v>293.994944451481</v>
      </c>
      <c r="J21" s="0" t="n">
        <f aca="false">J19*J20</f>
        <v>252.054670496306</v>
      </c>
      <c r="K21" s="0" t="n">
        <f aca="false">K19*K20</f>
        <v>171.882060044258</v>
      </c>
      <c r="L21" s="0" t="n">
        <f aca="false">L19*L20</f>
        <v>141.608017347327</v>
      </c>
    </row>
    <row r="23" customFormat="false" ht="15" hidden="false" customHeight="false" outlineLevel="0" collapsed="false">
      <c r="A23" s="0" t="s">
        <v>102</v>
      </c>
      <c r="C23" s="4" t="n">
        <f aca="false">Assumptions!C30</f>
        <v>1.5</v>
      </c>
      <c r="D23" s="4" t="n">
        <f aca="false">Assumptions!D30</f>
        <v>1.4</v>
      </c>
      <c r="E23" s="4" t="n">
        <f aca="false">Assumptions!E30</f>
        <v>1.2</v>
      </c>
      <c r="F23" s="4" t="n">
        <f aca="false">Assumptions!F30</f>
        <v>1.1</v>
      </c>
      <c r="G23" s="4" t="n">
        <f aca="false">Assumptions!G30</f>
        <v>1</v>
      </c>
      <c r="H23" s="4" t="n">
        <f aca="false">Assumptions!H30</f>
        <v>1</v>
      </c>
      <c r="I23" s="4" t="n">
        <f aca="false">Assumptions!I30</f>
        <v>1</v>
      </c>
      <c r="J23" s="4" t="n">
        <f aca="false">Assumptions!J30</f>
        <v>1</v>
      </c>
      <c r="K23" s="4" t="n">
        <f aca="false">Assumptions!K30</f>
        <v>1.1</v>
      </c>
      <c r="L23" s="4" t="n">
        <f aca="false">Assumptions!L30</f>
        <v>1.1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-12.56726691</v>
      </c>
      <c r="D24" s="0" t="n">
        <f aca="false">-D6*D23/100</f>
        <v>-15.875809378506</v>
      </c>
      <c r="E24" s="0" t="n">
        <f aca="false">-E6*E23/100</f>
        <v>-19.1992966732578</v>
      </c>
      <c r="F24" s="0" t="n">
        <f aca="false">-F6*F23/100</f>
        <v>-19.7992746942971</v>
      </c>
      <c r="G24" s="0" t="n">
        <f aca="false">-G6*G23/100</f>
        <v>-19.4392878816735</v>
      </c>
      <c r="H24" s="0" t="n">
        <f aca="false">-H6*H23/100</f>
        <v>-19.6783911226181</v>
      </c>
      <c r="I24" s="0" t="n">
        <f aca="false">-I6*I23/100</f>
        <v>-19.6783911226181</v>
      </c>
      <c r="J24" s="0" t="n">
        <f aca="false">-J6*J23/100</f>
        <v>-19.1982383792262</v>
      </c>
      <c r="K24" s="0" t="n">
        <f aca="false">-K6*K23/100</f>
        <v>-17.9503528845765</v>
      </c>
      <c r="L24" s="0" t="n">
        <f aca="false">-L6*L23/100</f>
        <v>-17.42261250977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107</v>
      </c>
      <c r="B28" s="4" t="n">
        <f aca="false">Assumptions!$B$35</f>
        <v>0</v>
      </c>
    </row>
    <row r="29" customFormat="false" ht="15" hidden="false" customHeight="false" outlineLevel="0" collapsed="false">
      <c r="A29" s="0" t="s">
        <v>108</v>
      </c>
      <c r="B29" s="4" t="n">
        <f aca="false">Assumptions!$B$36</f>
        <v>8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2159.11016409003</v>
      </c>
    </row>
    <row r="31" customFormat="false" ht="15" hidden="false" customHeight="false" outlineLevel="0" collapsed="false">
      <c r="A31" s="0" t="s">
        <v>130</v>
      </c>
      <c r="B31" s="0" t="n">
        <f aca="false">L19</f>
        <v>350.936898877276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3694.0726197608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2807.49519101821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2807.49519101821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1132.86413877862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3291.97430286865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3693.95130286865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8.05660044246161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-0.47954777503478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66.4529568506721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40.3651941689357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8.28957350902565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2339.57932584851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5.64570303034286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Assumptions!C41</f>
        <v>18.74</v>
      </c>
      <c r="D5" s="4" t="n">
        <f aca="false">Assumptions!D41</f>
        <v>50.67</v>
      </c>
      <c r="E5" s="4" t="n">
        <f aca="false">Assumptions!E41</f>
        <v>50.9</v>
      </c>
      <c r="F5" s="4" t="n">
        <f aca="false">Assumptions!F41</f>
        <v>14.93</v>
      </c>
      <c r="G5" s="4" t="n">
        <f aca="false">Assumptions!G41</f>
        <v>23.38</v>
      </c>
      <c r="H5" s="4" t="n">
        <f aca="false">Assumptions!H41</f>
        <v>7.37</v>
      </c>
      <c r="I5" s="4" t="n">
        <f aca="false">Assumptions!I41</f>
        <v>0</v>
      </c>
      <c r="J5" s="4" t="n">
        <f aca="false">Assumptions!J41</f>
        <v>-0.98</v>
      </c>
      <c r="K5" s="4" t="n">
        <f aca="false">Assumptions!K41</f>
        <v>-11.88</v>
      </c>
      <c r="L5" s="4" t="n">
        <f aca="false">Assumptions!L41</f>
        <v>-2.25</v>
      </c>
    </row>
    <row r="6" customFormat="false" ht="15" hidden="false" customHeight="false" outlineLevel="0" collapsed="false">
      <c r="A6" s="0" t="s">
        <v>37</v>
      </c>
      <c r="B6" s="3" t="n">
        <v>769.346</v>
      </c>
      <c r="C6" s="0" t="n">
        <f aca="false">B6*(1+C5/100)</f>
        <v>913.5214404</v>
      </c>
      <c r="D6" s="0" t="n">
        <f aca="false">C6*(1+D5/100)</f>
        <v>1376.40275425068</v>
      </c>
      <c r="E6" s="0" t="n">
        <f aca="false">D6*(1+E5/100)</f>
        <v>2076.99175616428</v>
      </c>
      <c r="F6" s="0" t="n">
        <f aca="false">E6*(1+F5/100)</f>
        <v>2387.0866253596</v>
      </c>
      <c r="G6" s="0" t="n">
        <f aca="false">F6*(1+G5/100)</f>
        <v>2945.18747836868</v>
      </c>
      <c r="H6" s="0" t="n">
        <f aca="false">G6*(1+H5/100)</f>
        <v>3162.24779552445</v>
      </c>
      <c r="I6" s="0" t="n">
        <f aca="false">H6*(1+I5/100)</f>
        <v>3162.24779552445</v>
      </c>
      <c r="J6" s="0" t="n">
        <f aca="false">I6*(1+J5/100)</f>
        <v>3131.25776712831</v>
      </c>
      <c r="K6" s="0" t="n">
        <f aca="false">J6*(1+K5/100)</f>
        <v>2759.26434439347</v>
      </c>
      <c r="L6" s="0" t="n">
        <f aca="false">K6*(1+L5/100)</f>
        <v>2697.18089664461</v>
      </c>
    </row>
    <row r="7" customFormat="false" ht="15" hidden="false" customHeight="false" outlineLevel="0" collapsed="false">
      <c r="A7" s="0" t="s">
        <v>100</v>
      </c>
      <c r="C7" s="4" t="n">
        <f aca="false">Assumptions!C42</f>
        <v>58.57</v>
      </c>
      <c r="D7" s="4" t="n">
        <f aca="false">Assumptions!D42</f>
        <v>58.94</v>
      </c>
      <c r="E7" s="4" t="n">
        <f aca="false">Assumptions!E42</f>
        <v>62.64</v>
      </c>
      <c r="F7" s="4" t="n">
        <f aca="false">Assumptions!F42</f>
        <v>64.44</v>
      </c>
      <c r="G7" s="4" t="n">
        <f aca="false">Assumptions!G42</f>
        <v>64.77</v>
      </c>
      <c r="H7" s="4" t="n">
        <f aca="false">Assumptions!H42</f>
        <v>64.77</v>
      </c>
      <c r="I7" s="4" t="n">
        <f aca="false">Assumptions!I42</f>
        <v>64.19</v>
      </c>
      <c r="J7" s="4" t="n">
        <f aca="false">Assumptions!J42</f>
        <v>63.25</v>
      </c>
      <c r="K7" s="4" t="n">
        <f aca="false">Assumptions!K42</f>
        <v>60.66</v>
      </c>
      <c r="L7" s="4" t="n">
        <f aca="false">Assumptions!L42</f>
        <v>59.67</v>
      </c>
    </row>
    <row r="8" customFormat="false" ht="15" hidden="false" customHeight="false" outlineLevel="0" collapsed="false">
      <c r="A8" s="0" t="s">
        <v>43</v>
      </c>
      <c r="C8" s="0" t="n">
        <f aca="false">C6*C7/100</f>
        <v>535.04950764228</v>
      </c>
      <c r="D8" s="0" t="n">
        <f aca="false">D6*D7/100</f>
        <v>811.251783355351</v>
      </c>
      <c r="E8" s="0" t="n">
        <f aca="false">E6*E7/100</f>
        <v>1301.0276360613</v>
      </c>
      <c r="F8" s="0" t="n">
        <f aca="false">F6*F7/100</f>
        <v>1538.23862138173</v>
      </c>
      <c r="G8" s="0" t="n">
        <f aca="false">G6*G7/100</f>
        <v>1907.59792973939</v>
      </c>
      <c r="H8" s="0" t="n">
        <f aca="false">H6*H7/100</f>
        <v>2048.18789716119</v>
      </c>
      <c r="I8" s="0" t="n">
        <f aca="false">I6*I7/100</f>
        <v>2029.84685994714</v>
      </c>
      <c r="J8" s="0" t="n">
        <f aca="false">J6*J7/100</f>
        <v>1980.52053770866</v>
      </c>
      <c r="K8" s="0" t="n">
        <f aca="false">K6*K7/100</f>
        <v>1673.76975130908</v>
      </c>
      <c r="L8" s="0" t="n">
        <f aca="false">L6*L7/100</f>
        <v>1609.40784102784</v>
      </c>
    </row>
    <row r="9" customFormat="false" ht="15" hidden="false" customHeight="false" outlineLevel="0" collapsed="false">
      <c r="A9" s="0" t="s">
        <v>101</v>
      </c>
      <c r="C9" s="4" t="n">
        <f aca="false">Assumptions!C43</f>
        <v>1</v>
      </c>
      <c r="D9" s="4" t="n">
        <f aca="false">Assumptions!D43</f>
        <v>0.9</v>
      </c>
      <c r="E9" s="4" t="n">
        <f aca="false">Assumptions!E43</f>
        <v>0.7</v>
      </c>
      <c r="F9" s="4" t="n">
        <f aca="false">Assumptions!F43</f>
        <v>0.6</v>
      </c>
      <c r="G9" s="4" t="n">
        <f aca="false">Assumptions!G43</f>
        <v>0.5</v>
      </c>
      <c r="H9" s="4" t="n">
        <f aca="false">Assumptions!H43</f>
        <v>0.5</v>
      </c>
      <c r="I9" s="4" t="n">
        <f aca="false">Assumptions!I43</f>
        <v>0.5</v>
      </c>
      <c r="J9" s="4" t="n">
        <f aca="false">Assumptions!J43</f>
        <v>0.5</v>
      </c>
      <c r="K9" s="4" t="n">
        <f aca="false">Assumptions!K43</f>
        <v>0.5</v>
      </c>
      <c r="L9" s="4" t="n">
        <f aca="false">Assumptions!L43</f>
        <v>0.5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-9.135214404</v>
      </c>
      <c r="D10" s="0" t="n">
        <f aca="false">-D6*D9/100</f>
        <v>-12.3876247882561</v>
      </c>
      <c r="E10" s="0" t="n">
        <f aca="false">-E6*E9/100</f>
        <v>-14.5389422931499</v>
      </c>
      <c r="F10" s="0" t="n">
        <f aca="false">-F6*F9/100</f>
        <v>-14.3225197521576</v>
      </c>
      <c r="G10" s="0" t="n">
        <f aca="false">-G6*G9/100</f>
        <v>-14.7259373918434</v>
      </c>
      <c r="H10" s="0" t="n">
        <f aca="false">-H6*H9/100</f>
        <v>-15.8112389776222</v>
      </c>
      <c r="I10" s="0" t="n">
        <f aca="false">-I6*I9/100</f>
        <v>-15.8112389776222</v>
      </c>
      <c r="J10" s="0" t="n">
        <f aca="false">-J6*J9/100</f>
        <v>-15.6562888356415</v>
      </c>
      <c r="K10" s="0" t="n">
        <f aca="false">-K6*K9/100</f>
        <v>-13.7963217219673</v>
      </c>
      <c r="L10" s="0" t="n">
        <f aca="false">-L6*L9/100</f>
        <v>-13.4859044832231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513.12499307268</v>
      </c>
      <c r="D11" s="0" t="n">
        <f aca="false">D8+D10+D24</f>
        <v>780.970922761836</v>
      </c>
      <c r="E11" s="0" t="n">
        <f aca="false">E8+E10+E24</f>
        <v>1263.64178445035</v>
      </c>
      <c r="F11" s="0" t="n">
        <f aca="false">F8+F10+F24</f>
        <v>1500.04523537597</v>
      </c>
      <c r="G11" s="0" t="n">
        <f aca="false">G8+G10+G24</f>
        <v>1866.36530504223</v>
      </c>
      <c r="H11" s="0" t="n">
        <f aca="false">H8+H10+H24</f>
        <v>2003.91642802384</v>
      </c>
      <c r="I11" s="0" t="n">
        <f aca="false">I8+I10+I24</f>
        <v>1985.5753908098</v>
      </c>
      <c r="J11" s="0" t="n">
        <f aca="false">J8+J10+J24</f>
        <v>1936.68292896886</v>
      </c>
      <c r="K11" s="0" t="n">
        <f aca="false">K8+K10+K24</f>
        <v>1632.38078614317</v>
      </c>
      <c r="L11" s="0" t="n">
        <f aca="false">L8+L10+L24</f>
        <v>1568.95012757817</v>
      </c>
    </row>
    <row r="12" customFormat="false" ht="15" hidden="false" customHeight="false" outlineLevel="0" collapsed="false">
      <c r="A12" s="0" t="s">
        <v>118</v>
      </c>
      <c r="C12" s="4" t="n">
        <f aca="false">-C6*Assumptions!C45/100</f>
        <v>-45.67607202</v>
      </c>
      <c r="D12" s="4" t="n">
        <f aca="false">-D6*Assumptions!D45/100</f>
        <v>-79.8313597465394</v>
      </c>
      <c r="E12" s="4" t="n">
        <f aca="false">-E6*Assumptions!E45/100</f>
        <v>-124.619505369857</v>
      </c>
      <c r="F12" s="4" t="n">
        <f aca="false">-F6*Assumptions!F45/100</f>
        <v>-143.225197521576</v>
      </c>
      <c r="G12" s="4" t="n">
        <f aca="false">-G6*Assumptions!G45/100</f>
        <v>-182.601623658858</v>
      </c>
      <c r="H12" s="4" t="n">
        <f aca="false">-H6*Assumptions!H45/100</f>
        <v>-196.059363322516</v>
      </c>
      <c r="I12" s="4" t="n">
        <f aca="false">-I6*Assumptions!I45/100</f>
        <v>-199.22161111804</v>
      </c>
      <c r="J12" s="4" t="n">
        <f aca="false">-J6*Assumptions!J45/100</f>
        <v>-203.53175486334</v>
      </c>
      <c r="K12" s="4" t="n">
        <f aca="false">-K6*Assumptions!K45/100</f>
        <v>-198.66703279633</v>
      </c>
      <c r="L12" s="4" t="n">
        <f aca="false">-L6*Assumptions!L45/100</f>
        <v>-199.591386351701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467.44892105268</v>
      </c>
      <c r="D13" s="0" t="n">
        <f aca="false">D11+D12</f>
        <v>701.139563015296</v>
      </c>
      <c r="E13" s="0" t="n">
        <f aca="false">E11+E12</f>
        <v>1139.02227908049</v>
      </c>
      <c r="F13" s="0" t="n">
        <f aca="false">F11+F12</f>
        <v>1356.8200378544</v>
      </c>
      <c r="G13" s="0" t="n">
        <f aca="false">G11+G12</f>
        <v>1683.76368138337</v>
      </c>
      <c r="H13" s="0" t="n">
        <f aca="false">H11+H12</f>
        <v>1807.85706470133</v>
      </c>
      <c r="I13" s="0" t="n">
        <f aca="false">I11+I12</f>
        <v>1786.35377969176</v>
      </c>
      <c r="J13" s="0" t="n">
        <f aca="false">J11+J12</f>
        <v>1733.15117410552</v>
      </c>
      <c r="K13" s="0" t="n">
        <f aca="false">K11+K12</f>
        <v>1433.71375334684</v>
      </c>
      <c r="L13" s="0" t="n">
        <f aca="false">L11+L12</f>
        <v>1369.35874122647</v>
      </c>
    </row>
    <row r="14" customFormat="false" ht="15" hidden="false" customHeight="false" outlineLevel="0" collapsed="false">
      <c r="A14" s="0" t="s">
        <v>105</v>
      </c>
      <c r="C14" s="4" t="n">
        <f aca="false">Assumptions!C47</f>
        <v>22</v>
      </c>
      <c r="D14" s="4" t="n">
        <f aca="false">Assumptions!D47</f>
        <v>22</v>
      </c>
      <c r="E14" s="4" t="n">
        <f aca="false">Assumptions!E47</f>
        <v>26</v>
      </c>
      <c r="F14" s="4" t="n">
        <f aca="false">Assumptions!F47</f>
        <v>28</v>
      </c>
      <c r="G14" s="4" t="n">
        <f aca="false">Assumptions!G47</f>
        <v>30</v>
      </c>
      <c r="H14" s="4" t="n">
        <f aca="false">Assumptions!H47</f>
        <v>30</v>
      </c>
      <c r="I14" s="4" t="n">
        <f aca="false">Assumptions!I47</f>
        <v>30</v>
      </c>
      <c r="J14" s="4" t="n">
        <f aca="false">Assumptions!J47</f>
        <v>30</v>
      </c>
      <c r="K14" s="4" t="n">
        <f aca="false">Assumptions!K47</f>
        <v>30</v>
      </c>
      <c r="L14" s="4" t="n">
        <f aca="false">Assumptions!L47</f>
        <v>30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364.61015842109</v>
      </c>
      <c r="D15" s="0" t="n">
        <f aca="false">D13-MAX(0,D13)*D14/100</f>
        <v>546.888859151931</v>
      </c>
      <c r="E15" s="0" t="n">
        <f aca="false">E13-MAX(0,E13)*E14/100</f>
        <v>842.876486519562</v>
      </c>
      <c r="F15" s="0" t="n">
        <f aca="false">F13-MAX(0,F13)*F14/100</f>
        <v>976.910427255167</v>
      </c>
      <c r="G15" s="0" t="n">
        <f aca="false">G13-MAX(0,G13)*G14/100</f>
        <v>1178.63457696836</v>
      </c>
      <c r="H15" s="0" t="n">
        <f aca="false">H13-MAX(0,H13)*H14/100</f>
        <v>1265.49994529093</v>
      </c>
      <c r="I15" s="0" t="n">
        <f aca="false">I13-MAX(0,I13)*I14/100</f>
        <v>1250.44764578423</v>
      </c>
      <c r="J15" s="0" t="n">
        <f aca="false">J13-MAX(0,J13)*J14/100</f>
        <v>1213.20582187386</v>
      </c>
      <c r="K15" s="0" t="n">
        <f aca="false">K13-MAX(0,K13)*K14/100</f>
        <v>1003.59962734279</v>
      </c>
      <c r="L15" s="0" t="n">
        <f aca="false">L13-MAX(0,L13)*L14/100</f>
        <v>958.551118858529</v>
      </c>
    </row>
    <row r="16" customFormat="false" ht="15" hidden="false" customHeight="false" outlineLevel="0" collapsed="false">
      <c r="A16" s="0" t="s">
        <v>121</v>
      </c>
      <c r="C16" s="0" t="n">
        <f aca="false">-C12</f>
        <v>45.67607202</v>
      </c>
      <c r="D16" s="0" t="n">
        <f aca="false">-D12</f>
        <v>79.8313597465394</v>
      </c>
      <c r="E16" s="0" t="n">
        <f aca="false">-E12</f>
        <v>124.619505369857</v>
      </c>
      <c r="F16" s="0" t="n">
        <f aca="false">-F12</f>
        <v>143.225197521576</v>
      </c>
      <c r="G16" s="0" t="n">
        <f aca="false">-G12</f>
        <v>182.601623658858</v>
      </c>
      <c r="H16" s="0" t="n">
        <f aca="false">-H12</f>
        <v>196.059363322516</v>
      </c>
      <c r="I16" s="0" t="n">
        <f aca="false">-I12</f>
        <v>199.22161111804</v>
      </c>
      <c r="J16" s="0" t="n">
        <f aca="false">-J12</f>
        <v>203.53175486334</v>
      </c>
      <c r="K16" s="0" t="n">
        <f aca="false">-K12</f>
        <v>198.66703279633</v>
      </c>
      <c r="L16" s="0" t="n">
        <f aca="false">-L12</f>
        <v>199.591386351701</v>
      </c>
    </row>
    <row r="17" customFormat="false" ht="15" hidden="false" customHeight="false" outlineLevel="0" collapsed="false">
      <c r="A17" s="0" t="s">
        <v>122</v>
      </c>
      <c r="C17" s="4" t="n">
        <f aca="false">-C6*Assumptions!C46/100</f>
        <v>-453.01528229436</v>
      </c>
      <c r="D17" s="4" t="n">
        <f aca="false">-D6*Assumptions!D46/100</f>
        <v>-429.988220427912</v>
      </c>
      <c r="E17" s="4" t="n">
        <f aca="false">-E6*Assumptions!E46/100</f>
        <v>-299.917609590121</v>
      </c>
      <c r="F17" s="4" t="n">
        <f aca="false">-F6*Assumptions!F46/100</f>
        <v>-290.031024981192</v>
      </c>
      <c r="G17" s="4" t="n">
        <f aca="false">-G6*Assumptions!G46/100</f>
        <v>-199.978229781233</v>
      </c>
      <c r="H17" s="4" t="n">
        <f aca="false">-H6*Assumptions!H46/100</f>
        <v>-195.110688983859</v>
      </c>
      <c r="I17" s="4" t="n">
        <f aca="false">-I6*Assumptions!I46/100</f>
        <v>-195.110688983859</v>
      </c>
      <c r="J17" s="4" t="n">
        <f aca="false">-J6*Assumptions!J46/100</f>
        <v>-195.077358892094</v>
      </c>
      <c r="K17" s="4" t="n">
        <f aca="false">-K6*Assumptions!K46/100</f>
        <v>-185.146637508802</v>
      </c>
      <c r="L17" s="4" t="n">
        <f aca="false">-L6*Assumptions!L46/100</f>
        <v>-185.02660950982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(C6-B6)*Assumptions!$B$51/100</f>
        <v>-4.325263212</v>
      </c>
      <c r="D18" s="4" t="n">
        <f aca="false">(D6-C6)*Assumptions!$B$51/100</f>
        <v>-13.8864394155204</v>
      </c>
      <c r="E18" s="4" t="n">
        <f aca="false">(E6-D6)*Assumptions!$B$51/100</f>
        <v>-21.0176700574079</v>
      </c>
      <c r="F18" s="4" t="n">
        <f aca="false">(F6-E6)*Assumptions!$B$51/100</f>
        <v>-9.30284607585979</v>
      </c>
      <c r="G18" s="4" t="n">
        <f aca="false">(G6-F6)*Assumptions!$B$51/100</f>
        <v>-16.7430255902722</v>
      </c>
      <c r="H18" s="4" t="n">
        <f aca="false">(H6-G6)*Assumptions!$B$51/100</f>
        <v>-6.51180951467316</v>
      </c>
      <c r="I18" s="4" t="n">
        <f aca="false">(I6-H6)*Assumptions!$B$51/100</f>
        <v>-0</v>
      </c>
      <c r="J18" s="4" t="n">
        <f aca="false">(J6-I6)*Assumptions!$B$51/100</f>
        <v>0.92970085188419</v>
      </c>
      <c r="K18" s="4" t="n">
        <f aca="false">(K6-J6)*Assumptions!$B$51/100</f>
        <v>11.1598026820453</v>
      </c>
      <c r="L18" s="4" t="n">
        <f aca="false">(L6-K6)*Assumptions!$B$51/100</f>
        <v>1.86250343246559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-47.0543150652696</v>
      </c>
      <c r="D19" s="0" t="n">
        <f aca="false">D15+D16+D17+D18</f>
        <v>182.845559055038</v>
      </c>
      <c r="E19" s="0" t="n">
        <f aca="false">E15+E16+E17+E18</f>
        <v>646.560712241889</v>
      </c>
      <c r="F19" s="0" t="n">
        <f aca="false">F15+F16+F17+F18</f>
        <v>820.801753719691</v>
      </c>
      <c r="G19" s="0" t="n">
        <f aca="false">G15+G16+G17+G18</f>
        <v>1144.51494525571</v>
      </c>
      <c r="H19" s="0" t="n">
        <f aca="false">H15+H16+H17+H18</f>
        <v>1259.93681011491</v>
      </c>
      <c r="I19" s="0" t="n">
        <f aca="false">I15+I16+I17+I18</f>
        <v>1254.55856791841</v>
      </c>
      <c r="J19" s="0" t="n">
        <f aca="false">J15+J16+J17+J18</f>
        <v>1222.58991869699</v>
      </c>
      <c r="K19" s="0" t="n">
        <f aca="false">K15+K16+K17+K18</f>
        <v>1028.27982531236</v>
      </c>
      <c r="L19" s="0" t="n">
        <f aca="false">L15+L16+L17+L18</f>
        <v>974.978399132876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-42.9719772285567</v>
      </c>
      <c r="D21" s="0" t="n">
        <f aca="false">D19*D20</f>
        <v>152.495201563802</v>
      </c>
      <c r="E21" s="0" t="n">
        <f aca="false">E19*E20</f>
        <v>492.455456620063</v>
      </c>
      <c r="F21" s="0" t="n">
        <f aca="false">F19*F20</f>
        <v>570.928599933706</v>
      </c>
      <c r="G21" s="0" t="n">
        <f aca="false">G19*G20</f>
        <v>727.027556554984</v>
      </c>
      <c r="H21" s="0" t="n">
        <f aca="false">H19*H20</f>
        <v>730.9102450155</v>
      </c>
      <c r="I21" s="0" t="n">
        <f aca="false">I19*I20</f>
        <v>664.64861871785</v>
      </c>
      <c r="J21" s="0" t="n">
        <f aca="false">J19*J20</f>
        <v>591.517853043294</v>
      </c>
      <c r="K21" s="0" t="n">
        <f aca="false">K19*K20</f>
        <v>454.343419709389</v>
      </c>
      <c r="L21" s="0" t="n">
        <f aca="false">L19*L20</f>
        <v>393.417615814628</v>
      </c>
    </row>
    <row r="23" customFormat="false" ht="15" hidden="false" customHeight="false" outlineLevel="0" collapsed="false">
      <c r="A23" s="0" t="s">
        <v>102</v>
      </c>
      <c r="C23" s="4" t="n">
        <f aca="false">Assumptions!C44</f>
        <v>1.4</v>
      </c>
      <c r="D23" s="4" t="n">
        <f aca="false">Assumptions!D44</f>
        <v>1.3</v>
      </c>
      <c r="E23" s="4" t="n">
        <f aca="false">Assumptions!E44</f>
        <v>1.1</v>
      </c>
      <c r="F23" s="4" t="n">
        <f aca="false">Assumptions!F44</f>
        <v>1</v>
      </c>
      <c r="G23" s="4" t="n">
        <f aca="false">Assumptions!G44</f>
        <v>0.9</v>
      </c>
      <c r="H23" s="4" t="n">
        <f aca="false">Assumptions!H44</f>
        <v>0.9</v>
      </c>
      <c r="I23" s="4" t="n">
        <f aca="false">Assumptions!I44</f>
        <v>0.9</v>
      </c>
      <c r="J23" s="4" t="n">
        <f aca="false">Assumptions!J44</f>
        <v>0.9</v>
      </c>
      <c r="K23" s="4" t="n">
        <f aca="false">Assumptions!K44</f>
        <v>1</v>
      </c>
      <c r="L23" s="4" t="n">
        <f aca="false">Assumptions!L44</f>
        <v>1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-12.7893001656</v>
      </c>
      <c r="D24" s="0" t="n">
        <f aca="false">-D6*D23/100</f>
        <v>-17.8932358052588</v>
      </c>
      <c r="E24" s="0" t="n">
        <f aca="false">-E6*E23/100</f>
        <v>-22.846909317807</v>
      </c>
      <c r="F24" s="0" t="n">
        <f aca="false">-F6*F23/100</f>
        <v>-23.870866253596</v>
      </c>
      <c r="G24" s="0" t="n">
        <f aca="false">-G6*G23/100</f>
        <v>-26.5066873053181</v>
      </c>
      <c r="H24" s="0" t="n">
        <f aca="false">-H6*H23/100</f>
        <v>-28.46023015972</v>
      </c>
      <c r="I24" s="0" t="n">
        <f aca="false">-I6*I23/100</f>
        <v>-28.46023015972</v>
      </c>
      <c r="J24" s="0" t="n">
        <f aca="false">-J6*J23/100</f>
        <v>-28.1813199041548</v>
      </c>
      <c r="K24" s="0" t="n">
        <f aca="false">-K6*K23/100</f>
        <v>-27.5926434439347</v>
      </c>
      <c r="L24" s="0" t="n">
        <f aca="false">-L6*L23/100</f>
        <v>-26.9718089664461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107</v>
      </c>
      <c r="B28" s="4" t="n">
        <f aca="false">Assumptions!$B$49</f>
        <v>1</v>
      </c>
    </row>
    <row r="29" customFormat="false" ht="15" hidden="false" customHeight="false" outlineLevel="0" collapsed="false">
      <c r="A29" s="0" t="s">
        <v>108</v>
      </c>
      <c r="B29" s="4" t="n">
        <f aca="false">Assumptions!$B$50</f>
        <v>10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4734.77258974466</v>
      </c>
    </row>
    <row r="31" customFormat="false" ht="15" hidden="false" customHeight="false" outlineLevel="0" collapsed="false">
      <c r="A31" s="0" t="s">
        <v>130</v>
      </c>
      <c r="B31" s="0" t="n">
        <f aca="false">L19</f>
        <v>974.978399132876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11585.0374485201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9749.78399132876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9749.78399132876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3934.17615814628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8668.94874789094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9070.92574789094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19.7839165711907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0.278030786252629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85.7258790293712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64.6608390328649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20.1119137752523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7033.77273660146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12.3243479804149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2" t="s">
        <v>147</v>
      </c>
      <c r="B3" s="2" t="s">
        <v>148</v>
      </c>
      <c r="C3" s="2" t="s">
        <v>138</v>
      </c>
      <c r="D3" s="2" t="s">
        <v>149</v>
      </c>
      <c r="E3" s="2" t="s">
        <v>141</v>
      </c>
      <c r="F3" s="2" t="s">
        <v>150</v>
      </c>
    </row>
    <row r="4" customFormat="false" ht="15" hidden="false" customHeight="false" outlineLevel="0" collapsed="false">
      <c r="A4" s="0" t="s">
        <v>151</v>
      </c>
      <c r="B4" s="4" t="n">
        <f aca="false">DCF_Bear!$B$38</f>
        <v>1.23295274914718</v>
      </c>
      <c r="C4" s="0" t="n">
        <f aca="false">B4/Assumptions!$B$2-1</f>
        <v>-0.920351889589976</v>
      </c>
      <c r="D4" s="4" t="n">
        <f aca="false">Assumptions!$B$24</f>
        <v>0.3</v>
      </c>
      <c r="E4" s="4" t="n">
        <f aca="false">DCF_Bear!$B$43</f>
        <v>1.44380816760593</v>
      </c>
      <c r="F4" s="4" t="n">
        <f aca="false">DCF_Bear!$B$47</f>
        <v>0.998955385766963</v>
      </c>
    </row>
    <row r="5" customFormat="false" ht="15" hidden="false" customHeight="false" outlineLevel="0" collapsed="false">
      <c r="A5" s="0" t="s">
        <v>152</v>
      </c>
      <c r="B5" s="4" t="n">
        <f aca="false">DCF_Base!$B$38</f>
        <v>8.05660044246161</v>
      </c>
      <c r="C5" s="0" t="n">
        <f aca="false">B5/Assumptions!$B$2-1</f>
        <v>-0.47954777503478</v>
      </c>
      <c r="D5" s="4" t="n">
        <f aca="false">Assumptions!$B$38</f>
        <v>0.5</v>
      </c>
      <c r="E5" s="4" t="n">
        <f aca="false">DCF_Base!$B$43</f>
        <v>8.28957350902565</v>
      </c>
      <c r="F5" s="4" t="n">
        <f aca="false">DCF_Base!$B$47</f>
        <v>5.64570303034286</v>
      </c>
    </row>
    <row r="6" customFormat="false" ht="15" hidden="false" customHeight="false" outlineLevel="0" collapsed="false">
      <c r="A6" s="0" t="s">
        <v>153</v>
      </c>
      <c r="B6" s="4" t="n">
        <f aca="false">DCF_Bull!$B$38</f>
        <v>19.7839165711907</v>
      </c>
      <c r="C6" s="0" t="n">
        <f aca="false">B6/Assumptions!$B$2-1</f>
        <v>0.278030786252629</v>
      </c>
      <c r="D6" s="4" t="n">
        <f aca="false">Assumptions!$B$52</f>
        <v>0.2</v>
      </c>
      <c r="E6" s="4" t="n">
        <f aca="false">DCF_Bull!$B$43</f>
        <v>20.1119137752523</v>
      </c>
      <c r="F6" s="4" t="n">
        <f aca="false">DCF_Bull!$B$47</f>
        <v>12.3243479804149</v>
      </c>
    </row>
    <row r="8" customFormat="false" ht="15" hidden="false" customHeight="false" outlineLevel="0" collapsed="false">
      <c r="A8" s="0" t="s">
        <v>154</v>
      </c>
      <c r="B8" s="0" t="n">
        <f aca="false">SUMPRODUCT(B4:B6,D4:D6)</f>
        <v>8.3549693602131</v>
      </c>
    </row>
    <row r="9" customFormat="false" ht="15" hidden="false" customHeight="false" outlineLevel="0" collapsed="false">
      <c r="A9" s="0" t="s">
        <v>155</v>
      </c>
      <c r="B9" s="0" t="n">
        <f aca="false">SUMPRODUCT(E4:E6,D4:D6)</f>
        <v>8.60031195984506</v>
      </c>
    </row>
    <row r="10" customFormat="false" ht="15" hidden="false" customHeight="false" outlineLevel="0" collapsed="false">
      <c r="A10" s="0" t="s">
        <v>156</v>
      </c>
      <c r="B10" s="0" t="n">
        <f aca="false">1-Assumptions!$B$2/B8</f>
        <v>-0.852789559434742</v>
      </c>
    </row>
    <row r="11" customFormat="false" ht="15" hidden="false" customHeight="false" outlineLevel="0" collapsed="false">
      <c r="A11" s="0" t="s">
        <v>157</v>
      </c>
      <c r="B11" s="0" t="n">
        <f aca="false">IF(ABS(B9-B8)&gt;0.01*ABS(B8),(Assumptions!$B$2-B8)/(B9-B8)*100,"n/a")</f>
        <v>2904.114756457</v>
      </c>
    </row>
    <row r="12" customFormat="false" ht="15" hidden="false" customHeight="false" outlineLevel="0" collapsed="false">
      <c r="A12" s="0" t="s">
        <v>158</v>
      </c>
      <c r="B12" s="0" t="n">
        <f aca="false">SUMPRODUCT(F4:F6,D4:D6)</f>
        <v>5.5874077269845</v>
      </c>
    </row>
    <row r="14" customFormat="false" ht="15" hidden="false" customHeight="false" outlineLevel="0" collapsed="false">
      <c r="A14" s="2" t="s">
        <v>159</v>
      </c>
      <c r="C14" s="0" t="s">
        <v>160</v>
      </c>
    </row>
    <row r="15" customFormat="false" ht="15" hidden="false" customHeight="false" outlineLevel="0" collapsed="false">
      <c r="A15" s="0" t="s">
        <v>161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8.30573472498391</v>
      </c>
      <c r="C15" s="3" t="n">
        <v>9</v>
      </c>
    </row>
    <row r="16" customFormat="false" ht="15" hidden="false" customHeight="false" outlineLevel="0" collapsed="false">
      <c r="A16" s="0" t="s">
        <v>162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8.05660044246161</v>
      </c>
      <c r="C16" s="3" t="n">
        <v>9.5</v>
      </c>
    </row>
    <row r="17" customFormat="false" ht="15" hidden="false" customHeight="false" outlineLevel="0" collapsed="false">
      <c r="A17" s="0" t="s">
        <v>163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7.81773929758494</v>
      </c>
      <c r="C17" s="3" t="n">
        <v>10</v>
      </c>
    </row>
    <row r="18" customFormat="false" ht="15" hidden="false" customHeight="false" outlineLevel="0" collapsed="false">
      <c r="A18" s="0" t="s">
        <v>164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7.36889810983595</v>
      </c>
      <c r="C18" s="3" t="n">
        <v>11</v>
      </c>
    </row>
    <row r="19" customFormat="false" ht="15" hidden="false" customHeight="false" outlineLevel="0" collapsed="false">
      <c r="A19" s="0" t="s">
        <v>165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6.95558799044973</v>
      </c>
      <c r="C19" s="3" t="n">
        <v>12</v>
      </c>
    </row>
    <row r="20" customFormat="false" ht="15" hidden="false" customHeight="false" outlineLevel="0" collapsed="false">
      <c r="A20" s="0" t="s">
        <v>166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5.64570303034286</v>
      </c>
      <c r="C20" s="3" t="n">
        <v>15</v>
      </c>
    </row>
    <row r="22" customFormat="false" ht="15" hidden="false" customHeight="false" outlineLevel="0" collapsed="false">
      <c r="A22" s="2" t="s">
        <v>167</v>
      </c>
    </row>
    <row r="23" customFormat="false" ht="15" hidden="false" customHeight="false" outlineLevel="0" collapsed="false">
      <c r="B23" s="3" t="n">
        <v>-1</v>
      </c>
      <c r="C23" s="3" t="n">
        <v>-0.5</v>
      </c>
      <c r="D23" s="3" t="n">
        <v>0</v>
      </c>
      <c r="E23" s="3" t="n">
        <v>0.5</v>
      </c>
      <c r="F23" s="3" t="n">
        <v>1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9.12011696178205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9.12011696178205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9.12011696178205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9.12011696178205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9.12011696178205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8.56566118712348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8.56566118712348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8.56566118712348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8.56566118712348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8.56566118712348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8.05660044246161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8.05660044246161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8.05660044246161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8.05660044246161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8.05660044246161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7.58866014816258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7.58866014816258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7.58866014816258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7.58866014816258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7.58866014816258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7.13739575574665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7.15801301856753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7.15801301856753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7.15801301856753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7.15801301856753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2026-09-22T09:31:32Z</dcterms:created>
  <dc:creator>openpyxl</dc:creator>
  <dc:description/>
  <dc:language>en-NZ</dc:language>
  <cp:lastModifiedBy/>
  <dcterms:modified xsi:type="dcterms:W3CDTF">2026-09-22T09:31:32Z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