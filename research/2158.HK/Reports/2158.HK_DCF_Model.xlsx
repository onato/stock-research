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<sst xmlns="http://schemas.openxmlformats.org/spreadsheetml/2006/main" count="350" uniqueCount="164">
  <si>
    <t xml:space="preserve">Ticker</t>
  </si>
  <si>
    <t xml:space="preserve">2158.HK</t>
  </si>
  <si>
    <t xml:space="preserve">Company</t>
  </si>
  <si>
    <t xml:space="preserve">Yidu Tech Inc.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</si>
  <si>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</si>
  <si>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</si>
  <si>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</si>
  <si>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</si>
  <si>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regular close (Yahoo chart API)</t>
  </si>
  <si>
    <t xml:space="preserve">Balance sheet date</t>
  </si>
  <si>
    <t xml:space="preserve">2026-03-31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</si>
  <si>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</si>
  <si>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</si>
  <si>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</si>
  <si>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</si>
  <si>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</si>
  <si>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</si>
  <si>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</si>
  <si>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</si>
  <si>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</si>
  <si>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</si>
  <si>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</si>
  <si>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2026-10-17T03:56:30Z</t>
  </si>
  <si>
    <t xml:space="preserve">Drivers file</t>
  </si>
  <si>
    <t xml:space="preserve">2158.HK_Drivers.json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</si>
  <si>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</si>
  <si>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</si>
  <si>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</si>
  <si>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Yidu's value is mostly its balance sheet: ~RMB3.3/share of net financial assets (term deposits, IG bank notes, cash) against a quote that converts to ~RMB2.45/share. The operating business is valued on owner FCF built from a near-breakeven core (FY26 profit was treasury interest, not operations). Even the bear case, where the operation is worth little, leaves value near net cash less the burn; the question is whether management and the controlling holder let shareholders keep the cash.
key_risks_to_valuation: Cash access / governance: offshore-listed VIE structure; the market already prices the treasury at ~0.73x. Buybacks (RMB260m in FY26) are the strongest counter-evidence.; FY26 operating breakeven may reflect a one-off staff-cost cut and lower impairments rather than durable leverage.; Customer budget risk: hospitals, local governments and Hui Min Bao programmes depend on public finances.; Receivables (RMB378m + RMB65m contract assets on RMB819m revenue) and their impairment.; Price has fallen ~53% since March 2026 with no H1 FY27 filing yet extracted; the interim (due ~Nov 2026) could reset cash or margins.; Unfunded VC fund commitment (~US$26.8m) and strategic investments may divert cash.</t>
  </si>
  <si>
    <t xml:space="preserve">Data sources</t>
  </si>
  <si>
    <t xml:space="preserve">price: Yahoo Finance chart API at inputs.price_as_of; 52-week range 2.84-7.05 HKD
fx: Yahoo Finance CNYHKD=X, 2026-10-16
financials: 2158.HK_Metrics.csv / core_metrics and kpis; Yidu Tech Annual Report FY2026 (year ended 31 March 2026): income statement, balance sheet, cash-flow statement, notes 6, 23, 24, 27
qualitative: FY2026 Annual Report chairman's statement and MD&amp;A (segments, outlook); Analysis JSON not available at build time</t>
  </si>
  <si>
    <t xml:space="preserve">Scenario narrative: bear</t>
  </si>
  <si>
    <t xml:space="preserve">FY26's breakeven was a one-off cost cut, not operating leverage: local-government and hospital IT budgets stay squeezed, AI commoditises the data-platform offer (large-model vendors and hospital in-house builds), pharma RWE spend in China stays soft, and receivables keep being impaired. Revenue grows ~2-3%, EBITDA hovers near zero and the business burns cash for most of the decade; terminal value close to nil. Value collapses to the net cash less the burn.</t>
  </si>
  <si>
    <t xml:space="preserve">Scenario narrative: base</t>
  </si>
  <si>
    <t xml:space="preserve">Yidu holds the FY26 cost reset (admin and R&amp;D cut ~RMB100m) and grows ~10% a year as pharma real-world-evidence and clinical-trial work (17 of the top 20 MNCs as clients) and the Hui Min Bao city-insurance/Care business compound, while the hospital/government big-data segment, budget-constrained by local-government finances, grows slowly. Receivable impairments normalise. Pre-SBC EBITDA margin reaches 15% (owner-FCF ~9-10%) by year 8. The RMB3.35bn treasury is preserved and not wasted.</t>
  </si>
  <si>
    <t xml:space="preserve">Scenario narrative: bull</t>
  </si>
  <si>
    <t xml:space="preserve">YiduCore/medical large-model deployment converts into recurring platform revenue across hospitals, pharma and insurers; China's push on medical AI and data-element policy accelerates hospital procurement; Life Sciences wins more global RWE mandates. Revenue compounds mid-teens for five years and the software-like mix lifts pre-SBC EBITDA margin to 22%.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</si>
  <si>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</si>
  <si>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</si>
  <si>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</si>
  <si>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</si>
  <si>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</si>
  <si>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</si>
  <si>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</si>
  <si>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</si>
  <si>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</si>
  <si>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</si>
  <si>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</si>
  <si>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</si>
  <si>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</si>
  <si>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</si>
  <si>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</si>
  <si>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</si>
  <si>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</si>
  <si>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</si>
  <si>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</si>
  <si>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</si>
  <si>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</si>
  <si>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</si>
  <si>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</si>
  <si>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</si>
  <si>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</si>
  <si>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</si>
  <si>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</si>
  <si>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NetIncomeInclNCI</t>
  </si>
  <si>
    <t xml:space="preserve">TermDeposits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</si>
  <si>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</si>
  <si>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</si>
  <si>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</si>
  <si>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</si>
  <si>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</si>
  <si>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</si>
  <si>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</si>
  <si>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</si>
  <si>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</si>
  <si>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</si>
  <si>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</si>
  <si>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</si>
  <si>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</si>
  <si>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</si>
  <si>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</si>
  <si>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</si>
  <si>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</si>
  <si>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</si>
  <si>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</si>
  <si>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</si>
  <si>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</si>
  <si>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</si>
  <si>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</si>
  <si>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</si>
  <si>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</si>
  <si>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</si>
  <si>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</si>
  <si>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</si>
  <si>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</si>
  <si>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</si>
  <si>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</si>
  <si>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</si>
  <si>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</si>
  <si>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</si>
  <si>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</si>
  <si>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</si>
  <si>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</si>
  <si>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</si>
  <si>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</si>
  <si>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</si>
  <si>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</si>
  <si>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</si>
  <si>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</si>
  <si>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2158.HK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</si>
  <si>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</si>
  <si>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</si>
  <si>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</si>
  <si>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</si>
  <si>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</si>
  <si>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</si>
  <si>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</si>
  <si>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</si>
  <si>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</si>
  <si>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</si>
  <si>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</si>
  <si>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</si>
  <si>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</si>
  <si>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</si>
  <si>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</si>
  <si>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</si>
  <si>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</si>
  <si>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</si>
  <si>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</si>
  <si>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</si>
  <si>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</si>
  <si>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</si>
  <si>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</si>
  <si>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</si>
  <si>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</si>
  <si>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</si>
  <si>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</si>
  <si>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</si>
  <si>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</si>
  <si>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</si>
  <si>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2158.HK owner-FCF component DCF: base case (millions, CNY)</t>
  </si>
  <si>
    <t xml:space="preserve">2158.HK owner-FCF component DCF: bull case (millions, CNY)</t>
  </si>
  <si>
    <t xml:space="preserve">2158.HK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</si>
  <si>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</si>
  <si>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</si>
  <si>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</si>
  <si>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</si>
  <si>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</si>
  <si>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</si>
  <si>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</si>
  <si>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</si>
  <si>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</si>
  <si>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</si>
  <si>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</si>
  <si>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</si>
  <si>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</si>
  <si>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</si>
  <si>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</si>
  <si>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</si>
  <si>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10.5%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</si>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</sst>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2.87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</row>
    <row r="2" customFormat="false" ht="15" hidden="false" customHeight="false" outlineLevel="0" collapsed="false">
      <c r="A2" s="0" t="s">
        <v>66</v>
      </c>
      <c r="B2" s="0" t="n">
        <v>867.036</v>
      </c>
      <c r="C2" s="0" t="n">
        <v>539.7</v>
      </c>
      <c r="D2" s="0" t="n">
        <v>327.336</v>
      </c>
      <c r="E2" s="0" t="n">
        <v>37.8</v>
      </c>
      <c r="F2" s="0" t="n">
        <v>-453.286</v>
      </c>
      <c r="G2" s="0" t="n">
        <v>-52.3</v>
      </c>
      <c r="H2" s="0" t="n">
        <v>-416.866</v>
      </c>
      <c r="I2" s="0" t="n">
        <v>-3700.287</v>
      </c>
      <c r="J2" s="0" t="n">
        <v>-426.8</v>
      </c>
      <c r="K2" s="0" t="n">
        <v>-7.24</v>
      </c>
      <c r="L2" s="0" t="n">
        <v>-331.678</v>
      </c>
      <c r="M2" s="0" t="n">
        <v>19.048</v>
      </c>
      <c r="N2" s="0" t="n">
        <v>-350.726</v>
      </c>
      <c r="O2" s="0" t="n">
        <v>4729.57</v>
      </c>
      <c r="P2" s="0" t="n">
        <v>5249.894</v>
      </c>
      <c r="Q2" s="0" t="n">
        <v>497.706</v>
      </c>
      <c r="R2" s="0" t="n">
        <v>0</v>
      </c>
      <c r="S2" s="0" t="n">
        <v>4600.569</v>
      </c>
      <c r="T2" s="0" t="n">
        <v>510.77</v>
      </c>
      <c r="U2" s="0" t="n">
        <v>129.277</v>
      </c>
      <c r="AA2" s="0" t="s">
        <v>18</v>
      </c>
      <c r="AB2" s="0" t="s">
        <v>14</v>
      </c>
      <c r="AC2" s="0" t="n">
        <v>-3694.817</v>
      </c>
      <c r="AD2" s="0" t="n">
        <v>3860.723</v>
      </c>
    </row>
    <row r="3" customFormat="false" ht="15" hidden="false" customHeight="false" outlineLevel="0" collapsed="false">
      <c r="A3" s="0" t="s">
        <v>67</v>
      </c>
      <c r="B3" s="0" t="n">
        <v>1237.2</v>
      </c>
      <c r="C3" s="0" t="n">
        <v>837.755</v>
      </c>
      <c r="D3" s="0" t="n">
        <v>399.445</v>
      </c>
      <c r="E3" s="0" t="n">
        <v>32.3</v>
      </c>
      <c r="F3" s="0" t="n">
        <v>-767.398</v>
      </c>
      <c r="G3" s="0" t="n">
        <v>-62</v>
      </c>
      <c r="H3" s="0" t="n">
        <v>-720.46</v>
      </c>
      <c r="I3" s="0" t="n">
        <v>-762.318</v>
      </c>
      <c r="J3" s="0" t="n">
        <v>-61.6</v>
      </c>
      <c r="K3" s="0" t="n">
        <v>-0.8</v>
      </c>
      <c r="L3" s="0" t="n">
        <v>-614.676</v>
      </c>
      <c r="M3" s="0" t="n">
        <v>68.799</v>
      </c>
      <c r="N3" s="0" t="n">
        <v>-683.475</v>
      </c>
      <c r="O3" s="0" t="n">
        <v>3989.8</v>
      </c>
      <c r="P3" s="0" t="n">
        <v>4722.81</v>
      </c>
      <c r="Q3" s="0" t="n">
        <v>715.344</v>
      </c>
      <c r="R3" s="0" t="n">
        <v>0</v>
      </c>
      <c r="S3" s="0" t="n">
        <v>3727.1</v>
      </c>
      <c r="T3" s="0" t="n">
        <v>957.776</v>
      </c>
      <c r="U3" s="0" t="n">
        <v>178.227</v>
      </c>
      <c r="AA3" s="0" t="s">
        <v>18</v>
      </c>
      <c r="AB3" s="0" t="s">
        <v>14</v>
      </c>
      <c r="AC3" s="0" t="n">
        <v>-766.36</v>
      </c>
      <c r="AD3" s="0" t="n">
        <v>318.595</v>
      </c>
    </row>
    <row r="4" customFormat="false" ht="15" hidden="false" customHeight="false" outlineLevel="0" collapsed="false">
      <c r="A4" s="0" t="s">
        <v>68</v>
      </c>
      <c r="B4" s="0" t="n">
        <v>804.7</v>
      </c>
      <c r="C4" s="0" t="n">
        <v>530.17</v>
      </c>
      <c r="D4" s="0" t="n">
        <v>274.53</v>
      </c>
      <c r="E4" s="0" t="n">
        <v>34.1</v>
      </c>
      <c r="F4" s="0" t="n">
        <v>-630.049</v>
      </c>
      <c r="G4" s="0" t="n">
        <v>-78.3</v>
      </c>
      <c r="H4" s="0" t="n">
        <v>-583.698</v>
      </c>
      <c r="I4" s="0" t="n">
        <v>-627.966</v>
      </c>
      <c r="J4" s="0" t="n">
        <v>-78</v>
      </c>
      <c r="K4" s="0" t="n">
        <v>-0.63</v>
      </c>
      <c r="L4" s="0" t="n">
        <v>-357.013</v>
      </c>
      <c r="M4" s="0" t="n">
        <v>21.179</v>
      </c>
      <c r="N4" s="0" t="n">
        <v>-378.192</v>
      </c>
      <c r="O4" s="0" t="n">
        <v>4082.364</v>
      </c>
      <c r="P4" s="0" t="n">
        <v>4911.508</v>
      </c>
      <c r="Q4" s="0" t="n">
        <v>755.357</v>
      </c>
      <c r="R4" s="0" t="n">
        <v>0</v>
      </c>
      <c r="S4" s="0" t="n">
        <v>3512.492</v>
      </c>
      <c r="T4" s="0" t="n">
        <v>995.204</v>
      </c>
      <c r="U4" s="0" t="n">
        <v>99.035</v>
      </c>
      <c r="AA4" s="0" t="s">
        <v>18</v>
      </c>
      <c r="AB4" s="0" t="s">
        <v>14</v>
      </c>
      <c r="AC4" s="0" t="n">
        <v>-632.361</v>
      </c>
      <c r="AD4" s="0" t="n">
        <v>2339.699</v>
      </c>
    </row>
    <row r="5" customFormat="false" ht="15" hidden="false" customHeight="false" outlineLevel="0" collapsed="false">
      <c r="A5" s="0" t="s">
        <v>69</v>
      </c>
      <c r="B5" s="0" t="n">
        <v>807.076</v>
      </c>
      <c r="C5" s="0" t="n">
        <v>467.631</v>
      </c>
      <c r="D5" s="0" t="n">
        <v>339.445</v>
      </c>
      <c r="E5" s="0" t="n">
        <v>42.1</v>
      </c>
      <c r="F5" s="0" t="n">
        <v>-219.919</v>
      </c>
      <c r="G5" s="0" t="n">
        <v>-27.2</v>
      </c>
      <c r="H5" s="0" t="n">
        <v>-172.805</v>
      </c>
      <c r="I5" s="0" t="n">
        <v>-194.944</v>
      </c>
      <c r="J5" s="0" t="n">
        <v>-24.2</v>
      </c>
      <c r="K5" s="0" t="n">
        <v>-0.19</v>
      </c>
      <c r="L5" s="0" t="n">
        <v>-326.383</v>
      </c>
      <c r="M5" s="0" t="n">
        <v>40.813</v>
      </c>
      <c r="N5" s="0" t="n">
        <v>-367.196</v>
      </c>
      <c r="O5" s="0" t="n">
        <v>4022.871</v>
      </c>
      <c r="P5" s="0" t="n">
        <v>4824.198</v>
      </c>
      <c r="Q5" s="0" t="n">
        <v>732.205</v>
      </c>
      <c r="R5" s="0" t="n">
        <v>80</v>
      </c>
      <c r="S5" s="0" t="n">
        <v>3377.072</v>
      </c>
      <c r="T5" s="0" t="n">
        <v>1051.62</v>
      </c>
      <c r="U5" s="0" t="n">
        <v>58.71</v>
      </c>
      <c r="AA5" s="0" t="s">
        <v>18</v>
      </c>
      <c r="AB5" s="0" t="s">
        <v>14</v>
      </c>
      <c r="AC5" s="0" t="n">
        <v>-221.242</v>
      </c>
      <c r="AD5" s="0" t="n">
        <v>1969.452</v>
      </c>
    </row>
    <row r="6" customFormat="false" ht="15" hidden="false" customHeight="false" outlineLevel="0" collapsed="false">
      <c r="A6" s="0" t="s">
        <v>70</v>
      </c>
      <c r="B6" s="0" t="n">
        <v>714.979</v>
      </c>
      <c r="C6" s="0" t="n">
        <v>475.797</v>
      </c>
      <c r="D6" s="0" t="n">
        <v>239.182</v>
      </c>
      <c r="E6" s="0" t="n">
        <v>33.5</v>
      </c>
      <c r="F6" s="0" t="n">
        <v>-134.149</v>
      </c>
      <c r="G6" s="0" t="n">
        <v>-18.8</v>
      </c>
      <c r="H6" s="0" t="n">
        <v>-90.876</v>
      </c>
      <c r="I6" s="0" t="n">
        <v>-117.788</v>
      </c>
      <c r="J6" s="0" t="n">
        <v>-16.5</v>
      </c>
      <c r="K6" s="0" t="n">
        <v>-0.11</v>
      </c>
      <c r="L6" s="0" t="n">
        <v>-248.814</v>
      </c>
      <c r="M6" s="0" t="n">
        <v>101.965</v>
      </c>
      <c r="N6" s="0" t="n">
        <v>-350.779</v>
      </c>
      <c r="O6" s="0" t="n">
        <v>3921.309</v>
      </c>
      <c r="P6" s="0" t="n">
        <v>4689.112</v>
      </c>
      <c r="Q6" s="0" t="n">
        <v>711.37</v>
      </c>
      <c r="R6" s="0" t="n">
        <v>121.997</v>
      </c>
      <c r="S6" s="0" t="n">
        <v>3255.531</v>
      </c>
      <c r="T6" s="0" t="n">
        <v>1056.43</v>
      </c>
      <c r="U6" s="0" t="n">
        <v>6.705</v>
      </c>
      <c r="AA6" s="0" t="s">
        <v>18</v>
      </c>
      <c r="AB6" s="0" t="s">
        <v>14</v>
      </c>
      <c r="AC6" s="0" t="n">
        <v>-135.223</v>
      </c>
      <c r="AD6" s="0" t="n">
        <v>1939.134</v>
      </c>
    </row>
    <row r="7" customFormat="false" ht="15" hidden="false" customHeight="false" outlineLevel="0" collapsed="false">
      <c r="A7" s="0" t="s">
        <v>71</v>
      </c>
      <c r="B7" s="0" t="n">
        <v>819.298</v>
      </c>
      <c r="C7" s="0" t="n">
        <v>520.802</v>
      </c>
      <c r="D7" s="0" t="n">
        <v>298.496</v>
      </c>
      <c r="E7" s="0" t="n">
        <v>36.4</v>
      </c>
      <c r="F7" s="0" t="n">
        <v>87.83</v>
      </c>
      <c r="G7" s="0" t="n">
        <v>10.7</v>
      </c>
      <c r="H7" s="0" t="n">
        <v>124.539</v>
      </c>
      <c r="I7" s="0" t="n">
        <v>72.709</v>
      </c>
      <c r="J7" s="0" t="n">
        <v>8.9</v>
      </c>
      <c r="K7" s="0" t="n">
        <v>0.07</v>
      </c>
      <c r="L7" s="0" t="n">
        <v>-21.998</v>
      </c>
      <c r="M7" s="0" t="n">
        <v>29.634</v>
      </c>
      <c r="N7" s="0" t="n">
        <v>-51.632</v>
      </c>
      <c r="O7" s="0" t="n">
        <v>3645.033</v>
      </c>
      <c r="P7" s="0" t="n">
        <v>4315.424</v>
      </c>
      <c r="Q7" s="0" t="n">
        <v>612.038</v>
      </c>
      <c r="R7" s="0" t="n">
        <v>64.97</v>
      </c>
      <c r="S7" s="0" t="n">
        <v>2057.374</v>
      </c>
      <c r="T7" s="0" t="n">
        <v>1048.78</v>
      </c>
      <c r="U7" s="0" t="n">
        <v>25.944</v>
      </c>
      <c r="AA7" s="0" t="s">
        <v>18</v>
      </c>
      <c r="AB7" s="0" t="s">
        <v>14</v>
      </c>
      <c r="AC7" s="0" t="n">
        <v>78.766</v>
      </c>
      <c r="AD7" s="0" t="n">
        <v>1392.61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2.87</v>
      </c>
    </row>
    <row r="3" customFormat="false" ht="15" hidden="false" customHeight="false" outlineLevel="0" collapsed="false">
      <c r="A3" s="0" t="s">
        <v>75</v>
      </c>
      <c r="B3" s="3" t="n">
        <v>1022.1</v>
      </c>
    </row>
    <row r="4" customFormat="false" ht="15" hidden="false" customHeight="false" outlineLevel="0" collapsed="false">
      <c r="A4" s="0" t="s">
        <v>76</v>
      </c>
      <c r="B4" s="3" t="n">
        <v>-3347.1</v>
      </c>
    </row>
    <row r="5" customFormat="false" ht="15" hidden="false" customHeight="false" outlineLevel="0" collapsed="false">
      <c r="A5" s="0" t="s">
        <v>77</v>
      </c>
      <c r="B5" s="3" t="n">
        <v>-125.8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819.298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1.1724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2</v>
      </c>
      <c r="D13" s="3" t="n">
        <v>3</v>
      </c>
      <c r="E13" s="3" t="n">
        <v>3</v>
      </c>
      <c r="F13" s="3" t="n">
        <v>3</v>
      </c>
      <c r="G13" s="3" t="n">
        <v>3</v>
      </c>
      <c r="H13" s="3" t="n">
        <v>2.5</v>
      </c>
      <c r="I13" s="3" t="n">
        <v>2.5</v>
      </c>
      <c r="J13" s="3" t="n">
        <v>2.5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96</v>
      </c>
      <c r="C14" s="3" t="n">
        <v>-3</v>
      </c>
      <c r="D14" s="3" t="n">
        <v>-2</v>
      </c>
      <c r="E14" s="3" t="n">
        <v>-1</v>
      </c>
      <c r="F14" s="3" t="n">
        <v>0</v>
      </c>
      <c r="G14" s="3" t="n">
        <v>1</v>
      </c>
      <c r="H14" s="3" t="n">
        <v>2</v>
      </c>
      <c r="I14" s="3" t="n">
        <v>3</v>
      </c>
      <c r="J14" s="3" t="n">
        <v>4</v>
      </c>
      <c r="K14" s="3" t="n">
        <v>4</v>
      </c>
      <c r="L14" s="3" t="n">
        <v>4</v>
      </c>
    </row>
    <row r="15" customFormat="false" ht="15" hidden="false" customHeight="false" outlineLevel="0" collapsed="false">
      <c r="A15" s="0" t="s">
        <v>97</v>
      </c>
      <c r="C15" s="3" t="n">
        <v>3</v>
      </c>
      <c r="D15" s="3" t="n">
        <v>3</v>
      </c>
      <c r="E15" s="3" t="n">
        <v>3</v>
      </c>
      <c r="F15" s="3" t="n">
        <v>3</v>
      </c>
      <c r="G15" s="3" t="n">
        <v>3</v>
      </c>
      <c r="H15" s="3" t="n">
        <v>3</v>
      </c>
      <c r="I15" s="3" t="n">
        <v>3</v>
      </c>
      <c r="J15" s="3" t="n">
        <v>3</v>
      </c>
      <c r="K15" s="3" t="n">
        <v>3</v>
      </c>
      <c r="L15" s="3" t="n">
        <v>3</v>
      </c>
    </row>
    <row r="16" customFormat="false" ht="15" hidden="false" customHeight="false" outlineLevel="0" collapsed="false">
      <c r="A16" s="0" t="s">
        <v>98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99</v>
      </c>
      <c r="C17" s="3" t="n">
        <v>4.5</v>
      </c>
      <c r="D17" s="3" t="n">
        <v>4.5</v>
      </c>
      <c r="E17" s="3" t="n">
        <v>4.4</v>
      </c>
      <c r="F17" s="3" t="n">
        <v>4.3</v>
      </c>
      <c r="G17" s="3" t="n">
        <v>4.2</v>
      </c>
      <c r="H17" s="3" t="n">
        <v>4</v>
      </c>
      <c r="I17" s="3" t="n">
        <v>4</v>
      </c>
      <c r="J17" s="3" t="n">
        <v>4</v>
      </c>
      <c r="K17" s="3" t="n">
        <v>4</v>
      </c>
      <c r="L17" s="3" t="n">
        <v>4</v>
      </c>
    </row>
    <row r="18" customFormat="false" ht="15" hidden="false" customHeight="false" outlineLevel="0" collapsed="false">
      <c r="A18" s="0" t="s">
        <v>100</v>
      </c>
      <c r="C18" s="3" t="n">
        <v>3.8</v>
      </c>
      <c r="D18" s="3" t="n">
        <v>3.8</v>
      </c>
      <c r="E18" s="3" t="n">
        <v>3.8</v>
      </c>
      <c r="F18" s="3" t="n">
        <v>3.8</v>
      </c>
      <c r="G18" s="3" t="n">
        <v>3.8</v>
      </c>
      <c r="H18" s="3" t="n">
        <v>3.8</v>
      </c>
      <c r="I18" s="3" t="n">
        <v>3.8</v>
      </c>
      <c r="J18" s="3" t="n">
        <v>3.8</v>
      </c>
      <c r="K18" s="3" t="n">
        <v>3.8</v>
      </c>
      <c r="L18" s="3" t="n">
        <v>3.8</v>
      </c>
    </row>
    <row r="19" customFormat="false" ht="15" hidden="false" customHeight="false" outlineLevel="0" collapsed="false">
      <c r="A19" s="0" t="s">
        <v>101</v>
      </c>
      <c r="C19" s="3" t="n">
        <v>3</v>
      </c>
      <c r="D19" s="3" t="n">
        <v>5</v>
      </c>
      <c r="E19" s="3" t="n">
        <v>8</v>
      </c>
      <c r="F19" s="3" t="n">
        <v>12</v>
      </c>
      <c r="G19" s="3" t="n">
        <v>15</v>
      </c>
      <c r="H19" s="3" t="n">
        <v>15</v>
      </c>
      <c r="I19" s="3" t="n">
        <v>15</v>
      </c>
      <c r="J19" s="3" t="n">
        <v>15</v>
      </c>
      <c r="K19" s="3" t="n">
        <v>15</v>
      </c>
      <c r="L19" s="3" t="n">
        <v>15</v>
      </c>
    </row>
    <row r="20" customFormat="false" ht="15" hidden="false" customHeight="false" outlineLevel="0" collapsed="false">
      <c r="A20" s="0" t="s">
        <v>102</v>
      </c>
      <c r="B20" s="3" t="n">
        <v>10.5</v>
      </c>
    </row>
    <row r="21" customFormat="false" ht="15" hidden="false" customHeight="false" outlineLevel="0" collapsed="false">
      <c r="A21" s="0" t="s">
        <v>103</v>
      </c>
      <c r="B21" s="3" t="n">
        <v>2</v>
      </c>
    </row>
    <row r="22" customFormat="false" ht="15" hidden="false" customHeight="false" outlineLevel="0" collapsed="false">
      <c r="A22" s="0" t="s">
        <v>104</v>
      </c>
      <c r="B22" s="3" t="n">
        <v>10</v>
      </c>
    </row>
    <row r="23" customFormat="false" ht="15" hidden="false" customHeight="false" outlineLevel="0" collapsed="false">
      <c r="A23" s="0" t="s">
        <v>105</v>
      </c>
      <c r="B23" s="3" t="n">
        <v>-15</v>
      </c>
    </row>
    <row r="24" customFormat="false" ht="15" hidden="false" customHeight="false" outlineLevel="0" collapsed="false">
      <c r="A24" s="0" t="s">
        <v>106</v>
      </c>
      <c r="B24" s="3" t="n">
        <v>0.3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10</v>
      </c>
      <c r="D27" s="3" t="n">
        <v>10</v>
      </c>
      <c r="E27" s="3" t="n">
        <v>9</v>
      </c>
      <c r="F27" s="3" t="n">
        <v>8</v>
      </c>
      <c r="G27" s="3" t="n">
        <v>7</v>
      </c>
      <c r="H27" s="3" t="n">
        <v>6</v>
      </c>
      <c r="I27" s="3" t="n">
        <v>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96</v>
      </c>
      <c r="C28" s="3" t="n">
        <v>2</v>
      </c>
      <c r="D28" s="3" t="n">
        <v>5</v>
      </c>
      <c r="E28" s="3" t="n">
        <v>8</v>
      </c>
      <c r="F28" s="3" t="n">
        <v>10</v>
      </c>
      <c r="G28" s="3" t="n">
        <v>12</v>
      </c>
      <c r="H28" s="3" t="n">
        <v>13</v>
      </c>
      <c r="I28" s="3" t="n">
        <v>14</v>
      </c>
      <c r="J28" s="3" t="n">
        <v>15</v>
      </c>
      <c r="K28" s="3" t="n">
        <v>15</v>
      </c>
      <c r="L28" s="3" t="n">
        <v>15</v>
      </c>
    </row>
    <row r="29" customFormat="false" ht="15" hidden="false" customHeight="false" outlineLevel="0" collapsed="false">
      <c r="A29" s="0" t="s">
        <v>97</v>
      </c>
      <c r="C29" s="3" t="n">
        <v>3</v>
      </c>
      <c r="D29" s="3" t="n">
        <v>3</v>
      </c>
      <c r="E29" s="3" t="n">
        <v>2.9</v>
      </c>
      <c r="F29" s="3" t="n">
        <v>2.8</v>
      </c>
      <c r="G29" s="3" t="n">
        <v>2.7</v>
      </c>
      <c r="H29" s="3" t="n">
        <v>2.6</v>
      </c>
      <c r="I29" s="3" t="n">
        <v>2.5</v>
      </c>
      <c r="J29" s="3" t="n">
        <v>2.5</v>
      </c>
      <c r="K29" s="3" t="n">
        <v>2.5</v>
      </c>
      <c r="L29" s="3" t="n">
        <v>2.5</v>
      </c>
    </row>
    <row r="30" customFormat="false" ht="15" hidden="false" customHeight="false" outlineLevel="0" collapsed="false">
      <c r="A30" s="0" t="s">
        <v>98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99</v>
      </c>
      <c r="C31" s="3" t="n">
        <v>4.4</v>
      </c>
      <c r="D31" s="3" t="n">
        <v>4.2</v>
      </c>
      <c r="E31" s="3" t="n">
        <v>4</v>
      </c>
      <c r="F31" s="3" t="n">
        <v>3.8</v>
      </c>
      <c r="G31" s="3" t="n">
        <v>3.6</v>
      </c>
      <c r="H31" s="3" t="n">
        <v>3.5</v>
      </c>
      <c r="I31" s="3" t="n">
        <v>3.5</v>
      </c>
      <c r="J31" s="3" t="n">
        <v>3.5</v>
      </c>
      <c r="K31" s="3" t="n">
        <v>3.5</v>
      </c>
      <c r="L31" s="3" t="n">
        <v>3.5</v>
      </c>
    </row>
    <row r="32" customFormat="false" ht="15" hidden="false" customHeight="false" outlineLevel="0" collapsed="false">
      <c r="A32" s="0" t="s">
        <v>100</v>
      </c>
      <c r="C32" s="3" t="n">
        <v>3.5</v>
      </c>
      <c r="D32" s="3" t="n">
        <v>3.5</v>
      </c>
      <c r="E32" s="3" t="n">
        <v>3.5</v>
      </c>
      <c r="F32" s="3" t="n">
        <v>3.5</v>
      </c>
      <c r="G32" s="3" t="n">
        <v>3.5</v>
      </c>
      <c r="H32" s="3" t="n">
        <v>3.5</v>
      </c>
      <c r="I32" s="3" t="n">
        <v>3.5</v>
      </c>
      <c r="J32" s="3" t="n">
        <v>3.5</v>
      </c>
      <c r="K32" s="3" t="n">
        <v>3.5</v>
      </c>
      <c r="L32" s="3" t="n">
        <v>3.5</v>
      </c>
    </row>
    <row r="33" customFormat="false" ht="15" hidden="false" customHeight="false" outlineLevel="0" collapsed="false">
      <c r="A33" s="0" t="s">
        <v>101</v>
      </c>
      <c r="C33" s="3" t="n">
        <v>3</v>
      </c>
      <c r="D33" s="3" t="n">
        <v>5</v>
      </c>
      <c r="E33" s="3" t="n">
        <v>8</v>
      </c>
      <c r="F33" s="3" t="n">
        <v>12</v>
      </c>
      <c r="G33" s="3" t="n">
        <v>15</v>
      </c>
      <c r="H33" s="3" t="n">
        <v>15</v>
      </c>
      <c r="I33" s="3" t="n">
        <v>15</v>
      </c>
      <c r="J33" s="3" t="n">
        <v>15</v>
      </c>
      <c r="K33" s="3" t="n">
        <v>15</v>
      </c>
      <c r="L33" s="3" t="n">
        <v>15</v>
      </c>
    </row>
    <row r="34" customFormat="false" ht="15" hidden="false" customHeight="false" outlineLevel="0" collapsed="false">
      <c r="A34" s="0" t="s">
        <v>102</v>
      </c>
      <c r="B34" s="3" t="n">
        <v>10.5</v>
      </c>
    </row>
    <row r="35" customFormat="false" ht="15" hidden="false" customHeight="false" outlineLevel="0" collapsed="false">
      <c r="A35" s="0" t="s">
        <v>103</v>
      </c>
      <c r="B35" s="3" t="n">
        <v>2.5</v>
      </c>
    </row>
    <row r="36" customFormat="false" ht="15" hidden="false" customHeight="false" outlineLevel="0" collapsed="false">
      <c r="A36" s="0" t="s">
        <v>104</v>
      </c>
      <c r="B36" s="3" t="n">
        <v>15</v>
      </c>
    </row>
    <row r="37" customFormat="false" ht="15" hidden="false" customHeight="false" outlineLevel="0" collapsed="false">
      <c r="A37" s="0" t="s">
        <v>105</v>
      </c>
      <c r="B37" s="3" t="n">
        <v>-15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18</v>
      </c>
      <c r="D41" s="3" t="n">
        <v>17</v>
      </c>
      <c r="E41" s="3" t="n">
        <v>15</v>
      </c>
      <c r="F41" s="3" t="n">
        <v>13</v>
      </c>
      <c r="G41" s="3" t="n">
        <v>11</v>
      </c>
      <c r="H41" s="3" t="n">
        <v>9</v>
      </c>
      <c r="I41" s="3" t="n">
        <v>7</v>
      </c>
      <c r="J41" s="3" t="n">
        <v>5</v>
      </c>
      <c r="K41" s="3" t="n">
        <v>4</v>
      </c>
      <c r="L41" s="3" t="n">
        <v>3</v>
      </c>
    </row>
    <row r="42" customFormat="false" ht="15" hidden="false" customHeight="false" outlineLevel="0" collapsed="false">
      <c r="A42" s="0" t="s">
        <v>96</v>
      </c>
      <c r="C42" s="3" t="n">
        <v>4</v>
      </c>
      <c r="D42" s="3" t="n">
        <v>8</v>
      </c>
      <c r="E42" s="3" t="n">
        <v>12</v>
      </c>
      <c r="F42" s="3" t="n">
        <v>15</v>
      </c>
      <c r="G42" s="3" t="n">
        <v>18</v>
      </c>
      <c r="H42" s="3" t="n">
        <v>20</v>
      </c>
      <c r="I42" s="3" t="n">
        <v>21</v>
      </c>
      <c r="J42" s="3" t="n">
        <v>22</v>
      </c>
      <c r="K42" s="3" t="n">
        <v>22</v>
      </c>
      <c r="L42" s="3" t="n">
        <v>22</v>
      </c>
    </row>
    <row r="43" customFormat="false" ht="15" hidden="false" customHeight="false" outlineLevel="0" collapsed="false">
      <c r="A43" s="0" t="s">
        <v>97</v>
      </c>
      <c r="C43" s="3" t="n">
        <v>3</v>
      </c>
      <c r="D43" s="3" t="n">
        <v>3</v>
      </c>
      <c r="E43" s="3" t="n">
        <v>2.9</v>
      </c>
      <c r="F43" s="3" t="n">
        <v>2.8</v>
      </c>
      <c r="G43" s="3" t="n">
        <v>2.7</v>
      </c>
      <c r="H43" s="3" t="n">
        <v>2.6</v>
      </c>
      <c r="I43" s="3" t="n">
        <v>2.5</v>
      </c>
      <c r="J43" s="3" t="n">
        <v>2.5</v>
      </c>
      <c r="K43" s="3" t="n">
        <v>2.5</v>
      </c>
      <c r="L43" s="3" t="n">
        <v>2.5</v>
      </c>
    </row>
    <row r="44" customFormat="false" ht="15" hidden="false" customHeight="false" outlineLevel="0" collapsed="false">
      <c r="A44" s="0" t="s">
        <v>98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99</v>
      </c>
      <c r="C45" s="3" t="n">
        <v>4.4</v>
      </c>
      <c r="D45" s="3" t="n">
        <v>4</v>
      </c>
      <c r="E45" s="3" t="n">
        <v>3.7</v>
      </c>
      <c r="F45" s="3" t="n">
        <v>3.5</v>
      </c>
      <c r="G45" s="3" t="n">
        <v>3.3</v>
      </c>
      <c r="H45" s="3" t="n">
        <v>3.2</v>
      </c>
      <c r="I45" s="3" t="n">
        <v>3</v>
      </c>
      <c r="J45" s="3" t="n">
        <v>3</v>
      </c>
      <c r="K45" s="3" t="n">
        <v>3</v>
      </c>
      <c r="L45" s="3" t="n">
        <v>3</v>
      </c>
    </row>
    <row r="46" customFormat="false" ht="15" hidden="false" customHeight="false" outlineLevel="0" collapsed="false">
      <c r="A46" s="0" t="s">
        <v>100</v>
      </c>
      <c r="C46" s="3" t="n">
        <v>3.5</v>
      </c>
      <c r="D46" s="3" t="n">
        <v>3.3</v>
      </c>
      <c r="E46" s="3" t="n">
        <v>3.2</v>
      </c>
      <c r="F46" s="3" t="n">
        <v>3</v>
      </c>
      <c r="G46" s="3" t="n">
        <v>3</v>
      </c>
      <c r="H46" s="3" t="n">
        <v>3</v>
      </c>
      <c r="I46" s="3" t="n">
        <v>3</v>
      </c>
      <c r="J46" s="3" t="n">
        <v>3</v>
      </c>
      <c r="K46" s="3" t="n">
        <v>3</v>
      </c>
      <c r="L46" s="3" t="n">
        <v>3</v>
      </c>
    </row>
    <row r="47" customFormat="false" ht="15" hidden="false" customHeight="false" outlineLevel="0" collapsed="false">
      <c r="A47" s="0" t="s">
        <v>101</v>
      </c>
      <c r="C47" s="3" t="n">
        <v>3</v>
      </c>
      <c r="D47" s="3" t="n">
        <v>5</v>
      </c>
      <c r="E47" s="3" t="n">
        <v>10</v>
      </c>
      <c r="F47" s="3" t="n">
        <v>15</v>
      </c>
      <c r="G47" s="3" t="n">
        <v>15</v>
      </c>
      <c r="H47" s="3" t="n">
        <v>15</v>
      </c>
      <c r="I47" s="3" t="n">
        <v>15</v>
      </c>
      <c r="J47" s="3" t="n">
        <v>15</v>
      </c>
      <c r="K47" s="3" t="n">
        <v>15</v>
      </c>
      <c r="L47" s="3" t="n">
        <v>15</v>
      </c>
    </row>
    <row r="48" customFormat="false" ht="15" hidden="false" customHeight="false" outlineLevel="0" collapsed="false">
      <c r="A48" s="0" t="s">
        <v>102</v>
      </c>
      <c r="B48" s="3" t="n">
        <v>10.5</v>
      </c>
    </row>
    <row r="49" customFormat="false" ht="15" hidden="false" customHeight="false" outlineLevel="0" collapsed="false">
      <c r="A49" s="0" t="s">
        <v>103</v>
      </c>
      <c r="B49" s="3" t="n">
        <v>3</v>
      </c>
    </row>
    <row r="50" customFormat="false" ht="15" hidden="false" customHeight="false" outlineLevel="0" collapsed="false">
      <c r="A50" s="0" t="s">
        <v>104</v>
      </c>
      <c r="B50" s="3" t="n">
        <v>18</v>
      </c>
    </row>
    <row r="51" customFormat="false" ht="15" hidden="false" customHeight="false" outlineLevel="0" collapsed="false">
      <c r="A51" s="0" t="s">
        <v>105</v>
      </c>
      <c r="B51" s="3" t="n">
        <v>-15</v>
      </c>
    </row>
    <row r="52" customFormat="false" ht="15" hidden="false" customHeight="false" outlineLevel="0" collapsed="false">
      <c r="A52" s="0" t="s">
        <v>106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2</v>
      </c>
      <c r="D5" s="4" t="n">
        <f aca="false">Assumptions!D13</f>
        <v>3</v>
      </c>
      <c r="E5" s="4" t="n">
        <f aca="false">Assumptions!E13</f>
        <v>3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819.298</v>
      </c>
      <c r="C6" s="0" t="n">
        <f aca="false">B6*(1+C5/100)</f>
        <v>835.68396</v>
      </c>
      <c r="D6" s="0" t="n">
        <f aca="false">C6*(1+D5/100)</f>
        <v>860.7544788</v>
      </c>
      <c r="E6" s="0" t="n">
        <f aca="false">D6*(1+E5/100)</f>
        <v>886.577113164</v>
      </c>
      <c r="F6" s="0" t="n">
        <f aca="false">E6*(1+F5/100)</f>
        <v>913.17442655892</v>
      </c>
      <c r="G6" s="0" t="n">
        <f aca="false">F6*(1+G5/100)</f>
        <v>940.569659355688</v>
      </c>
      <c r="H6" s="0" t="n">
        <f aca="false">G6*(1+H5/100)</f>
        <v>964.08390083958</v>
      </c>
      <c r="I6" s="0" t="n">
        <f aca="false">H6*(1+I5/100)</f>
        <v>988.185998360569</v>
      </c>
      <c r="J6" s="0" t="n">
        <f aca="false">I6*(1+J5/100)</f>
        <v>1012.89064831958</v>
      </c>
      <c r="K6" s="0" t="n">
        <f aca="false">J6*(1+K5/100)</f>
        <v>1033.14846128598</v>
      </c>
      <c r="L6" s="0" t="n">
        <f aca="false">K6*(1+L5/100)</f>
        <v>1053.81143051169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-3</v>
      </c>
      <c r="D7" s="4" t="n">
        <f aca="false">Assumptions!D14</f>
        <v>-2</v>
      </c>
      <c r="E7" s="4" t="n">
        <f aca="false">Assumptions!E14</f>
        <v>-1</v>
      </c>
      <c r="F7" s="4" t="n">
        <f aca="false">Assumptions!F14</f>
        <v>0</v>
      </c>
      <c r="G7" s="4" t="n">
        <f aca="false">Assumptions!G14</f>
        <v>1</v>
      </c>
      <c r="H7" s="4" t="n">
        <f aca="false">Assumptions!H14</f>
        <v>2</v>
      </c>
      <c r="I7" s="4" t="n">
        <f aca="false">Assumptions!I14</f>
        <v>3</v>
      </c>
      <c r="J7" s="4" t="n">
        <f aca="false">Assumptions!J14</f>
        <v>4</v>
      </c>
      <c r="K7" s="4" t="n">
        <f aca="false">Assumptions!K14</f>
        <v>4</v>
      </c>
      <c r="L7" s="4" t="n">
        <f aca="false">Assumptions!L14</f>
        <v>4</v>
      </c>
    </row>
    <row r="8" customFormat="false" ht="15" hidden="false" customHeight="false" outlineLevel="0" collapsed="false">
      <c r="A8" s="0" t="s">
        <v>44</v>
      </c>
      <c r="C8" s="0" t="n">
        <f aca="false">C6*C7/100</f>
        <v>-25.0705188</v>
      </c>
      <c r="D8" s="0" t="n">
        <f aca="false">D6*D7/100</f>
        <v>-17.215089576</v>
      </c>
      <c r="E8" s="0" t="n">
        <f aca="false">E6*E7/100</f>
        <v>-8.86577113164</v>
      </c>
      <c r="F8" s="0" t="n">
        <f aca="false">F6*F7/100</f>
        <v>0</v>
      </c>
      <c r="G8" s="0" t="n">
        <f aca="false">G6*G7/100</f>
        <v>9.40569659355688</v>
      </c>
      <c r="H8" s="0" t="n">
        <f aca="false">H6*H7/100</f>
        <v>19.2816780167916</v>
      </c>
      <c r="I8" s="0" t="n">
        <f aca="false">I6*I7/100</f>
        <v>29.6455799508171</v>
      </c>
      <c r="J8" s="0" t="n">
        <f aca="false">J6*J7/100</f>
        <v>40.5156259327833</v>
      </c>
      <c r="K8" s="0" t="n">
        <f aca="false">K6*K7/100</f>
        <v>41.325938451439</v>
      </c>
      <c r="L8" s="0" t="n">
        <f aca="false">L6*L7/100</f>
        <v>42.1524572204678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3</v>
      </c>
      <c r="D9" s="4" t="n">
        <f aca="false">Assumptions!D15</f>
        <v>3</v>
      </c>
      <c r="E9" s="4" t="n">
        <f aca="false">Assumptions!E15</f>
        <v>3</v>
      </c>
      <c r="F9" s="4" t="n">
        <f aca="false">Assumptions!F15</f>
        <v>3</v>
      </c>
      <c r="G9" s="4" t="n">
        <f aca="false">Assumptions!G15</f>
        <v>3</v>
      </c>
      <c r="H9" s="4" t="n">
        <f aca="false">Assumptions!H15</f>
        <v>3</v>
      </c>
      <c r="I9" s="4" t="n">
        <f aca="false">Assumptions!I15</f>
        <v>3</v>
      </c>
      <c r="J9" s="4" t="n">
        <f aca="false">Assumptions!J15</f>
        <v>3</v>
      </c>
      <c r="K9" s="4" t="n">
        <f aca="false">Assumptions!K15</f>
        <v>3</v>
      </c>
      <c r="L9" s="4" t="n">
        <f aca="false">Assumptions!L15</f>
        <v>3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-25.0705188</v>
      </c>
      <c r="D10" s="0" t="n">
        <f aca="false">-D6*D9/100</f>
        <v>-25.822634364</v>
      </c>
      <c r="E10" s="0" t="n">
        <f aca="false">-E6*E9/100</f>
        <v>-26.59731339492</v>
      </c>
      <c r="F10" s="0" t="n">
        <f aca="false">-F6*F9/100</f>
        <v>-27.3952327967676</v>
      </c>
      <c r="G10" s="0" t="n">
        <f aca="false">-G6*G9/100</f>
        <v>-28.2170897806706</v>
      </c>
      <c r="H10" s="0" t="n">
        <f aca="false">-H6*H9/100</f>
        <v>-28.9225170251874</v>
      </c>
      <c r="I10" s="0" t="n">
        <f aca="false">-I6*I9/100</f>
        <v>-29.6455799508171</v>
      </c>
      <c r="J10" s="0" t="n">
        <f aca="false">-J6*J9/100</f>
        <v>-30.3867194495875</v>
      </c>
      <c r="K10" s="0" t="n">
        <f aca="false">-K6*K9/100</f>
        <v>-30.9944538385792</v>
      </c>
      <c r="L10" s="0" t="n">
        <f aca="false">-L6*L9/100</f>
        <v>-31.6143429153508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-50.1410376</v>
      </c>
      <c r="D11" s="0" t="n">
        <f aca="false">D8+D10+D24</f>
        <v>-43.03772394</v>
      </c>
      <c r="E11" s="0" t="n">
        <f aca="false">E8+E10+E24</f>
        <v>-35.46308452656</v>
      </c>
      <c r="F11" s="0" t="n">
        <f aca="false">F8+F10+F24</f>
        <v>-27.3952327967676</v>
      </c>
      <c r="G11" s="0" t="n">
        <f aca="false">G8+G10+G24</f>
        <v>-18.8113931871138</v>
      </c>
      <c r="H11" s="0" t="n">
        <f aca="false">H8+H10+H24</f>
        <v>-9.6408390083958</v>
      </c>
      <c r="I11" s="0" t="n">
        <f aca="false">I8+I10+I24</f>
        <v>0</v>
      </c>
      <c r="J11" s="0" t="n">
        <f aca="false">J8+J10+J24</f>
        <v>10.1289064831958</v>
      </c>
      <c r="K11" s="0" t="n">
        <f aca="false">K8+K10+K24</f>
        <v>10.3314846128597</v>
      </c>
      <c r="L11" s="0" t="n">
        <f aca="false">L8+L10+L24</f>
        <v>10.5381143051169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-37.6057782</v>
      </c>
      <c r="D12" s="4" t="n">
        <f aca="false">-D6*Assumptions!D17/100</f>
        <v>-38.733951546</v>
      </c>
      <c r="E12" s="4" t="n">
        <f aca="false">-E6*Assumptions!E17/100</f>
        <v>-39.009392979216</v>
      </c>
      <c r="F12" s="4" t="n">
        <f aca="false">-F6*Assumptions!F17/100</f>
        <v>-39.2665003420336</v>
      </c>
      <c r="G12" s="4" t="n">
        <f aca="false">-G6*Assumptions!G17/100</f>
        <v>-39.5039256929389</v>
      </c>
      <c r="H12" s="4" t="n">
        <f aca="false">-H6*Assumptions!H17/100</f>
        <v>-38.5633560335832</v>
      </c>
      <c r="I12" s="4" t="n">
        <f aca="false">-I6*Assumptions!I17/100</f>
        <v>-39.5274399344228</v>
      </c>
      <c r="J12" s="4" t="n">
        <f aca="false">-J6*Assumptions!J17/100</f>
        <v>-40.5156259327833</v>
      </c>
      <c r="K12" s="4" t="n">
        <f aca="false">-K6*Assumptions!K17/100</f>
        <v>-41.325938451439</v>
      </c>
      <c r="L12" s="4" t="n">
        <f aca="false">-L6*Assumptions!L17/100</f>
        <v>-42.1524572204678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-87.7468158</v>
      </c>
      <c r="D13" s="0" t="n">
        <f aca="false">D11+D12</f>
        <v>-81.771675486</v>
      </c>
      <c r="E13" s="0" t="n">
        <f aca="false">E11+E12</f>
        <v>-74.472477505776</v>
      </c>
      <c r="F13" s="0" t="n">
        <f aca="false">F11+F12</f>
        <v>-66.6617331388012</v>
      </c>
      <c r="G13" s="0" t="n">
        <f aca="false">G11+G12</f>
        <v>-58.3153188800526</v>
      </c>
      <c r="H13" s="0" t="n">
        <f aca="false">H11+H12</f>
        <v>-48.204195041979</v>
      </c>
      <c r="I13" s="0" t="n">
        <f aca="false">I11+I12</f>
        <v>-39.5274399344228</v>
      </c>
      <c r="J13" s="0" t="n">
        <f aca="false">J11+J12</f>
        <v>-30.3867194495875</v>
      </c>
      <c r="K13" s="0" t="n">
        <f aca="false">K11+K12</f>
        <v>-30.9944538385792</v>
      </c>
      <c r="L13" s="0" t="n">
        <f aca="false">L11+L12</f>
        <v>-31.6143429153508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3</v>
      </c>
      <c r="D14" s="4" t="n">
        <f aca="false">Assumptions!D19</f>
        <v>5</v>
      </c>
      <c r="E14" s="4" t="n">
        <f aca="false">Assumptions!E19</f>
        <v>8</v>
      </c>
      <c r="F14" s="4" t="n">
        <f aca="false">Assumptions!F19</f>
        <v>12</v>
      </c>
      <c r="G14" s="4" t="n">
        <f aca="false">Assumptions!G19</f>
        <v>15</v>
      </c>
      <c r="H14" s="4" t="n">
        <f aca="false">Assumptions!H19</f>
        <v>15</v>
      </c>
      <c r="I14" s="4" t="n">
        <f aca="false">Assumptions!I19</f>
        <v>15</v>
      </c>
      <c r="J14" s="4" t="n">
        <f aca="false">Assumptions!J19</f>
        <v>15</v>
      </c>
      <c r="K14" s="4" t="n">
        <f aca="false">Assumptions!K19</f>
        <v>15</v>
      </c>
      <c r="L14" s="4" t="n">
        <f aca="false">Assumptions!L19</f>
        <v>15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-87.7468158</v>
      </c>
      <c r="D15" s="0" t="n">
        <f aca="false">D13-MAX(0,D13)*D14/100</f>
        <v>-81.771675486</v>
      </c>
      <c r="E15" s="0" t="n">
        <f aca="false">E13-MAX(0,E13)*E14/100</f>
        <v>-74.472477505776</v>
      </c>
      <c r="F15" s="0" t="n">
        <f aca="false">F13-MAX(0,F13)*F14/100</f>
        <v>-66.6617331388012</v>
      </c>
      <c r="G15" s="0" t="n">
        <f aca="false">G13-MAX(0,G13)*G14/100</f>
        <v>-58.3153188800526</v>
      </c>
      <c r="H15" s="0" t="n">
        <f aca="false">H13-MAX(0,H13)*H14/100</f>
        <v>-48.204195041979</v>
      </c>
      <c r="I15" s="0" t="n">
        <f aca="false">I13-MAX(0,I13)*I14/100</f>
        <v>-39.5274399344228</v>
      </c>
      <c r="J15" s="0" t="n">
        <f aca="false">J13-MAX(0,J13)*J14/100</f>
        <v>-30.3867194495875</v>
      </c>
      <c r="K15" s="0" t="n">
        <f aca="false">K13-MAX(0,K13)*K14/100</f>
        <v>-30.9944538385792</v>
      </c>
      <c r="L15" s="0" t="n">
        <f aca="false">L13-MAX(0,L13)*L14/100</f>
        <v>-31.6143429153508</v>
      </c>
    </row>
    <row r="16" customFormat="false" ht="15" hidden="false" customHeight="false" outlineLevel="0" collapsed="false">
      <c r="A16" s="0" t="s">
        <v>117</v>
      </c>
      <c r="C16" s="0" t="n">
        <f aca="false">-C12</f>
        <v>37.6057782</v>
      </c>
      <c r="D16" s="0" t="n">
        <f aca="false">-D12</f>
        <v>38.733951546</v>
      </c>
      <c r="E16" s="0" t="n">
        <f aca="false">-E12</f>
        <v>39.009392979216</v>
      </c>
      <c r="F16" s="0" t="n">
        <f aca="false">-F12</f>
        <v>39.2665003420336</v>
      </c>
      <c r="G16" s="0" t="n">
        <f aca="false">-G12</f>
        <v>39.5039256929389</v>
      </c>
      <c r="H16" s="0" t="n">
        <f aca="false">-H12</f>
        <v>38.5633560335832</v>
      </c>
      <c r="I16" s="0" t="n">
        <f aca="false">-I12</f>
        <v>39.5274399344228</v>
      </c>
      <c r="J16" s="0" t="n">
        <f aca="false">-J12</f>
        <v>40.5156259327833</v>
      </c>
      <c r="K16" s="0" t="n">
        <f aca="false">-K12</f>
        <v>41.325938451439</v>
      </c>
      <c r="L16" s="0" t="n">
        <f aca="false">-L12</f>
        <v>42.1524572204678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-31.75599048</v>
      </c>
      <c r="D17" s="4" t="n">
        <f aca="false">-D6*Assumptions!D18/100</f>
        <v>-32.7086701944</v>
      </c>
      <c r="E17" s="4" t="n">
        <f aca="false">-E6*Assumptions!E18/100</f>
        <v>-33.689930300232</v>
      </c>
      <c r="F17" s="4" t="n">
        <f aca="false">-F6*Assumptions!F18/100</f>
        <v>-34.700628209239</v>
      </c>
      <c r="G17" s="4" t="n">
        <f aca="false">-G6*Assumptions!G18/100</f>
        <v>-35.7416470555161</v>
      </c>
      <c r="H17" s="4" t="n">
        <f aca="false">-H6*Assumptions!H18/100</f>
        <v>-36.635188231904</v>
      </c>
      <c r="I17" s="4" t="n">
        <f aca="false">-I6*Assumptions!I18/100</f>
        <v>-37.5510679377016</v>
      </c>
      <c r="J17" s="4" t="n">
        <f aca="false">-J6*Assumptions!J18/100</f>
        <v>-38.4898446361442</v>
      </c>
      <c r="K17" s="4" t="n">
        <f aca="false">-K6*Assumptions!K18/100</f>
        <v>-39.259641528867</v>
      </c>
      <c r="L17" s="4" t="n">
        <f aca="false">-L6*Assumptions!L18/100</f>
        <v>-40.0448343594444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-2.45789400000001</v>
      </c>
      <c r="D18" s="4" t="n">
        <f aca="false">(D6-C6)*Assumptions!$B$23/100</f>
        <v>-3.76057782000001</v>
      </c>
      <c r="E18" s="4" t="n">
        <f aca="false">(E6-D6)*Assumptions!$B$23/100</f>
        <v>-3.8733951546</v>
      </c>
      <c r="F18" s="4" t="n">
        <f aca="false">(F6-E6)*Assumptions!$B$23/100</f>
        <v>-3.989597009238</v>
      </c>
      <c r="G18" s="4" t="n">
        <f aca="false">(G6-F6)*Assumptions!$B$23/100</f>
        <v>-4.10928491951514</v>
      </c>
      <c r="H18" s="4" t="n">
        <f aca="false">(H6-G6)*Assumptions!$B$23/100</f>
        <v>-3.52713622258381</v>
      </c>
      <c r="I18" s="4" t="n">
        <f aca="false">(I6-H6)*Assumptions!$B$23/100</f>
        <v>-3.61531462814842</v>
      </c>
      <c r="J18" s="4" t="n">
        <f aca="false">(J6-I6)*Assumptions!$B$23/100</f>
        <v>-3.70569749385211</v>
      </c>
      <c r="K18" s="4" t="n">
        <f aca="false">(K6-J6)*Assumptions!$B$23/100</f>
        <v>-3.03867194495874</v>
      </c>
      <c r="L18" s="4" t="n">
        <f aca="false">(L6-K6)*Assumptions!$B$23/100</f>
        <v>-3.09944538385793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-84.35492208</v>
      </c>
      <c r="D19" s="0" t="n">
        <f aca="false">D15+D16+D17+D18</f>
        <v>-79.5069719544</v>
      </c>
      <c r="E19" s="0" t="n">
        <f aca="false">E15+E16+E17+E18</f>
        <v>-73.026409981392</v>
      </c>
      <c r="F19" s="0" t="n">
        <f aca="false">F15+F16+F17+F18</f>
        <v>-66.0854580152446</v>
      </c>
      <c r="G19" s="0" t="n">
        <f aca="false">G15+G16+G17+G18</f>
        <v>-58.662325162145</v>
      </c>
      <c r="H19" s="0" t="n">
        <f aca="false">H15+H16+H17+H18</f>
        <v>-49.8031634628836</v>
      </c>
      <c r="I19" s="0" t="n">
        <f aca="false">I15+I16+I17+I18</f>
        <v>-41.16638256585</v>
      </c>
      <c r="J19" s="0" t="n">
        <f aca="false">J15+J16+J17+J18</f>
        <v>-32.0666356468005</v>
      </c>
      <c r="K19" s="0" t="n">
        <f aca="false">K15+K16+K17+K18</f>
        <v>-31.966828860966</v>
      </c>
      <c r="L19" s="0" t="n">
        <f aca="false">L15+L16+L17+L18</f>
        <v>-32.6061654381854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-76.339296</v>
      </c>
      <c r="D21" s="0" t="n">
        <f aca="false">D19*D20</f>
        <v>-65.1149419171598</v>
      </c>
      <c r="E21" s="0" t="n">
        <f aca="false">E19*E20</f>
        <v>-54.1244027369943</v>
      </c>
      <c r="F21" s="0" t="n">
        <f aca="false">F19*F20</f>
        <v>-44.3258213962084</v>
      </c>
      <c r="G21" s="0" t="n">
        <f aca="false">G19*G20</f>
        <v>-35.6080247173579</v>
      </c>
      <c r="H21" s="0" t="n">
        <f aca="false">H19*H20</f>
        <v>-27.3579317385542</v>
      </c>
      <c r="I21" s="0" t="n">
        <f aca="false">I19*I20</f>
        <v>-20.4647648873422</v>
      </c>
      <c r="J21" s="0" t="n">
        <f aca="false">J19*J20</f>
        <v>-14.4263071011924</v>
      </c>
      <c r="K21" s="0" t="n">
        <f aca="false">K19*K20</f>
        <v>-13.0148466047026</v>
      </c>
      <c r="L21" s="0" t="n">
        <f aca="false">L19*L20</f>
        <v>-12.013704558187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-362.790041657699</v>
      </c>
    </row>
    <row r="31" customFormat="false" ht="15" hidden="false" customHeight="false" outlineLevel="0" collapsed="false">
      <c r="A31" s="0" t="s">
        <v>126</v>
      </c>
      <c r="B31" s="0" t="n">
        <f aca="false">L19</f>
        <v>-32.6061654381854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-391.273985258224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-326.061654381854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0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0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-362.790041657699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2858.5099583423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3.27885439307359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0.142457976680693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167.615226293409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139.779224137081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3.63145125608573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0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3.33588168001028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10</v>
      </c>
      <c r="D5" s="4" t="n">
        <f aca="false">Assumptions!D27</f>
        <v>10</v>
      </c>
      <c r="E5" s="4" t="n">
        <f aca="false">Assumptions!E27</f>
        <v>9</v>
      </c>
      <c r="F5" s="4" t="n">
        <f aca="false">Assumptions!F27</f>
        <v>8</v>
      </c>
      <c r="G5" s="4" t="n">
        <f aca="false">Assumptions!G27</f>
        <v>7</v>
      </c>
      <c r="H5" s="4" t="n">
        <f aca="false">Assumptions!H27</f>
        <v>6</v>
      </c>
      <c r="I5" s="4" t="n">
        <f aca="false">Assumptions!I27</f>
        <v>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819.298</v>
      </c>
      <c r="C6" s="0" t="n">
        <f aca="false">B6*(1+C5/100)</f>
        <v>901.2278</v>
      </c>
      <c r="D6" s="0" t="n">
        <f aca="false">C6*(1+D5/100)</f>
        <v>991.35058</v>
      </c>
      <c r="E6" s="0" t="n">
        <f aca="false">D6*(1+E5/100)</f>
        <v>1080.5721322</v>
      </c>
      <c r="F6" s="0" t="n">
        <f aca="false">E6*(1+F5/100)</f>
        <v>1167.017902776</v>
      </c>
      <c r="G6" s="0" t="n">
        <f aca="false">F6*(1+G5/100)</f>
        <v>1248.70915597032</v>
      </c>
      <c r="H6" s="0" t="n">
        <f aca="false">G6*(1+H5/100)</f>
        <v>1323.63170532854</v>
      </c>
      <c r="I6" s="0" t="n">
        <f aca="false">H6*(1+I5/100)</f>
        <v>1389.81329059497</v>
      </c>
      <c r="J6" s="0" t="n">
        <f aca="false">I6*(1+J5/100)</f>
        <v>1445.40582221877</v>
      </c>
      <c r="K6" s="0" t="n">
        <f aca="false">J6*(1+K5/100)</f>
        <v>1495.99502599642</v>
      </c>
      <c r="L6" s="0" t="n">
        <f aca="false">K6*(1+L5/100)</f>
        <v>1540.87487677632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2</v>
      </c>
      <c r="D7" s="4" t="n">
        <f aca="false">Assumptions!D28</f>
        <v>5</v>
      </c>
      <c r="E7" s="4" t="n">
        <f aca="false">Assumptions!E28</f>
        <v>8</v>
      </c>
      <c r="F7" s="4" t="n">
        <f aca="false">Assumptions!F28</f>
        <v>10</v>
      </c>
      <c r="G7" s="4" t="n">
        <f aca="false">Assumptions!G28</f>
        <v>12</v>
      </c>
      <c r="H7" s="4" t="n">
        <f aca="false">Assumptions!H28</f>
        <v>13</v>
      </c>
      <c r="I7" s="4" t="n">
        <f aca="false">Assumptions!I28</f>
        <v>14</v>
      </c>
      <c r="J7" s="4" t="n">
        <f aca="false">Assumptions!J28</f>
        <v>15</v>
      </c>
      <c r="K7" s="4" t="n">
        <f aca="false">Assumptions!K28</f>
        <v>15</v>
      </c>
      <c r="L7" s="4" t="n">
        <f aca="false">Assumptions!L28</f>
        <v>15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18.024556</v>
      </c>
      <c r="D8" s="0" t="n">
        <f aca="false">D6*D7/100</f>
        <v>49.567529</v>
      </c>
      <c r="E8" s="0" t="n">
        <f aca="false">E6*E7/100</f>
        <v>86.445770576</v>
      </c>
      <c r="F8" s="0" t="n">
        <f aca="false">F6*F7/100</f>
        <v>116.7017902776</v>
      </c>
      <c r="G8" s="0" t="n">
        <f aca="false">G6*G7/100</f>
        <v>149.845098716438</v>
      </c>
      <c r="H8" s="0" t="n">
        <f aca="false">H6*H7/100</f>
        <v>172.07212169271</v>
      </c>
      <c r="I8" s="0" t="n">
        <f aca="false">I6*I7/100</f>
        <v>194.573860683295</v>
      </c>
      <c r="J8" s="0" t="n">
        <f aca="false">J6*J7/100</f>
        <v>216.810873332815</v>
      </c>
      <c r="K8" s="0" t="n">
        <f aca="false">K6*K7/100</f>
        <v>224.399253899463</v>
      </c>
      <c r="L8" s="0" t="n">
        <f aca="false">L6*L7/100</f>
        <v>231.131231516447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3</v>
      </c>
      <c r="D9" s="4" t="n">
        <f aca="false">Assumptions!D29</f>
        <v>3</v>
      </c>
      <c r="E9" s="4" t="n">
        <f aca="false">Assumptions!E29</f>
        <v>2.9</v>
      </c>
      <c r="F9" s="4" t="n">
        <f aca="false">Assumptions!F29</f>
        <v>2.8</v>
      </c>
      <c r="G9" s="4" t="n">
        <f aca="false">Assumptions!G29</f>
        <v>2.7</v>
      </c>
      <c r="H9" s="4" t="n">
        <f aca="false">Assumptions!H29</f>
        <v>2.6</v>
      </c>
      <c r="I9" s="4" t="n">
        <f aca="false">Assumptions!I29</f>
        <v>2.5</v>
      </c>
      <c r="J9" s="4" t="n">
        <f aca="false">Assumptions!J29</f>
        <v>2.5</v>
      </c>
      <c r="K9" s="4" t="n">
        <f aca="false">Assumptions!K29</f>
        <v>2.5</v>
      </c>
      <c r="L9" s="4" t="n">
        <f aca="false">Assumptions!L29</f>
        <v>2.5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-27.036834</v>
      </c>
      <c r="D10" s="0" t="n">
        <f aca="false">-D6*D9/100</f>
        <v>-29.7405174</v>
      </c>
      <c r="E10" s="0" t="n">
        <f aca="false">-E6*E9/100</f>
        <v>-31.3365918338</v>
      </c>
      <c r="F10" s="0" t="n">
        <f aca="false">-F6*F9/100</f>
        <v>-32.676501277728</v>
      </c>
      <c r="G10" s="0" t="n">
        <f aca="false">-G6*G9/100</f>
        <v>-33.7151472111987</v>
      </c>
      <c r="H10" s="0" t="n">
        <f aca="false">-H6*H9/100</f>
        <v>-34.414424338542</v>
      </c>
      <c r="I10" s="0" t="n">
        <f aca="false">-I6*I9/100</f>
        <v>-34.7453322648742</v>
      </c>
      <c r="J10" s="0" t="n">
        <f aca="false">-J6*J9/100</f>
        <v>-36.1351455554691</v>
      </c>
      <c r="K10" s="0" t="n">
        <f aca="false">-K6*K9/100</f>
        <v>-37.3998756499106</v>
      </c>
      <c r="L10" s="0" t="n">
        <f aca="false">-L6*L9/100</f>
        <v>-38.5218719194079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-9.012278</v>
      </c>
      <c r="D11" s="0" t="n">
        <f aca="false">D8+D10+D24</f>
        <v>19.8270116</v>
      </c>
      <c r="E11" s="0" t="n">
        <f aca="false">E8+E10+E24</f>
        <v>55.1091787422</v>
      </c>
      <c r="F11" s="0" t="n">
        <f aca="false">F8+F10+F24</f>
        <v>84.025288999872</v>
      </c>
      <c r="G11" s="0" t="n">
        <f aca="false">G8+G10+G24</f>
        <v>116.12995150524</v>
      </c>
      <c r="H11" s="0" t="n">
        <f aca="false">H8+H10+H24</f>
        <v>137.657697354168</v>
      </c>
      <c r="I11" s="0" t="n">
        <f aca="false">I8+I10+I24</f>
        <v>159.828528418421</v>
      </c>
      <c r="J11" s="0" t="n">
        <f aca="false">J8+J10+J24</f>
        <v>180.675727777346</v>
      </c>
      <c r="K11" s="0" t="n">
        <f aca="false">K8+K10+K24</f>
        <v>186.999378249553</v>
      </c>
      <c r="L11" s="0" t="n">
        <f aca="false">L8+L10+L24</f>
        <v>192.609359597039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-39.6540232</v>
      </c>
      <c r="D12" s="4" t="n">
        <f aca="false">-D6*Assumptions!D31/100</f>
        <v>-41.63672436</v>
      </c>
      <c r="E12" s="4" t="n">
        <f aca="false">-E6*Assumptions!E31/100</f>
        <v>-43.222885288</v>
      </c>
      <c r="F12" s="4" t="n">
        <f aca="false">-F6*Assumptions!F31/100</f>
        <v>-44.346680305488</v>
      </c>
      <c r="G12" s="4" t="n">
        <f aca="false">-G6*Assumptions!G31/100</f>
        <v>-44.9535296149315</v>
      </c>
      <c r="H12" s="4" t="n">
        <f aca="false">-H6*Assumptions!H31/100</f>
        <v>-46.3271096864989</v>
      </c>
      <c r="I12" s="4" t="n">
        <f aca="false">-I6*Assumptions!I31/100</f>
        <v>-48.6434651708238</v>
      </c>
      <c r="J12" s="4" t="n">
        <f aca="false">-J6*Assumptions!J31/100</f>
        <v>-50.5892037776568</v>
      </c>
      <c r="K12" s="4" t="n">
        <f aca="false">-K6*Assumptions!K31/100</f>
        <v>-52.3598259098748</v>
      </c>
      <c r="L12" s="4" t="n">
        <f aca="false">-L6*Assumptions!L31/100</f>
        <v>-53.930620687171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-48.6663012</v>
      </c>
      <c r="D13" s="0" t="n">
        <f aca="false">D11+D12</f>
        <v>-21.80971276</v>
      </c>
      <c r="E13" s="0" t="n">
        <f aca="false">E11+E12</f>
        <v>11.8862934542</v>
      </c>
      <c r="F13" s="0" t="n">
        <f aca="false">F11+F12</f>
        <v>39.678608694384</v>
      </c>
      <c r="G13" s="0" t="n">
        <f aca="false">G11+G12</f>
        <v>71.1764218903083</v>
      </c>
      <c r="H13" s="0" t="n">
        <f aca="false">H11+H12</f>
        <v>91.3305876676693</v>
      </c>
      <c r="I13" s="0" t="n">
        <f aca="false">I11+I12</f>
        <v>111.185063247597</v>
      </c>
      <c r="J13" s="0" t="n">
        <f aca="false">J11+J12</f>
        <v>130.086523999689</v>
      </c>
      <c r="K13" s="0" t="n">
        <f aca="false">K11+K12</f>
        <v>134.639552339678</v>
      </c>
      <c r="L13" s="0" t="n">
        <f aca="false">L11+L12</f>
        <v>138.678738909868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3</v>
      </c>
      <c r="D14" s="4" t="n">
        <f aca="false">Assumptions!D33</f>
        <v>5</v>
      </c>
      <c r="E14" s="4" t="n">
        <f aca="false">Assumptions!E33</f>
        <v>8</v>
      </c>
      <c r="F14" s="4" t="n">
        <f aca="false">Assumptions!F33</f>
        <v>12</v>
      </c>
      <c r="G14" s="4" t="n">
        <f aca="false">Assumptions!G33</f>
        <v>15</v>
      </c>
      <c r="H14" s="4" t="n">
        <f aca="false">Assumptions!H33</f>
        <v>15</v>
      </c>
      <c r="I14" s="4" t="n">
        <f aca="false">Assumptions!I33</f>
        <v>15</v>
      </c>
      <c r="J14" s="4" t="n">
        <f aca="false">Assumptions!J33</f>
        <v>15</v>
      </c>
      <c r="K14" s="4" t="n">
        <f aca="false">Assumptions!K33</f>
        <v>15</v>
      </c>
      <c r="L14" s="4" t="n">
        <f aca="false">Assumptions!L33</f>
        <v>15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-48.6663012</v>
      </c>
      <c r="D15" s="0" t="n">
        <f aca="false">D13-MAX(0,D13)*D14/100</f>
        <v>-21.80971276</v>
      </c>
      <c r="E15" s="0" t="n">
        <f aca="false">E13-MAX(0,E13)*E14/100</f>
        <v>10.935389977864</v>
      </c>
      <c r="F15" s="0" t="n">
        <f aca="false">F13-MAX(0,F13)*F14/100</f>
        <v>34.9171756510579</v>
      </c>
      <c r="G15" s="0" t="n">
        <f aca="false">G13-MAX(0,G13)*G14/100</f>
        <v>60.4999586067621</v>
      </c>
      <c r="H15" s="0" t="n">
        <f aca="false">H13-MAX(0,H13)*H14/100</f>
        <v>77.6309995175189</v>
      </c>
      <c r="I15" s="0" t="n">
        <f aca="false">I13-MAX(0,I13)*I14/100</f>
        <v>94.5073037604577</v>
      </c>
      <c r="J15" s="0" t="n">
        <f aca="false">J13-MAX(0,J13)*J14/100</f>
        <v>110.573545399736</v>
      </c>
      <c r="K15" s="0" t="n">
        <f aca="false">K13-MAX(0,K13)*K14/100</f>
        <v>114.443619488726</v>
      </c>
      <c r="L15" s="0" t="n">
        <f aca="false">L13-MAX(0,L13)*L14/100</f>
        <v>117.876928073388</v>
      </c>
    </row>
    <row r="16" customFormat="false" ht="15" hidden="false" customHeight="false" outlineLevel="0" collapsed="false">
      <c r="A16" s="0" t="s">
        <v>117</v>
      </c>
      <c r="C16" s="0" t="n">
        <f aca="false">-C12</f>
        <v>39.6540232</v>
      </c>
      <c r="D16" s="0" t="n">
        <f aca="false">-D12</f>
        <v>41.63672436</v>
      </c>
      <c r="E16" s="0" t="n">
        <f aca="false">-E12</f>
        <v>43.222885288</v>
      </c>
      <c r="F16" s="0" t="n">
        <f aca="false">-F12</f>
        <v>44.346680305488</v>
      </c>
      <c r="G16" s="0" t="n">
        <f aca="false">-G12</f>
        <v>44.9535296149315</v>
      </c>
      <c r="H16" s="0" t="n">
        <f aca="false">-H12</f>
        <v>46.3271096864989</v>
      </c>
      <c r="I16" s="0" t="n">
        <f aca="false">-I12</f>
        <v>48.6434651708238</v>
      </c>
      <c r="J16" s="0" t="n">
        <f aca="false">-J12</f>
        <v>50.5892037776568</v>
      </c>
      <c r="K16" s="0" t="n">
        <f aca="false">-K12</f>
        <v>52.3598259098748</v>
      </c>
      <c r="L16" s="0" t="n">
        <f aca="false">-L12</f>
        <v>53.930620687171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-31.542973</v>
      </c>
      <c r="D17" s="4" t="n">
        <f aca="false">-D6*Assumptions!D32/100</f>
        <v>-34.6972703</v>
      </c>
      <c r="E17" s="4" t="n">
        <f aca="false">-E6*Assumptions!E32/100</f>
        <v>-37.820024627</v>
      </c>
      <c r="F17" s="4" t="n">
        <f aca="false">-F6*Assumptions!F32/100</f>
        <v>-40.84562659716</v>
      </c>
      <c r="G17" s="4" t="n">
        <f aca="false">-G6*Assumptions!G32/100</f>
        <v>-43.7048204589612</v>
      </c>
      <c r="H17" s="4" t="n">
        <f aca="false">-H6*Assumptions!H32/100</f>
        <v>-46.3271096864989</v>
      </c>
      <c r="I17" s="4" t="n">
        <f aca="false">-I6*Assumptions!I32/100</f>
        <v>-48.6434651708238</v>
      </c>
      <c r="J17" s="4" t="n">
        <f aca="false">-J6*Assumptions!J32/100</f>
        <v>-50.5892037776568</v>
      </c>
      <c r="K17" s="4" t="n">
        <f aca="false">-K6*Assumptions!K32/100</f>
        <v>-52.3598259098748</v>
      </c>
      <c r="L17" s="4" t="n">
        <f aca="false">-L6*Assumptions!L32/100</f>
        <v>-53.930620687171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-12.28947</v>
      </c>
      <c r="D18" s="4" t="n">
        <f aca="false">(D6-C6)*Assumptions!$B$37/100</f>
        <v>-13.518417</v>
      </c>
      <c r="E18" s="4" t="n">
        <f aca="false">(E6-D6)*Assumptions!$B$37/100</f>
        <v>-13.38323283</v>
      </c>
      <c r="F18" s="4" t="n">
        <f aca="false">(F6-E6)*Assumptions!$B$37/100</f>
        <v>-12.9668655864</v>
      </c>
      <c r="G18" s="4" t="n">
        <f aca="false">(G6-F6)*Assumptions!$B$37/100</f>
        <v>-12.253687979148</v>
      </c>
      <c r="H18" s="4" t="n">
        <f aca="false">(H6-G6)*Assumptions!$B$37/100</f>
        <v>-11.2383824037329</v>
      </c>
      <c r="I18" s="4" t="n">
        <f aca="false">(I6-H6)*Assumptions!$B$37/100</f>
        <v>-9.92723778996404</v>
      </c>
      <c r="J18" s="4" t="n">
        <f aca="false">(J6-I6)*Assumptions!$B$37/100</f>
        <v>-8.33887974356982</v>
      </c>
      <c r="K18" s="4" t="n">
        <f aca="false">(K6-J6)*Assumptions!$B$37/100</f>
        <v>-7.58838056664849</v>
      </c>
      <c r="L18" s="4" t="n">
        <f aca="false">(L6-K6)*Assumptions!$B$37/100</f>
        <v>-6.7319776169839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-52.844721</v>
      </c>
      <c r="D19" s="0" t="n">
        <f aca="false">D15+D16+D17+D18</f>
        <v>-28.3886757</v>
      </c>
      <c r="E19" s="0" t="n">
        <f aca="false">E15+E16+E17+E18</f>
        <v>2.95501780886398</v>
      </c>
      <c r="F19" s="0" t="n">
        <f aca="false">F15+F16+F17+F18</f>
        <v>25.4513637729859</v>
      </c>
      <c r="G19" s="0" t="n">
        <f aca="false">G15+G16+G17+G18</f>
        <v>49.4949797835844</v>
      </c>
      <c r="H19" s="0" t="n">
        <f aca="false">H15+H16+H17+H18</f>
        <v>66.392617113786</v>
      </c>
      <c r="I19" s="0" t="n">
        <f aca="false">I15+I16+I17+I18</f>
        <v>84.5800659704937</v>
      </c>
      <c r="J19" s="0" t="n">
        <f aca="false">J15+J16+J17+J18</f>
        <v>102.234665656166</v>
      </c>
      <c r="K19" s="0" t="n">
        <f aca="false">K15+K16+K17+K18</f>
        <v>106.855238922078</v>
      </c>
      <c r="L19" s="0" t="n">
        <f aca="false">L15+L16+L17+L18</f>
        <v>111.144950456404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-47.8232769230769</v>
      </c>
      <c r="D21" s="0" t="n">
        <f aca="false">D19*D20</f>
        <v>-23.249872607031</v>
      </c>
      <c r="E21" s="0" t="n">
        <f aca="false">E19*E20</f>
        <v>2.19014701698603</v>
      </c>
      <c r="F21" s="0" t="n">
        <f aca="false">F19*F20</f>
        <v>17.0711172892387</v>
      </c>
      <c r="G21" s="0" t="n">
        <f aca="false">G19*G20</f>
        <v>30.0434471127355</v>
      </c>
      <c r="H21" s="0" t="n">
        <f aca="false">H19*H20</f>
        <v>36.4708697329356</v>
      </c>
      <c r="I21" s="0" t="n">
        <f aca="false">I19*I20</f>
        <v>42.046715216555</v>
      </c>
      <c r="J21" s="0" t="n">
        <f aca="false">J19*J20</f>
        <v>45.9938703700815</v>
      </c>
      <c r="K21" s="0" t="n">
        <f aca="false">K19*K20</f>
        <v>43.5046137835039</v>
      </c>
      <c r="L21" s="0" t="n">
        <f aca="false">L19*L20</f>
        <v>40.9512305410141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10.5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187.198861532942</v>
      </c>
    </row>
    <row r="31" customFormat="false" ht="15" hidden="false" customHeight="false" outlineLevel="0" collapsed="false">
      <c r="A31" s="0" t="s">
        <v>126</v>
      </c>
      <c r="B31" s="0" t="n">
        <f aca="false">L19</f>
        <v>111.144950456404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1424.04467772268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1667.17425684606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1424.04467772268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524.687641306743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711.886502839686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3933.18650283969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4.51156232847006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0.57197293674915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196.286712681024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181.852167220522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4.94530660280385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911.388593742514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4.09730364747491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18</v>
      </c>
      <c r="D5" s="4" t="n">
        <f aca="false">Assumptions!D41</f>
        <v>17</v>
      </c>
      <c r="E5" s="4" t="n">
        <f aca="false">Assumptions!E41</f>
        <v>15</v>
      </c>
      <c r="F5" s="4" t="n">
        <f aca="false">Assumptions!F41</f>
        <v>13</v>
      </c>
      <c r="G5" s="4" t="n">
        <f aca="false">Assumptions!G41</f>
        <v>11</v>
      </c>
      <c r="H5" s="4" t="n">
        <f aca="false">Assumptions!H41</f>
        <v>9</v>
      </c>
      <c r="I5" s="4" t="n">
        <f aca="false">Assumptions!I41</f>
        <v>7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819.298</v>
      </c>
      <c r="C6" s="0" t="n">
        <f aca="false">B6*(1+C5/100)</f>
        <v>966.77164</v>
      </c>
      <c r="D6" s="0" t="n">
        <f aca="false">C6*(1+D5/100)</f>
        <v>1131.1228188</v>
      </c>
      <c r="E6" s="0" t="n">
        <f aca="false">D6*(1+E5/100)</f>
        <v>1300.79124162</v>
      </c>
      <c r="F6" s="0" t="n">
        <f aca="false">E6*(1+F5/100)</f>
        <v>1469.8941030306</v>
      </c>
      <c r="G6" s="0" t="n">
        <f aca="false">F6*(1+G5/100)</f>
        <v>1631.58245436397</v>
      </c>
      <c r="H6" s="0" t="n">
        <f aca="false">G6*(1+H5/100)</f>
        <v>1778.42487525672</v>
      </c>
      <c r="I6" s="0" t="n">
        <f aca="false">H6*(1+I5/100)</f>
        <v>1902.91461652469</v>
      </c>
      <c r="J6" s="0" t="n">
        <f aca="false">I6*(1+J5/100)</f>
        <v>1998.06034735093</v>
      </c>
      <c r="K6" s="0" t="n">
        <f aca="false">J6*(1+K5/100)</f>
        <v>2077.98276124497</v>
      </c>
      <c r="L6" s="0" t="n">
        <f aca="false">K6*(1+L5/100)</f>
        <v>2140.32224408231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4</v>
      </c>
      <c r="D7" s="4" t="n">
        <f aca="false">Assumptions!D42</f>
        <v>8</v>
      </c>
      <c r="E7" s="4" t="n">
        <f aca="false">Assumptions!E42</f>
        <v>12</v>
      </c>
      <c r="F7" s="4" t="n">
        <f aca="false">Assumptions!F42</f>
        <v>15</v>
      </c>
      <c r="G7" s="4" t="n">
        <f aca="false">Assumptions!G42</f>
        <v>18</v>
      </c>
      <c r="H7" s="4" t="n">
        <f aca="false">Assumptions!H42</f>
        <v>20</v>
      </c>
      <c r="I7" s="4" t="n">
        <f aca="false">Assumptions!I42</f>
        <v>21</v>
      </c>
      <c r="J7" s="4" t="n">
        <f aca="false">Assumptions!J42</f>
        <v>22</v>
      </c>
      <c r="K7" s="4" t="n">
        <f aca="false">Assumptions!K42</f>
        <v>22</v>
      </c>
      <c r="L7" s="4" t="n">
        <f aca="false">Assumptions!L42</f>
        <v>22</v>
      </c>
    </row>
    <row r="8" customFormat="false" ht="15" hidden="false" customHeight="false" outlineLevel="0" collapsed="false">
      <c r="A8" s="0" t="s">
        <v>44</v>
      </c>
      <c r="C8" s="0" t="n">
        <f aca="false">C6*C7/100</f>
        <v>38.6708656</v>
      </c>
      <c r="D8" s="0" t="n">
        <f aca="false">D6*D7/100</f>
        <v>90.489825504</v>
      </c>
      <c r="E8" s="0" t="n">
        <f aca="false">E6*E7/100</f>
        <v>156.0949489944</v>
      </c>
      <c r="F8" s="0" t="n">
        <f aca="false">F6*F7/100</f>
        <v>220.48411545459</v>
      </c>
      <c r="G8" s="0" t="n">
        <f aca="false">G6*G7/100</f>
        <v>293.684841785514</v>
      </c>
      <c r="H8" s="0" t="n">
        <f aca="false">H6*H7/100</f>
        <v>355.684975051345</v>
      </c>
      <c r="I8" s="0" t="n">
        <f aca="false">I6*I7/100</f>
        <v>399.612069470186</v>
      </c>
      <c r="J8" s="0" t="n">
        <f aca="false">J6*J7/100</f>
        <v>439.573276417204</v>
      </c>
      <c r="K8" s="0" t="n">
        <f aca="false">K6*K7/100</f>
        <v>457.156207473892</v>
      </c>
      <c r="L8" s="0" t="n">
        <f aca="false">L6*L7/100</f>
        <v>470.870893698109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3</v>
      </c>
      <c r="D9" s="4" t="n">
        <f aca="false">Assumptions!D43</f>
        <v>3</v>
      </c>
      <c r="E9" s="4" t="n">
        <f aca="false">Assumptions!E43</f>
        <v>2.9</v>
      </c>
      <c r="F9" s="4" t="n">
        <f aca="false">Assumptions!F43</f>
        <v>2.8</v>
      </c>
      <c r="G9" s="4" t="n">
        <f aca="false">Assumptions!G43</f>
        <v>2.7</v>
      </c>
      <c r="H9" s="4" t="n">
        <f aca="false">Assumptions!H43</f>
        <v>2.6</v>
      </c>
      <c r="I9" s="4" t="n">
        <f aca="false">Assumptions!I43</f>
        <v>2.5</v>
      </c>
      <c r="J9" s="4" t="n">
        <f aca="false">Assumptions!J43</f>
        <v>2.5</v>
      </c>
      <c r="K9" s="4" t="n">
        <f aca="false">Assumptions!K43</f>
        <v>2.5</v>
      </c>
      <c r="L9" s="4" t="n">
        <f aca="false">Assumptions!L43</f>
        <v>2.5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-29.0031492</v>
      </c>
      <c r="D10" s="0" t="n">
        <f aca="false">-D6*D9/100</f>
        <v>-33.933684564</v>
      </c>
      <c r="E10" s="0" t="n">
        <f aca="false">-E6*E9/100</f>
        <v>-37.72294600698</v>
      </c>
      <c r="F10" s="0" t="n">
        <f aca="false">-F6*F9/100</f>
        <v>-41.1570348848568</v>
      </c>
      <c r="G10" s="0" t="n">
        <f aca="false">-G6*G9/100</f>
        <v>-44.0527262678271</v>
      </c>
      <c r="H10" s="0" t="n">
        <f aca="false">-H6*H9/100</f>
        <v>-46.2390467566748</v>
      </c>
      <c r="I10" s="0" t="n">
        <f aca="false">-I6*I9/100</f>
        <v>-47.5728654131173</v>
      </c>
      <c r="J10" s="0" t="n">
        <f aca="false">-J6*J9/100</f>
        <v>-49.9515086837732</v>
      </c>
      <c r="K10" s="0" t="n">
        <f aca="false">-K6*K9/100</f>
        <v>-51.9495690311241</v>
      </c>
      <c r="L10" s="0" t="n">
        <f aca="false">-L6*L9/100</f>
        <v>-53.5080561020579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9.6677164</v>
      </c>
      <c r="D11" s="0" t="n">
        <f aca="false">D8+D10+D24</f>
        <v>56.55614094</v>
      </c>
      <c r="E11" s="0" t="n">
        <f aca="false">E8+E10+E24</f>
        <v>118.37200298742</v>
      </c>
      <c r="F11" s="0" t="n">
        <f aca="false">F8+F10+F24</f>
        <v>179.327080569733</v>
      </c>
      <c r="G11" s="0" t="n">
        <f aca="false">G8+G10+G24</f>
        <v>249.632115517687</v>
      </c>
      <c r="H11" s="0" t="n">
        <f aca="false">H8+H10+H24</f>
        <v>309.44592829467</v>
      </c>
      <c r="I11" s="0" t="n">
        <f aca="false">I8+I10+I24</f>
        <v>352.039204057068</v>
      </c>
      <c r="J11" s="0" t="n">
        <f aca="false">J8+J10+J24</f>
        <v>389.621767733431</v>
      </c>
      <c r="K11" s="0" t="n">
        <f aca="false">K8+K10+K24</f>
        <v>405.206638442768</v>
      </c>
      <c r="L11" s="0" t="n">
        <f aca="false">L8+L10+L24</f>
        <v>417.362837596051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-42.53795216</v>
      </c>
      <c r="D12" s="4" t="n">
        <f aca="false">-D6*Assumptions!D45/100</f>
        <v>-45.244912752</v>
      </c>
      <c r="E12" s="4" t="n">
        <f aca="false">-E6*Assumptions!E45/100</f>
        <v>-48.12927593994</v>
      </c>
      <c r="F12" s="4" t="n">
        <f aca="false">-F6*Assumptions!F45/100</f>
        <v>-51.446293606071</v>
      </c>
      <c r="G12" s="4" t="n">
        <f aca="false">-G6*Assumptions!G45/100</f>
        <v>-53.8422209940109</v>
      </c>
      <c r="H12" s="4" t="n">
        <f aca="false">-H6*Assumptions!H45/100</f>
        <v>-56.9095960082151</v>
      </c>
      <c r="I12" s="4" t="n">
        <f aca="false">-I6*Assumptions!I45/100</f>
        <v>-57.0874384957408</v>
      </c>
      <c r="J12" s="4" t="n">
        <f aca="false">-J6*Assumptions!J45/100</f>
        <v>-59.9418104205278</v>
      </c>
      <c r="K12" s="4" t="n">
        <f aca="false">-K6*Assumptions!K45/100</f>
        <v>-62.339482837349</v>
      </c>
      <c r="L12" s="4" t="n">
        <f aca="false">-L6*Assumptions!L45/100</f>
        <v>-64.2096673224694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-32.87023576</v>
      </c>
      <c r="D13" s="0" t="n">
        <f aca="false">D11+D12</f>
        <v>11.311228188</v>
      </c>
      <c r="E13" s="0" t="n">
        <f aca="false">E11+E12</f>
        <v>70.24272704748</v>
      </c>
      <c r="F13" s="0" t="n">
        <f aca="false">F11+F12</f>
        <v>127.880786963662</v>
      </c>
      <c r="G13" s="0" t="n">
        <f aca="false">G11+G12</f>
        <v>195.789894523676</v>
      </c>
      <c r="H13" s="0" t="n">
        <f aca="false">H11+H12</f>
        <v>252.536332286455</v>
      </c>
      <c r="I13" s="0" t="n">
        <f aca="false">I11+I12</f>
        <v>294.951765561328</v>
      </c>
      <c r="J13" s="0" t="n">
        <f aca="false">J11+J12</f>
        <v>329.679957312903</v>
      </c>
      <c r="K13" s="0" t="n">
        <f aca="false">K11+K12</f>
        <v>342.867155605419</v>
      </c>
      <c r="L13" s="0" t="n">
        <f aca="false">L11+L12</f>
        <v>353.153170273582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3</v>
      </c>
      <c r="D14" s="4" t="n">
        <f aca="false">Assumptions!D47</f>
        <v>5</v>
      </c>
      <c r="E14" s="4" t="n">
        <f aca="false">Assumptions!E47</f>
        <v>10</v>
      </c>
      <c r="F14" s="4" t="n">
        <f aca="false">Assumptions!F47</f>
        <v>15</v>
      </c>
      <c r="G14" s="4" t="n">
        <f aca="false">Assumptions!G47</f>
        <v>15</v>
      </c>
      <c r="H14" s="4" t="n">
        <f aca="false">Assumptions!H47</f>
        <v>15</v>
      </c>
      <c r="I14" s="4" t="n">
        <f aca="false">Assumptions!I47</f>
        <v>15</v>
      </c>
      <c r="J14" s="4" t="n">
        <f aca="false">Assumptions!J47</f>
        <v>15</v>
      </c>
      <c r="K14" s="4" t="n">
        <f aca="false">Assumptions!K47</f>
        <v>15</v>
      </c>
      <c r="L14" s="4" t="n">
        <f aca="false">Assumptions!L47</f>
        <v>15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-32.87023576</v>
      </c>
      <c r="D15" s="0" t="n">
        <f aca="false">D13-MAX(0,D13)*D14/100</f>
        <v>10.7456667786</v>
      </c>
      <c r="E15" s="0" t="n">
        <f aca="false">E13-MAX(0,E13)*E14/100</f>
        <v>63.218454342732</v>
      </c>
      <c r="F15" s="0" t="n">
        <f aca="false">F13-MAX(0,F13)*F14/100</f>
        <v>108.698668919113</v>
      </c>
      <c r="G15" s="0" t="n">
        <f aca="false">G13-MAX(0,G13)*G14/100</f>
        <v>166.421410345125</v>
      </c>
      <c r="H15" s="0" t="n">
        <f aca="false">H13-MAX(0,H13)*H14/100</f>
        <v>214.655882443486</v>
      </c>
      <c r="I15" s="0" t="n">
        <f aca="false">I13-MAX(0,I13)*I14/100</f>
        <v>250.709000727128</v>
      </c>
      <c r="J15" s="0" t="n">
        <f aca="false">J13-MAX(0,J13)*J14/100</f>
        <v>280.227963715968</v>
      </c>
      <c r="K15" s="0" t="n">
        <f aca="false">K13-MAX(0,K13)*K14/100</f>
        <v>291.437082264606</v>
      </c>
      <c r="L15" s="0" t="n">
        <f aca="false">L13-MAX(0,L13)*L14/100</f>
        <v>300.180194732545</v>
      </c>
    </row>
    <row r="16" customFormat="false" ht="15" hidden="false" customHeight="false" outlineLevel="0" collapsed="false">
      <c r="A16" s="0" t="s">
        <v>117</v>
      </c>
      <c r="C16" s="0" t="n">
        <f aca="false">-C12</f>
        <v>42.53795216</v>
      </c>
      <c r="D16" s="0" t="n">
        <f aca="false">-D12</f>
        <v>45.244912752</v>
      </c>
      <c r="E16" s="0" t="n">
        <f aca="false">-E12</f>
        <v>48.12927593994</v>
      </c>
      <c r="F16" s="0" t="n">
        <f aca="false">-F12</f>
        <v>51.446293606071</v>
      </c>
      <c r="G16" s="0" t="n">
        <f aca="false">-G12</f>
        <v>53.8422209940109</v>
      </c>
      <c r="H16" s="0" t="n">
        <f aca="false">-H12</f>
        <v>56.9095960082151</v>
      </c>
      <c r="I16" s="0" t="n">
        <f aca="false">-I12</f>
        <v>57.0874384957408</v>
      </c>
      <c r="J16" s="0" t="n">
        <f aca="false">-J12</f>
        <v>59.9418104205278</v>
      </c>
      <c r="K16" s="0" t="n">
        <f aca="false">-K12</f>
        <v>62.339482837349</v>
      </c>
      <c r="L16" s="0" t="n">
        <f aca="false">-L12</f>
        <v>64.2096673224694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-33.8370074</v>
      </c>
      <c r="D17" s="4" t="n">
        <f aca="false">-D6*Assumptions!D46/100</f>
        <v>-37.3270530204</v>
      </c>
      <c r="E17" s="4" t="n">
        <f aca="false">-E6*Assumptions!E46/100</f>
        <v>-41.62531973184</v>
      </c>
      <c r="F17" s="4" t="n">
        <f aca="false">-F6*Assumptions!F46/100</f>
        <v>-44.096823090918</v>
      </c>
      <c r="G17" s="4" t="n">
        <f aca="false">-G6*Assumptions!G46/100</f>
        <v>-48.947473630919</v>
      </c>
      <c r="H17" s="4" t="n">
        <f aca="false">-H6*Assumptions!H46/100</f>
        <v>-53.3527462577017</v>
      </c>
      <c r="I17" s="4" t="n">
        <f aca="false">-I6*Assumptions!I46/100</f>
        <v>-57.0874384957408</v>
      </c>
      <c r="J17" s="4" t="n">
        <f aca="false">-J6*Assumptions!J46/100</f>
        <v>-59.9418104205278</v>
      </c>
      <c r="K17" s="4" t="n">
        <f aca="false">-K6*Assumptions!K46/100</f>
        <v>-62.339482837349</v>
      </c>
      <c r="L17" s="4" t="n">
        <f aca="false">-L6*Assumptions!L46/100</f>
        <v>-64.2096673224694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-22.121046</v>
      </c>
      <c r="D18" s="4" t="n">
        <f aca="false">(D6-C6)*Assumptions!$B$51/100</f>
        <v>-24.65267682</v>
      </c>
      <c r="E18" s="4" t="n">
        <f aca="false">(E6-D6)*Assumptions!$B$51/100</f>
        <v>-25.450263423</v>
      </c>
      <c r="F18" s="4" t="n">
        <f aca="false">(F6-E6)*Assumptions!$B$51/100</f>
        <v>-25.36542921159</v>
      </c>
      <c r="G18" s="4" t="n">
        <f aca="false">(G6-F6)*Assumptions!$B$51/100</f>
        <v>-24.2532527000049</v>
      </c>
      <c r="H18" s="4" t="n">
        <f aca="false">(H6-G6)*Assumptions!$B$51/100</f>
        <v>-22.0263631339135</v>
      </c>
      <c r="I18" s="4" t="n">
        <f aca="false">(I6-H6)*Assumptions!$B$51/100</f>
        <v>-18.6734611901956</v>
      </c>
      <c r="J18" s="4" t="n">
        <f aca="false">(J6-I6)*Assumptions!$B$51/100</f>
        <v>-14.2718596239352</v>
      </c>
      <c r="K18" s="4" t="n">
        <f aca="false">(K6-J6)*Assumptions!$B$51/100</f>
        <v>-11.9883620841056</v>
      </c>
      <c r="L18" s="4" t="n">
        <f aca="false">(L6-K6)*Assumptions!$B$51/100</f>
        <v>-9.35092242560233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-46.290337</v>
      </c>
      <c r="D19" s="0" t="n">
        <f aca="false">D15+D16+D17+D18</f>
        <v>-5.98915030979998</v>
      </c>
      <c r="E19" s="0" t="n">
        <f aca="false">E15+E16+E17+E18</f>
        <v>44.272147127832</v>
      </c>
      <c r="F19" s="0" t="n">
        <f aca="false">F15+F16+F17+F18</f>
        <v>90.6827102226759</v>
      </c>
      <c r="G19" s="0" t="n">
        <f aca="false">G15+G16+G17+G18</f>
        <v>147.062905008212</v>
      </c>
      <c r="H19" s="0" t="n">
        <f aca="false">H15+H16+H17+H18</f>
        <v>196.186369060086</v>
      </c>
      <c r="I19" s="0" t="n">
        <f aca="false">I15+I16+I17+I18</f>
        <v>232.035539536933</v>
      </c>
      <c r="J19" s="0" t="n">
        <f aca="false">J15+J16+J17+J18</f>
        <v>265.956104092032</v>
      </c>
      <c r="K19" s="0" t="n">
        <f aca="false">K15+K16+K17+K18</f>
        <v>279.448720180501</v>
      </c>
      <c r="L19" s="0" t="n">
        <f aca="false">L15+L16+L17+L18</f>
        <v>290.829272306942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-41.8917076923077</v>
      </c>
      <c r="D21" s="0" t="n">
        <f aca="false">D19*D20</f>
        <v>-4.90501857848937</v>
      </c>
      <c r="E21" s="0" t="n">
        <f aca="false">E19*E20</f>
        <v>32.8128347236134</v>
      </c>
      <c r="F21" s="0" t="n">
        <f aca="false">F19*F20</f>
        <v>60.8240562716114</v>
      </c>
      <c r="G21" s="0" t="n">
        <f aca="false">G19*G20</f>
        <v>89.2671666536336</v>
      </c>
      <c r="H21" s="0" t="n">
        <f aca="false">H19*H20</f>
        <v>107.769324669118</v>
      </c>
      <c r="I21" s="0" t="n">
        <f aca="false">I19*I20</f>
        <v>115.350255868004</v>
      </c>
      <c r="J21" s="0" t="n">
        <f aca="false">J19*J20</f>
        <v>119.649734238683</v>
      </c>
      <c r="K21" s="0" t="n">
        <f aca="false">K19*K20</f>
        <v>113.773632124978</v>
      </c>
      <c r="L21" s="0" t="n">
        <f aca="false">L19*L20</f>
        <v>107.155714491847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10.5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699.805992770691</v>
      </c>
    </row>
    <row r="31" customFormat="false" ht="15" hidden="false" customHeight="false" outlineLevel="0" collapsed="false">
      <c r="A31" s="0" t="s">
        <v>126</v>
      </c>
      <c r="B31" s="0" t="n">
        <f aca="false">L19</f>
        <v>290.829272306942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3994.05533968201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5234.92690152496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3994.05533968201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1471.60514568804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2171.41113845873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5392.71113845873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6.18571034021037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1.15529977010814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248.730247367227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270.752424853737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6.78158303849024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2496.28458730125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4.99878814074493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3.27885439307359</v>
      </c>
      <c r="C4" s="0" t="n">
        <f aca="false">B4/Assumptions!$B$2-1</f>
        <v>0.142457976680693</v>
      </c>
      <c r="D4" s="4" t="n">
        <f aca="false">Assumptions!$B$24</f>
        <v>0.3</v>
      </c>
      <c r="E4" s="4" t="n">
        <f aca="false">DCF_Bear!$B$43</f>
        <v>3.63145125608573</v>
      </c>
      <c r="F4" s="4" t="n">
        <f aca="false">DCF_Bear!$B$47</f>
        <v>3.33588168001028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4.51156232847006</v>
      </c>
      <c r="C5" s="0" t="n">
        <f aca="false">B5/Assumptions!$B$2-1</f>
        <v>0.57197293674915</v>
      </c>
      <c r="D5" s="4" t="n">
        <f aca="false">Assumptions!$B$38</f>
        <v>0.5</v>
      </c>
      <c r="E5" s="4" t="n">
        <f aca="false">DCF_Base!$B$43</f>
        <v>4.94530660280385</v>
      </c>
      <c r="F5" s="4" t="n">
        <f aca="false">DCF_Base!$B$47</f>
        <v>4.09730364747491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6.18571034021037</v>
      </c>
      <c r="C6" s="0" t="n">
        <f aca="false">B6/Assumptions!$B$2-1</f>
        <v>1.15529977010814</v>
      </c>
      <c r="D6" s="4" t="n">
        <f aca="false">Assumptions!$B$52</f>
        <v>0.2</v>
      </c>
      <c r="E6" s="4" t="n">
        <f aca="false">DCF_Bull!$B$43</f>
        <v>6.78158303849024</v>
      </c>
      <c r="F6" s="4" t="n">
        <f aca="false">DCF_Bull!$B$47</f>
        <v>4.99878814074493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4.47657955019918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4.91840528592569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0.358885513411171</v>
      </c>
    </row>
    <row r="11" customFormat="false" ht="15" hidden="false" customHeight="false" outlineLevel="0" collapsed="false">
      <c r="A11" s="0" t="s">
        <v>153</v>
      </c>
      <c r="B11" s="0" t="n">
        <f aca="false">IF(ABS(B9-B8)&gt;0.01*ABS(B8),(Assumptions!$B$2-B8)/(B9-B8)*100,"n/a")</f>
        <v>-363.622899321927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4.04917395588953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4.7475827133031</v>
      </c>
      <c r="C15" s="3" t="n">
        <v>9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4.5910777192202</v>
      </c>
      <c r="C16" s="3" t="n">
        <v>10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4.51156232847006</v>
      </c>
      <c r="C17" s="3" t="n">
        <v>10.5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4.44193856107984</v>
      </c>
      <c r="C18" s="3" t="n">
        <v>11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4.32605807880007</v>
      </c>
      <c r="C19" s="3" t="n">
        <v>12</v>
      </c>
    </row>
    <row r="20" customFormat="false" ht="15" hidden="false" customHeight="false" outlineLevel="0" collapsed="false">
      <c r="A20" s="0" t="s">
        <v>162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4.09730364747491</v>
      </c>
      <c r="C20" s="3" t="n">
        <v>15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8.5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4.76829413367554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4.79648736018532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4.79648736018532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4.79648736018532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4.79648736018532</v>
      </c>
    </row>
    <row r="25" customFormat="false" ht="15" hidden="false" customHeight="false" outlineLevel="0" collapsed="false">
      <c r="A25" s="3" t="n">
        <v>9.5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4.5820353898207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4.628977633055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4.68262591103704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4.7009986089761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4.7009986089761</v>
      </c>
    </row>
    <row r="26" customFormat="false" ht="15" hidden="false" customHeight="false" outlineLevel="0" collapsed="false">
      <c r="A26" s="3" t="n">
        <v>10.5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4.43947164226255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4.47339667106608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4.51156232847006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4.55481674019457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4.60425035359401</v>
      </c>
    </row>
    <row r="27" customFormat="false" ht="15" hidden="false" customHeight="false" outlineLevel="0" collapsed="false">
      <c r="A27" s="3" t="n">
        <v>11.5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4.32736078075245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4.35255174262936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4.38054170027037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4.41182459410445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4.44701784966778</v>
      </c>
    </row>
    <row r="28" customFormat="false" ht="15" hidden="false" customHeight="false" outlineLevel="0" collapsed="false">
      <c r="A28" s="3" t="n">
        <v>12.5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4.23728533032998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4.25640531220085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4.27743729225882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4.30068316495446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4.32651191239407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2026-10-17T03:56:30Z</dcterms:created>
  <dc:creator>openpyxl</dc:creator>
  <dc:description/>
  <dc:language>en-NZ</dc:language>
  <cp:lastModifiedBy/>
  <dcterms:modified xsi:type="dcterms:W3CDTF">2026-10-17T03:56:30Z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