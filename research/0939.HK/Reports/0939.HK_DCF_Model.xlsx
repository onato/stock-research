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<sst xmlns="http://schemas.openxmlformats.org/spreadsheetml/2006/main" count="362" uniqueCount="173">
  <si>
    <t xml:space="preserve">Ticker</t>
  </si>
  <si>
    <t xml:space="preserve">0939.HK</t>
  </si>
  <si>
    <t xml:space="preserve">Company</t>
  </si>
  <si>
    <t xml:space="preserve">China Construction Bank Corporation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</si>
  <si>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</si>
  <si>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</si>
  <si>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</si>
  <si>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</si>
  <si>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regular close (HKEX, Friday); 52-week range 7.18-9.90</t>
  </si>
  <si>
    <t xml:space="preserve">Balance sheet date</t>
  </si>
  <si>
    <t xml:space="preserve">2025-12-31 (FY2025 annual report; H1 2026 interim not extracted into this folder -- only its headline figures from Analysis.json are used: CAR 19.42%, NPL 1.29%, NIM 1.37%, attributable profit RMB169.6bn)</t>
  </si>
  <si>
    <t xml:space="preserve">Model</t>
  </si>
  <si>
    <t xml:space="preserve">Bank FCFE at cost of equity (engine route), net debt zero, CET1 retention on risk-weighted-asset growth, AT1 and preference distributions charged in the flow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</si>
  <si>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</si>
  <si>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</si>
  <si>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</si>
  <si>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</si>
  <si>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</si>
  <si>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</si>
  <si>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</si>
  <si>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</si>
  <si>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</si>
  <si>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2026-10-11T11:30:04Z</t>
  </si>
  <si>
    <t xml:space="preserve">Drivers file</t>
  </si>
  <si>
    <t xml:space="preserve">0939.HK_Drivers.json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</si>
  <si>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</si>
  <si>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</si>
  <si>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</si>
  <si>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bank is worth the equity cash flow it can distribute after funding the capital its balance-sheet growth requires, discounted at the cost of equity in the flows' own currency. For CCB the question is less the earnings -- RMB340bn of profit on a 14.6% CET1 ratio is not in doubt -- than who the earnings belong to: a state owner that sets loan growth, loan pricing and the payout ratio, and that retains two-thirds of profit to fund policy lending at a ~10% ROE. The FCFE model counts capital retained above the 14.5% ratio as shareholder value once RWA growth slows; the market, at 0.63x book on the H-share, does not. At a 9.5% CNY cost of equity and a ~9.5% steady-state ROE the base value is ~0.87x book (RMB11.49 / HKD13.47 per share) -- below book because the first decade's payout is held at 30-40% by policy-pace RWA growth -- and the probability-weighted value (RMB11.23 / HKD13.17), with the bear at 30%, lands almost exactly at the Shanghai A-share price (RMB10.98), 35% above the H-share. The bear case itself (RMB8.90, 0.67x book) sits at the H-share price: the H-share is priced for a durable ~7-8% ROE. The gap to the H-share price is the discount for state control, RMB translation and latent property credit risk, not for the reported earnings. All flows, book and dividends are RMB; the HKD figure moves one-for-one with CNY/HKD.
key_risks_to_valuation: Credit cycle: every 10bps on the RMB27.8tn loan book is ~RMB28bn pre-tax, ~3.5pts of margin; real-estate development NPL 4.93%, mortgages ~22% of loans, LGFV rollovers masking losses.; NIM: each 5bps on ~RMB43tn of interest-earning assets is ~RMB21bn of revenue (~2.7% of operating income); the H1 2026 stabilisation at 1.37% is one half-year of evidence after four years of decline.; Policy-directed growth: if RWA keep growing ~7-8% while revenue is flat, retention consumes the whole surplus and the model's rising payout never materialises (the bear capex path).; Payout and capital policy set by the state: the 30% payout has been fixed since 2015; the 'excess' FCFE in later years is a modelling assumption about distributability that CCB has no buyback mechanism to deliver.; CNY/HKD: a 5% RMB depreciation against the HKD peg is a 5% cut to every HKD value in this file with no offset in the CNY model.; Cost of equity: the 9.5% CNY CoE is built on an assumed ~1.8% 10Y CGB; each 1pt on the CoE is roughly +/-17% on the base value (9.0% -&gt; HKD14.71, 10.0% -&gt; HKD12.41) (sensitivity grid).; Dilution: a second MOF-led recapitalisation (reported for ICBC/ABC, Sept 2026) is not modelled; at or above book it is roughly neutral, below book it is dilutive.</t>
  </si>
  <si>
    <t xml:space="preserve">Data sources</t>
  </si>
  <si>
    <t xml:space="preserve">price: Yahoo Finance chart API at inputs.price_as_of (regular HKEX close); 52-week range 7.18-9.90. Parity vs Shanghai 601939.SS and CNYHKD=X in inputs.fx_note.
financials: 0939.HK_Metrics.csv (FY2018-FY2025 from the H-share annual reports; operating income, attributable profit, equity incl. AT1 instruments, EPS, plus kpis NIM/ROE/CET1/RWA/NPL/impairment); 0939.HK_Annual_FY2025.txt (five-year financial summary lines 720-760, income statement 9850-9880, equity 10037-10047, share-capital table 8215-8262, other-equity-instrument distributions 15258-15282, income-tax note 12207-12214, quarterly operating income line 811); H1 2026 headline figures from Analysis.json (interim not extracted).
qualitative: 0939.HK_Analysis.json (2026-10-12): FY2025 and H1 2026 results, NIM/NPL/capital trends, Five Priorities lending, 30% payout policy, MOF recapitalisation, property/LGFV and policy-lending risks, bull/bear axes.</t>
  </si>
  <si>
    <t xml:space="preserve">Scenario narrative: bear</t>
  </si>
  <si>
    <t xml:space="preserve">Property/LGFV losses are recognised through FY2027-29 at ~70-75bps while NIM compresses to ~1.2%; the state keeps RWA growing ~7% for policy reasons so earnings cannot fund both growth and the dividend (dilution or payout cut); ROE on common ~7%, stock stays at 0.5-0.6x book.</t>
  </si>
  <si>
    <t xml:space="preserve">Scenario narrative: base</t>
  </si>
  <si>
    <t xml:space="preserve">NIM bottoms at ~1.35-1.40%, loans grow ~7% along the Five Priorities with revenue +4% fading to 3%, credit costs stay ~50bps behind state-sponsored rollovers, cost-to-income drifts to ~30%, CET1 held at 14.5% with the payout rising from 30% toward ~60% as RWA growth slows to nominal GDP. ROE on common ~9.5% against a 9.5% CoE: worth about book.</t>
  </si>
  <si>
    <t xml:space="preserve">Scenario narrative: bull</t>
  </si>
  <si>
    <t xml:space="preserve">PBOC easing ends with NIM recovering to ~1.5%, a fiscal upcycle floors property and credit costs normalise to ~40bps, fee income compounds double digits on wealth/pension finance, the Big Four lift payouts; ROE on common ~10.5-11% and the H-share narrows its 32% discount to the A-share.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</si>
  <si>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</si>
  <si>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</si>
  <si>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</si>
  <si>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</si>
  <si>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</si>
  <si>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</si>
  <si>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</si>
  <si>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</si>
  <si>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</si>
  <si>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</si>
  <si>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</si>
  <si>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</si>
  <si>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</si>
  <si>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</si>
  <si>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</si>
  <si>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</si>
  <si>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</si>
  <si>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</si>
  <si>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</si>
  <si>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</si>
  <si>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</si>
  <si>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</si>
  <si>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</si>
  <si>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</si>
  <si>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</si>
  <si>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</si>
  <si>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</si>
  <si>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CET1Ratio</t>
  </si>
  <si>
    <t xml:space="preserve">CostToIncomeRatio</t>
  </si>
  <si>
    <t xml:space="preserve">CreditImpairmentCharge</t>
  </si>
  <si>
    <t xml:space="preserve">NIM</t>
  </si>
  <si>
    <t xml:space="preserve">NPAT</t>
  </si>
  <si>
    <t xml:space="preserve">NetInterestIncome</t>
  </si>
  <si>
    <t xml:space="preserve">ROE</t>
  </si>
  <si>
    <t xml:space="preserve">TotalEquityInclNCI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</si>
  <si>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</si>
  <si>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</si>
  <si>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</si>
  <si>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</si>
  <si>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</si>
  <si>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</si>
  <si>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</si>
  <si>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</si>
  <si>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</si>
  <si>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</si>
  <si>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</si>
  <si>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</si>
  <si>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</si>
  <si>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</si>
  <si>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</si>
  <si>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</si>
  <si>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</si>
  <si>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 (year ending 2026-12-31, unreported: H1 2026 actual + H2 estimate)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</si>
  <si>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</si>
  <si>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</si>
  <si>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</si>
  <si>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</si>
  <si>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</si>
  <si>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</si>
  <si>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</si>
  <si>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</si>
  <si>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</si>
  <si>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</si>
  <si>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</si>
  <si>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</si>
  <si>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</si>
  <si>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</si>
  <si>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</si>
  <si>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</si>
  <si>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</si>
  <si>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</si>
  <si>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</si>
  <si>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</si>
  <si>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</si>
  <si>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</si>
  <si>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</si>
  <si>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</si>
  <si>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</si>
  <si>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</si>
  <si>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</si>
  <si>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</si>
  <si>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0939.HK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</si>
  <si>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</si>
  <si>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</si>
  <si>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</si>
  <si>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</si>
  <si>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</si>
  <si>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</si>
  <si>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</si>
  <si>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</si>
  <si>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</si>
  <si>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</si>
  <si>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</si>
  <si>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</si>
  <si>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</si>
  <si>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</si>
  <si>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</si>
  <si>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</si>
  <si>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</si>
  <si>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</si>
  <si>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</si>
  <si>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</si>
  <si>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</si>
  <si>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</si>
  <si>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</si>
  <si>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</si>
  <si>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</si>
  <si>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</si>
  <si>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</si>
  <si>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</si>
  <si>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</si>
  <si>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</si>
  <si>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0939.HK owner-FCF component DCF: base case (millions, CNY)</t>
  </si>
  <si>
    <t xml:space="preserve">0939.HK owner-FCF component DCF: bull case (millions, CNY)</t>
  </si>
  <si>
    <t xml:space="preserve">0939.HK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</si>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</sst>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9.735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  <c r="AI1" s="2" t="s">
        <v>70</v>
      </c>
      <c r="AJ1" s="2" t="s">
        <v>71</v>
      </c>
    </row>
    <row r="2" customFormat="false" ht="15" hidden="false" customHeight="false" outlineLevel="0" collapsed="false">
      <c r="A2" s="0" t="s">
        <v>72</v>
      </c>
      <c r="B2" s="0" t="n">
        <v>633772</v>
      </c>
      <c r="F2" s="0" t="n">
        <v>308160</v>
      </c>
      <c r="G2" s="0" t="n">
        <v>48.6</v>
      </c>
      <c r="I2" s="0" t="n">
        <v>254655</v>
      </c>
      <c r="J2" s="0" t="n">
        <v>40.2</v>
      </c>
      <c r="K2" s="0" t="n">
        <v>1</v>
      </c>
      <c r="L2" s="0" t="n">
        <v>615831</v>
      </c>
      <c r="M2" s="0" t="n">
        <v>20783</v>
      </c>
      <c r="O2" s="0" t="n">
        <v>1976463</v>
      </c>
      <c r="P2" s="0" t="n">
        <v>23222693</v>
      </c>
      <c r="Q2" s="0" t="n">
        <v>21231099</v>
      </c>
      <c r="S2" s="0" t="n">
        <v>860702</v>
      </c>
      <c r="T2" s="0" t="n">
        <v>250011</v>
      </c>
      <c r="AA2" s="0" t="s">
        <v>18</v>
      </c>
      <c r="AB2" s="0" t="s">
        <v>14</v>
      </c>
      <c r="AC2" s="0" t="n">
        <v>13.83</v>
      </c>
      <c r="AD2" s="0" t="n">
        <v>26.61</v>
      </c>
      <c r="AE2" s="0" t="n">
        <v>150988</v>
      </c>
      <c r="AF2" s="0" t="n">
        <v>2.36</v>
      </c>
      <c r="AG2" s="0" t="n">
        <v>255626</v>
      </c>
      <c r="AH2" s="0" t="n">
        <v>486278</v>
      </c>
      <c r="AI2" s="0" t="n">
        <v>14.04</v>
      </c>
      <c r="AJ2" s="0" t="n">
        <v>1991594</v>
      </c>
    </row>
    <row r="3" customFormat="false" ht="15" hidden="false" customHeight="false" outlineLevel="0" collapsed="false">
      <c r="A3" s="0" t="s">
        <v>73</v>
      </c>
      <c r="B3" s="0" t="n">
        <v>678001</v>
      </c>
      <c r="F3" s="0" t="n">
        <v>326597</v>
      </c>
      <c r="G3" s="0" t="n">
        <v>48.2</v>
      </c>
      <c r="I3" s="0" t="n">
        <v>266733</v>
      </c>
      <c r="J3" s="0" t="n">
        <v>39.3</v>
      </c>
      <c r="K3" s="0" t="n">
        <v>1.05</v>
      </c>
      <c r="L3" s="0" t="n">
        <v>581287</v>
      </c>
      <c r="M3" s="0" t="n">
        <v>23234</v>
      </c>
      <c r="O3" s="0" t="n">
        <v>2216257</v>
      </c>
      <c r="P3" s="0" t="n">
        <v>25436261</v>
      </c>
      <c r="Q3" s="0" t="n">
        <v>23201134</v>
      </c>
      <c r="S3" s="0" t="n">
        <v>1052340</v>
      </c>
      <c r="T3" s="0" t="n">
        <v>250011</v>
      </c>
      <c r="AA3" s="0" t="s">
        <v>18</v>
      </c>
      <c r="AB3" s="0" t="s">
        <v>14</v>
      </c>
      <c r="AC3" s="0" t="n">
        <v>13.88</v>
      </c>
      <c r="AD3" s="0" t="n">
        <v>26.75</v>
      </c>
      <c r="AE3" s="0" t="n">
        <v>163000</v>
      </c>
      <c r="AF3" s="0" t="n">
        <v>2.32</v>
      </c>
      <c r="AG3" s="0" t="n">
        <v>269222</v>
      </c>
      <c r="AH3" s="0" t="n">
        <v>510680</v>
      </c>
      <c r="AI3" s="0" t="n">
        <v>13.18</v>
      </c>
      <c r="AJ3" s="0" t="n">
        <v>2235127</v>
      </c>
    </row>
    <row r="4" customFormat="false" ht="15" hidden="false" customHeight="false" outlineLevel="0" collapsed="false">
      <c r="A4" s="0" t="s">
        <v>74</v>
      </c>
      <c r="B4" s="0" t="n">
        <v>714224</v>
      </c>
      <c r="F4" s="0" t="n">
        <v>336616</v>
      </c>
      <c r="G4" s="0" t="n">
        <v>47.1</v>
      </c>
      <c r="I4" s="0" t="n">
        <v>271050</v>
      </c>
      <c r="J4" s="0" t="n">
        <v>38</v>
      </c>
      <c r="K4" s="0" t="n">
        <v>1.06</v>
      </c>
      <c r="L4" s="0" t="n">
        <v>580685</v>
      </c>
      <c r="M4" s="0" t="n">
        <v>25743</v>
      </c>
      <c r="O4" s="0" t="n">
        <v>2364808</v>
      </c>
      <c r="P4" s="0" t="n">
        <v>28132254</v>
      </c>
      <c r="Q4" s="0" t="n">
        <v>25742901</v>
      </c>
      <c r="S4" s="0" t="n">
        <v>878931</v>
      </c>
      <c r="T4" s="0" t="n">
        <v>250011</v>
      </c>
      <c r="AA4" s="0" t="s">
        <v>18</v>
      </c>
      <c r="AB4" s="0" t="s">
        <v>14</v>
      </c>
      <c r="AC4" s="0" t="n">
        <v>13.62</v>
      </c>
      <c r="AD4" s="0" t="n">
        <v>25.38</v>
      </c>
      <c r="AE4" s="0" t="n">
        <v>193491</v>
      </c>
      <c r="AF4" s="0" t="n">
        <v>2.19</v>
      </c>
      <c r="AG4" s="0" t="n">
        <v>273579</v>
      </c>
      <c r="AH4" s="0" t="n">
        <v>575909</v>
      </c>
      <c r="AI4" s="0" t="n">
        <v>12.12</v>
      </c>
      <c r="AJ4" s="0" t="n">
        <v>2389353</v>
      </c>
    </row>
    <row r="5" customFormat="false" ht="15" hidden="false" customHeight="false" outlineLevel="0" collapsed="false">
      <c r="A5" s="0" t="s">
        <v>75</v>
      </c>
      <c r="B5" s="0" t="n">
        <v>764706</v>
      </c>
      <c r="F5" s="0" t="n">
        <v>378412</v>
      </c>
      <c r="G5" s="0" t="n">
        <v>49.5</v>
      </c>
      <c r="I5" s="0" t="n">
        <v>302513</v>
      </c>
      <c r="J5" s="0" t="n">
        <v>39.6</v>
      </c>
      <c r="K5" s="0" t="n">
        <v>1.19</v>
      </c>
      <c r="L5" s="0" t="n">
        <v>436718</v>
      </c>
      <c r="M5" s="0" t="n">
        <v>21235</v>
      </c>
      <c r="O5" s="0" t="n">
        <v>2588231</v>
      </c>
      <c r="P5" s="0" t="n">
        <v>30253979</v>
      </c>
      <c r="Q5" s="0" t="n">
        <v>27639857</v>
      </c>
      <c r="S5" s="0" t="n">
        <v>805600</v>
      </c>
      <c r="T5" s="0" t="n">
        <v>250011</v>
      </c>
      <c r="AA5" s="0" t="s">
        <v>18</v>
      </c>
      <c r="AB5" s="0" t="s">
        <v>14</v>
      </c>
      <c r="AC5" s="0" t="n">
        <v>13.59</v>
      </c>
      <c r="AD5" s="0" t="n">
        <v>27.64</v>
      </c>
      <c r="AE5" s="0" t="n">
        <v>167949</v>
      </c>
      <c r="AF5" s="0" t="n">
        <v>2.13</v>
      </c>
      <c r="AG5" s="0" t="n">
        <v>303928</v>
      </c>
      <c r="AH5" s="0" t="n">
        <v>605420</v>
      </c>
      <c r="AI5" s="0" t="n">
        <v>12.55</v>
      </c>
      <c r="AJ5" s="0" t="n">
        <v>2614122</v>
      </c>
    </row>
    <row r="6" customFormat="false" ht="15" hidden="false" customHeight="false" outlineLevel="0" collapsed="false">
      <c r="A6" s="0" t="s">
        <v>76</v>
      </c>
      <c r="B6" s="0" t="n">
        <v>758155</v>
      </c>
      <c r="F6" s="0" t="n">
        <v>382017</v>
      </c>
      <c r="G6" s="0" t="n">
        <v>50.4</v>
      </c>
      <c r="I6" s="0" t="n">
        <v>323861</v>
      </c>
      <c r="J6" s="0" t="n">
        <v>42.7</v>
      </c>
      <c r="K6" s="0" t="n">
        <v>1.28</v>
      </c>
      <c r="L6" s="0" t="n">
        <v>978419</v>
      </c>
      <c r="M6" s="0" t="n">
        <v>23751</v>
      </c>
      <c r="O6" s="0" t="n">
        <v>2856733</v>
      </c>
      <c r="P6" s="0" t="n">
        <v>34601917</v>
      </c>
      <c r="Q6" s="0" t="n">
        <v>31723157</v>
      </c>
      <c r="S6" s="0" t="n">
        <v>1143652</v>
      </c>
      <c r="T6" s="0" t="n">
        <v>250011</v>
      </c>
      <c r="AA6" s="0" t="s">
        <v>18</v>
      </c>
      <c r="AB6" s="0" t="s">
        <v>14</v>
      </c>
      <c r="AC6" s="0" t="n">
        <v>13.69</v>
      </c>
      <c r="AD6" s="0" t="n">
        <v>27.96</v>
      </c>
      <c r="AE6" s="0" t="n">
        <v>154539</v>
      </c>
      <c r="AF6" s="0" t="n">
        <v>2.01</v>
      </c>
      <c r="AG6" s="0" t="n">
        <v>323166</v>
      </c>
      <c r="AH6" s="0" t="n">
        <v>643064</v>
      </c>
      <c r="AI6" s="0" t="n">
        <v>12.3</v>
      </c>
      <c r="AJ6" s="0" t="n">
        <v>2878760</v>
      </c>
    </row>
    <row r="7" customFormat="false" ht="15" hidden="false" customHeight="false" outlineLevel="0" collapsed="false">
      <c r="A7" s="0" t="s">
        <v>77</v>
      </c>
      <c r="B7" s="0" t="n">
        <v>745615</v>
      </c>
      <c r="F7" s="0" t="n">
        <v>389377</v>
      </c>
      <c r="G7" s="0" t="n">
        <v>52.2</v>
      </c>
      <c r="I7" s="0" t="n">
        <v>332653</v>
      </c>
      <c r="J7" s="0" t="n">
        <v>44.6</v>
      </c>
      <c r="K7" s="0" t="n">
        <v>1.31</v>
      </c>
      <c r="L7" s="0" t="n">
        <v>642850</v>
      </c>
      <c r="M7" s="0" t="n">
        <v>25093</v>
      </c>
      <c r="O7" s="0" t="n">
        <v>3150145</v>
      </c>
      <c r="P7" s="0" t="n">
        <v>38324826</v>
      </c>
      <c r="Q7" s="0" t="n">
        <v>35152752</v>
      </c>
      <c r="S7" s="0" t="n">
        <v>925463</v>
      </c>
      <c r="T7" s="0" t="n">
        <v>250011</v>
      </c>
      <c r="AA7" s="0" t="s">
        <v>18</v>
      </c>
      <c r="AB7" s="0" t="s">
        <v>14</v>
      </c>
      <c r="AC7" s="0" t="n">
        <v>13.15</v>
      </c>
      <c r="AD7" s="0" t="n">
        <v>28.39</v>
      </c>
      <c r="AE7" s="0" t="n">
        <v>136774</v>
      </c>
      <c r="AF7" s="0" t="n">
        <v>1.7</v>
      </c>
      <c r="AG7" s="0" t="n">
        <v>332460</v>
      </c>
      <c r="AH7" s="0" t="n">
        <v>617233</v>
      </c>
      <c r="AI7" s="0" t="n">
        <v>11.56</v>
      </c>
      <c r="AJ7" s="0" t="n">
        <v>3172074</v>
      </c>
    </row>
    <row r="8" customFormat="false" ht="15" hidden="false" customHeight="false" outlineLevel="0" collapsed="false">
      <c r="A8" s="0" t="s">
        <v>78</v>
      </c>
      <c r="B8" s="0" t="n">
        <v>728570</v>
      </c>
      <c r="F8" s="0" t="n">
        <v>384377</v>
      </c>
      <c r="G8" s="0" t="n">
        <v>52.8</v>
      </c>
      <c r="I8" s="0" t="n">
        <v>335577</v>
      </c>
      <c r="J8" s="0" t="n">
        <v>46.1</v>
      </c>
      <c r="K8" s="0" t="n">
        <v>1.31</v>
      </c>
      <c r="L8" s="0" t="n">
        <v>338023</v>
      </c>
      <c r="M8" s="0" t="n">
        <v>29172</v>
      </c>
      <c r="O8" s="0" t="n">
        <v>3322127</v>
      </c>
      <c r="P8" s="0" t="n">
        <v>40571149</v>
      </c>
      <c r="Q8" s="0" t="n">
        <v>37227184</v>
      </c>
      <c r="S8" s="0" t="n">
        <v>569448</v>
      </c>
      <c r="T8" s="0" t="n">
        <v>250011</v>
      </c>
      <c r="AA8" s="0" t="s">
        <v>18</v>
      </c>
      <c r="AB8" s="0" t="s">
        <v>14</v>
      </c>
      <c r="AC8" s="0" t="n">
        <v>14.48</v>
      </c>
      <c r="AD8" s="0" t="n">
        <v>29.58</v>
      </c>
      <c r="AE8" s="0" t="n">
        <v>120700</v>
      </c>
      <c r="AF8" s="0" t="n">
        <v>1.51</v>
      </c>
      <c r="AG8" s="0" t="n">
        <v>336282</v>
      </c>
      <c r="AH8" s="0" t="n">
        <v>589882</v>
      </c>
      <c r="AI8" s="0" t="n">
        <v>10.69</v>
      </c>
      <c r="AJ8" s="0" t="n">
        <v>3343965</v>
      </c>
    </row>
    <row r="9" customFormat="false" ht="15" hidden="false" customHeight="false" outlineLevel="0" collapsed="false">
      <c r="A9" s="0" t="s">
        <v>79</v>
      </c>
      <c r="B9" s="0" t="n">
        <v>740871</v>
      </c>
      <c r="F9" s="0" t="n">
        <v>380623</v>
      </c>
      <c r="G9" s="0" t="n">
        <v>51.4</v>
      </c>
      <c r="I9" s="0" t="n">
        <v>338906</v>
      </c>
      <c r="J9" s="0" t="n">
        <v>45.7</v>
      </c>
      <c r="K9" s="0" t="n">
        <v>1.3</v>
      </c>
      <c r="L9" s="0" t="n">
        <v>2101242</v>
      </c>
      <c r="M9" s="0" t="n">
        <v>23564</v>
      </c>
      <c r="O9" s="0" t="n">
        <v>3663411</v>
      </c>
      <c r="P9" s="0" t="n">
        <v>45631818</v>
      </c>
      <c r="Q9" s="0" t="n">
        <v>41945741</v>
      </c>
      <c r="S9" s="0" t="n">
        <v>1061844</v>
      </c>
      <c r="T9" s="0" t="n">
        <v>256107</v>
      </c>
      <c r="AA9" s="0" t="s">
        <v>18</v>
      </c>
      <c r="AB9" s="0" t="s">
        <v>14</v>
      </c>
      <c r="AC9" s="0" t="n">
        <v>14.63</v>
      </c>
      <c r="AD9" s="0" t="n">
        <v>29.44</v>
      </c>
      <c r="AE9" s="0" t="n">
        <v>133317</v>
      </c>
      <c r="AF9" s="0" t="n">
        <v>1.34</v>
      </c>
      <c r="AG9" s="0" t="n">
        <v>339790</v>
      </c>
      <c r="AH9" s="0" t="n">
        <v>572774</v>
      </c>
      <c r="AI9" s="0" t="n">
        <v>10.04</v>
      </c>
      <c r="AJ9" s="0" t="n">
        <v>3686077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9.735</v>
      </c>
    </row>
    <row r="3" customFormat="false" ht="15" hidden="false" customHeight="false" outlineLevel="0" collapsed="false">
      <c r="A3" s="0" t="s">
        <v>83</v>
      </c>
      <c r="B3" s="3" t="n">
        <v>261600.38</v>
      </c>
    </row>
    <row r="4" customFormat="false" ht="15" hidden="false" customHeight="false" outlineLevel="0" collapsed="false">
      <c r="A4" s="0" t="s">
        <v>84</v>
      </c>
      <c r="B4" s="3" t="n">
        <v>0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795000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1.1721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0.5</v>
      </c>
      <c r="D13" s="3" t="n">
        <v>1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44</v>
      </c>
      <c r="D14" s="3" t="n">
        <v>41</v>
      </c>
      <c r="E14" s="3" t="n">
        <v>40</v>
      </c>
      <c r="F14" s="3" t="n">
        <v>42</v>
      </c>
      <c r="G14" s="3" t="n">
        <v>43.5</v>
      </c>
      <c r="H14" s="3" t="n">
        <v>44.5</v>
      </c>
      <c r="I14" s="3" t="n">
        <v>45</v>
      </c>
      <c r="J14" s="3" t="n">
        <v>45</v>
      </c>
      <c r="K14" s="3" t="n">
        <v>45</v>
      </c>
      <c r="L14" s="3" t="n">
        <v>45</v>
      </c>
    </row>
    <row r="15" customFormat="false" ht="15" hidden="false" customHeight="false" outlineLevel="0" collapsed="false">
      <c r="A15" s="0" t="s">
        <v>106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108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109</v>
      </c>
      <c r="C18" s="3" t="n">
        <v>32.19</v>
      </c>
      <c r="D18" s="3" t="n">
        <v>31.67</v>
      </c>
      <c r="E18" s="3" t="n">
        <v>27.98</v>
      </c>
      <c r="F18" s="3" t="n">
        <v>23.56</v>
      </c>
      <c r="G18" s="3" t="n">
        <v>18.68</v>
      </c>
      <c r="H18" s="3" t="n">
        <v>16.17</v>
      </c>
      <c r="I18" s="3" t="n">
        <v>13.54</v>
      </c>
      <c r="J18" s="3" t="n">
        <v>13.54</v>
      </c>
      <c r="K18" s="3" t="n">
        <v>13.54</v>
      </c>
      <c r="L18" s="3" t="n">
        <v>13.54</v>
      </c>
    </row>
    <row r="19" customFormat="false" ht="15" hidden="false" customHeight="false" outlineLevel="0" collapsed="false">
      <c r="A19" s="0" t="s">
        <v>110</v>
      </c>
      <c r="C19" s="3" t="n">
        <v>10</v>
      </c>
      <c r="D19" s="3" t="n">
        <v>10</v>
      </c>
      <c r="E19" s="3" t="n">
        <v>11</v>
      </c>
      <c r="F19" s="3" t="n">
        <v>12</v>
      </c>
      <c r="G19" s="3" t="n">
        <v>13</v>
      </c>
      <c r="H19" s="3" t="n">
        <v>14</v>
      </c>
      <c r="I19" s="3" t="n">
        <v>14</v>
      </c>
      <c r="J19" s="3" t="n">
        <v>14</v>
      </c>
      <c r="K19" s="3" t="n">
        <v>14</v>
      </c>
      <c r="L19" s="3" t="n">
        <v>14</v>
      </c>
    </row>
    <row r="20" customFormat="false" ht="15" hidden="false" customHeight="false" outlineLevel="0" collapsed="false">
      <c r="A20" s="0" t="s">
        <v>111</v>
      </c>
      <c r="B20" s="3" t="n">
        <v>9.5</v>
      </c>
    </row>
    <row r="21" customFormat="false" ht="15" hidden="false" customHeight="false" outlineLevel="0" collapsed="false">
      <c r="A21" s="0" t="s">
        <v>112</v>
      </c>
      <c r="B21" s="3" t="n">
        <v>2.5</v>
      </c>
    </row>
    <row r="22" customFormat="false" ht="15" hidden="false" customHeight="false" outlineLevel="0" collapsed="false">
      <c r="A22" s="0" t="s">
        <v>113</v>
      </c>
      <c r="B22" s="3" t="n">
        <v>18</v>
      </c>
    </row>
    <row r="23" customFormat="false" ht="15" hidden="false" customHeight="false" outlineLevel="0" collapsed="false">
      <c r="A23" s="0" t="s">
        <v>114</v>
      </c>
      <c r="B23" s="3" t="n">
        <v>0</v>
      </c>
    </row>
    <row r="24" customFormat="false" ht="15" hidden="false" customHeight="false" outlineLevel="0" collapsed="false">
      <c r="A24" s="0" t="s">
        <v>115</v>
      </c>
      <c r="B24" s="3" t="n">
        <v>0.3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4</v>
      </c>
      <c r="D27" s="3" t="n">
        <v>4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48.5</v>
      </c>
      <c r="D28" s="3" t="n">
        <v>48.5</v>
      </c>
      <c r="E28" s="3" t="n">
        <v>48</v>
      </c>
      <c r="F28" s="3" t="n">
        <v>48</v>
      </c>
      <c r="G28" s="3" t="n">
        <v>48</v>
      </c>
      <c r="H28" s="3" t="n">
        <v>47.5</v>
      </c>
      <c r="I28" s="3" t="n">
        <v>47.5</v>
      </c>
      <c r="J28" s="3" t="n">
        <v>47.5</v>
      </c>
      <c r="K28" s="3" t="n">
        <v>47.5</v>
      </c>
      <c r="L28" s="3" t="n">
        <v>47.5</v>
      </c>
    </row>
    <row r="29" customFormat="false" ht="15" hidden="false" customHeight="false" outlineLevel="0" collapsed="false">
      <c r="A29" s="0" t="s">
        <v>106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108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109</v>
      </c>
      <c r="C32" s="3" t="n">
        <v>28.89</v>
      </c>
      <c r="D32" s="3" t="n">
        <v>27.31</v>
      </c>
      <c r="E32" s="3" t="n">
        <v>25.64</v>
      </c>
      <c r="F32" s="3" t="n">
        <v>23.76</v>
      </c>
      <c r="G32" s="3" t="n">
        <v>21.69</v>
      </c>
      <c r="H32" s="3" t="n">
        <v>19.56</v>
      </c>
      <c r="I32" s="3" t="n">
        <v>17.28</v>
      </c>
      <c r="J32" s="3" t="n">
        <v>14.89</v>
      </c>
      <c r="K32" s="3" t="n">
        <v>14.89</v>
      </c>
      <c r="L32" s="3" t="n">
        <v>14.89</v>
      </c>
    </row>
    <row r="33" customFormat="false" ht="15" hidden="false" customHeight="false" outlineLevel="0" collapsed="false">
      <c r="A33" s="0" t="s">
        <v>110</v>
      </c>
      <c r="C33" s="3" t="n">
        <v>12</v>
      </c>
      <c r="D33" s="3" t="n">
        <v>12.5</v>
      </c>
      <c r="E33" s="3" t="n">
        <v>13</v>
      </c>
      <c r="F33" s="3" t="n">
        <v>13.5</v>
      </c>
      <c r="G33" s="3" t="n">
        <v>14</v>
      </c>
      <c r="H33" s="3" t="n">
        <v>14</v>
      </c>
      <c r="I33" s="3" t="n">
        <v>14</v>
      </c>
      <c r="J33" s="3" t="n">
        <v>14</v>
      </c>
      <c r="K33" s="3" t="n">
        <v>14</v>
      </c>
      <c r="L33" s="3" t="n">
        <v>14</v>
      </c>
    </row>
    <row r="34" customFormat="false" ht="15" hidden="false" customHeight="false" outlineLevel="0" collapsed="false">
      <c r="A34" s="0" t="s">
        <v>111</v>
      </c>
      <c r="B34" s="3" t="n">
        <v>9.5</v>
      </c>
    </row>
    <row r="35" customFormat="false" ht="15" hidden="false" customHeight="false" outlineLevel="0" collapsed="false">
      <c r="A35" s="0" t="s">
        <v>112</v>
      </c>
      <c r="B35" s="3" t="n">
        <v>3</v>
      </c>
    </row>
    <row r="36" customFormat="false" ht="15" hidden="false" customHeight="false" outlineLevel="0" collapsed="false">
      <c r="A36" s="0" t="s">
        <v>113</v>
      </c>
      <c r="B36" s="3" t="n">
        <v>18</v>
      </c>
    </row>
    <row r="37" customFormat="false" ht="15" hidden="false" customHeight="false" outlineLevel="0" collapsed="false">
      <c r="A37" s="0" t="s">
        <v>114</v>
      </c>
      <c r="B37" s="3" t="n">
        <v>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6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4</v>
      </c>
      <c r="I41" s="3" t="n">
        <v>3.5</v>
      </c>
      <c r="J41" s="3" t="n">
        <v>3.5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105</v>
      </c>
      <c r="C42" s="3" t="n">
        <v>50</v>
      </c>
      <c r="D42" s="3" t="n">
        <v>51</v>
      </c>
      <c r="E42" s="3" t="n">
        <v>51.5</v>
      </c>
      <c r="F42" s="3" t="n">
        <v>52</v>
      </c>
      <c r="G42" s="3" t="n">
        <v>52</v>
      </c>
      <c r="H42" s="3" t="n">
        <v>52</v>
      </c>
      <c r="I42" s="3" t="n">
        <v>51.5</v>
      </c>
      <c r="J42" s="3" t="n">
        <v>51.5</v>
      </c>
      <c r="K42" s="3" t="n">
        <v>51.5</v>
      </c>
      <c r="L42" s="3" t="n">
        <v>51.5</v>
      </c>
    </row>
    <row r="43" customFormat="false" ht="15" hidden="false" customHeight="false" outlineLevel="0" collapsed="false">
      <c r="A43" s="0" t="s">
        <v>106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108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109</v>
      </c>
      <c r="C46" s="3" t="n">
        <v>30.52</v>
      </c>
      <c r="D46" s="3" t="n">
        <v>28.75</v>
      </c>
      <c r="E46" s="3" t="n">
        <v>26.92</v>
      </c>
      <c r="F46" s="3" t="n">
        <v>25.03</v>
      </c>
      <c r="G46" s="3" t="n">
        <v>23.08</v>
      </c>
      <c r="H46" s="3" t="n">
        <v>20.97</v>
      </c>
      <c r="I46" s="3" t="n">
        <v>18.82</v>
      </c>
      <c r="J46" s="3" t="n">
        <v>16.55</v>
      </c>
      <c r="K46" s="3" t="n">
        <v>16.55</v>
      </c>
      <c r="L46" s="3" t="n">
        <v>16.55</v>
      </c>
    </row>
    <row r="47" customFormat="false" ht="15" hidden="false" customHeight="false" outlineLevel="0" collapsed="false">
      <c r="A47" s="0" t="s">
        <v>110</v>
      </c>
      <c r="C47" s="3" t="n">
        <v>12</v>
      </c>
      <c r="D47" s="3" t="n">
        <v>12.5</v>
      </c>
      <c r="E47" s="3" t="n">
        <v>13</v>
      </c>
      <c r="F47" s="3" t="n">
        <v>13.5</v>
      </c>
      <c r="G47" s="3" t="n">
        <v>14</v>
      </c>
      <c r="H47" s="3" t="n">
        <v>14</v>
      </c>
      <c r="I47" s="3" t="n">
        <v>14</v>
      </c>
      <c r="J47" s="3" t="n">
        <v>14</v>
      </c>
      <c r="K47" s="3" t="n">
        <v>14</v>
      </c>
      <c r="L47" s="3" t="n">
        <v>14</v>
      </c>
    </row>
    <row r="48" customFormat="false" ht="15" hidden="false" customHeight="false" outlineLevel="0" collapsed="false">
      <c r="A48" s="0" t="s">
        <v>111</v>
      </c>
      <c r="B48" s="3" t="n">
        <v>9.5</v>
      </c>
    </row>
    <row r="49" customFormat="false" ht="15" hidden="false" customHeight="false" outlineLevel="0" collapsed="false">
      <c r="A49" s="0" t="s">
        <v>112</v>
      </c>
      <c r="B49" s="3" t="n">
        <v>3.5</v>
      </c>
    </row>
    <row r="50" customFormat="false" ht="15" hidden="false" customHeight="false" outlineLevel="0" collapsed="false">
      <c r="A50" s="0" t="s">
        <v>113</v>
      </c>
      <c r="B50" s="3" t="n">
        <v>18</v>
      </c>
    </row>
    <row r="51" customFormat="false" ht="15" hidden="false" customHeight="false" outlineLevel="0" collapsed="false">
      <c r="A51" s="0" t="s">
        <v>114</v>
      </c>
      <c r="B51" s="3" t="n">
        <v>0</v>
      </c>
    </row>
    <row r="52" customFormat="false" ht="15" hidden="false" customHeight="false" outlineLevel="0" collapsed="false">
      <c r="A52" s="0" t="s">
        <v>115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0.5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795000</v>
      </c>
      <c r="C6" s="0" t="n">
        <f aca="false">B6*(1+C5/100)</f>
        <v>798975</v>
      </c>
      <c r="D6" s="0" t="n">
        <f aca="false">C6*(1+D5/100)</f>
        <v>806964.75</v>
      </c>
      <c r="E6" s="0" t="n">
        <f aca="false">D6*(1+E5/100)</f>
        <v>823104.045</v>
      </c>
      <c r="F6" s="0" t="n">
        <f aca="false">E6*(1+F5/100)</f>
        <v>843681.646125</v>
      </c>
      <c r="G6" s="0" t="n">
        <f aca="false">F6*(1+G5/100)</f>
        <v>864773.687278125</v>
      </c>
      <c r="H6" s="0" t="n">
        <f aca="false">G6*(1+H5/100)</f>
        <v>886393.029460078</v>
      </c>
      <c r="I6" s="0" t="n">
        <f aca="false">H6*(1+I5/100)</f>
        <v>908552.85519658</v>
      </c>
      <c r="J6" s="0" t="n">
        <f aca="false">I6*(1+J5/100)</f>
        <v>931266.676576494</v>
      </c>
      <c r="K6" s="0" t="n">
        <f aca="false">J6*(1+K5/100)</f>
        <v>954548.343490906</v>
      </c>
      <c r="L6" s="0" t="n">
        <f aca="false">K6*(1+L5/100)</f>
        <v>978412.052078179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44</v>
      </c>
      <c r="D7" s="4" t="n">
        <f aca="false">Assumptions!D14</f>
        <v>41</v>
      </c>
      <c r="E7" s="4" t="n">
        <f aca="false">Assumptions!E14</f>
        <v>40</v>
      </c>
      <c r="F7" s="4" t="n">
        <f aca="false">Assumptions!F14</f>
        <v>42</v>
      </c>
      <c r="G7" s="4" t="n">
        <f aca="false">Assumptions!G14</f>
        <v>43.5</v>
      </c>
      <c r="H7" s="4" t="n">
        <f aca="false">Assumptions!H14</f>
        <v>44.5</v>
      </c>
      <c r="I7" s="4" t="n">
        <f aca="false">Assumptions!I14</f>
        <v>45</v>
      </c>
      <c r="J7" s="4" t="n">
        <f aca="false">Assumptions!J14</f>
        <v>45</v>
      </c>
      <c r="K7" s="4" t="n">
        <f aca="false">Assumptions!K14</f>
        <v>45</v>
      </c>
      <c r="L7" s="4" t="n">
        <f aca="false">Assumptions!L14</f>
        <v>45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351549</v>
      </c>
      <c r="D8" s="0" t="n">
        <f aca="false">D6*D7/100</f>
        <v>330855.5475</v>
      </c>
      <c r="E8" s="0" t="n">
        <f aca="false">E6*E7/100</f>
        <v>329241.618</v>
      </c>
      <c r="F8" s="0" t="n">
        <f aca="false">F6*F7/100</f>
        <v>354346.2913725</v>
      </c>
      <c r="G8" s="0" t="n">
        <f aca="false">G6*G7/100</f>
        <v>376176.553965984</v>
      </c>
      <c r="H8" s="0" t="n">
        <f aca="false">H6*H7/100</f>
        <v>394444.898109735</v>
      </c>
      <c r="I8" s="0" t="n">
        <f aca="false">I6*I7/100</f>
        <v>408848.784838461</v>
      </c>
      <c r="J8" s="0" t="n">
        <f aca="false">J6*J7/100</f>
        <v>419070.004459422</v>
      </c>
      <c r="K8" s="0" t="n">
        <f aca="false">K6*K7/100</f>
        <v>429546.754570908</v>
      </c>
      <c r="L8" s="0" t="n">
        <f aca="false">L6*L7/100</f>
        <v>440285.423435181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351549</v>
      </c>
      <c r="D11" s="0" t="n">
        <f aca="false">D8+D10+D24</f>
        <v>330855.5475</v>
      </c>
      <c r="E11" s="0" t="n">
        <f aca="false">E8+E10+E24</f>
        <v>329241.618</v>
      </c>
      <c r="F11" s="0" t="n">
        <f aca="false">F8+F10+F24</f>
        <v>354346.2913725</v>
      </c>
      <c r="G11" s="0" t="n">
        <f aca="false">G8+G10+G24</f>
        <v>376176.553965984</v>
      </c>
      <c r="H11" s="0" t="n">
        <f aca="false">H8+H10+H24</f>
        <v>394444.898109735</v>
      </c>
      <c r="I11" s="0" t="n">
        <f aca="false">I8+I10+I24</f>
        <v>408848.784838461</v>
      </c>
      <c r="J11" s="0" t="n">
        <f aca="false">J8+J10+J24</f>
        <v>419070.004459422</v>
      </c>
      <c r="K11" s="0" t="n">
        <f aca="false">K8+K10+K24</f>
        <v>429546.754570908</v>
      </c>
      <c r="L11" s="0" t="n">
        <f aca="false">L8+L10+L24</f>
        <v>440285.423435181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351549</v>
      </c>
      <c r="D13" s="0" t="n">
        <f aca="false">D11+D12</f>
        <v>330855.5475</v>
      </c>
      <c r="E13" s="0" t="n">
        <f aca="false">E11+E12</f>
        <v>329241.618</v>
      </c>
      <c r="F13" s="0" t="n">
        <f aca="false">F11+F12</f>
        <v>354346.2913725</v>
      </c>
      <c r="G13" s="0" t="n">
        <f aca="false">G11+G12</f>
        <v>376176.553965984</v>
      </c>
      <c r="H13" s="0" t="n">
        <f aca="false">H11+H12</f>
        <v>394444.898109735</v>
      </c>
      <c r="I13" s="0" t="n">
        <f aca="false">I11+I12</f>
        <v>408848.784838461</v>
      </c>
      <c r="J13" s="0" t="n">
        <f aca="false">J11+J12</f>
        <v>419070.004459422</v>
      </c>
      <c r="K13" s="0" t="n">
        <f aca="false">K11+K12</f>
        <v>429546.754570908</v>
      </c>
      <c r="L13" s="0" t="n">
        <f aca="false">L11+L12</f>
        <v>440285.423435181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10</v>
      </c>
      <c r="D14" s="4" t="n">
        <f aca="false">Assumptions!D19</f>
        <v>10</v>
      </c>
      <c r="E14" s="4" t="n">
        <f aca="false">Assumptions!E19</f>
        <v>11</v>
      </c>
      <c r="F14" s="4" t="n">
        <f aca="false">Assumptions!F19</f>
        <v>12</v>
      </c>
      <c r="G14" s="4" t="n">
        <f aca="false">Assumptions!G19</f>
        <v>13</v>
      </c>
      <c r="H14" s="4" t="n">
        <f aca="false">Assumptions!H19</f>
        <v>14</v>
      </c>
      <c r="I14" s="4" t="n">
        <f aca="false">Assumptions!I19</f>
        <v>14</v>
      </c>
      <c r="J14" s="4" t="n">
        <f aca="false">Assumptions!J19</f>
        <v>14</v>
      </c>
      <c r="K14" s="4" t="n">
        <f aca="false">Assumptions!K19</f>
        <v>14</v>
      </c>
      <c r="L14" s="4" t="n">
        <f aca="false">Assumptions!L19</f>
        <v>14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316394.1</v>
      </c>
      <c r="D15" s="0" t="n">
        <f aca="false">D13-MAX(0,D13)*D14/100</f>
        <v>297769.99275</v>
      </c>
      <c r="E15" s="0" t="n">
        <f aca="false">E13-MAX(0,E13)*E14/100</f>
        <v>293025.04002</v>
      </c>
      <c r="F15" s="0" t="n">
        <f aca="false">F13-MAX(0,F13)*F14/100</f>
        <v>311824.7364078</v>
      </c>
      <c r="G15" s="0" t="n">
        <f aca="false">G13-MAX(0,G13)*G14/100</f>
        <v>327273.601950406</v>
      </c>
      <c r="H15" s="0" t="n">
        <f aca="false">H13-MAX(0,H13)*H14/100</f>
        <v>339222.612374372</v>
      </c>
      <c r="I15" s="0" t="n">
        <f aca="false">I13-MAX(0,I13)*I14/100</f>
        <v>351609.954961076</v>
      </c>
      <c r="J15" s="0" t="n">
        <f aca="false">J13-MAX(0,J13)*J14/100</f>
        <v>360400.203835103</v>
      </c>
      <c r="K15" s="0" t="n">
        <f aca="false">K13-MAX(0,K13)*K14/100</f>
        <v>369410.208930981</v>
      </c>
      <c r="L15" s="0" t="n">
        <f aca="false">L13-MAX(0,L13)*L14/100</f>
        <v>378645.464154255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-257190.0525</v>
      </c>
      <c r="D17" s="4" t="n">
        <f aca="false">-D6*Assumptions!D18/100</f>
        <v>-255565.736325</v>
      </c>
      <c r="E17" s="4" t="n">
        <f aca="false">-E6*Assumptions!E18/100</f>
        <v>-230304.511791</v>
      </c>
      <c r="F17" s="4" t="n">
        <f aca="false">-F6*Assumptions!F18/100</f>
        <v>-198771.39582705</v>
      </c>
      <c r="G17" s="4" t="n">
        <f aca="false">-G6*Assumptions!G18/100</f>
        <v>-161539.724783554</v>
      </c>
      <c r="H17" s="4" t="n">
        <f aca="false">-H6*Assumptions!H18/100</f>
        <v>-143329.752863695</v>
      </c>
      <c r="I17" s="4" t="n">
        <f aca="false">-I6*Assumptions!I18/100</f>
        <v>-123018.056593617</v>
      </c>
      <c r="J17" s="4" t="n">
        <f aca="false">-J6*Assumptions!J18/100</f>
        <v>-126093.508008457</v>
      </c>
      <c r="K17" s="4" t="n">
        <f aca="false">-K6*Assumptions!K18/100</f>
        <v>-129245.845708669</v>
      </c>
      <c r="L17" s="4" t="n">
        <f aca="false">-L6*Assumptions!L18/100</f>
        <v>-132476.991851385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59204.0475</v>
      </c>
      <c r="D19" s="0" t="n">
        <f aca="false">D15+D16+D17+D18</f>
        <v>42204.256425</v>
      </c>
      <c r="E19" s="0" t="n">
        <f aca="false">E15+E16+E17+E18</f>
        <v>62720.528229</v>
      </c>
      <c r="F19" s="0" t="n">
        <f aca="false">F15+F16+F17+F18</f>
        <v>113053.34058075</v>
      </c>
      <c r="G19" s="0" t="n">
        <f aca="false">G15+G16+G17+G18</f>
        <v>165733.877166853</v>
      </c>
      <c r="H19" s="0" t="n">
        <f aca="false">H15+H16+H17+H18</f>
        <v>195892.859510677</v>
      </c>
      <c r="I19" s="0" t="n">
        <f aca="false">I15+I16+I17+I18</f>
        <v>228591.898367459</v>
      </c>
      <c r="J19" s="0" t="n">
        <f aca="false">J15+J16+J17+J18</f>
        <v>234306.695826646</v>
      </c>
      <c r="K19" s="0" t="n">
        <f aca="false">K15+K16+K17+K18</f>
        <v>240164.363222312</v>
      </c>
      <c r="L19" s="0" t="n">
        <f aca="false">L15+L16+L17+L18</f>
        <v>246168.47230287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54067.6232876713</v>
      </c>
      <c r="D21" s="0" t="n">
        <f aca="false">D19*D20</f>
        <v>35198.8127228373</v>
      </c>
      <c r="E21" s="0" t="n">
        <f aca="false">E19*E20</f>
        <v>47771.3318852389</v>
      </c>
      <c r="F21" s="0" t="n">
        <f aca="false">F19*F20</f>
        <v>78636.9975004203</v>
      </c>
      <c r="G21" s="0" t="n">
        <f aca="false">G19*G20</f>
        <v>105278.743850811</v>
      </c>
      <c r="H21" s="0" t="n">
        <f aca="false">H19*H20</f>
        <v>113640.697527265</v>
      </c>
      <c r="I21" s="0" t="n">
        <f aca="false">I19*I20</f>
        <v>121104.979381005</v>
      </c>
      <c r="J21" s="0" t="n">
        <f aca="false">J19*J20</f>
        <v>113363.108552996</v>
      </c>
      <c r="K21" s="0" t="n">
        <f aca="false">K19*K20</f>
        <v>106116.151841845</v>
      </c>
      <c r="L21" s="0" t="n">
        <f aca="false">L19*L20</f>
        <v>99332.470902184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874510.917452274</v>
      </c>
    </row>
    <row r="31" customFormat="false" ht="15" hidden="false" customHeight="false" outlineLevel="0" collapsed="false">
      <c r="A31" s="0" t="s">
        <v>135</v>
      </c>
      <c r="B31" s="0" t="n">
        <f aca="false">L19</f>
        <v>246168.47230287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3604609.77300631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4431032.50145166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3604609.77300631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1454511.18106769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2329022.09851997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2329022.09851997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10.4351790378716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0.0719238867870196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10.4351790378716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2018581.47288353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5.13901590292461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4</v>
      </c>
      <c r="D5" s="4" t="n">
        <f aca="false">Assumptions!D27</f>
        <v>4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795000</v>
      </c>
      <c r="C6" s="0" t="n">
        <f aca="false">B6*(1+C5/100)</f>
        <v>826800</v>
      </c>
      <c r="D6" s="0" t="n">
        <f aca="false">C6*(1+D5/100)</f>
        <v>859872</v>
      </c>
      <c r="E6" s="0" t="n">
        <f aca="false">D6*(1+E5/100)</f>
        <v>889967.52</v>
      </c>
      <c r="F6" s="0" t="n">
        <f aca="false">E6*(1+F5/100)</f>
        <v>921116.3832</v>
      </c>
      <c r="G6" s="0" t="n">
        <f aca="false">F6*(1+G5/100)</f>
        <v>953355.456612</v>
      </c>
      <c r="H6" s="0" t="n">
        <f aca="false">G6*(1+H5/100)</f>
        <v>981956.12031036</v>
      </c>
      <c r="I6" s="0" t="n">
        <f aca="false">H6*(1+I5/100)</f>
        <v>1011414.80391967</v>
      </c>
      <c r="J6" s="0" t="n">
        <f aca="false">I6*(1+J5/100)</f>
        <v>1041757.24803726</v>
      </c>
      <c r="K6" s="0" t="n">
        <f aca="false">J6*(1+K5/100)</f>
        <v>1073009.96547838</v>
      </c>
      <c r="L6" s="0" t="n">
        <f aca="false">K6*(1+L5/100)</f>
        <v>1105200.26444273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48.5</v>
      </c>
      <c r="D7" s="4" t="n">
        <f aca="false">Assumptions!D28</f>
        <v>48.5</v>
      </c>
      <c r="E7" s="4" t="n">
        <f aca="false">Assumptions!E28</f>
        <v>48</v>
      </c>
      <c r="F7" s="4" t="n">
        <f aca="false">Assumptions!F28</f>
        <v>48</v>
      </c>
      <c r="G7" s="4" t="n">
        <f aca="false">Assumptions!G28</f>
        <v>48</v>
      </c>
      <c r="H7" s="4" t="n">
        <f aca="false">Assumptions!H28</f>
        <v>47.5</v>
      </c>
      <c r="I7" s="4" t="n">
        <f aca="false">Assumptions!I28</f>
        <v>47.5</v>
      </c>
      <c r="J7" s="4" t="n">
        <f aca="false">Assumptions!J28</f>
        <v>47.5</v>
      </c>
      <c r="K7" s="4" t="n">
        <f aca="false">Assumptions!K28</f>
        <v>47.5</v>
      </c>
      <c r="L7" s="4" t="n">
        <f aca="false">Assumptions!L28</f>
        <v>47.5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400998</v>
      </c>
      <c r="D8" s="0" t="n">
        <f aca="false">D6*D7/100</f>
        <v>417037.92</v>
      </c>
      <c r="E8" s="0" t="n">
        <f aca="false">E6*E7/100</f>
        <v>427184.4096</v>
      </c>
      <c r="F8" s="0" t="n">
        <f aca="false">F6*F7/100</f>
        <v>442135.863936</v>
      </c>
      <c r="G8" s="0" t="n">
        <f aca="false">G6*G7/100</f>
        <v>457610.61917376</v>
      </c>
      <c r="H8" s="0" t="n">
        <f aca="false">H6*H7/100</f>
        <v>466429.157147421</v>
      </c>
      <c r="I8" s="0" t="n">
        <f aca="false">I6*I7/100</f>
        <v>480422.031861844</v>
      </c>
      <c r="J8" s="0" t="n">
        <f aca="false">J6*J7/100</f>
        <v>494834.692817699</v>
      </c>
      <c r="K8" s="0" t="n">
        <f aca="false">K6*K7/100</f>
        <v>509679.73360223</v>
      </c>
      <c r="L8" s="0" t="n">
        <f aca="false">L6*L7/100</f>
        <v>524970.125610297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400998</v>
      </c>
      <c r="D11" s="0" t="n">
        <f aca="false">D8+D10+D24</f>
        <v>417037.92</v>
      </c>
      <c r="E11" s="0" t="n">
        <f aca="false">E8+E10+E24</f>
        <v>427184.4096</v>
      </c>
      <c r="F11" s="0" t="n">
        <f aca="false">F8+F10+F24</f>
        <v>442135.863936</v>
      </c>
      <c r="G11" s="0" t="n">
        <f aca="false">G8+G10+G24</f>
        <v>457610.61917376</v>
      </c>
      <c r="H11" s="0" t="n">
        <f aca="false">H8+H10+H24</f>
        <v>466429.157147421</v>
      </c>
      <c r="I11" s="0" t="n">
        <f aca="false">I8+I10+I24</f>
        <v>480422.031861844</v>
      </c>
      <c r="J11" s="0" t="n">
        <f aca="false">J8+J10+J24</f>
        <v>494834.692817699</v>
      </c>
      <c r="K11" s="0" t="n">
        <f aca="false">K8+K10+K24</f>
        <v>509679.73360223</v>
      </c>
      <c r="L11" s="0" t="n">
        <f aca="false">L8+L10+L24</f>
        <v>524970.125610297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400998</v>
      </c>
      <c r="D13" s="0" t="n">
        <f aca="false">D11+D12</f>
        <v>417037.92</v>
      </c>
      <c r="E13" s="0" t="n">
        <f aca="false">E11+E12</f>
        <v>427184.4096</v>
      </c>
      <c r="F13" s="0" t="n">
        <f aca="false">F11+F12</f>
        <v>442135.863936</v>
      </c>
      <c r="G13" s="0" t="n">
        <f aca="false">G11+G12</f>
        <v>457610.61917376</v>
      </c>
      <c r="H13" s="0" t="n">
        <f aca="false">H11+H12</f>
        <v>466429.157147421</v>
      </c>
      <c r="I13" s="0" t="n">
        <f aca="false">I11+I12</f>
        <v>480422.031861844</v>
      </c>
      <c r="J13" s="0" t="n">
        <f aca="false">J11+J12</f>
        <v>494834.692817699</v>
      </c>
      <c r="K13" s="0" t="n">
        <f aca="false">K11+K12</f>
        <v>509679.73360223</v>
      </c>
      <c r="L13" s="0" t="n">
        <f aca="false">L11+L12</f>
        <v>524970.125610297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12</v>
      </c>
      <c r="D14" s="4" t="n">
        <f aca="false">Assumptions!D33</f>
        <v>12.5</v>
      </c>
      <c r="E14" s="4" t="n">
        <f aca="false">Assumptions!E33</f>
        <v>13</v>
      </c>
      <c r="F14" s="4" t="n">
        <f aca="false">Assumptions!F33</f>
        <v>13.5</v>
      </c>
      <c r="G14" s="4" t="n">
        <f aca="false">Assumptions!G33</f>
        <v>14</v>
      </c>
      <c r="H14" s="4" t="n">
        <f aca="false">Assumptions!H33</f>
        <v>14</v>
      </c>
      <c r="I14" s="4" t="n">
        <f aca="false">Assumptions!I33</f>
        <v>14</v>
      </c>
      <c r="J14" s="4" t="n">
        <f aca="false">Assumptions!J33</f>
        <v>14</v>
      </c>
      <c r="K14" s="4" t="n">
        <f aca="false">Assumptions!K33</f>
        <v>14</v>
      </c>
      <c r="L14" s="4" t="n">
        <f aca="false">Assumptions!L33</f>
        <v>14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352878.24</v>
      </c>
      <c r="D15" s="0" t="n">
        <f aca="false">D13-MAX(0,D13)*D14/100</f>
        <v>364908.18</v>
      </c>
      <c r="E15" s="0" t="n">
        <f aca="false">E13-MAX(0,E13)*E14/100</f>
        <v>371650.436352</v>
      </c>
      <c r="F15" s="0" t="n">
        <f aca="false">F13-MAX(0,F13)*F14/100</f>
        <v>382447.52230464</v>
      </c>
      <c r="G15" s="0" t="n">
        <f aca="false">G13-MAX(0,G13)*G14/100</f>
        <v>393545.132489434</v>
      </c>
      <c r="H15" s="0" t="n">
        <f aca="false">H13-MAX(0,H13)*H14/100</f>
        <v>401129.075146782</v>
      </c>
      <c r="I15" s="0" t="n">
        <f aca="false">I13-MAX(0,I13)*I14/100</f>
        <v>413162.947401185</v>
      </c>
      <c r="J15" s="0" t="n">
        <f aca="false">J13-MAX(0,J13)*J14/100</f>
        <v>425557.835823221</v>
      </c>
      <c r="K15" s="0" t="n">
        <f aca="false">K13-MAX(0,K13)*K14/100</f>
        <v>438324.570897918</v>
      </c>
      <c r="L15" s="0" t="n">
        <f aca="false">L13-MAX(0,L13)*L14/100</f>
        <v>451474.308024855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-238862.52</v>
      </c>
      <c r="D17" s="4" t="n">
        <f aca="false">-D6*Assumptions!D32/100</f>
        <v>-234831.0432</v>
      </c>
      <c r="E17" s="4" t="n">
        <f aca="false">-E6*Assumptions!E32/100</f>
        <v>-228187.672128</v>
      </c>
      <c r="F17" s="4" t="n">
        <f aca="false">-F6*Assumptions!F32/100</f>
        <v>-218857.25264832</v>
      </c>
      <c r="G17" s="4" t="n">
        <f aca="false">-G6*Assumptions!G32/100</f>
        <v>-206782.798539143</v>
      </c>
      <c r="H17" s="4" t="n">
        <f aca="false">-H6*Assumptions!H32/100</f>
        <v>-192070.617132706</v>
      </c>
      <c r="I17" s="4" t="n">
        <f aca="false">-I6*Assumptions!I32/100</f>
        <v>-174772.478117319</v>
      </c>
      <c r="J17" s="4" t="n">
        <f aca="false">-J6*Assumptions!J32/100</f>
        <v>-155117.654232748</v>
      </c>
      <c r="K17" s="4" t="n">
        <f aca="false">-K6*Assumptions!K32/100</f>
        <v>-159771.183859731</v>
      </c>
      <c r="L17" s="4" t="n">
        <f aca="false">-L6*Assumptions!L32/100</f>
        <v>-164564.319375522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114015.72</v>
      </c>
      <c r="D19" s="0" t="n">
        <f aca="false">D15+D16+D17+D18</f>
        <v>130077.1368</v>
      </c>
      <c r="E19" s="0" t="n">
        <f aca="false">E15+E16+E17+E18</f>
        <v>143462.764224</v>
      </c>
      <c r="F19" s="0" t="n">
        <f aca="false">F15+F16+F17+F18</f>
        <v>163590.26965632</v>
      </c>
      <c r="G19" s="0" t="n">
        <f aca="false">G15+G16+G17+G18</f>
        <v>186762.333950291</v>
      </c>
      <c r="H19" s="0" t="n">
        <f aca="false">H15+H16+H17+H18</f>
        <v>209058.458014076</v>
      </c>
      <c r="I19" s="0" t="n">
        <f aca="false">I15+I16+I17+I18</f>
        <v>238390.469283866</v>
      </c>
      <c r="J19" s="0" t="n">
        <f aca="false">J15+J16+J17+J18</f>
        <v>270440.181590473</v>
      </c>
      <c r="K19" s="0" t="n">
        <f aca="false">K15+K16+K17+K18</f>
        <v>278553.387038187</v>
      </c>
      <c r="L19" s="0" t="n">
        <f aca="false">L15+L16+L17+L18</f>
        <v>286909.988649333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104123.945205479</v>
      </c>
      <c r="D21" s="0" t="n">
        <f aca="false">D19*D20</f>
        <v>108485.758678927</v>
      </c>
      <c r="E21" s="0" t="n">
        <f aca="false">E19*E20</f>
        <v>109268.966898619</v>
      </c>
      <c r="F21" s="0" t="n">
        <f aca="false">F19*F20</f>
        <v>113789.186236993</v>
      </c>
      <c r="G21" s="0" t="n">
        <f aca="false">G19*G20</f>
        <v>118636.601357835</v>
      </c>
      <c r="H21" s="0" t="n">
        <f aca="false">H19*H20</f>
        <v>121278.27962713</v>
      </c>
      <c r="I21" s="0" t="n">
        <f aca="false">I19*I20</f>
        <v>126296.133298837</v>
      </c>
      <c r="J21" s="0" t="n">
        <f aca="false">J19*J20</f>
        <v>130845.341634689</v>
      </c>
      <c r="K21" s="0" t="n">
        <f aca="false">K19*K20</f>
        <v>123078.266560484</v>
      </c>
      <c r="L21" s="0" t="n">
        <f aca="false">L19*L20</f>
        <v>115772.250737259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1171574.73023625</v>
      </c>
    </row>
    <row r="31" customFormat="false" ht="15" hidden="false" customHeight="false" outlineLevel="0" collapsed="false">
      <c r="A31" s="0" t="s">
        <v>135</v>
      </c>
      <c r="B31" s="0" t="n">
        <f aca="false">L19</f>
        <v>286909.988649333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4546419.82013558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5164379.79568799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4546419.82013558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1834544.8962981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3006119.62653435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3006119.62653435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13.4689132112916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0.383555543019172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13.4689132112916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2462644.06924011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6.7451938419816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6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3.5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38</v>
      </c>
      <c r="B6" s="3" t="n">
        <v>795000</v>
      </c>
      <c r="C6" s="0" t="n">
        <f aca="false">B6*(1+C5/100)</f>
        <v>842700</v>
      </c>
      <c r="D6" s="0" t="n">
        <f aca="false">C6*(1+D5/100)</f>
        <v>889048.5</v>
      </c>
      <c r="E6" s="0" t="n">
        <f aca="false">D6*(1+E5/100)</f>
        <v>933500.925</v>
      </c>
      <c r="F6" s="0" t="n">
        <f aca="false">E6*(1+F5/100)</f>
        <v>975508.466625</v>
      </c>
      <c r="G6" s="0" t="n">
        <f aca="false">F6*(1+G5/100)</f>
        <v>1014528.80529</v>
      </c>
      <c r="H6" s="0" t="n">
        <f aca="false">G6*(1+H5/100)</f>
        <v>1055109.9575016</v>
      </c>
      <c r="I6" s="0" t="n">
        <f aca="false">H6*(1+I5/100)</f>
        <v>1092038.80601416</v>
      </c>
      <c r="J6" s="0" t="n">
        <f aca="false">I6*(1+J5/100)</f>
        <v>1130260.16422465</v>
      </c>
      <c r="K6" s="0" t="n">
        <f aca="false">J6*(1+K5/100)</f>
        <v>1169819.26997251</v>
      </c>
      <c r="L6" s="0" t="n">
        <f aca="false">K6*(1+L5/100)</f>
        <v>1210762.94442155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50</v>
      </c>
      <c r="D7" s="4" t="n">
        <f aca="false">Assumptions!D42</f>
        <v>51</v>
      </c>
      <c r="E7" s="4" t="n">
        <f aca="false">Assumptions!E42</f>
        <v>51.5</v>
      </c>
      <c r="F7" s="4" t="n">
        <f aca="false">Assumptions!F42</f>
        <v>52</v>
      </c>
      <c r="G7" s="4" t="n">
        <f aca="false">Assumptions!G42</f>
        <v>52</v>
      </c>
      <c r="H7" s="4" t="n">
        <f aca="false">Assumptions!H42</f>
        <v>52</v>
      </c>
      <c r="I7" s="4" t="n">
        <f aca="false">Assumptions!I42</f>
        <v>51.5</v>
      </c>
      <c r="J7" s="4" t="n">
        <f aca="false">Assumptions!J42</f>
        <v>51.5</v>
      </c>
      <c r="K7" s="4" t="n">
        <f aca="false">Assumptions!K42</f>
        <v>51.5</v>
      </c>
      <c r="L7" s="4" t="n">
        <f aca="false">Assumptions!L42</f>
        <v>51.5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421350</v>
      </c>
      <c r="D8" s="0" t="n">
        <f aca="false">D6*D7/100</f>
        <v>453414.735</v>
      </c>
      <c r="E8" s="0" t="n">
        <f aca="false">E6*E7/100</f>
        <v>480752.976375</v>
      </c>
      <c r="F8" s="0" t="n">
        <f aca="false">F6*F7/100</f>
        <v>507264.402645</v>
      </c>
      <c r="G8" s="0" t="n">
        <f aca="false">G6*G7/100</f>
        <v>527554.9787508</v>
      </c>
      <c r="H8" s="0" t="n">
        <f aca="false">H6*H7/100</f>
        <v>548657.177900832</v>
      </c>
      <c r="I8" s="0" t="n">
        <f aca="false">I6*I7/100</f>
        <v>562399.98509729</v>
      </c>
      <c r="J8" s="0" t="n">
        <f aca="false">J6*J7/100</f>
        <v>582083.984575696</v>
      </c>
      <c r="K8" s="0" t="n">
        <f aca="false">K6*K7/100</f>
        <v>602456.924035845</v>
      </c>
      <c r="L8" s="0" t="n">
        <f aca="false">L6*L7/100</f>
        <v>623542.916377099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421350</v>
      </c>
      <c r="D11" s="0" t="n">
        <f aca="false">D8+D10+D24</f>
        <v>453414.735</v>
      </c>
      <c r="E11" s="0" t="n">
        <f aca="false">E8+E10+E24</f>
        <v>480752.976375</v>
      </c>
      <c r="F11" s="0" t="n">
        <f aca="false">F8+F10+F24</f>
        <v>507264.402645</v>
      </c>
      <c r="G11" s="0" t="n">
        <f aca="false">G8+G10+G24</f>
        <v>527554.9787508</v>
      </c>
      <c r="H11" s="0" t="n">
        <f aca="false">H8+H10+H24</f>
        <v>548657.177900832</v>
      </c>
      <c r="I11" s="0" t="n">
        <f aca="false">I8+I10+I24</f>
        <v>562399.98509729</v>
      </c>
      <c r="J11" s="0" t="n">
        <f aca="false">J8+J10+J24</f>
        <v>582083.984575696</v>
      </c>
      <c r="K11" s="0" t="n">
        <f aca="false">K8+K10+K24</f>
        <v>602456.924035845</v>
      </c>
      <c r="L11" s="0" t="n">
        <f aca="false">L8+L10+L24</f>
        <v>623542.916377099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421350</v>
      </c>
      <c r="D13" s="0" t="n">
        <f aca="false">D11+D12</f>
        <v>453414.735</v>
      </c>
      <c r="E13" s="0" t="n">
        <f aca="false">E11+E12</f>
        <v>480752.976375</v>
      </c>
      <c r="F13" s="0" t="n">
        <f aca="false">F11+F12</f>
        <v>507264.402645</v>
      </c>
      <c r="G13" s="0" t="n">
        <f aca="false">G11+G12</f>
        <v>527554.9787508</v>
      </c>
      <c r="H13" s="0" t="n">
        <f aca="false">H11+H12</f>
        <v>548657.177900832</v>
      </c>
      <c r="I13" s="0" t="n">
        <f aca="false">I11+I12</f>
        <v>562399.98509729</v>
      </c>
      <c r="J13" s="0" t="n">
        <f aca="false">J11+J12</f>
        <v>582083.984575696</v>
      </c>
      <c r="K13" s="0" t="n">
        <f aca="false">K11+K12</f>
        <v>602456.924035845</v>
      </c>
      <c r="L13" s="0" t="n">
        <f aca="false">L11+L12</f>
        <v>623542.916377099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12</v>
      </c>
      <c r="D14" s="4" t="n">
        <f aca="false">Assumptions!D47</f>
        <v>12.5</v>
      </c>
      <c r="E14" s="4" t="n">
        <f aca="false">Assumptions!E47</f>
        <v>13</v>
      </c>
      <c r="F14" s="4" t="n">
        <f aca="false">Assumptions!F47</f>
        <v>13.5</v>
      </c>
      <c r="G14" s="4" t="n">
        <f aca="false">Assumptions!G47</f>
        <v>14</v>
      </c>
      <c r="H14" s="4" t="n">
        <f aca="false">Assumptions!H47</f>
        <v>14</v>
      </c>
      <c r="I14" s="4" t="n">
        <f aca="false">Assumptions!I47</f>
        <v>14</v>
      </c>
      <c r="J14" s="4" t="n">
        <f aca="false">Assumptions!J47</f>
        <v>14</v>
      </c>
      <c r="K14" s="4" t="n">
        <f aca="false">Assumptions!K47</f>
        <v>14</v>
      </c>
      <c r="L14" s="4" t="n">
        <f aca="false">Assumptions!L47</f>
        <v>14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370788</v>
      </c>
      <c r="D15" s="0" t="n">
        <f aca="false">D13-MAX(0,D13)*D14/100</f>
        <v>396737.893125</v>
      </c>
      <c r="E15" s="0" t="n">
        <f aca="false">E13-MAX(0,E13)*E14/100</f>
        <v>418255.08944625</v>
      </c>
      <c r="F15" s="0" t="n">
        <f aca="false">F13-MAX(0,F13)*F14/100</f>
        <v>438783.708287925</v>
      </c>
      <c r="G15" s="0" t="n">
        <f aca="false">G13-MAX(0,G13)*G14/100</f>
        <v>453697.281725688</v>
      </c>
      <c r="H15" s="0" t="n">
        <f aca="false">H13-MAX(0,H13)*H14/100</f>
        <v>471845.172994716</v>
      </c>
      <c r="I15" s="0" t="n">
        <f aca="false">I13-MAX(0,I13)*I14/100</f>
        <v>483663.98718367</v>
      </c>
      <c r="J15" s="0" t="n">
        <f aca="false">J13-MAX(0,J13)*J14/100</f>
        <v>500592.226735098</v>
      </c>
      <c r="K15" s="0" t="n">
        <f aca="false">K13-MAX(0,K13)*K14/100</f>
        <v>518112.954670827</v>
      </c>
      <c r="L15" s="0" t="n">
        <f aca="false">L13-MAX(0,L13)*L14/100</f>
        <v>536246.908084306</v>
      </c>
    </row>
    <row r="16" customFormat="false" ht="15" hidden="false" customHeight="false" outlineLevel="0" collapsed="false">
      <c r="A16" s="0" t="s">
        <v>126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-257192.04</v>
      </c>
      <c r="D17" s="4" t="n">
        <f aca="false">-D6*Assumptions!D46/100</f>
        <v>-255601.44375</v>
      </c>
      <c r="E17" s="4" t="n">
        <f aca="false">-E6*Assumptions!E46/100</f>
        <v>-251298.44901</v>
      </c>
      <c r="F17" s="4" t="n">
        <f aca="false">-F6*Assumptions!F46/100</f>
        <v>-244169.769196238</v>
      </c>
      <c r="G17" s="4" t="n">
        <f aca="false">-G6*Assumptions!G46/100</f>
        <v>-234153.248260932</v>
      </c>
      <c r="H17" s="4" t="n">
        <f aca="false">-H6*Assumptions!H46/100</f>
        <v>-221256.558088086</v>
      </c>
      <c r="I17" s="4" t="n">
        <f aca="false">-I6*Assumptions!I46/100</f>
        <v>-205521.703291864</v>
      </c>
      <c r="J17" s="4" t="n">
        <f aca="false">-J6*Assumptions!J46/100</f>
        <v>-187058.05717918</v>
      </c>
      <c r="K17" s="4" t="n">
        <f aca="false">-K6*Assumptions!K46/100</f>
        <v>-193605.089180451</v>
      </c>
      <c r="L17" s="4" t="n">
        <f aca="false">-L6*Assumptions!L46/100</f>
        <v>-200381.267301767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113595.96</v>
      </c>
      <c r="D19" s="0" t="n">
        <f aca="false">D15+D16+D17+D18</f>
        <v>141136.449375</v>
      </c>
      <c r="E19" s="0" t="n">
        <f aca="false">E15+E16+E17+E18</f>
        <v>166956.64043625</v>
      </c>
      <c r="F19" s="0" t="n">
        <f aca="false">F15+F16+F17+F18</f>
        <v>194613.939091687</v>
      </c>
      <c r="G19" s="0" t="n">
        <f aca="false">G15+G16+G17+G18</f>
        <v>219544.033464756</v>
      </c>
      <c r="H19" s="0" t="n">
        <f aca="false">H15+H16+H17+H18</f>
        <v>250588.61490663</v>
      </c>
      <c r="I19" s="0" t="n">
        <f aca="false">I15+I16+I17+I18</f>
        <v>278142.283891806</v>
      </c>
      <c r="J19" s="0" t="n">
        <f aca="false">J15+J16+J17+J18</f>
        <v>313534.169555918</v>
      </c>
      <c r="K19" s="0" t="n">
        <f aca="false">K15+K16+K17+K18</f>
        <v>324507.865490375</v>
      </c>
      <c r="L19" s="0" t="n">
        <f aca="false">L15+L16+L17+L18</f>
        <v>335865.640782539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103740.602739726</v>
      </c>
      <c r="D21" s="0" t="n">
        <f aca="false">D19*D20</f>
        <v>117709.346656659</v>
      </c>
      <c r="E21" s="0" t="n">
        <f aca="false">E19*E20</f>
        <v>127163.168199162</v>
      </c>
      <c r="F21" s="0" t="n">
        <f aca="false">F19*F20</f>
        <v>135368.453185768</v>
      </c>
      <c r="G21" s="0" t="n">
        <f aca="false">G19*G20</f>
        <v>139460.44380438</v>
      </c>
      <c r="H21" s="0" t="n">
        <f aca="false">H19*H20</f>
        <v>145370.61259667</v>
      </c>
      <c r="I21" s="0" t="n">
        <f aca="false">I19*I20</f>
        <v>147356.121526037</v>
      </c>
      <c r="J21" s="0" t="n">
        <f aca="false">J19*J20</f>
        <v>151695.229933753</v>
      </c>
      <c r="K21" s="0" t="n">
        <f aca="false">K19*K20</f>
        <v>143383.162540123</v>
      </c>
      <c r="L21" s="0" t="n">
        <f aca="false">L19*L20</f>
        <v>135526.550894088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1346773.69207637</v>
      </c>
    </row>
    <row r="31" customFormat="false" ht="15" hidden="false" customHeight="false" outlineLevel="0" collapsed="false">
      <c r="A31" s="0" t="s">
        <v>135</v>
      </c>
      <c r="B31" s="0" t="n">
        <f aca="false">L19</f>
        <v>335865.640782539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5793682.30349879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6045581.5340857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5793682.30349879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2337833.00292303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3684606.69499939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3684606.69499939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16.5088732180312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0.695826730152153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16.5088732180312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3022790.76704285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7.94637701148949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10.4351790378716</v>
      </c>
      <c r="C4" s="0" t="n">
        <f aca="false">B4/Assumptions!$B$2-1</f>
        <v>0.0719238867870196</v>
      </c>
      <c r="D4" s="4" t="n">
        <f aca="false">Assumptions!$B$24</f>
        <v>0.3</v>
      </c>
      <c r="E4" s="4" t="n">
        <f aca="false">DCF_Bear!$B$43</f>
        <v>10.4351790378716</v>
      </c>
      <c r="F4" s="4" t="n">
        <f aca="false">DCF_Bear!$B$47</f>
        <v>5.13901590292461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13.4689132112916</v>
      </c>
      <c r="C5" s="0" t="n">
        <f aca="false">B5/Assumptions!$B$2-1</f>
        <v>0.383555543019172</v>
      </c>
      <c r="D5" s="4" t="n">
        <f aca="false">Assumptions!$B$38</f>
        <v>0.5</v>
      </c>
      <c r="E5" s="4" t="n">
        <f aca="false">DCF_Base!$B$43</f>
        <v>13.4689132112916</v>
      </c>
      <c r="F5" s="4" t="n">
        <f aca="false">DCF_Base!$B$47</f>
        <v>6.7451938419816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16.5088732180312</v>
      </c>
      <c r="C6" s="0" t="n">
        <f aca="false">B6/Assumptions!$B$2-1</f>
        <v>0.695826730152153</v>
      </c>
      <c r="D6" s="4" t="n">
        <f aca="false">Assumptions!$B$52</f>
        <v>0.2</v>
      </c>
      <c r="E6" s="4" t="n">
        <f aca="false">DCF_Bull!$B$43</f>
        <v>16.5088732180312</v>
      </c>
      <c r="F6" s="4" t="n">
        <f aca="false">DCF_Bull!$B$47</f>
        <v>7.94637701148949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13.1667849606136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13.1667849606136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0.260639554065721</v>
      </c>
    </row>
    <row r="11" customFormat="false" ht="15" hidden="false" customHeight="false" outlineLevel="0" collapsed="false">
      <c r="A11" s="0" t="s">
        <v>162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6.50357709416608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14.7088858825675</v>
      </c>
      <c r="C15" s="3" t="n">
        <v>9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13.4689132112916</v>
      </c>
      <c r="C16" s="3" t="n">
        <v>9.5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12.4088662736328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10.6932766640488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9.36675119774163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6.7451938419816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17.0603979539255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17.0603979539255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17.0603979539255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17.0603979539255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17.0603979539255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14.4524277493502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15.2433061545614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15.7644840897928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15.7644840897928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15.7644840897928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12.3037942472493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12.8447423376975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13.4689132112916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14.1971125638181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14.586150574072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10.6716938789605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11.0565270976575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11.4926714121808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11.9911220573503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12.5662574171612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9.39233620779745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9.67456547418135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9.98999818366923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10.3448599818431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10.7470366864402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2026-10-11T11:30:04Z</dcterms:created>
  <dc:creator>openpyxl</dc:creator>
  <dc:description/>
  <dc:language>en-NZ</dc:language>
  <cp:lastModifiedBy/>
  <dcterms:modified xsi:type="dcterms:W3CDTF">2026-10-11T11:30:04Z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