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<sst xmlns="http://schemas.openxmlformats.org/spreadsheetml/2006/main" count="389" uniqueCount="174">
  <si>
    <t xml:space="preserve">Ticker</t>
  </si>
  <si>
    <t xml:space="preserve">PRU</t>
  </si>
  <si>
    <t xml:space="preserve">Company</t>
  </si>
  <si>
    <t xml:space="preserve">Prudential Financial,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</si>
  <si>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</si>
  <si>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</si>
  <si>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</si>
  <si>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</si>
  <si>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Finance chart API)</t>
  </si>
  <si>
    <t xml:space="preserve">Balance sheet date</t>
  </si>
  <si>
    <t xml:space="preserve">2026-06-30</t>
  </si>
  <si>
    <t xml:space="preserve">Model</t>
  </si>
  <si>
    <t xml:space="preserve">Life insurer FCFE at cost of equity, net debt held at zero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</si>
  <si>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</si>
  <si>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</si>
  <si>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</si>
  <si>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</si>
  <si>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</si>
  <si>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</si>
  <si>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</si>
  <si>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</si>
  <si>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2026-10-02T07:40:56Z</t>
  </si>
  <si>
    <t xml:space="preserve">Drivers file</t>
  </si>
  <si>
    <t xml:space="preserve">PRU_Drivers.json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</si>
  <si>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</si>
  <si>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</si>
  <si>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</si>
  <si>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PRU on the cash its holding company can actually return to shareholders (FCFE), discounted at a 10% cost of equity with debt held inside the flows. Earnings are built from adjusted operating income -- the right measure of what the businesses earn in a year -- but the cash conversion is set to what PRU has actually distributed (~57% of AOI), so the AOI-to-GAAP gap is priced in rather than ignored. The two live events, the Prudential of Japan suspension and the August 2026 emerging-markets exit and cost programme, are modelled explicitly using management's own disclosed figures, haircut in base and stressed in bear. Adjusted book ($100.91) and operating ROE (~15%) are a cross-check, not the driver.
key_risks_to_valuation: Prudential of Japan: suspension extended past 5 Nov 2026 costs $50-60M pre-tax per month; regulatory penalties or spillover to Gibraltar Life are not in base; Divestiture execution: the &gt;$3bn capital unlock is treated as value-neutral; selling below value or slowly destroys value the base case does not subtract; Interest rates and spreads: Retirement and International spread income are rate-sensitive in both directions; legacy VA/GUL blocks carry equity-market and policyholder-behaviour risk; Earnings quality: GAAP NI has run 25-45% below AOI (realized/credit losses, MRB marks); if more of that gap is economic, the 57% conversion is too high; Yen: Japan earnings and capital translate at the prevailing JPY/USD rate; PGIM flows: affiliated outflows (-$3.0bn in Q2-2026) and the industry shift away from active equity pressure fees</t>
  </si>
  <si>
    <t xml:space="preserve">Data sources</t>
  </si>
  <si>
    <t xml:space="preserve">price: Yahoo Finance chart API at inputs.price_as_of; 52-week range 91.89-127.72
financials: PRU_Metrics.csv (SEC XBRL, FY2006-Q2 2026); Q2-2026 earnings release and Quarterly Financial Supplement (8-K filed 2026-08-04, Ex 99.1 and 99.2: AOI by quarter, adjusted revenues, adjusted book value, debt by use, distributions); Q2-2026 10-Q filed 2026-08-05 (Japan suspension impact estimates, strategy, PICA RBC 415%, holdco highly liquid assets sources and uses, share count at 31 July 2026, NCI).
qualitative: PRU_Analysis.json (2026-10-02): August 2026 strategic overhaul, Japan suspension timeline, guidance (Corporate &amp; Other loss $1.55bn, PGIM +200bp margin, $750M saves by 2028, &gt;$3bn capital unlock).</t>
  </si>
  <si>
    <t xml:space="preserve">Scenario narrative: bear</t>
  </si>
  <si>
    <t xml:space="preserve">Japan proves a longer and wider governance problem, the divestiture programme drags or sells cheaply, and lower rates and a credit cycle compress spreads and PGIM flows. Earnings stall near today's level and conversion stays in the mid-50s.</t>
  </si>
  <si>
    <t xml:space="preserve">Scenario narrative: base</t>
  </si>
  <si>
    <t xml:space="preserve">A US-centred life, retirement and asset-management franchise working through a bad year in Japan. AOI absorbs a ~$550M pre-tax Japan hit in 2026 and ~$425M in 2027, then recovers; half the $750M cost programme sticks; conversion of AOI into distributable cash edges up from 57% to 63% as emerging-market units are sold at roughly what they are worth. That is worth more than the price at a 10% cost of equity, and most of the gap comes from the market applying a GAAP-earnings (not AOI) multiple and a governance discount.</t>
  </si>
  <si>
    <t xml:space="preserve">Scenario narrative: bull</t>
  </si>
  <si>
    <t xml:space="preserve">The strategic reset works as pitched: Japan resumes on schedule, the full cost programme drops through, PGIM grows toward a quarter of earnings, and the EM exits release more than $3bn at premium prices into a business that converts 70% of earnings to cash. PRU re-rates toward MET.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</si>
  <si>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</si>
  <si>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</si>
  <si>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</si>
  <si>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</si>
  <si>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</si>
  <si>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</si>
  <si>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</si>
  <si>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</si>
  <si>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</si>
  <si>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</si>
  <si>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</si>
  <si>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</si>
  <si>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</si>
  <si>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</si>
  <si>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</si>
  <si>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</si>
  <si>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</si>
  <si>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</si>
  <si>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</si>
  <si>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</si>
  <si>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</si>
  <si>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</si>
  <si>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</si>
  <si>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</si>
  <si>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</si>
  <si>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</si>
  <si>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</si>
  <si>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</si>
  <si>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</si>
  <si>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</si>
  <si>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</si>
  <si>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</si>
  <si>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</si>
  <si>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</si>
  <si>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</si>
  <si>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</si>
  <si>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</si>
  <si>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</si>
  <si>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</si>
  <si>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</si>
  <si>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</si>
  <si>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</si>
  <si>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</si>
  <si>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</si>
  <si>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</si>
  <si>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</si>
  <si>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</si>
  <si>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</si>
  <si>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</si>
  <si>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</si>
  <si>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</si>
  <si>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</si>
  <si>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</si>
  <si>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</si>
  <si>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</si>
  <si>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</si>
  <si>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</si>
  <si>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</si>
  <si>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</si>
  <si>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</si>
  <si>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</si>
  <si>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</si>
  <si>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</si>
  <si>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</si>
  <si>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</si>
  <si>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</si>
  <si>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</si>
  <si>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</si>
  <si>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</si>
  <si>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</si>
  <si>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</si>
  <si>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</si>
  <si>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</si>
  <si>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</si>
  <si>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</si>
  <si>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</si>
  <si>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</si>
  <si>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</si>
  <si>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</si>
  <si>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</si>
  <si>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</si>
  <si>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</si>
  <si>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</si>
  <si>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</si>
  <si>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PRU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</si>
  <si>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</si>
  <si>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</si>
  <si>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</si>
  <si>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</si>
  <si>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</si>
  <si>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</si>
  <si>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</si>
  <si>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</si>
  <si>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</si>
  <si>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</si>
  <si>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</si>
  <si>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</si>
  <si>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</si>
  <si>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</si>
  <si>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</si>
  <si>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</si>
  <si>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</si>
  <si>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</si>
  <si>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</si>
  <si>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</si>
  <si>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</si>
  <si>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</si>
  <si>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</si>
  <si>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</si>
  <si>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</si>
  <si>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</si>
  <si>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</si>
  <si>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</si>
  <si>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</si>
  <si>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</si>
  <si>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PRU owner-FCF component DCF: base case (millions, USD)</t>
  </si>
  <si>
    <t xml:space="preserve">PRU owner-FCF component DCF: bull case (millions, USD)</t>
  </si>
  <si>
    <t xml:space="preserve">PRU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</si>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</sst>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113.13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23261</v>
      </c>
      <c r="S2" s="0" t="n">
        <v>8589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34377</v>
      </c>
      <c r="I3" s="0" t="n">
        <v>3729</v>
      </c>
      <c r="J3" s="0" t="n">
        <v>10.8473688803561</v>
      </c>
      <c r="K3" s="0" t="n">
        <v>7.61</v>
      </c>
      <c r="L3" s="0" t="n">
        <v>5992</v>
      </c>
      <c r="O3" s="0" t="n">
        <v>23923</v>
      </c>
      <c r="S3" s="0" t="n">
        <v>11060</v>
      </c>
      <c r="V3" s="0" t="n">
        <v>1.15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28990</v>
      </c>
      <c r="I4" s="0" t="n">
        <v>-1117</v>
      </c>
      <c r="J4" s="0" t="n">
        <v>-3.85305277681959</v>
      </c>
      <c r="K4" s="0" t="n">
        <v>-2.53</v>
      </c>
      <c r="L4" s="0" t="n">
        <v>10855</v>
      </c>
      <c r="O4" s="0" t="n">
        <v>13786</v>
      </c>
      <c r="P4" s="0" t="n">
        <v>445011</v>
      </c>
      <c r="Q4" s="0" t="n">
        <v>431225</v>
      </c>
      <c r="R4" s="0" t="n">
        <v>30825</v>
      </c>
      <c r="S4" s="0" t="n">
        <v>15028</v>
      </c>
      <c r="U4" s="0" t="n">
        <v>91</v>
      </c>
      <c r="V4" s="0" t="n">
        <v>0.58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32380</v>
      </c>
      <c r="I5" s="0" t="n">
        <v>3124</v>
      </c>
      <c r="J5" s="0" t="n">
        <v>9.64793082149475</v>
      </c>
      <c r="K5" s="0" t="n">
        <v>7.68</v>
      </c>
      <c r="L5" s="0" t="n">
        <v>5840</v>
      </c>
      <c r="O5" s="0" t="n">
        <v>25729</v>
      </c>
      <c r="P5" s="0" t="n">
        <v>480203</v>
      </c>
      <c r="Q5" s="0" t="n">
        <v>454474</v>
      </c>
      <c r="R5" s="0" t="n">
        <v>24159</v>
      </c>
      <c r="S5" s="0" t="n">
        <v>13164</v>
      </c>
      <c r="U5" s="0" t="n">
        <v>153</v>
      </c>
      <c r="V5" s="0" t="n">
        <v>0.7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38217</v>
      </c>
      <c r="I6" s="0" t="n">
        <v>3012</v>
      </c>
      <c r="J6" s="0" t="n">
        <v>7.8813093649423</v>
      </c>
      <c r="L6" s="0" t="n">
        <v>6542</v>
      </c>
      <c r="O6" s="0" t="n">
        <v>30048</v>
      </c>
      <c r="P6" s="0" t="n">
        <v>539854</v>
      </c>
      <c r="Q6" s="0" t="n">
        <v>506926</v>
      </c>
      <c r="R6" s="0" t="n">
        <v>25635</v>
      </c>
      <c r="S6" s="0" t="n">
        <v>12915</v>
      </c>
      <c r="U6" s="0" t="n">
        <v>134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49085</v>
      </c>
      <c r="I7" s="0" t="n">
        <v>3666</v>
      </c>
      <c r="J7" s="0" t="n">
        <v>7.46867678516859</v>
      </c>
      <c r="L7" s="0" t="n">
        <v>12377</v>
      </c>
      <c r="O7" s="0" t="n">
        <v>34639</v>
      </c>
      <c r="P7" s="0" t="n">
        <v>620244</v>
      </c>
      <c r="Q7" s="0" t="n">
        <v>585403</v>
      </c>
      <c r="R7" s="0" t="n">
        <v>26958</v>
      </c>
      <c r="S7" s="0" t="n">
        <v>14251</v>
      </c>
      <c r="U7" s="0" t="n">
        <v>141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84847</v>
      </c>
      <c r="I8" s="0" t="n">
        <v>570</v>
      </c>
      <c r="J8" s="0" t="n">
        <v>0.671797470741452</v>
      </c>
      <c r="L8" s="0" t="n">
        <v>20909</v>
      </c>
      <c r="O8" s="0" t="n">
        <v>39112</v>
      </c>
      <c r="P8" s="0" t="n">
        <v>709235</v>
      </c>
      <c r="Q8" s="0" t="n">
        <v>670123</v>
      </c>
      <c r="R8" s="0" t="n">
        <v>27213</v>
      </c>
      <c r="S8" s="0" t="n">
        <v>18100</v>
      </c>
      <c r="U8" s="0" t="n">
        <v>155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41461</v>
      </c>
      <c r="I9" s="0" t="n">
        <v>-667</v>
      </c>
      <c r="J9" s="0" t="n">
        <v>-1.60874074431393</v>
      </c>
      <c r="K9" s="0" t="n">
        <v>-1.55</v>
      </c>
      <c r="L9" s="0" t="n">
        <v>8445</v>
      </c>
      <c r="O9" s="0" t="n">
        <v>35881</v>
      </c>
      <c r="P9" s="0" t="n">
        <v>731781</v>
      </c>
      <c r="Q9" s="0" t="n">
        <v>695900</v>
      </c>
      <c r="R9" s="0" t="n">
        <v>26222</v>
      </c>
      <c r="S9" s="0" t="n">
        <v>11439</v>
      </c>
      <c r="U9" s="0" t="n">
        <v>217</v>
      </c>
      <c r="V9" s="0" t="n">
        <v>1.73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54105</v>
      </c>
      <c r="I10" s="0" t="n">
        <v>1438</v>
      </c>
      <c r="J10" s="0" t="n">
        <v>2.65779502818594</v>
      </c>
      <c r="K10" s="0" t="n">
        <v>3.25</v>
      </c>
      <c r="L10" s="0" t="n">
        <v>19396</v>
      </c>
      <c r="O10" s="0" t="n">
        <v>42349</v>
      </c>
      <c r="P10" s="0" t="n">
        <v>766655</v>
      </c>
      <c r="Q10" s="0" t="n">
        <v>724306</v>
      </c>
      <c r="R10" s="0" t="n">
        <v>23670</v>
      </c>
      <c r="S10" s="0" t="n">
        <v>14918</v>
      </c>
      <c r="U10" s="0" t="n">
        <v>166</v>
      </c>
      <c r="V10" s="0" t="n">
        <v>2.17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57119</v>
      </c>
      <c r="I11" s="0" t="n">
        <v>5712</v>
      </c>
      <c r="J11" s="0" t="n">
        <v>10.000175073093</v>
      </c>
      <c r="K11" s="0" t="n">
        <v>12.37</v>
      </c>
      <c r="L11" s="0" t="n">
        <v>13942</v>
      </c>
      <c r="O11" s="0" t="n">
        <v>41923</v>
      </c>
      <c r="P11" s="0" t="n">
        <v>757255</v>
      </c>
      <c r="Q11" s="0" t="n">
        <v>715332</v>
      </c>
      <c r="R11" s="0" t="n">
        <v>20810</v>
      </c>
      <c r="S11" s="0" t="n">
        <v>17612</v>
      </c>
      <c r="T11" s="0" t="n">
        <v>460.4</v>
      </c>
      <c r="U11" s="0" t="n">
        <v>164</v>
      </c>
      <c r="V11" s="0" t="n">
        <v>2.44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58779</v>
      </c>
      <c r="I12" s="0" t="n">
        <v>4419</v>
      </c>
      <c r="J12" s="0" t="n">
        <v>7.51799111927729</v>
      </c>
      <c r="K12" s="0" t="n">
        <v>9.85</v>
      </c>
      <c r="L12" s="0" t="n">
        <v>14876</v>
      </c>
      <c r="O12" s="0" t="n">
        <v>46255</v>
      </c>
      <c r="P12" s="0" t="n">
        <v>783962</v>
      </c>
      <c r="Q12" s="0" t="n">
        <v>737874</v>
      </c>
      <c r="R12" s="0" t="n">
        <v>19174</v>
      </c>
      <c r="S12" s="0" t="n">
        <v>14127</v>
      </c>
      <c r="T12" s="0" t="n">
        <v>446.6</v>
      </c>
      <c r="U12" s="0" t="n">
        <v>202</v>
      </c>
      <c r="V12" s="0" t="n">
        <v>2.8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59689</v>
      </c>
      <c r="I13" s="0" t="n">
        <v>7974</v>
      </c>
      <c r="J13" s="0" t="n">
        <v>13.3592454221046</v>
      </c>
      <c r="K13" s="0" t="n">
        <v>18.19</v>
      </c>
      <c r="L13" s="0" t="n">
        <v>13460</v>
      </c>
      <c r="O13" s="0" t="n">
        <v>54511</v>
      </c>
      <c r="P13" s="0" t="n">
        <v>832136</v>
      </c>
      <c r="Q13" s="0" t="n">
        <v>777625</v>
      </c>
      <c r="R13" s="0" t="n">
        <v>18552</v>
      </c>
      <c r="S13" s="0" t="n">
        <v>14490</v>
      </c>
      <c r="T13" s="0" t="n">
        <v>436</v>
      </c>
      <c r="U13" s="0" t="n">
        <v>263</v>
      </c>
      <c r="V13" s="0" t="n">
        <v>3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62992</v>
      </c>
      <c r="I14" s="0" t="n">
        <v>4088</v>
      </c>
      <c r="J14" s="0" t="n">
        <v>6.48971297942596</v>
      </c>
      <c r="K14" s="0" t="n">
        <v>9.64</v>
      </c>
      <c r="L14" s="0" t="n">
        <v>21664</v>
      </c>
      <c r="O14" s="0" t="n">
        <v>49031</v>
      </c>
      <c r="P14" s="0" t="n">
        <v>815078</v>
      </c>
      <c r="Q14" s="0" t="n">
        <v>766047</v>
      </c>
      <c r="R14" s="0" t="n">
        <v>19829</v>
      </c>
      <c r="S14" s="0" t="n">
        <v>15353</v>
      </c>
      <c r="T14" s="0" t="n">
        <v>426.2</v>
      </c>
      <c r="U14" s="0" t="n">
        <v>155</v>
      </c>
      <c r="V14" s="0" t="n">
        <v>3.6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64807</v>
      </c>
      <c r="I15" s="0" t="n">
        <v>4238</v>
      </c>
      <c r="J15" s="0" t="n">
        <v>6.5394170382829</v>
      </c>
      <c r="K15" s="0" t="n">
        <v>10.23</v>
      </c>
      <c r="L15" s="0" t="n">
        <v>19625</v>
      </c>
      <c r="O15" s="0" t="n">
        <v>63719</v>
      </c>
      <c r="P15" s="0" t="n">
        <v>896552</v>
      </c>
      <c r="Q15" s="0" t="n">
        <v>832833</v>
      </c>
      <c r="R15" s="0" t="n">
        <v>20579</v>
      </c>
      <c r="S15" s="0" t="n">
        <v>16327</v>
      </c>
      <c r="T15" s="0" t="n">
        <v>410.9</v>
      </c>
      <c r="U15" s="0" t="n">
        <v>231</v>
      </c>
      <c r="V15" s="0" t="n">
        <v>4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57033</v>
      </c>
      <c r="I16" s="0" t="n">
        <v>-374</v>
      </c>
      <c r="J16" s="0" t="n">
        <v>-0.655760699945646</v>
      </c>
      <c r="K16" s="0" t="n">
        <v>-1</v>
      </c>
      <c r="L16" s="0" t="n">
        <v>8368</v>
      </c>
      <c r="O16" s="0" t="n">
        <v>68210</v>
      </c>
      <c r="P16" s="0" t="n">
        <v>940722</v>
      </c>
      <c r="Q16" s="0" t="n">
        <v>872512</v>
      </c>
      <c r="R16" s="0" t="n">
        <v>20643</v>
      </c>
      <c r="S16" s="0" t="n">
        <v>13701</v>
      </c>
      <c r="T16" s="0" t="n">
        <v>395.8</v>
      </c>
      <c r="U16" s="0" t="n">
        <v>226</v>
      </c>
      <c r="V16" s="0" t="n">
        <v>4.4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71247</v>
      </c>
      <c r="I17" s="0" t="n">
        <v>8938</v>
      </c>
      <c r="J17" s="0" t="n">
        <v>12.5450896178085</v>
      </c>
      <c r="K17" s="0" t="n">
        <v>22.56</v>
      </c>
      <c r="L17" s="0" t="n">
        <v>9812</v>
      </c>
      <c r="O17" s="0" t="n">
        <v>29983</v>
      </c>
      <c r="P17" s="0" t="n">
        <v>937582</v>
      </c>
      <c r="Q17" s="0" t="n">
        <v>874974</v>
      </c>
      <c r="R17" s="0" t="n">
        <v>19344</v>
      </c>
      <c r="S17" s="0" t="n">
        <v>12888</v>
      </c>
      <c r="T17" s="0" t="n">
        <v>390.1</v>
      </c>
      <c r="U17" s="0" t="n">
        <v>268</v>
      </c>
      <c r="V17" s="0" t="n">
        <v>4.6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56881</v>
      </c>
      <c r="I18" s="0" t="n">
        <v>-1675</v>
      </c>
      <c r="J18" s="0" t="n">
        <v>-2.94474429071219</v>
      </c>
      <c r="K18" s="0" t="n">
        <v>-4.49</v>
      </c>
      <c r="L18" s="0" t="n">
        <v>5158</v>
      </c>
      <c r="O18" s="0" t="n">
        <v>30934</v>
      </c>
      <c r="P18" s="0" t="n">
        <v>689029</v>
      </c>
      <c r="Q18" s="0" t="n">
        <v>657110</v>
      </c>
      <c r="R18" s="0" t="n">
        <v>20683</v>
      </c>
      <c r="S18" s="0" t="n">
        <v>17251</v>
      </c>
      <c r="T18" s="0" t="n">
        <v>372.3</v>
      </c>
      <c r="U18" s="0" t="n">
        <v>208</v>
      </c>
      <c r="V18" s="0" t="n">
        <v>4.8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53979</v>
      </c>
      <c r="I19" s="0" t="n">
        <v>2508</v>
      </c>
      <c r="J19" s="0" t="n">
        <v>4.64625131995776</v>
      </c>
      <c r="K19" s="0" t="n">
        <v>6.76</v>
      </c>
      <c r="L19" s="0" t="n">
        <v>6510</v>
      </c>
      <c r="O19" s="0" t="n">
        <v>28110</v>
      </c>
      <c r="P19" s="0" t="n">
        <v>721212</v>
      </c>
      <c r="Q19" s="0" t="n">
        <v>691336</v>
      </c>
      <c r="R19" s="0" t="n">
        <v>19500</v>
      </c>
      <c r="S19" s="0" t="n">
        <v>19419</v>
      </c>
      <c r="T19" s="0" t="n">
        <v>364.6</v>
      </c>
      <c r="U19" s="0" t="n">
        <v>254</v>
      </c>
      <c r="V19" s="0" t="n">
        <v>5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70405</v>
      </c>
      <c r="I20" s="0" t="n">
        <v>2846</v>
      </c>
      <c r="J20" s="0" t="n">
        <v>4.04232653930829</v>
      </c>
      <c r="K20" s="0" t="n">
        <v>7.54</v>
      </c>
      <c r="L20" s="0" t="n">
        <v>8502</v>
      </c>
      <c r="O20" s="0" t="n">
        <v>28187</v>
      </c>
      <c r="P20" s="0" t="n">
        <v>735587</v>
      </c>
      <c r="Q20" s="0" t="n">
        <v>705461</v>
      </c>
      <c r="R20" s="0" t="n">
        <v>20140</v>
      </c>
      <c r="S20" s="0" t="n">
        <v>18497</v>
      </c>
      <c r="T20" s="0" t="n">
        <v>359.3</v>
      </c>
      <c r="U20" s="0" t="n">
        <v>314</v>
      </c>
      <c r="V20" s="0" t="n">
        <v>5.2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60774</v>
      </c>
      <c r="I21" s="0" t="n">
        <v>3732</v>
      </c>
      <c r="J21" s="0" t="n">
        <v>6.14078388784678</v>
      </c>
      <c r="K21" s="0" t="n">
        <v>10.05</v>
      </c>
      <c r="L21" s="0" t="n">
        <v>6271</v>
      </c>
      <c r="O21" s="0" t="n">
        <v>32787</v>
      </c>
      <c r="P21" s="0" t="n">
        <v>773740</v>
      </c>
      <c r="Q21" s="0" t="n">
        <v>738159</v>
      </c>
      <c r="R21" s="0" t="n">
        <v>20299</v>
      </c>
      <c r="S21" s="0" t="n">
        <v>19712</v>
      </c>
      <c r="T21" s="0" t="n">
        <v>353.7</v>
      </c>
      <c r="U21" s="0" t="n">
        <v>257</v>
      </c>
      <c r="V21" s="0" t="n">
        <v>5.4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113.13</v>
      </c>
    </row>
    <row r="3" customFormat="false" ht="15" hidden="false" customHeight="false" outlineLevel="0" collapsed="false">
      <c r="A3" s="0" t="s">
        <v>86</v>
      </c>
      <c r="B3" s="3" t="n">
        <v>348.9</v>
      </c>
    </row>
    <row r="4" customFormat="false" ht="15" hidden="false" customHeight="false" outlineLevel="0" collapsed="false">
      <c r="A4" s="0" t="s">
        <v>87</v>
      </c>
      <c r="B4" s="3" t="n">
        <v>0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57677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3</v>
      </c>
      <c r="D13" s="3" t="n">
        <v>1.5</v>
      </c>
      <c r="E13" s="3" t="n">
        <v>2</v>
      </c>
      <c r="F13" s="3" t="n">
        <v>2.5</v>
      </c>
      <c r="G13" s="3" t="n">
        <v>2.5</v>
      </c>
      <c r="H13" s="3" t="n">
        <v>2.5</v>
      </c>
      <c r="I13" s="3" t="n">
        <v>2.25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11.6</v>
      </c>
      <c r="D14" s="3" t="n">
        <v>11.4</v>
      </c>
      <c r="E14" s="3" t="n">
        <v>11.5</v>
      </c>
      <c r="F14" s="3" t="n">
        <v>11.5</v>
      </c>
      <c r="G14" s="3" t="n">
        <v>11.5</v>
      </c>
      <c r="H14" s="3" t="n">
        <v>11.5</v>
      </c>
      <c r="I14" s="3" t="n">
        <v>11.5</v>
      </c>
      <c r="J14" s="3" t="n">
        <v>11.5</v>
      </c>
      <c r="K14" s="3" t="n">
        <v>11.5</v>
      </c>
      <c r="L14" s="3" t="n">
        <v>11.5</v>
      </c>
    </row>
    <row r="15" customFormat="false" ht="15" hidden="false" customHeight="false" outlineLevel="0" collapsed="false">
      <c r="A15" s="0" t="s">
        <v>108</v>
      </c>
      <c r="C15" s="3" t="n">
        <v>0.45</v>
      </c>
      <c r="D15" s="3" t="n">
        <v>0.45</v>
      </c>
      <c r="E15" s="3" t="n">
        <v>0.45</v>
      </c>
      <c r="F15" s="3" t="n">
        <v>0.45</v>
      </c>
      <c r="G15" s="3" t="n">
        <v>0.45</v>
      </c>
      <c r="H15" s="3" t="n">
        <v>0.45</v>
      </c>
      <c r="I15" s="3" t="n">
        <v>0.45</v>
      </c>
      <c r="J15" s="3" t="n">
        <v>0.45</v>
      </c>
      <c r="K15" s="3" t="n">
        <v>0.45</v>
      </c>
      <c r="L15" s="3" t="n">
        <v>0.45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111</v>
      </c>
      <c r="C18" s="3" t="n">
        <v>3.94</v>
      </c>
      <c r="D18" s="3" t="n">
        <v>3.87</v>
      </c>
      <c r="E18" s="3" t="n">
        <v>3.9</v>
      </c>
      <c r="F18" s="3" t="n">
        <v>3.9</v>
      </c>
      <c r="G18" s="3" t="n">
        <v>3.9</v>
      </c>
      <c r="H18" s="3" t="n">
        <v>3.9</v>
      </c>
      <c r="I18" s="3" t="n">
        <v>3.9</v>
      </c>
      <c r="J18" s="3" t="n">
        <v>3.9</v>
      </c>
      <c r="K18" s="3" t="n">
        <v>3.9</v>
      </c>
      <c r="L18" s="3" t="n">
        <v>3.9</v>
      </c>
    </row>
    <row r="19" customFormat="false" ht="15" hidden="false" customHeight="false" outlineLevel="0" collapsed="false">
      <c r="A19" s="0" t="s">
        <v>112</v>
      </c>
      <c r="C19" s="3" t="n">
        <v>21.5</v>
      </c>
      <c r="D19" s="3" t="n">
        <v>21.5</v>
      </c>
      <c r="E19" s="3" t="n">
        <v>21.5</v>
      </c>
      <c r="F19" s="3" t="n">
        <v>21.5</v>
      </c>
      <c r="G19" s="3" t="n">
        <v>21.5</v>
      </c>
      <c r="H19" s="3" t="n">
        <v>21.5</v>
      </c>
      <c r="I19" s="3" t="n">
        <v>21.5</v>
      </c>
      <c r="J19" s="3" t="n">
        <v>21.5</v>
      </c>
      <c r="K19" s="3" t="n">
        <v>21.5</v>
      </c>
      <c r="L19" s="3" t="n">
        <v>21.5</v>
      </c>
    </row>
    <row r="20" customFormat="false" ht="15" hidden="false" customHeight="false" outlineLevel="0" collapsed="false">
      <c r="A20" s="0" t="s">
        <v>113</v>
      </c>
      <c r="B20" s="3" t="n">
        <v>10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11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3.2</v>
      </c>
      <c r="D27" s="3" t="n">
        <v>3.5</v>
      </c>
      <c r="E27" s="3" t="n">
        <v>4</v>
      </c>
      <c r="F27" s="3" t="n">
        <v>4</v>
      </c>
      <c r="G27" s="3" t="n">
        <v>3.75</v>
      </c>
      <c r="H27" s="3" t="n">
        <v>3.5</v>
      </c>
      <c r="I27" s="3" t="n">
        <v>3.25</v>
      </c>
      <c r="J27" s="3" t="n">
        <v>3</v>
      </c>
      <c r="K27" s="3" t="n">
        <v>2.75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11.73</v>
      </c>
      <c r="D28" s="3" t="n">
        <v>12.1</v>
      </c>
      <c r="E28" s="3" t="n">
        <v>12.4</v>
      </c>
      <c r="F28" s="3" t="n">
        <v>12.5</v>
      </c>
      <c r="G28" s="3" t="n">
        <v>12.5</v>
      </c>
      <c r="H28" s="3" t="n">
        <v>12.5</v>
      </c>
      <c r="I28" s="3" t="n">
        <v>12.5</v>
      </c>
      <c r="J28" s="3" t="n">
        <v>12.5</v>
      </c>
      <c r="K28" s="3" t="n">
        <v>12.5</v>
      </c>
      <c r="L28" s="3" t="n">
        <v>12.5</v>
      </c>
    </row>
    <row r="29" customFormat="false" ht="15" hidden="false" customHeight="false" outlineLevel="0" collapsed="false">
      <c r="A29" s="0" t="s">
        <v>108</v>
      </c>
      <c r="C29" s="3" t="n">
        <v>0.45</v>
      </c>
      <c r="D29" s="3" t="n">
        <v>0.45</v>
      </c>
      <c r="E29" s="3" t="n">
        <v>0.45</v>
      </c>
      <c r="F29" s="3" t="n">
        <v>0.45</v>
      </c>
      <c r="G29" s="3" t="n">
        <v>0.45</v>
      </c>
      <c r="H29" s="3" t="n">
        <v>0.45</v>
      </c>
      <c r="I29" s="3" t="n">
        <v>0.45</v>
      </c>
      <c r="J29" s="3" t="n">
        <v>0.45</v>
      </c>
      <c r="K29" s="3" t="n">
        <v>0.45</v>
      </c>
      <c r="L29" s="3" t="n">
        <v>0.45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111</v>
      </c>
      <c r="C32" s="3" t="n">
        <v>3.81</v>
      </c>
      <c r="D32" s="3" t="n">
        <v>3.84</v>
      </c>
      <c r="E32" s="3" t="n">
        <v>3.75</v>
      </c>
      <c r="F32" s="3" t="n">
        <v>3.59</v>
      </c>
      <c r="G32" s="3" t="n">
        <v>3.5</v>
      </c>
      <c r="H32" s="3" t="n">
        <v>3.5</v>
      </c>
      <c r="I32" s="3" t="n">
        <v>3.5</v>
      </c>
      <c r="J32" s="3" t="n">
        <v>3.5</v>
      </c>
      <c r="K32" s="3" t="n">
        <v>3.5</v>
      </c>
      <c r="L32" s="3" t="n">
        <v>3.5</v>
      </c>
    </row>
    <row r="33" customFormat="false" ht="15" hidden="false" customHeight="false" outlineLevel="0" collapsed="false">
      <c r="A33" s="0" t="s">
        <v>112</v>
      </c>
      <c r="C33" s="3" t="n">
        <v>21.5</v>
      </c>
      <c r="D33" s="3" t="n">
        <v>21.5</v>
      </c>
      <c r="E33" s="3" t="n">
        <v>21.5</v>
      </c>
      <c r="F33" s="3" t="n">
        <v>21.5</v>
      </c>
      <c r="G33" s="3" t="n">
        <v>21.5</v>
      </c>
      <c r="H33" s="3" t="n">
        <v>21.5</v>
      </c>
      <c r="I33" s="3" t="n">
        <v>21.5</v>
      </c>
      <c r="J33" s="3" t="n">
        <v>21.5</v>
      </c>
      <c r="K33" s="3" t="n">
        <v>21.5</v>
      </c>
      <c r="L33" s="3" t="n">
        <v>21.5</v>
      </c>
    </row>
    <row r="34" customFormat="false" ht="15" hidden="false" customHeight="false" outlineLevel="0" collapsed="false">
      <c r="A34" s="0" t="s">
        <v>113</v>
      </c>
      <c r="B34" s="3" t="n">
        <v>10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13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3.5</v>
      </c>
      <c r="D41" s="3" t="n">
        <v>4.5</v>
      </c>
      <c r="E41" s="3" t="n">
        <v>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3.25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11.8</v>
      </c>
      <c r="D42" s="3" t="n">
        <v>12.4</v>
      </c>
      <c r="E42" s="3" t="n">
        <v>13</v>
      </c>
      <c r="F42" s="3" t="n">
        <v>13.3</v>
      </c>
      <c r="G42" s="3" t="n">
        <v>13.5</v>
      </c>
      <c r="H42" s="3" t="n">
        <v>13.5</v>
      </c>
      <c r="I42" s="3" t="n">
        <v>13.5</v>
      </c>
      <c r="J42" s="3" t="n">
        <v>13.5</v>
      </c>
      <c r="K42" s="3" t="n">
        <v>13.5</v>
      </c>
      <c r="L42" s="3" t="n">
        <v>13.5</v>
      </c>
    </row>
    <row r="43" customFormat="false" ht="15" hidden="false" customHeight="false" outlineLevel="0" collapsed="false">
      <c r="A43" s="0" t="s">
        <v>108</v>
      </c>
      <c r="C43" s="3" t="n">
        <v>0.45</v>
      </c>
      <c r="D43" s="3" t="n">
        <v>0.45</v>
      </c>
      <c r="E43" s="3" t="n">
        <v>0.45</v>
      </c>
      <c r="F43" s="3" t="n">
        <v>0.45</v>
      </c>
      <c r="G43" s="3" t="n">
        <v>0.45</v>
      </c>
      <c r="H43" s="3" t="n">
        <v>0.45</v>
      </c>
      <c r="I43" s="3" t="n">
        <v>0.45</v>
      </c>
      <c r="J43" s="3" t="n">
        <v>0.45</v>
      </c>
      <c r="K43" s="3" t="n">
        <v>0.45</v>
      </c>
      <c r="L43" s="3" t="n">
        <v>0.45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111</v>
      </c>
      <c r="C46" s="3" t="n">
        <v>3.74</v>
      </c>
      <c r="D46" s="3" t="n">
        <v>3.66</v>
      </c>
      <c r="E46" s="3" t="n">
        <v>3.55</v>
      </c>
      <c r="F46" s="3" t="n">
        <v>3.33</v>
      </c>
      <c r="G46" s="3" t="n">
        <v>3.07</v>
      </c>
      <c r="H46" s="3" t="n">
        <v>3.07</v>
      </c>
      <c r="I46" s="3" t="n">
        <v>3.07</v>
      </c>
      <c r="J46" s="3" t="n">
        <v>3.07</v>
      </c>
      <c r="K46" s="3" t="n">
        <v>3.07</v>
      </c>
      <c r="L46" s="3" t="n">
        <v>3.07</v>
      </c>
    </row>
    <row r="47" customFormat="false" ht="15" hidden="false" customHeight="false" outlineLevel="0" collapsed="false">
      <c r="A47" s="0" t="s">
        <v>112</v>
      </c>
      <c r="C47" s="3" t="n">
        <v>21.5</v>
      </c>
      <c r="D47" s="3" t="n">
        <v>21.5</v>
      </c>
      <c r="E47" s="3" t="n">
        <v>21.5</v>
      </c>
      <c r="F47" s="3" t="n">
        <v>21.5</v>
      </c>
      <c r="G47" s="3" t="n">
        <v>21.5</v>
      </c>
      <c r="H47" s="3" t="n">
        <v>21.5</v>
      </c>
      <c r="I47" s="3" t="n">
        <v>21.5</v>
      </c>
      <c r="J47" s="3" t="n">
        <v>21.5</v>
      </c>
      <c r="K47" s="3" t="n">
        <v>21.5</v>
      </c>
      <c r="L47" s="3" t="n">
        <v>21.5</v>
      </c>
    </row>
    <row r="48" customFormat="false" ht="15" hidden="false" customHeight="false" outlineLevel="0" collapsed="false">
      <c r="A48" s="0" t="s">
        <v>113</v>
      </c>
      <c r="B48" s="3" t="n">
        <v>10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14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3</v>
      </c>
      <c r="D5" s="4" t="n">
        <f aca="false">Assumptions!D13</f>
        <v>1.5</v>
      </c>
      <c r="E5" s="4" t="n">
        <f aca="false">Assumptions!E13</f>
        <v>2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2.25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57677</v>
      </c>
      <c r="C6" s="0" t="n">
        <f aca="false">B6*(1+C5/100)</f>
        <v>59407.31</v>
      </c>
      <c r="D6" s="0" t="n">
        <f aca="false">C6*(1+D5/100)</f>
        <v>60298.41965</v>
      </c>
      <c r="E6" s="0" t="n">
        <f aca="false">D6*(1+E5/100)</f>
        <v>61504.388043</v>
      </c>
      <c r="F6" s="0" t="n">
        <f aca="false">E6*(1+F5/100)</f>
        <v>63041.997744075</v>
      </c>
      <c r="G6" s="0" t="n">
        <f aca="false">F6*(1+G5/100)</f>
        <v>64618.0476876769</v>
      </c>
      <c r="H6" s="0" t="n">
        <f aca="false">G6*(1+H5/100)</f>
        <v>66233.4988798688</v>
      </c>
      <c r="I6" s="0" t="n">
        <f aca="false">H6*(1+I5/100)</f>
        <v>67723.7526046658</v>
      </c>
      <c r="J6" s="0" t="n">
        <f aca="false">I6*(1+J5/100)</f>
        <v>69078.2276567592</v>
      </c>
      <c r="K6" s="0" t="n">
        <f aca="false">J6*(1+K5/100)</f>
        <v>70459.7922098943</v>
      </c>
      <c r="L6" s="0" t="n">
        <f aca="false">K6*(1+L5/100)</f>
        <v>71868.9880540922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11.6</v>
      </c>
      <c r="D7" s="4" t="n">
        <f aca="false">Assumptions!D14</f>
        <v>11.4</v>
      </c>
      <c r="E7" s="4" t="n">
        <f aca="false">Assumptions!E14</f>
        <v>11.5</v>
      </c>
      <c r="F7" s="4" t="n">
        <f aca="false">Assumptions!F14</f>
        <v>11.5</v>
      </c>
      <c r="G7" s="4" t="n">
        <f aca="false">Assumptions!G14</f>
        <v>11.5</v>
      </c>
      <c r="H7" s="4" t="n">
        <f aca="false">Assumptions!H14</f>
        <v>11.5</v>
      </c>
      <c r="I7" s="4" t="n">
        <f aca="false">Assumptions!I14</f>
        <v>11.5</v>
      </c>
      <c r="J7" s="4" t="n">
        <f aca="false">Assumptions!J14</f>
        <v>11.5</v>
      </c>
      <c r="K7" s="4" t="n">
        <f aca="false">Assumptions!K14</f>
        <v>11.5</v>
      </c>
      <c r="L7" s="4" t="n">
        <f aca="false">Assumptions!L14</f>
        <v>11.5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6891.24796</v>
      </c>
      <c r="D8" s="0" t="n">
        <f aca="false">D6*D7/100</f>
        <v>6874.0198401</v>
      </c>
      <c r="E8" s="0" t="n">
        <f aca="false">E6*E7/100</f>
        <v>7073.004624945</v>
      </c>
      <c r="F8" s="0" t="n">
        <f aca="false">F6*F7/100</f>
        <v>7249.82974056862</v>
      </c>
      <c r="G8" s="0" t="n">
        <f aca="false">G6*G7/100</f>
        <v>7431.07548408284</v>
      </c>
      <c r="H8" s="0" t="n">
        <f aca="false">H6*H7/100</f>
        <v>7616.85237118491</v>
      </c>
      <c r="I8" s="0" t="n">
        <f aca="false">I6*I7/100</f>
        <v>7788.23154953657</v>
      </c>
      <c r="J8" s="0" t="n">
        <f aca="false">J6*J7/100</f>
        <v>7943.9961805273</v>
      </c>
      <c r="K8" s="0" t="n">
        <f aca="false">K6*K7/100</f>
        <v>8102.87610413785</v>
      </c>
      <c r="L8" s="0" t="n">
        <f aca="false">L6*L7/100</f>
        <v>8264.93362622061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0.45</v>
      </c>
      <c r="D9" s="4" t="n">
        <f aca="false">Assumptions!D15</f>
        <v>0.45</v>
      </c>
      <c r="E9" s="4" t="n">
        <f aca="false">Assumptions!E15</f>
        <v>0.45</v>
      </c>
      <c r="F9" s="4" t="n">
        <f aca="false">Assumptions!F15</f>
        <v>0.45</v>
      </c>
      <c r="G9" s="4" t="n">
        <f aca="false">Assumptions!G15</f>
        <v>0.45</v>
      </c>
      <c r="H9" s="4" t="n">
        <f aca="false">Assumptions!H15</f>
        <v>0.45</v>
      </c>
      <c r="I9" s="4" t="n">
        <f aca="false">Assumptions!I15</f>
        <v>0.45</v>
      </c>
      <c r="J9" s="4" t="n">
        <f aca="false">Assumptions!J15</f>
        <v>0.45</v>
      </c>
      <c r="K9" s="4" t="n">
        <f aca="false">Assumptions!K15</f>
        <v>0.45</v>
      </c>
      <c r="L9" s="4" t="n">
        <f aca="false">Assumptions!L15</f>
        <v>0.45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-267.332895</v>
      </c>
      <c r="D10" s="0" t="n">
        <f aca="false">-D6*D9/100</f>
        <v>-271.342888425</v>
      </c>
      <c r="E10" s="0" t="n">
        <f aca="false">-E6*E9/100</f>
        <v>-276.7697461935</v>
      </c>
      <c r="F10" s="0" t="n">
        <f aca="false">-F6*F9/100</f>
        <v>-283.688989848338</v>
      </c>
      <c r="G10" s="0" t="n">
        <f aca="false">-G6*G9/100</f>
        <v>-290.781214594546</v>
      </c>
      <c r="H10" s="0" t="n">
        <f aca="false">-H6*H9/100</f>
        <v>-298.05074495941</v>
      </c>
      <c r="I10" s="0" t="n">
        <f aca="false">-I6*I9/100</f>
        <v>-304.756886720996</v>
      </c>
      <c r="J10" s="0" t="n">
        <f aca="false">-J6*J9/100</f>
        <v>-310.852024455416</v>
      </c>
      <c r="K10" s="0" t="n">
        <f aca="false">-K6*K9/100</f>
        <v>-317.069064944525</v>
      </c>
      <c r="L10" s="0" t="n">
        <f aca="false">-L6*L9/100</f>
        <v>-323.410446243415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6623.915065</v>
      </c>
      <c r="D11" s="0" t="n">
        <f aca="false">D8+D10+D24</f>
        <v>6602.676951675</v>
      </c>
      <c r="E11" s="0" t="n">
        <f aca="false">E8+E10+E24</f>
        <v>6796.2348787515</v>
      </c>
      <c r="F11" s="0" t="n">
        <f aca="false">F8+F10+F24</f>
        <v>6966.14075072029</v>
      </c>
      <c r="G11" s="0" t="n">
        <f aca="false">G8+G10+G24</f>
        <v>7140.29426948829</v>
      </c>
      <c r="H11" s="0" t="n">
        <f aca="false">H8+H10+H24</f>
        <v>7318.8016262255</v>
      </c>
      <c r="I11" s="0" t="n">
        <f aca="false">I8+I10+I24</f>
        <v>7483.47466281557</v>
      </c>
      <c r="J11" s="0" t="n">
        <f aca="false">J8+J10+J24</f>
        <v>7633.14415607189</v>
      </c>
      <c r="K11" s="0" t="n">
        <f aca="false">K8+K10+K24</f>
        <v>7785.80703919332</v>
      </c>
      <c r="L11" s="0" t="n">
        <f aca="false">L8+L10+L24</f>
        <v>7941.52317997719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6623.915065</v>
      </c>
      <c r="D13" s="0" t="n">
        <f aca="false">D11+D12</f>
        <v>6602.676951675</v>
      </c>
      <c r="E13" s="0" t="n">
        <f aca="false">E11+E12</f>
        <v>6796.2348787515</v>
      </c>
      <c r="F13" s="0" t="n">
        <f aca="false">F11+F12</f>
        <v>6966.14075072029</v>
      </c>
      <c r="G13" s="0" t="n">
        <f aca="false">G11+G12</f>
        <v>7140.29426948829</v>
      </c>
      <c r="H13" s="0" t="n">
        <f aca="false">H11+H12</f>
        <v>7318.8016262255</v>
      </c>
      <c r="I13" s="0" t="n">
        <f aca="false">I11+I12</f>
        <v>7483.47466281557</v>
      </c>
      <c r="J13" s="0" t="n">
        <f aca="false">J11+J12</f>
        <v>7633.14415607189</v>
      </c>
      <c r="K13" s="0" t="n">
        <f aca="false">K11+K12</f>
        <v>7785.80703919332</v>
      </c>
      <c r="L13" s="0" t="n">
        <f aca="false">L11+L12</f>
        <v>7941.52317997719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21.5</v>
      </c>
      <c r="D14" s="4" t="n">
        <f aca="false">Assumptions!D19</f>
        <v>21.5</v>
      </c>
      <c r="E14" s="4" t="n">
        <f aca="false">Assumptions!E19</f>
        <v>21.5</v>
      </c>
      <c r="F14" s="4" t="n">
        <f aca="false">Assumptions!F19</f>
        <v>21.5</v>
      </c>
      <c r="G14" s="4" t="n">
        <f aca="false">Assumptions!G19</f>
        <v>21.5</v>
      </c>
      <c r="H14" s="4" t="n">
        <f aca="false">Assumptions!H19</f>
        <v>21.5</v>
      </c>
      <c r="I14" s="4" t="n">
        <f aca="false">Assumptions!I19</f>
        <v>21.5</v>
      </c>
      <c r="J14" s="4" t="n">
        <f aca="false">Assumptions!J19</f>
        <v>21.5</v>
      </c>
      <c r="K14" s="4" t="n">
        <f aca="false">Assumptions!K19</f>
        <v>21.5</v>
      </c>
      <c r="L14" s="4" t="n">
        <f aca="false">Assumptions!L19</f>
        <v>21.5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5199.773326025</v>
      </c>
      <c r="D15" s="0" t="n">
        <f aca="false">D13-MAX(0,D13)*D14/100</f>
        <v>5183.10140706488</v>
      </c>
      <c r="E15" s="0" t="n">
        <f aca="false">E13-MAX(0,E13)*E14/100</f>
        <v>5335.04437981993</v>
      </c>
      <c r="F15" s="0" t="n">
        <f aca="false">F13-MAX(0,F13)*F14/100</f>
        <v>5468.42048931543</v>
      </c>
      <c r="G15" s="0" t="n">
        <f aca="false">G13-MAX(0,G13)*G14/100</f>
        <v>5605.13100154831</v>
      </c>
      <c r="H15" s="0" t="n">
        <f aca="false">H13-MAX(0,H13)*H14/100</f>
        <v>5745.25927658702</v>
      </c>
      <c r="I15" s="0" t="n">
        <f aca="false">I13-MAX(0,I13)*I14/100</f>
        <v>5874.52761031023</v>
      </c>
      <c r="J15" s="0" t="n">
        <f aca="false">J13-MAX(0,J13)*J14/100</f>
        <v>5992.01816251643</v>
      </c>
      <c r="K15" s="0" t="n">
        <f aca="false">K13-MAX(0,K13)*K14/100</f>
        <v>6111.85852576676</v>
      </c>
      <c r="L15" s="0" t="n">
        <f aca="false">L13-MAX(0,L13)*L14/100</f>
        <v>6234.0956962821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-2340.648014</v>
      </c>
      <c r="D17" s="4" t="n">
        <f aca="false">-D6*Assumptions!D18/100</f>
        <v>-2333.548840455</v>
      </c>
      <c r="E17" s="4" t="n">
        <f aca="false">-E6*Assumptions!E18/100</f>
        <v>-2398.671133677</v>
      </c>
      <c r="F17" s="4" t="n">
        <f aca="false">-F6*Assumptions!F18/100</f>
        <v>-2458.63791201893</v>
      </c>
      <c r="G17" s="4" t="n">
        <f aca="false">-G6*Assumptions!G18/100</f>
        <v>-2520.1038598194</v>
      </c>
      <c r="H17" s="4" t="n">
        <f aca="false">-H6*Assumptions!H18/100</f>
        <v>-2583.10645631488</v>
      </c>
      <c r="I17" s="4" t="n">
        <f aca="false">-I6*Assumptions!I18/100</f>
        <v>-2641.22635158197</v>
      </c>
      <c r="J17" s="4" t="n">
        <f aca="false">-J6*Assumptions!J18/100</f>
        <v>-2694.05087861361</v>
      </c>
      <c r="K17" s="4" t="n">
        <f aca="false">-K6*Assumptions!K18/100</f>
        <v>-2747.93189618588</v>
      </c>
      <c r="L17" s="4" t="n">
        <f aca="false">-L6*Assumptions!L18/100</f>
        <v>-2802.8905341096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2859.125312025</v>
      </c>
      <c r="D19" s="0" t="n">
        <f aca="false">D15+D16+D17+D18</f>
        <v>2849.55256660988</v>
      </c>
      <c r="E19" s="0" t="n">
        <f aca="false">E15+E16+E17+E18</f>
        <v>2936.37324614293</v>
      </c>
      <c r="F19" s="0" t="n">
        <f aca="false">F15+F16+F17+F18</f>
        <v>3009.7825772965</v>
      </c>
      <c r="G19" s="0" t="n">
        <f aca="false">G15+G16+G17+G18</f>
        <v>3085.02714172891</v>
      </c>
      <c r="H19" s="0" t="n">
        <f aca="false">H15+H16+H17+H18</f>
        <v>3162.15282027213</v>
      </c>
      <c r="I19" s="0" t="n">
        <f aca="false">I15+I16+I17+I18</f>
        <v>3233.30125872826</v>
      </c>
      <c r="J19" s="0" t="n">
        <f aca="false">J15+J16+J17+J18</f>
        <v>3297.96728390282</v>
      </c>
      <c r="K19" s="0" t="n">
        <f aca="false">K15+K16+K17+K18</f>
        <v>3363.92662958088</v>
      </c>
      <c r="L19" s="0" t="n">
        <f aca="false">L15+L16+L17+L18</f>
        <v>3431.2051621725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2599.20482911364</v>
      </c>
      <c r="D21" s="0" t="n">
        <f aca="false">D19*D20</f>
        <v>2355.00212116519</v>
      </c>
      <c r="E21" s="0" t="n">
        <f aca="false">E19*E20</f>
        <v>2206.14068079859</v>
      </c>
      <c r="F21" s="0" t="n">
        <f aca="false">F19*F20</f>
        <v>2055.72199801687</v>
      </c>
      <c r="G21" s="0" t="n">
        <f aca="false">G19*G20</f>
        <v>1915.55913451572</v>
      </c>
      <c r="H21" s="0" t="n">
        <f aca="false">H19*H20</f>
        <v>1784.95282988965</v>
      </c>
      <c r="I21" s="0" t="n">
        <f aca="false">I19*I20</f>
        <v>1659.19478960197</v>
      </c>
      <c r="J21" s="0" t="n">
        <f aca="false">J19*J20</f>
        <v>1538.52607763092</v>
      </c>
      <c r="K21" s="0" t="n">
        <f aca="false">K19*K20</f>
        <v>1426.63327198503</v>
      </c>
      <c r="L21" s="0" t="n">
        <f aca="false">L19*L20</f>
        <v>1322.87812493157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18863.8138576491</v>
      </c>
    </row>
    <row r="31" customFormat="false" ht="15" hidden="false" customHeight="false" outlineLevel="0" collapsed="false">
      <c r="A31" s="0" t="s">
        <v>137</v>
      </c>
      <c r="B31" s="0" t="n">
        <f aca="false">L19</f>
        <v>3431.2051621725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43747.8658176994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37743.2567838975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37743.2567838975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14551.6593742473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33415.4732318965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33415.4732318965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95.7737839836528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-0.153418333035863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1778.33915802193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1589.78127282713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105.427324914719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26921.7635801227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62.9004853749903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3.2</v>
      </c>
      <c r="D5" s="4" t="n">
        <f aca="false">Assumptions!D27</f>
        <v>3.5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3.75</v>
      </c>
      <c r="H5" s="4" t="n">
        <f aca="false">Assumptions!H27</f>
        <v>3.5</v>
      </c>
      <c r="I5" s="4" t="n">
        <f aca="false">Assumptions!I27</f>
        <v>3.25</v>
      </c>
      <c r="J5" s="4" t="n">
        <f aca="false">Assumptions!J27</f>
        <v>3</v>
      </c>
      <c r="K5" s="4" t="n">
        <f aca="false">Assumptions!K27</f>
        <v>2.75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57677</v>
      </c>
      <c r="C6" s="0" t="n">
        <f aca="false">B6*(1+C5/100)</f>
        <v>59522.664</v>
      </c>
      <c r="D6" s="0" t="n">
        <f aca="false">C6*(1+D5/100)</f>
        <v>61605.95724</v>
      </c>
      <c r="E6" s="0" t="n">
        <f aca="false">D6*(1+E5/100)</f>
        <v>64070.1955296</v>
      </c>
      <c r="F6" s="0" t="n">
        <f aca="false">E6*(1+F5/100)</f>
        <v>66633.003350784</v>
      </c>
      <c r="G6" s="0" t="n">
        <f aca="false">F6*(1+G5/100)</f>
        <v>69131.7409764384</v>
      </c>
      <c r="H6" s="0" t="n">
        <f aca="false">G6*(1+H5/100)</f>
        <v>71551.3519106137</v>
      </c>
      <c r="I6" s="0" t="n">
        <f aca="false">H6*(1+I5/100)</f>
        <v>73876.7708477087</v>
      </c>
      <c r="J6" s="0" t="n">
        <f aca="false">I6*(1+J5/100)</f>
        <v>76093.07397314</v>
      </c>
      <c r="K6" s="0" t="n">
        <f aca="false">J6*(1+K5/100)</f>
        <v>78185.6335074013</v>
      </c>
      <c r="L6" s="0" t="n">
        <f aca="false">K6*(1+L5/100)</f>
        <v>80140.2743450863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11.73</v>
      </c>
      <c r="D7" s="4" t="n">
        <f aca="false">Assumptions!D28</f>
        <v>12.1</v>
      </c>
      <c r="E7" s="4" t="n">
        <f aca="false">Assumptions!E28</f>
        <v>12.4</v>
      </c>
      <c r="F7" s="4" t="n">
        <f aca="false">Assumptions!F28</f>
        <v>12.5</v>
      </c>
      <c r="G7" s="4" t="n">
        <f aca="false">Assumptions!G28</f>
        <v>12.5</v>
      </c>
      <c r="H7" s="4" t="n">
        <f aca="false">Assumptions!H28</f>
        <v>12.5</v>
      </c>
      <c r="I7" s="4" t="n">
        <f aca="false">Assumptions!I28</f>
        <v>12.5</v>
      </c>
      <c r="J7" s="4" t="n">
        <f aca="false">Assumptions!J28</f>
        <v>12.5</v>
      </c>
      <c r="K7" s="4" t="n">
        <f aca="false">Assumptions!K28</f>
        <v>12.5</v>
      </c>
      <c r="L7" s="4" t="n">
        <f aca="false">Assumptions!L28</f>
        <v>12.5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6982.0084872</v>
      </c>
      <c r="D8" s="0" t="n">
        <f aca="false">D6*D7/100</f>
        <v>7454.32082604</v>
      </c>
      <c r="E8" s="0" t="n">
        <f aca="false">E6*E7/100</f>
        <v>7944.7042456704</v>
      </c>
      <c r="F8" s="0" t="n">
        <f aca="false">F6*F7/100</f>
        <v>8329.125418848</v>
      </c>
      <c r="G8" s="0" t="n">
        <f aca="false">G6*G7/100</f>
        <v>8641.4676220548</v>
      </c>
      <c r="H8" s="0" t="n">
        <f aca="false">H6*H7/100</f>
        <v>8943.91898882672</v>
      </c>
      <c r="I8" s="0" t="n">
        <f aca="false">I6*I7/100</f>
        <v>9234.59635596359</v>
      </c>
      <c r="J8" s="0" t="n">
        <f aca="false">J6*J7/100</f>
        <v>9511.63424664249</v>
      </c>
      <c r="K8" s="0" t="n">
        <f aca="false">K6*K7/100</f>
        <v>9773.20418842516</v>
      </c>
      <c r="L8" s="0" t="n">
        <f aca="false">L6*L7/100</f>
        <v>10017.5342931358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0.45</v>
      </c>
      <c r="D9" s="4" t="n">
        <f aca="false">Assumptions!D29</f>
        <v>0.45</v>
      </c>
      <c r="E9" s="4" t="n">
        <f aca="false">Assumptions!E29</f>
        <v>0.45</v>
      </c>
      <c r="F9" s="4" t="n">
        <f aca="false">Assumptions!F29</f>
        <v>0.45</v>
      </c>
      <c r="G9" s="4" t="n">
        <f aca="false">Assumptions!G29</f>
        <v>0.45</v>
      </c>
      <c r="H9" s="4" t="n">
        <f aca="false">Assumptions!H29</f>
        <v>0.45</v>
      </c>
      <c r="I9" s="4" t="n">
        <f aca="false">Assumptions!I29</f>
        <v>0.45</v>
      </c>
      <c r="J9" s="4" t="n">
        <f aca="false">Assumptions!J29</f>
        <v>0.45</v>
      </c>
      <c r="K9" s="4" t="n">
        <f aca="false">Assumptions!K29</f>
        <v>0.45</v>
      </c>
      <c r="L9" s="4" t="n">
        <f aca="false">Assumptions!L29</f>
        <v>0.45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-267.851988</v>
      </c>
      <c r="D10" s="0" t="n">
        <f aca="false">-D6*D9/100</f>
        <v>-277.22680758</v>
      </c>
      <c r="E10" s="0" t="n">
        <f aca="false">-E6*E9/100</f>
        <v>-288.3158798832</v>
      </c>
      <c r="F10" s="0" t="n">
        <f aca="false">-F6*F9/100</f>
        <v>-299.848515078528</v>
      </c>
      <c r="G10" s="0" t="n">
        <f aca="false">-G6*G9/100</f>
        <v>-311.092834393973</v>
      </c>
      <c r="H10" s="0" t="n">
        <f aca="false">-H6*H9/100</f>
        <v>-321.981083597762</v>
      </c>
      <c r="I10" s="0" t="n">
        <f aca="false">-I6*I9/100</f>
        <v>-332.445468814689</v>
      </c>
      <c r="J10" s="0" t="n">
        <f aca="false">-J6*J9/100</f>
        <v>-342.41883287913</v>
      </c>
      <c r="K10" s="0" t="n">
        <f aca="false">-K6*K9/100</f>
        <v>-351.835350783306</v>
      </c>
      <c r="L10" s="0" t="n">
        <f aca="false">-L6*L9/100</f>
        <v>-360.631234552889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6714.1564992</v>
      </c>
      <c r="D11" s="0" t="n">
        <f aca="false">D8+D10+D24</f>
        <v>7177.09401846</v>
      </c>
      <c r="E11" s="0" t="n">
        <f aca="false">E8+E10+E24</f>
        <v>7656.3883657872</v>
      </c>
      <c r="F11" s="0" t="n">
        <f aca="false">F8+F10+F24</f>
        <v>8029.27690376947</v>
      </c>
      <c r="G11" s="0" t="n">
        <f aca="false">G8+G10+G24</f>
        <v>8330.37478766083</v>
      </c>
      <c r="H11" s="0" t="n">
        <f aca="false">H8+H10+H24</f>
        <v>8621.93790522896</v>
      </c>
      <c r="I11" s="0" t="n">
        <f aca="false">I8+I10+I24</f>
        <v>8902.1508871489</v>
      </c>
      <c r="J11" s="0" t="n">
        <f aca="false">J8+J10+J24</f>
        <v>9169.21541376336</v>
      </c>
      <c r="K11" s="0" t="n">
        <f aca="false">K8+K10+K24</f>
        <v>9421.36883764186</v>
      </c>
      <c r="L11" s="0" t="n">
        <f aca="false">L8+L10+L24</f>
        <v>9656.9030585829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6714.1564992</v>
      </c>
      <c r="D13" s="0" t="n">
        <f aca="false">D11+D12</f>
        <v>7177.09401846</v>
      </c>
      <c r="E13" s="0" t="n">
        <f aca="false">E11+E12</f>
        <v>7656.3883657872</v>
      </c>
      <c r="F13" s="0" t="n">
        <f aca="false">F11+F12</f>
        <v>8029.27690376947</v>
      </c>
      <c r="G13" s="0" t="n">
        <f aca="false">G11+G12</f>
        <v>8330.37478766083</v>
      </c>
      <c r="H13" s="0" t="n">
        <f aca="false">H11+H12</f>
        <v>8621.93790522896</v>
      </c>
      <c r="I13" s="0" t="n">
        <f aca="false">I11+I12</f>
        <v>8902.1508871489</v>
      </c>
      <c r="J13" s="0" t="n">
        <f aca="false">J11+J12</f>
        <v>9169.21541376336</v>
      </c>
      <c r="K13" s="0" t="n">
        <f aca="false">K11+K12</f>
        <v>9421.36883764186</v>
      </c>
      <c r="L13" s="0" t="n">
        <f aca="false">L11+L12</f>
        <v>9656.9030585829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21.5</v>
      </c>
      <c r="D14" s="4" t="n">
        <f aca="false">Assumptions!D33</f>
        <v>21.5</v>
      </c>
      <c r="E14" s="4" t="n">
        <f aca="false">Assumptions!E33</f>
        <v>21.5</v>
      </c>
      <c r="F14" s="4" t="n">
        <f aca="false">Assumptions!F33</f>
        <v>21.5</v>
      </c>
      <c r="G14" s="4" t="n">
        <f aca="false">Assumptions!G33</f>
        <v>21.5</v>
      </c>
      <c r="H14" s="4" t="n">
        <f aca="false">Assumptions!H33</f>
        <v>21.5</v>
      </c>
      <c r="I14" s="4" t="n">
        <f aca="false">Assumptions!I33</f>
        <v>21.5</v>
      </c>
      <c r="J14" s="4" t="n">
        <f aca="false">Assumptions!J33</f>
        <v>21.5</v>
      </c>
      <c r="K14" s="4" t="n">
        <f aca="false">Assumptions!K33</f>
        <v>21.5</v>
      </c>
      <c r="L14" s="4" t="n">
        <f aca="false">Assumptions!L33</f>
        <v>21.5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5270.612851872</v>
      </c>
      <c r="D15" s="0" t="n">
        <f aca="false">D13-MAX(0,D13)*D14/100</f>
        <v>5634.0188044911</v>
      </c>
      <c r="E15" s="0" t="n">
        <f aca="false">E13-MAX(0,E13)*E14/100</f>
        <v>6010.26486714295</v>
      </c>
      <c r="F15" s="0" t="n">
        <f aca="false">F13-MAX(0,F13)*F14/100</f>
        <v>6302.98236945904</v>
      </c>
      <c r="G15" s="0" t="n">
        <f aca="false">G13-MAX(0,G13)*G14/100</f>
        <v>6539.34420831375</v>
      </c>
      <c r="H15" s="0" t="n">
        <f aca="false">H13-MAX(0,H13)*H14/100</f>
        <v>6768.22125560473</v>
      </c>
      <c r="I15" s="0" t="n">
        <f aca="false">I13-MAX(0,I13)*I14/100</f>
        <v>6988.18844641188</v>
      </c>
      <c r="J15" s="0" t="n">
        <f aca="false">J13-MAX(0,J13)*J14/100</f>
        <v>7197.83409980424</v>
      </c>
      <c r="K15" s="0" t="n">
        <f aca="false">K13-MAX(0,K13)*K14/100</f>
        <v>7395.77453754886</v>
      </c>
      <c r="L15" s="0" t="n">
        <f aca="false">L13-MAX(0,L13)*L14/100</f>
        <v>7580.66890098758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-2267.8134984</v>
      </c>
      <c r="D17" s="4" t="n">
        <f aca="false">-D6*Assumptions!D32/100</f>
        <v>-2365.668758016</v>
      </c>
      <c r="E17" s="4" t="n">
        <f aca="false">-E6*Assumptions!E32/100</f>
        <v>-2402.63233236</v>
      </c>
      <c r="F17" s="4" t="n">
        <f aca="false">-F6*Assumptions!F32/100</f>
        <v>-2392.12482029315</v>
      </c>
      <c r="G17" s="4" t="n">
        <f aca="false">-G6*Assumptions!G32/100</f>
        <v>-2419.61093417534</v>
      </c>
      <c r="H17" s="4" t="n">
        <f aca="false">-H6*Assumptions!H32/100</f>
        <v>-2504.29731687148</v>
      </c>
      <c r="I17" s="4" t="n">
        <f aca="false">-I6*Assumptions!I32/100</f>
        <v>-2585.6869796698</v>
      </c>
      <c r="J17" s="4" t="n">
        <f aca="false">-J6*Assumptions!J32/100</f>
        <v>-2663.2575890599</v>
      </c>
      <c r="K17" s="4" t="n">
        <f aca="false">-K6*Assumptions!K32/100</f>
        <v>-2736.49717275905</v>
      </c>
      <c r="L17" s="4" t="n">
        <f aca="false">-L6*Assumptions!L32/100</f>
        <v>-2804.90960207802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3002.799353472</v>
      </c>
      <c r="D19" s="0" t="n">
        <f aca="false">D15+D16+D17+D18</f>
        <v>3268.3500464751</v>
      </c>
      <c r="E19" s="0" t="n">
        <f aca="false">E15+E16+E17+E18</f>
        <v>3607.63253478295</v>
      </c>
      <c r="F19" s="0" t="n">
        <f aca="false">F15+F16+F17+F18</f>
        <v>3910.85754916589</v>
      </c>
      <c r="G19" s="0" t="n">
        <f aca="false">G15+G16+G17+G18</f>
        <v>4119.73327413841</v>
      </c>
      <c r="H19" s="0" t="n">
        <f aca="false">H15+H16+H17+H18</f>
        <v>4263.92393873325</v>
      </c>
      <c r="I19" s="0" t="n">
        <f aca="false">I15+I16+I17+I18</f>
        <v>4402.50146674208</v>
      </c>
      <c r="J19" s="0" t="n">
        <f aca="false">J15+J16+J17+J18</f>
        <v>4534.57651074434</v>
      </c>
      <c r="K19" s="0" t="n">
        <f aca="false">K15+K16+K17+K18</f>
        <v>4659.27736478981</v>
      </c>
      <c r="L19" s="0" t="n">
        <f aca="false">L15+L16+L17+L18</f>
        <v>4775.75929890956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2729.81759406546</v>
      </c>
      <c r="D21" s="0" t="n">
        <f aca="false">D19*D20</f>
        <v>2701.11574088851</v>
      </c>
      <c r="E21" s="0" t="n">
        <f aca="false">E19*E20</f>
        <v>2710.46771959651</v>
      </c>
      <c r="F21" s="0" t="n">
        <f aca="false">F19*F20</f>
        <v>2671.16832809637</v>
      </c>
      <c r="G21" s="0" t="n">
        <f aca="false">G19*G20</f>
        <v>2558.03023522884</v>
      </c>
      <c r="H21" s="0" t="n">
        <f aca="false">H19*H20</f>
        <v>2406.87390314714</v>
      </c>
      <c r="I21" s="0" t="n">
        <f aca="false">I19*I20</f>
        <v>2259.17936818129</v>
      </c>
      <c r="J21" s="0" t="n">
        <f aca="false">J19*J20</f>
        <v>2115.41340838794</v>
      </c>
      <c r="K21" s="0" t="n">
        <f aca="false">K19*K20</f>
        <v>1975.98843374419</v>
      </c>
      <c r="L21" s="0" t="n">
        <f aca="false">L19*L20</f>
        <v>1841.26194962526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23969.3166809615</v>
      </c>
    </row>
    <row r="31" customFormat="false" ht="15" hidden="false" customHeight="false" outlineLevel="0" collapsed="false">
      <c r="A31" s="0" t="s">
        <v>137</v>
      </c>
      <c r="B31" s="0" t="n">
        <f aca="false">L19</f>
        <v>4775.75929890956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65268.7104184306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62084.8708858242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62084.8708858242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23936.4053451284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47905.7220260899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47905.7220260899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137.305021570908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0.21369240317253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1887.53502225623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1900.19901668756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148.161238363525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39161.2262510584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82.8451556168164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3.5</v>
      </c>
      <c r="D5" s="4" t="n">
        <f aca="false">Assumptions!D41</f>
        <v>4.5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3.25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57677</v>
      </c>
      <c r="C6" s="0" t="n">
        <f aca="false">B6*(1+C5/100)</f>
        <v>59695.695</v>
      </c>
      <c r="D6" s="0" t="n">
        <f aca="false">C6*(1+D5/100)</f>
        <v>62382.001275</v>
      </c>
      <c r="E6" s="0" t="n">
        <f aca="false">D6*(1+E5/100)</f>
        <v>65501.10133875</v>
      </c>
      <c r="F6" s="0" t="n">
        <f aca="false">E6*(1+F5/100)</f>
        <v>68776.1564056875</v>
      </c>
      <c r="G6" s="0" t="n">
        <f aca="false">F6*(1+G5/100)</f>
        <v>71871.0834439434</v>
      </c>
      <c r="H6" s="0" t="n">
        <f aca="false">G6*(1+H5/100)</f>
        <v>74745.9267817012</v>
      </c>
      <c r="I6" s="0" t="n">
        <f aca="false">H6*(1+I5/100)</f>
        <v>77362.0342190607</v>
      </c>
      <c r="J6" s="0" t="n">
        <f aca="false">I6*(1+J5/100)</f>
        <v>79876.3003311802</v>
      </c>
      <c r="K6" s="0" t="n">
        <f aca="false">J6*(1+K5/100)</f>
        <v>82272.5893411156</v>
      </c>
      <c r="L6" s="0" t="n">
        <f aca="false">K6*(1+L5/100)</f>
        <v>84740.7670213491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11.8</v>
      </c>
      <c r="D7" s="4" t="n">
        <f aca="false">Assumptions!D42</f>
        <v>12.4</v>
      </c>
      <c r="E7" s="4" t="n">
        <f aca="false">Assumptions!E42</f>
        <v>13</v>
      </c>
      <c r="F7" s="4" t="n">
        <f aca="false">Assumptions!F42</f>
        <v>13.3</v>
      </c>
      <c r="G7" s="4" t="n">
        <f aca="false">Assumptions!G42</f>
        <v>13.5</v>
      </c>
      <c r="H7" s="4" t="n">
        <f aca="false">Assumptions!H42</f>
        <v>13.5</v>
      </c>
      <c r="I7" s="4" t="n">
        <f aca="false">Assumptions!I42</f>
        <v>13.5</v>
      </c>
      <c r="J7" s="4" t="n">
        <f aca="false">Assumptions!J42</f>
        <v>13.5</v>
      </c>
      <c r="K7" s="4" t="n">
        <f aca="false">Assumptions!K42</f>
        <v>13.5</v>
      </c>
      <c r="L7" s="4" t="n">
        <f aca="false">Assumptions!L42</f>
        <v>13.5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7044.09201</v>
      </c>
      <c r="D8" s="0" t="n">
        <f aca="false">D6*D7/100</f>
        <v>7735.3681581</v>
      </c>
      <c r="E8" s="0" t="n">
        <f aca="false">E6*E7/100</f>
        <v>8515.1431740375</v>
      </c>
      <c r="F8" s="0" t="n">
        <f aca="false">F6*F7/100</f>
        <v>9147.22880195644</v>
      </c>
      <c r="G8" s="0" t="n">
        <f aca="false">G6*G7/100</f>
        <v>9702.59626493236</v>
      </c>
      <c r="H8" s="0" t="n">
        <f aca="false">H6*H7/100</f>
        <v>10090.7001155297</v>
      </c>
      <c r="I8" s="0" t="n">
        <f aca="false">I6*I7/100</f>
        <v>10443.8746195732</v>
      </c>
      <c r="J8" s="0" t="n">
        <f aca="false">J6*J7/100</f>
        <v>10783.3005447093</v>
      </c>
      <c r="K8" s="0" t="n">
        <f aca="false">K6*K7/100</f>
        <v>11106.7995610506</v>
      </c>
      <c r="L8" s="0" t="n">
        <f aca="false">L6*L7/100</f>
        <v>11440.0035478821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0.45</v>
      </c>
      <c r="D9" s="4" t="n">
        <f aca="false">Assumptions!D43</f>
        <v>0.45</v>
      </c>
      <c r="E9" s="4" t="n">
        <f aca="false">Assumptions!E43</f>
        <v>0.45</v>
      </c>
      <c r="F9" s="4" t="n">
        <f aca="false">Assumptions!F43</f>
        <v>0.45</v>
      </c>
      <c r="G9" s="4" t="n">
        <f aca="false">Assumptions!G43</f>
        <v>0.45</v>
      </c>
      <c r="H9" s="4" t="n">
        <f aca="false">Assumptions!H43</f>
        <v>0.45</v>
      </c>
      <c r="I9" s="4" t="n">
        <f aca="false">Assumptions!I43</f>
        <v>0.45</v>
      </c>
      <c r="J9" s="4" t="n">
        <f aca="false">Assumptions!J43</f>
        <v>0.45</v>
      </c>
      <c r="K9" s="4" t="n">
        <f aca="false">Assumptions!K43</f>
        <v>0.45</v>
      </c>
      <c r="L9" s="4" t="n">
        <f aca="false">Assumptions!L43</f>
        <v>0.45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-268.6306275</v>
      </c>
      <c r="D10" s="0" t="n">
        <f aca="false">-D6*D9/100</f>
        <v>-280.7190057375</v>
      </c>
      <c r="E10" s="0" t="n">
        <f aca="false">-E6*E9/100</f>
        <v>-294.754956024375</v>
      </c>
      <c r="F10" s="0" t="n">
        <f aca="false">-F6*F9/100</f>
        <v>-309.492703825594</v>
      </c>
      <c r="G10" s="0" t="n">
        <f aca="false">-G6*G9/100</f>
        <v>-323.419875497745</v>
      </c>
      <c r="H10" s="0" t="n">
        <f aca="false">-H6*H9/100</f>
        <v>-336.356670517655</v>
      </c>
      <c r="I10" s="0" t="n">
        <f aca="false">-I6*I9/100</f>
        <v>-348.129153985773</v>
      </c>
      <c r="J10" s="0" t="n">
        <f aca="false">-J6*J9/100</f>
        <v>-359.443351490311</v>
      </c>
      <c r="K10" s="0" t="n">
        <f aca="false">-K6*K9/100</f>
        <v>-370.22665203502</v>
      </c>
      <c r="L10" s="0" t="n">
        <f aca="false">-L6*L9/100</f>
        <v>-381.333451596071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6775.4613825</v>
      </c>
      <c r="D11" s="0" t="n">
        <f aca="false">D8+D10+D24</f>
        <v>7454.6491523625</v>
      </c>
      <c r="E11" s="0" t="n">
        <f aca="false">E8+E10+E24</f>
        <v>8220.38821801312</v>
      </c>
      <c r="F11" s="0" t="n">
        <f aca="false">F8+F10+F24</f>
        <v>8837.73609813084</v>
      </c>
      <c r="G11" s="0" t="n">
        <f aca="false">G8+G10+G24</f>
        <v>9379.17638943462</v>
      </c>
      <c r="H11" s="0" t="n">
        <f aca="false">H8+H10+H24</f>
        <v>9754.343445012</v>
      </c>
      <c r="I11" s="0" t="n">
        <f aca="false">I8+I10+I24</f>
        <v>10095.7454655874</v>
      </c>
      <c r="J11" s="0" t="n">
        <f aca="false">J8+J10+J24</f>
        <v>10423.857193219</v>
      </c>
      <c r="K11" s="0" t="n">
        <f aca="false">K8+K10+K24</f>
        <v>10736.5729090156</v>
      </c>
      <c r="L11" s="0" t="n">
        <f aca="false">L8+L10+L24</f>
        <v>11058.6700962861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6775.4613825</v>
      </c>
      <c r="D13" s="0" t="n">
        <f aca="false">D11+D12</f>
        <v>7454.6491523625</v>
      </c>
      <c r="E13" s="0" t="n">
        <f aca="false">E11+E12</f>
        <v>8220.38821801312</v>
      </c>
      <c r="F13" s="0" t="n">
        <f aca="false">F11+F12</f>
        <v>8837.73609813084</v>
      </c>
      <c r="G13" s="0" t="n">
        <f aca="false">G11+G12</f>
        <v>9379.17638943462</v>
      </c>
      <c r="H13" s="0" t="n">
        <f aca="false">H11+H12</f>
        <v>9754.343445012</v>
      </c>
      <c r="I13" s="0" t="n">
        <f aca="false">I11+I12</f>
        <v>10095.7454655874</v>
      </c>
      <c r="J13" s="0" t="n">
        <f aca="false">J11+J12</f>
        <v>10423.857193219</v>
      </c>
      <c r="K13" s="0" t="n">
        <f aca="false">K11+K12</f>
        <v>10736.5729090156</v>
      </c>
      <c r="L13" s="0" t="n">
        <f aca="false">L11+L12</f>
        <v>11058.6700962861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21.5</v>
      </c>
      <c r="D14" s="4" t="n">
        <f aca="false">Assumptions!D47</f>
        <v>21.5</v>
      </c>
      <c r="E14" s="4" t="n">
        <f aca="false">Assumptions!E47</f>
        <v>21.5</v>
      </c>
      <c r="F14" s="4" t="n">
        <f aca="false">Assumptions!F47</f>
        <v>21.5</v>
      </c>
      <c r="G14" s="4" t="n">
        <f aca="false">Assumptions!G47</f>
        <v>21.5</v>
      </c>
      <c r="H14" s="4" t="n">
        <f aca="false">Assumptions!H47</f>
        <v>21.5</v>
      </c>
      <c r="I14" s="4" t="n">
        <f aca="false">Assumptions!I47</f>
        <v>21.5</v>
      </c>
      <c r="J14" s="4" t="n">
        <f aca="false">Assumptions!J47</f>
        <v>21.5</v>
      </c>
      <c r="K14" s="4" t="n">
        <f aca="false">Assumptions!K47</f>
        <v>21.5</v>
      </c>
      <c r="L14" s="4" t="n">
        <f aca="false">Assumptions!L47</f>
        <v>21.5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5318.7371852625</v>
      </c>
      <c r="D15" s="0" t="n">
        <f aca="false">D13-MAX(0,D13)*D14/100</f>
        <v>5851.89958460456</v>
      </c>
      <c r="E15" s="0" t="n">
        <f aca="false">E13-MAX(0,E13)*E14/100</f>
        <v>6453.0047511403</v>
      </c>
      <c r="F15" s="0" t="n">
        <f aca="false">F13-MAX(0,F13)*F14/100</f>
        <v>6937.62283703271</v>
      </c>
      <c r="G15" s="0" t="n">
        <f aca="false">G13-MAX(0,G13)*G14/100</f>
        <v>7362.65346570617</v>
      </c>
      <c r="H15" s="0" t="n">
        <f aca="false">H13-MAX(0,H13)*H14/100</f>
        <v>7657.15960433442</v>
      </c>
      <c r="I15" s="0" t="n">
        <f aca="false">I13-MAX(0,I13)*I14/100</f>
        <v>7925.16019048613</v>
      </c>
      <c r="J15" s="0" t="n">
        <f aca="false">J13-MAX(0,J13)*J14/100</f>
        <v>8182.72789667693</v>
      </c>
      <c r="K15" s="0" t="n">
        <f aca="false">K13-MAX(0,K13)*K14/100</f>
        <v>8428.20973357723</v>
      </c>
      <c r="L15" s="0" t="n">
        <f aca="false">L13-MAX(0,L13)*L14/100</f>
        <v>8681.05602558455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-2232.618993</v>
      </c>
      <c r="D17" s="4" t="n">
        <f aca="false">-D6*Assumptions!D46/100</f>
        <v>-2283.181246665</v>
      </c>
      <c r="E17" s="4" t="n">
        <f aca="false">-E6*Assumptions!E46/100</f>
        <v>-2325.28909752562</v>
      </c>
      <c r="F17" s="4" t="n">
        <f aca="false">-F6*Assumptions!F46/100</f>
        <v>-2290.24600830939</v>
      </c>
      <c r="G17" s="4" t="n">
        <f aca="false">-G6*Assumptions!G46/100</f>
        <v>-2206.44226172906</v>
      </c>
      <c r="H17" s="4" t="n">
        <f aca="false">-H6*Assumptions!H46/100</f>
        <v>-2294.69995219823</v>
      </c>
      <c r="I17" s="4" t="n">
        <f aca="false">-I6*Assumptions!I46/100</f>
        <v>-2375.01445052516</v>
      </c>
      <c r="J17" s="4" t="n">
        <f aca="false">-J6*Assumptions!J46/100</f>
        <v>-2452.20242016723</v>
      </c>
      <c r="K17" s="4" t="n">
        <f aca="false">-K6*Assumptions!K46/100</f>
        <v>-2525.76849277225</v>
      </c>
      <c r="L17" s="4" t="n">
        <f aca="false">-L6*Assumptions!L46/100</f>
        <v>-2601.54154755542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3086.1181922625</v>
      </c>
      <c r="D19" s="0" t="n">
        <f aca="false">D15+D16+D17+D18</f>
        <v>3568.71833793956</v>
      </c>
      <c r="E19" s="0" t="n">
        <f aca="false">E15+E16+E17+E18</f>
        <v>4127.71565361468</v>
      </c>
      <c r="F19" s="0" t="n">
        <f aca="false">F15+F16+F17+F18</f>
        <v>4647.37682872332</v>
      </c>
      <c r="G19" s="0" t="n">
        <f aca="false">G15+G16+G17+G18</f>
        <v>5156.21120397711</v>
      </c>
      <c r="H19" s="0" t="n">
        <f aca="false">H15+H16+H17+H18</f>
        <v>5362.4596521362</v>
      </c>
      <c r="I19" s="0" t="n">
        <f aca="false">I15+I16+I17+I18</f>
        <v>5550.14573996096</v>
      </c>
      <c r="J19" s="0" t="n">
        <f aca="false">J15+J16+J17+J18</f>
        <v>5730.52547650969</v>
      </c>
      <c r="K19" s="0" t="n">
        <f aca="false">K15+K16+K17+K18</f>
        <v>5902.44124080499</v>
      </c>
      <c r="L19" s="0" t="n">
        <f aca="false">L15+L16+L17+L18</f>
        <v>6079.51447802914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2805.56199296591</v>
      </c>
      <c r="D21" s="0" t="n">
        <f aca="false">D19*D20</f>
        <v>2949.35399829716</v>
      </c>
      <c r="E21" s="0" t="n">
        <f aca="false">E19*E20</f>
        <v>3101.21386447384</v>
      </c>
      <c r="F21" s="0" t="n">
        <f aca="false">F19*F20</f>
        <v>3174.22090616988</v>
      </c>
      <c r="G21" s="0" t="n">
        <f aca="false">G19*G20</f>
        <v>3201.60148274591</v>
      </c>
      <c r="H21" s="0" t="n">
        <f aca="false">H19*H20</f>
        <v>3026.96867459613</v>
      </c>
      <c r="I21" s="0" t="n">
        <f aca="false">I19*I20</f>
        <v>2848.10234382454</v>
      </c>
      <c r="J21" s="0" t="n">
        <f aca="false">J19*J20</f>
        <v>2673.33242727167</v>
      </c>
      <c r="K21" s="0" t="n">
        <f aca="false">K19*K20</f>
        <v>2503.21127280893</v>
      </c>
      <c r="L21" s="0" t="n">
        <f aca="false">L19*L20</f>
        <v>2343.91600999381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28627.4829731478</v>
      </c>
    </row>
    <row r="31" customFormat="false" ht="15" hidden="false" customHeight="false" outlineLevel="0" collapsed="false">
      <c r="A31" s="0" t="s">
        <v>137</v>
      </c>
      <c r="B31" s="0" t="n">
        <f aca="false">L19</f>
        <v>6079.51447802914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89455.7130338573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85113.2026924079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85113.2026924079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32814.8241399134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61442.3071130612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61442.3071130612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176.102915199373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0.556642050732545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1950.09422299616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2163.30242709717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187.892530132286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52182.4992697501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102.247837247283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95.7737839836528</v>
      </c>
      <c r="C4" s="0" t="n">
        <f aca="false">B4/Assumptions!$B$2-1</f>
        <v>-0.153418333035863</v>
      </c>
      <c r="D4" s="4" t="n">
        <f aca="false">Assumptions!$B$24</f>
        <v>0.25</v>
      </c>
      <c r="E4" s="4" t="n">
        <f aca="false">DCF_Bear!$B$43</f>
        <v>105.427324914719</v>
      </c>
      <c r="F4" s="4" t="n">
        <f aca="false">DCF_Bear!$B$47</f>
        <v>62.9004853749903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137.305021570908</v>
      </c>
      <c r="C5" s="0" t="n">
        <f aca="false">B5/Assumptions!$B$2-1</f>
        <v>0.21369240317253</v>
      </c>
      <c r="D5" s="4" t="n">
        <f aca="false">Assumptions!$B$38</f>
        <v>0.5</v>
      </c>
      <c r="E5" s="4" t="n">
        <f aca="false">DCF_Base!$B$43</f>
        <v>148.161238363525</v>
      </c>
      <c r="F5" s="4" t="n">
        <f aca="false">DCF_Base!$B$47</f>
        <v>82.8451556168164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176.102915199373</v>
      </c>
      <c r="C6" s="0" t="n">
        <f aca="false">B6/Assumptions!$B$2-1</f>
        <v>0.556642050732545</v>
      </c>
      <c r="D6" s="4" t="n">
        <f aca="false">Assumptions!$B$52</f>
        <v>0.25</v>
      </c>
      <c r="E6" s="4" t="n">
        <f aca="false">DCF_Bull!$B$43</f>
        <v>187.892530132286</v>
      </c>
      <c r="F6" s="4" t="n">
        <f aca="false">DCF_Bull!$B$47</f>
        <v>102.247837247283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136.621685581211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147.410582943513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0.171946975191187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-217.739448178384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82.7096584639764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147.188412267765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137.305021570908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123.732761383821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110.258228915694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82.8451556168164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158.01271690415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158.01271690415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158.01271690415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158.01271690415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158.01271690415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147.188412267765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147.188412267765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147.188412267765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147.188412267765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147.188412267765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131.717255804002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135.985687987055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137.305021570908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137.305021570908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137.305021570908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117.106140567129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120.235378175011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123.732761383821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127.667317493731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128.269907168222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105.30981121025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107.660309620336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110.258228915694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113.144805910536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116.370980198889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2026-10-02T07:40:56Z</dcterms:created>
  <dc:creator>openpyxl</dc:creator>
  <dc:description/>
  <dc:language>en-NZ</dc:language>
  <cp:lastModifiedBy/>
  <dcterms:modified xsi:type="dcterms:W3CDTF">2026-10-02T07:40:56Z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