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<sst xmlns="http://schemas.openxmlformats.org/spreadsheetml/2006/main" count="342" uniqueCount="162">
  <si>
    <t xml:space="preserve">Ticker</t>
  </si>
  <si>
    <t xml:space="preserve">2525.HK</t>
  </si>
  <si>
    <t xml:space="preserve">Company</t>
  </si>
  <si>
    <t xml:space="preserve">Hesai Group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</si>
  <si>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</si>
  <si>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</si>
  <si>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</si>
  <si>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</si>
  <si>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regular HK close (Yahoo chart meta regularMarketPrice). VOLATILE: the HK quote and HSAI ADS both fell ~20% over 2026-10-12 to 2026-10-16 to the 52-week low (52w range 12.78-28.85 post-split); the cause is not in the filings on hand and the price should be refreshed at the next regular close. Yahoo's HK daily bars for 10-13..10-16 are zero-volume placeholders (15.47) and are NOT the quote.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</si>
  <si>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</si>
  <si>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</si>
  <si>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</si>
  <si>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</si>
  <si>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</si>
  <si>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</si>
  <si>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</si>
  <si>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</si>
  <si>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</si>
  <si>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</si>
  <si>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</si>
  <si>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</si>
  <si>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</si>
  <si>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2026-10-18T06:12:12Z</t>
  </si>
  <si>
    <t xml:space="preserve">Drivers file</t>
  </si>
  <si>
    <t xml:space="preserve">2525.HK_Drivers.json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</si>
  <si>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</si>
  <si>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</si>
  <si>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</si>
  <si>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fresh-build owner-FCF DCF on a pre-FCF-inflection hardware growth company with 2.5 years of history. The model refuses to anchor on the (negative) historical FCF or on FY2025 reported profit, which was carried by grants, a one-off securities gain and interest income; instead it builds FY2026 from unit guidance and the H1 FY2026 margin run-rate, charges SBC as a cost (house basis), strips interest and investment income because the RMB7.1bn financial-asset pile is added back in the bridge, models working capital as a drag on growth (manufacturer sign), ramps cash tax to the 15% HNTE rate as NOLs are consumed, caps the terminal multiple at 15x, and prices geopolitical and competitive risk in the bear flows and a 25% bear weight rather than in the discount rate. Values are computed in RMB and reported in HKD at CNYHKD 1.1724; the HSAI ADS (8 shares per ADS post-subdivision) is the parity check.
key_risks_to_valuation: ASP deflation outrunning unit growth: FY2025 revenue/unit RMB1,869 -&gt; H1 FY2026 RMB1,401 (-25%); each further 10pp of annual ASP decline not offset by volume removes roughly a year of growth from the path; China lidar share loss to Huawei and RoboSense (Xiaomi dual-sourcing); installation-based share already compressing from the mid-40s toward the mid-30s; US regulatory tail: DoD 1260H list (remanded, not vacated), SDNY securities suit, latent Commerce Entity List / export-control risk on the ASIC supply chain and HFCAA pressure on the Nasdaq line; Working-capital absorption: receivables and inventory consumed ~50% of FY2025 revenue growth; if Chinese OEM payment terms do not improve the base case's -35% capture is too generous and FCF inflection slips beyond FY2028; Government grants (RMB143m FY2025, ~4.7% of revenue) and HNTE 15% tax status are policy-dependent; the margin path treats grants as fading, not disappearing; Net cash is ~45% of the current market value: any large acquisition, SGI cash burn beyond guidance or a persistent FX loss on the USD/HKD-denominated proceeds (H1 FY2026 FX loss RMB47m) directly reduces the bridge; The quote fell ~20% in the week to 2026-10-16 for a reason not visible in the filings on hand; the price anchor should be refreshed and the cause checked before acting</t>
  </si>
  <si>
    <t xml:space="preserve">Data sources</t>
  </si>
  <si>
    <t xml:space="preserve">price: Yahoo Finance chart API meta regularMarketPrice for 2525.HK at inputs.price_as_of (HKD); 52-week range 12.78-28.85 (post-subdivision). Parity against HSAI (Nasdaq ADS, 8 shares per ADS) and USDHKD=X per inputs.fx_note. FX from Yahoo CNYHKD=X.
financials: research/2525.HK/Reports/2525.HK_Metrics.csv (FY2023, FY2024, H1 FY2025, FY2025, H1 FY2026; CNY millions); 2525.HK_Annual_FY2025.txt (income statement lines 4735-4775, cash flow 4878-4947, government grants 6946, NOLs 7189, EPS note 7601-7627); 2525.HK_HalfYear_H1-2026.txt (balance sheet 1960-2047, cash flow 2157-2213, short-term investments 2975-2990, long-term investments and borrowings 3159-3225, EPS/diluted shares 3623-3660, share subdivision 1763-1779).
qualitative: research/2525.HK/Reports/2525.HK_Analysis.json (2026-10-18): business model, competitive position, guidance, bull/bear axes.</t>
  </si>
  <si>
    <t xml:space="preserve">Scenario narrative: bear</t>
  </si>
  <si>
    <t xml:space="preserve">ASP erosion and Huawei/RoboSense share gains cap growth at 22% then single digits; gross margin slides to the low-30s and EBITDA margin stalls at 13%; geopolitical action (Entity List / 1260H) strands overseas investment; working capital keeps absorbing cash so FCF stays negative to FY2029 and the equity is worth little more than net cash.</t>
  </si>
  <si>
    <t xml:space="preserve">Scenario narrative: base</t>
  </si>
  <si>
    <t xml:space="preserve">Hesai converts its No.1 ADAS/robotics lidar position into ~RMB12bn revenue by FY2035 as unit growth (3.25m in FY2026, ~10m+ by the terminal year) outruns persistent ASP deflation; pre-SBC EBITDA margin climbs from ~12.5% to 20% once SGI breaks even and R&amp;D scales; capex falls back to maintenance after the 4m-unit build; receivables keep growing with Chinese OEM revenue (WC -35% of growth) so owner FCF only turns positive around FY2028. About RMB4.9/share (HK$5.8) of the value is the net cash pile.</t>
  </si>
  <si>
    <t xml:space="preserve">Scenario narrative: bull</t>
  </si>
  <si>
    <t xml:space="preserve">Multi-lidar L3 content, overseas OEM wins, &gt;1m robotics units and a recurring SGI/Kosmo software stream push growth to 40%/35% in FY2026-27 and mature EBITDA margin to 24%; share leadership is defended through architecture convergence and the 1260H overhang is removed.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</si>
  <si>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</si>
  <si>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</si>
  <si>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</si>
  <si>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</si>
  <si>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</si>
  <si>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</si>
  <si>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</si>
  <si>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</si>
  <si>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</si>
  <si>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</si>
  <si>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</si>
  <si>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</si>
  <si>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</si>
  <si>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</si>
  <si>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</si>
  <si>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</si>
  <si>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</si>
  <si>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</si>
  <si>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</si>
  <si>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</si>
  <si>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</si>
  <si>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</si>
  <si>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</si>
  <si>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</si>
  <si>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</si>
  <si>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</si>
  <si>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</si>
  <si>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CashOnly</t>
  </si>
  <si>
    <t xml:space="preserve">EPSBasic</t>
  </si>
  <si>
    <t xml:space="preserve">SharesIssuedPeriodEnd</t>
  </si>
  <si>
    <t xml:space="preserve">ShortTermInvestments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</si>
  <si>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</si>
  <si>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</si>
  <si>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</si>
  <si>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</si>
  <si>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</si>
  <si>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</si>
  <si>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</si>
  <si>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</si>
  <si>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</si>
  <si>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</si>
  <si>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</si>
  <si>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</si>
  <si>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</si>
  <si>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</si>
  <si>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</si>
  <si>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</si>
  <si>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</si>
  <si>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</si>
  <si>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</si>
  <si>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</si>
  <si>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</si>
  <si>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</si>
  <si>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</si>
  <si>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</si>
  <si>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</si>
  <si>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</si>
  <si>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</si>
  <si>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</si>
  <si>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</si>
  <si>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</si>
  <si>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</si>
  <si>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</si>
  <si>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</si>
  <si>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</si>
  <si>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</si>
  <si>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</si>
  <si>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</si>
  <si>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</si>
  <si>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</si>
  <si>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</si>
  <si>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2525.HK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</si>
  <si>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</si>
  <si>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</si>
  <si>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</si>
  <si>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</si>
  <si>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</si>
  <si>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</si>
  <si>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</si>
  <si>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</si>
  <si>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</si>
  <si>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</si>
  <si>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</si>
  <si>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</si>
  <si>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</si>
  <si>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</si>
  <si>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</si>
  <si>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</si>
  <si>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</si>
  <si>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</si>
  <si>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</si>
  <si>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</si>
  <si>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</si>
  <si>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</si>
  <si>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</si>
  <si>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</si>
  <si>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</si>
  <si>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</si>
  <si>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</si>
  <si>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</si>
  <si>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</si>
  <si>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</si>
  <si>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2525.HK owner-FCF component DCF: base case (millions, CNY)</t>
  </si>
  <si>
    <t xml:space="preserve">2525.HK owner-FCF component DCF: bull case (millions, CNY)</t>
  </si>
  <si>
    <t xml:space="preserve">2525.HK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</si>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</sst>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12.92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</row>
    <row r="2" customFormat="false" ht="15" hidden="false" customHeight="false" outlineLevel="0" collapsed="false">
      <c r="A2" s="0" t="s">
        <v>68</v>
      </c>
      <c r="B2" s="0" t="n">
        <v>1876.989</v>
      </c>
      <c r="C2" s="0" t="n">
        <v>1215.611</v>
      </c>
      <c r="D2" s="0" t="n">
        <v>661.378</v>
      </c>
      <c r="E2" s="0" t="n">
        <v>35.2</v>
      </c>
      <c r="F2" s="0" t="n">
        <v>-571.591</v>
      </c>
      <c r="G2" s="0" t="n">
        <v>-30.5</v>
      </c>
      <c r="H2" s="0" t="n">
        <v>-485.323</v>
      </c>
      <c r="I2" s="0" t="n">
        <v>-475.968</v>
      </c>
      <c r="J2" s="0" t="n">
        <v>-25.4</v>
      </c>
      <c r="K2" s="0" t="n">
        <v>-0.47625</v>
      </c>
      <c r="L2" s="0" t="n">
        <v>57.261</v>
      </c>
      <c r="M2" s="0" t="n">
        <v>414.673</v>
      </c>
      <c r="N2" s="0" t="n">
        <v>-357.412</v>
      </c>
      <c r="O2" s="0" t="n">
        <v>3862.318</v>
      </c>
      <c r="P2" s="0" t="n">
        <v>5662.543</v>
      </c>
      <c r="Q2" s="0" t="n">
        <v>1800.225</v>
      </c>
      <c r="T2" s="0" t="n">
        <v>998.264</v>
      </c>
      <c r="U2" s="0" t="n">
        <v>234.624</v>
      </c>
      <c r="V2" s="0" t="n">
        <v>0</v>
      </c>
      <c r="AA2" s="0" t="s">
        <v>18</v>
      </c>
      <c r="AB2" s="0" t="s">
        <v>14</v>
      </c>
      <c r="AC2" s="0" t="n">
        <v>1554.583</v>
      </c>
      <c r="AD2" s="0" t="n">
        <v>-0.47625</v>
      </c>
    </row>
    <row r="3" customFormat="false" ht="15" hidden="false" customHeight="false" outlineLevel="0" collapsed="false">
      <c r="A3" s="0" t="s">
        <v>69</v>
      </c>
      <c r="B3" s="0" t="n">
        <v>2077.157</v>
      </c>
      <c r="C3" s="0" t="n">
        <v>1192.572</v>
      </c>
      <c r="D3" s="0" t="n">
        <v>884.585</v>
      </c>
      <c r="E3" s="0" t="n">
        <v>42.6</v>
      </c>
      <c r="F3" s="0" t="n">
        <v>-204.908</v>
      </c>
      <c r="G3" s="0" t="n">
        <v>-9.9</v>
      </c>
      <c r="H3" s="0" t="n">
        <v>-73.099</v>
      </c>
      <c r="I3" s="0" t="n">
        <v>-102.376</v>
      </c>
      <c r="J3" s="0" t="n">
        <v>-4.9</v>
      </c>
      <c r="K3" s="0" t="n">
        <v>-0.09875</v>
      </c>
      <c r="L3" s="0" t="n">
        <v>63.503</v>
      </c>
      <c r="M3" s="0" t="n">
        <v>271.358</v>
      </c>
      <c r="N3" s="0" t="n">
        <v>-207.855</v>
      </c>
      <c r="O3" s="0" t="n">
        <v>3931.731</v>
      </c>
      <c r="P3" s="0" t="n">
        <v>5989.611</v>
      </c>
      <c r="Q3" s="0" t="n">
        <v>2057.88</v>
      </c>
      <c r="R3" s="0" t="n">
        <v>614.691</v>
      </c>
      <c r="S3" s="0" t="n">
        <v>3201.161</v>
      </c>
      <c r="T3" s="0" t="n">
        <v>1033.505</v>
      </c>
      <c r="U3" s="0" t="n">
        <v>116.064</v>
      </c>
      <c r="V3" s="0" t="n">
        <v>0</v>
      </c>
      <c r="AA3" s="0" t="s">
        <v>18</v>
      </c>
      <c r="AB3" s="0" t="s">
        <v>14</v>
      </c>
      <c r="AC3" s="0" t="n">
        <v>2838.966</v>
      </c>
      <c r="AD3" s="0" t="n">
        <v>-0.09875</v>
      </c>
      <c r="AF3" s="0" t="n">
        <v>362.195</v>
      </c>
    </row>
    <row r="4" customFormat="false" ht="15" hidden="false" customHeight="false" outlineLevel="0" collapsed="false">
      <c r="A4" s="0" t="s">
        <v>70</v>
      </c>
      <c r="B4" s="0" t="n">
        <v>3027.573</v>
      </c>
      <c r="C4" s="0" t="n">
        <v>1762.477</v>
      </c>
      <c r="D4" s="0" t="n">
        <v>1265.096</v>
      </c>
      <c r="E4" s="0" t="n">
        <v>41.8</v>
      </c>
      <c r="F4" s="0" t="n">
        <v>168.753</v>
      </c>
      <c r="G4" s="0" t="n">
        <v>5.6</v>
      </c>
      <c r="H4" s="0" t="n">
        <v>292.542</v>
      </c>
      <c r="I4" s="0" t="n">
        <v>435.88</v>
      </c>
      <c r="J4" s="0" t="n">
        <v>14.4</v>
      </c>
      <c r="K4" s="0" t="n">
        <v>0.3725</v>
      </c>
      <c r="L4" s="0" t="n">
        <v>116.987</v>
      </c>
      <c r="M4" s="0" t="n">
        <v>342.195</v>
      </c>
      <c r="N4" s="0" t="n">
        <v>-225.208</v>
      </c>
      <c r="O4" s="0" t="n">
        <v>8958.754</v>
      </c>
      <c r="P4" s="0" t="n">
        <v>11261.278</v>
      </c>
      <c r="Q4" s="0" t="n">
        <v>2302.524</v>
      </c>
      <c r="R4" s="0" t="n">
        <v>726.96</v>
      </c>
      <c r="S4" s="0" t="n">
        <v>4755.348</v>
      </c>
      <c r="T4" s="0" t="n">
        <v>1171.497</v>
      </c>
      <c r="U4" s="0" t="n">
        <v>114.652</v>
      </c>
      <c r="V4" s="0" t="n">
        <v>0</v>
      </c>
      <c r="AA4" s="0" t="s">
        <v>18</v>
      </c>
      <c r="AB4" s="0" t="s">
        <v>14</v>
      </c>
      <c r="AC4" s="0" t="n">
        <v>1663.492</v>
      </c>
      <c r="AD4" s="0" t="n">
        <v>0.39125</v>
      </c>
      <c r="AE4" s="0" t="n">
        <v>1249.161</v>
      </c>
      <c r="AF4" s="0" t="n">
        <v>3091.856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12.92</v>
      </c>
    </row>
    <row r="3" customFormat="false" ht="15" hidden="false" customHeight="false" outlineLevel="0" collapsed="false">
      <c r="A3" s="0" t="s">
        <v>74</v>
      </c>
      <c r="B3" s="3" t="n">
        <v>1307.2</v>
      </c>
    </row>
    <row r="4" customFormat="false" ht="15" hidden="false" customHeight="false" outlineLevel="0" collapsed="false">
      <c r="A4" s="0" t="s">
        <v>75</v>
      </c>
      <c r="B4" s="3" t="n">
        <v>-6448</v>
      </c>
    </row>
    <row r="5" customFormat="false" ht="15" hidden="false" customHeight="false" outlineLevel="0" collapsed="false">
      <c r="A5" s="0" t="s">
        <v>76</v>
      </c>
      <c r="B5" s="3" t="n">
        <v>0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3027.573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1.1724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22</v>
      </c>
      <c r="D13" s="3" t="n">
        <v>15</v>
      </c>
      <c r="E13" s="3" t="n">
        <v>10</v>
      </c>
      <c r="F13" s="3" t="n">
        <v>7</v>
      </c>
      <c r="G13" s="3" t="n">
        <v>5</v>
      </c>
      <c r="H13" s="3" t="n">
        <v>4</v>
      </c>
      <c r="I13" s="3" t="n">
        <v>4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95</v>
      </c>
      <c r="C14" s="3" t="n">
        <v>9</v>
      </c>
      <c r="D14" s="3" t="n">
        <v>9.5</v>
      </c>
      <c r="E14" s="3" t="n">
        <v>10.5</v>
      </c>
      <c r="F14" s="3" t="n">
        <v>11.5</v>
      </c>
      <c r="G14" s="3" t="n">
        <v>12</v>
      </c>
      <c r="H14" s="3" t="n">
        <v>12.5</v>
      </c>
      <c r="I14" s="3" t="n">
        <v>13</v>
      </c>
      <c r="J14" s="3" t="n">
        <v>13</v>
      </c>
      <c r="K14" s="3" t="n">
        <v>13</v>
      </c>
      <c r="L14" s="3" t="n">
        <v>13</v>
      </c>
    </row>
    <row r="15" customFormat="false" ht="15" hidden="false" customHeight="false" outlineLevel="0" collapsed="false">
      <c r="A15" s="0" t="s">
        <v>96</v>
      </c>
      <c r="C15" s="3" t="n">
        <v>3.8</v>
      </c>
      <c r="D15" s="3" t="n">
        <v>3.6</v>
      </c>
      <c r="E15" s="3" t="n">
        <v>3.4</v>
      </c>
      <c r="F15" s="3" t="n">
        <v>3.2</v>
      </c>
      <c r="G15" s="3" t="n">
        <v>3</v>
      </c>
      <c r="H15" s="3" t="n">
        <v>2.9</v>
      </c>
      <c r="I15" s="3" t="n">
        <v>2.8</v>
      </c>
      <c r="J15" s="3" t="n">
        <v>2.7</v>
      </c>
      <c r="K15" s="3" t="n">
        <v>2.6</v>
      </c>
      <c r="L15" s="3" t="n">
        <v>2.5</v>
      </c>
    </row>
    <row r="16" customFormat="false" ht="15" hidden="false" customHeight="false" outlineLevel="0" collapsed="false">
      <c r="A16" s="0" t="s">
        <v>97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98</v>
      </c>
      <c r="C17" s="3" t="n">
        <v>4.5</v>
      </c>
      <c r="D17" s="3" t="n">
        <v>5</v>
      </c>
      <c r="E17" s="3" t="n">
        <v>5</v>
      </c>
      <c r="F17" s="3" t="n">
        <v>5</v>
      </c>
      <c r="G17" s="3" t="n">
        <v>5</v>
      </c>
      <c r="H17" s="3" t="n">
        <v>4.8</v>
      </c>
      <c r="I17" s="3" t="n">
        <v>4.5</v>
      </c>
      <c r="J17" s="3" t="n">
        <v>4.5</v>
      </c>
      <c r="K17" s="3" t="n">
        <v>4.5</v>
      </c>
      <c r="L17" s="3" t="n">
        <v>4.5</v>
      </c>
    </row>
    <row r="18" customFormat="false" ht="15" hidden="false" customHeight="false" outlineLevel="0" collapsed="false">
      <c r="A18" s="0" t="s">
        <v>99</v>
      </c>
      <c r="C18" s="3" t="n">
        <v>9</v>
      </c>
      <c r="D18" s="3" t="n">
        <v>7.5</v>
      </c>
      <c r="E18" s="3" t="n">
        <v>6.5</v>
      </c>
      <c r="F18" s="3" t="n">
        <v>5.5</v>
      </c>
      <c r="G18" s="3" t="n">
        <v>5</v>
      </c>
      <c r="H18" s="3" t="n">
        <v>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100</v>
      </c>
      <c r="C19" s="3" t="n">
        <v>2</v>
      </c>
      <c r="D19" s="3" t="n">
        <v>3</v>
      </c>
      <c r="E19" s="3" t="n">
        <v>5</v>
      </c>
      <c r="F19" s="3" t="n">
        <v>8</v>
      </c>
      <c r="G19" s="3" t="n">
        <v>10</v>
      </c>
      <c r="H19" s="3" t="n">
        <v>13</v>
      </c>
      <c r="I19" s="3" t="n">
        <v>16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101</v>
      </c>
      <c r="B20" s="3" t="n">
        <v>10</v>
      </c>
    </row>
    <row r="21" customFormat="false" ht="15" hidden="false" customHeight="false" outlineLevel="0" collapsed="false">
      <c r="A21" s="0" t="s">
        <v>102</v>
      </c>
      <c r="B21" s="3" t="n">
        <v>3</v>
      </c>
    </row>
    <row r="22" customFormat="false" ht="15" hidden="false" customHeight="false" outlineLevel="0" collapsed="false">
      <c r="A22" s="0" t="s">
        <v>103</v>
      </c>
      <c r="B22" s="3" t="n">
        <v>15</v>
      </c>
    </row>
    <row r="23" customFormat="false" ht="15" hidden="false" customHeight="false" outlineLevel="0" collapsed="false">
      <c r="A23" s="0" t="s">
        <v>104</v>
      </c>
      <c r="B23" s="3" t="n">
        <v>-45</v>
      </c>
    </row>
    <row r="24" customFormat="false" ht="15" hidden="false" customHeight="false" outlineLevel="0" collapsed="false">
      <c r="A24" s="0" t="s">
        <v>105</v>
      </c>
      <c r="B24" s="3" t="n">
        <v>0.25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34</v>
      </c>
      <c r="D27" s="3" t="n">
        <v>30</v>
      </c>
      <c r="E27" s="3" t="n">
        <v>24</v>
      </c>
      <c r="F27" s="3" t="n">
        <v>18</v>
      </c>
      <c r="G27" s="3" t="n">
        <v>14</v>
      </c>
      <c r="H27" s="3" t="n">
        <v>10</v>
      </c>
      <c r="I27" s="3" t="n">
        <v>8</v>
      </c>
      <c r="J27" s="3" t="n">
        <v>6</v>
      </c>
      <c r="K27" s="3" t="n">
        <v>5</v>
      </c>
      <c r="L27" s="3" t="n">
        <v>4</v>
      </c>
    </row>
    <row r="28" customFormat="false" ht="15" hidden="false" customHeight="false" outlineLevel="0" collapsed="false">
      <c r="A28" s="0" t="s">
        <v>95</v>
      </c>
      <c r="C28" s="3" t="n">
        <v>12.5</v>
      </c>
      <c r="D28" s="3" t="n">
        <v>14</v>
      </c>
      <c r="E28" s="3" t="n">
        <v>16</v>
      </c>
      <c r="F28" s="3" t="n">
        <v>17.5</v>
      </c>
      <c r="G28" s="3" t="n">
        <v>18.5</v>
      </c>
      <c r="H28" s="3" t="n">
        <v>19</v>
      </c>
      <c r="I28" s="3" t="n">
        <v>19.5</v>
      </c>
      <c r="J28" s="3" t="n">
        <v>20</v>
      </c>
      <c r="K28" s="3" t="n">
        <v>20</v>
      </c>
      <c r="L28" s="3" t="n">
        <v>20</v>
      </c>
    </row>
    <row r="29" customFormat="false" ht="15" hidden="false" customHeight="false" outlineLevel="0" collapsed="false">
      <c r="A29" s="0" t="s">
        <v>96</v>
      </c>
      <c r="C29" s="3" t="n">
        <v>3.8</v>
      </c>
      <c r="D29" s="3" t="n">
        <v>3.6</v>
      </c>
      <c r="E29" s="3" t="n">
        <v>3.4</v>
      </c>
      <c r="F29" s="3" t="n">
        <v>3.2</v>
      </c>
      <c r="G29" s="3" t="n">
        <v>3</v>
      </c>
      <c r="H29" s="3" t="n">
        <v>2.9</v>
      </c>
      <c r="I29" s="3" t="n">
        <v>2.8</v>
      </c>
      <c r="J29" s="3" t="n">
        <v>2.7</v>
      </c>
      <c r="K29" s="3" t="n">
        <v>2.6</v>
      </c>
      <c r="L29" s="3" t="n">
        <v>2.5</v>
      </c>
    </row>
    <row r="30" customFormat="false" ht="15" hidden="false" customHeight="false" outlineLevel="0" collapsed="false">
      <c r="A30" s="0" t="s">
        <v>97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98</v>
      </c>
      <c r="C31" s="3" t="n">
        <v>4.5</v>
      </c>
      <c r="D31" s="3" t="n">
        <v>5</v>
      </c>
      <c r="E31" s="3" t="n">
        <v>5</v>
      </c>
      <c r="F31" s="3" t="n">
        <v>5</v>
      </c>
      <c r="G31" s="3" t="n">
        <v>5</v>
      </c>
      <c r="H31" s="3" t="n">
        <v>4.8</v>
      </c>
      <c r="I31" s="3" t="n">
        <v>4.5</v>
      </c>
      <c r="J31" s="3" t="n">
        <v>4.5</v>
      </c>
      <c r="K31" s="3" t="n">
        <v>4.5</v>
      </c>
      <c r="L31" s="3" t="n">
        <v>4.5</v>
      </c>
    </row>
    <row r="32" customFormat="false" ht="15" hidden="false" customHeight="false" outlineLevel="0" collapsed="false">
      <c r="A32" s="0" t="s">
        <v>99</v>
      </c>
      <c r="C32" s="3" t="n">
        <v>9</v>
      </c>
      <c r="D32" s="3" t="n">
        <v>7.5</v>
      </c>
      <c r="E32" s="3" t="n">
        <v>6.5</v>
      </c>
      <c r="F32" s="3" t="n">
        <v>5.5</v>
      </c>
      <c r="G32" s="3" t="n">
        <v>5</v>
      </c>
      <c r="H32" s="3" t="n">
        <v>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100</v>
      </c>
      <c r="C33" s="3" t="n">
        <v>2</v>
      </c>
      <c r="D33" s="3" t="n">
        <v>3</v>
      </c>
      <c r="E33" s="3" t="n">
        <v>5</v>
      </c>
      <c r="F33" s="3" t="n">
        <v>8</v>
      </c>
      <c r="G33" s="3" t="n">
        <v>10</v>
      </c>
      <c r="H33" s="3" t="n">
        <v>12</v>
      </c>
      <c r="I33" s="3" t="n">
        <v>14</v>
      </c>
      <c r="J33" s="3" t="n">
        <v>15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101</v>
      </c>
      <c r="B34" s="3" t="n">
        <v>10</v>
      </c>
    </row>
    <row r="35" customFormat="false" ht="15" hidden="false" customHeight="false" outlineLevel="0" collapsed="false">
      <c r="A35" s="0" t="s">
        <v>102</v>
      </c>
      <c r="B35" s="3" t="n">
        <v>3</v>
      </c>
    </row>
    <row r="36" customFormat="false" ht="15" hidden="false" customHeight="false" outlineLevel="0" collapsed="false">
      <c r="A36" s="0" t="s">
        <v>103</v>
      </c>
      <c r="B36" s="3" t="n">
        <v>15</v>
      </c>
    </row>
    <row r="37" customFormat="false" ht="15" hidden="false" customHeight="false" outlineLevel="0" collapsed="false">
      <c r="A37" s="0" t="s">
        <v>104</v>
      </c>
      <c r="B37" s="3" t="n">
        <v>-35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40</v>
      </c>
      <c r="D41" s="3" t="n">
        <v>35</v>
      </c>
      <c r="E41" s="3" t="n">
        <v>28</v>
      </c>
      <c r="F41" s="3" t="n">
        <v>22</v>
      </c>
      <c r="G41" s="3" t="n">
        <v>17</v>
      </c>
      <c r="H41" s="3" t="n">
        <v>13</v>
      </c>
      <c r="I41" s="3" t="n">
        <v>10</v>
      </c>
      <c r="J41" s="3" t="n">
        <v>8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95</v>
      </c>
      <c r="C42" s="3" t="n">
        <v>13.5</v>
      </c>
      <c r="D42" s="3" t="n">
        <v>16</v>
      </c>
      <c r="E42" s="3" t="n">
        <v>18.5</v>
      </c>
      <c r="F42" s="3" t="n">
        <v>20.5</v>
      </c>
      <c r="G42" s="3" t="n">
        <v>22</v>
      </c>
      <c r="H42" s="3" t="n">
        <v>23</v>
      </c>
      <c r="I42" s="3" t="n">
        <v>23.5</v>
      </c>
      <c r="J42" s="3" t="n">
        <v>24</v>
      </c>
      <c r="K42" s="3" t="n">
        <v>24</v>
      </c>
      <c r="L42" s="3" t="n">
        <v>24</v>
      </c>
    </row>
    <row r="43" customFormat="false" ht="15" hidden="false" customHeight="false" outlineLevel="0" collapsed="false">
      <c r="A43" s="0" t="s">
        <v>96</v>
      </c>
      <c r="C43" s="3" t="n">
        <v>3.8</v>
      </c>
      <c r="D43" s="3" t="n">
        <v>3.6</v>
      </c>
      <c r="E43" s="3" t="n">
        <v>3.4</v>
      </c>
      <c r="F43" s="3" t="n">
        <v>3.2</v>
      </c>
      <c r="G43" s="3" t="n">
        <v>3</v>
      </c>
      <c r="H43" s="3" t="n">
        <v>2.9</v>
      </c>
      <c r="I43" s="3" t="n">
        <v>2.8</v>
      </c>
      <c r="J43" s="3" t="n">
        <v>2.7</v>
      </c>
      <c r="K43" s="3" t="n">
        <v>2.6</v>
      </c>
      <c r="L43" s="3" t="n">
        <v>2.5</v>
      </c>
    </row>
    <row r="44" customFormat="false" ht="15" hidden="false" customHeight="false" outlineLevel="0" collapsed="false">
      <c r="A44" s="0" t="s">
        <v>97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98</v>
      </c>
      <c r="C45" s="3" t="n">
        <v>4.5</v>
      </c>
      <c r="D45" s="3" t="n">
        <v>5</v>
      </c>
      <c r="E45" s="3" t="n">
        <v>5</v>
      </c>
      <c r="F45" s="3" t="n">
        <v>5</v>
      </c>
      <c r="G45" s="3" t="n">
        <v>5</v>
      </c>
      <c r="H45" s="3" t="n">
        <v>4.8</v>
      </c>
      <c r="I45" s="3" t="n">
        <v>4.5</v>
      </c>
      <c r="J45" s="3" t="n">
        <v>4.5</v>
      </c>
      <c r="K45" s="3" t="n">
        <v>4.5</v>
      </c>
      <c r="L45" s="3" t="n">
        <v>4.5</v>
      </c>
    </row>
    <row r="46" customFormat="false" ht="15" hidden="false" customHeight="false" outlineLevel="0" collapsed="false">
      <c r="A46" s="0" t="s">
        <v>99</v>
      </c>
      <c r="C46" s="3" t="n">
        <v>9</v>
      </c>
      <c r="D46" s="3" t="n">
        <v>7.5</v>
      </c>
      <c r="E46" s="3" t="n">
        <v>6.5</v>
      </c>
      <c r="F46" s="3" t="n">
        <v>5.5</v>
      </c>
      <c r="G46" s="3" t="n">
        <v>5</v>
      </c>
      <c r="H46" s="3" t="n">
        <v>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100</v>
      </c>
      <c r="C47" s="3" t="n">
        <v>2</v>
      </c>
      <c r="D47" s="3" t="n">
        <v>3</v>
      </c>
      <c r="E47" s="3" t="n">
        <v>5</v>
      </c>
      <c r="F47" s="3" t="n">
        <v>8</v>
      </c>
      <c r="G47" s="3" t="n">
        <v>10</v>
      </c>
      <c r="H47" s="3" t="n">
        <v>12</v>
      </c>
      <c r="I47" s="3" t="n">
        <v>14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101</v>
      </c>
      <c r="B48" s="3" t="n">
        <v>10</v>
      </c>
    </row>
    <row r="49" customFormat="false" ht="15" hidden="false" customHeight="false" outlineLevel="0" collapsed="false">
      <c r="A49" s="0" t="s">
        <v>102</v>
      </c>
      <c r="B49" s="3" t="n">
        <v>3</v>
      </c>
    </row>
    <row r="50" customFormat="false" ht="15" hidden="false" customHeight="false" outlineLevel="0" collapsed="false">
      <c r="A50" s="0" t="s">
        <v>103</v>
      </c>
      <c r="B50" s="3" t="n">
        <v>15</v>
      </c>
    </row>
    <row r="51" customFormat="false" ht="15" hidden="false" customHeight="false" outlineLevel="0" collapsed="false">
      <c r="A51" s="0" t="s">
        <v>104</v>
      </c>
      <c r="B51" s="3" t="n">
        <v>-25</v>
      </c>
    </row>
    <row r="52" customFormat="false" ht="15" hidden="false" customHeight="false" outlineLevel="0" collapsed="false">
      <c r="A52" s="0" t="s">
        <v>105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22</v>
      </c>
      <c r="D5" s="4" t="n">
        <f aca="false">Assumptions!D13</f>
        <v>15</v>
      </c>
      <c r="E5" s="4" t="n">
        <f aca="false">Assumptions!E13</f>
        <v>10</v>
      </c>
      <c r="F5" s="4" t="n">
        <f aca="false">Assumptions!F13</f>
        <v>7</v>
      </c>
      <c r="G5" s="4" t="n">
        <f aca="false">Assumptions!G13</f>
        <v>5</v>
      </c>
      <c r="H5" s="4" t="n">
        <f aca="false">Assumptions!H13</f>
        <v>4</v>
      </c>
      <c r="I5" s="4" t="n">
        <f aca="false">Assumptions!I13</f>
        <v>4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38</v>
      </c>
      <c r="B6" s="3" t="n">
        <v>3027.573</v>
      </c>
      <c r="C6" s="0" t="n">
        <f aca="false">B6*(1+C5/100)</f>
        <v>3693.63906</v>
      </c>
      <c r="D6" s="0" t="n">
        <f aca="false">C6*(1+D5/100)</f>
        <v>4247.684919</v>
      </c>
      <c r="E6" s="0" t="n">
        <f aca="false">D6*(1+E5/100)</f>
        <v>4672.4534109</v>
      </c>
      <c r="F6" s="0" t="n">
        <f aca="false">E6*(1+F5/100)</f>
        <v>4999.525149663</v>
      </c>
      <c r="G6" s="0" t="n">
        <f aca="false">F6*(1+G5/100)</f>
        <v>5249.50140714615</v>
      </c>
      <c r="H6" s="0" t="n">
        <f aca="false">G6*(1+H5/100)</f>
        <v>5459.481463432</v>
      </c>
      <c r="I6" s="0" t="n">
        <f aca="false">H6*(1+I5/100)</f>
        <v>5677.86072196928</v>
      </c>
      <c r="J6" s="0" t="n">
        <f aca="false">I6*(1+J5/100)</f>
        <v>5848.19654362836</v>
      </c>
      <c r="K6" s="0" t="n">
        <f aca="false">J6*(1+K5/100)</f>
        <v>6023.64243993721</v>
      </c>
      <c r="L6" s="0" t="n">
        <f aca="false">K6*(1+L5/100)</f>
        <v>6204.35171313532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9</v>
      </c>
      <c r="D7" s="4" t="n">
        <f aca="false">Assumptions!D14</f>
        <v>9.5</v>
      </c>
      <c r="E7" s="4" t="n">
        <f aca="false">Assumptions!E14</f>
        <v>10.5</v>
      </c>
      <c r="F7" s="4" t="n">
        <f aca="false">Assumptions!F14</f>
        <v>11.5</v>
      </c>
      <c r="G7" s="4" t="n">
        <f aca="false">Assumptions!G14</f>
        <v>12</v>
      </c>
      <c r="H7" s="4" t="n">
        <f aca="false">Assumptions!H14</f>
        <v>12.5</v>
      </c>
      <c r="I7" s="4" t="n">
        <f aca="false">Assumptions!I14</f>
        <v>13</v>
      </c>
      <c r="J7" s="4" t="n">
        <f aca="false">Assumptions!J14</f>
        <v>13</v>
      </c>
      <c r="K7" s="4" t="n">
        <f aca="false">Assumptions!K14</f>
        <v>13</v>
      </c>
      <c r="L7" s="4" t="n">
        <f aca="false">Assumptions!L14</f>
        <v>13</v>
      </c>
    </row>
    <row r="8" customFormat="false" ht="15" hidden="false" customHeight="false" outlineLevel="0" collapsed="false">
      <c r="A8" s="0" t="s">
        <v>44</v>
      </c>
      <c r="C8" s="0" t="n">
        <f aca="false">C6*C7/100</f>
        <v>332.4275154</v>
      </c>
      <c r="D8" s="0" t="n">
        <f aca="false">D6*D7/100</f>
        <v>403.530067305</v>
      </c>
      <c r="E8" s="0" t="n">
        <f aca="false">E6*E7/100</f>
        <v>490.6076081445</v>
      </c>
      <c r="F8" s="0" t="n">
        <f aca="false">F6*F7/100</f>
        <v>574.945392211245</v>
      </c>
      <c r="G8" s="0" t="n">
        <f aca="false">G6*G7/100</f>
        <v>629.940168857538</v>
      </c>
      <c r="H8" s="0" t="n">
        <f aca="false">H6*H7/100</f>
        <v>682.435182929</v>
      </c>
      <c r="I8" s="0" t="n">
        <f aca="false">I6*I7/100</f>
        <v>738.121893856006</v>
      </c>
      <c r="J8" s="0" t="n">
        <f aca="false">J6*J7/100</f>
        <v>760.265550671686</v>
      </c>
      <c r="K8" s="0" t="n">
        <f aca="false">K6*K7/100</f>
        <v>783.073517191837</v>
      </c>
      <c r="L8" s="0" t="n">
        <f aca="false">L6*L7/100</f>
        <v>806.565722707592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3.8</v>
      </c>
      <c r="D9" s="4" t="n">
        <f aca="false">Assumptions!D15</f>
        <v>3.6</v>
      </c>
      <c r="E9" s="4" t="n">
        <f aca="false">Assumptions!E15</f>
        <v>3.4</v>
      </c>
      <c r="F9" s="4" t="n">
        <f aca="false">Assumptions!F15</f>
        <v>3.2</v>
      </c>
      <c r="G9" s="4" t="n">
        <f aca="false">Assumptions!G15</f>
        <v>3</v>
      </c>
      <c r="H9" s="4" t="n">
        <f aca="false">Assumptions!H15</f>
        <v>2.9</v>
      </c>
      <c r="I9" s="4" t="n">
        <f aca="false">Assumptions!I15</f>
        <v>2.8</v>
      </c>
      <c r="J9" s="4" t="n">
        <f aca="false">Assumptions!J15</f>
        <v>2.7</v>
      </c>
      <c r="K9" s="4" t="n">
        <f aca="false">Assumptions!K15</f>
        <v>2.6</v>
      </c>
      <c r="L9" s="4" t="n">
        <f aca="false">Assumptions!L15</f>
        <v>2.5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-140.35828428</v>
      </c>
      <c r="D10" s="0" t="n">
        <f aca="false">-D6*D9/100</f>
        <v>-152.916657084</v>
      </c>
      <c r="E10" s="0" t="n">
        <f aca="false">-E6*E9/100</f>
        <v>-158.8634159706</v>
      </c>
      <c r="F10" s="0" t="n">
        <f aca="false">-F6*F9/100</f>
        <v>-159.984804789216</v>
      </c>
      <c r="G10" s="0" t="n">
        <f aca="false">-G6*G9/100</f>
        <v>-157.485042214385</v>
      </c>
      <c r="H10" s="0" t="n">
        <f aca="false">-H6*H9/100</f>
        <v>-158.324962439528</v>
      </c>
      <c r="I10" s="0" t="n">
        <f aca="false">-I6*I9/100</f>
        <v>-158.98010021514</v>
      </c>
      <c r="J10" s="0" t="n">
        <f aca="false">-J6*J9/100</f>
        <v>-157.901306677966</v>
      </c>
      <c r="K10" s="0" t="n">
        <f aca="false">-K6*K9/100</f>
        <v>-156.614703438367</v>
      </c>
      <c r="L10" s="0" t="n">
        <f aca="false">-L6*L9/100</f>
        <v>-155.108792828383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192.06923112</v>
      </c>
      <c r="D11" s="0" t="n">
        <f aca="false">D8+D10+D24</f>
        <v>250.613410221</v>
      </c>
      <c r="E11" s="0" t="n">
        <f aca="false">E8+E10+E24</f>
        <v>331.7441921739</v>
      </c>
      <c r="F11" s="0" t="n">
        <f aca="false">F8+F10+F24</f>
        <v>414.960587422029</v>
      </c>
      <c r="G11" s="0" t="n">
        <f aca="false">G8+G10+G24</f>
        <v>472.455126643153</v>
      </c>
      <c r="H11" s="0" t="n">
        <f aca="false">H8+H10+H24</f>
        <v>524.110220489472</v>
      </c>
      <c r="I11" s="0" t="n">
        <f aca="false">I8+I10+I24</f>
        <v>579.141793640866</v>
      </c>
      <c r="J11" s="0" t="n">
        <f aca="false">J8+J10+J24</f>
        <v>602.364243993721</v>
      </c>
      <c r="K11" s="0" t="n">
        <f aca="false">K8+K10+K24</f>
        <v>626.45881375347</v>
      </c>
      <c r="L11" s="0" t="n">
        <f aca="false">L8+L10+L24</f>
        <v>651.456929879209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-166.2137577</v>
      </c>
      <c r="D12" s="4" t="n">
        <f aca="false">-D6*Assumptions!D17/100</f>
        <v>-212.38424595</v>
      </c>
      <c r="E12" s="4" t="n">
        <f aca="false">-E6*Assumptions!E17/100</f>
        <v>-233.622670545</v>
      </c>
      <c r="F12" s="4" t="n">
        <f aca="false">-F6*Assumptions!F17/100</f>
        <v>-249.97625748315</v>
      </c>
      <c r="G12" s="4" t="n">
        <f aca="false">-G6*Assumptions!G17/100</f>
        <v>-262.475070357307</v>
      </c>
      <c r="H12" s="4" t="n">
        <f aca="false">-H6*Assumptions!H17/100</f>
        <v>-262.055110244736</v>
      </c>
      <c r="I12" s="4" t="n">
        <f aca="false">-I6*Assumptions!I17/100</f>
        <v>-255.503732488617</v>
      </c>
      <c r="J12" s="4" t="n">
        <f aca="false">-J6*Assumptions!J17/100</f>
        <v>-263.168844463276</v>
      </c>
      <c r="K12" s="4" t="n">
        <f aca="false">-K6*Assumptions!K17/100</f>
        <v>-271.063909797174</v>
      </c>
      <c r="L12" s="4" t="n">
        <f aca="false">-L6*Assumptions!L17/100</f>
        <v>-279.19582709109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25.85547342</v>
      </c>
      <c r="D13" s="0" t="n">
        <f aca="false">D11+D12</f>
        <v>38.229164271</v>
      </c>
      <c r="E13" s="0" t="n">
        <f aca="false">E11+E12</f>
        <v>98.1215216289</v>
      </c>
      <c r="F13" s="0" t="n">
        <f aca="false">F11+F12</f>
        <v>164.984329938879</v>
      </c>
      <c r="G13" s="0" t="n">
        <f aca="false">G11+G12</f>
        <v>209.980056285846</v>
      </c>
      <c r="H13" s="0" t="n">
        <f aca="false">H11+H12</f>
        <v>262.055110244736</v>
      </c>
      <c r="I13" s="0" t="n">
        <f aca="false">I11+I12</f>
        <v>323.638061152249</v>
      </c>
      <c r="J13" s="0" t="n">
        <f aca="false">J11+J12</f>
        <v>339.195399530445</v>
      </c>
      <c r="K13" s="0" t="n">
        <f aca="false">K11+K12</f>
        <v>355.394903956295</v>
      </c>
      <c r="L13" s="0" t="n">
        <f aca="false">L11+L12</f>
        <v>372.261102788119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2</v>
      </c>
      <c r="D14" s="4" t="n">
        <f aca="false">Assumptions!D19</f>
        <v>3</v>
      </c>
      <c r="E14" s="4" t="n">
        <f aca="false">Assumptions!E19</f>
        <v>5</v>
      </c>
      <c r="F14" s="4" t="n">
        <f aca="false">Assumptions!F19</f>
        <v>8</v>
      </c>
      <c r="G14" s="4" t="n">
        <f aca="false">Assumptions!G19</f>
        <v>10</v>
      </c>
      <c r="H14" s="4" t="n">
        <f aca="false">Assumptions!H19</f>
        <v>13</v>
      </c>
      <c r="I14" s="4" t="n">
        <f aca="false">Assumptions!I19</f>
        <v>16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25.3383639516</v>
      </c>
      <c r="D15" s="0" t="n">
        <f aca="false">D13-MAX(0,D13)*D14/100</f>
        <v>37.08228934287</v>
      </c>
      <c r="E15" s="0" t="n">
        <f aca="false">E13-MAX(0,E13)*E14/100</f>
        <v>93.215445547455</v>
      </c>
      <c r="F15" s="0" t="n">
        <f aca="false">F13-MAX(0,F13)*F14/100</f>
        <v>151.785583543769</v>
      </c>
      <c r="G15" s="0" t="n">
        <f aca="false">G13-MAX(0,G13)*G14/100</f>
        <v>188.982050657261</v>
      </c>
      <c r="H15" s="0" t="n">
        <f aca="false">H13-MAX(0,H13)*H14/100</f>
        <v>227.98794591292</v>
      </c>
      <c r="I15" s="0" t="n">
        <f aca="false">I13-MAX(0,I13)*I14/100</f>
        <v>271.855971367889</v>
      </c>
      <c r="J15" s="0" t="n">
        <f aca="false">J13-MAX(0,J13)*J14/100</f>
        <v>278.140227614965</v>
      </c>
      <c r="K15" s="0" t="n">
        <f aca="false">K13-MAX(0,K13)*K14/100</f>
        <v>291.423821244162</v>
      </c>
      <c r="L15" s="0" t="n">
        <f aca="false">L13-MAX(0,L13)*L14/100</f>
        <v>305.254104286258</v>
      </c>
    </row>
    <row r="16" customFormat="false" ht="15" hidden="false" customHeight="false" outlineLevel="0" collapsed="false">
      <c r="A16" s="0" t="s">
        <v>116</v>
      </c>
      <c r="C16" s="0" t="n">
        <f aca="false">-C12</f>
        <v>166.2137577</v>
      </c>
      <c r="D16" s="0" t="n">
        <f aca="false">-D12</f>
        <v>212.38424595</v>
      </c>
      <c r="E16" s="0" t="n">
        <f aca="false">-E12</f>
        <v>233.622670545</v>
      </c>
      <c r="F16" s="0" t="n">
        <f aca="false">-F12</f>
        <v>249.97625748315</v>
      </c>
      <c r="G16" s="0" t="n">
        <f aca="false">-G12</f>
        <v>262.475070357307</v>
      </c>
      <c r="H16" s="0" t="n">
        <f aca="false">-H12</f>
        <v>262.055110244736</v>
      </c>
      <c r="I16" s="0" t="n">
        <f aca="false">-I12</f>
        <v>255.503732488617</v>
      </c>
      <c r="J16" s="0" t="n">
        <f aca="false">-J12</f>
        <v>263.168844463276</v>
      </c>
      <c r="K16" s="0" t="n">
        <f aca="false">-K12</f>
        <v>271.063909797174</v>
      </c>
      <c r="L16" s="0" t="n">
        <f aca="false">-L12</f>
        <v>279.19582709109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-332.4275154</v>
      </c>
      <c r="D17" s="4" t="n">
        <f aca="false">-D6*Assumptions!D18/100</f>
        <v>-318.576368925</v>
      </c>
      <c r="E17" s="4" t="n">
        <f aca="false">-E6*Assumptions!E18/100</f>
        <v>-303.7094717085</v>
      </c>
      <c r="F17" s="4" t="n">
        <f aca="false">-F6*Assumptions!F18/100</f>
        <v>-274.973883231465</v>
      </c>
      <c r="G17" s="4" t="n">
        <f aca="false">-G6*Assumptions!G18/100</f>
        <v>-262.475070357307</v>
      </c>
      <c r="H17" s="4" t="n">
        <f aca="false">-H6*Assumptions!H18/100</f>
        <v>-272.9740731716</v>
      </c>
      <c r="I17" s="4" t="n">
        <f aca="false">-I6*Assumptions!I18/100</f>
        <v>-255.503732488617</v>
      </c>
      <c r="J17" s="4" t="n">
        <f aca="false">-J6*Assumptions!J18/100</f>
        <v>-263.168844463276</v>
      </c>
      <c r="K17" s="4" t="n">
        <f aca="false">-K6*Assumptions!K18/100</f>
        <v>-271.063909797174</v>
      </c>
      <c r="L17" s="4" t="n">
        <f aca="false">-L6*Assumptions!L18/100</f>
        <v>-279.19582709109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-299.729727</v>
      </c>
      <c r="D18" s="4" t="n">
        <f aca="false">(D6-C6)*Assumptions!$B$23/100</f>
        <v>-249.32063655</v>
      </c>
      <c r="E18" s="4" t="n">
        <f aca="false">(E6-D6)*Assumptions!$B$23/100</f>
        <v>-191.145821355</v>
      </c>
      <c r="F18" s="4" t="n">
        <f aca="false">(F6-E6)*Assumptions!$B$23/100</f>
        <v>-147.18228244335</v>
      </c>
      <c r="G18" s="4" t="n">
        <f aca="false">(G6-F6)*Assumptions!$B$23/100</f>
        <v>-112.489315867418</v>
      </c>
      <c r="H18" s="4" t="n">
        <f aca="false">(H6-G6)*Assumptions!$B$23/100</f>
        <v>-94.4910253286309</v>
      </c>
      <c r="I18" s="4" t="n">
        <f aca="false">(I6-H6)*Assumptions!$B$23/100</f>
        <v>-98.2706663417761</v>
      </c>
      <c r="J18" s="4" t="n">
        <f aca="false">(J6-I6)*Assumptions!$B$23/100</f>
        <v>-76.6511197465854</v>
      </c>
      <c r="K18" s="4" t="n">
        <f aca="false">(K6-J6)*Assumptions!$B$23/100</f>
        <v>-78.9506533389829</v>
      </c>
      <c r="L18" s="4" t="n">
        <f aca="false">(L6-K6)*Assumptions!$B$23/100</f>
        <v>-81.3191729391524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-440.6051207484</v>
      </c>
      <c r="D19" s="0" t="n">
        <f aca="false">D15+D16+D17+D18</f>
        <v>-318.43047018213</v>
      </c>
      <c r="E19" s="0" t="n">
        <f aca="false">E15+E16+E17+E18</f>
        <v>-168.017176971045</v>
      </c>
      <c r="F19" s="0" t="n">
        <f aca="false">F15+F16+F17+F18</f>
        <v>-20.3943246478964</v>
      </c>
      <c r="G19" s="0" t="n">
        <f aca="false">G15+G16+G17+G18</f>
        <v>76.4927347898438</v>
      </c>
      <c r="H19" s="0" t="n">
        <f aca="false">H15+H16+H17+H18</f>
        <v>122.577957657425</v>
      </c>
      <c r="I19" s="0" t="n">
        <f aca="false">I15+I16+I17+I18</f>
        <v>173.585305026113</v>
      </c>
      <c r="J19" s="0" t="n">
        <f aca="false">J15+J16+J17+J18</f>
        <v>201.489107868379</v>
      </c>
      <c r="K19" s="0" t="n">
        <f aca="false">K15+K16+K17+K18</f>
        <v>212.473167905179</v>
      </c>
      <c r="L19" s="0" t="n">
        <f aca="false">L15+L16+L17+L18</f>
        <v>223.934931347105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-400.550109771273</v>
      </c>
      <c r="D21" s="0" t="n">
        <f aca="false">D19*D20</f>
        <v>-263.165677836471</v>
      </c>
      <c r="E21" s="0" t="n">
        <f aca="false">E19*E20</f>
        <v>-126.233791864046</v>
      </c>
      <c r="F21" s="0" t="n">
        <f aca="false">F19*F20</f>
        <v>-13.9295981475968</v>
      </c>
      <c r="G21" s="0" t="n">
        <f aca="false">G19*G20</f>
        <v>47.4959700901229</v>
      </c>
      <c r="H21" s="0" t="n">
        <f aca="false">H19*H20</f>
        <v>69.1920614968524</v>
      </c>
      <c r="I21" s="0" t="n">
        <f aca="false">I19*I20</f>
        <v>89.0767084797033</v>
      </c>
      <c r="J21" s="0" t="n">
        <f aca="false">J19*J20</f>
        <v>93.9961558524739</v>
      </c>
      <c r="K21" s="0" t="n">
        <f aca="false">K19*K20</f>
        <v>90.1093644766435</v>
      </c>
      <c r="L21" s="0" t="n">
        <f aca="false">L19*L20</f>
        <v>86.3366100497393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-327.672307173851</v>
      </c>
    </row>
    <row r="31" customFormat="false" ht="15" hidden="false" customHeight="false" outlineLevel="0" collapsed="false">
      <c r="A31" s="0" t="s">
        <v>125</v>
      </c>
      <c r="B31" s="0" t="n">
        <f aca="false">L19</f>
        <v>223.934931347105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3295.04256125027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3359.02397020658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3295.04256125027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1270.38154787474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942.709240700885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7390.70924070088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6.6285706194903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-0.486952738429544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951.225318325814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879.931269038478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8.27089618790056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1922.10816072932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5.84313602575546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34</v>
      </c>
      <c r="D5" s="4" t="n">
        <f aca="false">Assumptions!D27</f>
        <v>30</v>
      </c>
      <c r="E5" s="4" t="n">
        <f aca="false">Assumptions!E27</f>
        <v>24</v>
      </c>
      <c r="F5" s="4" t="n">
        <f aca="false">Assumptions!F27</f>
        <v>18</v>
      </c>
      <c r="G5" s="4" t="n">
        <f aca="false">Assumptions!G27</f>
        <v>14</v>
      </c>
      <c r="H5" s="4" t="n">
        <f aca="false">Assumptions!H27</f>
        <v>10</v>
      </c>
      <c r="I5" s="4" t="n">
        <f aca="false">Assumptions!I27</f>
        <v>8</v>
      </c>
      <c r="J5" s="4" t="n">
        <f aca="false">Assumptions!J27</f>
        <v>6</v>
      </c>
      <c r="K5" s="4" t="n">
        <f aca="false">Assumptions!K27</f>
        <v>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38</v>
      </c>
      <c r="B6" s="3" t="n">
        <v>3027.573</v>
      </c>
      <c r="C6" s="0" t="n">
        <f aca="false">B6*(1+C5/100)</f>
        <v>4056.94782</v>
      </c>
      <c r="D6" s="0" t="n">
        <f aca="false">C6*(1+D5/100)</f>
        <v>5274.032166</v>
      </c>
      <c r="E6" s="0" t="n">
        <f aca="false">D6*(1+E5/100)</f>
        <v>6539.79988584</v>
      </c>
      <c r="F6" s="0" t="n">
        <f aca="false">E6*(1+F5/100)</f>
        <v>7716.9638652912</v>
      </c>
      <c r="G6" s="0" t="n">
        <f aca="false">F6*(1+G5/100)</f>
        <v>8797.33880643197</v>
      </c>
      <c r="H6" s="0" t="n">
        <f aca="false">G6*(1+H5/100)</f>
        <v>9677.07268707517</v>
      </c>
      <c r="I6" s="0" t="n">
        <f aca="false">H6*(1+I5/100)</f>
        <v>10451.2385020412</v>
      </c>
      <c r="J6" s="0" t="n">
        <f aca="false">I6*(1+J5/100)</f>
        <v>11078.3128121637</v>
      </c>
      <c r="K6" s="0" t="n">
        <f aca="false">J6*(1+K5/100)</f>
        <v>11632.2284527718</v>
      </c>
      <c r="L6" s="0" t="n">
        <f aca="false">K6*(1+L5/100)</f>
        <v>12097.5175908827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12.5</v>
      </c>
      <c r="D7" s="4" t="n">
        <f aca="false">Assumptions!D28</f>
        <v>14</v>
      </c>
      <c r="E7" s="4" t="n">
        <f aca="false">Assumptions!E28</f>
        <v>16</v>
      </c>
      <c r="F7" s="4" t="n">
        <f aca="false">Assumptions!F28</f>
        <v>17.5</v>
      </c>
      <c r="G7" s="4" t="n">
        <f aca="false">Assumptions!G28</f>
        <v>18.5</v>
      </c>
      <c r="H7" s="4" t="n">
        <f aca="false">Assumptions!H28</f>
        <v>19</v>
      </c>
      <c r="I7" s="4" t="n">
        <f aca="false">Assumptions!I28</f>
        <v>19.5</v>
      </c>
      <c r="J7" s="4" t="n">
        <f aca="false">Assumptions!J28</f>
        <v>20</v>
      </c>
      <c r="K7" s="4" t="n">
        <f aca="false">Assumptions!K28</f>
        <v>20</v>
      </c>
      <c r="L7" s="4" t="n">
        <f aca="false">Assumptions!L28</f>
        <v>20</v>
      </c>
    </row>
    <row r="8" customFormat="false" ht="15" hidden="false" customHeight="false" outlineLevel="0" collapsed="false">
      <c r="A8" s="0" t="s">
        <v>44</v>
      </c>
      <c r="C8" s="0" t="n">
        <f aca="false">C6*C7/100</f>
        <v>507.1184775</v>
      </c>
      <c r="D8" s="0" t="n">
        <f aca="false">D6*D7/100</f>
        <v>738.36450324</v>
      </c>
      <c r="E8" s="0" t="n">
        <f aca="false">E6*E7/100</f>
        <v>1046.3679817344</v>
      </c>
      <c r="F8" s="0" t="n">
        <f aca="false">F6*F7/100</f>
        <v>1350.46867642596</v>
      </c>
      <c r="G8" s="0" t="n">
        <f aca="false">G6*G7/100</f>
        <v>1627.50767918991</v>
      </c>
      <c r="H8" s="0" t="n">
        <f aca="false">H6*H7/100</f>
        <v>1838.64381054428</v>
      </c>
      <c r="I8" s="0" t="n">
        <f aca="false">I6*I7/100</f>
        <v>2037.99150789803</v>
      </c>
      <c r="J8" s="0" t="n">
        <f aca="false">J6*J7/100</f>
        <v>2215.66256243273</v>
      </c>
      <c r="K8" s="0" t="n">
        <f aca="false">K6*K7/100</f>
        <v>2326.44569055437</v>
      </c>
      <c r="L8" s="0" t="n">
        <f aca="false">L6*L7/100</f>
        <v>2419.50351817654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3.8</v>
      </c>
      <c r="D9" s="4" t="n">
        <f aca="false">Assumptions!D29</f>
        <v>3.6</v>
      </c>
      <c r="E9" s="4" t="n">
        <f aca="false">Assumptions!E29</f>
        <v>3.4</v>
      </c>
      <c r="F9" s="4" t="n">
        <f aca="false">Assumptions!F29</f>
        <v>3.2</v>
      </c>
      <c r="G9" s="4" t="n">
        <f aca="false">Assumptions!G29</f>
        <v>3</v>
      </c>
      <c r="H9" s="4" t="n">
        <f aca="false">Assumptions!H29</f>
        <v>2.9</v>
      </c>
      <c r="I9" s="4" t="n">
        <f aca="false">Assumptions!I29</f>
        <v>2.8</v>
      </c>
      <c r="J9" s="4" t="n">
        <f aca="false">Assumptions!J29</f>
        <v>2.7</v>
      </c>
      <c r="K9" s="4" t="n">
        <f aca="false">Assumptions!K29</f>
        <v>2.6</v>
      </c>
      <c r="L9" s="4" t="n">
        <f aca="false">Assumptions!L29</f>
        <v>2.5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-154.16401716</v>
      </c>
      <c r="D10" s="0" t="n">
        <f aca="false">-D6*D9/100</f>
        <v>-189.865157976</v>
      </c>
      <c r="E10" s="0" t="n">
        <f aca="false">-E6*E9/100</f>
        <v>-222.35319611856</v>
      </c>
      <c r="F10" s="0" t="n">
        <f aca="false">-F6*F9/100</f>
        <v>-246.942843689318</v>
      </c>
      <c r="G10" s="0" t="n">
        <f aca="false">-G6*G9/100</f>
        <v>-263.920164192959</v>
      </c>
      <c r="H10" s="0" t="n">
        <f aca="false">-H6*H9/100</f>
        <v>-280.63510792518</v>
      </c>
      <c r="I10" s="0" t="n">
        <f aca="false">-I6*I9/100</f>
        <v>-292.634678057153</v>
      </c>
      <c r="J10" s="0" t="n">
        <f aca="false">-J6*J9/100</f>
        <v>-299.114445928419</v>
      </c>
      <c r="K10" s="0" t="n">
        <f aca="false">-K6*K9/100</f>
        <v>-302.437939772068</v>
      </c>
      <c r="L10" s="0" t="n">
        <f aca="false">-L6*L9/100</f>
        <v>-302.437939772068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352.95446034</v>
      </c>
      <c r="D11" s="0" t="n">
        <f aca="false">D8+D10+D24</f>
        <v>548.499345264</v>
      </c>
      <c r="E11" s="0" t="n">
        <f aca="false">E8+E10+E24</f>
        <v>824.01478561584</v>
      </c>
      <c r="F11" s="0" t="n">
        <f aca="false">F8+F10+F24</f>
        <v>1103.52583273664</v>
      </c>
      <c r="G11" s="0" t="n">
        <f aca="false">G8+G10+G24</f>
        <v>1363.58751499696</v>
      </c>
      <c r="H11" s="0" t="n">
        <f aca="false">H8+H10+H24</f>
        <v>1558.0087026191</v>
      </c>
      <c r="I11" s="0" t="n">
        <f aca="false">I8+I10+I24</f>
        <v>1745.35682984088</v>
      </c>
      <c r="J11" s="0" t="n">
        <f aca="false">J8+J10+J24</f>
        <v>1916.54811650431</v>
      </c>
      <c r="K11" s="0" t="n">
        <f aca="false">K8+K10+K24</f>
        <v>2024.0077507823</v>
      </c>
      <c r="L11" s="0" t="n">
        <f aca="false">L8+L10+L24</f>
        <v>2117.06557840447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-182.5626519</v>
      </c>
      <c r="D12" s="4" t="n">
        <f aca="false">-D6*Assumptions!D31/100</f>
        <v>-263.7016083</v>
      </c>
      <c r="E12" s="4" t="n">
        <f aca="false">-E6*Assumptions!E31/100</f>
        <v>-326.989994292</v>
      </c>
      <c r="F12" s="4" t="n">
        <f aca="false">-F6*Assumptions!F31/100</f>
        <v>-385.84819326456</v>
      </c>
      <c r="G12" s="4" t="n">
        <f aca="false">-G6*Assumptions!G31/100</f>
        <v>-439.866940321598</v>
      </c>
      <c r="H12" s="4" t="n">
        <f aca="false">-H6*Assumptions!H31/100</f>
        <v>-464.499488979608</v>
      </c>
      <c r="I12" s="4" t="n">
        <f aca="false">-I6*Assumptions!I31/100</f>
        <v>-470.305732591853</v>
      </c>
      <c r="J12" s="4" t="n">
        <f aca="false">-J6*Assumptions!J31/100</f>
        <v>-498.524076547364</v>
      </c>
      <c r="K12" s="4" t="n">
        <f aca="false">-K6*Assumptions!K31/100</f>
        <v>-523.450280374733</v>
      </c>
      <c r="L12" s="4" t="n">
        <f aca="false">-L6*Assumptions!L31/100</f>
        <v>-544.388291589722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170.39180844</v>
      </c>
      <c r="D13" s="0" t="n">
        <f aca="false">D11+D12</f>
        <v>284.797736964</v>
      </c>
      <c r="E13" s="0" t="n">
        <f aca="false">E11+E12</f>
        <v>497.02479132384</v>
      </c>
      <c r="F13" s="0" t="n">
        <f aca="false">F11+F12</f>
        <v>717.677639472081</v>
      </c>
      <c r="G13" s="0" t="n">
        <f aca="false">G11+G12</f>
        <v>923.720574675357</v>
      </c>
      <c r="H13" s="0" t="n">
        <f aca="false">H11+H12</f>
        <v>1093.50921363949</v>
      </c>
      <c r="I13" s="0" t="n">
        <f aca="false">I11+I12</f>
        <v>1275.05109724902</v>
      </c>
      <c r="J13" s="0" t="n">
        <f aca="false">J11+J12</f>
        <v>1418.02403995695</v>
      </c>
      <c r="K13" s="0" t="n">
        <f aca="false">K11+K12</f>
        <v>1500.55747040757</v>
      </c>
      <c r="L13" s="0" t="n">
        <f aca="false">L11+L12</f>
        <v>1572.67728681475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</v>
      </c>
      <c r="D14" s="4" t="n">
        <f aca="false">Assumptions!D33</f>
        <v>3</v>
      </c>
      <c r="E14" s="4" t="n">
        <f aca="false">Assumptions!E33</f>
        <v>5</v>
      </c>
      <c r="F14" s="4" t="n">
        <f aca="false">Assumptions!F33</f>
        <v>8</v>
      </c>
      <c r="G14" s="4" t="n">
        <f aca="false">Assumptions!G33</f>
        <v>10</v>
      </c>
      <c r="H14" s="4" t="n">
        <f aca="false">Assumptions!H33</f>
        <v>12</v>
      </c>
      <c r="I14" s="4" t="n">
        <f aca="false">Assumptions!I33</f>
        <v>14</v>
      </c>
      <c r="J14" s="4" t="n">
        <f aca="false">Assumptions!J33</f>
        <v>15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166.9839722712</v>
      </c>
      <c r="D15" s="0" t="n">
        <f aca="false">D13-MAX(0,D13)*D14/100</f>
        <v>276.25380485508</v>
      </c>
      <c r="E15" s="0" t="n">
        <f aca="false">E13-MAX(0,E13)*E14/100</f>
        <v>472.173551757648</v>
      </c>
      <c r="F15" s="0" t="n">
        <f aca="false">F13-MAX(0,F13)*F14/100</f>
        <v>660.263428314315</v>
      </c>
      <c r="G15" s="0" t="n">
        <f aca="false">G13-MAX(0,G13)*G14/100</f>
        <v>831.348517207821</v>
      </c>
      <c r="H15" s="0" t="n">
        <f aca="false">H13-MAX(0,H13)*H14/100</f>
        <v>962.288108002755</v>
      </c>
      <c r="I15" s="0" t="n">
        <f aca="false">I13-MAX(0,I13)*I14/100</f>
        <v>1096.54394363416</v>
      </c>
      <c r="J15" s="0" t="n">
        <f aca="false">J13-MAX(0,J13)*J14/100</f>
        <v>1205.32043396341</v>
      </c>
      <c r="K15" s="0" t="n">
        <f aca="false">K13-MAX(0,K13)*K14/100</f>
        <v>1275.47384984643</v>
      </c>
      <c r="L15" s="0" t="n">
        <f aca="false">L13-MAX(0,L13)*L14/100</f>
        <v>1336.77569379254</v>
      </c>
    </row>
    <row r="16" customFormat="false" ht="15" hidden="false" customHeight="false" outlineLevel="0" collapsed="false">
      <c r="A16" s="0" t="s">
        <v>116</v>
      </c>
      <c r="C16" s="0" t="n">
        <f aca="false">-C12</f>
        <v>182.5626519</v>
      </c>
      <c r="D16" s="0" t="n">
        <f aca="false">-D12</f>
        <v>263.7016083</v>
      </c>
      <c r="E16" s="0" t="n">
        <f aca="false">-E12</f>
        <v>326.989994292</v>
      </c>
      <c r="F16" s="0" t="n">
        <f aca="false">-F12</f>
        <v>385.84819326456</v>
      </c>
      <c r="G16" s="0" t="n">
        <f aca="false">-G12</f>
        <v>439.866940321598</v>
      </c>
      <c r="H16" s="0" t="n">
        <f aca="false">-H12</f>
        <v>464.499488979608</v>
      </c>
      <c r="I16" s="0" t="n">
        <f aca="false">-I12</f>
        <v>470.305732591853</v>
      </c>
      <c r="J16" s="0" t="n">
        <f aca="false">-J12</f>
        <v>498.524076547364</v>
      </c>
      <c r="K16" s="0" t="n">
        <f aca="false">-K12</f>
        <v>523.450280374733</v>
      </c>
      <c r="L16" s="0" t="n">
        <f aca="false">-L12</f>
        <v>544.388291589722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-365.1253038</v>
      </c>
      <c r="D17" s="4" t="n">
        <f aca="false">-D6*Assumptions!D32/100</f>
        <v>-395.55241245</v>
      </c>
      <c r="E17" s="4" t="n">
        <f aca="false">-E6*Assumptions!E32/100</f>
        <v>-425.0869925796</v>
      </c>
      <c r="F17" s="4" t="n">
        <f aca="false">-F6*Assumptions!F32/100</f>
        <v>-424.433012591016</v>
      </c>
      <c r="G17" s="4" t="n">
        <f aca="false">-G6*Assumptions!G32/100</f>
        <v>-439.866940321598</v>
      </c>
      <c r="H17" s="4" t="n">
        <f aca="false">-H6*Assumptions!H32/100</f>
        <v>-483.853634353758</v>
      </c>
      <c r="I17" s="4" t="n">
        <f aca="false">-I6*Assumptions!I32/100</f>
        <v>-470.305732591853</v>
      </c>
      <c r="J17" s="4" t="n">
        <f aca="false">-J6*Assumptions!J32/100</f>
        <v>-498.524076547364</v>
      </c>
      <c r="K17" s="4" t="n">
        <f aca="false">-K6*Assumptions!K32/100</f>
        <v>-523.450280374733</v>
      </c>
      <c r="L17" s="4" t="n">
        <f aca="false">-L6*Assumptions!L32/100</f>
        <v>-544.388291589722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-360.281187</v>
      </c>
      <c r="D18" s="4" t="n">
        <f aca="false">(D6-C6)*Assumptions!$B$37/100</f>
        <v>-425.9795211</v>
      </c>
      <c r="E18" s="4" t="n">
        <f aca="false">(E6-D6)*Assumptions!$B$37/100</f>
        <v>-443.018701944</v>
      </c>
      <c r="F18" s="4" t="n">
        <f aca="false">(F6-E6)*Assumptions!$B$37/100</f>
        <v>-412.00739280792</v>
      </c>
      <c r="G18" s="4" t="n">
        <f aca="false">(G6-F6)*Assumptions!$B$37/100</f>
        <v>-378.131229399269</v>
      </c>
      <c r="H18" s="4" t="n">
        <f aca="false">(H6-G6)*Assumptions!$B$37/100</f>
        <v>-307.906858225119</v>
      </c>
      <c r="I18" s="4" t="n">
        <f aca="false">(I6-H6)*Assumptions!$B$37/100</f>
        <v>-270.958035238105</v>
      </c>
      <c r="J18" s="4" t="n">
        <f aca="false">(J6-I6)*Assumptions!$B$37/100</f>
        <v>-219.476008542865</v>
      </c>
      <c r="K18" s="4" t="n">
        <f aca="false">(K6-J6)*Assumptions!$B$37/100</f>
        <v>-193.870474212864</v>
      </c>
      <c r="L18" s="4" t="n">
        <f aca="false">(L6-K6)*Assumptions!$B$37/100</f>
        <v>-162.851198338806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-375.8598666288</v>
      </c>
      <c r="D19" s="0" t="n">
        <f aca="false">D15+D16+D17+D18</f>
        <v>-281.57652039492</v>
      </c>
      <c r="E19" s="0" t="n">
        <f aca="false">E15+E16+E17+E18</f>
        <v>-68.9421484739518</v>
      </c>
      <c r="F19" s="0" t="n">
        <f aca="false">F15+F16+F17+F18</f>
        <v>209.671216179939</v>
      </c>
      <c r="G19" s="0" t="n">
        <f aca="false">G15+G16+G17+G18</f>
        <v>453.217287808552</v>
      </c>
      <c r="H19" s="0" t="n">
        <f aca="false">H15+H16+H17+H18</f>
        <v>635.027104403485</v>
      </c>
      <c r="I19" s="0" t="n">
        <f aca="false">I15+I16+I17+I18</f>
        <v>825.585908396056</v>
      </c>
      <c r="J19" s="0" t="n">
        <f aca="false">J15+J16+J17+J18</f>
        <v>985.84442542054</v>
      </c>
      <c r="K19" s="0" t="n">
        <f aca="false">K15+K16+K17+K18</f>
        <v>1081.60337563357</v>
      </c>
      <c r="L19" s="0" t="n">
        <f aca="false">L15+L16+L17+L18</f>
        <v>1173.92449545373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-341.690787844364</v>
      </c>
      <c r="D21" s="0" t="n">
        <f aca="false">D19*D20</f>
        <v>-232.707868094975</v>
      </c>
      <c r="E21" s="0" t="n">
        <f aca="false">E19*E20</f>
        <v>-51.7972565544341</v>
      </c>
      <c r="F21" s="0" t="n">
        <f aca="false">F19*F20</f>
        <v>143.208261853657</v>
      </c>
      <c r="G21" s="0" t="n">
        <f aca="false">G19*G20</f>
        <v>281.412277979368</v>
      </c>
      <c r="H21" s="0" t="n">
        <f aca="false">H19*H20</f>
        <v>358.456245313305</v>
      </c>
      <c r="I21" s="0" t="n">
        <f aca="false">I19*I20</f>
        <v>423.656111190308</v>
      </c>
      <c r="J21" s="0" t="n">
        <f aca="false">J19*J20</f>
        <v>459.903700197306</v>
      </c>
      <c r="K21" s="0" t="n">
        <f aca="false">K19*K20</f>
        <v>458.705415629836</v>
      </c>
      <c r="L21" s="0" t="n">
        <f aca="false">L19*L20</f>
        <v>452.598711519136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1951.74481118914</v>
      </c>
    </row>
    <row r="31" customFormat="false" ht="15" hidden="false" customHeight="false" outlineLevel="0" collapsed="false">
      <c r="A31" s="0" t="s">
        <v>125</v>
      </c>
      <c r="B31" s="0" t="n">
        <f aca="false">L19</f>
        <v>1173.92449545373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17273.4604331049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17608.867431806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17273.4604331049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6659.66675521014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8611.41156639928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15059.4115663993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13.5064673504028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0.0453922097834969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1489.64293762474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1715.72865274934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16.3812972559678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10076.1852526446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9.15141820544665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40</v>
      </c>
      <c r="D5" s="4" t="n">
        <f aca="false">Assumptions!D41</f>
        <v>35</v>
      </c>
      <c r="E5" s="4" t="n">
        <f aca="false">Assumptions!E41</f>
        <v>28</v>
      </c>
      <c r="F5" s="4" t="n">
        <f aca="false">Assumptions!F41</f>
        <v>22</v>
      </c>
      <c r="G5" s="4" t="n">
        <f aca="false">Assumptions!G41</f>
        <v>17</v>
      </c>
      <c r="H5" s="4" t="n">
        <f aca="false">Assumptions!H41</f>
        <v>13</v>
      </c>
      <c r="I5" s="4" t="n">
        <f aca="false">Assumptions!I41</f>
        <v>10</v>
      </c>
      <c r="J5" s="4" t="n">
        <f aca="false">Assumptions!J41</f>
        <v>8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38</v>
      </c>
      <c r="B6" s="3" t="n">
        <v>3027.573</v>
      </c>
      <c r="C6" s="0" t="n">
        <f aca="false">B6*(1+C5/100)</f>
        <v>4238.6022</v>
      </c>
      <c r="D6" s="0" t="n">
        <f aca="false">C6*(1+D5/100)</f>
        <v>5722.11297</v>
      </c>
      <c r="E6" s="0" t="n">
        <f aca="false">D6*(1+E5/100)</f>
        <v>7324.3046016</v>
      </c>
      <c r="F6" s="0" t="n">
        <f aca="false">E6*(1+F5/100)</f>
        <v>8935.651613952</v>
      </c>
      <c r="G6" s="0" t="n">
        <f aca="false">F6*(1+G5/100)</f>
        <v>10454.7123883238</v>
      </c>
      <c r="H6" s="0" t="n">
        <f aca="false">G6*(1+H5/100)</f>
        <v>11813.8249988059</v>
      </c>
      <c r="I6" s="0" t="n">
        <f aca="false">H6*(1+I5/100)</f>
        <v>12995.2074986865</v>
      </c>
      <c r="J6" s="0" t="n">
        <f aca="false">I6*(1+J5/100)</f>
        <v>14034.8240985815</v>
      </c>
      <c r="K6" s="0" t="n">
        <f aca="false">J6*(1+K5/100)</f>
        <v>14876.9135444963</v>
      </c>
      <c r="L6" s="0" t="n">
        <f aca="false">K6*(1+L5/100)</f>
        <v>15620.7592217212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13.5</v>
      </c>
      <c r="D7" s="4" t="n">
        <f aca="false">Assumptions!D42</f>
        <v>16</v>
      </c>
      <c r="E7" s="4" t="n">
        <f aca="false">Assumptions!E42</f>
        <v>18.5</v>
      </c>
      <c r="F7" s="4" t="n">
        <f aca="false">Assumptions!F42</f>
        <v>20.5</v>
      </c>
      <c r="G7" s="4" t="n">
        <f aca="false">Assumptions!G42</f>
        <v>22</v>
      </c>
      <c r="H7" s="4" t="n">
        <f aca="false">Assumptions!H42</f>
        <v>23</v>
      </c>
      <c r="I7" s="4" t="n">
        <f aca="false">Assumptions!I42</f>
        <v>23.5</v>
      </c>
      <c r="J7" s="4" t="n">
        <f aca="false">Assumptions!J42</f>
        <v>24</v>
      </c>
      <c r="K7" s="4" t="n">
        <f aca="false">Assumptions!K42</f>
        <v>24</v>
      </c>
      <c r="L7" s="4" t="n">
        <f aca="false">Assumptions!L42</f>
        <v>24</v>
      </c>
    </row>
    <row r="8" customFormat="false" ht="15" hidden="false" customHeight="false" outlineLevel="0" collapsed="false">
      <c r="A8" s="0" t="s">
        <v>44</v>
      </c>
      <c r="C8" s="0" t="n">
        <f aca="false">C6*C7/100</f>
        <v>572.211297</v>
      </c>
      <c r="D8" s="0" t="n">
        <f aca="false">D6*D7/100</f>
        <v>915.5380752</v>
      </c>
      <c r="E8" s="0" t="n">
        <f aca="false">E6*E7/100</f>
        <v>1354.996351296</v>
      </c>
      <c r="F8" s="0" t="n">
        <f aca="false">F6*F7/100</f>
        <v>1831.80858086016</v>
      </c>
      <c r="G8" s="0" t="n">
        <f aca="false">G6*G7/100</f>
        <v>2300.03672543124</v>
      </c>
      <c r="H8" s="0" t="n">
        <f aca="false">H6*H7/100</f>
        <v>2717.17974972537</v>
      </c>
      <c r="I8" s="0" t="n">
        <f aca="false">I6*I7/100</f>
        <v>3053.87376219133</v>
      </c>
      <c r="J8" s="0" t="n">
        <f aca="false">J6*J7/100</f>
        <v>3368.35778365955</v>
      </c>
      <c r="K8" s="0" t="n">
        <f aca="false">K6*K7/100</f>
        <v>3570.45925067912</v>
      </c>
      <c r="L8" s="0" t="n">
        <f aca="false">L6*L7/100</f>
        <v>3748.98221321308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3.8</v>
      </c>
      <c r="D9" s="4" t="n">
        <f aca="false">Assumptions!D43</f>
        <v>3.6</v>
      </c>
      <c r="E9" s="4" t="n">
        <f aca="false">Assumptions!E43</f>
        <v>3.4</v>
      </c>
      <c r="F9" s="4" t="n">
        <f aca="false">Assumptions!F43</f>
        <v>3.2</v>
      </c>
      <c r="G9" s="4" t="n">
        <f aca="false">Assumptions!G43</f>
        <v>3</v>
      </c>
      <c r="H9" s="4" t="n">
        <f aca="false">Assumptions!H43</f>
        <v>2.9</v>
      </c>
      <c r="I9" s="4" t="n">
        <f aca="false">Assumptions!I43</f>
        <v>2.8</v>
      </c>
      <c r="J9" s="4" t="n">
        <f aca="false">Assumptions!J43</f>
        <v>2.7</v>
      </c>
      <c r="K9" s="4" t="n">
        <f aca="false">Assumptions!K43</f>
        <v>2.6</v>
      </c>
      <c r="L9" s="4" t="n">
        <f aca="false">Assumptions!L43</f>
        <v>2.5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-161.0668836</v>
      </c>
      <c r="D10" s="0" t="n">
        <f aca="false">-D6*D9/100</f>
        <v>-205.99606692</v>
      </c>
      <c r="E10" s="0" t="n">
        <f aca="false">-E6*E9/100</f>
        <v>-249.0263564544</v>
      </c>
      <c r="F10" s="0" t="n">
        <f aca="false">-F6*F9/100</f>
        <v>-285.940851646464</v>
      </c>
      <c r="G10" s="0" t="n">
        <f aca="false">-G6*G9/100</f>
        <v>-313.641371649715</v>
      </c>
      <c r="H10" s="0" t="n">
        <f aca="false">-H6*H9/100</f>
        <v>-342.600924965372</v>
      </c>
      <c r="I10" s="0" t="n">
        <f aca="false">-I6*I9/100</f>
        <v>-363.865809963223</v>
      </c>
      <c r="J10" s="0" t="n">
        <f aca="false">-J6*J9/100</f>
        <v>-378.940250661699</v>
      </c>
      <c r="K10" s="0" t="n">
        <f aca="false">-K6*K9/100</f>
        <v>-386.799752156905</v>
      </c>
      <c r="L10" s="0" t="n">
        <f aca="false">-L6*L9/100</f>
        <v>-390.518980543029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411.1444134</v>
      </c>
      <c r="D11" s="0" t="n">
        <f aca="false">D8+D10+D24</f>
        <v>709.54200828</v>
      </c>
      <c r="E11" s="0" t="n">
        <f aca="false">E8+E10+E24</f>
        <v>1105.9699948416</v>
      </c>
      <c r="F11" s="0" t="n">
        <f aca="false">F8+F10+F24</f>
        <v>1545.8677292137</v>
      </c>
      <c r="G11" s="0" t="n">
        <f aca="false">G8+G10+G24</f>
        <v>1986.39535378153</v>
      </c>
      <c r="H11" s="0" t="n">
        <f aca="false">H8+H10+H24</f>
        <v>2374.57882475999</v>
      </c>
      <c r="I11" s="0" t="n">
        <f aca="false">I8+I10+I24</f>
        <v>2690.00795222811</v>
      </c>
      <c r="J11" s="0" t="n">
        <f aca="false">J8+J10+J24</f>
        <v>2989.41753299785</v>
      </c>
      <c r="K11" s="0" t="n">
        <f aca="false">K8+K10+K24</f>
        <v>3183.65949852222</v>
      </c>
      <c r="L11" s="0" t="n">
        <f aca="false">L8+L10+L24</f>
        <v>3358.46323267005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-190.737099</v>
      </c>
      <c r="D12" s="4" t="n">
        <f aca="false">-D6*Assumptions!D45/100</f>
        <v>-286.1056485</v>
      </c>
      <c r="E12" s="4" t="n">
        <f aca="false">-E6*Assumptions!E45/100</f>
        <v>-366.21523008</v>
      </c>
      <c r="F12" s="4" t="n">
        <f aca="false">-F6*Assumptions!F45/100</f>
        <v>-446.7825806976</v>
      </c>
      <c r="G12" s="4" t="n">
        <f aca="false">-G6*Assumptions!G45/100</f>
        <v>-522.735619416192</v>
      </c>
      <c r="H12" s="4" t="n">
        <f aca="false">-H6*Assumptions!H45/100</f>
        <v>-567.063599942685</v>
      </c>
      <c r="I12" s="4" t="n">
        <f aca="false">-I6*Assumptions!I45/100</f>
        <v>-584.784337440894</v>
      </c>
      <c r="J12" s="4" t="n">
        <f aca="false">-J6*Assumptions!J45/100</f>
        <v>-631.567084436165</v>
      </c>
      <c r="K12" s="4" t="n">
        <f aca="false">-K6*Assumptions!K45/100</f>
        <v>-669.461109502335</v>
      </c>
      <c r="L12" s="4" t="n">
        <f aca="false">-L6*Assumptions!L45/100</f>
        <v>-702.934164977452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220.4073144</v>
      </c>
      <c r="D13" s="0" t="n">
        <f aca="false">D11+D12</f>
        <v>423.43635978</v>
      </c>
      <c r="E13" s="0" t="n">
        <f aca="false">E11+E12</f>
        <v>739.7547647616</v>
      </c>
      <c r="F13" s="0" t="n">
        <f aca="false">F11+F12</f>
        <v>1099.0851485161</v>
      </c>
      <c r="G13" s="0" t="n">
        <f aca="false">G11+G12</f>
        <v>1463.65973436534</v>
      </c>
      <c r="H13" s="0" t="n">
        <f aca="false">H11+H12</f>
        <v>1807.51522481731</v>
      </c>
      <c r="I13" s="0" t="n">
        <f aca="false">I11+I12</f>
        <v>2105.22361478722</v>
      </c>
      <c r="J13" s="0" t="n">
        <f aca="false">J11+J12</f>
        <v>2357.85044856168</v>
      </c>
      <c r="K13" s="0" t="n">
        <f aca="false">K11+K12</f>
        <v>2514.19838901988</v>
      </c>
      <c r="L13" s="0" t="n">
        <f aca="false">L11+L12</f>
        <v>2655.5290676926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</v>
      </c>
      <c r="D14" s="4" t="n">
        <f aca="false">Assumptions!D47</f>
        <v>3</v>
      </c>
      <c r="E14" s="4" t="n">
        <f aca="false">Assumptions!E47</f>
        <v>5</v>
      </c>
      <c r="F14" s="4" t="n">
        <f aca="false">Assumptions!F47</f>
        <v>8</v>
      </c>
      <c r="G14" s="4" t="n">
        <f aca="false">Assumptions!G47</f>
        <v>10</v>
      </c>
      <c r="H14" s="4" t="n">
        <f aca="false">Assumptions!H47</f>
        <v>12</v>
      </c>
      <c r="I14" s="4" t="n">
        <f aca="false">Assumptions!I47</f>
        <v>14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215.999168112</v>
      </c>
      <c r="D15" s="0" t="n">
        <f aca="false">D13-MAX(0,D13)*D14/100</f>
        <v>410.7332689866</v>
      </c>
      <c r="E15" s="0" t="n">
        <f aca="false">E13-MAX(0,E13)*E14/100</f>
        <v>702.76702652352</v>
      </c>
      <c r="F15" s="0" t="n">
        <f aca="false">F13-MAX(0,F13)*F14/100</f>
        <v>1011.15833663481</v>
      </c>
      <c r="G15" s="0" t="n">
        <f aca="false">G13-MAX(0,G13)*G14/100</f>
        <v>1317.2937609288</v>
      </c>
      <c r="H15" s="0" t="n">
        <f aca="false">H13-MAX(0,H13)*H14/100</f>
        <v>1590.61339783923</v>
      </c>
      <c r="I15" s="0" t="n">
        <f aca="false">I13-MAX(0,I13)*I14/100</f>
        <v>1810.49230871701</v>
      </c>
      <c r="J15" s="0" t="n">
        <f aca="false">J13-MAX(0,J13)*J14/100</f>
        <v>2004.17288127743</v>
      </c>
      <c r="K15" s="0" t="n">
        <f aca="false">K13-MAX(0,K13)*K14/100</f>
        <v>2137.0686306669</v>
      </c>
      <c r="L15" s="0" t="n">
        <f aca="false">L13-MAX(0,L13)*L14/100</f>
        <v>2257.19970753871</v>
      </c>
    </row>
    <row r="16" customFormat="false" ht="15" hidden="false" customHeight="false" outlineLevel="0" collapsed="false">
      <c r="A16" s="0" t="s">
        <v>116</v>
      </c>
      <c r="C16" s="0" t="n">
        <f aca="false">-C12</f>
        <v>190.737099</v>
      </c>
      <c r="D16" s="0" t="n">
        <f aca="false">-D12</f>
        <v>286.1056485</v>
      </c>
      <c r="E16" s="0" t="n">
        <f aca="false">-E12</f>
        <v>366.21523008</v>
      </c>
      <c r="F16" s="0" t="n">
        <f aca="false">-F12</f>
        <v>446.7825806976</v>
      </c>
      <c r="G16" s="0" t="n">
        <f aca="false">-G12</f>
        <v>522.735619416192</v>
      </c>
      <c r="H16" s="0" t="n">
        <f aca="false">-H12</f>
        <v>567.063599942685</v>
      </c>
      <c r="I16" s="0" t="n">
        <f aca="false">-I12</f>
        <v>584.784337440894</v>
      </c>
      <c r="J16" s="0" t="n">
        <f aca="false">-J12</f>
        <v>631.567084436165</v>
      </c>
      <c r="K16" s="0" t="n">
        <f aca="false">-K12</f>
        <v>669.461109502335</v>
      </c>
      <c r="L16" s="0" t="n">
        <f aca="false">-L12</f>
        <v>702.934164977452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-381.474198</v>
      </c>
      <c r="D17" s="4" t="n">
        <f aca="false">-D6*Assumptions!D46/100</f>
        <v>-429.15847275</v>
      </c>
      <c r="E17" s="4" t="n">
        <f aca="false">-E6*Assumptions!E46/100</f>
        <v>-476.079799104</v>
      </c>
      <c r="F17" s="4" t="n">
        <f aca="false">-F6*Assumptions!F46/100</f>
        <v>-491.46083876736</v>
      </c>
      <c r="G17" s="4" t="n">
        <f aca="false">-G6*Assumptions!G46/100</f>
        <v>-522.735619416192</v>
      </c>
      <c r="H17" s="4" t="n">
        <f aca="false">-H6*Assumptions!H46/100</f>
        <v>-590.691249940297</v>
      </c>
      <c r="I17" s="4" t="n">
        <f aca="false">-I6*Assumptions!I46/100</f>
        <v>-584.784337440894</v>
      </c>
      <c r="J17" s="4" t="n">
        <f aca="false">-J6*Assumptions!J46/100</f>
        <v>-631.567084436165</v>
      </c>
      <c r="K17" s="4" t="n">
        <f aca="false">-K6*Assumptions!K46/100</f>
        <v>-669.461109502335</v>
      </c>
      <c r="L17" s="4" t="n">
        <f aca="false">-L6*Assumptions!L46/100</f>
        <v>-702.934164977452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-302.7573</v>
      </c>
      <c r="D18" s="4" t="n">
        <f aca="false">(D6-C6)*Assumptions!$B$51/100</f>
        <v>-370.8776925</v>
      </c>
      <c r="E18" s="4" t="n">
        <f aca="false">(E6-D6)*Assumptions!$B$51/100</f>
        <v>-400.5479079</v>
      </c>
      <c r="F18" s="4" t="n">
        <f aca="false">(F6-E6)*Assumptions!$B$51/100</f>
        <v>-402.836753088</v>
      </c>
      <c r="G18" s="4" t="n">
        <f aca="false">(G6-F6)*Assumptions!$B$51/100</f>
        <v>-379.76519359296</v>
      </c>
      <c r="H18" s="4" t="n">
        <f aca="false">(H6-G6)*Assumptions!$B$51/100</f>
        <v>-339.778152620525</v>
      </c>
      <c r="I18" s="4" t="n">
        <f aca="false">(I6-H6)*Assumptions!$B$51/100</f>
        <v>-295.345624970149</v>
      </c>
      <c r="J18" s="4" t="n">
        <f aca="false">(J6-I6)*Assumptions!$B$51/100</f>
        <v>-259.904149973731</v>
      </c>
      <c r="K18" s="4" t="n">
        <f aca="false">(K6-J6)*Assumptions!$B$51/100</f>
        <v>-210.522361478722</v>
      </c>
      <c r="L18" s="4" t="n">
        <f aca="false">(L6-K6)*Assumptions!$B$51/100</f>
        <v>-185.961419306204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-277.495230888</v>
      </c>
      <c r="D19" s="0" t="n">
        <f aca="false">D15+D16+D17+D18</f>
        <v>-103.1972477634</v>
      </c>
      <c r="E19" s="0" t="n">
        <f aca="false">E15+E16+E17+E18</f>
        <v>192.35454959952</v>
      </c>
      <c r="F19" s="0" t="n">
        <f aca="false">F15+F16+F17+F18</f>
        <v>563.643325477048</v>
      </c>
      <c r="G19" s="0" t="n">
        <f aca="false">G15+G16+G17+G18</f>
        <v>937.528567335844</v>
      </c>
      <c r="H19" s="0" t="n">
        <f aca="false">H15+H16+H17+H18</f>
        <v>1227.20759522109</v>
      </c>
      <c r="I19" s="0" t="n">
        <f aca="false">I15+I16+I17+I18</f>
        <v>1515.14668374686</v>
      </c>
      <c r="J19" s="0" t="n">
        <f aca="false">J15+J16+J17+J18</f>
        <v>1744.2687313037</v>
      </c>
      <c r="K19" s="0" t="n">
        <f aca="false">K15+K16+K17+K18</f>
        <v>1926.54626918818</v>
      </c>
      <c r="L19" s="0" t="n">
        <f aca="false">L15+L16+L17+L18</f>
        <v>2071.2382882325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-252.268391716364</v>
      </c>
      <c r="D21" s="0" t="n">
        <f aca="false">D19*D20</f>
        <v>-85.2869816226446</v>
      </c>
      <c r="E21" s="0" t="n">
        <f aca="false">E19*E20</f>
        <v>144.518820134876</v>
      </c>
      <c r="F21" s="0" t="n">
        <f aca="false">F19*F20</f>
        <v>384.975975327538</v>
      </c>
      <c r="G21" s="0" t="n">
        <f aca="false">G19*G20</f>
        <v>582.131478435926</v>
      </c>
      <c r="H21" s="0" t="n">
        <f aca="false">H19*H20</f>
        <v>692.726694266297</v>
      </c>
      <c r="I21" s="0" t="n">
        <f aca="false">I19*I20</f>
        <v>777.509821075033</v>
      </c>
      <c r="J21" s="0" t="n">
        <f aca="false">J19*J20</f>
        <v>813.714236222244</v>
      </c>
      <c r="K21" s="0" t="n">
        <f aca="false">K19*K20</f>
        <v>817.043684447102</v>
      </c>
      <c r="L21" s="0" t="n">
        <f aca="false">L19*L20</f>
        <v>798.552022837551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4673.61735940756</v>
      </c>
    </row>
    <row r="31" customFormat="false" ht="15" hidden="false" customHeight="false" outlineLevel="0" collapsed="false">
      <c r="A31" s="0" t="s">
        <v>125</v>
      </c>
      <c r="B31" s="0" t="n">
        <f aca="false">L19</f>
        <v>2071.2382882325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30476.7919554211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31068.5743234875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30476.7919554211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11750.1226217525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16423.7399811601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22871.7399811601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20.5131792793085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0.587707374559483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1765.30560952074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2215.41187876462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24.083400502737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17778.1286406623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12.7069711355484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6.6285706194903</v>
      </c>
      <c r="C4" s="0" t="n">
        <f aca="false">B4/Assumptions!$B$2-1</f>
        <v>-0.486952738429544</v>
      </c>
      <c r="D4" s="4" t="n">
        <f aca="false">Assumptions!$B$24</f>
        <v>0.25</v>
      </c>
      <c r="E4" s="4" t="n">
        <f aca="false">DCF_Bear!$B$43</f>
        <v>8.27089618790056</v>
      </c>
      <c r="F4" s="4" t="n">
        <f aca="false">DCF_Bear!$B$47</f>
        <v>5.84313602575546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13.5064673504028</v>
      </c>
      <c r="C5" s="0" t="n">
        <f aca="false">B5/Assumptions!$B$2-1</f>
        <v>0.0453922097834969</v>
      </c>
      <c r="D5" s="4" t="n">
        <f aca="false">Assumptions!$B$38</f>
        <v>0.5</v>
      </c>
      <c r="E5" s="4" t="n">
        <f aca="false">DCF_Base!$B$43</f>
        <v>16.3812972559678</v>
      </c>
      <c r="F5" s="4" t="n">
        <f aca="false">DCF_Base!$B$47</f>
        <v>9.15141820544665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20.5131792793085</v>
      </c>
      <c r="C6" s="0" t="n">
        <f aca="false">B6/Assumptions!$B$2-1</f>
        <v>0.587707374559483</v>
      </c>
      <c r="D6" s="4" t="n">
        <f aca="false">Assumptions!$B$52</f>
        <v>0.25</v>
      </c>
      <c r="E6" s="4" t="n">
        <f aca="false">DCF_Bull!$B$43</f>
        <v>24.083400502737</v>
      </c>
      <c r="F6" s="4" t="n">
        <f aca="false">DCF_Bull!$B$47</f>
        <v>12.7069711355484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13.5386711499011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16.2792228006433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0.0456965933400055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-22.5746940304353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9.21323589304928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14.3618317695142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13.5064673504028</v>
      </c>
      <c r="C16" s="3" t="n">
        <v>10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12.1632433192103</v>
      </c>
      <c r="C17" s="3" t="n">
        <v>11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11.1359355616575</v>
      </c>
      <c r="C18" s="3" t="n">
        <v>12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9.15141820544665</v>
      </c>
      <c r="C19" s="3" t="n">
        <v>15</v>
      </c>
    </row>
    <row r="21" customFormat="false" ht="15" hidden="false" customHeight="false" outlineLevel="0" collapsed="false">
      <c r="A21" s="2" t="s">
        <v>161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15.1770449002367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15.1770449002367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15.1770449002367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15.1770449002367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15.1770449002367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14.1712276991869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14.3618317695142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14.3618317695142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14.3618317695142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14.3618317695142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12.709112313569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13.0812113307581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13.5064673504028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13.6224462648513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13.6224462648513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11.59158749853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11.8606020023796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12.1632433192103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12.5062368116185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12.8982293743708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10.7140747130503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10.9139035360748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11.1359355616575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11.3840890020147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11.6632616224165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2026-10-18T06:12:12Z</dcterms:created>
  <dc:creator>openpyxl</dc:creator>
  <dc:description/>
  <dc:language>en-NZ</dc:language>
  <cp:lastModifiedBy/>
  <dcterms:modified xsi:type="dcterms:W3CDTF">2026-10-18T06:12:12Z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