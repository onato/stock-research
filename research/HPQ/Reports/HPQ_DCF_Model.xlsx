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<sst xmlns="http://schemas.openxmlformats.org/spreadsheetml/2006/main" count="390" uniqueCount="176">
  <si>
    <t xml:space="preserve">Ticker</t>
  </si>
  <si>
    <t xml:space="preserve">HPQ</t>
  </si>
  <si>
    <t xml:space="preserve">Company</t>
  </si>
  <si>
    <t xml:space="preserve">HP Inc.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</si>
  <si>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</si>
  <si>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</si>
  <si>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</si>
  <si>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</si>
  <si>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2026-09-28T20:00:03Z regular close</t>
  </si>
  <si>
    <t xml:space="preserve">Balance sheet date</t>
  </si>
  <si>
    <t xml:space="preserve">2026-07-31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</si>
  <si>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</si>
  <si>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</si>
  <si>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</si>
  <si>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</si>
  <si>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</si>
  <si>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</si>
  <si>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</si>
  <si>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</si>
  <si>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</si>
  <si>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</si>
  <si>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2026-09-28T21:20:30Z</t>
  </si>
  <si>
    <t xml:space="preserve">Drivers file</t>
  </si>
  <si>
    <t xml:space="preserve">HPQ_Drivers.json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</si>
  <si>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</si>
  <si>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</si>
  <si>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</si>
  <si>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HP as a mature, cash-generative hardware OEM in mild structural decline, on fully SBC-expensed owner FCF with a flat share count, unlevered flows discounted at a USD WACC and net debt of ~$5.0B deducted. The FY26 revenue base is treated as a cyclical/pricing peak, not a growth inflection; the terminal multiple is capped at or below today's EV/FCF so no multiple expansion is assumed.
key_risks_to_valuation: PC unit cycle: HP's own planning assumption is industry units -MSD in CY2027; a deeper correction after the Windows 10 / AI-PC pull-forward is the bear axis.; Memory/storage cost pass-through: FY26 revenue growth is price; if component costs fall and pricing follows, revenue deflates with no margin gain.; Printing supplies annuity (~18% segment margin, the majority of group operating profit) declining 3-4%/yr with the installed base; acceleration is not in the base case.; Tariffs: FY26 EPS includes $0.19 of one-off refunds; future tariff rounds may be absorbed rather than passed on.; Leadership: interim CEO since Q2 FY26; Future Ready cost programme execution risk.; Balance sheet: $9.2B gross debt against negative book equity; buybacks are discretionary and were cut to $850M in FY25.; SBC understated: no equity-award tax-withholding figure is disclosed, so the house basis is slightly generous.</t>
  </si>
  <si>
    <t xml:space="preserve">Data sources</t>
  </si>
  <si>
    <t xml:space="preserve">price: Yahoo Finance chart API regularMarketPrice at inputs.price_as_of (regular session close); 52-week range 17.56-36.23.
financials: SEC XBRL companyfacts CIK 0000047217 (10-K FY2025 filed 2025-12-10; 10-Q Q3 FY26 for 2026-07-31 filed 2026-08-27, acc. 0000047217-26-000051); research/HPQ/Reports/HPQ_Metrics.csv (93 periods, DB-first pipeline); 8-K exhibit 99.1 dated 2026-08-26 (Q3 FY26 results and raised FY26 outlook); 8-K 2026-09-21 (Reg FD: CY2027 industry PC unit planning assumption, no FY27 guidance).
qualitative: No HPQ_Analysis.json existed at build time; business context taken from the Q3 FY26 release segment commentary and the 10-K risk factors referenced by the 2026-09-21 8-K.</t>
  </si>
  <si>
    <t xml:space="preserve">Scenario narrative: bear</t>
  </si>
  <si>
    <t xml:space="preserve">The FY26 price-driven peak reverses on both units and price; supplies decline accelerates; tariffs are absorbed; leadership transition drags. HP still generates cash (bear owner FCF ~ $1.8-2.0B) but at a 10x exit and 6.5% margin the equity is worth well under the current price.</t>
  </si>
  <si>
    <t xml:space="preserve">Scenario narrative: base</t>
  </si>
  <si>
    <t xml:space="preserve">HP is a two-engine business: a low-margin (4-5%) Personal Systems franchise of ~$45B and a ~$16B Printing franchise whose ~18% margin rests on a structurally shrinking supplies annuity. FY26 revenue (+9%) is price, not volume: Q3 PS units were -16% while revenue was +18% as memory and storage costs were passed through. The base case takes HP's own planning assumption (industry PC units -MSD in CY2027) as FY27 -3%, recovers the pre-SBC EBITDA margin to 8% (not the 9-10% of FY21-24), keeps restructuring inside the cost base because HP restructures every year, and caps the exit at 12x owner FCF, roughly today's EV/FCF.</t>
  </si>
  <si>
    <t xml:space="preserve">Scenario narrative: bull</t>
  </si>
  <si>
    <t xml:space="preserve">The commercial AI-PC refresh cycle and Windows 10 end-of-support carry PS through the industry unit dip; component costs ease while pricing holds; Print stabilizes; Future Ready delivers its cost target under a permanent CEO. Margin returns to the FY21-24 band and the market grants a 14x exit.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</si>
  <si>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</si>
  <si>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</si>
  <si>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</si>
  <si>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</si>
  <si>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</si>
  <si>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</si>
  <si>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</si>
  <si>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</si>
  <si>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</si>
  <si>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</si>
  <si>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</si>
  <si>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</si>
  <si>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</si>
  <si>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</si>
  <si>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</si>
  <si>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</si>
  <si>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</si>
  <si>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</si>
  <si>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</si>
  <si>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</si>
  <si>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</si>
  <si>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</si>
  <si>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</si>
  <si>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</si>
  <si>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</si>
  <si>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</si>
  <si>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</si>
  <si>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</si>
  <si>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</si>
  <si>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</si>
  <si>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</si>
  <si>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</si>
  <si>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</si>
  <si>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</si>
  <si>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</si>
  <si>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</si>
  <si>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</si>
  <si>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</si>
  <si>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</si>
  <si>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</si>
  <si>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</si>
  <si>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</si>
  <si>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</si>
  <si>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</si>
  <si>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</si>
  <si>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</si>
  <si>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</si>
  <si>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</si>
  <si>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</si>
  <si>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</si>
  <si>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</si>
  <si>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</si>
  <si>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</si>
  <si>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</si>
  <si>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</si>
  <si>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</si>
  <si>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</si>
  <si>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</si>
  <si>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</si>
  <si>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</si>
  <si>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</si>
  <si>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</si>
  <si>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</si>
  <si>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</si>
  <si>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</si>
  <si>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</si>
  <si>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</si>
  <si>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</si>
  <si>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</si>
  <si>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</si>
  <si>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</si>
  <si>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</si>
  <si>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</si>
  <si>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</si>
  <si>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</si>
  <si>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</si>
  <si>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</si>
  <si>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</si>
  <si>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</si>
  <si>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</si>
  <si>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</si>
  <si>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</si>
  <si>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</si>
  <si>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</si>
  <si>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</si>
  <si>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HPQ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</si>
  <si>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</si>
  <si>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</si>
  <si>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</si>
  <si>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</si>
  <si>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</si>
  <si>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</si>
  <si>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</si>
  <si>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</si>
  <si>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</si>
  <si>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</si>
  <si>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</si>
  <si>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</si>
  <si>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</si>
  <si>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</si>
  <si>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</si>
  <si>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</si>
  <si>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</si>
  <si>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</si>
  <si>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</si>
  <si>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</si>
  <si>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</si>
  <si>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</si>
  <si>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</si>
  <si>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</si>
  <si>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</si>
  <si>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</si>
  <si>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</si>
  <si>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</si>
  <si>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</si>
  <si>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</si>
  <si>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HPQ owner-FCF component DCF: base case (millions, USD)</t>
  </si>
  <si>
    <t xml:space="preserve">HPQ owner-FCF component DCF: bull case (millions, USD)</t>
  </si>
  <si>
    <t xml:space="preserve">HPQ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</si>
  <si>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</si>
  <si>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</si>
  <si>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</si>
  <si>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</si>
  <si>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</si>
  <si>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</si>
  <si>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</si>
  <si>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</si>
  <si>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</si>
  <si>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</si>
  <si>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</si>
  <si>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</si>
  <si>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</si>
  <si>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</si>
  <si>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8.25%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</si>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</sst>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31.32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38144</v>
      </c>
      <c r="S2" s="0" t="n">
        <v>16400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104286</v>
      </c>
      <c r="F3" s="0" t="n">
        <v>8719</v>
      </c>
      <c r="G3" s="0" t="n">
        <v>8.36066202558349</v>
      </c>
      <c r="H3" s="0" t="n">
        <v>11424</v>
      </c>
      <c r="I3" s="0" t="n">
        <v>7264</v>
      </c>
      <c r="J3" s="0" t="n">
        <v>6.96546036860173</v>
      </c>
      <c r="K3" s="0" t="n">
        <v>2.76</v>
      </c>
      <c r="L3" s="0" t="n">
        <v>9615</v>
      </c>
      <c r="M3" s="0" t="n">
        <v>3040</v>
      </c>
      <c r="N3" s="0" t="n">
        <v>6575</v>
      </c>
      <c r="O3" s="0" t="n">
        <v>38569</v>
      </c>
      <c r="S3" s="0" t="n">
        <v>11293</v>
      </c>
      <c r="T3" s="0" t="n">
        <v>2716</v>
      </c>
      <c r="U3" s="0" t="n">
        <v>629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118364</v>
      </c>
      <c r="F4" s="0" t="n">
        <v>10473</v>
      </c>
      <c r="G4" s="0" t="n">
        <v>8.84812949883411</v>
      </c>
      <c r="H4" s="0" t="n">
        <v>13874</v>
      </c>
      <c r="I4" s="0" t="n">
        <v>8339</v>
      </c>
      <c r="J4" s="0" t="n">
        <v>7.04521645094792</v>
      </c>
      <c r="K4" s="0" t="n">
        <v>3.35</v>
      </c>
      <c r="L4" s="0" t="n">
        <v>14591</v>
      </c>
      <c r="M4" s="0" t="n">
        <v>2990</v>
      </c>
      <c r="N4" s="0" t="n">
        <v>11601</v>
      </c>
      <c r="O4" s="0" t="n">
        <v>39179</v>
      </c>
      <c r="P4" s="0" t="n">
        <v>113331</v>
      </c>
      <c r="R4" s="0" t="n">
        <v>17852</v>
      </c>
      <c r="S4" s="0" t="n">
        <v>10153</v>
      </c>
      <c r="T4" s="0" t="n">
        <v>2567</v>
      </c>
      <c r="U4" s="0" t="n">
        <v>606</v>
      </c>
      <c r="V4" s="0" t="n">
        <v>0.32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114552</v>
      </c>
      <c r="F5" s="0" t="n">
        <v>10136</v>
      </c>
      <c r="G5" s="0" t="n">
        <v>8.84838326698792</v>
      </c>
      <c r="H5" s="0" t="n">
        <v>14916</v>
      </c>
      <c r="I5" s="0" t="n">
        <v>7738</v>
      </c>
      <c r="J5" s="0" t="n">
        <v>6.75501082477827</v>
      </c>
      <c r="K5" s="0" t="n">
        <v>3.21</v>
      </c>
      <c r="L5" s="0" t="n">
        <v>13379</v>
      </c>
      <c r="M5" s="0" t="n">
        <v>3695</v>
      </c>
      <c r="N5" s="0" t="n">
        <v>9684</v>
      </c>
      <c r="O5" s="0" t="n">
        <v>40764</v>
      </c>
      <c r="P5" s="0" t="n">
        <v>114799</v>
      </c>
      <c r="R5" s="0" t="n">
        <v>15830</v>
      </c>
      <c r="S5" s="0" t="n">
        <v>13279</v>
      </c>
      <c r="T5" s="0" t="n">
        <v>2437</v>
      </c>
      <c r="U5" s="0" t="n">
        <v>635</v>
      </c>
      <c r="V5" s="0" t="n">
        <v>0.32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126033</v>
      </c>
      <c r="F6" s="0" t="n">
        <v>11479</v>
      </c>
      <c r="G6" s="0" t="n">
        <v>9.10793204954258</v>
      </c>
      <c r="H6" s="0" t="n">
        <v>16299</v>
      </c>
      <c r="I6" s="0" t="n">
        <v>8870</v>
      </c>
      <c r="J6" s="0" t="n">
        <v>7.03783929605738</v>
      </c>
      <c r="K6" s="0" t="n">
        <v>3.78</v>
      </c>
      <c r="L6" s="0" t="n">
        <v>11922</v>
      </c>
      <c r="M6" s="0" t="n">
        <v>4133</v>
      </c>
      <c r="N6" s="0" t="n">
        <v>7789</v>
      </c>
      <c r="O6" s="0" t="n">
        <v>40781</v>
      </c>
      <c r="P6" s="0" t="n">
        <v>124503</v>
      </c>
      <c r="R6" s="0" t="n">
        <v>22304</v>
      </c>
      <c r="S6" s="0" t="n">
        <v>10929</v>
      </c>
      <c r="T6" s="0" t="n">
        <v>2372</v>
      </c>
      <c r="U6" s="0" t="n">
        <v>668</v>
      </c>
      <c r="V6" s="0" t="n">
        <v>0.32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127245</v>
      </c>
      <c r="F7" s="0" t="n">
        <v>9677</v>
      </c>
      <c r="G7" s="0" t="n">
        <v>7.60501394946756</v>
      </c>
      <c r="H7" s="0" t="n">
        <v>14661</v>
      </c>
      <c r="I7" s="0" t="n">
        <v>7148</v>
      </c>
      <c r="J7" s="0" t="n">
        <v>5.61750952886165</v>
      </c>
      <c r="K7" s="0" t="n">
        <v>3.38</v>
      </c>
      <c r="L7" s="0" t="n">
        <v>12639</v>
      </c>
      <c r="M7" s="0" t="n">
        <v>4539</v>
      </c>
      <c r="N7" s="0" t="n">
        <v>8100</v>
      </c>
      <c r="O7" s="0" t="n">
        <v>39004</v>
      </c>
      <c r="P7" s="0" t="n">
        <v>129517</v>
      </c>
      <c r="R7" s="0" t="n">
        <v>30634</v>
      </c>
      <c r="S7" s="0" t="n">
        <v>8043</v>
      </c>
      <c r="T7" s="0" t="n">
        <v>2128</v>
      </c>
      <c r="U7" s="0" t="n">
        <v>685</v>
      </c>
      <c r="V7" s="0" t="n">
        <v>0.4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120357</v>
      </c>
      <c r="F8" s="0" t="n">
        <v>-11057</v>
      </c>
      <c r="G8" s="0" t="n">
        <v>-9.1868358300722</v>
      </c>
      <c r="H8" s="0" t="n">
        <v>-5962</v>
      </c>
      <c r="I8" s="0" t="n">
        <v>-12650</v>
      </c>
      <c r="J8" s="0" t="n">
        <v>-10.5103982319267</v>
      </c>
      <c r="K8" s="0" t="n">
        <v>-6.41</v>
      </c>
      <c r="M8" s="0" t="n">
        <v>3706</v>
      </c>
      <c r="O8" s="0" t="n">
        <v>22833</v>
      </c>
      <c r="P8" s="0" t="n">
        <v>108768</v>
      </c>
      <c r="R8" s="0" t="n">
        <v>28436</v>
      </c>
      <c r="S8" s="0" t="n">
        <v>11301</v>
      </c>
      <c r="T8" s="0" t="n">
        <v>1974</v>
      </c>
      <c r="U8" s="0" t="n">
        <v>635</v>
      </c>
      <c r="V8" s="0" t="n">
        <v>0.5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112298</v>
      </c>
      <c r="C9" s="0" t="n">
        <v>44754</v>
      </c>
      <c r="F9" s="0" t="n">
        <v>7131</v>
      </c>
      <c r="G9" s="0" t="n">
        <v>6.35006856756131</v>
      </c>
      <c r="H9" s="0" t="n">
        <v>11742</v>
      </c>
      <c r="I9" s="0" t="n">
        <v>5113</v>
      </c>
      <c r="J9" s="0" t="n">
        <v>4.55306416855153</v>
      </c>
      <c r="K9" s="0" t="n">
        <v>2.64</v>
      </c>
      <c r="L9" s="0" t="n">
        <v>11608</v>
      </c>
      <c r="M9" s="0" t="n">
        <v>3199</v>
      </c>
      <c r="N9" s="0" t="n">
        <v>8409</v>
      </c>
      <c r="O9" s="0" t="n">
        <v>27656</v>
      </c>
      <c r="P9" s="0" t="n">
        <v>105676</v>
      </c>
      <c r="R9" s="0" t="n">
        <v>22587</v>
      </c>
      <c r="S9" s="0" t="n">
        <v>12163</v>
      </c>
      <c r="T9" s="0" t="n">
        <v>1950</v>
      </c>
      <c r="U9" s="0" t="n">
        <v>500</v>
      </c>
      <c r="V9" s="0" t="n">
        <v>0.55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56651</v>
      </c>
      <c r="C10" s="0" t="n">
        <v>45431</v>
      </c>
      <c r="F10" s="0" t="n">
        <v>4256</v>
      </c>
      <c r="G10" s="0" t="n">
        <v>7.5126652662795</v>
      </c>
      <c r="H10" s="0" t="n">
        <v>8590</v>
      </c>
      <c r="I10" s="0" t="n">
        <v>5013</v>
      </c>
      <c r="J10" s="0" t="n">
        <v>8.84891705353833</v>
      </c>
      <c r="K10" s="0" t="n">
        <v>2.66</v>
      </c>
      <c r="L10" s="0" t="n">
        <v>12333</v>
      </c>
      <c r="M10" s="0" t="n">
        <v>3853</v>
      </c>
      <c r="N10" s="0" t="n">
        <v>8480</v>
      </c>
      <c r="O10" s="0" t="n">
        <v>27127</v>
      </c>
      <c r="P10" s="0" t="n">
        <v>103206</v>
      </c>
      <c r="R10" s="0" t="n">
        <v>19525</v>
      </c>
      <c r="S10" s="0" t="n">
        <v>15133</v>
      </c>
      <c r="T10" s="0" t="n">
        <v>1912</v>
      </c>
      <c r="U10" s="0" t="n">
        <v>560</v>
      </c>
      <c r="V10" s="0" t="n">
        <v>0.61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51463</v>
      </c>
      <c r="C11" s="0" t="n">
        <v>41524</v>
      </c>
      <c r="F11" s="0" t="n">
        <v>3920</v>
      </c>
      <c r="G11" s="0" t="n">
        <v>7.61712298155957</v>
      </c>
      <c r="H11" s="0" t="n">
        <v>7981</v>
      </c>
      <c r="I11" s="0" t="n">
        <v>4554</v>
      </c>
      <c r="J11" s="0" t="n">
        <v>8.84907603520976</v>
      </c>
      <c r="K11" s="0" t="n">
        <v>2.51</v>
      </c>
      <c r="L11" s="0" t="n">
        <v>6490</v>
      </c>
      <c r="M11" s="0" t="n">
        <v>3603</v>
      </c>
      <c r="N11" s="0" t="n">
        <v>2887</v>
      </c>
      <c r="O11" s="0" t="n">
        <v>28151</v>
      </c>
      <c r="P11" s="0" t="n">
        <v>106882</v>
      </c>
      <c r="R11" s="0" t="n">
        <v>8871</v>
      </c>
      <c r="S11" s="0" t="n">
        <v>17433</v>
      </c>
      <c r="T11" s="0" t="n">
        <v>1836</v>
      </c>
      <c r="U11" s="0" t="n">
        <v>709</v>
      </c>
      <c r="V11" s="0" t="n">
        <v>0.67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48238</v>
      </c>
      <c r="C12" s="0" t="n">
        <v>39240</v>
      </c>
      <c r="F12" s="0" t="n">
        <v>3549</v>
      </c>
      <c r="G12" s="0" t="n">
        <v>7.3572702019155</v>
      </c>
      <c r="H12" s="0" t="n">
        <v>3881</v>
      </c>
      <c r="I12" s="0" t="n">
        <v>2496</v>
      </c>
      <c r="J12" s="0" t="n">
        <v>5.17434387827024</v>
      </c>
      <c r="K12" s="0" t="n">
        <v>1.44</v>
      </c>
      <c r="L12" s="0" t="n">
        <v>3252</v>
      </c>
      <c r="M12" s="0" t="n">
        <v>433</v>
      </c>
      <c r="N12" s="0" t="n">
        <v>2819</v>
      </c>
      <c r="O12" s="0" t="n">
        <v>-3889</v>
      </c>
      <c r="P12" s="0" t="n">
        <v>29010</v>
      </c>
      <c r="R12" s="0" t="n">
        <v>6836</v>
      </c>
      <c r="S12" s="0" t="n">
        <v>6288</v>
      </c>
      <c r="T12" s="0" t="n">
        <v>1743</v>
      </c>
      <c r="U12" s="0" t="n">
        <v>182</v>
      </c>
      <c r="V12" s="0" t="n">
        <v>0.5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52056</v>
      </c>
      <c r="C13" s="0" t="n">
        <v>42478</v>
      </c>
      <c r="F13" s="0" t="n">
        <v>3368</v>
      </c>
      <c r="G13" s="0" t="n">
        <v>6.46995543261103</v>
      </c>
      <c r="H13" s="0" t="n">
        <v>3722</v>
      </c>
      <c r="I13" s="0" t="n">
        <v>2526</v>
      </c>
      <c r="J13" s="0" t="n">
        <v>4.85246657445828</v>
      </c>
      <c r="K13" s="0" t="n">
        <v>1.5</v>
      </c>
      <c r="L13" s="0" t="n">
        <v>3677</v>
      </c>
      <c r="M13" s="0" t="n">
        <v>402</v>
      </c>
      <c r="N13" s="0" t="n">
        <v>3275</v>
      </c>
      <c r="O13" s="0" t="n">
        <v>-3408</v>
      </c>
      <c r="P13" s="0" t="n">
        <v>32913</v>
      </c>
      <c r="R13" s="0" t="n">
        <v>7819</v>
      </c>
      <c r="S13" s="0" t="n">
        <v>6997</v>
      </c>
      <c r="T13" s="0" t="n">
        <v>1702</v>
      </c>
      <c r="U13" s="0" t="n">
        <v>224</v>
      </c>
      <c r="V13" s="0" t="n">
        <v>0.53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58472</v>
      </c>
      <c r="C14" s="0" t="n">
        <v>47803</v>
      </c>
      <c r="F14" s="0" t="n">
        <v>3831</v>
      </c>
      <c r="G14" s="0" t="n">
        <v>6.55185387877959</v>
      </c>
      <c r="H14" s="0" t="n">
        <v>4359</v>
      </c>
      <c r="I14" s="0" t="n">
        <v>5327</v>
      </c>
      <c r="J14" s="0" t="n">
        <v>9.1103434122315</v>
      </c>
      <c r="K14" s="0" t="n">
        <v>3.3</v>
      </c>
      <c r="L14" s="0" t="n">
        <v>4528</v>
      </c>
      <c r="M14" s="0" t="n">
        <v>546</v>
      </c>
      <c r="N14" s="0" t="n">
        <v>3982</v>
      </c>
      <c r="O14" s="0" t="n">
        <v>-639</v>
      </c>
      <c r="P14" s="0" t="n">
        <v>34622</v>
      </c>
      <c r="R14" s="0" t="n">
        <v>5987</v>
      </c>
      <c r="S14" s="0" t="n">
        <v>5166</v>
      </c>
      <c r="T14" s="0" t="n">
        <v>1634</v>
      </c>
      <c r="U14" s="0" t="n">
        <v>268</v>
      </c>
      <c r="V14" s="0" t="n">
        <v>0.56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58756</v>
      </c>
      <c r="C15" s="0" t="n">
        <v>47586</v>
      </c>
      <c r="F15" s="0" t="n">
        <v>3877</v>
      </c>
      <c r="G15" s="0" t="n">
        <v>6.59847504935666</v>
      </c>
      <c r="H15" s="0" t="n">
        <v>4621</v>
      </c>
      <c r="I15" s="0" t="n">
        <v>3152</v>
      </c>
      <c r="J15" s="0" t="n">
        <v>5.36455851317312</v>
      </c>
      <c r="K15" s="0" t="n">
        <v>2.08</v>
      </c>
      <c r="L15" s="0" t="n">
        <v>4654</v>
      </c>
      <c r="M15" s="0" t="n">
        <v>671</v>
      </c>
      <c r="N15" s="0" t="n">
        <v>3983</v>
      </c>
      <c r="O15" s="0" t="n">
        <v>-1193</v>
      </c>
      <c r="P15" s="0" t="n">
        <v>33467</v>
      </c>
      <c r="R15" s="0" t="n">
        <v>5137</v>
      </c>
      <c r="S15" s="0" t="n">
        <v>4537</v>
      </c>
      <c r="T15" s="0" t="n">
        <v>1524</v>
      </c>
      <c r="U15" s="0" t="n">
        <v>297</v>
      </c>
      <c r="V15" s="0" t="n">
        <v>0.64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56639</v>
      </c>
      <c r="C16" s="0" t="n">
        <v>46202</v>
      </c>
      <c r="F16" s="0" t="n">
        <v>3462</v>
      </c>
      <c r="G16" s="0" t="n">
        <v>6.11239605219019</v>
      </c>
      <c r="H16" s="0" t="n">
        <v>4251</v>
      </c>
      <c r="I16" s="0" t="n">
        <v>2844</v>
      </c>
      <c r="J16" s="0" t="n">
        <v>5.02127509313371</v>
      </c>
      <c r="K16" s="0" t="n">
        <v>2.01</v>
      </c>
      <c r="L16" s="0" t="n">
        <v>4316</v>
      </c>
      <c r="M16" s="0" t="n">
        <v>580</v>
      </c>
      <c r="N16" s="0" t="n">
        <v>3736</v>
      </c>
      <c r="O16" s="0" t="n">
        <v>-2275</v>
      </c>
      <c r="P16" s="0" t="n">
        <v>34681</v>
      </c>
      <c r="R16" s="0" t="n">
        <v>6217</v>
      </c>
      <c r="S16" s="0" t="n">
        <v>4864</v>
      </c>
      <c r="T16" s="0" t="n">
        <v>1420</v>
      </c>
      <c r="U16" s="0" t="n">
        <v>278</v>
      </c>
      <c r="V16" s="0" t="n">
        <v>0.7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63460</v>
      </c>
      <c r="C17" s="0" t="n">
        <v>50053</v>
      </c>
      <c r="F17" s="0" t="n">
        <v>5359</v>
      </c>
      <c r="G17" s="0" t="n">
        <v>8.44468956823196</v>
      </c>
      <c r="H17" s="0" t="n">
        <v>6144</v>
      </c>
      <c r="I17" s="0" t="n">
        <v>6541</v>
      </c>
      <c r="J17" s="0" t="n">
        <v>10.3072801764891</v>
      </c>
      <c r="K17" s="0" t="n">
        <v>5.41</v>
      </c>
      <c r="L17" s="0" t="n">
        <v>6409</v>
      </c>
      <c r="M17" s="0" t="n">
        <v>582</v>
      </c>
      <c r="N17" s="0" t="n">
        <v>5827</v>
      </c>
      <c r="O17" s="0" t="n">
        <v>-1644</v>
      </c>
      <c r="P17" s="0" t="n">
        <v>38610</v>
      </c>
      <c r="R17" s="0" t="n">
        <v>7492</v>
      </c>
      <c r="S17" s="0" t="n">
        <v>4299</v>
      </c>
      <c r="T17" s="0" t="n">
        <v>1220</v>
      </c>
      <c r="U17" s="0" t="n">
        <v>330</v>
      </c>
      <c r="V17" s="0" t="n">
        <v>0.78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62910</v>
      </c>
      <c r="C18" s="0" t="n">
        <v>50647</v>
      </c>
      <c r="D18" s="0" t="n">
        <v>12263</v>
      </c>
      <c r="E18" s="0" t="n">
        <v>19.4929264027977</v>
      </c>
      <c r="F18" s="0" t="n">
        <v>4559</v>
      </c>
      <c r="G18" s="0" t="n">
        <v>7.24686059450008</v>
      </c>
      <c r="H18" s="0" t="n">
        <v>5339</v>
      </c>
      <c r="I18" s="0" t="n">
        <v>3132</v>
      </c>
      <c r="J18" s="0" t="n">
        <v>4.97854077253219</v>
      </c>
      <c r="K18" s="0" t="n">
        <v>3.02</v>
      </c>
      <c r="L18" s="0" t="n">
        <v>4463</v>
      </c>
      <c r="M18" s="0" t="n">
        <v>765</v>
      </c>
      <c r="N18" s="0" t="n">
        <v>3698</v>
      </c>
      <c r="O18" s="0" t="n">
        <v>-3025</v>
      </c>
      <c r="P18" s="0" t="n">
        <v>38494</v>
      </c>
      <c r="R18" s="0" t="n">
        <v>11014</v>
      </c>
      <c r="S18" s="0" t="n">
        <v>3145</v>
      </c>
      <c r="T18" s="0" t="n">
        <v>1050</v>
      </c>
      <c r="U18" s="0" t="n">
        <v>343</v>
      </c>
      <c r="V18" s="0" t="n">
        <v>1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53718</v>
      </c>
      <c r="C19" s="0" t="n">
        <v>42210</v>
      </c>
      <c r="D19" s="0" t="n">
        <v>11508</v>
      </c>
      <c r="E19" s="0" t="n">
        <v>21.4229867083659</v>
      </c>
      <c r="F19" s="0" t="n">
        <v>3456</v>
      </c>
      <c r="G19" s="0" t="n">
        <v>6.4335976767564</v>
      </c>
      <c r="H19" s="0" t="n">
        <v>4306</v>
      </c>
      <c r="I19" s="0" t="n">
        <v>3263</v>
      </c>
      <c r="J19" s="0" t="n">
        <v>6.07431401020142</v>
      </c>
      <c r="K19" s="0" t="n">
        <v>3.29</v>
      </c>
      <c r="L19" s="0" t="n">
        <v>3571</v>
      </c>
      <c r="M19" s="0" t="n">
        <v>593</v>
      </c>
      <c r="N19" s="0" t="n">
        <v>2978</v>
      </c>
      <c r="O19" s="0" t="n">
        <v>-1069</v>
      </c>
      <c r="P19" s="0" t="n">
        <v>37004</v>
      </c>
      <c r="R19" s="0" t="n">
        <v>9484</v>
      </c>
      <c r="S19" s="0" t="n">
        <v>3107</v>
      </c>
      <c r="T19" s="0" t="n">
        <v>1000</v>
      </c>
      <c r="U19" s="0" t="n">
        <v>438</v>
      </c>
      <c r="V19" s="0" t="n">
        <v>1.05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53559</v>
      </c>
      <c r="C20" s="0" t="n">
        <v>41741</v>
      </c>
      <c r="D20" s="0" t="n">
        <v>11818</v>
      </c>
      <c r="E20" s="0" t="n">
        <v>22.0653858361807</v>
      </c>
      <c r="F20" s="0" t="n">
        <v>3818</v>
      </c>
      <c r="G20" s="0" t="n">
        <v>7.12858716555574</v>
      </c>
      <c r="H20" s="0" t="n">
        <v>4648</v>
      </c>
      <c r="I20" s="0" t="n">
        <v>2775</v>
      </c>
      <c r="J20" s="0" t="n">
        <v>5.18120203887302</v>
      </c>
      <c r="K20" s="0" t="n">
        <v>2.83</v>
      </c>
      <c r="L20" s="0" t="n">
        <v>3749</v>
      </c>
      <c r="M20" s="0" t="n">
        <v>592</v>
      </c>
      <c r="N20" s="0" t="n">
        <v>3157</v>
      </c>
      <c r="O20" s="0" t="n">
        <v>-1323</v>
      </c>
      <c r="P20" s="0" t="n">
        <v>39909</v>
      </c>
      <c r="R20" s="0" t="n">
        <v>9669</v>
      </c>
      <c r="S20" s="0" t="n">
        <v>3238</v>
      </c>
      <c r="T20" s="0" t="n">
        <v>989</v>
      </c>
      <c r="U20" s="0" t="n">
        <v>452</v>
      </c>
      <c r="V20" s="0" t="n">
        <v>1.1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55295</v>
      </c>
      <c r="C21" s="0" t="n">
        <v>43903</v>
      </c>
      <c r="D21" s="0" t="n">
        <v>11392</v>
      </c>
      <c r="E21" s="0" t="n">
        <v>20.6022244325888</v>
      </c>
      <c r="F21" s="0" t="n">
        <v>3174</v>
      </c>
      <c r="G21" s="0" t="n">
        <v>5.74012116827923</v>
      </c>
      <c r="H21" s="0" t="n">
        <v>4090</v>
      </c>
      <c r="I21" s="0" t="n">
        <v>2529</v>
      </c>
      <c r="J21" s="0" t="n">
        <v>4.57365042047201</v>
      </c>
      <c r="K21" s="0" t="n">
        <v>2.67</v>
      </c>
      <c r="L21" s="0" t="n">
        <v>3697</v>
      </c>
      <c r="M21" s="0" t="n">
        <v>897</v>
      </c>
      <c r="N21" s="0" t="n">
        <v>2800</v>
      </c>
      <c r="O21" s="0" t="n">
        <v>-346</v>
      </c>
      <c r="P21" s="0" t="n">
        <v>41769</v>
      </c>
      <c r="R21" s="0" t="n">
        <v>10568</v>
      </c>
      <c r="S21" s="0" t="n">
        <v>3690</v>
      </c>
      <c r="T21" s="0" t="n">
        <v>953</v>
      </c>
      <c r="U21" s="0" t="n">
        <v>522</v>
      </c>
      <c r="V21" s="0" t="n">
        <v>1.16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31.32</v>
      </c>
    </row>
    <row r="3" customFormat="false" ht="15" hidden="false" customHeight="false" outlineLevel="0" collapsed="false">
      <c r="A3" s="0" t="s">
        <v>86</v>
      </c>
      <c r="B3" s="3" t="n">
        <v>910</v>
      </c>
    </row>
    <row r="4" customFormat="false" ht="15" hidden="false" customHeight="false" outlineLevel="0" collapsed="false">
      <c r="A4" s="0" t="s">
        <v>87</v>
      </c>
      <c r="B4" s="3" t="n">
        <v>4991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60370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-7</v>
      </c>
      <c r="D13" s="3" t="n">
        <v>-3</v>
      </c>
      <c r="E13" s="3" t="n">
        <v>-1</v>
      </c>
      <c r="F13" s="3" t="n">
        <v>0</v>
      </c>
      <c r="G13" s="3" t="n">
        <v>0.5</v>
      </c>
      <c r="H13" s="3" t="n">
        <v>0.5</v>
      </c>
      <c r="I13" s="3" t="n">
        <v>0.5</v>
      </c>
      <c r="J13" s="3" t="n">
        <v>0.5</v>
      </c>
      <c r="K13" s="3" t="n">
        <v>0.5</v>
      </c>
      <c r="L13" s="3" t="n">
        <v>0.5</v>
      </c>
    </row>
    <row r="14" customFormat="false" ht="15" hidden="false" customHeight="false" outlineLevel="0" collapsed="false">
      <c r="A14" s="0" t="s">
        <v>108</v>
      </c>
      <c r="C14" s="3" t="n">
        <v>6.8</v>
      </c>
      <c r="D14" s="3" t="n">
        <v>6.5</v>
      </c>
      <c r="E14" s="3" t="n">
        <v>6.5</v>
      </c>
      <c r="F14" s="3" t="n">
        <v>6.5</v>
      </c>
      <c r="G14" s="3" t="n">
        <v>6.5</v>
      </c>
      <c r="H14" s="3" t="n">
        <v>6.5</v>
      </c>
      <c r="I14" s="3" t="n">
        <v>6.5</v>
      </c>
      <c r="J14" s="3" t="n">
        <v>6.5</v>
      </c>
      <c r="K14" s="3" t="n">
        <v>6.5</v>
      </c>
      <c r="L14" s="3" t="n">
        <v>6.5</v>
      </c>
    </row>
    <row r="15" customFormat="false" ht="15" hidden="false" customHeight="false" outlineLevel="0" collapsed="false">
      <c r="A15" s="0" t="s">
        <v>109</v>
      </c>
      <c r="C15" s="3" t="n">
        <v>0.86</v>
      </c>
      <c r="D15" s="3" t="n">
        <v>0.85</v>
      </c>
      <c r="E15" s="3" t="n">
        <v>0.85</v>
      </c>
      <c r="F15" s="3" t="n">
        <v>0.85</v>
      </c>
      <c r="G15" s="3" t="n">
        <v>0.85</v>
      </c>
      <c r="H15" s="3" t="n">
        <v>0.85</v>
      </c>
      <c r="I15" s="3" t="n">
        <v>0.85</v>
      </c>
      <c r="J15" s="3" t="n">
        <v>0.85</v>
      </c>
      <c r="K15" s="3" t="n">
        <v>0.85</v>
      </c>
      <c r="L15" s="3" t="n">
        <v>0.85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1.6</v>
      </c>
      <c r="D17" s="3" t="n">
        <v>1.55</v>
      </c>
      <c r="E17" s="3" t="n">
        <v>1.5</v>
      </c>
      <c r="F17" s="3" t="n">
        <v>1.5</v>
      </c>
      <c r="G17" s="3" t="n">
        <v>1.5</v>
      </c>
      <c r="H17" s="3" t="n">
        <v>1.5</v>
      </c>
      <c r="I17" s="3" t="n">
        <v>1.5</v>
      </c>
      <c r="J17" s="3" t="n">
        <v>1.5</v>
      </c>
      <c r="K17" s="3" t="n">
        <v>1.5</v>
      </c>
      <c r="L17" s="3" t="n">
        <v>1.5</v>
      </c>
    </row>
    <row r="18" customFormat="false" ht="15" hidden="false" customHeight="false" outlineLevel="0" collapsed="false">
      <c r="A18" s="0" t="s">
        <v>112</v>
      </c>
      <c r="C18" s="3" t="n">
        <v>1.3</v>
      </c>
      <c r="D18" s="3" t="n">
        <v>1.3</v>
      </c>
      <c r="E18" s="3" t="n">
        <v>1.3</v>
      </c>
      <c r="F18" s="3" t="n">
        <v>1.3</v>
      </c>
      <c r="G18" s="3" t="n">
        <v>1.3</v>
      </c>
      <c r="H18" s="3" t="n">
        <v>1.3</v>
      </c>
      <c r="I18" s="3" t="n">
        <v>1.3</v>
      </c>
      <c r="J18" s="3" t="n">
        <v>1.3</v>
      </c>
      <c r="K18" s="3" t="n">
        <v>1.3</v>
      </c>
      <c r="L18" s="3" t="n">
        <v>1.3</v>
      </c>
    </row>
    <row r="19" customFormat="false" ht="15" hidden="false" customHeight="false" outlineLevel="0" collapsed="false">
      <c r="A19" s="0" t="s">
        <v>113</v>
      </c>
      <c r="C19" s="3" t="n">
        <v>17</v>
      </c>
      <c r="D19" s="3" t="n">
        <v>18</v>
      </c>
      <c r="E19" s="3" t="n">
        <v>19</v>
      </c>
      <c r="F19" s="3" t="n">
        <v>20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114</v>
      </c>
      <c r="B20" s="3" t="n">
        <v>8.25</v>
      </c>
    </row>
    <row r="21" customFormat="false" ht="15" hidden="false" customHeight="false" outlineLevel="0" collapsed="false">
      <c r="A21" s="0" t="s">
        <v>115</v>
      </c>
      <c r="B21" s="3" t="n">
        <v>1</v>
      </c>
    </row>
    <row r="22" customFormat="false" ht="15" hidden="false" customHeight="false" outlineLevel="0" collapsed="false">
      <c r="A22" s="0" t="s">
        <v>116</v>
      </c>
      <c r="B22" s="3" t="n">
        <v>10</v>
      </c>
    </row>
    <row r="23" customFormat="false" ht="15" hidden="false" customHeight="false" outlineLevel="0" collapsed="false">
      <c r="A23" s="0" t="s">
        <v>117</v>
      </c>
      <c r="B23" s="3" t="n">
        <v>10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-3</v>
      </c>
      <c r="D27" s="3" t="n">
        <v>1</v>
      </c>
      <c r="E27" s="3" t="n">
        <v>2</v>
      </c>
      <c r="F27" s="3" t="n">
        <v>1.5</v>
      </c>
      <c r="G27" s="3" t="n">
        <v>1.5</v>
      </c>
      <c r="H27" s="3" t="n">
        <v>1</v>
      </c>
      <c r="I27" s="3" t="n">
        <v>1</v>
      </c>
      <c r="J27" s="3" t="n">
        <v>1</v>
      </c>
      <c r="K27" s="3" t="n">
        <v>1</v>
      </c>
      <c r="L27" s="3" t="n">
        <v>1</v>
      </c>
    </row>
    <row r="28" customFormat="false" ht="15" hidden="false" customHeight="false" outlineLevel="0" collapsed="false">
      <c r="A28" s="0" t="s">
        <v>108</v>
      </c>
      <c r="C28" s="3" t="n">
        <v>7.6</v>
      </c>
      <c r="D28" s="3" t="n">
        <v>7.8</v>
      </c>
      <c r="E28" s="3" t="n">
        <v>8</v>
      </c>
      <c r="F28" s="3" t="n">
        <v>8</v>
      </c>
      <c r="G28" s="3" t="n">
        <v>8</v>
      </c>
      <c r="H28" s="3" t="n">
        <v>8</v>
      </c>
      <c r="I28" s="3" t="n">
        <v>8</v>
      </c>
      <c r="J28" s="3" t="n">
        <v>8</v>
      </c>
      <c r="K28" s="3" t="n">
        <v>8</v>
      </c>
      <c r="L28" s="3" t="n">
        <v>8</v>
      </c>
    </row>
    <row r="29" customFormat="false" ht="15" hidden="false" customHeight="false" outlineLevel="0" collapsed="false">
      <c r="A29" s="0" t="s">
        <v>109</v>
      </c>
      <c r="C29" s="3" t="n">
        <v>0.86</v>
      </c>
      <c r="D29" s="3" t="n">
        <v>0.85</v>
      </c>
      <c r="E29" s="3" t="n">
        <v>0.85</v>
      </c>
      <c r="F29" s="3" t="n">
        <v>0.85</v>
      </c>
      <c r="G29" s="3" t="n">
        <v>0.85</v>
      </c>
      <c r="H29" s="3" t="n">
        <v>0.85</v>
      </c>
      <c r="I29" s="3" t="n">
        <v>0.85</v>
      </c>
      <c r="J29" s="3" t="n">
        <v>0.85</v>
      </c>
      <c r="K29" s="3" t="n">
        <v>0.85</v>
      </c>
      <c r="L29" s="3" t="n">
        <v>0.85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1.6</v>
      </c>
      <c r="D31" s="3" t="n">
        <v>1.55</v>
      </c>
      <c r="E31" s="3" t="n">
        <v>1.5</v>
      </c>
      <c r="F31" s="3" t="n">
        <v>1.5</v>
      </c>
      <c r="G31" s="3" t="n">
        <v>1.5</v>
      </c>
      <c r="H31" s="3" t="n">
        <v>1.5</v>
      </c>
      <c r="I31" s="3" t="n">
        <v>1.5</v>
      </c>
      <c r="J31" s="3" t="n">
        <v>1.5</v>
      </c>
      <c r="K31" s="3" t="n">
        <v>1.5</v>
      </c>
      <c r="L31" s="3" t="n">
        <v>1.5</v>
      </c>
    </row>
    <row r="32" customFormat="false" ht="15" hidden="false" customHeight="false" outlineLevel="0" collapsed="false">
      <c r="A32" s="0" t="s">
        <v>112</v>
      </c>
      <c r="C32" s="3" t="n">
        <v>1.3</v>
      </c>
      <c r="D32" s="3" t="n">
        <v>1.3</v>
      </c>
      <c r="E32" s="3" t="n">
        <v>1.3</v>
      </c>
      <c r="F32" s="3" t="n">
        <v>1.3</v>
      </c>
      <c r="G32" s="3" t="n">
        <v>1.3</v>
      </c>
      <c r="H32" s="3" t="n">
        <v>1.3</v>
      </c>
      <c r="I32" s="3" t="n">
        <v>1.3</v>
      </c>
      <c r="J32" s="3" t="n">
        <v>1.3</v>
      </c>
      <c r="K32" s="3" t="n">
        <v>1.3</v>
      </c>
      <c r="L32" s="3" t="n">
        <v>1.3</v>
      </c>
    </row>
    <row r="33" customFormat="false" ht="15" hidden="false" customHeight="false" outlineLevel="0" collapsed="false">
      <c r="A33" s="0" t="s">
        <v>113</v>
      </c>
      <c r="C33" s="3" t="n">
        <v>17</v>
      </c>
      <c r="D33" s="3" t="n">
        <v>18</v>
      </c>
      <c r="E33" s="3" t="n">
        <v>19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114</v>
      </c>
      <c r="B34" s="3" t="n">
        <v>8.25</v>
      </c>
    </row>
    <row r="35" customFormat="false" ht="15" hidden="false" customHeight="false" outlineLevel="0" collapsed="false">
      <c r="A35" s="0" t="s">
        <v>115</v>
      </c>
      <c r="B35" s="3" t="n">
        <v>1.5</v>
      </c>
    </row>
    <row r="36" customFormat="false" ht="15" hidden="false" customHeight="false" outlineLevel="0" collapsed="false">
      <c r="A36" s="0" t="s">
        <v>116</v>
      </c>
      <c r="B36" s="3" t="n">
        <v>12</v>
      </c>
    </row>
    <row r="37" customFormat="false" ht="15" hidden="false" customHeight="false" outlineLevel="0" collapsed="false">
      <c r="A37" s="0" t="s">
        <v>117</v>
      </c>
      <c r="B37" s="3" t="n">
        <v>10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1</v>
      </c>
      <c r="D41" s="3" t="n">
        <v>3</v>
      </c>
      <c r="E41" s="3" t="n">
        <v>3</v>
      </c>
      <c r="F41" s="3" t="n">
        <v>2.5</v>
      </c>
      <c r="G41" s="3" t="n">
        <v>2</v>
      </c>
      <c r="H41" s="3" t="n">
        <v>2</v>
      </c>
      <c r="I41" s="3" t="n">
        <v>2</v>
      </c>
      <c r="J41" s="3" t="n">
        <v>1.5</v>
      </c>
      <c r="K41" s="3" t="n">
        <v>1.5</v>
      </c>
      <c r="L41" s="3" t="n">
        <v>1.5</v>
      </c>
    </row>
    <row r="42" customFormat="false" ht="15" hidden="false" customHeight="false" outlineLevel="0" collapsed="false">
      <c r="A42" s="0" t="s">
        <v>108</v>
      </c>
      <c r="C42" s="3" t="n">
        <v>8</v>
      </c>
      <c r="D42" s="3" t="n">
        <v>8.5</v>
      </c>
      <c r="E42" s="3" t="n">
        <v>9</v>
      </c>
      <c r="F42" s="3" t="n">
        <v>9.2</v>
      </c>
      <c r="G42" s="3" t="n">
        <v>9.5</v>
      </c>
      <c r="H42" s="3" t="n">
        <v>9.5</v>
      </c>
      <c r="I42" s="3" t="n">
        <v>9.5</v>
      </c>
      <c r="J42" s="3" t="n">
        <v>9.5</v>
      </c>
      <c r="K42" s="3" t="n">
        <v>9.5</v>
      </c>
      <c r="L42" s="3" t="n">
        <v>9.5</v>
      </c>
    </row>
    <row r="43" customFormat="false" ht="15" hidden="false" customHeight="false" outlineLevel="0" collapsed="false">
      <c r="A43" s="0" t="s">
        <v>109</v>
      </c>
      <c r="C43" s="3" t="n">
        <v>0.86</v>
      </c>
      <c r="D43" s="3" t="n">
        <v>0.85</v>
      </c>
      <c r="E43" s="3" t="n">
        <v>0.85</v>
      </c>
      <c r="F43" s="3" t="n">
        <v>0.85</v>
      </c>
      <c r="G43" s="3" t="n">
        <v>0.85</v>
      </c>
      <c r="H43" s="3" t="n">
        <v>0.85</v>
      </c>
      <c r="I43" s="3" t="n">
        <v>0.85</v>
      </c>
      <c r="J43" s="3" t="n">
        <v>0.85</v>
      </c>
      <c r="K43" s="3" t="n">
        <v>0.85</v>
      </c>
      <c r="L43" s="3" t="n">
        <v>0.85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1.6</v>
      </c>
      <c r="D45" s="3" t="n">
        <v>1.55</v>
      </c>
      <c r="E45" s="3" t="n">
        <v>1.5</v>
      </c>
      <c r="F45" s="3" t="n">
        <v>1.5</v>
      </c>
      <c r="G45" s="3" t="n">
        <v>1.5</v>
      </c>
      <c r="H45" s="3" t="n">
        <v>1.5</v>
      </c>
      <c r="I45" s="3" t="n">
        <v>1.5</v>
      </c>
      <c r="J45" s="3" t="n">
        <v>1.5</v>
      </c>
      <c r="K45" s="3" t="n">
        <v>1.5</v>
      </c>
      <c r="L45" s="3" t="n">
        <v>1.5</v>
      </c>
    </row>
    <row r="46" customFormat="false" ht="15" hidden="false" customHeight="false" outlineLevel="0" collapsed="false">
      <c r="A46" s="0" t="s">
        <v>112</v>
      </c>
      <c r="C46" s="3" t="n">
        <v>1.3</v>
      </c>
      <c r="D46" s="3" t="n">
        <v>1.3</v>
      </c>
      <c r="E46" s="3" t="n">
        <v>1.3</v>
      </c>
      <c r="F46" s="3" t="n">
        <v>1.3</v>
      </c>
      <c r="G46" s="3" t="n">
        <v>1.3</v>
      </c>
      <c r="H46" s="3" t="n">
        <v>1.3</v>
      </c>
      <c r="I46" s="3" t="n">
        <v>1.3</v>
      </c>
      <c r="J46" s="3" t="n">
        <v>1.3</v>
      </c>
      <c r="K46" s="3" t="n">
        <v>1.3</v>
      </c>
      <c r="L46" s="3" t="n">
        <v>1.3</v>
      </c>
    </row>
    <row r="47" customFormat="false" ht="15" hidden="false" customHeight="false" outlineLevel="0" collapsed="false">
      <c r="A47" s="0" t="s">
        <v>113</v>
      </c>
      <c r="C47" s="3" t="n">
        <v>17</v>
      </c>
      <c r="D47" s="3" t="n">
        <v>18</v>
      </c>
      <c r="E47" s="3" t="n">
        <v>19</v>
      </c>
      <c r="F47" s="3" t="n">
        <v>20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114</v>
      </c>
      <c r="B48" s="3" t="n">
        <v>8.25</v>
      </c>
    </row>
    <row r="49" customFormat="false" ht="15" hidden="false" customHeight="false" outlineLevel="0" collapsed="false">
      <c r="A49" s="0" t="s">
        <v>115</v>
      </c>
      <c r="B49" s="3" t="n">
        <v>2</v>
      </c>
    </row>
    <row r="50" customFormat="false" ht="15" hidden="false" customHeight="false" outlineLevel="0" collapsed="false">
      <c r="A50" s="0" t="s">
        <v>116</v>
      </c>
      <c r="B50" s="3" t="n">
        <v>14</v>
      </c>
    </row>
    <row r="51" customFormat="false" ht="15" hidden="false" customHeight="false" outlineLevel="0" collapsed="false">
      <c r="A51" s="0" t="s">
        <v>117</v>
      </c>
      <c r="B51" s="3" t="n">
        <v>10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-7</v>
      </c>
      <c r="D5" s="4" t="n">
        <f aca="false">Assumptions!D13</f>
        <v>-3</v>
      </c>
      <c r="E5" s="4" t="n">
        <f aca="false">Assumptions!E13</f>
        <v>-1</v>
      </c>
      <c r="F5" s="4" t="n">
        <f aca="false">Assumptions!F13</f>
        <v>0</v>
      </c>
      <c r="G5" s="4" t="n">
        <f aca="false">Assumptions!G13</f>
        <v>0.5</v>
      </c>
      <c r="H5" s="4" t="n">
        <f aca="false">Assumptions!H13</f>
        <v>0.5</v>
      </c>
      <c r="I5" s="4" t="n">
        <f aca="false">Assumptions!I13</f>
        <v>0.5</v>
      </c>
      <c r="J5" s="4" t="n">
        <f aca="false">Assumptions!J13</f>
        <v>0.5</v>
      </c>
      <c r="K5" s="4" t="n">
        <f aca="false">Assumptions!K13</f>
        <v>0.5</v>
      </c>
      <c r="L5" s="4" t="n">
        <f aca="false">Assumptions!L13</f>
        <v>0.5</v>
      </c>
    </row>
    <row r="6" customFormat="false" ht="15" hidden="false" customHeight="false" outlineLevel="0" collapsed="false">
      <c r="A6" s="0" t="s">
        <v>37</v>
      </c>
      <c r="B6" s="3" t="n">
        <v>60370</v>
      </c>
      <c r="C6" s="0" t="n">
        <f aca="false">B6*(1+C5/100)</f>
        <v>56144.1</v>
      </c>
      <c r="D6" s="0" t="n">
        <f aca="false">C6*(1+D5/100)</f>
        <v>54459.777</v>
      </c>
      <c r="E6" s="0" t="n">
        <f aca="false">D6*(1+E5/100)</f>
        <v>53915.17923</v>
      </c>
      <c r="F6" s="0" t="n">
        <f aca="false">E6*(1+F5/100)</f>
        <v>53915.17923</v>
      </c>
      <c r="G6" s="0" t="n">
        <f aca="false">F6*(1+G5/100)</f>
        <v>54184.75512615</v>
      </c>
      <c r="H6" s="0" t="n">
        <f aca="false">G6*(1+H5/100)</f>
        <v>54455.6789017807</v>
      </c>
      <c r="I6" s="0" t="n">
        <f aca="false">H6*(1+I5/100)</f>
        <v>54727.9572962896</v>
      </c>
      <c r="J6" s="0" t="n">
        <f aca="false">I6*(1+J5/100)</f>
        <v>55001.5970827711</v>
      </c>
      <c r="K6" s="0" t="n">
        <f aca="false">J6*(1+K5/100)</f>
        <v>55276.6050681849</v>
      </c>
      <c r="L6" s="0" t="n">
        <f aca="false">K6*(1+L5/100)</f>
        <v>55552.9880935258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6.8</v>
      </c>
      <c r="D7" s="4" t="n">
        <f aca="false">Assumptions!D14</f>
        <v>6.5</v>
      </c>
      <c r="E7" s="4" t="n">
        <f aca="false">Assumptions!E14</f>
        <v>6.5</v>
      </c>
      <c r="F7" s="4" t="n">
        <f aca="false">Assumptions!F14</f>
        <v>6.5</v>
      </c>
      <c r="G7" s="4" t="n">
        <f aca="false">Assumptions!G14</f>
        <v>6.5</v>
      </c>
      <c r="H7" s="4" t="n">
        <f aca="false">Assumptions!H14</f>
        <v>6.5</v>
      </c>
      <c r="I7" s="4" t="n">
        <f aca="false">Assumptions!I14</f>
        <v>6.5</v>
      </c>
      <c r="J7" s="4" t="n">
        <f aca="false">Assumptions!J14</f>
        <v>6.5</v>
      </c>
      <c r="K7" s="4" t="n">
        <f aca="false">Assumptions!K14</f>
        <v>6.5</v>
      </c>
      <c r="L7" s="4" t="n">
        <f aca="false">Assumptions!L14</f>
        <v>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3817.7988</v>
      </c>
      <c r="D8" s="0" t="n">
        <f aca="false">D6*D7/100</f>
        <v>3539.885505</v>
      </c>
      <c r="E8" s="0" t="n">
        <f aca="false">E6*E7/100</f>
        <v>3504.48664995</v>
      </c>
      <c r="F8" s="0" t="n">
        <f aca="false">F6*F7/100</f>
        <v>3504.48664995</v>
      </c>
      <c r="G8" s="0" t="n">
        <f aca="false">G6*G7/100</f>
        <v>3522.00908319975</v>
      </c>
      <c r="H8" s="0" t="n">
        <f aca="false">H6*H7/100</f>
        <v>3539.61912861575</v>
      </c>
      <c r="I8" s="0" t="n">
        <f aca="false">I6*I7/100</f>
        <v>3557.31722425883</v>
      </c>
      <c r="J8" s="0" t="n">
        <f aca="false">J6*J7/100</f>
        <v>3575.10381038012</v>
      </c>
      <c r="K8" s="0" t="n">
        <f aca="false">K6*K7/100</f>
        <v>3592.97932943202</v>
      </c>
      <c r="L8" s="0" t="n">
        <f aca="false">L6*L7/100</f>
        <v>3610.94422607918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0.86</v>
      </c>
      <c r="D9" s="4" t="n">
        <f aca="false">Assumptions!D15</f>
        <v>0.85</v>
      </c>
      <c r="E9" s="4" t="n">
        <f aca="false">Assumptions!E15</f>
        <v>0.85</v>
      </c>
      <c r="F9" s="4" t="n">
        <f aca="false">Assumptions!F15</f>
        <v>0.85</v>
      </c>
      <c r="G9" s="4" t="n">
        <f aca="false">Assumptions!G15</f>
        <v>0.85</v>
      </c>
      <c r="H9" s="4" t="n">
        <f aca="false">Assumptions!H15</f>
        <v>0.85</v>
      </c>
      <c r="I9" s="4" t="n">
        <f aca="false">Assumptions!I15</f>
        <v>0.85</v>
      </c>
      <c r="J9" s="4" t="n">
        <f aca="false">Assumptions!J15</f>
        <v>0.85</v>
      </c>
      <c r="K9" s="4" t="n">
        <f aca="false">Assumptions!K15</f>
        <v>0.85</v>
      </c>
      <c r="L9" s="4" t="n">
        <f aca="false">Assumptions!L15</f>
        <v>0.85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-482.83926</v>
      </c>
      <c r="D10" s="0" t="n">
        <f aca="false">-D6*D9/100</f>
        <v>-462.9081045</v>
      </c>
      <c r="E10" s="0" t="n">
        <f aca="false">-E6*E9/100</f>
        <v>-458.279023455</v>
      </c>
      <c r="F10" s="0" t="n">
        <f aca="false">-F6*F9/100</f>
        <v>-458.279023455</v>
      </c>
      <c r="G10" s="0" t="n">
        <f aca="false">-G6*G9/100</f>
        <v>-460.570418572275</v>
      </c>
      <c r="H10" s="0" t="n">
        <f aca="false">-H6*H9/100</f>
        <v>-462.873270665136</v>
      </c>
      <c r="I10" s="0" t="n">
        <f aca="false">-I6*I9/100</f>
        <v>-465.187637018462</v>
      </c>
      <c r="J10" s="0" t="n">
        <f aca="false">-J6*J9/100</f>
        <v>-467.513575203554</v>
      </c>
      <c r="K10" s="0" t="n">
        <f aca="false">-K6*K9/100</f>
        <v>-469.851143079572</v>
      </c>
      <c r="L10" s="0" t="n">
        <f aca="false">-L6*L9/100</f>
        <v>-472.20039879497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3334.95954</v>
      </c>
      <c r="D11" s="0" t="n">
        <f aca="false">D8+D10+D24</f>
        <v>3076.9774005</v>
      </c>
      <c r="E11" s="0" t="n">
        <f aca="false">E8+E10+E24</f>
        <v>3046.207626495</v>
      </c>
      <c r="F11" s="0" t="n">
        <f aca="false">F8+F10+F24</f>
        <v>3046.207626495</v>
      </c>
      <c r="G11" s="0" t="n">
        <f aca="false">G8+G10+G24</f>
        <v>3061.43866462747</v>
      </c>
      <c r="H11" s="0" t="n">
        <f aca="false">H8+H10+H24</f>
        <v>3076.74585795061</v>
      </c>
      <c r="I11" s="0" t="n">
        <f aca="false">I8+I10+I24</f>
        <v>3092.12958724036</v>
      </c>
      <c r="J11" s="0" t="n">
        <f aca="false">J8+J10+J24</f>
        <v>3107.59023517657</v>
      </c>
      <c r="K11" s="0" t="n">
        <f aca="false">K8+K10+K24</f>
        <v>3123.12818635245</v>
      </c>
      <c r="L11" s="0" t="n">
        <f aca="false">L8+L10+L24</f>
        <v>3138.74382728421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-898.3056</v>
      </c>
      <c r="D12" s="4" t="n">
        <f aca="false">-D6*Assumptions!D17/100</f>
        <v>-844.1265435</v>
      </c>
      <c r="E12" s="4" t="n">
        <f aca="false">-E6*Assumptions!E17/100</f>
        <v>-808.72768845</v>
      </c>
      <c r="F12" s="4" t="n">
        <f aca="false">-F6*Assumptions!F17/100</f>
        <v>-808.72768845</v>
      </c>
      <c r="G12" s="4" t="n">
        <f aca="false">-G6*Assumptions!G17/100</f>
        <v>-812.77132689225</v>
      </c>
      <c r="H12" s="4" t="n">
        <f aca="false">-H6*Assumptions!H17/100</f>
        <v>-816.835183526711</v>
      </c>
      <c r="I12" s="4" t="n">
        <f aca="false">-I6*Assumptions!I17/100</f>
        <v>-820.919359444344</v>
      </c>
      <c r="J12" s="4" t="n">
        <f aca="false">-J6*Assumptions!J17/100</f>
        <v>-825.023956241566</v>
      </c>
      <c r="K12" s="4" t="n">
        <f aca="false">-K6*Assumptions!K17/100</f>
        <v>-829.149076022774</v>
      </c>
      <c r="L12" s="4" t="n">
        <f aca="false">-L6*Assumptions!L17/100</f>
        <v>-833.294821402888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2436.65394</v>
      </c>
      <c r="D13" s="0" t="n">
        <f aca="false">D11+D12</f>
        <v>2232.850857</v>
      </c>
      <c r="E13" s="0" t="n">
        <f aca="false">E11+E12</f>
        <v>2237.479938045</v>
      </c>
      <c r="F13" s="0" t="n">
        <f aca="false">F11+F12</f>
        <v>2237.479938045</v>
      </c>
      <c r="G13" s="0" t="n">
        <f aca="false">G11+G12</f>
        <v>2248.66733773523</v>
      </c>
      <c r="H13" s="0" t="n">
        <f aca="false">H11+H12</f>
        <v>2259.9106744239</v>
      </c>
      <c r="I13" s="0" t="n">
        <f aca="false">I11+I12</f>
        <v>2271.21022779602</v>
      </c>
      <c r="J13" s="0" t="n">
        <f aca="false">J11+J12</f>
        <v>2282.566278935</v>
      </c>
      <c r="K13" s="0" t="n">
        <f aca="false">K11+K12</f>
        <v>2293.97911032967</v>
      </c>
      <c r="L13" s="0" t="n">
        <f aca="false">L11+L12</f>
        <v>2305.44900588132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17</v>
      </c>
      <c r="D14" s="4" t="n">
        <f aca="false">Assumptions!D19</f>
        <v>18</v>
      </c>
      <c r="E14" s="4" t="n">
        <f aca="false">Assumptions!E19</f>
        <v>19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2022.4227702</v>
      </c>
      <c r="D15" s="0" t="n">
        <f aca="false">D13-MAX(0,D13)*D14/100</f>
        <v>1830.93770274</v>
      </c>
      <c r="E15" s="0" t="n">
        <f aca="false">E13-MAX(0,E13)*E14/100</f>
        <v>1812.35874981645</v>
      </c>
      <c r="F15" s="0" t="n">
        <f aca="false">F13-MAX(0,F13)*F14/100</f>
        <v>1789.983950436</v>
      </c>
      <c r="G15" s="0" t="n">
        <f aca="false">G13-MAX(0,G13)*G14/100</f>
        <v>1798.93387018818</v>
      </c>
      <c r="H15" s="0" t="n">
        <f aca="false">H13-MAX(0,H13)*H14/100</f>
        <v>1807.92853953912</v>
      </c>
      <c r="I15" s="0" t="n">
        <f aca="false">I13-MAX(0,I13)*I14/100</f>
        <v>1816.96818223682</v>
      </c>
      <c r="J15" s="0" t="n">
        <f aca="false">J13-MAX(0,J13)*J14/100</f>
        <v>1826.053023148</v>
      </c>
      <c r="K15" s="0" t="n">
        <f aca="false">K13-MAX(0,K13)*K14/100</f>
        <v>1835.18328826374</v>
      </c>
      <c r="L15" s="0" t="n">
        <f aca="false">L13-MAX(0,L13)*L14/100</f>
        <v>1844.35920470506</v>
      </c>
    </row>
    <row r="16" customFormat="false" ht="15" hidden="false" customHeight="false" outlineLevel="0" collapsed="false">
      <c r="A16" s="0" t="s">
        <v>129</v>
      </c>
      <c r="C16" s="0" t="n">
        <f aca="false">-C12</f>
        <v>898.3056</v>
      </c>
      <c r="D16" s="0" t="n">
        <f aca="false">-D12</f>
        <v>844.1265435</v>
      </c>
      <c r="E16" s="0" t="n">
        <f aca="false">-E12</f>
        <v>808.72768845</v>
      </c>
      <c r="F16" s="0" t="n">
        <f aca="false">-F12</f>
        <v>808.72768845</v>
      </c>
      <c r="G16" s="0" t="n">
        <f aca="false">-G12</f>
        <v>812.77132689225</v>
      </c>
      <c r="H16" s="0" t="n">
        <f aca="false">-H12</f>
        <v>816.835183526711</v>
      </c>
      <c r="I16" s="0" t="n">
        <f aca="false">-I12</f>
        <v>820.919359444344</v>
      </c>
      <c r="J16" s="0" t="n">
        <f aca="false">-J12</f>
        <v>825.023956241566</v>
      </c>
      <c r="K16" s="0" t="n">
        <f aca="false">-K12</f>
        <v>829.149076022774</v>
      </c>
      <c r="L16" s="0" t="n">
        <f aca="false">-L12</f>
        <v>833.294821402888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-729.8733</v>
      </c>
      <c r="D17" s="4" t="n">
        <f aca="false">-D6*Assumptions!D18/100</f>
        <v>-707.977101</v>
      </c>
      <c r="E17" s="4" t="n">
        <f aca="false">-E6*Assumptions!E18/100</f>
        <v>-700.89732999</v>
      </c>
      <c r="F17" s="4" t="n">
        <f aca="false">-F6*Assumptions!F18/100</f>
        <v>-700.89732999</v>
      </c>
      <c r="G17" s="4" t="n">
        <f aca="false">-G6*Assumptions!G18/100</f>
        <v>-704.40181663995</v>
      </c>
      <c r="H17" s="4" t="n">
        <f aca="false">-H6*Assumptions!H18/100</f>
        <v>-707.92382572315</v>
      </c>
      <c r="I17" s="4" t="n">
        <f aca="false">-I6*Assumptions!I18/100</f>
        <v>-711.463444851765</v>
      </c>
      <c r="J17" s="4" t="n">
        <f aca="false">-J6*Assumptions!J18/100</f>
        <v>-715.020762076024</v>
      </c>
      <c r="K17" s="4" t="n">
        <f aca="false">-K6*Assumptions!K18/100</f>
        <v>-718.595865886404</v>
      </c>
      <c r="L17" s="4" t="n">
        <f aca="false">-L6*Assumptions!L18/100</f>
        <v>-722.188845215836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-422.59</v>
      </c>
      <c r="D18" s="4" t="n">
        <f aca="false">(D6-C6)*Assumptions!$B$23/100</f>
        <v>-168.4323</v>
      </c>
      <c r="E18" s="4" t="n">
        <f aca="false">(E6-D6)*Assumptions!$B$23/100</f>
        <v>-54.459777</v>
      </c>
      <c r="F18" s="4" t="n">
        <f aca="false">(F6-E6)*Assumptions!$B$23/100</f>
        <v>0</v>
      </c>
      <c r="G18" s="4" t="n">
        <f aca="false">(G6-F6)*Assumptions!$B$23/100</f>
        <v>26.9575896149996</v>
      </c>
      <c r="H18" s="4" t="n">
        <f aca="false">(H6-G6)*Assumptions!$B$23/100</f>
        <v>27.0923775630741</v>
      </c>
      <c r="I18" s="4" t="n">
        <f aca="false">(I6-H6)*Assumptions!$B$23/100</f>
        <v>27.2278394508896</v>
      </c>
      <c r="J18" s="4" t="n">
        <f aca="false">(J6-I6)*Assumptions!$B$23/100</f>
        <v>27.3639786481443</v>
      </c>
      <c r="K18" s="4" t="n">
        <f aca="false">(K6-J6)*Assumptions!$B$23/100</f>
        <v>27.5007985413853</v>
      </c>
      <c r="L18" s="4" t="n">
        <f aca="false">(L6-K6)*Assumptions!$B$23/100</f>
        <v>27.6383025340918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1768.2650702</v>
      </c>
      <c r="D19" s="0" t="n">
        <f aca="false">D15+D16+D17+D18</f>
        <v>1798.65484524</v>
      </c>
      <c r="E19" s="0" t="n">
        <f aca="false">E15+E16+E17+E18</f>
        <v>1865.72933127645</v>
      </c>
      <c r="F19" s="0" t="n">
        <f aca="false">F15+F16+F17+F18</f>
        <v>1897.814308896</v>
      </c>
      <c r="G19" s="0" t="n">
        <f aca="false">G15+G16+G17+G18</f>
        <v>1934.26097005548</v>
      </c>
      <c r="H19" s="0" t="n">
        <f aca="false">H15+H16+H17+H18</f>
        <v>1943.93227490576</v>
      </c>
      <c r="I19" s="0" t="n">
        <f aca="false">I15+I16+I17+I18</f>
        <v>1953.65193628028</v>
      </c>
      <c r="J19" s="0" t="n">
        <f aca="false">J15+J16+J17+J18</f>
        <v>1963.42019596169</v>
      </c>
      <c r="K19" s="0" t="n">
        <f aca="false">K15+K16+K17+K18</f>
        <v>1973.23729694149</v>
      </c>
      <c r="L19" s="0" t="n">
        <f aca="false">L15+L16+L17+L18</f>
        <v>1983.1034834262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0.92378752886836</v>
      </c>
      <c r="D20" s="0" t="n">
        <f aca="false">1/(1+$B$27/100)^D4</f>
        <v>0.853383398492712</v>
      </c>
      <c r="E20" s="0" t="n">
        <f aca="false">1/(1+$B$27/100)^E4</f>
        <v>0.788344940870865</v>
      </c>
      <c r="F20" s="0" t="n">
        <f aca="false">1/(1+$B$27/100)^F4</f>
        <v>0.72826322482297</v>
      </c>
      <c r="G20" s="0" t="n">
        <f aca="false">1/(1+$B$27/100)^G4</f>
        <v>0.672760484824915</v>
      </c>
      <c r="H20" s="0" t="n">
        <f aca="false">1/(1+$B$27/100)^H4</f>
        <v>0.621487745796688</v>
      </c>
      <c r="I20" s="0" t="n">
        <f aca="false">1/(1+$B$27/100)^I4</f>
        <v>0.57412262891149</v>
      </c>
      <c r="J20" s="0" t="n">
        <f aca="false">1/(1+$B$27/100)^J4</f>
        <v>0.530367324629552</v>
      </c>
      <c r="K20" s="0" t="n">
        <f aca="false">1/(1+$B$27/100)^K4</f>
        <v>0.489946720212057</v>
      </c>
      <c r="L20" s="0" t="n">
        <f aca="false">1/(1+$B$27/100)^L4</f>
        <v>0.452606669941854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1633.5012195843</v>
      </c>
      <c r="D21" s="0" t="n">
        <f aca="false">D19*D20</f>
        <v>1534.94218454629</v>
      </c>
      <c r="E21" s="0" t="n">
        <f aca="false">E19*E20</f>
        <v>1470.83827934617</v>
      </c>
      <c r="F21" s="0" t="n">
        <f aca="false">F19*F20</f>
        <v>1382.10836871178</v>
      </c>
      <c r="G21" s="0" t="n">
        <f aca="false">G19*G20</f>
        <v>1301.29434799243</v>
      </c>
      <c r="H21" s="0" t="n">
        <f aca="false">H19*H20</f>
        <v>1208.13008751261</v>
      </c>
      <c r="I21" s="0" t="n">
        <f aca="false">I19*I20</f>
        <v>1121.63578563526</v>
      </c>
      <c r="J21" s="0" t="n">
        <f aca="false">J19*J20</f>
        <v>1041.33391645583</v>
      </c>
      <c r="K21" s="0" t="n">
        <f aca="false">K19*K20</f>
        <v>966.78114183659</v>
      </c>
      <c r="L21" s="0" t="n">
        <f aca="false">L19*L20</f>
        <v>897.565863783624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8.25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12558.1311954049</v>
      </c>
    </row>
    <row r="31" customFormat="false" ht="15" hidden="false" customHeight="false" outlineLevel="0" collapsed="false">
      <c r="A31" s="0" t="s">
        <v>138</v>
      </c>
      <c r="B31" s="0" t="n">
        <f aca="false">L19</f>
        <v>1983.1034834262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27626.6830104892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19831.034834262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19831.034834262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8975.65863783624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21533.7898332411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16542.7898332411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18.1788899266386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-0.419575672840402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3092.58408084642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2977.35531785165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24.849153002131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14306.6751304319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8.77403759067379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-3</v>
      </c>
      <c r="D5" s="4" t="n">
        <f aca="false">Assumptions!D27</f>
        <v>1</v>
      </c>
      <c r="E5" s="4" t="n">
        <f aca="false">Assumptions!E27</f>
        <v>2</v>
      </c>
      <c r="F5" s="4" t="n">
        <f aca="false">Assumptions!F27</f>
        <v>1.5</v>
      </c>
      <c r="G5" s="4" t="n">
        <f aca="false">Assumptions!G27</f>
        <v>1.5</v>
      </c>
      <c r="H5" s="4" t="n">
        <f aca="false">Assumptions!H27</f>
        <v>1</v>
      </c>
      <c r="I5" s="4" t="n">
        <f aca="false">Assumptions!I27</f>
        <v>1</v>
      </c>
      <c r="J5" s="4" t="n">
        <f aca="false">Assumptions!J27</f>
        <v>1</v>
      </c>
      <c r="K5" s="4" t="n">
        <f aca="false">Assumptions!K27</f>
        <v>1</v>
      </c>
      <c r="L5" s="4" t="n">
        <f aca="false">Assumptions!L27</f>
        <v>1</v>
      </c>
    </row>
    <row r="6" customFormat="false" ht="15" hidden="false" customHeight="false" outlineLevel="0" collapsed="false">
      <c r="A6" s="0" t="s">
        <v>37</v>
      </c>
      <c r="B6" s="3" t="n">
        <v>60370</v>
      </c>
      <c r="C6" s="0" t="n">
        <f aca="false">B6*(1+C5/100)</f>
        <v>58558.9</v>
      </c>
      <c r="D6" s="0" t="n">
        <f aca="false">C6*(1+D5/100)</f>
        <v>59144.489</v>
      </c>
      <c r="E6" s="0" t="n">
        <f aca="false">D6*(1+E5/100)</f>
        <v>60327.37878</v>
      </c>
      <c r="F6" s="0" t="n">
        <f aca="false">E6*(1+F5/100)</f>
        <v>61232.2894617</v>
      </c>
      <c r="G6" s="0" t="n">
        <f aca="false">F6*(1+G5/100)</f>
        <v>62150.7738036255</v>
      </c>
      <c r="H6" s="0" t="n">
        <f aca="false">G6*(1+H5/100)</f>
        <v>62772.2815416617</v>
      </c>
      <c r="I6" s="0" t="n">
        <f aca="false">H6*(1+I5/100)</f>
        <v>63400.0043570784</v>
      </c>
      <c r="J6" s="0" t="n">
        <f aca="false">I6*(1+J5/100)</f>
        <v>64034.0044006491</v>
      </c>
      <c r="K6" s="0" t="n">
        <f aca="false">J6*(1+K5/100)</f>
        <v>64674.3444446556</v>
      </c>
      <c r="L6" s="0" t="n">
        <f aca="false">K6*(1+L5/100)</f>
        <v>65321.0878891022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7.6</v>
      </c>
      <c r="D7" s="4" t="n">
        <f aca="false">Assumptions!D28</f>
        <v>7.8</v>
      </c>
      <c r="E7" s="4" t="n">
        <f aca="false">Assumptions!E28</f>
        <v>8</v>
      </c>
      <c r="F7" s="4" t="n">
        <f aca="false">Assumptions!F28</f>
        <v>8</v>
      </c>
      <c r="G7" s="4" t="n">
        <f aca="false">Assumptions!G28</f>
        <v>8</v>
      </c>
      <c r="H7" s="4" t="n">
        <f aca="false">Assumptions!H28</f>
        <v>8</v>
      </c>
      <c r="I7" s="4" t="n">
        <f aca="false">Assumptions!I28</f>
        <v>8</v>
      </c>
      <c r="J7" s="4" t="n">
        <f aca="false">Assumptions!J28</f>
        <v>8</v>
      </c>
      <c r="K7" s="4" t="n">
        <f aca="false">Assumptions!K28</f>
        <v>8</v>
      </c>
      <c r="L7" s="4" t="n">
        <f aca="false">Assumptions!L28</f>
        <v>8</v>
      </c>
    </row>
    <row r="8" customFormat="false" ht="15" hidden="false" customHeight="false" outlineLevel="0" collapsed="false">
      <c r="A8" s="0" t="s">
        <v>43</v>
      </c>
      <c r="C8" s="0" t="n">
        <f aca="false">C6*C7/100</f>
        <v>4450.4764</v>
      </c>
      <c r="D8" s="0" t="n">
        <f aca="false">D6*D7/100</f>
        <v>4613.270142</v>
      </c>
      <c r="E8" s="0" t="n">
        <f aca="false">E6*E7/100</f>
        <v>4826.1903024</v>
      </c>
      <c r="F8" s="0" t="n">
        <f aca="false">F6*F7/100</f>
        <v>4898.583156936</v>
      </c>
      <c r="G8" s="0" t="n">
        <f aca="false">G6*G7/100</f>
        <v>4972.06190429004</v>
      </c>
      <c r="H8" s="0" t="n">
        <f aca="false">H6*H7/100</f>
        <v>5021.78252333294</v>
      </c>
      <c r="I8" s="0" t="n">
        <f aca="false">I6*I7/100</f>
        <v>5072.00034856627</v>
      </c>
      <c r="J8" s="0" t="n">
        <f aca="false">J6*J7/100</f>
        <v>5122.72035205193</v>
      </c>
      <c r="K8" s="0" t="n">
        <f aca="false">K6*K7/100</f>
        <v>5173.94755557245</v>
      </c>
      <c r="L8" s="0" t="n">
        <f aca="false">L6*L7/100</f>
        <v>5225.68703112818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0.86</v>
      </c>
      <c r="D9" s="4" t="n">
        <f aca="false">Assumptions!D29</f>
        <v>0.85</v>
      </c>
      <c r="E9" s="4" t="n">
        <f aca="false">Assumptions!E29</f>
        <v>0.85</v>
      </c>
      <c r="F9" s="4" t="n">
        <f aca="false">Assumptions!F29</f>
        <v>0.85</v>
      </c>
      <c r="G9" s="4" t="n">
        <f aca="false">Assumptions!G29</f>
        <v>0.85</v>
      </c>
      <c r="H9" s="4" t="n">
        <f aca="false">Assumptions!H29</f>
        <v>0.85</v>
      </c>
      <c r="I9" s="4" t="n">
        <f aca="false">Assumptions!I29</f>
        <v>0.85</v>
      </c>
      <c r="J9" s="4" t="n">
        <f aca="false">Assumptions!J29</f>
        <v>0.85</v>
      </c>
      <c r="K9" s="4" t="n">
        <f aca="false">Assumptions!K29</f>
        <v>0.85</v>
      </c>
      <c r="L9" s="4" t="n">
        <f aca="false">Assumptions!L29</f>
        <v>0.85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-503.60654</v>
      </c>
      <c r="D10" s="0" t="n">
        <f aca="false">-D6*D9/100</f>
        <v>-502.7281565</v>
      </c>
      <c r="E10" s="0" t="n">
        <f aca="false">-E6*E9/100</f>
        <v>-512.78271963</v>
      </c>
      <c r="F10" s="0" t="n">
        <f aca="false">-F6*F9/100</f>
        <v>-520.47446042445</v>
      </c>
      <c r="G10" s="0" t="n">
        <f aca="false">-G6*G9/100</f>
        <v>-528.281577330817</v>
      </c>
      <c r="H10" s="0" t="n">
        <f aca="false">-H6*H9/100</f>
        <v>-533.564393104125</v>
      </c>
      <c r="I10" s="0" t="n">
        <f aca="false">-I6*I9/100</f>
        <v>-538.900037035166</v>
      </c>
      <c r="J10" s="0" t="n">
        <f aca="false">-J6*J9/100</f>
        <v>-544.289037405518</v>
      </c>
      <c r="K10" s="0" t="n">
        <f aca="false">-K6*K9/100</f>
        <v>-549.731927779573</v>
      </c>
      <c r="L10" s="0" t="n">
        <f aca="false">-L6*L9/100</f>
        <v>-555.229247057369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3946.86986</v>
      </c>
      <c r="D11" s="0" t="n">
        <f aca="false">D8+D10+D24</f>
        <v>4110.5419855</v>
      </c>
      <c r="E11" s="0" t="n">
        <f aca="false">E8+E10+E24</f>
        <v>4313.40758277</v>
      </c>
      <c r="F11" s="0" t="n">
        <f aca="false">F8+F10+F24</f>
        <v>4378.10869651155</v>
      </c>
      <c r="G11" s="0" t="n">
        <f aca="false">G8+G10+G24</f>
        <v>4443.78032695922</v>
      </c>
      <c r="H11" s="0" t="n">
        <f aca="false">H8+H10+H24</f>
        <v>4488.21813022881</v>
      </c>
      <c r="I11" s="0" t="n">
        <f aca="false">I8+I10+I24</f>
        <v>4533.1003115311</v>
      </c>
      <c r="J11" s="0" t="n">
        <f aca="false">J8+J10+J24</f>
        <v>4578.43131464641</v>
      </c>
      <c r="K11" s="0" t="n">
        <f aca="false">K8+K10+K24</f>
        <v>4624.21562779288</v>
      </c>
      <c r="L11" s="0" t="n">
        <f aca="false">L8+L10+L24</f>
        <v>4670.45778407081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-936.9424</v>
      </c>
      <c r="D12" s="4" t="n">
        <f aca="false">-D6*Assumptions!D31/100</f>
        <v>-916.7395795</v>
      </c>
      <c r="E12" s="4" t="n">
        <f aca="false">-E6*Assumptions!E31/100</f>
        <v>-904.9106817</v>
      </c>
      <c r="F12" s="4" t="n">
        <f aca="false">-F6*Assumptions!F31/100</f>
        <v>-918.4843419255</v>
      </c>
      <c r="G12" s="4" t="n">
        <f aca="false">-G6*Assumptions!G31/100</f>
        <v>-932.261607054382</v>
      </c>
      <c r="H12" s="4" t="n">
        <f aca="false">-H6*Assumptions!H31/100</f>
        <v>-941.584223124926</v>
      </c>
      <c r="I12" s="4" t="n">
        <f aca="false">-I6*Assumptions!I31/100</f>
        <v>-951.000065356175</v>
      </c>
      <c r="J12" s="4" t="n">
        <f aca="false">-J6*Assumptions!J31/100</f>
        <v>-960.510066009737</v>
      </c>
      <c r="K12" s="4" t="n">
        <f aca="false">-K6*Assumptions!K31/100</f>
        <v>-970.115166669835</v>
      </c>
      <c r="L12" s="4" t="n">
        <f aca="false">-L6*Assumptions!L31/100</f>
        <v>-979.816318336533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3009.92746</v>
      </c>
      <c r="D13" s="0" t="n">
        <f aca="false">D11+D12</f>
        <v>3193.802406</v>
      </c>
      <c r="E13" s="0" t="n">
        <f aca="false">E11+E12</f>
        <v>3408.49690107</v>
      </c>
      <c r="F13" s="0" t="n">
        <f aca="false">F11+F12</f>
        <v>3459.62435458605</v>
      </c>
      <c r="G13" s="0" t="n">
        <f aca="false">G11+G12</f>
        <v>3511.51871990484</v>
      </c>
      <c r="H13" s="0" t="n">
        <f aca="false">H11+H12</f>
        <v>3546.63390710389</v>
      </c>
      <c r="I13" s="0" t="n">
        <f aca="false">I11+I12</f>
        <v>3582.10024617493</v>
      </c>
      <c r="J13" s="0" t="n">
        <f aca="false">J11+J12</f>
        <v>3617.92124863668</v>
      </c>
      <c r="K13" s="0" t="n">
        <f aca="false">K11+K12</f>
        <v>3654.10046112304</v>
      </c>
      <c r="L13" s="0" t="n">
        <f aca="false">L11+L12</f>
        <v>3690.64146573427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17</v>
      </c>
      <c r="D14" s="4" t="n">
        <f aca="false">Assumptions!D33</f>
        <v>18</v>
      </c>
      <c r="E14" s="4" t="n">
        <f aca="false">Assumptions!E33</f>
        <v>19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2498.2397918</v>
      </c>
      <c r="D15" s="0" t="n">
        <f aca="false">D13-MAX(0,D13)*D14/100</f>
        <v>2618.91797292</v>
      </c>
      <c r="E15" s="0" t="n">
        <f aca="false">E13-MAX(0,E13)*E14/100</f>
        <v>2760.8824898667</v>
      </c>
      <c r="F15" s="0" t="n">
        <f aca="false">F13-MAX(0,F13)*F14/100</f>
        <v>2767.69948366884</v>
      </c>
      <c r="G15" s="0" t="n">
        <f aca="false">G13-MAX(0,G13)*G14/100</f>
        <v>2809.21497592387</v>
      </c>
      <c r="H15" s="0" t="n">
        <f aca="false">H13-MAX(0,H13)*H14/100</f>
        <v>2837.30712568311</v>
      </c>
      <c r="I15" s="0" t="n">
        <f aca="false">I13-MAX(0,I13)*I14/100</f>
        <v>2865.68019693994</v>
      </c>
      <c r="J15" s="0" t="n">
        <f aca="false">J13-MAX(0,J13)*J14/100</f>
        <v>2894.33699890934</v>
      </c>
      <c r="K15" s="0" t="n">
        <f aca="false">K13-MAX(0,K13)*K14/100</f>
        <v>2923.28036889843</v>
      </c>
      <c r="L15" s="0" t="n">
        <f aca="false">L13-MAX(0,L13)*L14/100</f>
        <v>2952.51317258742</v>
      </c>
    </row>
    <row r="16" customFormat="false" ht="15" hidden="false" customHeight="false" outlineLevel="0" collapsed="false">
      <c r="A16" s="0" t="s">
        <v>129</v>
      </c>
      <c r="C16" s="0" t="n">
        <f aca="false">-C12</f>
        <v>936.9424</v>
      </c>
      <c r="D16" s="0" t="n">
        <f aca="false">-D12</f>
        <v>916.7395795</v>
      </c>
      <c r="E16" s="0" t="n">
        <f aca="false">-E12</f>
        <v>904.9106817</v>
      </c>
      <c r="F16" s="0" t="n">
        <f aca="false">-F12</f>
        <v>918.4843419255</v>
      </c>
      <c r="G16" s="0" t="n">
        <f aca="false">-G12</f>
        <v>932.261607054382</v>
      </c>
      <c r="H16" s="0" t="n">
        <f aca="false">-H12</f>
        <v>941.584223124926</v>
      </c>
      <c r="I16" s="0" t="n">
        <f aca="false">-I12</f>
        <v>951.000065356175</v>
      </c>
      <c r="J16" s="0" t="n">
        <f aca="false">-J12</f>
        <v>960.510066009737</v>
      </c>
      <c r="K16" s="0" t="n">
        <f aca="false">-K12</f>
        <v>970.115166669835</v>
      </c>
      <c r="L16" s="0" t="n">
        <f aca="false">-L12</f>
        <v>979.816318336533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-761.2657</v>
      </c>
      <c r="D17" s="4" t="n">
        <f aca="false">-D6*Assumptions!D32/100</f>
        <v>-768.878357</v>
      </c>
      <c r="E17" s="4" t="n">
        <f aca="false">-E6*Assumptions!E32/100</f>
        <v>-784.25592414</v>
      </c>
      <c r="F17" s="4" t="n">
        <f aca="false">-F6*Assumptions!F32/100</f>
        <v>-796.0197630021</v>
      </c>
      <c r="G17" s="4" t="n">
        <f aca="false">-G6*Assumptions!G32/100</f>
        <v>-807.960059447131</v>
      </c>
      <c r="H17" s="4" t="n">
        <f aca="false">-H6*Assumptions!H32/100</f>
        <v>-816.039660041603</v>
      </c>
      <c r="I17" s="4" t="n">
        <f aca="false">-I6*Assumptions!I32/100</f>
        <v>-824.200056642019</v>
      </c>
      <c r="J17" s="4" t="n">
        <f aca="false">-J6*Assumptions!J32/100</f>
        <v>-832.442057208439</v>
      </c>
      <c r="K17" s="4" t="n">
        <f aca="false">-K6*Assumptions!K32/100</f>
        <v>-840.766477780523</v>
      </c>
      <c r="L17" s="4" t="n">
        <f aca="false">-L6*Assumptions!L32/100</f>
        <v>-849.174142558328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-181.11</v>
      </c>
      <c r="D18" s="4" t="n">
        <f aca="false">(D6-C6)*Assumptions!$B$37/100</f>
        <v>58.5589</v>
      </c>
      <c r="E18" s="4" t="n">
        <f aca="false">(E6-D6)*Assumptions!$B$37/100</f>
        <v>118.288978</v>
      </c>
      <c r="F18" s="4" t="n">
        <f aca="false">(F6-E6)*Assumptions!$B$37/100</f>
        <v>90.4910681699992</v>
      </c>
      <c r="G18" s="4" t="n">
        <f aca="false">(G6-F6)*Assumptions!$B$37/100</f>
        <v>91.848434192549</v>
      </c>
      <c r="H18" s="4" t="n">
        <f aca="false">(H6-G6)*Assumptions!$B$37/100</f>
        <v>62.1507738036256</v>
      </c>
      <c r="I18" s="4" t="n">
        <f aca="false">(I6-H6)*Assumptions!$B$37/100</f>
        <v>62.7722815416615</v>
      </c>
      <c r="J18" s="4" t="n">
        <f aca="false">(J6-I6)*Assumptions!$B$37/100</f>
        <v>63.4000043570784</v>
      </c>
      <c r="K18" s="4" t="n">
        <f aca="false">(K6-J6)*Assumptions!$B$37/100</f>
        <v>64.0340044006494</v>
      </c>
      <c r="L18" s="4" t="n">
        <f aca="false">(L6-K6)*Assumptions!$B$37/100</f>
        <v>64.6743444446554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2492.8064918</v>
      </c>
      <c r="D19" s="0" t="n">
        <f aca="false">D15+D16+D17+D18</f>
        <v>2825.33809542</v>
      </c>
      <c r="E19" s="0" t="n">
        <f aca="false">E15+E16+E17+E18</f>
        <v>2999.8262254267</v>
      </c>
      <c r="F19" s="0" t="n">
        <f aca="false">F15+F16+F17+F18</f>
        <v>2980.65513076224</v>
      </c>
      <c r="G19" s="0" t="n">
        <f aca="false">G15+G16+G17+G18</f>
        <v>3025.36495772367</v>
      </c>
      <c r="H19" s="0" t="n">
        <f aca="false">H15+H16+H17+H18</f>
        <v>3025.00246257006</v>
      </c>
      <c r="I19" s="0" t="n">
        <f aca="false">I15+I16+I17+I18</f>
        <v>3055.25248719576</v>
      </c>
      <c r="J19" s="0" t="n">
        <f aca="false">J15+J16+J17+J18</f>
        <v>3085.80501206772</v>
      </c>
      <c r="K19" s="0" t="n">
        <f aca="false">K15+K16+K17+K18</f>
        <v>3116.66306218839</v>
      </c>
      <c r="L19" s="0" t="n">
        <f aca="false">L15+L16+L17+L18</f>
        <v>3147.82969281028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0.92378752886836</v>
      </c>
      <c r="D20" s="0" t="n">
        <f aca="false">1/(1+$B$27/100)^D4</f>
        <v>0.853383398492712</v>
      </c>
      <c r="E20" s="0" t="n">
        <f aca="false">1/(1+$B$27/100)^E4</f>
        <v>0.788344940870865</v>
      </c>
      <c r="F20" s="0" t="n">
        <f aca="false">1/(1+$B$27/100)^F4</f>
        <v>0.72826322482297</v>
      </c>
      <c r="G20" s="0" t="n">
        <f aca="false">1/(1+$B$27/100)^G4</f>
        <v>0.672760484824915</v>
      </c>
      <c r="H20" s="0" t="n">
        <f aca="false">1/(1+$B$27/100)^H4</f>
        <v>0.621487745796688</v>
      </c>
      <c r="I20" s="0" t="n">
        <f aca="false">1/(1+$B$27/100)^I4</f>
        <v>0.57412262891149</v>
      </c>
      <c r="J20" s="0" t="n">
        <f aca="false">1/(1+$B$27/100)^J4</f>
        <v>0.530367324629552</v>
      </c>
      <c r="K20" s="0" t="n">
        <f aca="false">1/(1+$B$27/100)^K4</f>
        <v>0.489946720212057</v>
      </c>
      <c r="L20" s="0" t="n">
        <f aca="false">1/(1+$B$27/100)^L4</f>
        <v>0.452606669941854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2302.82354900693</v>
      </c>
      <c r="D21" s="0" t="n">
        <f aca="false">D19*D20</f>
        <v>2411.09662576044</v>
      </c>
      <c r="E21" s="0" t="n">
        <f aca="false">E19*E20</f>
        <v>2364.89782830688</v>
      </c>
      <c r="F21" s="0" t="n">
        <f aca="false">F19*F20</f>
        <v>2170.70151761404</v>
      </c>
      <c r="G21" s="0" t="n">
        <f aca="false">G19*G20</f>
        <v>2035.34599573049</v>
      </c>
      <c r="H21" s="0" t="n">
        <f aca="false">H19*H20</f>
        <v>1880.0019614921</v>
      </c>
      <c r="I21" s="0" t="n">
        <f aca="false">I19*I20</f>
        <v>1754.0895899372</v>
      </c>
      <c r="J21" s="0" t="n">
        <f aca="false">J19*J20</f>
        <v>1636.61014857882</v>
      </c>
      <c r="K21" s="0" t="n">
        <f aca="false">K19*K20</f>
        <v>1526.99884532527</v>
      </c>
      <c r="L21" s="0" t="n">
        <f aca="false">L19*L20</f>
        <v>1424.72871480695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8.25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19507.2947765591</v>
      </c>
    </row>
    <row r="31" customFormat="false" ht="15" hidden="false" customHeight="false" outlineLevel="0" collapsed="false">
      <c r="A31" s="0" t="s">
        <v>138</v>
      </c>
      <c r="B31" s="0" t="n">
        <f aca="false">L19</f>
        <v>3147.82969281028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47334.0316770731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37773.9563137234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37773.9563137234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17096.7445776834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36604.0393542425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31613.0393542425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34.7396036859808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0.109182748594534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3483.25571974382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3778.81433293975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42.7199004471715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23667.0158385365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17.0033996768163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1</v>
      </c>
      <c r="D5" s="4" t="n">
        <f aca="false">Assumptions!D41</f>
        <v>3</v>
      </c>
      <c r="E5" s="4" t="n">
        <f aca="false">Assumptions!E41</f>
        <v>3</v>
      </c>
      <c r="F5" s="4" t="n">
        <f aca="false">Assumptions!F41</f>
        <v>2.5</v>
      </c>
      <c r="G5" s="4" t="n">
        <f aca="false">Assumptions!G41</f>
        <v>2</v>
      </c>
      <c r="H5" s="4" t="n">
        <f aca="false">Assumptions!H41</f>
        <v>2</v>
      </c>
      <c r="I5" s="4" t="n">
        <f aca="false">Assumptions!I41</f>
        <v>2</v>
      </c>
      <c r="J5" s="4" t="n">
        <f aca="false">Assumptions!J41</f>
        <v>1.5</v>
      </c>
      <c r="K5" s="4" t="n">
        <f aca="false">Assumptions!K41</f>
        <v>1.5</v>
      </c>
      <c r="L5" s="4" t="n">
        <f aca="false">Assumptions!L41</f>
        <v>1.5</v>
      </c>
    </row>
    <row r="6" customFormat="false" ht="15" hidden="false" customHeight="false" outlineLevel="0" collapsed="false">
      <c r="A6" s="0" t="s">
        <v>37</v>
      </c>
      <c r="B6" s="3" t="n">
        <v>60370</v>
      </c>
      <c r="C6" s="0" t="n">
        <f aca="false">B6*(1+C5/100)</f>
        <v>60973.7</v>
      </c>
      <c r="D6" s="0" t="n">
        <f aca="false">C6*(1+D5/100)</f>
        <v>62802.911</v>
      </c>
      <c r="E6" s="0" t="n">
        <f aca="false">D6*(1+E5/100)</f>
        <v>64686.99833</v>
      </c>
      <c r="F6" s="0" t="n">
        <f aca="false">E6*(1+F5/100)</f>
        <v>66304.17328825</v>
      </c>
      <c r="G6" s="0" t="n">
        <f aca="false">F6*(1+G5/100)</f>
        <v>67630.256754015</v>
      </c>
      <c r="H6" s="0" t="n">
        <f aca="false">G6*(1+H5/100)</f>
        <v>68982.8618890953</v>
      </c>
      <c r="I6" s="0" t="n">
        <f aca="false">H6*(1+I5/100)</f>
        <v>70362.5191268772</v>
      </c>
      <c r="J6" s="0" t="n">
        <f aca="false">I6*(1+J5/100)</f>
        <v>71417.9569137804</v>
      </c>
      <c r="K6" s="0" t="n">
        <f aca="false">J6*(1+K5/100)</f>
        <v>72489.226267487</v>
      </c>
      <c r="L6" s="0" t="n">
        <f aca="false">K6*(1+L5/100)</f>
        <v>73576.5646614994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8</v>
      </c>
      <c r="D7" s="4" t="n">
        <f aca="false">Assumptions!D42</f>
        <v>8.5</v>
      </c>
      <c r="E7" s="4" t="n">
        <f aca="false">Assumptions!E42</f>
        <v>9</v>
      </c>
      <c r="F7" s="4" t="n">
        <f aca="false">Assumptions!F42</f>
        <v>9.2</v>
      </c>
      <c r="G7" s="4" t="n">
        <f aca="false">Assumptions!G42</f>
        <v>9.5</v>
      </c>
      <c r="H7" s="4" t="n">
        <f aca="false">Assumptions!H42</f>
        <v>9.5</v>
      </c>
      <c r="I7" s="4" t="n">
        <f aca="false">Assumptions!I42</f>
        <v>9.5</v>
      </c>
      <c r="J7" s="4" t="n">
        <f aca="false">Assumptions!J42</f>
        <v>9.5</v>
      </c>
      <c r="K7" s="4" t="n">
        <f aca="false">Assumptions!K42</f>
        <v>9.5</v>
      </c>
      <c r="L7" s="4" t="n">
        <f aca="false">Assumptions!L42</f>
        <v>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4877.896</v>
      </c>
      <c r="D8" s="0" t="n">
        <f aca="false">D6*D7/100</f>
        <v>5338.247435</v>
      </c>
      <c r="E8" s="0" t="n">
        <f aca="false">E6*E7/100</f>
        <v>5821.8298497</v>
      </c>
      <c r="F8" s="0" t="n">
        <f aca="false">F6*F7/100</f>
        <v>6099.983942519</v>
      </c>
      <c r="G8" s="0" t="n">
        <f aca="false">G6*G7/100</f>
        <v>6424.87439163142</v>
      </c>
      <c r="H8" s="0" t="n">
        <f aca="false">H6*H7/100</f>
        <v>6553.37187946405</v>
      </c>
      <c r="I8" s="0" t="n">
        <f aca="false">I6*I7/100</f>
        <v>6684.43931705333</v>
      </c>
      <c r="J8" s="0" t="n">
        <f aca="false">J6*J7/100</f>
        <v>6784.70590680913</v>
      </c>
      <c r="K8" s="0" t="n">
        <f aca="false">K6*K7/100</f>
        <v>6886.47649541127</v>
      </c>
      <c r="L8" s="0" t="n">
        <f aca="false">L6*L7/100</f>
        <v>6989.77364284244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0.86</v>
      </c>
      <c r="D9" s="4" t="n">
        <f aca="false">Assumptions!D43</f>
        <v>0.85</v>
      </c>
      <c r="E9" s="4" t="n">
        <f aca="false">Assumptions!E43</f>
        <v>0.85</v>
      </c>
      <c r="F9" s="4" t="n">
        <f aca="false">Assumptions!F43</f>
        <v>0.85</v>
      </c>
      <c r="G9" s="4" t="n">
        <f aca="false">Assumptions!G43</f>
        <v>0.85</v>
      </c>
      <c r="H9" s="4" t="n">
        <f aca="false">Assumptions!H43</f>
        <v>0.85</v>
      </c>
      <c r="I9" s="4" t="n">
        <f aca="false">Assumptions!I43</f>
        <v>0.85</v>
      </c>
      <c r="J9" s="4" t="n">
        <f aca="false">Assumptions!J43</f>
        <v>0.85</v>
      </c>
      <c r="K9" s="4" t="n">
        <f aca="false">Assumptions!K43</f>
        <v>0.85</v>
      </c>
      <c r="L9" s="4" t="n">
        <f aca="false">Assumptions!L43</f>
        <v>0.85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-524.37382</v>
      </c>
      <c r="D10" s="0" t="n">
        <f aca="false">-D6*D9/100</f>
        <v>-533.8247435</v>
      </c>
      <c r="E10" s="0" t="n">
        <f aca="false">-E6*E9/100</f>
        <v>-549.839485805</v>
      </c>
      <c r="F10" s="0" t="n">
        <f aca="false">-F6*F9/100</f>
        <v>-563.585472950125</v>
      </c>
      <c r="G10" s="0" t="n">
        <f aca="false">-G6*G9/100</f>
        <v>-574.857182409127</v>
      </c>
      <c r="H10" s="0" t="n">
        <f aca="false">-H6*H9/100</f>
        <v>-586.35432605731</v>
      </c>
      <c r="I10" s="0" t="n">
        <f aca="false">-I6*I9/100</f>
        <v>-598.081412578456</v>
      </c>
      <c r="J10" s="0" t="n">
        <f aca="false">-J6*J9/100</f>
        <v>-607.052633767133</v>
      </c>
      <c r="K10" s="0" t="n">
        <f aca="false">-K6*K9/100</f>
        <v>-616.15842327364</v>
      </c>
      <c r="L10" s="0" t="n">
        <f aca="false">-L6*L9/100</f>
        <v>-625.400799622744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4353.52218</v>
      </c>
      <c r="D11" s="0" t="n">
        <f aca="false">D8+D10+D24</f>
        <v>4804.4226915</v>
      </c>
      <c r="E11" s="0" t="n">
        <f aca="false">E8+E10+E24</f>
        <v>5271.990363895</v>
      </c>
      <c r="F11" s="0" t="n">
        <f aca="false">F8+F10+F24</f>
        <v>5536.39846956887</v>
      </c>
      <c r="G11" s="0" t="n">
        <f aca="false">G8+G10+G24</f>
        <v>5850.0172092223</v>
      </c>
      <c r="H11" s="0" t="n">
        <f aca="false">H8+H10+H24</f>
        <v>5967.01755340674</v>
      </c>
      <c r="I11" s="0" t="n">
        <f aca="false">I8+I10+I24</f>
        <v>6086.35790447488</v>
      </c>
      <c r="J11" s="0" t="n">
        <f aca="false">J8+J10+J24</f>
        <v>6177.653273042</v>
      </c>
      <c r="K11" s="0" t="n">
        <f aca="false">K8+K10+K24</f>
        <v>6270.31807213763</v>
      </c>
      <c r="L11" s="0" t="n">
        <f aca="false">L8+L10+L24</f>
        <v>6364.37284321969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-975.5792</v>
      </c>
      <c r="D12" s="4" t="n">
        <f aca="false">-D6*Assumptions!D45/100</f>
        <v>-973.4451205</v>
      </c>
      <c r="E12" s="4" t="n">
        <f aca="false">-E6*Assumptions!E45/100</f>
        <v>-970.30497495</v>
      </c>
      <c r="F12" s="4" t="n">
        <f aca="false">-F6*Assumptions!F45/100</f>
        <v>-994.56259932375</v>
      </c>
      <c r="G12" s="4" t="n">
        <f aca="false">-G6*Assumptions!G45/100</f>
        <v>-1014.45385131022</v>
      </c>
      <c r="H12" s="4" t="n">
        <f aca="false">-H6*Assumptions!H45/100</f>
        <v>-1034.74292833643</v>
      </c>
      <c r="I12" s="4" t="n">
        <f aca="false">-I6*Assumptions!I45/100</f>
        <v>-1055.43778690316</v>
      </c>
      <c r="J12" s="4" t="n">
        <f aca="false">-J6*Assumptions!J45/100</f>
        <v>-1071.26935370671</v>
      </c>
      <c r="K12" s="4" t="n">
        <f aca="false">-K6*Assumptions!K45/100</f>
        <v>-1087.33839401231</v>
      </c>
      <c r="L12" s="4" t="n">
        <f aca="false">-L6*Assumptions!L45/100</f>
        <v>-1103.64846992249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3377.94298</v>
      </c>
      <c r="D13" s="0" t="n">
        <f aca="false">D11+D12</f>
        <v>3830.977571</v>
      </c>
      <c r="E13" s="0" t="n">
        <f aca="false">E11+E12</f>
        <v>4301.685388945</v>
      </c>
      <c r="F13" s="0" t="n">
        <f aca="false">F11+F12</f>
        <v>4541.83587024512</v>
      </c>
      <c r="G13" s="0" t="n">
        <f aca="false">G11+G12</f>
        <v>4835.56335791207</v>
      </c>
      <c r="H13" s="0" t="n">
        <f aca="false">H11+H12</f>
        <v>4932.27462507031</v>
      </c>
      <c r="I13" s="0" t="n">
        <f aca="false">I11+I12</f>
        <v>5030.92011757172</v>
      </c>
      <c r="J13" s="0" t="n">
        <f aca="false">J11+J12</f>
        <v>5106.3839193353</v>
      </c>
      <c r="K13" s="0" t="n">
        <f aca="false">K11+K12</f>
        <v>5182.97967812532</v>
      </c>
      <c r="L13" s="0" t="n">
        <f aca="false">L11+L12</f>
        <v>5260.7243732972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17</v>
      </c>
      <c r="D14" s="4" t="n">
        <f aca="false">Assumptions!D47</f>
        <v>18</v>
      </c>
      <c r="E14" s="4" t="n">
        <f aca="false">Assumptions!E47</f>
        <v>19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2803.6926734</v>
      </c>
      <c r="D15" s="0" t="n">
        <f aca="false">D13-MAX(0,D13)*D14/100</f>
        <v>3141.40160822</v>
      </c>
      <c r="E15" s="0" t="n">
        <f aca="false">E13-MAX(0,E13)*E14/100</f>
        <v>3484.36516504545</v>
      </c>
      <c r="F15" s="0" t="n">
        <f aca="false">F13-MAX(0,F13)*F14/100</f>
        <v>3633.4686961961</v>
      </c>
      <c r="G15" s="0" t="n">
        <f aca="false">G13-MAX(0,G13)*G14/100</f>
        <v>3868.45068632966</v>
      </c>
      <c r="H15" s="0" t="n">
        <f aca="false">H13-MAX(0,H13)*H14/100</f>
        <v>3945.81970005625</v>
      </c>
      <c r="I15" s="0" t="n">
        <f aca="false">I13-MAX(0,I13)*I14/100</f>
        <v>4024.73609405738</v>
      </c>
      <c r="J15" s="0" t="n">
        <f aca="false">J13-MAX(0,J13)*J14/100</f>
        <v>4085.10713546824</v>
      </c>
      <c r="K15" s="0" t="n">
        <f aca="false">K13-MAX(0,K13)*K14/100</f>
        <v>4146.38374250026</v>
      </c>
      <c r="L15" s="0" t="n">
        <f aca="false">L13-MAX(0,L13)*L14/100</f>
        <v>4208.57949863776</v>
      </c>
    </row>
    <row r="16" customFormat="false" ht="15" hidden="false" customHeight="false" outlineLevel="0" collapsed="false">
      <c r="A16" s="0" t="s">
        <v>129</v>
      </c>
      <c r="C16" s="0" t="n">
        <f aca="false">-C12</f>
        <v>975.5792</v>
      </c>
      <c r="D16" s="0" t="n">
        <f aca="false">-D12</f>
        <v>973.4451205</v>
      </c>
      <c r="E16" s="0" t="n">
        <f aca="false">-E12</f>
        <v>970.30497495</v>
      </c>
      <c r="F16" s="0" t="n">
        <f aca="false">-F12</f>
        <v>994.56259932375</v>
      </c>
      <c r="G16" s="0" t="n">
        <f aca="false">-G12</f>
        <v>1014.45385131022</v>
      </c>
      <c r="H16" s="0" t="n">
        <f aca="false">-H12</f>
        <v>1034.74292833643</v>
      </c>
      <c r="I16" s="0" t="n">
        <f aca="false">-I12</f>
        <v>1055.43778690316</v>
      </c>
      <c r="J16" s="0" t="n">
        <f aca="false">-J12</f>
        <v>1071.26935370671</v>
      </c>
      <c r="K16" s="0" t="n">
        <f aca="false">-K12</f>
        <v>1087.33839401231</v>
      </c>
      <c r="L16" s="0" t="n">
        <f aca="false">-L12</f>
        <v>1103.64846992249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-792.6581</v>
      </c>
      <c r="D17" s="4" t="n">
        <f aca="false">-D6*Assumptions!D46/100</f>
        <v>-816.437843</v>
      </c>
      <c r="E17" s="4" t="n">
        <f aca="false">-E6*Assumptions!E46/100</f>
        <v>-840.93097829</v>
      </c>
      <c r="F17" s="4" t="n">
        <f aca="false">-F6*Assumptions!F46/100</f>
        <v>-861.95425274725</v>
      </c>
      <c r="G17" s="4" t="n">
        <f aca="false">-G6*Assumptions!G46/100</f>
        <v>-879.193337802195</v>
      </c>
      <c r="H17" s="4" t="n">
        <f aca="false">-H6*Assumptions!H46/100</f>
        <v>-896.777204558239</v>
      </c>
      <c r="I17" s="4" t="n">
        <f aca="false">-I6*Assumptions!I46/100</f>
        <v>-914.712748649404</v>
      </c>
      <c r="J17" s="4" t="n">
        <f aca="false">-J6*Assumptions!J46/100</f>
        <v>-928.433439879145</v>
      </c>
      <c r="K17" s="4" t="n">
        <f aca="false">-K6*Assumptions!K46/100</f>
        <v>-942.359941477332</v>
      </c>
      <c r="L17" s="4" t="n">
        <f aca="false">-L6*Assumptions!L46/100</f>
        <v>-956.495340599491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60.3699999999997</v>
      </c>
      <c r="D18" s="4" t="n">
        <f aca="false">(D6-C6)*Assumptions!$B$51/100</f>
        <v>182.9211</v>
      </c>
      <c r="E18" s="4" t="n">
        <f aca="false">(E6-D6)*Assumptions!$B$51/100</f>
        <v>188.408733</v>
      </c>
      <c r="F18" s="4" t="n">
        <f aca="false">(F6-E6)*Assumptions!$B$51/100</f>
        <v>161.717495824999</v>
      </c>
      <c r="G18" s="4" t="n">
        <f aca="false">(G6-F6)*Assumptions!$B$51/100</f>
        <v>132.6083465765</v>
      </c>
      <c r="H18" s="4" t="n">
        <f aca="false">(H6-G6)*Assumptions!$B$51/100</f>
        <v>135.26051350803</v>
      </c>
      <c r="I18" s="4" t="n">
        <f aca="false">(I6-H6)*Assumptions!$B$51/100</f>
        <v>137.965723778191</v>
      </c>
      <c r="J18" s="4" t="n">
        <f aca="false">(J6-I6)*Assumptions!$B$51/100</f>
        <v>105.543778690315</v>
      </c>
      <c r="K18" s="4" t="n">
        <f aca="false">(K6-J6)*Assumptions!$B$51/100</f>
        <v>107.12693537067</v>
      </c>
      <c r="L18" s="4" t="n">
        <f aca="false">(L6-K6)*Assumptions!$B$51/100</f>
        <v>108.73383940123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3046.9837734</v>
      </c>
      <c r="D19" s="0" t="n">
        <f aca="false">D15+D16+D17+D18</f>
        <v>3481.32998572</v>
      </c>
      <c r="E19" s="0" t="n">
        <f aca="false">E15+E16+E17+E18</f>
        <v>3802.14789470545</v>
      </c>
      <c r="F19" s="0" t="n">
        <f aca="false">F15+F16+F17+F18</f>
        <v>3927.7945385976</v>
      </c>
      <c r="G19" s="0" t="n">
        <f aca="false">G15+G16+G17+G18</f>
        <v>4136.31954641419</v>
      </c>
      <c r="H19" s="0" t="n">
        <f aca="false">H15+H16+H17+H18</f>
        <v>4219.04593734247</v>
      </c>
      <c r="I19" s="0" t="n">
        <f aca="false">I15+I16+I17+I18</f>
        <v>4303.42685608932</v>
      </c>
      <c r="J19" s="0" t="n">
        <f aca="false">J15+J16+J17+J18</f>
        <v>4333.48682798611</v>
      </c>
      <c r="K19" s="0" t="n">
        <f aca="false">K15+K16+K17+K18</f>
        <v>4398.4891304059</v>
      </c>
      <c r="L19" s="0" t="n">
        <f aca="false">L15+L16+L17+L18</f>
        <v>4464.46646736199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0.92378752886836</v>
      </c>
      <c r="D20" s="0" t="n">
        <f aca="false">1/(1+$B$27/100)^D4</f>
        <v>0.853383398492712</v>
      </c>
      <c r="E20" s="0" t="n">
        <f aca="false">1/(1+$B$27/100)^E4</f>
        <v>0.788344940870865</v>
      </c>
      <c r="F20" s="0" t="n">
        <f aca="false">1/(1+$B$27/100)^F4</f>
        <v>0.72826322482297</v>
      </c>
      <c r="G20" s="0" t="n">
        <f aca="false">1/(1+$B$27/100)^G4</f>
        <v>0.672760484824915</v>
      </c>
      <c r="H20" s="0" t="n">
        <f aca="false">1/(1+$B$27/100)^H4</f>
        <v>0.621487745796688</v>
      </c>
      <c r="I20" s="0" t="n">
        <f aca="false">1/(1+$B$27/100)^I4</f>
        <v>0.57412262891149</v>
      </c>
      <c r="J20" s="0" t="n">
        <f aca="false">1/(1+$B$27/100)^J4</f>
        <v>0.530367324629552</v>
      </c>
      <c r="K20" s="0" t="n">
        <f aca="false">1/(1+$B$27/100)^K4</f>
        <v>0.489946720212057</v>
      </c>
      <c r="L20" s="0" t="n">
        <f aca="false">1/(1+$B$27/100)^L4</f>
        <v>0.452606669941854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2814.76561053118</v>
      </c>
      <c r="D21" s="0" t="n">
        <f aca="false">D19*D20</f>
        <v>2970.90921448832</v>
      </c>
      <c r="E21" s="0" t="n">
        <f aca="false">E19*E20</f>
        <v>2997.40405723385</v>
      </c>
      <c r="F21" s="0" t="n">
        <f aca="false">F19*F20</f>
        <v>2860.46831712114</v>
      </c>
      <c r="G21" s="0" t="n">
        <f aca="false">G19*G20</f>
        <v>2782.75234343638</v>
      </c>
      <c r="H21" s="0" t="n">
        <f aca="false">H19*H20</f>
        <v>2622.08534901165</v>
      </c>
      <c r="I21" s="0" t="n">
        <f aca="false">I19*I20</f>
        <v>2470.69473994631</v>
      </c>
      <c r="J21" s="0" t="n">
        <f aca="false">J19*J20</f>
        <v>2298.3398152764</v>
      </c>
      <c r="K21" s="0" t="n">
        <f aca="false">K19*K20</f>
        <v>2155.02532333076</v>
      </c>
      <c r="L21" s="0" t="n">
        <f aca="false">L19*L20</f>
        <v>2020.64730085979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8.25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25993.0920712358</v>
      </c>
    </row>
    <row r="31" customFormat="false" ht="15" hidden="false" customHeight="false" outlineLevel="0" collapsed="false">
      <c r="A31" s="0" t="s">
        <v>138</v>
      </c>
      <c r="B31" s="0" t="n">
        <f aca="false">L19</f>
        <v>4464.46646736199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72860.0927473477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62502.5305430679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62502.5305430679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28289.062212037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54282.1542832727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49291.1542832727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54.166103607992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0.729441366794126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3785.3004712734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4619.54855619436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63.4022014403742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35028.8907439172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25.2352229778856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18.1788899266386</v>
      </c>
      <c r="C4" s="0" t="n">
        <f aca="false">B4/Assumptions!$B$2-1</f>
        <v>-0.419575672840402</v>
      </c>
      <c r="D4" s="4" t="n">
        <f aca="false">Assumptions!$B$24</f>
        <v>0.25</v>
      </c>
      <c r="E4" s="4" t="n">
        <f aca="false">DCF_Bear!$B$43</f>
        <v>24.849153002131</v>
      </c>
      <c r="F4" s="4" t="n">
        <f aca="false">DCF_Bear!$B$47</f>
        <v>8.77403759067379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34.7396036859808</v>
      </c>
      <c r="C5" s="0" t="n">
        <f aca="false">B5/Assumptions!$B$2-1</f>
        <v>0.109182748594534</v>
      </c>
      <c r="D5" s="4" t="n">
        <f aca="false">Assumptions!$B$38</f>
        <v>0.5</v>
      </c>
      <c r="E5" s="4" t="n">
        <f aca="false">DCF_Base!$B$43</f>
        <v>42.7199004471715</v>
      </c>
      <c r="F5" s="4" t="n">
        <f aca="false">DCF_Base!$B$47</f>
        <v>17.0033996768163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54.166103607992</v>
      </c>
      <c r="C6" s="0" t="n">
        <f aca="false">B6/Assumptions!$B$2-1</f>
        <v>0.729441366794126</v>
      </c>
      <c r="D6" s="4" t="n">
        <f aca="false">Assumptions!$B$52</f>
        <v>0.25</v>
      </c>
      <c r="E6" s="4" t="n">
        <f aca="false">DCF_Bull!$B$43</f>
        <v>63.4022014403742</v>
      </c>
      <c r="F6" s="4" t="n">
        <f aca="false">DCF_Bull!$B$47</f>
        <v>25.2352229778856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35.4560502266481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43.4227888342121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0.116652875890262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-51.9164796334737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17.004014980548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34.7396036859808</v>
      </c>
      <c r="C15" s="3" t="n">
        <v>8.25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32.7612949096845</v>
      </c>
      <c r="C16" s="3" t="n">
        <v>9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30.2425780654862</v>
      </c>
      <c r="C17" s="3" t="n">
        <v>10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26.4832593998493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23.438314604181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17.0033996768163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6.25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40.722734744305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40.722734744305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40.722734744305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40.722734744305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40.722734744305</v>
      </c>
    </row>
    <row r="25" customFormat="false" ht="15" hidden="false" customHeight="false" outlineLevel="0" collapsed="false">
      <c r="A25" s="3" t="n">
        <v>7.25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37.5945232517432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37.5945232517432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37.5945232517432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37.5945232517432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37.5945232517432</v>
      </c>
    </row>
    <row r="26" customFormat="false" ht="15" hidden="false" customHeight="false" outlineLevel="0" collapsed="false">
      <c r="A26" s="3" t="n">
        <v>8.25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34.7396036859808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34.7396036859808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34.7396036859808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34.7396036859808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34.7396036859808</v>
      </c>
    </row>
    <row r="27" customFormat="false" ht="15" hidden="false" customHeight="false" outlineLevel="0" collapsed="false">
      <c r="A27" s="3" t="n">
        <v>9.25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31.3963477941627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32.1307937430759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32.1307937430759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32.1307937430759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32.1307937430759</v>
      </c>
    </row>
    <row r="28" customFormat="false" ht="15" hidden="false" customHeight="false" outlineLevel="0" collapsed="false">
      <c r="A28" s="3" t="n">
        <v>10.25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27.5375868562672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28.3344543440972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29.222392401965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29.7438798327762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29.7438798327762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2026-09-28T21:20:30Z</dcterms:created>
  <dc:creator>openpyxl</dc:creator>
  <dc:description/>
  <dc:language>en-NZ</dc:language>
  <cp:lastModifiedBy/>
  <dcterms:modified xsi:type="dcterms:W3CDTF">2026-09-28T21:20:30Z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