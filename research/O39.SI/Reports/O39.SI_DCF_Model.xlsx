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<sst xmlns="http://schemas.openxmlformats.org/spreadsheetml/2006/main" count="380" uniqueCount="182">
  <si>
    <t xml:space="preserve">Ticker</t>
  </si>
  <si>
    <t xml:space="preserve">O39.SI</t>
  </si>
  <si>
    <t xml:space="preserve">Company</t>
  </si>
  <si>
    <t xml:space="preserve">Oversea-Chinese Banking Corporation Limited</t>
  </si>
  <si>
    <t xml:space="preserve">Valuation date</t>
  </si>
  <si>
    <t xml:space="preserve">2026-10-24</t>
  </si>
  <si>
    <t xml:space="preserve">Current price</t>
  </si>
  <si>
    <t xml:space="preserve">Price as of</t>
  </si>
  <si>
    <t xml:space="preserve">2026-10-23T09:15:13Z (SGX regular close, Friday 23 Oct 2026 17:15 SGT)</t>
  </si>
  <si>
    <t xml:space="preserve">Balance sheet date</t>
  </si>
  <si>
    <t xml:space="preserve">2026-06-30</t>
  </si>
  <si>
    <t xml:space="preserve">Model</t>
  </si>
  <si>
    <t xml:space="preserve">Bank FCFE capitalisation at cost of equity (engine route; residual income equivalent on book, net debt zero)</t>
  </si>
  <si>
    <t xml:space="preserve">Currency (model)</t>
  </si>
  <si>
    <t xml:space="preserve">SGD</t>
  </si>
  <si>
    <t xml:space="preserve">Currency (quote)</t>
  </si>
  <si>
    <t xml:space="preserve">Units</t>
  </si>
  <si>
    <t xml:space="preserve">millions</t>
  </si>
  <si>
    <t xml:space="preserve">Engine</t>
  </si>
  <si>
    <t xml:space="preserve">dcf_engine v1</t>
  </si>
  <si>
    <t xml:space="preserve">Built at</t>
  </si>
  <si>
    <t xml:space="preserve">2026-10-24T05:46:26Z</t>
  </si>
  <si>
    <t xml:space="preserve">Drivers file</t>
  </si>
  <si>
    <t xml:space="preserve">O39.SI_Drivers.json</t>
  </si>
  <si>
    <t xml:space="preserve">Convention</t>
  </si>
  <si>
    <t xml:space="preserve">Percents stored as percents; formulas divide by 100. Blue = input, green = link, black = formula.</t>
  </si>
  <si>
    <t xml:space="preserve">Methodology</t>
  </si>
  <si>
    <t xml:space="preserve">summary: A bank is valued on what it can distribute after funding the regulatory capital its growth consumes, discounted at an SGD cost of equity -- never on statutory operating cash flow, which is deposit and loan movement, and never with deposits or wholesale funding treated as net debt. Profit attributable to ordinary shareholders is the flow; capital retained at g/ROE is the reinvestment; 8.25% is the owner's required return. This is the residual-income answer in FCFE form: at ~13.5% ROE and 3% long-run growth the franchise is worth ~2.0x required book. The ~2.1x book the market pays needs ROE held near the 1H26 13.7% (record non-interest income) through a falling-rate cycle, or a cost of equity nearer 8.0%.
key_risks_to_valuation: NIM: every 10bp on ~S$520bn of average interest-earning assets is ~S$0.5bn of pre-tax income (~3% of income); 1H26 NIM was already down 25bp YoY to 1.73%, the most compressed of the three Singapore banks.; Non-interest income quality: 1H26 trading (+46%) and insurance (+49%) were records; a market reversal takes these down faster than fees.; Greater China credit and associates: Hong Kong CRE exposure and the ~20% Bank of Ningbo stake (associates ~8% of income, equity-accounted, only partly paid out in cash).; Capital: fully phased CET1 14.0% is already at the 14% target, so the S$2.5bn capital return ends in FY2026 and further specials depend on growth slowing; Basel III output-floor phase-in to 2029.; Cost of equity sensitivity: at ~2x book the value is dominated by (ROE - g)/(CoE - g); 50bp on CoE moves value ~10%.; Great Eastern overhang: failed 2025 delisting offer leaves a listed subsidiary with minorities and governance complexity.</t>
  </si>
  <si>
    <t xml:space="preserve">Data sources</t>
  </si>
  <si>
    <t xml:space="preserve">price: Yahoo Finance chart API (O39.SI, SGD) at inputs.price_as_of; 52-week range 16.74-32.57.
financials: O39.SI_Metrics.csv (core_metrics, SGD millions) and kpis table; 1H26 performance summary and condensed interim financial statements (O39.SI_HalfYear_H1-2026.txt, O39.SI_HalfYear_H1-2026_FS.txt) for the latest balance sheet, capital adequacy, share count and dividends; 1H26 presentation for the 14% fully phased CET1 operating target; FY2025 annual report for the S$2.5bn capital return plan.
qualitative: Filings first; O39.SI_Analysis.json for FY2026 guidance (loan growth raised, NII to decline slightly, 50% payout, credit costs mid-teens to low-20s bp) and risk framing.</t>
  </si>
  <si>
    <t xml:space="preserve">Scenario narrative: bear</t>
  </si>
  <si>
    <t xml:space="preserve">A risk-off Asia pushes NIM back to the 2021 trough, trading and insurance gains reverse, cost-income rises to 42% and Hong Kong/China credit costs reach ~35bp. ROE falls to ~11.5% and the market re-rates OCBC to its pre-2022 ~1.35x book.</t>
  </si>
  <si>
    <t xml:space="preserve">Scenario narrative: base</t>
  </si>
  <si>
    <t xml:space="preserve">The rate headwind fades through 2027 as loan growth (~10%) and deposit repricing offset lower Sora; wealth, insurance and treasury income keep non-interest income near 40% of total, cost-income ~39.5% and credit costs at ~20bp. ROE settles ~13.5% on required equity at a 14% fully phased CET1, ~63% distributed. Worth ~2.0x required book.</t>
  </si>
  <si>
    <t xml:space="preserve">Scenario narrative: bull</t>
  </si>
  <si>
    <t xml:space="preserve">NIM stabilises near 1.7% from 2027, wealth AUM and GEH keep compounding, AI-driven productivity holds cost-income near 38% and credit costs stay benign. ROE ~15% with 6-7% income growth for five years.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</si>
  <si>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</si>
  <si>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</si>
  <si>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</si>
  <si>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</si>
  <si>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</si>
  <si>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</si>
  <si>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</si>
  <si>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</si>
  <si>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</si>
  <si>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</si>
  <si>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</si>
  <si>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</si>
  <si>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</si>
  <si>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</si>
  <si>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</si>
  <si>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</si>
  <si>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</si>
  <si>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</si>
  <si>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</si>
  <si>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</si>
  <si>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</si>
  <si>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</si>
  <si>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</si>
  <si>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</si>
  <si>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</si>
  <si>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</si>
  <si>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</si>
  <si>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CET1Ratio</t>
  </si>
  <si>
    <t xml:space="preserve">CostToIncomeRatio</t>
  </si>
  <si>
    <t xml:space="preserve">CreditImpairmentCharge</t>
  </si>
  <si>
    <t xml:space="preserve">CustomerDeposits</t>
  </si>
  <si>
    <t xml:space="preserve">LoanToDepositRatio</t>
  </si>
  <si>
    <t xml:space="preserve">NAVPerShare</t>
  </si>
  <si>
    <t xml:space="preserve">NIM</t>
  </si>
  <si>
    <t xml:space="preserve">NPLRatio</t>
  </si>
  <si>
    <t xml:space="preserve">NetInterestIncome</t>
  </si>
  <si>
    <t xml:space="preserve">NetLoansAndAdvances</t>
  </si>
  <si>
    <t xml:space="preserve">NonInterestIncome</t>
  </si>
  <si>
    <t xml:space="preserve">OperatingExpenses</t>
  </si>
  <si>
    <t xml:space="preserve">ROE</t>
  </si>
  <si>
    <t xml:space="preserve">TotalCapitalRatio</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</si>
  <si>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</si>
  <si>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</si>
  <si>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</si>
  <si>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</si>
  <si>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</si>
  <si>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</si>
  <si>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</si>
  <si>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</si>
  <si>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</si>
  <si>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</si>
  <si>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</si>
  <si>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</si>
  <si>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</si>
  <si>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</si>
  <si>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</si>
  <si>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</si>
  <si>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</si>
  <si>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</si>
  <si>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</si>
  <si>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</si>
  <si>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</si>
  <si>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</si>
  <si>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</si>
  <si>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SGD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</si>
  <si>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</si>
  <si>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</si>
  <si>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</si>
  <si>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</si>
  <si>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</si>
  <si>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</si>
  <si>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</si>
  <si>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</si>
  <si>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</si>
  <si>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</si>
  <si>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</si>
  <si>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</si>
  <si>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</si>
  <si>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</si>
  <si>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</si>
  <si>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</si>
  <si>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</si>
  <si>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</si>
  <si>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</si>
  <si>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</si>
  <si>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</si>
  <si>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</si>
  <si>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</si>
  <si>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</si>
  <si>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</si>
  <si>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</si>
  <si>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O39.SI owner-FCF component DCF: bear case (millions, SGD)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</si>
  <si>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</si>
  <si>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</si>
  <si>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</si>
  <si>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</si>
  <si>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</si>
  <si>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</si>
  <si>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</si>
  <si>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</si>
  <si>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</si>
  <si>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</si>
  <si>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</si>
  <si>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</si>
  <si>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</si>
  <si>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</si>
  <si>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</si>
  <si>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</si>
  <si>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</si>
  <si>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</si>
  <si>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</si>
  <si>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</si>
  <si>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</si>
  <si>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</si>
  <si>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</si>
  <si>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</si>
  <si>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</si>
  <si>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</si>
  <si>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</si>
  <si>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</si>
  <si>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</si>
  <si>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</si>
  <si>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O39.SI owner-FCF component DCF: base case (millions, SGD)</t>
  </si>
  <si>
    <t xml:space="preserve">O39.SI owner-FCF component DCF: bull case (millions, SGD)</t>
  </si>
  <si>
    <t xml:space="preserve">O39.SI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</si>
  <si>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</si>
  <si>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</si>
  <si>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</si>
  <si>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</si>
  <si>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</si>
  <si>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</si>
  <si>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</si>
  <si>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</si>
  <si>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</si>
  <si>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</si>
  <si>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</si>
  <si>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</si>
  <si>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</si>
  <si>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</si>
  <si>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8.25%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</si>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</sst>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c r="AK1" s="2" t="s">
        <v>71</v>
      </c>
      <c r="AL1" s="2" t="s">
        <v>72</v>
      </c>
      <c r="AM1" s="2" t="s">
        <v>73</v>
      </c>
      <c r="AN1" s="2" t="s">
        <v>74</v>
      </c>
      <c r="AO1" s="2" t="s">
        <v>75</v>
      </c>
      <c r="AP1" s="2" t="s">
        <v>76</v>
      </c>
    </row>
    <row r="2" customFormat="false" ht="15" hidden="false" customHeight="false" outlineLevel="0" collapsed="false">
      <c r="A2" s="0" t="s">
        <v>77</v>
      </c>
      <c r="B2" s="0" t="n">
        <v>7949</v>
      </c>
      <c r="F2" s="0" t="n">
        <v>4260</v>
      </c>
      <c r="G2" s="0" t="n">
        <v>53.6</v>
      </c>
      <c r="I2" s="0" t="n">
        <v>3842</v>
      </c>
      <c r="J2" s="0" t="n">
        <v>48.3</v>
      </c>
      <c r="K2" s="0" t="n">
        <v>1.024</v>
      </c>
      <c r="L2" s="0" t="n">
        <v>5427</v>
      </c>
      <c r="M2" s="0" t="n">
        <v>332</v>
      </c>
      <c r="N2" s="0" t="n">
        <v>5095</v>
      </c>
      <c r="O2" s="0" t="n">
        <v>31097</v>
      </c>
      <c r="P2" s="0" t="n">
        <v>401226</v>
      </c>
      <c r="Q2" s="0" t="n">
        <v>367041</v>
      </c>
      <c r="R2" s="0" t="n">
        <v>28859</v>
      </c>
      <c r="S2" s="0" t="n">
        <v>19324</v>
      </c>
      <c r="T2" s="0" t="n">
        <v>3695.8</v>
      </c>
      <c r="U2" s="0" t="n">
        <v>33</v>
      </c>
      <c r="AA2" s="0" t="s">
        <v>17</v>
      </c>
      <c r="AB2" s="0" t="s">
        <v>14</v>
      </c>
      <c r="AC2" s="0" t="n">
        <v>13.8</v>
      </c>
      <c r="AD2" s="0" t="n">
        <v>41</v>
      </c>
      <c r="AE2" s="0" t="n">
        <v>357</v>
      </c>
      <c r="AF2" s="0" t="n">
        <v>245519</v>
      </c>
      <c r="AG2" s="0" t="n">
        <v>84.5</v>
      </c>
      <c r="AH2" s="0" t="n">
        <v>7.46</v>
      </c>
      <c r="AI2" s="0" t="n">
        <v>1.68</v>
      </c>
      <c r="AJ2" s="0" t="n">
        <v>0.6</v>
      </c>
      <c r="AK2" s="0" t="n">
        <v>4736</v>
      </c>
      <c r="AL2" s="0" t="n">
        <v>207535</v>
      </c>
      <c r="AM2" s="0" t="n">
        <v>3213</v>
      </c>
      <c r="AN2" s="0" t="n">
        <v>3258</v>
      </c>
      <c r="AO2" s="0" t="n">
        <v>13.2</v>
      </c>
      <c r="AP2" s="0" t="n">
        <v>15.9</v>
      </c>
    </row>
    <row r="3" customFormat="false" ht="15" hidden="false" customHeight="false" outlineLevel="0" collapsed="false">
      <c r="A3" s="0" t="s">
        <v>78</v>
      </c>
      <c r="B3" s="0" t="n">
        <v>8722</v>
      </c>
      <c r="F3" s="0" t="n">
        <v>4472</v>
      </c>
      <c r="G3" s="0" t="n">
        <v>51.3</v>
      </c>
      <c r="I3" s="0" t="n">
        <v>3903</v>
      </c>
      <c r="J3" s="0" t="n">
        <v>44.7</v>
      </c>
      <c r="K3" s="0" t="n">
        <v>0.952</v>
      </c>
      <c r="L3" s="0" t="n">
        <v>3221</v>
      </c>
      <c r="M3" s="0" t="n">
        <v>341</v>
      </c>
      <c r="N3" s="0" t="n">
        <v>2880</v>
      </c>
      <c r="O3" s="0" t="n">
        <v>34553</v>
      </c>
      <c r="P3" s="0" t="n">
        <v>390190</v>
      </c>
      <c r="Q3" s="0" t="n">
        <v>353079</v>
      </c>
      <c r="R3" s="0" t="n">
        <v>23479</v>
      </c>
      <c r="S3" s="0" t="n">
        <v>15901</v>
      </c>
      <c r="T3" s="0" t="n">
        <v>4038.8</v>
      </c>
      <c r="U3" s="0" t="n">
        <v>38</v>
      </c>
      <c r="AA3" s="0" t="s">
        <v>17</v>
      </c>
      <c r="AB3" s="0" t="s">
        <v>14</v>
      </c>
      <c r="AC3" s="0" t="n">
        <v>14.8</v>
      </c>
      <c r="AD3" s="0" t="n">
        <v>42</v>
      </c>
      <c r="AE3" s="0" t="n">
        <v>488</v>
      </c>
      <c r="AF3" s="0" t="n">
        <v>246277</v>
      </c>
      <c r="AG3" s="0" t="n">
        <v>84.5</v>
      </c>
      <c r="AH3" s="0" t="n">
        <v>8.03</v>
      </c>
      <c r="AI3" s="0" t="n">
        <v>1.67</v>
      </c>
      <c r="AJ3" s="0" t="n">
        <v>0.9</v>
      </c>
      <c r="AK3" s="0" t="n">
        <v>5189</v>
      </c>
      <c r="AL3" s="0" t="n">
        <v>208218</v>
      </c>
      <c r="AM3" s="0" t="n">
        <v>3533</v>
      </c>
      <c r="AN3" s="0" t="n">
        <v>3664</v>
      </c>
      <c r="AO3" s="0" t="n">
        <v>12.3</v>
      </c>
      <c r="AP3" s="0" t="n">
        <v>16.8</v>
      </c>
    </row>
    <row r="4" customFormat="false" ht="15" hidden="false" customHeight="false" outlineLevel="0" collapsed="false">
      <c r="A4" s="0" t="s">
        <v>79</v>
      </c>
      <c r="B4" s="0" t="n">
        <v>8489</v>
      </c>
      <c r="F4" s="0" t="n">
        <v>3879</v>
      </c>
      <c r="G4" s="0" t="n">
        <v>45.7</v>
      </c>
      <c r="I4" s="0" t="n">
        <v>3473</v>
      </c>
      <c r="J4" s="0" t="n">
        <v>40.9</v>
      </c>
      <c r="K4" s="0" t="n">
        <v>0.822</v>
      </c>
      <c r="L4" s="0" t="n">
        <v>-2702</v>
      </c>
      <c r="M4" s="0" t="n">
        <v>422</v>
      </c>
      <c r="N4" s="0" t="n">
        <v>-3124</v>
      </c>
      <c r="O4" s="0" t="n">
        <v>37007</v>
      </c>
      <c r="P4" s="0" t="n">
        <v>409884</v>
      </c>
      <c r="Q4" s="0" t="n">
        <v>370242</v>
      </c>
      <c r="R4" s="0" t="n">
        <v>19947</v>
      </c>
      <c r="S4" s="0" t="n">
        <v>11177</v>
      </c>
      <c r="T4" s="0" t="n">
        <v>4153</v>
      </c>
      <c r="U4" s="0" t="n">
        <v>51</v>
      </c>
      <c r="AA4" s="0" t="s">
        <v>17</v>
      </c>
      <c r="AB4" s="0" t="s">
        <v>14</v>
      </c>
      <c r="AC4" s="0" t="n">
        <v>14.7</v>
      </c>
      <c r="AD4" s="0" t="n">
        <v>44.6</v>
      </c>
      <c r="AE4" s="0" t="n">
        <v>726</v>
      </c>
      <c r="AF4" s="0" t="n">
        <v>261486</v>
      </c>
      <c r="AG4" s="0" t="n">
        <v>82.9</v>
      </c>
      <c r="AH4" s="0" t="n">
        <v>8.49</v>
      </c>
      <c r="AI4" s="0" t="n">
        <v>1.67</v>
      </c>
      <c r="AJ4" s="0" t="n">
        <v>1.3</v>
      </c>
      <c r="AK4" s="0" t="n">
        <v>5052</v>
      </c>
      <c r="AL4" s="0" t="n">
        <v>216830</v>
      </c>
      <c r="AM4" s="0" t="n">
        <v>3437</v>
      </c>
      <c r="AN4" s="0" t="n">
        <v>3788</v>
      </c>
      <c r="AO4" s="0" t="n">
        <v>10</v>
      </c>
      <c r="AP4" s="0" t="n">
        <v>17.1</v>
      </c>
    </row>
    <row r="5" customFormat="false" ht="15" hidden="false" customHeight="false" outlineLevel="0" collapsed="false">
      <c r="A5" s="0" t="s">
        <v>80</v>
      </c>
      <c r="B5" s="0" t="n">
        <v>9636</v>
      </c>
      <c r="F5" s="0" t="n">
        <v>4827</v>
      </c>
      <c r="G5" s="0" t="n">
        <v>50.1</v>
      </c>
      <c r="I5" s="0" t="n">
        <v>4146</v>
      </c>
      <c r="J5" s="0" t="n">
        <v>43</v>
      </c>
      <c r="K5" s="0" t="n">
        <v>0.974</v>
      </c>
      <c r="L5" s="0" t="n">
        <v>-8162</v>
      </c>
      <c r="M5" s="0" t="n">
        <v>263</v>
      </c>
      <c r="N5" s="0" t="n">
        <v>-8425</v>
      </c>
      <c r="O5" s="0" t="n">
        <v>39008</v>
      </c>
      <c r="P5" s="0" t="n">
        <v>454938</v>
      </c>
      <c r="Q5" s="0" t="n">
        <v>413162</v>
      </c>
      <c r="R5" s="0" t="n">
        <v>32235</v>
      </c>
      <c r="S5" s="0" t="n">
        <v>13835</v>
      </c>
      <c r="T5" s="0" t="n">
        <v>4192.5</v>
      </c>
      <c r="U5" s="0" t="n">
        <v>55</v>
      </c>
      <c r="AA5" s="0" t="s">
        <v>17</v>
      </c>
      <c r="AB5" s="0" t="s">
        <v>14</v>
      </c>
      <c r="AC5" s="0" t="n">
        <v>13.9</v>
      </c>
      <c r="AD5" s="0" t="n">
        <v>41.9</v>
      </c>
      <c r="AE5" s="0" t="n">
        <v>671</v>
      </c>
      <c r="AF5" s="0" t="n">
        <v>283642</v>
      </c>
      <c r="AG5" s="0" t="n">
        <v>82.5</v>
      </c>
      <c r="AH5" s="0" t="n">
        <v>8.96</v>
      </c>
      <c r="AI5" s="0" t="n">
        <v>1.65</v>
      </c>
      <c r="AJ5" s="0" t="n">
        <v>1.5</v>
      </c>
      <c r="AK5" s="0" t="n">
        <v>5423</v>
      </c>
      <c r="AL5" s="0" t="n">
        <v>234141</v>
      </c>
      <c r="AM5" s="0" t="n">
        <v>4213</v>
      </c>
      <c r="AN5" s="0" t="n">
        <v>4034</v>
      </c>
      <c r="AO5" s="0" t="n">
        <v>11.2</v>
      </c>
      <c r="AP5" s="0" t="n">
        <v>17.2</v>
      </c>
    </row>
    <row r="6" customFormat="false" ht="15" hidden="false" customHeight="false" outlineLevel="0" collapsed="false">
      <c r="A6" s="0" t="s">
        <v>81</v>
      </c>
      <c r="B6" s="0" t="n">
        <v>9701</v>
      </c>
      <c r="F6" s="0" t="n">
        <v>5097</v>
      </c>
      <c r="G6" s="0" t="n">
        <v>52.5</v>
      </c>
      <c r="I6" s="0" t="n">
        <v>4492</v>
      </c>
      <c r="J6" s="0" t="n">
        <v>46.3</v>
      </c>
      <c r="K6" s="0" t="n">
        <v>1.06</v>
      </c>
      <c r="L6" s="0" t="n">
        <v>6739</v>
      </c>
      <c r="M6" s="0" t="n">
        <v>297</v>
      </c>
      <c r="N6" s="0" t="n">
        <v>6442</v>
      </c>
      <c r="O6" s="0" t="n">
        <v>42137</v>
      </c>
      <c r="P6" s="0" t="n">
        <v>467543</v>
      </c>
      <c r="Q6" s="0" t="n">
        <v>424151</v>
      </c>
      <c r="R6" s="0" t="n">
        <v>30272</v>
      </c>
      <c r="S6" s="0" t="n">
        <v>13386</v>
      </c>
      <c r="T6" s="0" t="n">
        <v>4211.1</v>
      </c>
      <c r="U6" s="0" t="n">
        <v>65</v>
      </c>
      <c r="AA6" s="0" t="s">
        <v>17</v>
      </c>
      <c r="AB6" s="0" t="s">
        <v>14</v>
      </c>
      <c r="AC6" s="0" t="n">
        <v>14</v>
      </c>
      <c r="AD6" s="0" t="n">
        <v>43.4</v>
      </c>
      <c r="AE6" s="0" t="n">
        <v>288</v>
      </c>
      <c r="AF6" s="0" t="n">
        <v>295412</v>
      </c>
      <c r="AG6" s="0" t="n">
        <v>86.4</v>
      </c>
      <c r="AH6" s="0" t="n">
        <v>9.56</v>
      </c>
      <c r="AI6" s="0" t="n">
        <v>1.7</v>
      </c>
      <c r="AJ6" s="0" t="n">
        <v>1.5</v>
      </c>
      <c r="AK6" s="0" t="n">
        <v>5890</v>
      </c>
      <c r="AL6" s="0" t="n">
        <v>255193</v>
      </c>
      <c r="AM6" s="0" t="n">
        <v>3811</v>
      </c>
      <c r="AN6" s="0" t="n">
        <v>4214</v>
      </c>
      <c r="AO6" s="0" t="n">
        <v>11.5</v>
      </c>
      <c r="AP6" s="0" t="n">
        <v>16.4</v>
      </c>
    </row>
    <row r="7" customFormat="false" ht="15" hidden="false" customHeight="false" outlineLevel="0" collapsed="false">
      <c r="A7" s="0" t="s">
        <v>82</v>
      </c>
      <c r="B7" s="0" t="n">
        <v>10871</v>
      </c>
      <c r="F7" s="0" t="n">
        <v>5378</v>
      </c>
      <c r="G7" s="0" t="n">
        <v>49.5</v>
      </c>
      <c r="I7" s="0" t="n">
        <v>4869</v>
      </c>
      <c r="J7" s="0" t="n">
        <v>44.8</v>
      </c>
      <c r="K7" s="0" t="n">
        <v>1.12</v>
      </c>
      <c r="L7" s="0" t="n">
        <v>8184</v>
      </c>
      <c r="M7" s="0" t="n">
        <v>368</v>
      </c>
      <c r="N7" s="0" t="n">
        <v>7816</v>
      </c>
      <c r="O7" s="0" t="n">
        <v>47162</v>
      </c>
      <c r="P7" s="0" t="n">
        <v>491691</v>
      </c>
      <c r="Q7" s="0" t="n">
        <v>443088</v>
      </c>
      <c r="R7" s="0" t="n">
        <v>29388</v>
      </c>
      <c r="S7" s="0" t="n">
        <v>18060</v>
      </c>
      <c r="T7" s="0" t="n">
        <v>4311.2</v>
      </c>
      <c r="U7" s="0" t="n">
        <v>69</v>
      </c>
      <c r="AA7" s="0" t="s">
        <v>17</v>
      </c>
      <c r="AB7" s="0" t="s">
        <v>14</v>
      </c>
      <c r="AC7" s="0" t="n">
        <v>14.9</v>
      </c>
      <c r="AD7" s="0" t="n">
        <v>42.7</v>
      </c>
      <c r="AE7" s="0" t="n">
        <v>890</v>
      </c>
      <c r="AF7" s="0" t="n">
        <v>302851</v>
      </c>
      <c r="AG7" s="0" t="n">
        <v>86.5</v>
      </c>
      <c r="AI7" s="0" t="n">
        <v>1.77</v>
      </c>
      <c r="AJ7" s="0" t="n">
        <v>1.5</v>
      </c>
      <c r="AK7" s="0" t="n">
        <v>6331</v>
      </c>
      <c r="AL7" s="0" t="n">
        <v>262045</v>
      </c>
      <c r="AM7" s="0" t="n">
        <v>4540</v>
      </c>
      <c r="AN7" s="0" t="n">
        <v>4644</v>
      </c>
      <c r="AO7" s="0" t="n">
        <v>11.4</v>
      </c>
      <c r="AP7" s="0" t="n">
        <v>16.8</v>
      </c>
    </row>
    <row r="8" customFormat="false" ht="15" hidden="false" customHeight="false" outlineLevel="0" collapsed="false">
      <c r="A8" s="0" t="s">
        <v>83</v>
      </c>
      <c r="B8" s="0" t="n">
        <v>10139</v>
      </c>
      <c r="F8" s="0" t="n">
        <v>3553</v>
      </c>
      <c r="G8" s="0" t="n">
        <v>35</v>
      </c>
      <c r="I8" s="0" t="n">
        <v>3586</v>
      </c>
      <c r="J8" s="0" t="n">
        <v>35.4</v>
      </c>
      <c r="K8" s="0" t="n">
        <v>0.8</v>
      </c>
      <c r="L8" s="0" t="n">
        <v>15637</v>
      </c>
      <c r="M8" s="0" t="n">
        <v>384</v>
      </c>
      <c r="N8" s="0" t="n">
        <v>15253</v>
      </c>
      <c r="O8" s="0" t="n">
        <v>49622</v>
      </c>
      <c r="P8" s="0" t="n">
        <v>521395</v>
      </c>
      <c r="Q8" s="0" t="n">
        <v>470219</v>
      </c>
      <c r="R8" s="0" t="n">
        <v>24355</v>
      </c>
      <c r="S8" s="0" t="n">
        <v>22078</v>
      </c>
      <c r="T8" s="0" t="n">
        <v>4421</v>
      </c>
      <c r="U8" s="0" t="n">
        <v>76</v>
      </c>
      <c r="AA8" s="0" t="s">
        <v>17</v>
      </c>
      <c r="AB8" s="0" t="s">
        <v>14</v>
      </c>
      <c r="AC8" s="0" t="n">
        <v>15.2</v>
      </c>
      <c r="AD8" s="0" t="n">
        <v>43.8</v>
      </c>
      <c r="AE8" s="0" t="n">
        <v>2043</v>
      </c>
      <c r="AF8" s="0" t="n">
        <v>314907</v>
      </c>
      <c r="AG8" s="0" t="n">
        <v>83.7</v>
      </c>
      <c r="AH8" s="0" t="n">
        <v>10.82</v>
      </c>
      <c r="AI8" s="0" t="n">
        <v>1.61</v>
      </c>
      <c r="AJ8" s="0" t="n">
        <v>1.5</v>
      </c>
      <c r="AK8" s="0" t="n">
        <v>5966</v>
      </c>
      <c r="AL8" s="0" t="n">
        <v>263538</v>
      </c>
      <c r="AM8" s="0" t="n">
        <v>4173</v>
      </c>
      <c r="AN8" s="0" t="n">
        <v>4439</v>
      </c>
      <c r="AO8" s="0" t="n">
        <v>7.6</v>
      </c>
      <c r="AP8" s="0" t="n">
        <v>17.9</v>
      </c>
    </row>
    <row r="9" customFormat="false" ht="15" hidden="false" customHeight="false" outlineLevel="0" collapsed="false">
      <c r="A9" s="0" t="s">
        <v>84</v>
      </c>
      <c r="B9" s="0" t="n">
        <v>10596</v>
      </c>
      <c r="F9" s="0" t="n">
        <v>4856</v>
      </c>
      <c r="G9" s="0" t="n">
        <v>45.8</v>
      </c>
      <c r="I9" s="0" t="n">
        <v>4858</v>
      </c>
      <c r="J9" s="0" t="n">
        <v>45.8</v>
      </c>
      <c r="K9" s="0" t="n">
        <v>1.07</v>
      </c>
      <c r="L9" s="0" t="n">
        <v>14283</v>
      </c>
      <c r="M9" s="0" t="n">
        <v>443</v>
      </c>
      <c r="N9" s="0" t="n">
        <v>13840</v>
      </c>
      <c r="O9" s="0" t="n">
        <v>52663</v>
      </c>
      <c r="P9" s="0" t="n">
        <v>542187</v>
      </c>
      <c r="Q9" s="0" t="n">
        <v>487849</v>
      </c>
      <c r="R9" s="0" t="n">
        <v>20115</v>
      </c>
      <c r="S9" s="0" t="n">
        <v>22710</v>
      </c>
      <c r="T9" s="0" t="n">
        <v>4494</v>
      </c>
      <c r="U9" s="0" t="n">
        <v>73</v>
      </c>
      <c r="AA9" s="0" t="s">
        <v>17</v>
      </c>
      <c r="AB9" s="0" t="s">
        <v>14</v>
      </c>
      <c r="AC9" s="0" t="n">
        <v>15.5</v>
      </c>
      <c r="AD9" s="0" t="n">
        <v>45</v>
      </c>
      <c r="AE9" s="0" t="n">
        <v>873</v>
      </c>
      <c r="AF9" s="0" t="n">
        <v>342395</v>
      </c>
      <c r="AG9" s="0" t="n">
        <v>83.6</v>
      </c>
      <c r="AH9" s="0" t="n">
        <v>11.46</v>
      </c>
      <c r="AI9" s="0" t="n">
        <v>1.54</v>
      </c>
      <c r="AJ9" s="0" t="n">
        <v>1.5</v>
      </c>
      <c r="AK9" s="0" t="n">
        <v>5855</v>
      </c>
      <c r="AL9" s="0" t="n">
        <v>286281</v>
      </c>
      <c r="AM9" s="0" t="n">
        <v>4741</v>
      </c>
      <c r="AN9" s="0" t="n">
        <v>4764</v>
      </c>
      <c r="AO9" s="0" t="n">
        <v>9.6</v>
      </c>
      <c r="AP9" s="0" t="n">
        <v>17.6</v>
      </c>
    </row>
    <row r="10" customFormat="false" ht="15" hidden="false" customHeight="false" outlineLevel="0" collapsed="false">
      <c r="A10" s="0" t="s">
        <v>85</v>
      </c>
      <c r="B10" s="0" t="n">
        <v>11675</v>
      </c>
      <c r="F10" s="0" t="n">
        <v>5961</v>
      </c>
      <c r="G10" s="0" t="n">
        <v>51.1</v>
      </c>
      <c r="I10" s="0" t="n">
        <v>5748</v>
      </c>
      <c r="J10" s="0" t="n">
        <v>49.2</v>
      </c>
      <c r="K10" s="0" t="n">
        <v>1.27</v>
      </c>
      <c r="L10" s="0" t="n">
        <v>8932</v>
      </c>
      <c r="M10" s="0" t="n">
        <v>479</v>
      </c>
      <c r="N10" s="0" t="n">
        <v>8453</v>
      </c>
      <c r="O10" s="0" t="n">
        <v>53087</v>
      </c>
      <c r="P10" s="0" t="n">
        <v>559956</v>
      </c>
      <c r="Q10" s="0" t="n">
        <v>505288</v>
      </c>
      <c r="R10" s="0" t="n">
        <v>21938</v>
      </c>
      <c r="S10" s="0" t="n">
        <v>29984</v>
      </c>
      <c r="T10" s="0" t="n">
        <v>4497</v>
      </c>
      <c r="U10" s="0" t="n">
        <v>80</v>
      </c>
      <c r="AA10" s="0" t="s">
        <v>17</v>
      </c>
      <c r="AB10" s="0" t="s">
        <v>14</v>
      </c>
      <c r="AC10" s="0" t="n">
        <v>15.2</v>
      </c>
      <c r="AD10" s="0" t="n">
        <v>43</v>
      </c>
      <c r="AE10" s="0" t="n">
        <v>584</v>
      </c>
      <c r="AF10" s="0" t="n">
        <v>350081</v>
      </c>
      <c r="AG10" s="0" t="n">
        <v>83.3</v>
      </c>
      <c r="AH10" s="0" t="n">
        <v>11.43</v>
      </c>
      <c r="AI10" s="0" t="n">
        <v>1.91</v>
      </c>
      <c r="AJ10" s="0" t="n">
        <v>1.2</v>
      </c>
      <c r="AK10" s="0" t="n">
        <v>7688</v>
      </c>
      <c r="AL10" s="0" t="n">
        <v>291467</v>
      </c>
      <c r="AM10" s="0" t="n">
        <v>3987</v>
      </c>
      <c r="AN10" s="0" t="n">
        <v>5026</v>
      </c>
      <c r="AO10" s="0" t="n">
        <v>11.1</v>
      </c>
      <c r="AP10" s="0" t="n">
        <v>17.7</v>
      </c>
    </row>
    <row r="11" customFormat="false" ht="15" hidden="false" customHeight="false" outlineLevel="0" collapsed="false">
      <c r="A11" s="0" t="s">
        <v>86</v>
      </c>
      <c r="B11" s="0" t="n">
        <v>13507</v>
      </c>
      <c r="F11" s="0" t="n">
        <v>7448</v>
      </c>
      <c r="G11" s="0" t="n">
        <v>55.1</v>
      </c>
      <c r="I11" s="0" t="n">
        <v>7021</v>
      </c>
      <c r="J11" s="0" t="n">
        <v>52</v>
      </c>
      <c r="K11" s="0" t="n">
        <v>1.55</v>
      </c>
      <c r="L11" s="0" t="n">
        <v>9127</v>
      </c>
      <c r="M11" s="0" t="n">
        <v>537</v>
      </c>
      <c r="N11" s="0" t="n">
        <v>8590</v>
      </c>
      <c r="O11" s="0" t="n">
        <v>54170</v>
      </c>
      <c r="P11" s="0" t="n">
        <v>581424</v>
      </c>
      <c r="Q11" s="0" t="n">
        <v>525870</v>
      </c>
      <c r="R11" s="0" t="n">
        <v>26553</v>
      </c>
      <c r="S11" s="0" t="n">
        <v>28870</v>
      </c>
      <c r="T11" s="0" t="n">
        <v>4498</v>
      </c>
      <c r="U11" s="0" t="n">
        <v>61</v>
      </c>
      <c r="AA11" s="0" t="s">
        <v>17</v>
      </c>
      <c r="AB11" s="0" t="s">
        <v>14</v>
      </c>
      <c r="AC11" s="0" t="n">
        <v>15.9</v>
      </c>
      <c r="AD11" s="0" t="n">
        <v>38.7</v>
      </c>
      <c r="AE11" s="0" t="n">
        <v>733</v>
      </c>
      <c r="AF11" s="0" t="n">
        <v>363770</v>
      </c>
      <c r="AG11" s="0" t="n">
        <v>80.5</v>
      </c>
      <c r="AH11" s="0" t="n">
        <v>11.77</v>
      </c>
      <c r="AI11" s="0" t="n">
        <v>2.28</v>
      </c>
      <c r="AJ11" s="0" t="n">
        <v>1</v>
      </c>
      <c r="AK11" s="0" t="n">
        <v>9645</v>
      </c>
      <c r="AL11" s="0" t="n">
        <v>292754</v>
      </c>
      <c r="AM11" s="0" t="n">
        <v>3862</v>
      </c>
      <c r="AN11" s="0" t="n">
        <v>5223</v>
      </c>
      <c r="AO11" s="0" t="n">
        <v>13.7</v>
      </c>
      <c r="AP11" s="0" t="n">
        <v>18.1</v>
      </c>
    </row>
    <row r="12" customFormat="false" ht="15" hidden="false" customHeight="false" outlineLevel="0" collapsed="false">
      <c r="A12" s="0" t="s">
        <v>87</v>
      </c>
      <c r="B12" s="0" t="n">
        <v>14473</v>
      </c>
      <c r="F12" s="0" t="n">
        <v>7982</v>
      </c>
      <c r="G12" s="0" t="n">
        <v>55.2</v>
      </c>
      <c r="I12" s="0" t="n">
        <v>7587</v>
      </c>
      <c r="J12" s="0" t="n">
        <v>52.4</v>
      </c>
      <c r="K12" s="0" t="n">
        <v>1.67</v>
      </c>
      <c r="L12" s="0" t="n">
        <v>3964</v>
      </c>
      <c r="M12" s="0" t="n">
        <v>614</v>
      </c>
      <c r="N12" s="0" t="n">
        <v>3350</v>
      </c>
      <c r="O12" s="0" t="n">
        <v>59316</v>
      </c>
      <c r="P12" s="0" t="n">
        <v>625050</v>
      </c>
      <c r="Q12" s="0" t="n">
        <v>564670</v>
      </c>
      <c r="R12" s="0" t="n">
        <v>31553</v>
      </c>
      <c r="S12" s="0" t="n">
        <v>28829</v>
      </c>
      <c r="T12" s="0" t="n">
        <v>4500</v>
      </c>
      <c r="U12" s="0" t="n">
        <v>62</v>
      </c>
      <c r="AA12" s="0" t="s">
        <v>17</v>
      </c>
      <c r="AB12" s="0" t="s">
        <v>14</v>
      </c>
      <c r="AC12" s="0" t="n">
        <v>17.1</v>
      </c>
      <c r="AD12" s="0" t="n">
        <v>39.7</v>
      </c>
      <c r="AE12" s="0" t="n">
        <v>690</v>
      </c>
      <c r="AF12" s="0" t="n">
        <v>390687</v>
      </c>
      <c r="AG12" s="0" t="n">
        <v>80.7</v>
      </c>
      <c r="AH12" s="0" t="n">
        <v>12.8</v>
      </c>
      <c r="AI12" s="0" t="n">
        <v>2.2</v>
      </c>
      <c r="AJ12" s="0" t="n">
        <v>0.9</v>
      </c>
      <c r="AK12" s="0" t="n">
        <v>9755</v>
      </c>
      <c r="AL12" s="0" t="n">
        <v>315096</v>
      </c>
      <c r="AM12" s="0" t="n">
        <v>4718</v>
      </c>
      <c r="AN12" s="0" t="n">
        <v>5742</v>
      </c>
      <c r="AO12" s="0" t="n">
        <v>13.7</v>
      </c>
      <c r="AP12" s="0" t="n">
        <v>19.7</v>
      </c>
    </row>
    <row r="13" customFormat="false" ht="15" hidden="false" customHeight="false" outlineLevel="0" collapsed="false">
      <c r="A13" s="0" t="s">
        <v>88</v>
      </c>
      <c r="B13" s="0" t="n">
        <v>14614</v>
      </c>
      <c r="F13" s="0" t="n">
        <v>8046</v>
      </c>
      <c r="G13" s="0" t="n">
        <v>55.1</v>
      </c>
      <c r="I13" s="0" t="n">
        <v>7422</v>
      </c>
      <c r="J13" s="0" t="n">
        <v>50.8</v>
      </c>
      <c r="K13" s="0" t="n">
        <v>1.63</v>
      </c>
      <c r="L13" s="0" t="n">
        <v>9125</v>
      </c>
      <c r="M13" s="0" t="n">
        <v>983</v>
      </c>
      <c r="N13" s="0" t="n">
        <v>8142</v>
      </c>
      <c r="O13" s="0" t="n">
        <v>61768</v>
      </c>
      <c r="P13" s="0" t="n">
        <v>675688</v>
      </c>
      <c r="Q13" s="0" t="n">
        <v>612118</v>
      </c>
      <c r="R13" s="0" t="n">
        <v>30482</v>
      </c>
      <c r="S13" s="0" t="n">
        <v>24548</v>
      </c>
      <c r="T13" s="0" t="n">
        <v>4498</v>
      </c>
      <c r="U13" s="0" t="n">
        <v>62</v>
      </c>
      <c r="AA13" s="0" t="s">
        <v>17</v>
      </c>
      <c r="AB13" s="0" t="s">
        <v>14</v>
      </c>
      <c r="AC13" s="0" t="n">
        <v>16.9</v>
      </c>
      <c r="AD13" s="0" t="n">
        <v>40.2</v>
      </c>
      <c r="AE13" s="0" t="n">
        <v>665</v>
      </c>
      <c r="AF13" s="0" t="n">
        <v>428286</v>
      </c>
      <c r="AG13" s="0" t="n">
        <v>78.6</v>
      </c>
      <c r="AH13" s="0" t="n">
        <v>13.38</v>
      </c>
      <c r="AI13" s="0" t="n">
        <v>1.91</v>
      </c>
      <c r="AJ13" s="0" t="n">
        <v>0.9</v>
      </c>
      <c r="AK13" s="0" t="n">
        <v>9150</v>
      </c>
      <c r="AL13" s="0" t="n">
        <v>336692</v>
      </c>
      <c r="AM13" s="0" t="n">
        <v>5464</v>
      </c>
      <c r="AN13" s="0" t="n">
        <v>5882</v>
      </c>
      <c r="AO13" s="0" t="n">
        <v>12.6</v>
      </c>
      <c r="AP13" s="0" t="n">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89</v>
      </c>
      <c r="B1" s="2" t="s">
        <v>90</v>
      </c>
    </row>
    <row r="2" customFormat="false" ht="15" hidden="false" customHeight="false" outlineLevel="0" collapsed="false">
      <c r="A2" s="0" t="s">
        <v>91</v>
      </c>
      <c r="B2" s="3" t="n">
        <v>29</v>
      </c>
    </row>
    <row r="3" customFormat="false" ht="15" hidden="false" customHeight="false" outlineLevel="0" collapsed="false">
      <c r="A3" s="0" t="s">
        <v>92</v>
      </c>
      <c r="B3" s="3" t="n">
        <v>4495</v>
      </c>
    </row>
    <row r="4" customFormat="false" ht="15" hidden="false" customHeight="false" outlineLevel="0" collapsed="false">
      <c r="A4" s="0" t="s">
        <v>93</v>
      </c>
      <c r="B4" s="3" t="n">
        <v>0</v>
      </c>
    </row>
    <row r="5" customFormat="false" ht="15" hidden="false" customHeight="false" outlineLevel="0" collapsed="false">
      <c r="A5" s="0" t="s">
        <v>94</v>
      </c>
      <c r="B5" s="3" t="n">
        <v>0</v>
      </c>
    </row>
    <row r="6" customFormat="false" ht="15" hidden="false" customHeight="false" outlineLevel="0" collapsed="false">
      <c r="A6" s="0" t="s">
        <v>95</v>
      </c>
      <c r="B6" s="3" t="n">
        <v>15</v>
      </c>
    </row>
    <row r="7" customFormat="false" ht="15" hidden="false" customHeight="false" outlineLevel="0" collapsed="false">
      <c r="A7" s="0" t="s">
        <v>96</v>
      </c>
      <c r="B7" s="3" t="n">
        <v>15950</v>
      </c>
    </row>
    <row r="8" customFormat="false" ht="15" hidden="false" customHeight="false" outlineLevel="0" collapsed="false">
      <c r="A8" s="0" t="s">
        <v>97</v>
      </c>
      <c r="B8" s="3" t="s">
        <v>98</v>
      </c>
    </row>
    <row r="9" customFormat="false" ht="15" hidden="false" customHeight="false" outlineLevel="0" collapsed="false">
      <c r="A9" s="0" t="s">
        <v>99</v>
      </c>
      <c r="B9" s="3" t="s">
        <v>100</v>
      </c>
    </row>
    <row r="10" customFormat="false" ht="15" hidden="false" customHeight="false" outlineLevel="0" collapsed="false">
      <c r="A10" s="0" t="s">
        <v>101</v>
      </c>
      <c r="B10" s="3" t="n">
        <v>1</v>
      </c>
    </row>
    <row r="12" customFormat="false" ht="15" hidden="false" customHeight="false" outlineLevel="0" collapsed="false">
      <c r="A12" s="2" t="s">
        <v>102</v>
      </c>
      <c r="C12" s="2" t="s">
        <v>103</v>
      </c>
      <c r="D12" s="2" t="s">
        <v>104</v>
      </c>
      <c r="E12" s="2" t="s">
        <v>105</v>
      </c>
      <c r="F12" s="2" t="s">
        <v>106</v>
      </c>
      <c r="G12" s="2" t="s">
        <v>107</v>
      </c>
      <c r="H12" s="2" t="s">
        <v>108</v>
      </c>
      <c r="I12" s="2" t="s">
        <v>109</v>
      </c>
      <c r="J12" s="2" t="s">
        <v>110</v>
      </c>
      <c r="K12" s="2" t="s">
        <v>111</v>
      </c>
      <c r="L12" s="2" t="s">
        <v>112</v>
      </c>
    </row>
    <row r="13" customFormat="false" ht="15" hidden="false" customHeight="false" outlineLevel="0" collapsed="false">
      <c r="A13" s="0" t="s">
        <v>113</v>
      </c>
      <c r="C13" s="3" t="n">
        <v>-2</v>
      </c>
      <c r="D13" s="3" t="n">
        <v>1.5</v>
      </c>
      <c r="E13" s="3" t="n">
        <v>3</v>
      </c>
      <c r="F13" s="3" t="n">
        <v>3.5</v>
      </c>
      <c r="G13" s="3" t="n">
        <v>3.5</v>
      </c>
      <c r="H13" s="3" t="n">
        <v>3</v>
      </c>
      <c r="I13" s="3" t="n">
        <v>3</v>
      </c>
      <c r="J13" s="3" t="n">
        <v>2.5</v>
      </c>
      <c r="K13" s="3" t="n">
        <v>2.5</v>
      </c>
      <c r="L13" s="3" t="n">
        <v>2.5</v>
      </c>
    </row>
    <row r="14" customFormat="false" ht="15" hidden="false" customHeight="false" outlineLevel="0" collapsed="false">
      <c r="A14" s="0" t="s">
        <v>114</v>
      </c>
      <c r="C14" s="3" t="n">
        <v>57.4</v>
      </c>
      <c r="D14" s="3" t="n">
        <v>57.4</v>
      </c>
      <c r="E14" s="3" t="n">
        <v>57.4</v>
      </c>
      <c r="F14" s="3" t="n">
        <v>57.4</v>
      </c>
      <c r="G14" s="3" t="n">
        <v>57.4</v>
      </c>
      <c r="H14" s="3" t="n">
        <v>57.4</v>
      </c>
      <c r="I14" s="3" t="n">
        <v>57.4</v>
      </c>
      <c r="J14" s="3" t="n">
        <v>57.4</v>
      </c>
      <c r="K14" s="3" t="n">
        <v>57.4</v>
      </c>
      <c r="L14" s="3" t="n">
        <v>57.4</v>
      </c>
    </row>
    <row r="15" customFormat="false" ht="15" hidden="false" customHeight="false" outlineLevel="0" collapsed="false">
      <c r="A15" s="0" t="s">
        <v>115</v>
      </c>
      <c r="C15" s="3" t="n">
        <v>0.4</v>
      </c>
      <c r="D15" s="3" t="n">
        <v>0.4</v>
      </c>
      <c r="E15" s="3" t="n">
        <v>0.4</v>
      </c>
      <c r="F15" s="3" t="n">
        <v>0.4</v>
      </c>
      <c r="G15" s="3" t="n">
        <v>0.4</v>
      </c>
      <c r="H15" s="3" t="n">
        <v>0.4</v>
      </c>
      <c r="I15" s="3" t="n">
        <v>0.4</v>
      </c>
      <c r="J15" s="3" t="n">
        <v>0.4</v>
      </c>
      <c r="K15" s="3" t="n">
        <v>0.4</v>
      </c>
      <c r="L15" s="3" t="n">
        <v>0.4</v>
      </c>
    </row>
    <row r="16" customFormat="false" ht="15" hidden="false" customHeight="false" outlineLevel="0" collapsed="false">
      <c r="A16" s="0" t="s">
        <v>116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117</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118</v>
      </c>
      <c r="C18" s="3" t="n">
        <v>0</v>
      </c>
      <c r="D18" s="3" t="n">
        <v>6</v>
      </c>
      <c r="E18" s="3" t="n">
        <v>11.9</v>
      </c>
      <c r="F18" s="3" t="n">
        <v>13.9</v>
      </c>
      <c r="G18" s="3" t="n">
        <v>13.9</v>
      </c>
      <c r="H18" s="3" t="n">
        <v>11.9</v>
      </c>
      <c r="I18" s="3" t="n">
        <v>11.9</v>
      </c>
      <c r="J18" s="3" t="n">
        <v>9.9</v>
      </c>
      <c r="K18" s="3" t="n">
        <v>9.9</v>
      </c>
      <c r="L18" s="3" t="n">
        <v>9.9</v>
      </c>
    </row>
    <row r="19" customFormat="false" ht="15" hidden="false" customHeight="false" outlineLevel="0" collapsed="false">
      <c r="A19" s="0" t="s">
        <v>119</v>
      </c>
      <c r="C19" s="3" t="n">
        <v>20</v>
      </c>
      <c r="D19" s="3" t="n">
        <v>20</v>
      </c>
      <c r="E19" s="3" t="n">
        <v>20</v>
      </c>
      <c r="F19" s="3" t="n">
        <v>20</v>
      </c>
      <c r="G19" s="3" t="n">
        <v>20</v>
      </c>
      <c r="H19" s="3" t="n">
        <v>20</v>
      </c>
      <c r="I19" s="3" t="n">
        <v>20</v>
      </c>
      <c r="J19" s="3" t="n">
        <v>20</v>
      </c>
      <c r="K19" s="3" t="n">
        <v>20</v>
      </c>
      <c r="L19" s="3" t="n">
        <v>20</v>
      </c>
    </row>
    <row r="20" customFormat="false" ht="15" hidden="false" customHeight="false" outlineLevel="0" collapsed="false">
      <c r="A20" s="0" t="s">
        <v>120</v>
      </c>
      <c r="B20" s="3" t="n">
        <v>8.25</v>
      </c>
    </row>
    <row r="21" customFormat="false" ht="15" hidden="false" customHeight="false" outlineLevel="0" collapsed="false">
      <c r="A21" s="0" t="s">
        <v>121</v>
      </c>
      <c r="B21" s="3" t="n">
        <v>2.5</v>
      </c>
    </row>
    <row r="22" customFormat="false" ht="15" hidden="false" customHeight="false" outlineLevel="0" collapsed="false">
      <c r="A22" s="0" t="s">
        <v>122</v>
      </c>
      <c r="B22" s="3" t="n">
        <v>15</v>
      </c>
    </row>
    <row r="23" customFormat="false" ht="15" hidden="false" customHeight="false" outlineLevel="0" collapsed="false">
      <c r="A23" s="0" t="s">
        <v>123</v>
      </c>
      <c r="B23" s="3" t="n">
        <v>0</v>
      </c>
    </row>
    <row r="24" customFormat="false" ht="15" hidden="false" customHeight="false" outlineLevel="0" collapsed="false">
      <c r="A24" s="0" t="s">
        <v>124</v>
      </c>
      <c r="B24" s="3" t="n">
        <v>0.25</v>
      </c>
    </row>
    <row r="26" customFormat="false" ht="15" hidden="false" customHeight="false" outlineLevel="0" collapsed="false">
      <c r="A26" s="2" t="s">
        <v>125</v>
      </c>
      <c r="C26" s="2" t="s">
        <v>103</v>
      </c>
      <c r="D26" s="2" t="s">
        <v>104</v>
      </c>
      <c r="E26" s="2" t="s">
        <v>105</v>
      </c>
      <c r="F26" s="2" t="s">
        <v>106</v>
      </c>
      <c r="G26" s="2" t="s">
        <v>107</v>
      </c>
      <c r="H26" s="2" t="s">
        <v>108</v>
      </c>
      <c r="I26" s="2" t="s">
        <v>109</v>
      </c>
      <c r="J26" s="2" t="s">
        <v>110</v>
      </c>
      <c r="K26" s="2" t="s">
        <v>111</v>
      </c>
      <c r="L26" s="2" t="s">
        <v>112</v>
      </c>
    </row>
    <row r="27" customFormat="false" ht="15" hidden="false" customHeight="false" outlineLevel="0" collapsed="false">
      <c r="A27" s="0" t="s">
        <v>113</v>
      </c>
      <c r="C27" s="3" t="n">
        <v>3.5</v>
      </c>
      <c r="D27" s="3" t="n">
        <v>5</v>
      </c>
      <c r="E27" s="3" t="n">
        <v>5</v>
      </c>
      <c r="F27" s="3" t="n">
        <v>5</v>
      </c>
      <c r="G27" s="3" t="n">
        <v>4.5</v>
      </c>
      <c r="H27" s="3" t="n">
        <v>4.5</v>
      </c>
      <c r="I27" s="3" t="n">
        <v>4</v>
      </c>
      <c r="J27" s="3" t="n">
        <v>4</v>
      </c>
      <c r="K27" s="3" t="n">
        <v>3.5</v>
      </c>
      <c r="L27" s="3" t="n">
        <v>3</v>
      </c>
    </row>
    <row r="28" customFormat="false" ht="15" hidden="false" customHeight="false" outlineLevel="0" collapsed="false">
      <c r="A28" s="0" t="s">
        <v>114</v>
      </c>
      <c r="C28" s="3" t="n">
        <v>62.4</v>
      </c>
      <c r="D28" s="3" t="n">
        <v>62.4</v>
      </c>
      <c r="E28" s="3" t="n">
        <v>62.3</v>
      </c>
      <c r="F28" s="3" t="n">
        <v>62.2</v>
      </c>
      <c r="G28" s="3" t="n">
        <v>62.1</v>
      </c>
      <c r="H28" s="3" t="n">
        <v>62</v>
      </c>
      <c r="I28" s="3" t="n">
        <v>62</v>
      </c>
      <c r="J28" s="3" t="n">
        <v>62</v>
      </c>
      <c r="K28" s="3" t="n">
        <v>62</v>
      </c>
      <c r="L28" s="3" t="n">
        <v>62</v>
      </c>
    </row>
    <row r="29" customFormat="false" ht="15" hidden="false" customHeight="false" outlineLevel="0" collapsed="false">
      <c r="A29" s="0" t="s">
        <v>115</v>
      </c>
      <c r="C29" s="3" t="n">
        <v>0.4</v>
      </c>
      <c r="D29" s="3" t="n">
        <v>0.4</v>
      </c>
      <c r="E29" s="3" t="n">
        <v>0.4</v>
      </c>
      <c r="F29" s="3" t="n">
        <v>0.4</v>
      </c>
      <c r="G29" s="3" t="n">
        <v>0.4</v>
      </c>
      <c r="H29" s="3" t="n">
        <v>0.4</v>
      </c>
      <c r="I29" s="3" t="n">
        <v>0.4</v>
      </c>
      <c r="J29" s="3" t="n">
        <v>0.4</v>
      </c>
      <c r="K29" s="3" t="n">
        <v>0.4</v>
      </c>
      <c r="L29" s="3" t="n">
        <v>0.4</v>
      </c>
    </row>
    <row r="30" customFormat="false" ht="15" hidden="false" customHeight="false" outlineLevel="0" collapsed="false">
      <c r="A30" s="0" t="s">
        <v>116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117</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118</v>
      </c>
      <c r="C32" s="3" t="n">
        <v>12.8</v>
      </c>
      <c r="D32" s="3" t="n">
        <v>18.4</v>
      </c>
      <c r="E32" s="3" t="n">
        <v>18.4</v>
      </c>
      <c r="F32" s="3" t="n">
        <v>18.4</v>
      </c>
      <c r="G32" s="3" t="n">
        <v>16.5</v>
      </c>
      <c r="H32" s="3" t="n">
        <v>16.5</v>
      </c>
      <c r="I32" s="3" t="n">
        <v>14.7</v>
      </c>
      <c r="J32" s="3" t="n">
        <v>14.7</v>
      </c>
      <c r="K32" s="3" t="n">
        <v>12.8</v>
      </c>
      <c r="L32" s="3" t="n">
        <v>11</v>
      </c>
    </row>
    <row r="33" customFormat="false" ht="15" hidden="false" customHeight="false" outlineLevel="0" collapsed="false">
      <c r="A33" s="0" t="s">
        <v>119</v>
      </c>
      <c r="C33" s="3" t="n">
        <v>19.5</v>
      </c>
      <c r="D33" s="3" t="n">
        <v>19.5</v>
      </c>
      <c r="E33" s="3" t="n">
        <v>20</v>
      </c>
      <c r="F33" s="3" t="n">
        <v>20</v>
      </c>
      <c r="G33" s="3" t="n">
        <v>20</v>
      </c>
      <c r="H33" s="3" t="n">
        <v>20</v>
      </c>
      <c r="I33" s="3" t="n">
        <v>20</v>
      </c>
      <c r="J33" s="3" t="n">
        <v>20</v>
      </c>
      <c r="K33" s="3" t="n">
        <v>20</v>
      </c>
      <c r="L33" s="3" t="n">
        <v>20</v>
      </c>
    </row>
    <row r="34" customFormat="false" ht="15" hidden="false" customHeight="false" outlineLevel="0" collapsed="false">
      <c r="A34" s="0" t="s">
        <v>120</v>
      </c>
      <c r="B34" s="3" t="n">
        <v>8.25</v>
      </c>
    </row>
    <row r="35" customFormat="false" ht="15" hidden="false" customHeight="false" outlineLevel="0" collapsed="false">
      <c r="A35" s="0" t="s">
        <v>121</v>
      </c>
      <c r="B35" s="3" t="n">
        <v>3</v>
      </c>
    </row>
    <row r="36" customFormat="false" ht="15" hidden="false" customHeight="false" outlineLevel="0" collapsed="false">
      <c r="A36" s="0" t="s">
        <v>122</v>
      </c>
      <c r="B36" s="3" t="n">
        <v>21</v>
      </c>
    </row>
    <row r="37" customFormat="false" ht="15" hidden="false" customHeight="false" outlineLevel="0" collapsed="false">
      <c r="A37" s="0" t="s">
        <v>123</v>
      </c>
      <c r="B37" s="3" t="n">
        <v>0</v>
      </c>
    </row>
    <row r="38" customFormat="false" ht="15" hidden="false" customHeight="false" outlineLevel="0" collapsed="false">
      <c r="A38" s="0" t="s">
        <v>124</v>
      </c>
      <c r="B38" s="3" t="n">
        <v>0.5</v>
      </c>
    </row>
    <row r="40" customFormat="false" ht="15" hidden="false" customHeight="false" outlineLevel="0" collapsed="false">
      <c r="A40" s="2" t="s">
        <v>126</v>
      </c>
      <c r="C40" s="2" t="s">
        <v>103</v>
      </c>
      <c r="D40" s="2" t="s">
        <v>104</v>
      </c>
      <c r="E40" s="2" t="s">
        <v>105</v>
      </c>
      <c r="F40" s="2" t="s">
        <v>106</v>
      </c>
      <c r="G40" s="2" t="s">
        <v>107</v>
      </c>
      <c r="H40" s="2" t="s">
        <v>108</v>
      </c>
      <c r="I40" s="2" t="s">
        <v>109</v>
      </c>
      <c r="J40" s="2" t="s">
        <v>110</v>
      </c>
      <c r="K40" s="2" t="s">
        <v>111</v>
      </c>
      <c r="L40" s="2" t="s">
        <v>112</v>
      </c>
    </row>
    <row r="41" customFormat="false" ht="15" hidden="false" customHeight="false" outlineLevel="0" collapsed="false">
      <c r="A41" s="0" t="s">
        <v>113</v>
      </c>
      <c r="C41" s="3" t="n">
        <v>6</v>
      </c>
      <c r="D41" s="3" t="n">
        <v>7</v>
      </c>
      <c r="E41" s="3" t="n">
        <v>7</v>
      </c>
      <c r="F41" s="3" t="n">
        <v>6.5</v>
      </c>
      <c r="G41" s="3" t="n">
        <v>6</v>
      </c>
      <c r="H41" s="3" t="n">
        <v>5.5</v>
      </c>
      <c r="I41" s="3" t="n">
        <v>5</v>
      </c>
      <c r="J41" s="3" t="n">
        <v>4.5</v>
      </c>
      <c r="K41" s="3" t="n">
        <v>4</v>
      </c>
      <c r="L41" s="3" t="n">
        <v>3.5</v>
      </c>
    </row>
    <row r="42" customFormat="false" ht="15" hidden="false" customHeight="false" outlineLevel="0" collapsed="false">
      <c r="A42" s="0" t="s">
        <v>114</v>
      </c>
      <c r="C42" s="3" t="n">
        <v>64.4</v>
      </c>
      <c r="D42" s="3" t="n">
        <v>64.4</v>
      </c>
      <c r="E42" s="3" t="n">
        <v>64.4</v>
      </c>
      <c r="F42" s="3" t="n">
        <v>64.4</v>
      </c>
      <c r="G42" s="3" t="n">
        <v>64.4</v>
      </c>
      <c r="H42" s="3" t="n">
        <v>64.4</v>
      </c>
      <c r="I42" s="3" t="n">
        <v>64.4</v>
      </c>
      <c r="J42" s="3" t="n">
        <v>64.4</v>
      </c>
      <c r="K42" s="3" t="n">
        <v>64.4</v>
      </c>
      <c r="L42" s="3" t="n">
        <v>64.4</v>
      </c>
    </row>
    <row r="43" customFormat="false" ht="15" hidden="false" customHeight="false" outlineLevel="0" collapsed="false">
      <c r="A43" s="0" t="s">
        <v>115</v>
      </c>
      <c r="C43" s="3" t="n">
        <v>0.4</v>
      </c>
      <c r="D43" s="3" t="n">
        <v>0.4</v>
      </c>
      <c r="E43" s="3" t="n">
        <v>0.4</v>
      </c>
      <c r="F43" s="3" t="n">
        <v>0.4</v>
      </c>
      <c r="G43" s="3" t="n">
        <v>0.4</v>
      </c>
      <c r="H43" s="3" t="n">
        <v>0.4</v>
      </c>
      <c r="I43" s="3" t="n">
        <v>0.4</v>
      </c>
      <c r="J43" s="3" t="n">
        <v>0.4</v>
      </c>
      <c r="K43" s="3" t="n">
        <v>0.4</v>
      </c>
      <c r="L43" s="3" t="n">
        <v>0.4</v>
      </c>
    </row>
    <row r="44" customFormat="false" ht="15" hidden="false" customHeight="false" outlineLevel="0" collapsed="false">
      <c r="A44" s="0" t="s">
        <v>116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117</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118</v>
      </c>
      <c r="C46" s="3" t="n">
        <v>20.6</v>
      </c>
      <c r="D46" s="3" t="n">
        <v>24</v>
      </c>
      <c r="E46" s="3" t="n">
        <v>24</v>
      </c>
      <c r="F46" s="3" t="n">
        <v>22.3</v>
      </c>
      <c r="G46" s="3" t="n">
        <v>20.6</v>
      </c>
      <c r="H46" s="3" t="n">
        <v>18.9</v>
      </c>
      <c r="I46" s="3" t="n">
        <v>17.2</v>
      </c>
      <c r="J46" s="3" t="n">
        <v>15.4</v>
      </c>
      <c r="K46" s="3" t="n">
        <v>13.7</v>
      </c>
      <c r="L46" s="3" t="n">
        <v>12</v>
      </c>
    </row>
    <row r="47" customFormat="false" ht="15" hidden="false" customHeight="false" outlineLevel="0" collapsed="false">
      <c r="A47" s="0" t="s">
        <v>119</v>
      </c>
      <c r="C47" s="3" t="n">
        <v>19.5</v>
      </c>
      <c r="D47" s="3" t="n">
        <v>19.5</v>
      </c>
      <c r="E47" s="3" t="n">
        <v>19.5</v>
      </c>
      <c r="F47" s="3" t="n">
        <v>19.5</v>
      </c>
      <c r="G47" s="3" t="n">
        <v>19.5</v>
      </c>
      <c r="H47" s="3" t="n">
        <v>19.5</v>
      </c>
      <c r="I47" s="3" t="n">
        <v>19.5</v>
      </c>
      <c r="J47" s="3" t="n">
        <v>19.5</v>
      </c>
      <c r="K47" s="3" t="n">
        <v>19.5</v>
      </c>
      <c r="L47" s="3" t="n">
        <v>19.5</v>
      </c>
    </row>
    <row r="48" customFormat="false" ht="15" hidden="false" customHeight="false" outlineLevel="0" collapsed="false">
      <c r="A48" s="0" t="s">
        <v>120</v>
      </c>
      <c r="B48" s="3" t="n">
        <v>8.25</v>
      </c>
    </row>
    <row r="49" customFormat="false" ht="15" hidden="false" customHeight="false" outlineLevel="0" collapsed="false">
      <c r="A49" s="0" t="s">
        <v>121</v>
      </c>
      <c r="B49" s="3" t="n">
        <v>3.5</v>
      </c>
    </row>
    <row r="50" customFormat="false" ht="15" hidden="false" customHeight="false" outlineLevel="0" collapsed="false">
      <c r="A50" s="0" t="s">
        <v>122</v>
      </c>
      <c r="B50" s="3" t="n">
        <v>23</v>
      </c>
    </row>
    <row r="51" customFormat="false" ht="15" hidden="false" customHeight="false" outlineLevel="0" collapsed="false">
      <c r="A51" s="0" t="s">
        <v>123</v>
      </c>
      <c r="B51" s="3" t="n">
        <v>0</v>
      </c>
    </row>
    <row r="52" customFormat="false" ht="15" hidden="false" customHeight="false" outlineLevel="0" collapsed="false">
      <c r="A52" s="0" t="s">
        <v>124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127</v>
      </c>
    </row>
    <row r="3" customFormat="false" ht="15" hidden="false" customHeight="false" outlineLevel="0" collapsed="false">
      <c r="A3" s="0" t="s">
        <v>128</v>
      </c>
      <c r="B3" s="0" t="s">
        <v>98</v>
      </c>
      <c r="C3" s="2" t="s">
        <v>103</v>
      </c>
      <c r="D3" s="2" t="s">
        <v>104</v>
      </c>
      <c r="E3" s="2" t="s">
        <v>105</v>
      </c>
      <c r="F3" s="2" t="s">
        <v>106</v>
      </c>
      <c r="G3" s="2" t="s">
        <v>107</v>
      </c>
      <c r="H3" s="2" t="s">
        <v>108</v>
      </c>
      <c r="I3" s="2" t="s">
        <v>109</v>
      </c>
      <c r="J3" s="2" t="s">
        <v>110</v>
      </c>
      <c r="K3" s="2" t="s">
        <v>111</v>
      </c>
      <c r="L3" s="2" t="s">
        <v>112</v>
      </c>
    </row>
    <row r="4" customFormat="false" ht="15" hidden="false" customHeight="false" outlineLevel="0" collapsed="false">
      <c r="A4" s="0" t="s">
        <v>129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113</v>
      </c>
      <c r="C5" s="4" t="n">
        <f aca="false">Assumptions!C13</f>
        <v>-2</v>
      </c>
      <c r="D5" s="4" t="n">
        <f aca="false">Assumptions!D13</f>
        <v>1.5</v>
      </c>
      <c r="E5" s="4" t="n">
        <f aca="false">Assumptions!E13</f>
        <v>3</v>
      </c>
      <c r="F5" s="4" t="n">
        <f aca="false">Assumptions!F13</f>
        <v>3.5</v>
      </c>
      <c r="G5" s="4" t="n">
        <f aca="false">Assumptions!G13</f>
        <v>3.5</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37</v>
      </c>
      <c r="B6" s="3" t="n">
        <v>15950</v>
      </c>
      <c r="C6" s="0" t="n">
        <f aca="false">B6*(1+C5/100)</f>
        <v>15631</v>
      </c>
      <c r="D6" s="0" t="n">
        <f aca="false">C6*(1+D5/100)</f>
        <v>15865.465</v>
      </c>
      <c r="E6" s="0" t="n">
        <f aca="false">D6*(1+E5/100)</f>
        <v>16341.42895</v>
      </c>
      <c r="F6" s="0" t="n">
        <f aca="false">E6*(1+F5/100)</f>
        <v>16913.37896325</v>
      </c>
      <c r="G6" s="0" t="n">
        <f aca="false">F6*(1+G5/100)</f>
        <v>17505.3472269637</v>
      </c>
      <c r="H6" s="0" t="n">
        <f aca="false">G6*(1+H5/100)</f>
        <v>18030.5076437727</v>
      </c>
      <c r="I6" s="0" t="n">
        <f aca="false">H6*(1+I5/100)</f>
        <v>18571.4228730858</v>
      </c>
      <c r="J6" s="0" t="n">
        <f aca="false">I6*(1+J5/100)</f>
        <v>19035.708444913</v>
      </c>
      <c r="K6" s="0" t="n">
        <f aca="false">J6*(1+K5/100)</f>
        <v>19511.6011560358</v>
      </c>
      <c r="L6" s="0" t="n">
        <f aca="false">K6*(1+L5/100)</f>
        <v>19999.3911849367</v>
      </c>
    </row>
    <row r="7" customFormat="false" ht="15" hidden="false" customHeight="false" outlineLevel="0" collapsed="false">
      <c r="A7" s="0" t="s">
        <v>114</v>
      </c>
      <c r="C7" s="4" t="n">
        <f aca="false">Assumptions!C14</f>
        <v>57.4</v>
      </c>
      <c r="D7" s="4" t="n">
        <f aca="false">Assumptions!D14</f>
        <v>57.4</v>
      </c>
      <c r="E7" s="4" t="n">
        <f aca="false">Assumptions!E14</f>
        <v>57.4</v>
      </c>
      <c r="F7" s="4" t="n">
        <f aca="false">Assumptions!F14</f>
        <v>57.4</v>
      </c>
      <c r="G7" s="4" t="n">
        <f aca="false">Assumptions!G14</f>
        <v>57.4</v>
      </c>
      <c r="H7" s="4" t="n">
        <f aca="false">Assumptions!H14</f>
        <v>57.4</v>
      </c>
      <c r="I7" s="4" t="n">
        <f aca="false">Assumptions!I14</f>
        <v>57.4</v>
      </c>
      <c r="J7" s="4" t="n">
        <f aca="false">Assumptions!J14</f>
        <v>57.4</v>
      </c>
      <c r="K7" s="4" t="n">
        <f aca="false">Assumptions!K14</f>
        <v>57.4</v>
      </c>
      <c r="L7" s="4" t="n">
        <f aca="false">Assumptions!L14</f>
        <v>57.4</v>
      </c>
    </row>
    <row r="8" customFormat="false" ht="15" hidden="false" customHeight="false" outlineLevel="0" collapsed="false">
      <c r="A8" s="0" t="s">
        <v>43</v>
      </c>
      <c r="C8" s="0" t="n">
        <f aca="false">C6*C7/100</f>
        <v>8972.194</v>
      </c>
      <c r="D8" s="0" t="n">
        <f aca="false">D6*D7/100</f>
        <v>9106.77691</v>
      </c>
      <c r="E8" s="0" t="n">
        <f aca="false">E6*E7/100</f>
        <v>9379.9802173</v>
      </c>
      <c r="F8" s="0" t="n">
        <f aca="false">F6*F7/100</f>
        <v>9708.2795249055</v>
      </c>
      <c r="G8" s="0" t="n">
        <f aca="false">G6*G7/100</f>
        <v>10048.0693082772</v>
      </c>
      <c r="H8" s="0" t="n">
        <f aca="false">H6*H7/100</f>
        <v>10349.5113875255</v>
      </c>
      <c r="I8" s="0" t="n">
        <f aca="false">I6*I7/100</f>
        <v>10659.9967291513</v>
      </c>
      <c r="J8" s="0" t="n">
        <f aca="false">J6*J7/100</f>
        <v>10926.4966473801</v>
      </c>
      <c r="K8" s="0" t="n">
        <f aca="false">K6*K7/100</f>
        <v>11199.6590635646</v>
      </c>
      <c r="L8" s="0" t="n">
        <f aca="false">L6*L7/100</f>
        <v>11479.6505401537</v>
      </c>
    </row>
    <row r="9" customFormat="false" ht="15" hidden="false" customHeight="false" outlineLevel="0" collapsed="false">
      <c r="A9" s="0" t="s">
        <v>115</v>
      </c>
      <c r="C9" s="4" t="n">
        <f aca="false">Assumptions!C15</f>
        <v>0.4</v>
      </c>
      <c r="D9" s="4" t="n">
        <f aca="false">Assumptions!D15</f>
        <v>0.4</v>
      </c>
      <c r="E9" s="4" t="n">
        <f aca="false">Assumptions!E15</f>
        <v>0.4</v>
      </c>
      <c r="F9" s="4" t="n">
        <f aca="false">Assumptions!F15</f>
        <v>0.4</v>
      </c>
      <c r="G9" s="4" t="n">
        <f aca="false">Assumptions!G15</f>
        <v>0.4</v>
      </c>
      <c r="H9" s="4" t="n">
        <f aca="false">Assumptions!H15</f>
        <v>0.4</v>
      </c>
      <c r="I9" s="4" t="n">
        <f aca="false">Assumptions!I15</f>
        <v>0.4</v>
      </c>
      <c r="J9" s="4" t="n">
        <f aca="false">Assumptions!J15</f>
        <v>0.4</v>
      </c>
      <c r="K9" s="4" t="n">
        <f aca="false">Assumptions!K15</f>
        <v>0.4</v>
      </c>
      <c r="L9" s="4" t="n">
        <f aca="false">Assumptions!L15</f>
        <v>0.4</v>
      </c>
    </row>
    <row r="10" customFormat="false" ht="15" hidden="false" customHeight="false" outlineLevel="0" collapsed="false">
      <c r="A10" s="0" t="s">
        <v>130</v>
      </c>
      <c r="C10" s="0" t="n">
        <f aca="false">-C6*C9/100</f>
        <v>-62.524</v>
      </c>
      <c r="D10" s="0" t="n">
        <f aca="false">-D6*D9/100</f>
        <v>-63.46186</v>
      </c>
      <c r="E10" s="0" t="n">
        <f aca="false">-E6*E9/100</f>
        <v>-65.3657158</v>
      </c>
      <c r="F10" s="0" t="n">
        <f aca="false">-F6*F9/100</f>
        <v>-67.653515853</v>
      </c>
      <c r="G10" s="0" t="n">
        <f aca="false">-G6*G9/100</f>
        <v>-70.021388907855</v>
      </c>
      <c r="H10" s="0" t="n">
        <f aca="false">-H6*H9/100</f>
        <v>-72.1220305750907</v>
      </c>
      <c r="I10" s="0" t="n">
        <f aca="false">-I6*I9/100</f>
        <v>-74.2856914923434</v>
      </c>
      <c r="J10" s="0" t="n">
        <f aca="false">-J6*J9/100</f>
        <v>-76.142833779652</v>
      </c>
      <c r="K10" s="0" t="n">
        <f aca="false">-K6*K9/100</f>
        <v>-78.0464046241432</v>
      </c>
      <c r="L10" s="0" t="n">
        <f aca="false">-L6*L9/100</f>
        <v>-79.9975647397468</v>
      </c>
    </row>
    <row r="11" customFormat="false" ht="15" hidden="false" customHeight="false" outlineLevel="0" collapsed="false">
      <c r="A11" s="0" t="s">
        <v>131</v>
      </c>
      <c r="C11" s="0" t="n">
        <f aca="false">C8+C10+C24</f>
        <v>8909.67</v>
      </c>
      <c r="D11" s="0" t="n">
        <f aca="false">D8+D10+D24</f>
        <v>9043.31505</v>
      </c>
      <c r="E11" s="0" t="n">
        <f aca="false">E8+E10+E24</f>
        <v>9314.6145015</v>
      </c>
      <c r="F11" s="0" t="n">
        <f aca="false">F8+F10+F24</f>
        <v>9640.6260090525</v>
      </c>
      <c r="G11" s="0" t="n">
        <f aca="false">G8+G10+G24</f>
        <v>9978.04791936934</v>
      </c>
      <c r="H11" s="0" t="n">
        <f aca="false">H8+H10+H24</f>
        <v>10277.3893569504</v>
      </c>
      <c r="I11" s="0" t="n">
        <f aca="false">I8+I10+I24</f>
        <v>10585.7110376589</v>
      </c>
      <c r="J11" s="0" t="n">
        <f aca="false">J8+J10+J24</f>
        <v>10850.3538136004</v>
      </c>
      <c r="K11" s="0" t="n">
        <f aca="false">K8+K10+K24</f>
        <v>11121.6126589404</v>
      </c>
      <c r="L11" s="0" t="n">
        <f aca="false">L8+L10+L24</f>
        <v>11399.6529754139</v>
      </c>
    </row>
    <row r="12" customFormat="false" ht="15" hidden="false" customHeight="false" outlineLevel="0" collapsed="false">
      <c r="A12" s="0" t="s">
        <v>132</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133</v>
      </c>
      <c r="C13" s="0" t="n">
        <f aca="false">C11+C12</f>
        <v>8909.67</v>
      </c>
      <c r="D13" s="0" t="n">
        <f aca="false">D11+D12</f>
        <v>9043.31505</v>
      </c>
      <c r="E13" s="0" t="n">
        <f aca="false">E11+E12</f>
        <v>9314.6145015</v>
      </c>
      <c r="F13" s="0" t="n">
        <f aca="false">F11+F12</f>
        <v>9640.6260090525</v>
      </c>
      <c r="G13" s="0" t="n">
        <f aca="false">G11+G12</f>
        <v>9978.04791936934</v>
      </c>
      <c r="H13" s="0" t="n">
        <f aca="false">H11+H12</f>
        <v>10277.3893569504</v>
      </c>
      <c r="I13" s="0" t="n">
        <f aca="false">I11+I12</f>
        <v>10585.7110376589</v>
      </c>
      <c r="J13" s="0" t="n">
        <f aca="false">J11+J12</f>
        <v>10850.3538136004</v>
      </c>
      <c r="K13" s="0" t="n">
        <f aca="false">K11+K12</f>
        <v>11121.6126589404</v>
      </c>
      <c r="L13" s="0" t="n">
        <f aca="false">L11+L12</f>
        <v>11399.6529754139</v>
      </c>
    </row>
    <row r="14" customFormat="false" ht="15" hidden="false" customHeight="false" outlineLevel="0" collapsed="false">
      <c r="A14" s="0" t="s">
        <v>119</v>
      </c>
      <c r="C14" s="4" t="n">
        <f aca="false">Assumptions!C19</f>
        <v>20</v>
      </c>
      <c r="D14" s="4" t="n">
        <f aca="false">Assumptions!D19</f>
        <v>20</v>
      </c>
      <c r="E14" s="4" t="n">
        <f aca="false">Assumptions!E19</f>
        <v>20</v>
      </c>
      <c r="F14" s="4" t="n">
        <f aca="false">Assumptions!F19</f>
        <v>20</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134</v>
      </c>
      <c r="C15" s="0" t="n">
        <f aca="false">C13-MAX(0,C13)*C14/100</f>
        <v>7127.736</v>
      </c>
      <c r="D15" s="0" t="n">
        <f aca="false">D13-MAX(0,D13)*D14/100</f>
        <v>7234.65204</v>
      </c>
      <c r="E15" s="0" t="n">
        <f aca="false">E13-MAX(0,E13)*E14/100</f>
        <v>7451.6916012</v>
      </c>
      <c r="F15" s="0" t="n">
        <f aca="false">F13-MAX(0,F13)*F14/100</f>
        <v>7712.500807242</v>
      </c>
      <c r="G15" s="0" t="n">
        <f aca="false">G13-MAX(0,G13)*G14/100</f>
        <v>7982.43833549547</v>
      </c>
      <c r="H15" s="0" t="n">
        <f aca="false">H13-MAX(0,H13)*H14/100</f>
        <v>8221.91148556033</v>
      </c>
      <c r="I15" s="0" t="n">
        <f aca="false">I13-MAX(0,I13)*I14/100</f>
        <v>8468.56883012714</v>
      </c>
      <c r="J15" s="0" t="n">
        <f aca="false">J13-MAX(0,J13)*J14/100</f>
        <v>8680.28305088032</v>
      </c>
      <c r="K15" s="0" t="n">
        <f aca="false">K13-MAX(0,K13)*K14/100</f>
        <v>8897.29012715233</v>
      </c>
      <c r="L15" s="0" t="n">
        <f aca="false">L13-MAX(0,L13)*L14/100</f>
        <v>9119.72238033114</v>
      </c>
    </row>
    <row r="16" customFormat="false" ht="15" hidden="false" customHeight="false" outlineLevel="0" collapsed="false">
      <c r="A16" s="0" t="s">
        <v>135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136</v>
      </c>
      <c r="C17" s="4" t="n">
        <f aca="false">-C6*Assumptions!C18/100</f>
        <v>-0</v>
      </c>
      <c r="D17" s="4" t="n">
        <f aca="false">-D6*Assumptions!D18/100</f>
        <v>-951.9279</v>
      </c>
      <c r="E17" s="4" t="n">
        <f aca="false">-E6*Assumptions!E18/100</f>
        <v>-1944.63004505</v>
      </c>
      <c r="F17" s="4" t="n">
        <f aca="false">-F6*Assumptions!F18/100</f>
        <v>-2350.95967589175</v>
      </c>
      <c r="G17" s="4" t="n">
        <f aca="false">-G6*Assumptions!G18/100</f>
        <v>-2433.24326454796</v>
      </c>
      <c r="H17" s="4" t="n">
        <f aca="false">-H6*Assumptions!H18/100</f>
        <v>-2145.63040960895</v>
      </c>
      <c r="I17" s="4" t="n">
        <f aca="false">-I6*Assumptions!I18/100</f>
        <v>-2209.99932189722</v>
      </c>
      <c r="J17" s="4" t="n">
        <f aca="false">-J6*Assumptions!J18/100</f>
        <v>-1884.53513604639</v>
      </c>
      <c r="K17" s="4" t="n">
        <f aca="false">-K6*Assumptions!K18/100</f>
        <v>-1931.64851444755</v>
      </c>
      <c r="L17" s="4" t="n">
        <f aca="false">-L6*Assumptions!L18/100</f>
        <v>-1979.93972730873</v>
      </c>
    </row>
    <row r="18" customFormat="false" ht="15" hidden="false" customHeight="false" outlineLevel="0" collapsed="false">
      <c r="A18" s="0" t="s">
        <v>137</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138</v>
      </c>
      <c r="C19" s="0" t="n">
        <f aca="false">C15+C16+C17+C18</f>
        <v>7127.736</v>
      </c>
      <c r="D19" s="0" t="n">
        <f aca="false">D15+D16+D17+D18</f>
        <v>6282.72414</v>
      </c>
      <c r="E19" s="0" t="n">
        <f aca="false">E15+E16+E17+E18</f>
        <v>5507.06155615</v>
      </c>
      <c r="F19" s="0" t="n">
        <f aca="false">F15+F16+F17+F18</f>
        <v>5361.54113135025</v>
      </c>
      <c r="G19" s="0" t="n">
        <f aca="false">G15+G16+G17+G18</f>
        <v>5549.19507094751</v>
      </c>
      <c r="H19" s="0" t="n">
        <f aca="false">H15+H16+H17+H18</f>
        <v>6076.28107595139</v>
      </c>
      <c r="I19" s="0" t="n">
        <f aca="false">I15+I16+I17+I18</f>
        <v>6258.56950822993</v>
      </c>
      <c r="J19" s="0" t="n">
        <f aca="false">J15+J16+J17+J18</f>
        <v>6795.74791483394</v>
      </c>
      <c r="K19" s="0" t="n">
        <f aca="false">K15+K16+K17+K18</f>
        <v>6965.64161270478</v>
      </c>
      <c r="L19" s="0" t="n">
        <f aca="false">L15+L16+L17+L18</f>
        <v>7139.78265302241</v>
      </c>
    </row>
    <row r="20" customFormat="false" ht="15" hidden="false" customHeight="false" outlineLevel="0" collapsed="false">
      <c r="A20" s="0" t="s">
        <v>139</v>
      </c>
      <c r="C20" s="0" t="n">
        <f aca="false">1/(1+$B$27/100)^C4</f>
        <v>0.92378752886836</v>
      </c>
      <c r="D20" s="0" t="n">
        <f aca="false">1/(1+$B$27/100)^D4</f>
        <v>0.853383398492712</v>
      </c>
      <c r="E20" s="0" t="n">
        <f aca="false">1/(1+$B$27/100)^E4</f>
        <v>0.788344940870865</v>
      </c>
      <c r="F20" s="0" t="n">
        <f aca="false">1/(1+$B$27/100)^F4</f>
        <v>0.72826322482297</v>
      </c>
      <c r="G20" s="0" t="n">
        <f aca="false">1/(1+$B$27/100)^G4</f>
        <v>0.672760484824915</v>
      </c>
      <c r="H20" s="0" t="n">
        <f aca="false">1/(1+$B$27/100)^H4</f>
        <v>0.621487745796688</v>
      </c>
      <c r="I20" s="0" t="n">
        <f aca="false">1/(1+$B$27/100)^I4</f>
        <v>0.57412262891149</v>
      </c>
      <c r="J20" s="0" t="n">
        <f aca="false">1/(1+$B$27/100)^J4</f>
        <v>0.530367324629552</v>
      </c>
      <c r="K20" s="0" t="n">
        <f aca="false">1/(1+$B$27/100)^K4</f>
        <v>0.489946720212057</v>
      </c>
      <c r="L20" s="0" t="n">
        <f aca="false">1/(1+$B$27/100)^L4</f>
        <v>0.452606669941854</v>
      </c>
    </row>
    <row r="21" customFormat="false" ht="15" hidden="false" customHeight="false" outlineLevel="0" collapsed="false">
      <c r="A21" s="0" t="s">
        <v>140</v>
      </c>
      <c r="C21" s="0" t="n">
        <f aca="false">C19*C20</f>
        <v>6584.51362586605</v>
      </c>
      <c r="D21" s="0" t="n">
        <f aca="false">D19*D20</f>
        <v>5361.5724783854</v>
      </c>
      <c r="E21" s="0" t="n">
        <f aca="false">E19*E20</f>
        <v>4341.46411685529</v>
      </c>
      <c r="F21" s="0" t="n">
        <f aca="false">F19*F20</f>
        <v>3904.61323433813</v>
      </c>
      <c r="G21" s="0" t="n">
        <f aca="false">G19*G20</f>
        <v>3733.27916631867</v>
      </c>
      <c r="H21" s="0" t="n">
        <f aca="false">H19*H20</f>
        <v>3776.3342287201</v>
      </c>
      <c r="I21" s="0" t="n">
        <f aca="false">I19*I20</f>
        <v>3593.18637929026</v>
      </c>
      <c r="J21" s="0" t="n">
        <f aca="false">J19*J20</f>
        <v>3604.24264044733</v>
      </c>
      <c r="K21" s="0" t="n">
        <f aca="false">K19*K20</f>
        <v>3412.79326231733</v>
      </c>
      <c r="L21" s="0" t="n">
        <f aca="false">L19*L20</f>
        <v>3231.51325069309</v>
      </c>
    </row>
    <row r="23" customFormat="false" ht="15" hidden="false" customHeight="false" outlineLevel="0" collapsed="false">
      <c r="A23" s="0" t="s">
        <v>116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141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142</v>
      </c>
    </row>
    <row r="27" customFormat="false" ht="15" hidden="false" customHeight="false" outlineLevel="0" collapsed="false">
      <c r="A27" s="0" t="s">
        <v>120</v>
      </c>
      <c r="B27" s="4" t="n">
        <f aca="false">Assumptions!$B$20</f>
        <v>8.25</v>
      </c>
    </row>
    <row r="28" customFormat="false" ht="15" hidden="false" customHeight="false" outlineLevel="0" collapsed="false">
      <c r="A28" s="0" t="s">
        <v>121</v>
      </c>
      <c r="B28" s="4" t="n">
        <f aca="false">Assumptions!$B$21</f>
        <v>2.5</v>
      </c>
    </row>
    <row r="29" customFormat="false" ht="15" hidden="false" customHeight="false" outlineLevel="0" collapsed="false">
      <c r="A29" s="0" t="s">
        <v>122</v>
      </c>
      <c r="B29" s="4" t="n">
        <f aca="false">Assumptions!$B$22</f>
        <v>15</v>
      </c>
    </row>
    <row r="30" customFormat="false" ht="15" hidden="false" customHeight="false" outlineLevel="0" collapsed="false">
      <c r="A30" s="0" t="s">
        <v>143</v>
      </c>
      <c r="B30" s="0" t="n">
        <f aca="false">SUM(C21:L21)</f>
        <v>41543.5123832316</v>
      </c>
    </row>
    <row r="31" customFormat="false" ht="15" hidden="false" customHeight="false" outlineLevel="0" collapsed="false">
      <c r="A31" s="0" t="s">
        <v>144</v>
      </c>
      <c r="B31" s="0" t="n">
        <f aca="false">L19</f>
        <v>7139.78265302241</v>
      </c>
    </row>
    <row r="32" customFormat="false" ht="15" hidden="false" customHeight="false" outlineLevel="0" collapsed="false">
      <c r="A32" s="0" t="s">
        <v>145</v>
      </c>
      <c r="B32" s="0" t="n">
        <f aca="false">IF(B27&gt;B28,B31*(1+B28/100)/((B27-B28)/100),B31*B29)</f>
        <v>127274.386423443</v>
      </c>
    </row>
    <row r="33" customFormat="false" ht="15" hidden="false" customHeight="false" outlineLevel="0" collapsed="false">
      <c r="A33" s="0" t="s">
        <v>146</v>
      </c>
      <c r="B33" s="0" t="n">
        <f aca="false">B31*B29</f>
        <v>107096.739795336</v>
      </c>
    </row>
    <row r="34" customFormat="false" ht="15" hidden="false" customHeight="false" outlineLevel="0" collapsed="false">
      <c r="A34" s="0" t="s">
        <v>147</v>
      </c>
      <c r="B34" s="0" t="n">
        <f aca="false">MAX(0,MIN(B32,B33))</f>
        <v>107096.739795336</v>
      </c>
    </row>
    <row r="35" customFormat="false" ht="15" hidden="false" customHeight="false" outlineLevel="0" collapsed="false">
      <c r="A35" s="0" t="s">
        <v>148</v>
      </c>
      <c r="B35" s="0" t="n">
        <f aca="false">B34/(1+B27/100)^L4</f>
        <v>48472.6987603963</v>
      </c>
    </row>
    <row r="36" customFormat="false" ht="15" hidden="false" customHeight="false" outlineLevel="0" collapsed="false">
      <c r="A36" s="0" t="s">
        <v>149</v>
      </c>
      <c r="B36" s="0" t="n">
        <f aca="false">B30+B35</f>
        <v>90016.211143628</v>
      </c>
    </row>
    <row r="37" customFormat="false" ht="15" hidden="false" customHeight="false" outlineLevel="0" collapsed="false">
      <c r="A37" s="0" t="s">
        <v>150</v>
      </c>
      <c r="B37" s="0" t="n">
        <f aca="false">B36+Assumptions!$B$5-Assumptions!$B$4</f>
        <v>90016.211143628</v>
      </c>
    </row>
    <row r="38" customFormat="false" ht="15" hidden="false" customHeight="false" outlineLevel="0" collapsed="false">
      <c r="A38" s="0" t="s">
        <v>151</v>
      </c>
      <c r="B38" s="0" t="n">
        <f aca="false">B37/Assumptions!$B$3*Assumptions!$B$10</f>
        <v>20.0258534246113</v>
      </c>
    </row>
    <row r="39" customFormat="false" ht="15" hidden="false" customHeight="false" outlineLevel="0" collapsed="false">
      <c r="A39" s="0" t="s">
        <v>152</v>
      </c>
      <c r="B39" s="4" t="n">
        <f aca="false">B38/Assumptions!$B$2-1</f>
        <v>-0.309453330185816</v>
      </c>
    </row>
    <row r="41" customFormat="false" ht="15" hidden="false" customHeight="false" outlineLevel="0" collapsed="false">
      <c r="A41" s="0" t="s">
        <v>153</v>
      </c>
      <c r="B41" s="0" t="n">
        <f aca="false">SUMPRODUCT(-C10:L10/(1+$B$27/100)^C4:L4)</f>
        <v>462.125848835415</v>
      </c>
    </row>
    <row r="42" customFormat="false" ht="15" hidden="false" customHeight="false" outlineLevel="0" collapsed="false">
      <c r="A42" s="0" t="s">
        <v>154</v>
      </c>
      <c r="B42" s="0" t="n">
        <f aca="false">IF(B27&gt;B28,-L10*(1+B28/100)/((B27-B28)/100),-L10*20)/(1+B27/100)^L4</f>
        <v>645.436820257784</v>
      </c>
    </row>
    <row r="43" customFormat="false" ht="15" hidden="false" customHeight="false" outlineLevel="0" collapsed="false">
      <c r="A43" s="0" t="s">
        <v>155</v>
      </c>
      <c r="B43" s="0" t="n">
        <f aca="false">(B37+B41+B42)/Assumptions!$B$3*Assumptions!$B$10</f>
        <v>20.2722522386477</v>
      </c>
    </row>
    <row r="45" customFormat="false" ht="15" hidden="false" customHeight="false" outlineLevel="0" collapsed="false">
      <c r="A45" s="0" t="s">
        <v>95</v>
      </c>
      <c r="B45" s="4" t="n">
        <f aca="false">Assumptions!$B$6</f>
        <v>15</v>
      </c>
    </row>
    <row r="46" customFormat="false" ht="15" hidden="false" customHeight="false" outlineLevel="0" collapsed="false">
      <c r="A46" s="0" t="s">
        <v>156</v>
      </c>
      <c r="B46" s="0" t="n">
        <f aca="false">MAX(0,MIN(IF(B45&gt;B28,B31*(1+B28/100)/((B45-B28)/100),B31*B29),B31*B29))</f>
        <v>58546.2177547837</v>
      </c>
    </row>
    <row r="47" customFormat="false" ht="15" hidden="false" customHeight="false" outlineLevel="0" collapsed="false">
      <c r="A47" s="0" t="s">
        <v>157</v>
      </c>
      <c r="B47" s="0" t="n">
        <f aca="false">(SUMPRODUCT(C19:L19/(1+B45/100)^C4:L4)+B46/(1+B45/100)^L4+Assumptions!$B$5-Assumptions!$B$4)/Assumptions!$B$3*Assumptions!$B$10</f>
        <v>10.1917739489532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158</v>
      </c>
    </row>
    <row r="3" customFormat="false" ht="15" hidden="false" customHeight="false" outlineLevel="0" collapsed="false">
      <c r="A3" s="0" t="s">
        <v>128</v>
      </c>
      <c r="B3" s="0" t="s">
        <v>98</v>
      </c>
      <c r="C3" s="2" t="s">
        <v>103</v>
      </c>
      <c r="D3" s="2" t="s">
        <v>104</v>
      </c>
      <c r="E3" s="2" t="s">
        <v>105</v>
      </c>
      <c r="F3" s="2" t="s">
        <v>106</v>
      </c>
      <c r="G3" s="2" t="s">
        <v>107</v>
      </c>
      <c r="H3" s="2" t="s">
        <v>108</v>
      </c>
      <c r="I3" s="2" t="s">
        <v>109</v>
      </c>
      <c r="J3" s="2" t="s">
        <v>110</v>
      </c>
      <c r="K3" s="2" t="s">
        <v>111</v>
      </c>
      <c r="L3" s="2" t="s">
        <v>112</v>
      </c>
    </row>
    <row r="4" customFormat="false" ht="15" hidden="false" customHeight="false" outlineLevel="0" collapsed="false">
      <c r="A4" s="0" t="s">
        <v>129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113</v>
      </c>
      <c r="C5" s="4" t="n">
        <f aca="false">Assumptions!C27</f>
        <v>3.5</v>
      </c>
      <c r="D5" s="4" t="n">
        <f aca="false">Assumptions!D27</f>
        <v>5</v>
      </c>
      <c r="E5" s="4" t="n">
        <f aca="false">Assumptions!E27</f>
        <v>5</v>
      </c>
      <c r="F5" s="4" t="n">
        <f aca="false">Assumptions!F27</f>
        <v>5</v>
      </c>
      <c r="G5" s="4" t="n">
        <f aca="false">Assumptions!G27</f>
        <v>4.5</v>
      </c>
      <c r="H5" s="4" t="n">
        <f aca="false">Assumptions!H27</f>
        <v>4.5</v>
      </c>
      <c r="I5" s="4" t="n">
        <f aca="false">Assumptions!I27</f>
        <v>4</v>
      </c>
      <c r="J5" s="4" t="n">
        <f aca="false">Assumptions!J27</f>
        <v>4</v>
      </c>
      <c r="K5" s="4" t="n">
        <f aca="false">Assumptions!K27</f>
        <v>3.5</v>
      </c>
      <c r="L5" s="4" t="n">
        <f aca="false">Assumptions!L27</f>
        <v>3</v>
      </c>
    </row>
    <row r="6" customFormat="false" ht="15" hidden="false" customHeight="false" outlineLevel="0" collapsed="false">
      <c r="A6" s="0" t="s">
        <v>37</v>
      </c>
      <c r="B6" s="3" t="n">
        <v>15950</v>
      </c>
      <c r="C6" s="0" t="n">
        <f aca="false">B6*(1+C5/100)</f>
        <v>16508.25</v>
      </c>
      <c r="D6" s="0" t="n">
        <f aca="false">C6*(1+D5/100)</f>
        <v>17333.6625</v>
      </c>
      <c r="E6" s="0" t="n">
        <f aca="false">D6*(1+E5/100)</f>
        <v>18200.345625</v>
      </c>
      <c r="F6" s="0" t="n">
        <f aca="false">E6*(1+F5/100)</f>
        <v>19110.36290625</v>
      </c>
      <c r="G6" s="0" t="n">
        <f aca="false">F6*(1+G5/100)</f>
        <v>19970.3292370313</v>
      </c>
      <c r="H6" s="0" t="n">
        <f aca="false">G6*(1+H5/100)</f>
        <v>20868.9940526977</v>
      </c>
      <c r="I6" s="0" t="n">
        <f aca="false">H6*(1+I5/100)</f>
        <v>21703.7538148056</v>
      </c>
      <c r="J6" s="0" t="n">
        <f aca="false">I6*(1+J5/100)</f>
        <v>22571.9039673978</v>
      </c>
      <c r="K6" s="0" t="n">
        <f aca="false">J6*(1+K5/100)</f>
        <v>23361.9206062567</v>
      </c>
      <c r="L6" s="0" t="n">
        <f aca="false">K6*(1+L5/100)</f>
        <v>24062.7782244444</v>
      </c>
    </row>
    <row r="7" customFormat="false" ht="15" hidden="false" customHeight="false" outlineLevel="0" collapsed="false">
      <c r="A7" s="0" t="s">
        <v>114</v>
      </c>
      <c r="C7" s="4" t="n">
        <f aca="false">Assumptions!C28</f>
        <v>62.4</v>
      </c>
      <c r="D7" s="4" t="n">
        <f aca="false">Assumptions!D28</f>
        <v>62.4</v>
      </c>
      <c r="E7" s="4" t="n">
        <f aca="false">Assumptions!E28</f>
        <v>62.3</v>
      </c>
      <c r="F7" s="4" t="n">
        <f aca="false">Assumptions!F28</f>
        <v>62.2</v>
      </c>
      <c r="G7" s="4" t="n">
        <f aca="false">Assumptions!G28</f>
        <v>62.1</v>
      </c>
      <c r="H7" s="4" t="n">
        <f aca="false">Assumptions!H28</f>
        <v>62</v>
      </c>
      <c r="I7" s="4" t="n">
        <f aca="false">Assumptions!I28</f>
        <v>62</v>
      </c>
      <c r="J7" s="4" t="n">
        <f aca="false">Assumptions!J28</f>
        <v>62</v>
      </c>
      <c r="K7" s="4" t="n">
        <f aca="false">Assumptions!K28</f>
        <v>62</v>
      </c>
      <c r="L7" s="4" t="n">
        <f aca="false">Assumptions!L28</f>
        <v>62</v>
      </c>
    </row>
    <row r="8" customFormat="false" ht="15" hidden="false" customHeight="false" outlineLevel="0" collapsed="false">
      <c r="A8" s="0" t="s">
        <v>43</v>
      </c>
      <c r="C8" s="0" t="n">
        <f aca="false">C6*C7/100</f>
        <v>10301.148</v>
      </c>
      <c r="D8" s="0" t="n">
        <f aca="false">D6*D7/100</f>
        <v>10816.2054</v>
      </c>
      <c r="E8" s="0" t="n">
        <f aca="false">E6*E7/100</f>
        <v>11338.815324375</v>
      </c>
      <c r="F8" s="0" t="n">
        <f aca="false">F6*F7/100</f>
        <v>11886.6457276875</v>
      </c>
      <c r="G8" s="0" t="n">
        <f aca="false">G6*G7/100</f>
        <v>12401.5744561964</v>
      </c>
      <c r="H8" s="0" t="n">
        <f aca="false">H6*H7/100</f>
        <v>12938.7763126725</v>
      </c>
      <c r="I8" s="0" t="n">
        <f aca="false">I6*I7/100</f>
        <v>13456.3273651795</v>
      </c>
      <c r="J8" s="0" t="n">
        <f aca="false">J6*J7/100</f>
        <v>13994.5804597866</v>
      </c>
      <c r="K8" s="0" t="n">
        <f aca="false">K6*K7/100</f>
        <v>14484.3907758792</v>
      </c>
      <c r="L8" s="0" t="n">
        <f aca="false">L6*L7/100</f>
        <v>14918.9224991555</v>
      </c>
    </row>
    <row r="9" customFormat="false" ht="15" hidden="false" customHeight="false" outlineLevel="0" collapsed="false">
      <c r="A9" s="0" t="s">
        <v>115</v>
      </c>
      <c r="C9" s="4" t="n">
        <f aca="false">Assumptions!C29</f>
        <v>0.4</v>
      </c>
      <c r="D9" s="4" t="n">
        <f aca="false">Assumptions!D29</f>
        <v>0.4</v>
      </c>
      <c r="E9" s="4" t="n">
        <f aca="false">Assumptions!E29</f>
        <v>0.4</v>
      </c>
      <c r="F9" s="4" t="n">
        <f aca="false">Assumptions!F29</f>
        <v>0.4</v>
      </c>
      <c r="G9" s="4" t="n">
        <f aca="false">Assumptions!G29</f>
        <v>0.4</v>
      </c>
      <c r="H9" s="4" t="n">
        <f aca="false">Assumptions!H29</f>
        <v>0.4</v>
      </c>
      <c r="I9" s="4" t="n">
        <f aca="false">Assumptions!I29</f>
        <v>0.4</v>
      </c>
      <c r="J9" s="4" t="n">
        <f aca="false">Assumptions!J29</f>
        <v>0.4</v>
      </c>
      <c r="K9" s="4" t="n">
        <f aca="false">Assumptions!K29</f>
        <v>0.4</v>
      </c>
      <c r="L9" s="4" t="n">
        <f aca="false">Assumptions!L29</f>
        <v>0.4</v>
      </c>
    </row>
    <row r="10" customFormat="false" ht="15" hidden="false" customHeight="false" outlineLevel="0" collapsed="false">
      <c r="A10" s="0" t="s">
        <v>130</v>
      </c>
      <c r="C10" s="0" t="n">
        <f aca="false">-C6*C9/100</f>
        <v>-66.033</v>
      </c>
      <c r="D10" s="0" t="n">
        <f aca="false">-D6*D9/100</f>
        <v>-69.33465</v>
      </c>
      <c r="E10" s="0" t="n">
        <f aca="false">-E6*E9/100</f>
        <v>-72.8013825</v>
      </c>
      <c r="F10" s="0" t="n">
        <f aca="false">-F6*F9/100</f>
        <v>-76.441451625</v>
      </c>
      <c r="G10" s="0" t="n">
        <f aca="false">-G6*G9/100</f>
        <v>-79.881316948125</v>
      </c>
      <c r="H10" s="0" t="n">
        <f aca="false">-H6*H9/100</f>
        <v>-83.4759762107906</v>
      </c>
      <c r="I10" s="0" t="n">
        <f aca="false">-I6*I9/100</f>
        <v>-86.8150152592223</v>
      </c>
      <c r="J10" s="0" t="n">
        <f aca="false">-J6*J9/100</f>
        <v>-90.2876158695912</v>
      </c>
      <c r="K10" s="0" t="n">
        <f aca="false">-K6*K9/100</f>
        <v>-93.4476824250269</v>
      </c>
      <c r="L10" s="0" t="n">
        <f aca="false">-L6*L9/100</f>
        <v>-96.2511128977777</v>
      </c>
    </row>
    <row r="11" customFormat="false" ht="15" hidden="false" customHeight="false" outlineLevel="0" collapsed="false">
      <c r="A11" s="0" t="s">
        <v>131</v>
      </c>
      <c r="C11" s="0" t="n">
        <f aca="false">C8+C10+C24</f>
        <v>10235.115</v>
      </c>
      <c r="D11" s="0" t="n">
        <f aca="false">D8+D10+D24</f>
        <v>10746.87075</v>
      </c>
      <c r="E11" s="0" t="n">
        <f aca="false">E8+E10+E24</f>
        <v>11266.013941875</v>
      </c>
      <c r="F11" s="0" t="n">
        <f aca="false">F8+F10+F24</f>
        <v>11810.2042760625</v>
      </c>
      <c r="G11" s="0" t="n">
        <f aca="false">G8+G10+G24</f>
        <v>12321.6931392483</v>
      </c>
      <c r="H11" s="0" t="n">
        <f aca="false">H8+H10+H24</f>
        <v>12855.3003364618</v>
      </c>
      <c r="I11" s="0" t="n">
        <f aca="false">I8+I10+I24</f>
        <v>13369.5123499202</v>
      </c>
      <c r="J11" s="0" t="n">
        <f aca="false">J8+J10+J24</f>
        <v>13904.292843917</v>
      </c>
      <c r="K11" s="0" t="n">
        <f aca="false">K8+K10+K24</f>
        <v>14390.9430934541</v>
      </c>
      <c r="L11" s="0" t="n">
        <f aca="false">L8+L10+L24</f>
        <v>14822.6713862578</v>
      </c>
    </row>
    <row r="12" customFormat="false" ht="15" hidden="false" customHeight="false" outlineLevel="0" collapsed="false">
      <c r="A12" s="0" t="s">
        <v>132</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133</v>
      </c>
      <c r="C13" s="0" t="n">
        <f aca="false">C11+C12</f>
        <v>10235.115</v>
      </c>
      <c r="D13" s="0" t="n">
        <f aca="false">D11+D12</f>
        <v>10746.87075</v>
      </c>
      <c r="E13" s="0" t="n">
        <f aca="false">E11+E12</f>
        <v>11266.013941875</v>
      </c>
      <c r="F13" s="0" t="n">
        <f aca="false">F11+F12</f>
        <v>11810.2042760625</v>
      </c>
      <c r="G13" s="0" t="n">
        <f aca="false">G11+G12</f>
        <v>12321.6931392483</v>
      </c>
      <c r="H13" s="0" t="n">
        <f aca="false">H11+H12</f>
        <v>12855.3003364618</v>
      </c>
      <c r="I13" s="0" t="n">
        <f aca="false">I11+I12</f>
        <v>13369.5123499202</v>
      </c>
      <c r="J13" s="0" t="n">
        <f aca="false">J11+J12</f>
        <v>13904.292843917</v>
      </c>
      <c r="K13" s="0" t="n">
        <f aca="false">K11+K12</f>
        <v>14390.9430934541</v>
      </c>
      <c r="L13" s="0" t="n">
        <f aca="false">L11+L12</f>
        <v>14822.6713862578</v>
      </c>
    </row>
    <row r="14" customFormat="false" ht="15" hidden="false" customHeight="false" outlineLevel="0" collapsed="false">
      <c r="A14" s="0" t="s">
        <v>119</v>
      </c>
      <c r="C14" s="4" t="n">
        <f aca="false">Assumptions!C33</f>
        <v>19.5</v>
      </c>
      <c r="D14" s="4" t="n">
        <f aca="false">Assumptions!D33</f>
        <v>19.5</v>
      </c>
      <c r="E14" s="4" t="n">
        <f aca="false">Assumptions!E33</f>
        <v>20</v>
      </c>
      <c r="F14" s="4" t="n">
        <f aca="false">Assumptions!F33</f>
        <v>20</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134</v>
      </c>
      <c r="C15" s="0" t="n">
        <f aca="false">C13-MAX(0,C13)*C14/100</f>
        <v>8239.267575</v>
      </c>
      <c r="D15" s="0" t="n">
        <f aca="false">D13-MAX(0,D13)*D14/100</f>
        <v>8651.23095375</v>
      </c>
      <c r="E15" s="0" t="n">
        <f aca="false">E13-MAX(0,E13)*E14/100</f>
        <v>9012.8111535</v>
      </c>
      <c r="F15" s="0" t="n">
        <f aca="false">F13-MAX(0,F13)*F14/100</f>
        <v>9448.16342085</v>
      </c>
      <c r="G15" s="0" t="n">
        <f aca="false">G13-MAX(0,G13)*G14/100</f>
        <v>9857.35451139863</v>
      </c>
      <c r="H15" s="0" t="n">
        <f aca="false">H13-MAX(0,H13)*H14/100</f>
        <v>10284.2402691694</v>
      </c>
      <c r="I15" s="0" t="n">
        <f aca="false">I13-MAX(0,I13)*I14/100</f>
        <v>10695.6098799362</v>
      </c>
      <c r="J15" s="0" t="n">
        <f aca="false">J13-MAX(0,J13)*J14/100</f>
        <v>11123.4342751336</v>
      </c>
      <c r="K15" s="0" t="n">
        <f aca="false">K13-MAX(0,K13)*K14/100</f>
        <v>11512.7544747633</v>
      </c>
      <c r="L15" s="0" t="n">
        <f aca="false">L13-MAX(0,L13)*L14/100</f>
        <v>11858.1371090062</v>
      </c>
    </row>
    <row r="16" customFormat="false" ht="15" hidden="false" customHeight="false" outlineLevel="0" collapsed="false">
      <c r="A16" s="0" t="s">
        <v>135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136</v>
      </c>
      <c r="C17" s="4" t="n">
        <f aca="false">-C6*Assumptions!C32/100</f>
        <v>-2113.056</v>
      </c>
      <c r="D17" s="4" t="n">
        <f aca="false">-D6*Assumptions!D32/100</f>
        <v>-3189.3939</v>
      </c>
      <c r="E17" s="4" t="n">
        <f aca="false">-E6*Assumptions!E32/100</f>
        <v>-3348.863595</v>
      </c>
      <c r="F17" s="4" t="n">
        <f aca="false">-F6*Assumptions!F32/100</f>
        <v>-3516.30677475</v>
      </c>
      <c r="G17" s="4" t="n">
        <f aca="false">-G6*Assumptions!G32/100</f>
        <v>-3295.10432411016</v>
      </c>
      <c r="H17" s="4" t="n">
        <f aca="false">-H6*Assumptions!H32/100</f>
        <v>-3443.38401869511</v>
      </c>
      <c r="I17" s="4" t="n">
        <f aca="false">-I6*Assumptions!I32/100</f>
        <v>-3190.45181077642</v>
      </c>
      <c r="J17" s="4" t="n">
        <f aca="false">-J6*Assumptions!J32/100</f>
        <v>-3318.06988320748</v>
      </c>
      <c r="K17" s="4" t="n">
        <f aca="false">-K6*Assumptions!K32/100</f>
        <v>-2990.32583760086</v>
      </c>
      <c r="L17" s="4" t="n">
        <f aca="false">-L6*Assumptions!L32/100</f>
        <v>-2646.90560468889</v>
      </c>
    </row>
    <row r="18" customFormat="false" ht="15" hidden="false" customHeight="false" outlineLevel="0" collapsed="false">
      <c r="A18" s="0" t="s">
        <v>137</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138</v>
      </c>
      <c r="C19" s="0" t="n">
        <f aca="false">C15+C16+C17+C18</f>
        <v>6126.211575</v>
      </c>
      <c r="D19" s="0" t="n">
        <f aca="false">D15+D16+D17+D18</f>
        <v>5461.83705375</v>
      </c>
      <c r="E19" s="0" t="n">
        <f aca="false">E15+E16+E17+E18</f>
        <v>5663.9475585</v>
      </c>
      <c r="F19" s="0" t="n">
        <f aca="false">F15+F16+F17+F18</f>
        <v>5931.8566461</v>
      </c>
      <c r="G19" s="0" t="n">
        <f aca="false">G15+G16+G17+G18</f>
        <v>6562.25018728847</v>
      </c>
      <c r="H19" s="0" t="n">
        <f aca="false">H15+H16+H17+H18</f>
        <v>6840.85625047429</v>
      </c>
      <c r="I19" s="0" t="n">
        <f aca="false">I15+I16+I17+I18</f>
        <v>7505.15806915977</v>
      </c>
      <c r="J19" s="0" t="n">
        <f aca="false">J15+J16+J17+J18</f>
        <v>7805.36439192616</v>
      </c>
      <c r="K19" s="0" t="n">
        <f aca="false">K15+K16+K17+K18</f>
        <v>8522.42863716245</v>
      </c>
      <c r="L19" s="0" t="n">
        <f aca="false">L15+L16+L17+L18</f>
        <v>9211.23150431732</v>
      </c>
    </row>
    <row r="20" customFormat="false" ht="15" hidden="false" customHeight="false" outlineLevel="0" collapsed="false">
      <c r="A20" s="0" t="s">
        <v>139</v>
      </c>
      <c r="C20" s="0" t="n">
        <f aca="false">1/(1+$B$27/100)^C4</f>
        <v>0.92378752886836</v>
      </c>
      <c r="D20" s="0" t="n">
        <f aca="false">1/(1+$B$27/100)^D4</f>
        <v>0.853383398492712</v>
      </c>
      <c r="E20" s="0" t="n">
        <f aca="false">1/(1+$B$27/100)^E4</f>
        <v>0.788344940870865</v>
      </c>
      <c r="F20" s="0" t="n">
        <f aca="false">1/(1+$B$27/100)^F4</f>
        <v>0.72826322482297</v>
      </c>
      <c r="G20" s="0" t="n">
        <f aca="false">1/(1+$B$27/100)^G4</f>
        <v>0.672760484824915</v>
      </c>
      <c r="H20" s="0" t="n">
        <f aca="false">1/(1+$B$27/100)^H4</f>
        <v>0.621487745796688</v>
      </c>
      <c r="I20" s="0" t="n">
        <f aca="false">1/(1+$B$27/100)^I4</f>
        <v>0.57412262891149</v>
      </c>
      <c r="J20" s="0" t="n">
        <f aca="false">1/(1+$B$27/100)^J4</f>
        <v>0.530367324629552</v>
      </c>
      <c r="K20" s="0" t="n">
        <f aca="false">1/(1+$B$27/100)^K4</f>
        <v>0.489946720212057</v>
      </c>
      <c r="L20" s="0" t="n">
        <f aca="false">1/(1+$B$27/100)^L4</f>
        <v>0.452606669941854</v>
      </c>
    </row>
    <row r="21" customFormat="false" ht="15" hidden="false" customHeight="false" outlineLevel="0" collapsed="false">
      <c r="A21" s="0" t="s">
        <v>140</v>
      </c>
      <c r="C21" s="0" t="n">
        <f aca="false">C19*C20</f>
        <v>5659.31785219399</v>
      </c>
      <c r="D21" s="0" t="n">
        <f aca="false">D19*D20</f>
        <v>4661.0410669426</v>
      </c>
      <c r="E21" s="0" t="n">
        <f aca="false">E19*E20</f>
        <v>4465.14440310136</v>
      </c>
      <c r="F21" s="0" t="n">
        <f aca="false">F19*F20</f>
        <v>4319.95305027636</v>
      </c>
      <c r="G21" s="0" t="n">
        <f aca="false">G19*G20</f>
        <v>4414.82261754258</v>
      </c>
      <c r="H21" s="0" t="n">
        <f aca="false">H19*H20</f>
        <v>4251.50833042645</v>
      </c>
      <c r="I21" s="0" t="n">
        <f aca="false">I19*I20</f>
        <v>4308.88108106229</v>
      </c>
      <c r="J21" s="0" t="n">
        <f aca="false">J19*J20</f>
        <v>4139.71023030465</v>
      </c>
      <c r="K21" s="0" t="n">
        <f aca="false">K19*K20</f>
        <v>4175.53595901905</v>
      </c>
      <c r="L21" s="0" t="n">
        <f aca="false">L19*L20</f>
        <v>4169.06481723256</v>
      </c>
    </row>
    <row r="23" customFormat="false" ht="15" hidden="false" customHeight="false" outlineLevel="0" collapsed="false">
      <c r="A23" s="0" t="s">
        <v>116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141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142</v>
      </c>
    </row>
    <row r="27" customFormat="false" ht="15" hidden="false" customHeight="false" outlineLevel="0" collapsed="false">
      <c r="A27" s="0" t="s">
        <v>120</v>
      </c>
      <c r="B27" s="4" t="n">
        <f aca="false">Assumptions!$B$34</f>
        <v>8.25</v>
      </c>
    </row>
    <row r="28" customFormat="false" ht="15" hidden="false" customHeight="false" outlineLevel="0" collapsed="false">
      <c r="A28" s="0" t="s">
        <v>121</v>
      </c>
      <c r="B28" s="4" t="n">
        <f aca="false">Assumptions!$B$35</f>
        <v>3</v>
      </c>
    </row>
    <row r="29" customFormat="false" ht="15" hidden="false" customHeight="false" outlineLevel="0" collapsed="false">
      <c r="A29" s="0" t="s">
        <v>122</v>
      </c>
      <c r="B29" s="4" t="n">
        <f aca="false">Assumptions!$B$36</f>
        <v>21</v>
      </c>
    </row>
    <row r="30" customFormat="false" ht="15" hidden="false" customHeight="false" outlineLevel="0" collapsed="false">
      <c r="A30" s="0" t="s">
        <v>143</v>
      </c>
      <c r="B30" s="0" t="n">
        <f aca="false">SUM(C21:L21)</f>
        <v>44564.9794081019</v>
      </c>
    </row>
    <row r="31" customFormat="false" ht="15" hidden="false" customHeight="false" outlineLevel="0" collapsed="false">
      <c r="A31" s="0" t="s">
        <v>144</v>
      </c>
      <c r="B31" s="0" t="n">
        <f aca="false">L19</f>
        <v>9211.23150431732</v>
      </c>
    </row>
    <row r="32" customFormat="false" ht="15" hidden="false" customHeight="false" outlineLevel="0" collapsed="false">
      <c r="A32" s="0" t="s">
        <v>145</v>
      </c>
      <c r="B32" s="0" t="n">
        <f aca="false">IF(B27&gt;B28,B31*(1+B28/100)/((B27-B28)/100),B31*B29)</f>
        <v>180715.589513273</v>
      </c>
    </row>
    <row r="33" customFormat="false" ht="15" hidden="false" customHeight="false" outlineLevel="0" collapsed="false">
      <c r="A33" s="0" t="s">
        <v>146</v>
      </c>
      <c r="B33" s="0" t="n">
        <f aca="false">B31*B29</f>
        <v>193435.861590664</v>
      </c>
    </row>
    <row r="34" customFormat="false" ht="15" hidden="false" customHeight="false" outlineLevel="0" collapsed="false">
      <c r="A34" s="0" t="s">
        <v>147</v>
      </c>
      <c r="B34" s="0" t="n">
        <f aca="false">MAX(0,MIN(B32,B33))</f>
        <v>180715.589513273</v>
      </c>
    </row>
    <row r="35" customFormat="false" ht="15" hidden="false" customHeight="false" outlineLevel="0" collapsed="false">
      <c r="A35" s="0" t="s">
        <v>148</v>
      </c>
      <c r="B35" s="0" t="n">
        <f aca="false">B34/(1+B27/100)^L4</f>
        <v>81793.0811761816</v>
      </c>
    </row>
    <row r="36" customFormat="false" ht="15" hidden="false" customHeight="false" outlineLevel="0" collapsed="false">
      <c r="A36" s="0" t="s">
        <v>149</v>
      </c>
      <c r="B36" s="0" t="n">
        <f aca="false">B30+B35</f>
        <v>126358.060584284</v>
      </c>
    </row>
    <row r="37" customFormat="false" ht="15" hidden="false" customHeight="false" outlineLevel="0" collapsed="false">
      <c r="A37" s="0" t="s">
        <v>150</v>
      </c>
      <c r="B37" s="0" t="n">
        <f aca="false">B36+Assumptions!$B$5-Assumptions!$B$4</f>
        <v>126358.060584284</v>
      </c>
    </row>
    <row r="38" customFormat="false" ht="15" hidden="false" customHeight="false" outlineLevel="0" collapsed="false">
      <c r="A38" s="0" t="s">
        <v>151</v>
      </c>
      <c r="B38" s="0" t="n">
        <f aca="false">B37/Assumptions!$B$3*Assumptions!$B$10</f>
        <v>28.110803244557</v>
      </c>
    </row>
    <row r="39" customFormat="false" ht="15" hidden="false" customHeight="false" outlineLevel="0" collapsed="false">
      <c r="A39" s="0" t="s">
        <v>152</v>
      </c>
      <c r="B39" s="4" t="n">
        <f aca="false">B38/Assumptions!$B$2-1</f>
        <v>-0.0306619570842429</v>
      </c>
    </row>
    <row r="41" customFormat="false" ht="15" hidden="false" customHeight="false" outlineLevel="0" collapsed="false">
      <c r="A41" s="0" t="s">
        <v>153</v>
      </c>
      <c r="B41" s="0" t="n">
        <f aca="false">SUMPRODUCT(-C10:L10/(1+$B$27/100)^C4:L4)</f>
        <v>525.928237866786</v>
      </c>
    </row>
    <row r="42" customFormat="false" ht="15" hidden="false" customHeight="false" outlineLevel="0" collapsed="false">
      <c r="A42" s="0" t="s">
        <v>154</v>
      </c>
      <c r="B42" s="0" t="n">
        <f aca="false">IF(B27&gt;B28,-L10*(1+B28/100)/((B27-B28)/100),-L10*20)/(1+B27/100)^L4</f>
        <v>854.682143951741</v>
      </c>
    </row>
    <row r="43" customFormat="false" ht="15" hidden="false" customHeight="false" outlineLevel="0" collapsed="false">
      <c r="A43" s="0" t="s">
        <v>155</v>
      </c>
      <c r="B43" s="0" t="n">
        <f aca="false">(B37+B41+B42)/Assumptions!$B$3*Assumptions!$B$10</f>
        <v>28.4179468222696</v>
      </c>
    </row>
    <row r="45" customFormat="false" ht="15" hidden="false" customHeight="false" outlineLevel="0" collapsed="false">
      <c r="A45" s="0" t="s">
        <v>95</v>
      </c>
      <c r="B45" s="4" t="n">
        <f aca="false">Assumptions!$B$6</f>
        <v>15</v>
      </c>
    </row>
    <row r="46" customFormat="false" ht="15" hidden="false" customHeight="false" outlineLevel="0" collapsed="false">
      <c r="A46" s="0" t="s">
        <v>156</v>
      </c>
      <c r="B46" s="0" t="n">
        <f aca="false">MAX(0,MIN(IF(B45&gt;B28,B31*(1+B28/100)/((B45-B28)/100),B31*B29),B31*B29))</f>
        <v>79063.070412057</v>
      </c>
    </row>
    <row r="47" customFormat="false" ht="15" hidden="false" customHeight="false" outlineLevel="0" collapsed="false">
      <c r="A47" s="0" t="s">
        <v>157</v>
      </c>
      <c r="B47" s="0" t="n">
        <f aca="false">(SUMPRODUCT(C19:L19/(1+B45/100)^C4:L4)+B46/(1+B45/100)^L4+Assumptions!$B$5-Assumptions!$B$4)/Assumptions!$B$3*Assumptions!$B$10</f>
        <v>11.6593051573507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159</v>
      </c>
    </row>
    <row r="3" customFormat="false" ht="15" hidden="false" customHeight="false" outlineLevel="0" collapsed="false">
      <c r="A3" s="0" t="s">
        <v>128</v>
      </c>
      <c r="B3" s="0" t="s">
        <v>98</v>
      </c>
      <c r="C3" s="2" t="s">
        <v>103</v>
      </c>
      <c r="D3" s="2" t="s">
        <v>104</v>
      </c>
      <c r="E3" s="2" t="s">
        <v>105</v>
      </c>
      <c r="F3" s="2" t="s">
        <v>106</v>
      </c>
      <c r="G3" s="2" t="s">
        <v>107</v>
      </c>
      <c r="H3" s="2" t="s">
        <v>108</v>
      </c>
      <c r="I3" s="2" t="s">
        <v>109</v>
      </c>
      <c r="J3" s="2" t="s">
        <v>110</v>
      </c>
      <c r="K3" s="2" t="s">
        <v>111</v>
      </c>
      <c r="L3" s="2" t="s">
        <v>112</v>
      </c>
    </row>
    <row r="4" customFormat="false" ht="15" hidden="false" customHeight="false" outlineLevel="0" collapsed="false">
      <c r="A4" s="0" t="s">
        <v>129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113</v>
      </c>
      <c r="C5" s="4" t="n">
        <f aca="false">Assumptions!C41</f>
        <v>6</v>
      </c>
      <c r="D5" s="4" t="n">
        <f aca="false">Assumptions!D41</f>
        <v>7</v>
      </c>
      <c r="E5" s="4" t="n">
        <f aca="false">Assumptions!E41</f>
        <v>7</v>
      </c>
      <c r="F5" s="4" t="n">
        <f aca="false">Assumptions!F41</f>
        <v>6.5</v>
      </c>
      <c r="G5" s="4" t="n">
        <f aca="false">Assumptions!G41</f>
        <v>6</v>
      </c>
      <c r="H5" s="4" t="n">
        <f aca="false">Assumptions!H41</f>
        <v>5.5</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37</v>
      </c>
      <c r="B6" s="3" t="n">
        <v>15950</v>
      </c>
      <c r="C6" s="0" t="n">
        <f aca="false">B6*(1+C5/100)</f>
        <v>16907</v>
      </c>
      <c r="D6" s="0" t="n">
        <f aca="false">C6*(1+D5/100)</f>
        <v>18090.49</v>
      </c>
      <c r="E6" s="0" t="n">
        <f aca="false">D6*(1+E5/100)</f>
        <v>19356.8243</v>
      </c>
      <c r="F6" s="0" t="n">
        <f aca="false">E6*(1+F5/100)</f>
        <v>20615.0178795</v>
      </c>
      <c r="G6" s="0" t="n">
        <f aca="false">F6*(1+G5/100)</f>
        <v>21851.91895227</v>
      </c>
      <c r="H6" s="0" t="n">
        <f aca="false">G6*(1+H5/100)</f>
        <v>23053.7744946449</v>
      </c>
      <c r="I6" s="0" t="n">
        <f aca="false">H6*(1+I5/100)</f>
        <v>24206.4632193771</v>
      </c>
      <c r="J6" s="0" t="n">
        <f aca="false">I6*(1+J5/100)</f>
        <v>25295.7540642491</v>
      </c>
      <c r="K6" s="0" t="n">
        <f aca="false">J6*(1+K5/100)</f>
        <v>26307.584226819</v>
      </c>
      <c r="L6" s="0" t="n">
        <f aca="false">K6*(1+L5/100)</f>
        <v>27228.3496747577</v>
      </c>
    </row>
    <row r="7" customFormat="false" ht="15" hidden="false" customHeight="false" outlineLevel="0" collapsed="false">
      <c r="A7" s="0" t="s">
        <v>114</v>
      </c>
      <c r="C7" s="4" t="n">
        <f aca="false">Assumptions!C42</f>
        <v>64.4</v>
      </c>
      <c r="D7" s="4" t="n">
        <f aca="false">Assumptions!D42</f>
        <v>64.4</v>
      </c>
      <c r="E7" s="4" t="n">
        <f aca="false">Assumptions!E42</f>
        <v>64.4</v>
      </c>
      <c r="F7" s="4" t="n">
        <f aca="false">Assumptions!F42</f>
        <v>64.4</v>
      </c>
      <c r="G7" s="4" t="n">
        <f aca="false">Assumptions!G42</f>
        <v>64.4</v>
      </c>
      <c r="H7" s="4" t="n">
        <f aca="false">Assumptions!H42</f>
        <v>64.4</v>
      </c>
      <c r="I7" s="4" t="n">
        <f aca="false">Assumptions!I42</f>
        <v>64.4</v>
      </c>
      <c r="J7" s="4" t="n">
        <f aca="false">Assumptions!J42</f>
        <v>64.4</v>
      </c>
      <c r="K7" s="4" t="n">
        <f aca="false">Assumptions!K42</f>
        <v>64.4</v>
      </c>
      <c r="L7" s="4" t="n">
        <f aca="false">Assumptions!L42</f>
        <v>64.4</v>
      </c>
    </row>
    <row r="8" customFormat="false" ht="15" hidden="false" customHeight="false" outlineLevel="0" collapsed="false">
      <c r="A8" s="0" t="s">
        <v>43</v>
      </c>
      <c r="C8" s="0" t="n">
        <f aca="false">C6*C7/100</f>
        <v>10888.108</v>
      </c>
      <c r="D8" s="0" t="n">
        <f aca="false">D6*D7/100</f>
        <v>11650.27556</v>
      </c>
      <c r="E8" s="0" t="n">
        <f aca="false">E6*E7/100</f>
        <v>12465.7948492</v>
      </c>
      <c r="F8" s="0" t="n">
        <f aca="false">F6*F7/100</f>
        <v>13276.071514398</v>
      </c>
      <c r="G8" s="0" t="n">
        <f aca="false">G6*G7/100</f>
        <v>14072.6358052619</v>
      </c>
      <c r="H8" s="0" t="n">
        <f aca="false">H6*H7/100</f>
        <v>14846.6307745513</v>
      </c>
      <c r="I8" s="0" t="n">
        <f aca="false">I6*I7/100</f>
        <v>15588.9623132789</v>
      </c>
      <c r="J8" s="0" t="n">
        <f aca="false">J6*J7/100</f>
        <v>16290.4656173764</v>
      </c>
      <c r="K8" s="0" t="n">
        <f aca="false">K6*K7/100</f>
        <v>16942.0842420715</v>
      </c>
      <c r="L8" s="0" t="n">
        <f aca="false">L6*L7/100</f>
        <v>17535.057190544</v>
      </c>
    </row>
    <row r="9" customFormat="false" ht="15" hidden="false" customHeight="false" outlineLevel="0" collapsed="false">
      <c r="A9" s="0" t="s">
        <v>115</v>
      </c>
      <c r="C9" s="4" t="n">
        <f aca="false">Assumptions!C43</f>
        <v>0.4</v>
      </c>
      <c r="D9" s="4" t="n">
        <f aca="false">Assumptions!D43</f>
        <v>0.4</v>
      </c>
      <c r="E9" s="4" t="n">
        <f aca="false">Assumptions!E43</f>
        <v>0.4</v>
      </c>
      <c r="F9" s="4" t="n">
        <f aca="false">Assumptions!F43</f>
        <v>0.4</v>
      </c>
      <c r="G9" s="4" t="n">
        <f aca="false">Assumptions!G43</f>
        <v>0.4</v>
      </c>
      <c r="H9" s="4" t="n">
        <f aca="false">Assumptions!H43</f>
        <v>0.4</v>
      </c>
      <c r="I9" s="4" t="n">
        <f aca="false">Assumptions!I43</f>
        <v>0.4</v>
      </c>
      <c r="J9" s="4" t="n">
        <f aca="false">Assumptions!J43</f>
        <v>0.4</v>
      </c>
      <c r="K9" s="4" t="n">
        <f aca="false">Assumptions!K43</f>
        <v>0.4</v>
      </c>
      <c r="L9" s="4" t="n">
        <f aca="false">Assumptions!L43</f>
        <v>0.4</v>
      </c>
    </row>
    <row r="10" customFormat="false" ht="15" hidden="false" customHeight="false" outlineLevel="0" collapsed="false">
      <c r="A10" s="0" t="s">
        <v>130</v>
      </c>
      <c r="C10" s="0" t="n">
        <f aca="false">-C6*C9/100</f>
        <v>-67.628</v>
      </c>
      <c r="D10" s="0" t="n">
        <f aca="false">-D6*D9/100</f>
        <v>-72.36196</v>
      </c>
      <c r="E10" s="0" t="n">
        <f aca="false">-E6*E9/100</f>
        <v>-77.4272972</v>
      </c>
      <c r="F10" s="0" t="n">
        <f aca="false">-F6*F9/100</f>
        <v>-82.460071518</v>
      </c>
      <c r="G10" s="0" t="n">
        <f aca="false">-G6*G9/100</f>
        <v>-87.40767580908</v>
      </c>
      <c r="H10" s="0" t="n">
        <f aca="false">-H6*H9/100</f>
        <v>-92.2150979785794</v>
      </c>
      <c r="I10" s="0" t="n">
        <f aca="false">-I6*I9/100</f>
        <v>-96.8258528775084</v>
      </c>
      <c r="J10" s="0" t="n">
        <f aca="false">-J6*J9/100</f>
        <v>-101.183016256996</v>
      </c>
      <c r="K10" s="0" t="n">
        <f aca="false">-K6*K9/100</f>
        <v>-105.230336907276</v>
      </c>
      <c r="L10" s="0" t="n">
        <f aca="false">-L6*L9/100</f>
        <v>-108.913398699031</v>
      </c>
    </row>
    <row r="11" customFormat="false" ht="15" hidden="false" customHeight="false" outlineLevel="0" collapsed="false">
      <c r="A11" s="0" t="s">
        <v>131</v>
      </c>
      <c r="C11" s="0" t="n">
        <f aca="false">C8+C10+C24</f>
        <v>10820.48</v>
      </c>
      <c r="D11" s="0" t="n">
        <f aca="false">D8+D10+D24</f>
        <v>11577.9136</v>
      </c>
      <c r="E11" s="0" t="n">
        <f aca="false">E8+E10+E24</f>
        <v>12388.367552</v>
      </c>
      <c r="F11" s="0" t="n">
        <f aca="false">F8+F10+F24</f>
        <v>13193.61144288</v>
      </c>
      <c r="G11" s="0" t="n">
        <f aca="false">G8+G10+G24</f>
        <v>13985.2281294528</v>
      </c>
      <c r="H11" s="0" t="n">
        <f aca="false">H8+H10+H24</f>
        <v>14754.4156765727</v>
      </c>
      <c r="I11" s="0" t="n">
        <f aca="false">I8+I10+I24</f>
        <v>15492.1364604013</v>
      </c>
      <c r="J11" s="0" t="n">
        <f aca="false">J8+J10+J24</f>
        <v>16189.2826011194</v>
      </c>
      <c r="K11" s="0" t="n">
        <f aca="false">K8+K10+K24</f>
        <v>16836.8539051642</v>
      </c>
      <c r="L11" s="0" t="n">
        <f aca="false">L8+L10+L24</f>
        <v>17426.1437918449</v>
      </c>
    </row>
    <row r="12" customFormat="false" ht="15" hidden="false" customHeight="false" outlineLevel="0" collapsed="false">
      <c r="A12" s="0" t="s">
        <v>132</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133</v>
      </c>
      <c r="C13" s="0" t="n">
        <f aca="false">C11+C12</f>
        <v>10820.48</v>
      </c>
      <c r="D13" s="0" t="n">
        <f aca="false">D11+D12</f>
        <v>11577.9136</v>
      </c>
      <c r="E13" s="0" t="n">
        <f aca="false">E11+E12</f>
        <v>12388.367552</v>
      </c>
      <c r="F13" s="0" t="n">
        <f aca="false">F11+F12</f>
        <v>13193.61144288</v>
      </c>
      <c r="G13" s="0" t="n">
        <f aca="false">G11+G12</f>
        <v>13985.2281294528</v>
      </c>
      <c r="H13" s="0" t="n">
        <f aca="false">H11+H12</f>
        <v>14754.4156765727</v>
      </c>
      <c r="I13" s="0" t="n">
        <f aca="false">I11+I12</f>
        <v>15492.1364604013</v>
      </c>
      <c r="J13" s="0" t="n">
        <f aca="false">J11+J12</f>
        <v>16189.2826011194</v>
      </c>
      <c r="K13" s="0" t="n">
        <f aca="false">K11+K12</f>
        <v>16836.8539051642</v>
      </c>
      <c r="L13" s="0" t="n">
        <f aca="false">L11+L12</f>
        <v>17426.1437918449</v>
      </c>
    </row>
    <row r="14" customFormat="false" ht="15" hidden="false" customHeight="false" outlineLevel="0" collapsed="false">
      <c r="A14" s="0" t="s">
        <v>119</v>
      </c>
      <c r="C14" s="4" t="n">
        <f aca="false">Assumptions!C47</f>
        <v>19.5</v>
      </c>
      <c r="D14" s="4" t="n">
        <f aca="false">Assumptions!D47</f>
        <v>19.5</v>
      </c>
      <c r="E14" s="4" t="n">
        <f aca="false">Assumptions!E47</f>
        <v>19.5</v>
      </c>
      <c r="F14" s="4" t="n">
        <f aca="false">Assumptions!F47</f>
        <v>19.5</v>
      </c>
      <c r="G14" s="4" t="n">
        <f aca="false">Assumptions!G47</f>
        <v>19.5</v>
      </c>
      <c r="H14" s="4" t="n">
        <f aca="false">Assumptions!H47</f>
        <v>19.5</v>
      </c>
      <c r="I14" s="4" t="n">
        <f aca="false">Assumptions!I47</f>
        <v>19.5</v>
      </c>
      <c r="J14" s="4" t="n">
        <f aca="false">Assumptions!J47</f>
        <v>19.5</v>
      </c>
      <c r="K14" s="4" t="n">
        <f aca="false">Assumptions!K47</f>
        <v>19.5</v>
      </c>
      <c r="L14" s="4" t="n">
        <f aca="false">Assumptions!L47</f>
        <v>19.5</v>
      </c>
    </row>
    <row r="15" customFormat="false" ht="15" hidden="false" customHeight="false" outlineLevel="0" collapsed="false">
      <c r="A15" s="0" t="s">
        <v>134</v>
      </c>
      <c r="C15" s="0" t="n">
        <f aca="false">C13-MAX(0,C13)*C14/100</f>
        <v>8710.4864</v>
      </c>
      <c r="D15" s="0" t="n">
        <f aca="false">D13-MAX(0,D13)*D14/100</f>
        <v>9320.220448</v>
      </c>
      <c r="E15" s="0" t="n">
        <f aca="false">E13-MAX(0,E13)*E14/100</f>
        <v>9972.63587936001</v>
      </c>
      <c r="F15" s="0" t="n">
        <f aca="false">F13-MAX(0,F13)*F14/100</f>
        <v>10620.8572115184</v>
      </c>
      <c r="G15" s="0" t="n">
        <f aca="false">G13-MAX(0,G13)*G14/100</f>
        <v>11258.1086442095</v>
      </c>
      <c r="H15" s="0" t="n">
        <f aca="false">H13-MAX(0,H13)*H14/100</f>
        <v>11877.304619641</v>
      </c>
      <c r="I15" s="0" t="n">
        <f aca="false">I13-MAX(0,I13)*I14/100</f>
        <v>12471.1698506231</v>
      </c>
      <c r="J15" s="0" t="n">
        <f aca="false">J13-MAX(0,J13)*J14/100</f>
        <v>13032.3724939011</v>
      </c>
      <c r="K15" s="0" t="n">
        <f aca="false">K13-MAX(0,K13)*K14/100</f>
        <v>13553.6673936572</v>
      </c>
      <c r="L15" s="0" t="n">
        <f aca="false">L13-MAX(0,L13)*L14/100</f>
        <v>14028.0457524352</v>
      </c>
    </row>
    <row r="16" customFormat="false" ht="15" hidden="false" customHeight="false" outlineLevel="0" collapsed="false">
      <c r="A16" s="0" t="s">
        <v>135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136</v>
      </c>
      <c r="C17" s="4" t="n">
        <f aca="false">-C6*Assumptions!C46/100</f>
        <v>-3482.842</v>
      </c>
      <c r="D17" s="4" t="n">
        <f aca="false">-D6*Assumptions!D46/100</f>
        <v>-4341.7176</v>
      </c>
      <c r="E17" s="4" t="n">
        <f aca="false">-E6*Assumptions!E46/100</f>
        <v>-4645.637832</v>
      </c>
      <c r="F17" s="4" t="n">
        <f aca="false">-F6*Assumptions!F46/100</f>
        <v>-4597.1489871285</v>
      </c>
      <c r="G17" s="4" t="n">
        <f aca="false">-G6*Assumptions!G46/100</f>
        <v>-4501.49530416762</v>
      </c>
      <c r="H17" s="4" t="n">
        <f aca="false">-H6*Assumptions!H46/100</f>
        <v>-4357.16337948788</v>
      </c>
      <c r="I17" s="4" t="n">
        <f aca="false">-I6*Assumptions!I46/100</f>
        <v>-4163.51167373286</v>
      </c>
      <c r="J17" s="4" t="n">
        <f aca="false">-J6*Assumptions!J46/100</f>
        <v>-3895.54612589436</v>
      </c>
      <c r="K17" s="4" t="n">
        <f aca="false">-K6*Assumptions!K46/100</f>
        <v>-3604.13903907421</v>
      </c>
      <c r="L17" s="4" t="n">
        <f aca="false">-L6*Assumptions!L46/100</f>
        <v>-3267.40196097092</v>
      </c>
    </row>
    <row r="18" customFormat="false" ht="15" hidden="false" customHeight="false" outlineLevel="0" collapsed="false">
      <c r="A18" s="0" t="s">
        <v>137</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138</v>
      </c>
      <c r="C19" s="0" t="n">
        <f aca="false">C15+C16+C17+C18</f>
        <v>5227.6444</v>
      </c>
      <c r="D19" s="0" t="n">
        <f aca="false">D15+D16+D17+D18</f>
        <v>4978.502848</v>
      </c>
      <c r="E19" s="0" t="n">
        <f aca="false">E15+E16+E17+E18</f>
        <v>5326.99804736</v>
      </c>
      <c r="F19" s="0" t="n">
        <f aca="false">F15+F16+F17+F18</f>
        <v>6023.7082243899</v>
      </c>
      <c r="G19" s="0" t="n">
        <f aca="false">G15+G16+G17+G18</f>
        <v>6756.61334004189</v>
      </c>
      <c r="H19" s="0" t="n">
        <f aca="false">H15+H16+H17+H18</f>
        <v>7520.14124015315</v>
      </c>
      <c r="I19" s="0" t="n">
        <f aca="false">I15+I16+I17+I18</f>
        <v>8307.65817689022</v>
      </c>
      <c r="J19" s="0" t="n">
        <f aca="false">J15+J16+J17+J18</f>
        <v>9136.82636800676</v>
      </c>
      <c r="K19" s="0" t="n">
        <f aca="false">K15+K16+K17+K18</f>
        <v>9949.52835458296</v>
      </c>
      <c r="L19" s="0" t="n">
        <f aca="false">L15+L16+L17+L18</f>
        <v>10760.6437914642</v>
      </c>
    </row>
    <row r="20" customFormat="false" ht="15" hidden="false" customHeight="false" outlineLevel="0" collapsed="false">
      <c r="A20" s="0" t="s">
        <v>139</v>
      </c>
      <c r="C20" s="0" t="n">
        <f aca="false">1/(1+$B$27/100)^C4</f>
        <v>0.92378752886836</v>
      </c>
      <c r="D20" s="0" t="n">
        <f aca="false">1/(1+$B$27/100)^D4</f>
        <v>0.853383398492712</v>
      </c>
      <c r="E20" s="0" t="n">
        <f aca="false">1/(1+$B$27/100)^E4</f>
        <v>0.788344940870865</v>
      </c>
      <c r="F20" s="0" t="n">
        <f aca="false">1/(1+$B$27/100)^F4</f>
        <v>0.72826322482297</v>
      </c>
      <c r="G20" s="0" t="n">
        <f aca="false">1/(1+$B$27/100)^G4</f>
        <v>0.672760484824915</v>
      </c>
      <c r="H20" s="0" t="n">
        <f aca="false">1/(1+$B$27/100)^H4</f>
        <v>0.621487745796688</v>
      </c>
      <c r="I20" s="0" t="n">
        <f aca="false">1/(1+$B$27/100)^I4</f>
        <v>0.57412262891149</v>
      </c>
      <c r="J20" s="0" t="n">
        <f aca="false">1/(1+$B$27/100)^J4</f>
        <v>0.530367324629552</v>
      </c>
      <c r="K20" s="0" t="n">
        <f aca="false">1/(1+$B$27/100)^K4</f>
        <v>0.489946720212057</v>
      </c>
      <c r="L20" s="0" t="n">
        <f aca="false">1/(1+$B$27/100)^L4</f>
        <v>0.452606669941854</v>
      </c>
    </row>
    <row r="21" customFormat="false" ht="15" hidden="false" customHeight="false" outlineLevel="0" collapsed="false">
      <c r="A21" s="0" t="s">
        <v>140</v>
      </c>
      <c r="C21" s="0" t="n">
        <f aca="false">C19*C20</f>
        <v>4829.23270207852</v>
      </c>
      <c r="D21" s="0" t="n">
        <f aca="false">D19*D20</f>
        <v>4248.57167983189</v>
      </c>
      <c r="E21" s="0" t="n">
        <f aca="false">E19*E20</f>
        <v>4199.51196066524</v>
      </c>
      <c r="F21" s="0" t="n">
        <f aca="false">F19*F20</f>
        <v>4386.84517688684</v>
      </c>
      <c r="G21" s="0" t="n">
        <f aca="false">G19*G20</f>
        <v>4545.58246642107</v>
      </c>
      <c r="H21" s="0" t="n">
        <f aca="false">H19*H20</f>
        <v>4673.67562741549</v>
      </c>
      <c r="I21" s="0" t="n">
        <f aca="false">I19*I20</f>
        <v>4769.61455261425</v>
      </c>
      <c r="J21" s="0" t="n">
        <f aca="false">J19*J20</f>
        <v>4845.87415640449</v>
      </c>
      <c r="K21" s="0" t="n">
        <f aca="false">K19*K20</f>
        <v>4874.73878498479</v>
      </c>
      <c r="L21" s="0" t="n">
        <f aca="false">L19*L20</f>
        <v>4870.33915288512</v>
      </c>
    </row>
    <row r="23" customFormat="false" ht="15" hidden="false" customHeight="false" outlineLevel="0" collapsed="false">
      <c r="A23" s="0" t="s">
        <v>116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141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142</v>
      </c>
    </row>
    <row r="27" customFormat="false" ht="15" hidden="false" customHeight="false" outlineLevel="0" collapsed="false">
      <c r="A27" s="0" t="s">
        <v>120</v>
      </c>
      <c r="B27" s="4" t="n">
        <f aca="false">Assumptions!$B$48</f>
        <v>8.25</v>
      </c>
    </row>
    <row r="28" customFormat="false" ht="15" hidden="false" customHeight="false" outlineLevel="0" collapsed="false">
      <c r="A28" s="0" t="s">
        <v>121</v>
      </c>
      <c r="B28" s="4" t="n">
        <f aca="false">Assumptions!$B$49</f>
        <v>3.5</v>
      </c>
    </row>
    <row r="29" customFormat="false" ht="15" hidden="false" customHeight="false" outlineLevel="0" collapsed="false">
      <c r="A29" s="0" t="s">
        <v>122</v>
      </c>
      <c r="B29" s="4" t="n">
        <f aca="false">Assumptions!$B$50</f>
        <v>23</v>
      </c>
    </row>
    <row r="30" customFormat="false" ht="15" hidden="false" customHeight="false" outlineLevel="0" collapsed="false">
      <c r="A30" s="0" t="s">
        <v>143</v>
      </c>
      <c r="B30" s="0" t="n">
        <f aca="false">SUM(C21:L21)</f>
        <v>46243.9862601877</v>
      </c>
    </row>
    <row r="31" customFormat="false" ht="15" hidden="false" customHeight="false" outlineLevel="0" collapsed="false">
      <c r="A31" s="0" t="s">
        <v>144</v>
      </c>
      <c r="B31" s="0" t="n">
        <f aca="false">L19</f>
        <v>10760.6437914642</v>
      </c>
    </row>
    <row r="32" customFormat="false" ht="15" hidden="false" customHeight="false" outlineLevel="0" collapsed="false">
      <c r="A32" s="0" t="s">
        <v>145</v>
      </c>
      <c r="B32" s="0" t="n">
        <f aca="false">IF(B27&gt;B28,B31*(1+B28/100)/((B27-B28)/100),B31*B29)</f>
        <v>234468.764719273</v>
      </c>
    </row>
    <row r="33" customFormat="false" ht="15" hidden="false" customHeight="false" outlineLevel="0" collapsed="false">
      <c r="A33" s="0" t="s">
        <v>146</v>
      </c>
      <c r="B33" s="0" t="n">
        <f aca="false">B31*B29</f>
        <v>247494.807203678</v>
      </c>
    </row>
    <row r="34" customFormat="false" ht="15" hidden="false" customHeight="false" outlineLevel="0" collapsed="false">
      <c r="A34" s="0" t="s">
        <v>147</v>
      </c>
      <c r="B34" s="0" t="n">
        <f aca="false">MAX(0,MIN(B32,B33))</f>
        <v>234468.764719273</v>
      </c>
    </row>
    <row r="35" customFormat="false" ht="15" hidden="false" customHeight="false" outlineLevel="0" collapsed="false">
      <c r="A35" s="0" t="s">
        <v>148</v>
      </c>
      <c r="B35" s="0" t="n">
        <f aca="false">B34/(1+B27/100)^L4</f>
        <v>106122.12680497</v>
      </c>
    </row>
    <row r="36" customFormat="false" ht="15" hidden="false" customHeight="false" outlineLevel="0" collapsed="false">
      <c r="A36" s="0" t="s">
        <v>149</v>
      </c>
      <c r="B36" s="0" t="n">
        <f aca="false">B30+B35</f>
        <v>152366.113065158</v>
      </c>
    </row>
    <row r="37" customFormat="false" ht="15" hidden="false" customHeight="false" outlineLevel="0" collapsed="false">
      <c r="A37" s="0" t="s">
        <v>150</v>
      </c>
      <c r="B37" s="0" t="n">
        <f aca="false">B36+Assumptions!$B$5-Assumptions!$B$4</f>
        <v>152366.113065158</v>
      </c>
    </row>
    <row r="38" customFormat="false" ht="15" hidden="false" customHeight="false" outlineLevel="0" collapsed="false">
      <c r="A38" s="0" t="s">
        <v>151</v>
      </c>
      <c r="B38" s="0" t="n">
        <f aca="false">B37/Assumptions!$B$3*Assumptions!$B$10</f>
        <v>33.8967993470875</v>
      </c>
    </row>
    <row r="39" customFormat="false" ht="15" hidden="false" customHeight="false" outlineLevel="0" collapsed="false">
      <c r="A39" s="0" t="s">
        <v>152</v>
      </c>
      <c r="B39" s="4" t="n">
        <f aca="false">B38/Assumptions!$B$2-1</f>
        <v>0.168855149899568</v>
      </c>
    </row>
    <row r="41" customFormat="false" ht="15" hidden="false" customHeight="false" outlineLevel="0" collapsed="false">
      <c r="A41" s="0" t="s">
        <v>153</v>
      </c>
      <c r="B41" s="0" t="n">
        <f aca="false">SUMPRODUCT(-C10:L10/(1+$B$27/100)^C4:L4)</f>
        <v>571.539705672875</v>
      </c>
    </row>
    <row r="42" customFormat="false" ht="15" hidden="false" customHeight="false" outlineLevel="0" collapsed="false">
      <c r="A42" s="0" t="s">
        <v>154</v>
      </c>
      <c r="B42" s="0" t="n">
        <f aca="false">IF(B27&gt;B28,-L10*(1+B28/100)/((B27-B28)/100),-L10*20)/(1+B27/100)^L4</f>
        <v>1074.11059519201</v>
      </c>
    </row>
    <row r="43" customFormat="false" ht="15" hidden="false" customHeight="false" outlineLevel="0" collapsed="false">
      <c r="A43" s="0" t="s">
        <v>155</v>
      </c>
      <c r="B43" s="0" t="n">
        <f aca="false">(B37+B41+B42)/Assumptions!$B$3*Assumptions!$B$10</f>
        <v>34.2629061993377</v>
      </c>
    </row>
    <row r="45" customFormat="false" ht="15" hidden="false" customHeight="false" outlineLevel="0" collapsed="false">
      <c r="A45" s="0" t="s">
        <v>95</v>
      </c>
      <c r="B45" s="4" t="n">
        <f aca="false">Assumptions!$B$6</f>
        <v>15</v>
      </c>
    </row>
    <row r="46" customFormat="false" ht="15" hidden="false" customHeight="false" outlineLevel="0" collapsed="false">
      <c r="A46" s="0" t="s">
        <v>156</v>
      </c>
      <c r="B46" s="0" t="n">
        <f aca="false">MAX(0,MIN(IF(B45&gt;B28,B31*(1+B28/100)/((B45-B28)/100),B31*B29),B31*B29))</f>
        <v>96845.7941231782</v>
      </c>
    </row>
    <row r="47" customFormat="false" ht="15" hidden="false" customHeight="false" outlineLevel="0" collapsed="false">
      <c r="A47" s="0" t="s">
        <v>157</v>
      </c>
      <c r="B47" s="0" t="n">
        <f aca="false">(SUMPRODUCT(C19:L19/(1+B45/100)^C4:L4)+B46/(1+B45/100)^L4+Assumptions!$B$5-Assumptions!$B$4)/Assumptions!$B$3*Assumptions!$B$10</f>
        <v>12.7706880827385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160</v>
      </c>
    </row>
    <row r="3" customFormat="false" ht="15" hidden="false" customHeight="false" outlineLevel="0" collapsed="false">
      <c r="A3" s="2" t="s">
        <v>161</v>
      </c>
      <c r="B3" s="2" t="s">
        <v>162</v>
      </c>
      <c r="C3" s="2" t="s">
        <v>152</v>
      </c>
      <c r="D3" s="2" t="s">
        <v>163</v>
      </c>
      <c r="E3" s="2" t="s">
        <v>155</v>
      </c>
      <c r="F3" s="2" t="s">
        <v>164</v>
      </c>
    </row>
    <row r="4" customFormat="false" ht="15" hidden="false" customHeight="false" outlineLevel="0" collapsed="false">
      <c r="A4" s="0" t="s">
        <v>165</v>
      </c>
      <c r="B4" s="4" t="n">
        <f aca="false">DCF_Bear!$B$38</f>
        <v>20.0258534246113</v>
      </c>
      <c r="C4" s="0" t="n">
        <f aca="false">B4/Assumptions!$B$2-1</f>
        <v>-0.309453330185816</v>
      </c>
      <c r="D4" s="4" t="n">
        <f aca="false">Assumptions!$B$24</f>
        <v>0.25</v>
      </c>
      <c r="E4" s="4" t="n">
        <f aca="false">DCF_Bear!$B$43</f>
        <v>20.2722522386477</v>
      </c>
      <c r="F4" s="4" t="n">
        <f aca="false">DCF_Bear!$B$47</f>
        <v>10.1917739489532</v>
      </c>
    </row>
    <row r="5" customFormat="false" ht="15" hidden="false" customHeight="false" outlineLevel="0" collapsed="false">
      <c r="A5" s="0" t="s">
        <v>166</v>
      </c>
      <c r="B5" s="4" t="n">
        <f aca="false">DCF_Base!$B$38</f>
        <v>28.110803244557</v>
      </c>
      <c r="C5" s="0" t="n">
        <f aca="false">B5/Assumptions!$B$2-1</f>
        <v>-0.0306619570842429</v>
      </c>
      <c r="D5" s="4" t="n">
        <f aca="false">Assumptions!$B$38</f>
        <v>0.5</v>
      </c>
      <c r="E5" s="4" t="n">
        <f aca="false">DCF_Base!$B$43</f>
        <v>28.4179468222696</v>
      </c>
      <c r="F5" s="4" t="n">
        <f aca="false">DCF_Base!$B$47</f>
        <v>11.6593051573507</v>
      </c>
    </row>
    <row r="6" customFormat="false" ht="15" hidden="false" customHeight="false" outlineLevel="0" collapsed="false">
      <c r="A6" s="0" t="s">
        <v>167</v>
      </c>
      <c r="B6" s="4" t="n">
        <f aca="false">DCF_Bull!$B$38</f>
        <v>33.8967993470875</v>
      </c>
      <c r="C6" s="0" t="n">
        <f aca="false">B6/Assumptions!$B$2-1</f>
        <v>0.168855149899568</v>
      </c>
      <c r="D6" s="4" t="n">
        <f aca="false">Assumptions!$B$52</f>
        <v>0.25</v>
      </c>
      <c r="E6" s="4" t="n">
        <f aca="false">DCF_Bull!$B$43</f>
        <v>34.2629061993377</v>
      </c>
      <c r="F6" s="4" t="n">
        <f aca="false">DCF_Bull!$B$47</f>
        <v>12.7706880827385</v>
      </c>
    </row>
    <row r="8" customFormat="false" ht="15" hidden="false" customHeight="false" outlineLevel="0" collapsed="false">
      <c r="A8" s="0" t="s">
        <v>168</v>
      </c>
      <c r="B8" s="0" t="n">
        <f aca="false">SUMPRODUCT(B4:B6,D4:D6)</f>
        <v>27.5360648152032</v>
      </c>
    </row>
    <row r="9" customFormat="false" ht="15" hidden="false" customHeight="false" outlineLevel="0" collapsed="false">
      <c r="A9" s="0" t="s">
        <v>169</v>
      </c>
      <c r="B9" s="0" t="n">
        <f aca="false">SUMPRODUCT(E4:E6,D4:D6)</f>
        <v>27.8427630206312</v>
      </c>
    </row>
    <row r="10" customFormat="false" ht="15" hidden="false" customHeight="false" outlineLevel="0" collapsed="false">
      <c r="A10" s="0" t="s">
        <v>170</v>
      </c>
      <c r="B10" s="0" t="n">
        <f aca="false">1-Assumptions!$B$2/B8</f>
        <v>-0.0531642845345337</v>
      </c>
    </row>
    <row r="11" customFormat="false" ht="15" hidden="false" customHeight="false" outlineLevel="0" collapsed="false">
      <c r="A11" s="0" t="s">
        <v>171</v>
      </c>
      <c r="B11" s="0" t="n">
        <f aca="false">IF(ABS(B9-B8)&gt;0.01*ABS(B8),(Assumptions!$B$2-B8)/(B9-B8)*100,"n/a")</f>
        <v>477.321079448105</v>
      </c>
    </row>
    <row r="12" customFormat="false" ht="15" hidden="false" customHeight="false" outlineLevel="0" collapsed="false">
      <c r="A12" s="0" t="s">
        <v>172</v>
      </c>
      <c r="B12" s="0" t="n">
        <f aca="false">SUMPRODUCT(F4:F6,D4:D6)</f>
        <v>11.5702680865983</v>
      </c>
    </row>
    <row r="14" customFormat="false" ht="15" hidden="false" customHeight="false" outlineLevel="0" collapsed="false">
      <c r="A14" s="2" t="s">
        <v>173</v>
      </c>
      <c r="C14" s="0" t="s">
        <v>174</v>
      </c>
    </row>
    <row r="15" customFormat="false" ht="15" hidden="false" customHeight="false" outlineLevel="0" collapsed="false">
      <c r="A15" s="0" t="s">
        <v>175</v>
      </c>
      <c r="B15" s="0" t="n">
        <f aca="false">(SUMPRODUCT(DCF_Base!$C$19:$L$19/(1+$C$15/100)^DCF_Base!$C$4:$L$4)+MAX(0,MIN(IF($C$15&gt;DCF_Base!$B$28,DCF_Base!$L$19*(1+DCF_Base!$B$28/100)/(($C$15-DCF_Base!$B$28)/100),DCF_Base!$L$19*DCF_Base!$B$29),DCF_Base!$L$19*DCF_Base!$B$29))/(1+$C$15/100)^DCF_Base!$L$4+Assumptions!$B$5-Assumptions!$B$4)/Assumptions!$B$3*Assumptions!$B$10</f>
        <v>28.110803244557</v>
      </c>
      <c r="C15" s="3" t="n">
        <v>8.25</v>
      </c>
    </row>
    <row r="16" customFormat="false" ht="15" hidden="false" customHeight="false" outlineLevel="0" collapsed="false">
      <c r="A16" s="0" t="s">
        <v>176</v>
      </c>
      <c r="B16" s="0" t="n">
        <f aca="false">(SUMPRODUCT(DCF_Base!$C$19:$L$19/(1+$C$16/100)^DCF_Base!$C$4:$L$4)+MAX(0,MIN(IF($C$16&gt;DCF_Base!$B$28,DCF_Base!$L$19*(1+DCF_Base!$B$28/100)/(($C$16-DCF_Base!$B$28)/100),DCF_Base!$L$19*DCF_Base!$B$29),DCF_Base!$L$19*DCF_Base!$B$29))/(1+$C$16/100)^DCF_Base!$L$4+Assumptions!$B$5-Assumptions!$B$4)/Assumptions!$B$3*Assumptions!$B$10</f>
        <v>24.4203062423139</v>
      </c>
      <c r="C16" s="3" t="n">
        <v>9</v>
      </c>
    </row>
    <row r="17" customFormat="false" ht="15" hidden="false" customHeight="false" outlineLevel="0" collapsed="false">
      <c r="A17" s="0" t="s">
        <v>177</v>
      </c>
      <c r="B17" s="0" t="n">
        <f aca="false">(SUMPRODUCT(DCF_Base!$C$19:$L$19/(1+$C$17/100)^DCF_Base!$C$4:$L$4)+MAX(0,MIN(IF($C$17&gt;DCF_Base!$B$28,DCF_Base!$L$19*(1+DCF_Base!$B$28/100)/(($C$17-DCF_Base!$B$28)/100),DCF_Base!$L$19*DCF_Base!$B$29),DCF_Base!$L$19*DCF_Base!$B$29))/(1+$C$17/100)^DCF_Base!$L$4+Assumptions!$B$5-Assumptions!$B$4)/Assumptions!$B$3*Assumptions!$B$10</f>
        <v>20.7430022202552</v>
      </c>
      <c r="C17" s="3" t="n">
        <v>10</v>
      </c>
    </row>
    <row r="18" customFormat="false" ht="15" hidden="false" customHeight="false" outlineLevel="0" collapsed="false">
      <c r="A18" s="0" t="s">
        <v>178</v>
      </c>
      <c r="B18" s="0" t="n">
        <f aca="false">(SUMPRODUCT(DCF_Base!$C$19:$L$19/(1+$C$18/100)^DCF_Base!$C$4:$L$4)+MAX(0,MIN(IF($C$18&gt;DCF_Base!$B$28,DCF_Base!$L$19*(1+DCF_Base!$B$28/100)/(($C$18-DCF_Base!$B$28)/100),DCF_Base!$L$19*DCF_Base!$B$29),DCF_Base!$L$19*DCF_Base!$B$29))/(1+$C$18/100)^DCF_Base!$L$4+Assumptions!$B$5-Assumptions!$B$4)/Assumptions!$B$3*Assumptions!$B$10</f>
        <v>17.9972193719365</v>
      </c>
      <c r="C18" s="3" t="n">
        <v>11</v>
      </c>
    </row>
    <row r="19" customFormat="false" ht="15" hidden="false" customHeight="false" outlineLevel="0" collapsed="false">
      <c r="A19" s="0" t="s">
        <v>179</v>
      </c>
      <c r="B19" s="0" t="n">
        <f aca="false">(SUMPRODUCT(DCF_Base!$C$19:$L$19/(1+$C$19/100)^DCF_Base!$C$4:$L$4)+MAX(0,MIN(IF($C$19&gt;DCF_Base!$B$28,DCF_Base!$L$19*(1+DCF_Base!$B$28/100)/(($C$19-DCF_Base!$B$28)/100),DCF_Base!$L$19*DCF_Base!$B$29),DCF_Base!$L$19*DCF_Base!$B$29))/(1+$C$19/100)^DCF_Base!$L$4+Assumptions!$B$5-Assumptions!$B$4)/Assumptions!$B$3*Assumptions!$B$10</f>
        <v>15.8715666755631</v>
      </c>
      <c r="C19" s="3" t="n">
        <v>12</v>
      </c>
    </row>
    <row r="20" customFormat="false" ht="15" hidden="false" customHeight="false" outlineLevel="0" collapsed="false">
      <c r="A20" s="0" t="s">
        <v>180</v>
      </c>
      <c r="B20" s="0" t="n">
        <f aca="false">(SUMPRODUCT(DCF_Base!$C$19:$L$19/(1+$C$20/100)^DCF_Base!$C$4:$L$4)+MAX(0,MIN(IF($C$20&gt;DCF_Base!$B$28,DCF_Base!$L$19*(1+DCF_Base!$B$28/100)/(($C$20-DCF_Base!$B$28)/100),DCF_Base!$L$19*DCF_Base!$B$29),DCF_Base!$L$19*DCF_Base!$B$29))/(1+$C$20/100)^DCF_Base!$L$4+Assumptions!$B$5-Assumptions!$B$4)/Assumptions!$B$3*Assumptions!$B$10</f>
        <v>11.6593051573507</v>
      </c>
      <c r="C20" s="3" t="n">
        <v>15</v>
      </c>
    </row>
    <row r="22" customFormat="false" ht="15" hidden="false" customHeight="false" outlineLevel="0" collapsed="false">
      <c r="A22" s="2" t="s">
        <v>181</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6.25</v>
      </c>
      <c r="B24" s="0" t="n">
        <f aca="false">(SUMPRODUCT(DCF_Base!$C$19:$L$19/(1+$A$24/100)^DCF_Base!$C$4:$L$4)+MAX(0,MIN(IF($A$24&gt;$B$23,DCF_Base!$L$19*(1+$B$23/100)/(($A$24-$B$23)/100),DCF_Base!$L$19*DCF_Base!$B$29),DCF_Base!$L$19*DCF_Base!$B$29))/(1+$A$24/100)^DCF_Base!$L$4+Assumptions!$B$5-Assumptions!$B$4)/Assumptions!$B$3*Assumptions!$B$10</f>
        <v>34.4290041793405</v>
      </c>
      <c r="C24" s="0" t="n">
        <f aca="false">(SUMPRODUCT(DCF_Base!$C$19:$L$19/(1+$A$24/100)^DCF_Base!$C$4:$L$4)+MAX(0,MIN(IF($A$24&gt;$C$23,DCF_Base!$L$19*(1+$C$23/100)/(($A$24-$C$23)/100),DCF_Base!$L$19*DCF_Base!$B$29),DCF_Base!$L$19*DCF_Base!$B$29))/(1+$A$24/100)^DCF_Base!$L$4+Assumptions!$B$5-Assumptions!$B$4)/Assumptions!$B$3*Assumptions!$B$10</f>
        <v>34.4290041793405</v>
      </c>
      <c r="D24" s="0" t="n">
        <f aca="false">(SUMPRODUCT(DCF_Base!$C$19:$L$19/(1+$A$24/100)^DCF_Base!$C$4:$L$4)+MAX(0,MIN(IF($A$24&gt;$D$23,DCF_Base!$L$19*(1+$D$23/100)/(($A$24-$D$23)/100),DCF_Base!$L$19*DCF_Base!$B$29),DCF_Base!$L$19*DCF_Base!$B$29))/(1+$A$24/100)^DCF_Base!$L$4+Assumptions!$B$5-Assumptions!$B$4)/Assumptions!$B$3*Assumptions!$B$10</f>
        <v>34.4290041793405</v>
      </c>
      <c r="E24" s="0" t="n">
        <f aca="false">(SUMPRODUCT(DCF_Base!$C$19:$L$19/(1+$A$24/100)^DCF_Base!$C$4:$L$4)+MAX(0,MIN(IF($A$24&gt;$E$23,DCF_Base!$L$19*(1+$E$23/100)/(($A$24-$E$23)/100),DCF_Base!$L$19*DCF_Base!$B$29),DCF_Base!$L$19*DCF_Base!$B$29))/(1+$A$24/100)^DCF_Base!$L$4+Assumptions!$B$5-Assumptions!$B$4)/Assumptions!$B$3*Assumptions!$B$10</f>
        <v>34.4290041793405</v>
      </c>
      <c r="F24" s="0" t="n">
        <f aca="false">(SUMPRODUCT(DCF_Base!$C$19:$L$19/(1+$A$24/100)^DCF_Base!$C$4:$L$4)+MAX(0,MIN(IF($A$24&gt;$F$23,DCF_Base!$L$19*(1+$F$23/100)/(($A$24-$F$23)/100),DCF_Base!$L$19*DCF_Base!$B$29),DCF_Base!$L$19*DCF_Base!$B$29))/(1+$A$24/100)^DCF_Base!$L$4+Assumptions!$B$5-Assumptions!$B$4)/Assumptions!$B$3*Assumptions!$B$10</f>
        <v>34.4290041793405</v>
      </c>
    </row>
    <row r="25" customFormat="false" ht="15" hidden="false" customHeight="false" outlineLevel="0" collapsed="false">
      <c r="A25" s="3" t="n">
        <v>7.25</v>
      </c>
      <c r="B25" s="0" t="n">
        <f aca="false">(SUMPRODUCT(DCF_Base!$C$19:$L$19/(1+$A$25/100)^DCF_Base!$C$4:$L$4)+MAX(0,MIN(IF($A$25&gt;$B$23,DCF_Base!$L$19*(1+$B$23/100)/(($A$25-$B$23)/100),DCF_Base!$L$19*DCF_Base!$B$29),DCF_Base!$L$19*DCF_Base!$B$29))/(1+$A$25/100)^DCF_Base!$L$4+Assumptions!$B$5-Assumptions!$B$4)/Assumptions!$B$3*Assumptions!$B$10</f>
        <v>30.1894037355036</v>
      </c>
      <c r="C25" s="0" t="n">
        <f aca="false">(SUMPRODUCT(DCF_Base!$C$19:$L$19/(1+$A$25/100)^DCF_Base!$C$4:$L$4)+MAX(0,MIN(IF($A$25&gt;$C$23,DCF_Base!$L$19*(1+$C$23/100)/(($A$25-$C$23)/100),DCF_Base!$L$19*DCF_Base!$B$29),DCF_Base!$L$19*DCF_Base!$B$29))/(1+$A$25/100)^DCF_Base!$L$4+Assumptions!$B$5-Assumptions!$B$4)/Assumptions!$B$3*Assumptions!$B$10</f>
        <v>31.7886289847795</v>
      </c>
      <c r="D25" s="0" t="n">
        <f aca="false">(SUMPRODUCT(DCF_Base!$C$19:$L$19/(1+$A$25/100)^DCF_Base!$C$4:$L$4)+MAX(0,MIN(IF($A$25&gt;$D$23,DCF_Base!$L$19*(1+$D$23/100)/(($A$25-$D$23)/100),DCF_Base!$L$19*DCF_Base!$B$29),DCF_Base!$L$19*DCF_Base!$B$29))/(1+$A$25/100)^DCF_Base!$L$4+Assumptions!$B$5-Assumptions!$B$4)/Assumptions!$B$3*Assumptions!$B$10</f>
        <v>31.7886289847795</v>
      </c>
      <c r="E25" s="0" t="n">
        <f aca="false">(SUMPRODUCT(DCF_Base!$C$19:$L$19/(1+$A$25/100)^DCF_Base!$C$4:$L$4)+MAX(0,MIN(IF($A$25&gt;$E$23,DCF_Base!$L$19*(1+$E$23/100)/(($A$25-$E$23)/100),DCF_Base!$L$19*DCF_Base!$B$29),DCF_Base!$L$19*DCF_Base!$B$29))/(1+$A$25/100)^DCF_Base!$L$4+Assumptions!$B$5-Assumptions!$B$4)/Assumptions!$B$3*Assumptions!$B$10</f>
        <v>31.7886289847795</v>
      </c>
      <c r="F25" s="0" t="n">
        <f aca="false">(SUMPRODUCT(DCF_Base!$C$19:$L$19/(1+$A$25/100)^DCF_Base!$C$4:$L$4)+MAX(0,MIN(IF($A$25&gt;$F$23,DCF_Base!$L$19*(1+$F$23/100)/(($A$25-$F$23)/100),DCF_Base!$L$19*DCF_Base!$B$29),DCF_Base!$L$19*DCF_Base!$B$29))/(1+$A$25/100)^DCF_Base!$L$4+Assumptions!$B$5-Assumptions!$B$4)/Assumptions!$B$3*Assumptions!$B$10</f>
        <v>31.7886289847795</v>
      </c>
    </row>
    <row r="26" customFormat="false" ht="15" hidden="false" customHeight="false" outlineLevel="0" collapsed="false">
      <c r="A26" s="3" t="n">
        <v>8.25</v>
      </c>
      <c r="B26" s="0" t="n">
        <f aca="false">(SUMPRODUCT(DCF_Base!$C$19:$L$19/(1+$A$26/100)^DCF_Base!$C$4:$L$4)+MAX(0,MIN(IF($A$26&gt;$B$23,DCF_Base!$L$19*(1+$B$23/100)/(($A$26-$B$23)/100),DCF_Base!$L$19*DCF_Base!$B$29),DCF_Base!$L$19*DCF_Base!$B$29))/(1+$A$26/100)^DCF_Base!$L$4+Assumptions!$B$5-Assumptions!$B$4)/Assumptions!$B$3*Assumptions!$B$10</f>
        <v>25.0509715740461</v>
      </c>
      <c r="C26" s="0" t="n">
        <f aca="false">(SUMPRODUCT(DCF_Base!$C$19:$L$19/(1+$A$26/100)^DCF_Base!$C$4:$L$4)+MAX(0,MIN(IF($A$26&gt;$C$23,DCF_Base!$L$19*(1+$C$23/100)/(($A$26-$C$23)/100),DCF_Base!$L$19*DCF_Base!$B$29),DCF_Base!$L$19*DCF_Base!$B$29))/(1+$A$26/100)^DCF_Base!$L$4+Assumptions!$B$5-Assumptions!$B$4)/Assumptions!$B$3*Assumptions!$B$10</f>
        <v>26.4478512497141</v>
      </c>
      <c r="D26" s="0" t="n">
        <f aca="false">(SUMPRODUCT(DCF_Base!$C$19:$L$19/(1+$A$26/100)^DCF_Base!$C$4:$L$4)+MAX(0,MIN(IF($A$26&gt;$D$23,DCF_Base!$L$19*(1+$D$23/100)/(($A$26-$D$23)/100),DCF_Base!$L$19*DCF_Base!$B$29),DCF_Base!$L$19*DCF_Base!$B$29))/(1+$A$26/100)^DCF_Base!$L$4+Assumptions!$B$5-Assumptions!$B$4)/Assumptions!$B$3*Assumptions!$B$10</f>
        <v>28.110803244557</v>
      </c>
      <c r="E26" s="0" t="n">
        <f aca="false">(SUMPRODUCT(DCF_Base!$C$19:$L$19/(1+$A$26/100)^DCF_Base!$C$4:$L$4)+MAX(0,MIN(IF($A$26&gt;$E$23,DCF_Base!$L$19*(1+$E$23/100)/(($A$26-$E$23)/100),DCF_Base!$L$19*DCF_Base!$B$29),DCF_Base!$L$19*DCF_Base!$B$29))/(1+$A$26/100)^DCF_Base!$L$4+Assumptions!$B$5-Assumptions!$B$4)/Assumptions!$B$3*Assumptions!$B$10</f>
        <v>29.3916219288066</v>
      </c>
      <c r="F26" s="0" t="n">
        <f aca="false">(SUMPRODUCT(DCF_Base!$C$19:$L$19/(1+$A$26/100)^DCF_Base!$C$4:$L$4)+MAX(0,MIN(IF($A$26&gt;$F$23,DCF_Base!$L$19*(1+$F$23/100)/(($A$26-$F$23)/100),DCF_Base!$L$19*DCF_Base!$B$29),DCF_Base!$L$19*DCF_Base!$B$29))/(1+$A$26/100)^DCF_Base!$L$4+Assumptions!$B$5-Assumptions!$B$4)/Assumptions!$B$3*Assumptions!$B$10</f>
        <v>29.3916219288066</v>
      </c>
    </row>
    <row r="27" customFormat="false" ht="15" hidden="false" customHeight="false" outlineLevel="0" collapsed="false">
      <c r="A27" s="3" t="n">
        <v>9.25</v>
      </c>
      <c r="B27" s="0" t="n">
        <f aca="false">(SUMPRODUCT(DCF_Base!$C$19:$L$19/(1+$A$27/100)^DCF_Base!$C$4:$L$4)+MAX(0,MIN(IF($A$27&gt;$B$23,DCF_Base!$L$19*(1+$B$23/100)/(($A$27-$B$23)/100),DCF_Base!$L$19*DCF_Base!$B$29),DCF_Base!$L$19*DCF_Base!$B$29))/(1+$A$27/100)^DCF_Base!$L$4+Assumptions!$B$5-Assumptions!$B$4)/Assumptions!$B$3*Assumptions!$B$10</f>
        <v>21.3493732436199</v>
      </c>
      <c r="C27" s="0" t="n">
        <f aca="false">(SUMPRODUCT(DCF_Base!$C$19:$L$19/(1+$A$27/100)^DCF_Base!$C$4:$L$4)+MAX(0,MIN(IF($A$27&gt;$C$23,DCF_Base!$L$19*(1+$C$23/100)/(($A$27-$C$23)/100),DCF_Base!$L$19*DCF_Base!$B$29),DCF_Base!$L$19*DCF_Base!$B$29))/(1+$A$27/100)^DCF_Base!$L$4+Assumptions!$B$5-Assumptions!$B$4)/Assumptions!$B$3*Assumptions!$B$10</f>
        <v>22.2937020015153</v>
      </c>
      <c r="D27" s="0" t="n">
        <f aca="false">(SUMPRODUCT(DCF_Base!$C$19:$L$19/(1+$A$27/100)^DCF_Base!$C$4:$L$4)+MAX(0,MIN(IF($A$27&gt;$D$23,DCF_Base!$L$19*(1+$D$23/100)/(($A$27-$D$23)/100),DCF_Base!$L$19*DCF_Base!$B$29),DCF_Base!$L$19*DCF_Base!$B$29))/(1+$A$27/100)^DCF_Base!$L$4+Assumptions!$B$5-Assumptions!$B$4)/Assumptions!$B$3*Assumptions!$B$10</f>
        <v>23.389123360674</v>
      </c>
      <c r="E27" s="0" t="n">
        <f aca="false">(SUMPRODUCT(DCF_Base!$C$19:$L$19/(1+$A$27/100)^DCF_Base!$C$4:$L$4)+MAX(0,MIN(IF($A$27&gt;$E$23,DCF_Base!$L$19*(1+$E$23/100)/(($A$27-$E$23)/100),DCF_Base!$L$19*DCF_Base!$B$29),DCF_Base!$L$19*DCF_Base!$B$29))/(1+$A$27/100)^DCF_Base!$L$4+Assumptions!$B$5-Assumptions!$B$4)/Assumptions!$B$3*Assumptions!$B$10</f>
        <v>24.6750527822951</v>
      </c>
      <c r="F27" s="0" t="n">
        <f aca="false">(SUMPRODUCT(DCF_Base!$C$19:$L$19/(1+$A$27/100)^DCF_Base!$C$4:$L$4)+MAX(0,MIN(IF($A$27&gt;$F$23,DCF_Base!$L$19*(1+$F$23/100)/(($A$27-$F$23)/100),DCF_Base!$L$19*DCF_Base!$B$29),DCF_Base!$L$19*DCF_Base!$B$29))/(1+$A$27/100)^DCF_Base!$L$4+Assumptions!$B$5-Assumptions!$B$4)/Assumptions!$B$3*Assumptions!$B$10</f>
        <v>26.2059211413678</v>
      </c>
    </row>
    <row r="28" customFormat="false" ht="15" hidden="false" customHeight="false" outlineLevel="0" collapsed="false">
      <c r="A28" s="3" t="n">
        <v>10.25</v>
      </c>
      <c r="B28" s="0" t="n">
        <f aca="false">(SUMPRODUCT(DCF_Base!$C$19:$L$19/(1+$A$28/100)^DCF_Base!$C$4:$L$4)+MAX(0,MIN(IF($A$28&gt;$B$23,DCF_Base!$L$19*(1+$B$23/100)/(($A$28-$B$23)/100),DCF_Base!$L$19*DCF_Base!$B$29),DCF_Base!$L$19*DCF_Base!$B$29))/(1+$A$28/100)^DCF_Base!$L$4+Assumptions!$B$5-Assumptions!$B$4)/Assumptions!$B$3*Assumptions!$B$10</f>
        <v>18.56072574817</v>
      </c>
      <c r="C28" s="0" t="n">
        <f aca="false">(SUMPRODUCT(DCF_Base!$C$19:$L$19/(1+$A$28/100)^DCF_Base!$C$4:$L$4)+MAX(0,MIN(IF($A$28&gt;$C$23,DCF_Base!$L$19*(1+$C$23/100)/(($A$28-$C$23)/100),DCF_Base!$L$19*DCF_Base!$B$29),DCF_Base!$L$19*DCF_Base!$B$29))/(1+$A$28/100)^DCF_Base!$L$4+Assumptions!$B$5-Assumptions!$B$4)/Assumptions!$B$3*Assumptions!$B$10</f>
        <v>19.2266042158163</v>
      </c>
      <c r="D28" s="0" t="n">
        <f aca="false">(SUMPRODUCT(DCF_Base!$C$19:$L$19/(1+$A$28/100)^DCF_Base!$C$4:$L$4)+MAX(0,MIN(IF($A$28&gt;$D$23,DCF_Base!$L$19*(1+$D$23/100)/(($A$28-$D$23)/100),DCF_Base!$L$19*DCF_Base!$B$29),DCF_Base!$L$19*DCF_Base!$B$29))/(1+$A$28/100)^DCF_Base!$L$4+Assumptions!$B$5-Assumptions!$B$4)/Assumptions!$B$3*Assumptions!$B$10</f>
        <v>19.9843279893449</v>
      </c>
      <c r="E28" s="0" t="n">
        <f aca="false">(SUMPRODUCT(DCF_Base!$C$19:$L$19/(1+$A$28/100)^DCF_Base!$C$4:$L$4)+MAX(0,MIN(IF($A$28&gt;$E$23,DCF_Base!$L$19*(1+$E$23/100)/(($A$28-$E$23)/100),DCF_Base!$L$19*DCF_Base!$B$29),DCF_Base!$L$19*DCF_Base!$B$29))/(1+$A$28/100)^DCF_Base!$L$4+Assumptions!$B$5-Assumptions!$B$4)/Assumptions!$B$3*Assumptions!$B$10</f>
        <v>20.8543071367296</v>
      </c>
      <c r="F28" s="0" t="n">
        <f aca="false">(SUMPRODUCT(DCF_Base!$C$19:$L$19/(1+$A$28/100)^DCF_Base!$C$4:$L$4)+MAX(0,MIN(IF($A$28&gt;$F$23,DCF_Base!$L$19*(1+$F$23/100)/(($A$28-$F$23)/100),DCF_Base!$L$19*DCF_Base!$B$29),DCF_Base!$L$19*DCF_Base!$B$29))/(1+$A$28/100)^DCF_Base!$L$4+Assumptions!$B$5-Assumptions!$B$4)/Assumptions!$B$3*Assumptions!$B$10</f>
        <v>21.8634829476958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2026-10-24T05:46:26Z</dcterms:created>
  <dc:creator>openpyxl</dc:creator>
  <dc:description/>
  <dc:language>en-NZ</dc:language>
  <cp:lastModifiedBy/>
  <dcterms:modified xsi:type="dcterms:W3CDTF">2026-10-24T05:46:26Z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