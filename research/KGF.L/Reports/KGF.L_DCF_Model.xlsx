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<sst xmlns="http://schemas.openxmlformats.org/spreadsheetml/2006/main" count="365" uniqueCount="169">
  <si>
    <t xml:space="preserve">Ticker</t>
  </si>
  <si>
    <t xml:space="preserve">KGF.L</t>
  </si>
  <si>
    <t xml:space="preserve">Company</t>
  </si>
  <si>
    <t xml:space="preserve">Kingfisher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</si>
  <si>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</si>
  <si>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</si>
  <si>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</si>
  <si>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</si>
  <si>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2026-10-09T15:49:17Z (LSE regular session close, 9 Oct 2026; Yahoo chart API, currency GBp, 52-week range 266.4-372.3)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</si>
  <si>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</si>
  <si>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</si>
  <si>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</si>
  <si>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</si>
  <si>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</si>
  <si>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</si>
  <si>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</si>
  <si>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</si>
  <si>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</si>
  <si>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</si>
  <si>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</si>
  <si>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</si>
  <si>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</si>
  <si>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2026-10-10T00:50:40Z</t>
  </si>
  <si>
    <t xml:space="preserve">Drivers file</t>
  </si>
  <si>
    <t xml:space="preserve">KGF.L_Drivers.json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</si>
  <si>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</si>
  <si>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</si>
  <si>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</si>
  <si>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Kingfisher as a stream of owner free cash flow after the real cost of its stores: IFRS 16 lease cash (GBP ~500m a year, 3.8% of sales) is charged through the flows and lease liabilities are kept out of the bridge, SBC (small, 0.2% of sales) is expensed and the share count held flat, interest income is stripped because the net cash it earns is added in the bridge, and cash tax is normalised to the 26% guided rate rather than the FY25/26 windfall-depressed GBP 65m. The forward margin is built from components anchored on the FY2024-26 run-rate and the raised FY26/27 guidance, not on the COVID-era FY2021-22 peak or the impairment-laden FY2020 trough. Three scenarios turn on the two axes that actually decide the stock: whether France recovers toward the 5-7% margin target, and whether the UK consumer and Screwfix hold up. Discounted at a GBP WACC of 9% with a 14x terminal cap, and no second risk premium stacked on top of the scenario weights.
key_risks_to_valuation: Lease treatment: charging GBP ~500m of lease cash through the flows is the single largest adjustment; a reader comparing against the company's GBP 500m+ FCF or EV/EBITDA on post-IFRS-16 EBITDA (1,321m) must use lease-consistent multiples (ex-lease EV vs EBITDA less lease cash, ~GBP 824m); Working capital: the component build assumes zero structural release; FY2024-26 benefited from GBP 80-100m/yr inventory reductions and the company's FY26/27 FCF guidance embeds more. If releases persist for several years, the base is ~GBP 50m/yr (3p/share/yr) too conservative; if inventory rebuilds, reported FCF will undershoot guidance; France (30% of sales) margin path: each 1pp of France retail margin is ~GBP 40m EBITDA, ~0.3pp group margin, roughly 25-30p/share at the base multiple; Cyclicality and weather: big-ticket (14-15% of sales) and seasonal categories swing with rates, housing and summer weather; the bear case is a repeat of FY2019-20 margins, not a tail event; FX translation: ~45% of sales in EUR/PLN; a 5% GBP move shifts reported revenue by ~GBP 300m and EBITDA by ~GBP 25-30m without any operating change; Terminal value and discount rate: with a 9% WACC and 14x cap the terminal is roughly half of enterprise value; the sensitivity grid and required-return table show how quickly 318p becomes a 10-11% IRR rather than a bargain; Impairments and adjusting items (GBP 150-400m/yr statutory in four of the last seven years) are mostly non-cash and excluded here; the cash element of restructuring (store exits, Romania) is inside OCF and therefore inside the EBITDA margin anchor</t>
  </si>
  <si>
    <t xml:space="preserve">Data sources</t>
  </si>
  <si>
    <t xml:space="preserve">price: Yahoo Finance chart API (query1.finance.yahoo.com/v8/finance/chart/KGF.L) at inputs.price_as_of; GBp quote; 52-week range 266.4-372.3
financials: research/KGF.L/Reports/KGF.L_Metrics.csv (GBP millions, FY2016-FY2026 annual plus half-years) and kpis table; FY2025/26 Annual Report (KGF.L_Annual_FY2026.txt: cash flow statement line ~8690, share capital note 11521, leases note 10530-10566, net debt/EBITDA table 2222, EPS note 10190); H1 FY26/27 results to 31 July 2026 (KGF.L_HalfYear_H1-2026.txt: guidance lines 99-108, net debt note 16 line 1670, share capital note 13 line 1596, EPS note line 1454, cash flow statement line 1111)
qualitative: research/KGF.L/Reports/KGF.L_Analysis.json (2026-10-10): business model, France margin target, trade/e-commerce ambitions, bull/bear cases, sell-side range 245-375p</t>
  </si>
  <si>
    <t xml:space="preserve">Scenario narrative: bear</t>
  </si>
  <si>
    <t xml:space="preserve">A rates-driven consumer squeeze hits UK and French housing activity in FY27/28, big-ticket kitchens and bathrooms (14-15% of sales) fall double digits and LFL goes negative for two years. Leroy Merlin presses its French scale advantage, the Castorama turnaround stalls at 2-3% margins, and UK competitive pricing plus employer NI and wage inflation compress the group margin to 9.5% (where it sat in FY2019-20). Rent inflation on a flat top line lifts lease cash to 4% of sales. Impairments recur but the balance sheet (net cash ex-leases, BBB) holds; the damage is to the earnings base, not solvency. This is the JPMorgan/Deutsche Sell-case world.</t>
  </si>
  <si>
    <t xml:space="preserve">Scenario narrative: base</t>
  </si>
  <si>
    <t xml:space="preserve">Kingfisher remains a low-growth, cash-generative European DIY retailer. The UK (52% of sales) grinds forward on Screwfix expansion, TradePoint and Homebase share gains while B&amp;Q big-ticket stays soft; France (30%) stabilises but only partially closes the margin gap to the 5-7% target because the market recovery is outside management's control; Poland and Iberia add a point of group growth. Pre-SBC EBITDA margin edges from 10.4% to 11.0% by FY2032, lease intensity drifts down slightly, capex runs at the guided 3% of sales, cash tax normalises to 26% after the FY25/26 HMRC windfall. Owner FCF starts around GBP 330m (excluding working-capital releases and interest income) and compounds with the margin to roughly GBP 470m by year 10; most of the headline 'GBP 500m+ FCF' is distributed, not reinvested, so the share count keeps shrinking but that is value-neutral here.</t>
  </si>
  <si>
    <t xml:space="preserve">Scenario narrative: bull</t>
  </si>
  <si>
    <t xml:space="preserve">The French DIY market, down ~10% since 2024, turns in 2027 and the already half-completed Castorama store programme lets management hit the 5-7% France retail margin by FY2031. Screwfix keeps its 14-quarter growth streak, the City format opens the runway to 1,000+ UK stores, trade sales reach GBP 5bn and marketplace plus retail media lift gross margin. Group pre-SBC EBITDA margin reaches 12%, French rightsizing cuts lease cash to 3.5% of sales, growth runs 3-3.5% for four years and terminal growth is 2.5%. This is the RBC/Outperform world and it needs two independent things to go right: the French consumer and UK execution.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</si>
  <si>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</si>
  <si>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</si>
  <si>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</si>
  <si>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</si>
  <si>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</si>
  <si>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</si>
  <si>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</si>
  <si>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</si>
  <si>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</si>
  <si>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</si>
  <si>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</si>
  <si>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</si>
  <si>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</si>
  <si>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</si>
  <si>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</si>
  <si>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</si>
  <si>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</si>
  <si>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</si>
  <si>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</si>
  <si>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</si>
  <si>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</si>
  <si>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</si>
  <si>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</si>
  <si>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</si>
  <si>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</si>
  <si>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</si>
  <si>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</si>
  <si>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</si>
  <si>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SameStoreSalesGrowth</t>
  </si>
  <si>
    <t xml:space="preserve">ShortTermDeposits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</si>
  <si>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</si>
  <si>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</si>
  <si>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</si>
  <si>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</si>
  <si>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</si>
  <si>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</si>
  <si>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</si>
  <si>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</si>
  <si>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</si>
  <si>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</si>
  <si>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</si>
  <si>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</si>
  <si>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</si>
  <si>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</si>
  <si>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</si>
  <si>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</si>
  <si>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</si>
  <si>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</si>
  <si>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</si>
  <si>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</si>
  <si>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</si>
  <si>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</si>
  <si>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</si>
  <si>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</si>
  <si>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</si>
  <si>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</si>
  <si>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</si>
  <si>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</si>
  <si>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</si>
  <si>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</si>
  <si>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</si>
  <si>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</si>
  <si>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</si>
  <si>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</si>
  <si>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</si>
  <si>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</si>
  <si>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</si>
  <si>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</si>
  <si>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</si>
  <si>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</si>
  <si>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</si>
  <si>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</si>
  <si>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</si>
  <si>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</si>
  <si>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</si>
  <si>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</si>
  <si>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</si>
  <si>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</si>
  <si>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KGF.L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</si>
  <si>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</si>
  <si>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</si>
  <si>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</si>
  <si>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</si>
  <si>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</si>
  <si>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</si>
  <si>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</si>
  <si>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</si>
  <si>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</si>
  <si>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</si>
  <si>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</si>
  <si>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</si>
  <si>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</si>
  <si>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</si>
  <si>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</si>
  <si>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</si>
  <si>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</si>
  <si>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</si>
  <si>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</si>
  <si>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</si>
  <si>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</si>
  <si>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</si>
  <si>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</si>
  <si>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</si>
  <si>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</si>
  <si>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</si>
  <si>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</si>
  <si>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</si>
  <si>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</si>
  <si>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</si>
  <si>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KGF.L owner-FCF component DCF: base case (millions, GBP)</t>
  </si>
  <si>
    <t xml:space="preserve">KGF.L owner-FCF component DCF: bull case (millions, GBP)</t>
  </si>
  <si>
    <t xml:space="preserve">KGF.L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</si>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</sst>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10441</v>
      </c>
      <c r="C2" s="0" t="n">
        <v>6545</v>
      </c>
      <c r="D2" s="0" t="n">
        <v>3896</v>
      </c>
      <c r="E2" s="0" t="n">
        <v>37.3</v>
      </c>
      <c r="F2" s="0" t="n">
        <v>526</v>
      </c>
      <c r="G2" s="0" t="n">
        <v>5</v>
      </c>
      <c r="H2" s="0" t="n">
        <v>766</v>
      </c>
      <c r="I2" s="0" t="n">
        <v>412</v>
      </c>
      <c r="J2" s="0" t="n">
        <v>3.9</v>
      </c>
      <c r="K2" s="0" t="n">
        <v>0.178</v>
      </c>
      <c r="L2" s="0" t="n">
        <v>813</v>
      </c>
      <c r="M2" s="0" t="n">
        <v>333</v>
      </c>
      <c r="N2" s="0" t="n">
        <v>480</v>
      </c>
      <c r="O2" s="0" t="n">
        <v>6186</v>
      </c>
      <c r="P2" s="0" t="n">
        <v>9694</v>
      </c>
      <c r="Q2" s="0" t="n">
        <v>3508</v>
      </c>
      <c r="R2" s="0" t="n">
        <v>317</v>
      </c>
      <c r="S2" s="0" t="n">
        <v>730</v>
      </c>
      <c r="T2" s="0" t="n">
        <v>2315</v>
      </c>
      <c r="U2" s="0" t="n">
        <v>11</v>
      </c>
      <c r="AA2" s="0" t="s">
        <v>18</v>
      </c>
      <c r="AB2" s="0" t="s">
        <v>14</v>
      </c>
      <c r="AE2" s="0" t="n">
        <v>70</v>
      </c>
    </row>
    <row r="3" customFormat="false" ht="15" hidden="false" customHeight="false" outlineLevel="0" collapsed="false">
      <c r="A3" s="0" t="s">
        <v>68</v>
      </c>
      <c r="B3" s="0" t="n">
        <v>11225</v>
      </c>
      <c r="C3" s="0" t="n">
        <v>7050</v>
      </c>
      <c r="D3" s="0" t="n">
        <v>4175</v>
      </c>
      <c r="E3" s="0" t="n">
        <v>37.2</v>
      </c>
      <c r="F3" s="0" t="n">
        <v>773</v>
      </c>
      <c r="G3" s="0" t="n">
        <v>6.9</v>
      </c>
      <c r="H3" s="0" t="n">
        <v>1026</v>
      </c>
      <c r="I3" s="0" t="n">
        <v>610</v>
      </c>
      <c r="J3" s="0" t="n">
        <v>5.4</v>
      </c>
      <c r="K3" s="0" t="n">
        <v>0.27</v>
      </c>
      <c r="L3" s="0" t="n">
        <v>781</v>
      </c>
      <c r="M3" s="0" t="n">
        <v>406</v>
      </c>
      <c r="N3" s="0" t="n">
        <v>375</v>
      </c>
      <c r="O3" s="0" t="n">
        <v>6771</v>
      </c>
      <c r="P3" s="0" t="n">
        <v>10233</v>
      </c>
      <c r="Q3" s="0" t="n">
        <v>3462</v>
      </c>
      <c r="R3" s="0" t="n">
        <v>198</v>
      </c>
      <c r="S3" s="0" t="n">
        <v>795</v>
      </c>
      <c r="T3" s="0" t="n">
        <v>2263</v>
      </c>
      <c r="U3" s="0" t="n">
        <v>15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69</v>
      </c>
      <c r="B4" s="0" t="n">
        <v>11655</v>
      </c>
      <c r="C4" s="0" t="n">
        <v>7352</v>
      </c>
      <c r="D4" s="0" t="n">
        <v>4303</v>
      </c>
      <c r="E4" s="0" t="n">
        <v>36.9</v>
      </c>
      <c r="F4" s="0" t="n">
        <v>685</v>
      </c>
      <c r="G4" s="0" t="n">
        <v>5.9</v>
      </c>
      <c r="H4" s="0" t="n">
        <v>939</v>
      </c>
      <c r="I4" s="0" t="n">
        <v>485</v>
      </c>
      <c r="J4" s="0" t="n">
        <v>4.2</v>
      </c>
      <c r="K4" s="0" t="n">
        <v>0.22</v>
      </c>
      <c r="L4" s="0" t="n">
        <v>293</v>
      </c>
      <c r="M4" s="0" t="n">
        <v>368</v>
      </c>
      <c r="N4" s="0" t="n">
        <v>-75</v>
      </c>
      <c r="O4" s="0" t="n">
        <v>6748</v>
      </c>
      <c r="P4" s="0" t="n">
        <v>10347</v>
      </c>
      <c r="Q4" s="0" t="n">
        <v>3599</v>
      </c>
      <c r="R4" s="0" t="n">
        <v>176</v>
      </c>
      <c r="S4" s="0" t="n">
        <v>230</v>
      </c>
      <c r="T4" s="0" t="n">
        <v>2201</v>
      </c>
      <c r="U4" s="0" t="n">
        <v>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70</v>
      </c>
      <c r="B5" s="0" t="n">
        <v>11685</v>
      </c>
      <c r="C5" s="0" t="n">
        <v>7376</v>
      </c>
      <c r="D5" s="0" t="n">
        <v>4309</v>
      </c>
      <c r="E5" s="0" t="n">
        <v>36.9</v>
      </c>
      <c r="F5" s="0" t="n">
        <v>329</v>
      </c>
      <c r="G5" s="0" t="n">
        <v>2.8</v>
      </c>
      <c r="H5" s="0" t="n">
        <v>601</v>
      </c>
      <c r="I5" s="0" t="n">
        <v>218</v>
      </c>
      <c r="J5" s="0" t="n">
        <v>1.9</v>
      </c>
      <c r="K5" s="0" t="n">
        <v>0.102</v>
      </c>
      <c r="L5" s="0" t="n">
        <v>649</v>
      </c>
      <c r="M5" s="0" t="n">
        <v>339</v>
      </c>
      <c r="N5" s="0" t="n">
        <v>310</v>
      </c>
      <c r="O5" s="0" t="n">
        <v>6657</v>
      </c>
      <c r="P5" s="0" t="n">
        <v>10000</v>
      </c>
      <c r="Q5" s="0" t="n">
        <v>3343</v>
      </c>
      <c r="R5" s="0" t="n">
        <v>176</v>
      </c>
      <c r="S5" s="0" t="n">
        <v>229</v>
      </c>
      <c r="T5" s="0" t="n">
        <v>2140</v>
      </c>
      <c r="U5" s="0" t="n">
        <v>15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71</v>
      </c>
      <c r="B6" s="0" t="n">
        <v>11513</v>
      </c>
      <c r="C6" s="0" t="n">
        <v>7258</v>
      </c>
      <c r="D6" s="0" t="n">
        <v>4255</v>
      </c>
      <c r="E6" s="0" t="n">
        <v>37</v>
      </c>
      <c r="F6" s="0" t="n">
        <v>283</v>
      </c>
      <c r="G6" s="0" t="n">
        <v>2.5</v>
      </c>
      <c r="H6" s="0" t="n">
        <v>828</v>
      </c>
      <c r="I6" s="0" t="n">
        <v>8</v>
      </c>
      <c r="J6" s="0" t="n">
        <v>0.1</v>
      </c>
      <c r="K6" s="0" t="n">
        <v>0.004</v>
      </c>
      <c r="L6" s="0" t="n">
        <v>897</v>
      </c>
      <c r="M6" s="0" t="n">
        <v>342</v>
      </c>
      <c r="N6" s="0" t="n">
        <v>555</v>
      </c>
      <c r="O6" s="0" t="n">
        <v>5802</v>
      </c>
      <c r="P6" s="0" t="n">
        <v>11312</v>
      </c>
      <c r="Q6" s="0" t="n">
        <v>5510</v>
      </c>
      <c r="R6" s="0" t="n">
        <v>136</v>
      </c>
      <c r="S6" s="0" t="n">
        <v>189</v>
      </c>
      <c r="T6" s="0" t="n">
        <v>2114</v>
      </c>
      <c r="U6" s="0" t="n">
        <v>11</v>
      </c>
      <c r="W6" s="0" t="n">
        <v>1269</v>
      </c>
      <c r="AA6" s="0" t="s">
        <v>18</v>
      </c>
      <c r="AB6" s="0" t="s">
        <v>14</v>
      </c>
      <c r="AC6" s="0" t="n">
        <v>319</v>
      </c>
      <c r="AD6" s="0" t="n">
        <v>-1.5</v>
      </c>
    </row>
    <row r="7" customFormat="false" ht="15" hidden="false" customHeight="false" outlineLevel="0" collapsed="false">
      <c r="A7" s="0" t="s">
        <v>72</v>
      </c>
      <c r="B7" s="0" t="n">
        <v>12343</v>
      </c>
      <c r="C7" s="0" t="n">
        <v>7770</v>
      </c>
      <c r="D7" s="0" t="n">
        <v>4573</v>
      </c>
      <c r="E7" s="0" t="n">
        <v>37</v>
      </c>
      <c r="F7" s="0" t="n">
        <v>916</v>
      </c>
      <c r="G7" s="0" t="n">
        <v>7.4</v>
      </c>
      <c r="H7" s="0" t="n">
        <v>1452</v>
      </c>
      <c r="I7" s="0" t="n">
        <v>592</v>
      </c>
      <c r="J7" s="0" t="n">
        <v>4.8</v>
      </c>
      <c r="K7" s="0" t="n">
        <v>0.279</v>
      </c>
      <c r="L7" s="0" t="n">
        <v>1650</v>
      </c>
      <c r="M7" s="0" t="n">
        <v>281</v>
      </c>
      <c r="N7" s="0" t="n">
        <v>1369</v>
      </c>
      <c r="O7" s="0" t="n">
        <v>6571</v>
      </c>
      <c r="P7" s="0" t="n">
        <v>12269</v>
      </c>
      <c r="Q7" s="0" t="n">
        <v>5698</v>
      </c>
      <c r="R7" s="0" t="n">
        <v>103</v>
      </c>
      <c r="S7" s="0" t="n">
        <v>1142</v>
      </c>
      <c r="T7" s="0" t="n">
        <v>2119</v>
      </c>
      <c r="U7" s="0" t="n">
        <v>14</v>
      </c>
      <c r="W7" s="0" t="n">
        <v>1485</v>
      </c>
      <c r="AA7" s="0" t="s">
        <v>18</v>
      </c>
      <c r="AB7" s="0" t="s">
        <v>14</v>
      </c>
      <c r="AC7" s="0" t="n">
        <v>309</v>
      </c>
      <c r="AD7" s="0" t="n">
        <v>7.1</v>
      </c>
    </row>
    <row r="8" customFormat="false" ht="15" hidden="false" customHeight="false" outlineLevel="0" collapsed="false">
      <c r="A8" s="0" t="s">
        <v>73</v>
      </c>
      <c r="B8" s="0" t="n">
        <v>13183</v>
      </c>
      <c r="C8" s="0" t="n">
        <v>8248</v>
      </c>
      <c r="D8" s="0" t="n">
        <v>4935</v>
      </c>
      <c r="E8" s="0" t="n">
        <v>37.4</v>
      </c>
      <c r="F8" s="0" t="n">
        <v>1144</v>
      </c>
      <c r="G8" s="0" t="n">
        <v>8.7</v>
      </c>
      <c r="H8" s="0" t="n">
        <v>1699</v>
      </c>
      <c r="I8" s="0" t="n">
        <v>843</v>
      </c>
      <c r="J8" s="0" t="n">
        <v>6.4</v>
      </c>
      <c r="K8" s="0" t="n">
        <v>0.398</v>
      </c>
      <c r="L8" s="0" t="n">
        <v>1178</v>
      </c>
      <c r="M8" s="0" t="n">
        <v>397</v>
      </c>
      <c r="N8" s="0" t="n">
        <v>781</v>
      </c>
      <c r="O8" s="0" t="n">
        <v>6778</v>
      </c>
      <c r="P8" s="0" t="n">
        <v>12352</v>
      </c>
      <c r="Q8" s="0" t="n">
        <v>5574</v>
      </c>
      <c r="R8" s="0" t="n">
        <v>16</v>
      </c>
      <c r="S8" s="0" t="n">
        <v>823</v>
      </c>
      <c r="T8" s="0" t="n">
        <v>2116</v>
      </c>
      <c r="U8" s="0" t="n">
        <v>27</v>
      </c>
      <c r="W8" s="0" t="n">
        <v>1643</v>
      </c>
      <c r="AA8" s="0" t="s">
        <v>18</v>
      </c>
      <c r="AB8" s="0" t="s">
        <v>14</v>
      </c>
      <c r="AC8" s="0" t="n">
        <v>341</v>
      </c>
      <c r="AD8" s="0" t="n">
        <v>9.9</v>
      </c>
    </row>
    <row r="9" customFormat="false" ht="15" hidden="false" customHeight="false" outlineLevel="0" collapsed="false">
      <c r="A9" s="0" t="s">
        <v>74</v>
      </c>
      <c r="B9" s="0" t="n">
        <v>13059</v>
      </c>
      <c r="C9" s="0" t="n">
        <v>8264</v>
      </c>
      <c r="D9" s="0" t="n">
        <v>4795</v>
      </c>
      <c r="E9" s="0" t="n">
        <v>36.7</v>
      </c>
      <c r="F9" s="0" t="n">
        <v>723</v>
      </c>
      <c r="G9" s="0" t="n">
        <v>5.5</v>
      </c>
      <c r="H9" s="0" t="n">
        <v>1305</v>
      </c>
      <c r="I9" s="0" t="n">
        <v>471</v>
      </c>
      <c r="J9" s="0" t="n">
        <v>3.6</v>
      </c>
      <c r="K9" s="0" t="n">
        <v>0.235</v>
      </c>
      <c r="L9" s="0" t="n">
        <v>820</v>
      </c>
      <c r="M9" s="0" t="n">
        <v>449</v>
      </c>
      <c r="N9" s="0" t="n">
        <v>371</v>
      </c>
      <c r="O9" s="0" t="n">
        <v>6663</v>
      </c>
      <c r="P9" s="0" t="n">
        <v>12103</v>
      </c>
      <c r="Q9" s="0" t="n">
        <v>5440</v>
      </c>
      <c r="R9" s="0" t="n">
        <v>118</v>
      </c>
      <c r="S9" s="0" t="n">
        <v>286</v>
      </c>
      <c r="T9" s="0" t="n">
        <v>2002</v>
      </c>
      <c r="U9" s="0" t="n">
        <v>19</v>
      </c>
      <c r="W9" s="0" t="n">
        <v>1456</v>
      </c>
      <c r="AA9" s="0" t="s">
        <v>18</v>
      </c>
      <c r="AB9" s="0" t="s">
        <v>14</v>
      </c>
      <c r="AC9" s="0" t="n">
        <v>329</v>
      </c>
      <c r="AD9" s="0" t="n">
        <v>-2.1</v>
      </c>
    </row>
    <row r="10" customFormat="false" ht="15" hidden="false" customHeight="false" outlineLevel="0" collapsed="false">
      <c r="A10" s="0" t="s">
        <v>75</v>
      </c>
      <c r="B10" s="0" t="n">
        <v>12980</v>
      </c>
      <c r="C10" s="0" t="n">
        <v>8204</v>
      </c>
      <c r="D10" s="0" t="n">
        <v>4776</v>
      </c>
      <c r="E10" s="0" t="n">
        <v>36.8</v>
      </c>
      <c r="F10" s="0" t="n">
        <v>580</v>
      </c>
      <c r="G10" s="0" t="n">
        <v>4.5</v>
      </c>
      <c r="H10" s="0" t="n">
        <v>1221</v>
      </c>
      <c r="I10" s="0" t="n">
        <v>345</v>
      </c>
      <c r="J10" s="0" t="n">
        <v>2.7</v>
      </c>
      <c r="K10" s="0" t="n">
        <v>0.18</v>
      </c>
      <c r="L10" s="0" t="n">
        <v>1321</v>
      </c>
      <c r="M10" s="0" t="n">
        <v>363</v>
      </c>
      <c r="N10" s="0" t="n">
        <v>958</v>
      </c>
      <c r="O10" s="0" t="n">
        <v>6604</v>
      </c>
      <c r="P10" s="0" t="n">
        <v>11900</v>
      </c>
      <c r="Q10" s="0" t="n">
        <v>5296</v>
      </c>
      <c r="R10" s="0" t="n">
        <v>109</v>
      </c>
      <c r="S10" s="0" t="n">
        <v>360</v>
      </c>
      <c r="T10" s="0" t="n">
        <v>1921</v>
      </c>
      <c r="U10" s="0" t="n">
        <v>22</v>
      </c>
      <c r="W10" s="0" t="n">
        <v>1330</v>
      </c>
      <c r="AA10" s="0" t="s">
        <v>18</v>
      </c>
      <c r="AB10" s="0" t="s">
        <v>14</v>
      </c>
      <c r="AC10" s="0" t="n">
        <v>348</v>
      </c>
      <c r="AD10" s="0" t="n">
        <v>-3.1</v>
      </c>
    </row>
    <row r="11" customFormat="false" ht="15" hidden="false" customHeight="false" outlineLevel="0" collapsed="false">
      <c r="A11" s="0" t="s">
        <v>76</v>
      </c>
      <c r="B11" s="0" t="n">
        <v>12784</v>
      </c>
      <c r="C11" s="0" t="n">
        <v>8021</v>
      </c>
      <c r="D11" s="0" t="n">
        <v>4763</v>
      </c>
      <c r="E11" s="0" t="n">
        <v>37.3</v>
      </c>
      <c r="F11" s="0" t="n">
        <v>407</v>
      </c>
      <c r="G11" s="0" t="n">
        <v>3.2</v>
      </c>
      <c r="H11" s="0" t="n">
        <v>1063</v>
      </c>
      <c r="I11" s="0" t="n">
        <v>185</v>
      </c>
      <c r="J11" s="0" t="n">
        <v>1.4</v>
      </c>
      <c r="K11" s="0" t="n">
        <v>0.099</v>
      </c>
      <c r="L11" s="0" t="n">
        <v>1302</v>
      </c>
      <c r="M11" s="0" t="n">
        <v>317</v>
      </c>
      <c r="N11" s="0" t="n">
        <v>985</v>
      </c>
      <c r="O11" s="0" t="n">
        <v>6344</v>
      </c>
      <c r="P11" s="0" t="n">
        <v>11443</v>
      </c>
      <c r="Q11" s="0" t="n">
        <v>5099</v>
      </c>
      <c r="R11" s="0" t="n">
        <v>109</v>
      </c>
      <c r="S11" s="0" t="n">
        <v>336</v>
      </c>
      <c r="T11" s="0" t="n">
        <v>1867</v>
      </c>
      <c r="U11" s="0" t="n">
        <v>20</v>
      </c>
      <c r="W11" s="0" t="n">
        <v>1290</v>
      </c>
      <c r="AA11" s="0" t="s">
        <v>18</v>
      </c>
      <c r="AB11" s="0" t="s">
        <v>14</v>
      </c>
      <c r="AC11" s="0" t="n">
        <v>387</v>
      </c>
      <c r="AD11" s="0" t="n">
        <v>-1.7</v>
      </c>
    </row>
    <row r="12" customFormat="false" ht="15" hidden="false" customHeight="false" outlineLevel="0" collapsed="false">
      <c r="A12" s="0" t="s">
        <v>77</v>
      </c>
      <c r="B12" s="0" t="n">
        <v>12945</v>
      </c>
      <c r="C12" s="0" t="n">
        <v>8015</v>
      </c>
      <c r="D12" s="0" t="n">
        <v>4930</v>
      </c>
      <c r="E12" s="0" t="n">
        <v>38.1</v>
      </c>
      <c r="F12" s="0" t="n">
        <v>469</v>
      </c>
      <c r="G12" s="0" t="n">
        <v>3.6</v>
      </c>
      <c r="H12" s="0" t="n">
        <v>1136</v>
      </c>
      <c r="I12" s="0" t="n">
        <v>245</v>
      </c>
      <c r="J12" s="0" t="n">
        <v>1.9</v>
      </c>
      <c r="K12" s="0" t="n">
        <v>0.138</v>
      </c>
      <c r="L12" s="0" t="n">
        <v>1433</v>
      </c>
      <c r="M12" s="0" t="n">
        <v>388</v>
      </c>
      <c r="N12" s="0" t="n">
        <v>1045</v>
      </c>
      <c r="O12" s="0" t="n">
        <v>6158</v>
      </c>
      <c r="P12" s="0" t="n">
        <v>11398</v>
      </c>
      <c r="Q12" s="0" t="n">
        <v>5240</v>
      </c>
      <c r="R12" s="0" t="n">
        <v>103</v>
      </c>
      <c r="S12" s="0" t="n">
        <v>465</v>
      </c>
      <c r="T12" s="0" t="n">
        <v>1776</v>
      </c>
      <c r="U12" s="0" t="n">
        <v>27</v>
      </c>
      <c r="W12" s="0" t="n">
        <v>1321</v>
      </c>
      <c r="AA12" s="0" t="s">
        <v>18</v>
      </c>
      <c r="AB12" s="0" t="s">
        <v>14</v>
      </c>
      <c r="AC12" s="0" t="n">
        <v>379</v>
      </c>
      <c r="AD12" s="0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318</v>
      </c>
    </row>
    <row r="3" customFormat="false" ht="15" hidden="false" customHeight="false" outlineLevel="0" collapsed="false">
      <c r="A3" s="0" t="s">
        <v>81</v>
      </c>
      <c r="B3" s="3" t="n">
        <v>1677</v>
      </c>
    </row>
    <row r="4" customFormat="false" ht="15" hidden="false" customHeight="false" outlineLevel="0" collapsed="false">
      <c r="A4" s="0" t="s">
        <v>82</v>
      </c>
      <c r="B4" s="3" t="n">
        <v>-309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12945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100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0.5</v>
      </c>
      <c r="D13" s="3" t="n">
        <v>0</v>
      </c>
      <c r="E13" s="3" t="n">
        <v>0.5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10.3</v>
      </c>
      <c r="D14" s="3" t="n">
        <v>9.9</v>
      </c>
      <c r="E14" s="3" t="n">
        <v>9.6</v>
      </c>
      <c r="F14" s="3" t="n">
        <v>9.5</v>
      </c>
      <c r="G14" s="3" t="n">
        <v>9.5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103</v>
      </c>
      <c r="C15" s="3" t="n">
        <v>0.21</v>
      </c>
      <c r="D15" s="3" t="n">
        <v>0.21</v>
      </c>
      <c r="E15" s="3" t="n">
        <v>0.21</v>
      </c>
      <c r="F15" s="3" t="n">
        <v>0.21</v>
      </c>
      <c r="G15" s="3" t="n">
        <v>0.21</v>
      </c>
      <c r="H15" s="3" t="n">
        <v>0.21</v>
      </c>
      <c r="I15" s="3" t="n">
        <v>0.21</v>
      </c>
      <c r="J15" s="3" t="n">
        <v>0.21</v>
      </c>
      <c r="K15" s="3" t="n">
        <v>0.21</v>
      </c>
      <c r="L15" s="3" t="n">
        <v>0.21</v>
      </c>
    </row>
    <row r="16" customFormat="false" ht="15" hidden="false" customHeight="false" outlineLevel="0" collapsed="false">
      <c r="A16" s="0" t="s">
        <v>104</v>
      </c>
      <c r="C16" s="3" t="n">
        <v>3.9</v>
      </c>
      <c r="D16" s="3" t="n">
        <v>3.95</v>
      </c>
      <c r="E16" s="3" t="n">
        <v>4</v>
      </c>
      <c r="F16" s="3" t="n">
        <v>4</v>
      </c>
      <c r="G16" s="3" t="n">
        <v>4</v>
      </c>
      <c r="H16" s="3" t="n">
        <v>4</v>
      </c>
      <c r="I16" s="3" t="n">
        <v>4</v>
      </c>
      <c r="J16" s="3" t="n">
        <v>4</v>
      </c>
      <c r="K16" s="3" t="n">
        <v>4</v>
      </c>
      <c r="L16" s="3" t="n">
        <v>4</v>
      </c>
    </row>
    <row r="17" customFormat="false" ht="15" hidden="false" customHeight="false" outlineLevel="0" collapsed="false">
      <c r="A17" s="0" t="s">
        <v>105</v>
      </c>
      <c r="C17" s="3" t="n">
        <v>2.65</v>
      </c>
      <c r="D17" s="3" t="n">
        <v>2.65</v>
      </c>
      <c r="E17" s="3" t="n">
        <v>2.65</v>
      </c>
      <c r="F17" s="3" t="n">
        <v>2.65</v>
      </c>
      <c r="G17" s="3" t="n">
        <v>2.65</v>
      </c>
      <c r="H17" s="3" t="n">
        <v>2.65</v>
      </c>
      <c r="I17" s="3" t="n">
        <v>2.65</v>
      </c>
      <c r="J17" s="3" t="n">
        <v>2.65</v>
      </c>
      <c r="K17" s="3" t="n">
        <v>2.65</v>
      </c>
      <c r="L17" s="3" t="n">
        <v>2.65</v>
      </c>
    </row>
    <row r="18" customFormat="false" ht="15" hidden="false" customHeight="false" outlineLevel="0" collapsed="false">
      <c r="A18" s="0" t="s">
        <v>106</v>
      </c>
      <c r="C18" s="3" t="n">
        <v>3</v>
      </c>
      <c r="D18" s="3" t="n">
        <v>3</v>
      </c>
      <c r="E18" s="3" t="n">
        <v>3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107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108</v>
      </c>
      <c r="B20" s="3" t="n">
        <v>9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1.5</v>
      </c>
      <c r="D27" s="3" t="n">
        <v>2.5</v>
      </c>
      <c r="E27" s="3" t="n">
        <v>2.5</v>
      </c>
      <c r="F27" s="3" t="n">
        <v>2.5</v>
      </c>
      <c r="G27" s="3" t="n">
        <v>2.5</v>
      </c>
      <c r="H27" s="3" t="n">
        <v>2.25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102</v>
      </c>
      <c r="C28" s="3" t="n">
        <v>10.55</v>
      </c>
      <c r="D28" s="3" t="n">
        <v>10.6</v>
      </c>
      <c r="E28" s="3" t="n">
        <v>10.7</v>
      </c>
      <c r="F28" s="3" t="n">
        <v>10.8</v>
      </c>
      <c r="G28" s="3" t="n">
        <v>10.9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103</v>
      </c>
      <c r="C29" s="3" t="n">
        <v>0.21</v>
      </c>
      <c r="D29" s="3" t="n">
        <v>0.21</v>
      </c>
      <c r="E29" s="3" t="n">
        <v>0.21</v>
      </c>
      <c r="F29" s="3" t="n">
        <v>0.21</v>
      </c>
      <c r="G29" s="3" t="n">
        <v>0.21</v>
      </c>
      <c r="H29" s="3" t="n">
        <v>0.21</v>
      </c>
      <c r="I29" s="3" t="n">
        <v>0.21</v>
      </c>
      <c r="J29" s="3" t="n">
        <v>0.21</v>
      </c>
      <c r="K29" s="3" t="n">
        <v>0.21</v>
      </c>
      <c r="L29" s="3" t="n">
        <v>0.21</v>
      </c>
    </row>
    <row r="30" customFormat="false" ht="15" hidden="false" customHeight="false" outlineLevel="0" collapsed="false">
      <c r="A30" s="0" t="s">
        <v>104</v>
      </c>
      <c r="C30" s="3" t="n">
        <v>3.85</v>
      </c>
      <c r="D30" s="3" t="n">
        <v>3.85</v>
      </c>
      <c r="E30" s="3" t="n">
        <v>3.8</v>
      </c>
      <c r="F30" s="3" t="n">
        <v>3.8</v>
      </c>
      <c r="G30" s="3" t="n">
        <v>3.8</v>
      </c>
      <c r="H30" s="3" t="n">
        <v>3.75</v>
      </c>
      <c r="I30" s="3" t="n">
        <v>3.75</v>
      </c>
      <c r="J30" s="3" t="n">
        <v>3.75</v>
      </c>
      <c r="K30" s="3" t="n">
        <v>3.75</v>
      </c>
      <c r="L30" s="3" t="n">
        <v>3.75</v>
      </c>
    </row>
    <row r="31" customFormat="false" ht="15" hidden="false" customHeight="false" outlineLevel="0" collapsed="false">
      <c r="A31" s="0" t="s">
        <v>105</v>
      </c>
      <c r="C31" s="3" t="n">
        <v>2.65</v>
      </c>
      <c r="D31" s="3" t="n">
        <v>2.65</v>
      </c>
      <c r="E31" s="3" t="n">
        <v>2.65</v>
      </c>
      <c r="F31" s="3" t="n">
        <v>2.65</v>
      </c>
      <c r="G31" s="3" t="n">
        <v>2.65</v>
      </c>
      <c r="H31" s="3" t="n">
        <v>2.65</v>
      </c>
      <c r="I31" s="3" t="n">
        <v>2.65</v>
      </c>
      <c r="J31" s="3" t="n">
        <v>2.65</v>
      </c>
      <c r="K31" s="3" t="n">
        <v>2.65</v>
      </c>
      <c r="L31" s="3" t="n">
        <v>2.65</v>
      </c>
    </row>
    <row r="32" customFormat="false" ht="15" hidden="false" customHeight="false" outlineLevel="0" collapsed="false">
      <c r="A32" s="0" t="s">
        <v>106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107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108</v>
      </c>
      <c r="B34" s="3" t="n">
        <v>9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14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2.5</v>
      </c>
      <c r="D41" s="3" t="n">
        <v>3.5</v>
      </c>
      <c r="E41" s="3" t="n">
        <v>3.5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102</v>
      </c>
      <c r="C42" s="3" t="n">
        <v>10.7</v>
      </c>
      <c r="D42" s="3" t="n">
        <v>10.9</v>
      </c>
      <c r="E42" s="3" t="n">
        <v>11.2</v>
      </c>
      <c r="F42" s="3" t="n">
        <v>11.5</v>
      </c>
      <c r="G42" s="3" t="n">
        <v>11.8</v>
      </c>
      <c r="H42" s="3" t="n">
        <v>12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103</v>
      </c>
      <c r="C43" s="3" t="n">
        <v>0.21</v>
      </c>
      <c r="D43" s="3" t="n">
        <v>0.21</v>
      </c>
      <c r="E43" s="3" t="n">
        <v>0.21</v>
      </c>
      <c r="F43" s="3" t="n">
        <v>0.21</v>
      </c>
      <c r="G43" s="3" t="n">
        <v>0.21</v>
      </c>
      <c r="H43" s="3" t="n">
        <v>0.21</v>
      </c>
      <c r="I43" s="3" t="n">
        <v>0.21</v>
      </c>
      <c r="J43" s="3" t="n">
        <v>0.21</v>
      </c>
      <c r="K43" s="3" t="n">
        <v>0.21</v>
      </c>
      <c r="L43" s="3" t="n">
        <v>0.21</v>
      </c>
    </row>
    <row r="44" customFormat="false" ht="15" hidden="false" customHeight="false" outlineLevel="0" collapsed="false">
      <c r="A44" s="0" t="s">
        <v>104</v>
      </c>
      <c r="C44" s="3" t="n">
        <v>3.8</v>
      </c>
      <c r="D44" s="3" t="n">
        <v>3.75</v>
      </c>
      <c r="E44" s="3" t="n">
        <v>3.7</v>
      </c>
      <c r="F44" s="3" t="n">
        <v>3.65</v>
      </c>
      <c r="G44" s="3" t="n">
        <v>3.6</v>
      </c>
      <c r="H44" s="3" t="n">
        <v>3.55</v>
      </c>
      <c r="I44" s="3" t="n">
        <v>3.5</v>
      </c>
      <c r="J44" s="3" t="n">
        <v>3.5</v>
      </c>
      <c r="K44" s="3" t="n">
        <v>3.5</v>
      </c>
      <c r="L44" s="3" t="n">
        <v>3.5</v>
      </c>
    </row>
    <row r="45" customFormat="false" ht="15" hidden="false" customHeight="false" outlineLevel="0" collapsed="false">
      <c r="A45" s="0" t="s">
        <v>105</v>
      </c>
      <c r="C45" s="3" t="n">
        <v>2.65</v>
      </c>
      <c r="D45" s="3" t="n">
        <v>2.65</v>
      </c>
      <c r="E45" s="3" t="n">
        <v>2.65</v>
      </c>
      <c r="F45" s="3" t="n">
        <v>2.65</v>
      </c>
      <c r="G45" s="3" t="n">
        <v>2.65</v>
      </c>
      <c r="H45" s="3" t="n">
        <v>2.65</v>
      </c>
      <c r="I45" s="3" t="n">
        <v>2.65</v>
      </c>
      <c r="J45" s="3" t="n">
        <v>2.65</v>
      </c>
      <c r="K45" s="3" t="n">
        <v>2.65</v>
      </c>
      <c r="L45" s="3" t="n">
        <v>2.65</v>
      </c>
    </row>
    <row r="46" customFormat="false" ht="15" hidden="false" customHeight="false" outlineLevel="0" collapsed="false">
      <c r="A46" s="0" t="s">
        <v>106</v>
      </c>
      <c r="C46" s="3" t="n">
        <v>3</v>
      </c>
      <c r="D46" s="3" t="n">
        <v>3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107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108</v>
      </c>
      <c r="B48" s="3" t="n">
        <v>9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14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0.5</v>
      </c>
      <c r="D5" s="4" t="n">
        <f aca="false">Assumptions!D13</f>
        <v>0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12945</v>
      </c>
      <c r="C6" s="0" t="n">
        <f aca="false">B6*(1+C5/100)</f>
        <v>13009.725</v>
      </c>
      <c r="D6" s="0" t="n">
        <f aca="false">C6*(1+D5/100)</f>
        <v>13009.725</v>
      </c>
      <c r="E6" s="0" t="n">
        <f aca="false">D6*(1+E5/100)</f>
        <v>13074.773625</v>
      </c>
      <c r="F6" s="0" t="n">
        <f aca="false">E6*(1+F5/100)</f>
        <v>13205.52136125</v>
      </c>
      <c r="G6" s="0" t="n">
        <f aca="false">F6*(1+G5/100)</f>
        <v>13337.5765748625</v>
      </c>
      <c r="H6" s="0" t="n">
        <f aca="false">G6*(1+H5/100)</f>
        <v>13537.6402234854</v>
      </c>
      <c r="I6" s="0" t="n">
        <f aca="false">H6*(1+I5/100)</f>
        <v>13740.7048268377</v>
      </c>
      <c r="J6" s="0" t="n">
        <f aca="false">I6*(1+J5/100)</f>
        <v>13946.8153992403</v>
      </c>
      <c r="K6" s="0" t="n">
        <f aca="false">J6*(1+K5/100)</f>
        <v>14156.0176302289</v>
      </c>
      <c r="L6" s="0" t="n">
        <f aca="false">K6*(1+L5/100)</f>
        <v>14368.3578946823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10.3</v>
      </c>
      <c r="D7" s="4" t="n">
        <f aca="false">Assumptions!D14</f>
        <v>9.9</v>
      </c>
      <c r="E7" s="4" t="n">
        <f aca="false">Assumptions!E14</f>
        <v>9.6</v>
      </c>
      <c r="F7" s="4" t="n">
        <f aca="false">Assumptions!F14</f>
        <v>9.5</v>
      </c>
      <c r="G7" s="4" t="n">
        <f aca="false">Assumptions!G14</f>
        <v>9.5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1340.001675</v>
      </c>
      <c r="D8" s="0" t="n">
        <f aca="false">D6*D7/100</f>
        <v>1287.962775</v>
      </c>
      <c r="E8" s="0" t="n">
        <f aca="false">E6*E7/100</f>
        <v>1255.178268</v>
      </c>
      <c r="F8" s="0" t="n">
        <f aca="false">F6*F7/100</f>
        <v>1254.52452931875</v>
      </c>
      <c r="G8" s="0" t="n">
        <f aca="false">G6*G7/100</f>
        <v>1267.06977461194</v>
      </c>
      <c r="H8" s="0" t="n">
        <f aca="false">H6*H7/100</f>
        <v>1286.07582123112</v>
      </c>
      <c r="I8" s="0" t="n">
        <f aca="false">I6*I7/100</f>
        <v>1305.36695854958</v>
      </c>
      <c r="J8" s="0" t="n">
        <f aca="false">J6*J7/100</f>
        <v>1324.94746292783</v>
      </c>
      <c r="K8" s="0" t="n">
        <f aca="false">K6*K7/100</f>
        <v>1344.82167487174</v>
      </c>
      <c r="L8" s="0" t="n">
        <f aca="false">L6*L7/100</f>
        <v>1364.99399999482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0.21</v>
      </c>
      <c r="D9" s="4" t="n">
        <f aca="false">Assumptions!D15</f>
        <v>0.21</v>
      </c>
      <c r="E9" s="4" t="n">
        <f aca="false">Assumptions!E15</f>
        <v>0.21</v>
      </c>
      <c r="F9" s="4" t="n">
        <f aca="false">Assumptions!F15</f>
        <v>0.21</v>
      </c>
      <c r="G9" s="4" t="n">
        <f aca="false">Assumptions!G15</f>
        <v>0.21</v>
      </c>
      <c r="H9" s="4" t="n">
        <f aca="false">Assumptions!H15</f>
        <v>0.21</v>
      </c>
      <c r="I9" s="4" t="n">
        <f aca="false">Assumptions!I15</f>
        <v>0.21</v>
      </c>
      <c r="J9" s="4" t="n">
        <f aca="false">Assumptions!J15</f>
        <v>0.21</v>
      </c>
      <c r="K9" s="4" t="n">
        <f aca="false">Assumptions!K15</f>
        <v>0.21</v>
      </c>
      <c r="L9" s="4" t="n">
        <f aca="false">Assumptions!L15</f>
        <v>0.21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-27.3204225</v>
      </c>
      <c r="D10" s="0" t="n">
        <f aca="false">-D6*D9/100</f>
        <v>-27.3204225</v>
      </c>
      <c r="E10" s="0" t="n">
        <f aca="false">-E6*E9/100</f>
        <v>-27.4570246125</v>
      </c>
      <c r="F10" s="0" t="n">
        <f aca="false">-F6*F9/100</f>
        <v>-27.731594858625</v>
      </c>
      <c r="G10" s="0" t="n">
        <f aca="false">-G6*G9/100</f>
        <v>-28.0089108072112</v>
      </c>
      <c r="H10" s="0" t="n">
        <f aca="false">-H6*H9/100</f>
        <v>-28.4290444693194</v>
      </c>
      <c r="I10" s="0" t="n">
        <f aca="false">-I6*I9/100</f>
        <v>-28.8554801363592</v>
      </c>
      <c r="J10" s="0" t="n">
        <f aca="false">-J6*J9/100</f>
        <v>-29.2883123384046</v>
      </c>
      <c r="K10" s="0" t="n">
        <f aca="false">-K6*K9/100</f>
        <v>-29.7276370234807</v>
      </c>
      <c r="L10" s="0" t="n">
        <f aca="false">-L6*L9/100</f>
        <v>-30.1735515788329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805.3019775</v>
      </c>
      <c r="D11" s="0" t="n">
        <f aca="false">D8+D10+D24</f>
        <v>746.758215</v>
      </c>
      <c r="E11" s="0" t="n">
        <f aca="false">E8+E10+E24</f>
        <v>704.7302983875</v>
      </c>
      <c r="F11" s="0" t="n">
        <f aca="false">F8+F10+F24</f>
        <v>698.572080010125</v>
      </c>
      <c r="G11" s="0" t="n">
        <f aca="false">G8+G10+G24</f>
        <v>705.557800810226</v>
      </c>
      <c r="H11" s="0" t="n">
        <f aca="false">H8+H10+H24</f>
        <v>716.14116782238</v>
      </c>
      <c r="I11" s="0" t="n">
        <f aca="false">I8+I10+I24</f>
        <v>726.883285339715</v>
      </c>
      <c r="J11" s="0" t="n">
        <f aca="false">J8+J10+J24</f>
        <v>737.786534619811</v>
      </c>
      <c r="K11" s="0" t="n">
        <f aca="false">K8+K10+K24</f>
        <v>748.853332639108</v>
      </c>
      <c r="L11" s="0" t="n">
        <f aca="false">L8+L10+L24</f>
        <v>760.086132628694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-344.7577125</v>
      </c>
      <c r="D12" s="4" t="n">
        <f aca="false">-D6*Assumptions!D17/100</f>
        <v>-344.7577125</v>
      </c>
      <c r="E12" s="4" t="n">
        <f aca="false">-E6*Assumptions!E17/100</f>
        <v>-346.4815010625</v>
      </c>
      <c r="F12" s="4" t="n">
        <f aca="false">-F6*Assumptions!F17/100</f>
        <v>-349.946316073125</v>
      </c>
      <c r="G12" s="4" t="n">
        <f aca="false">-G6*Assumptions!G17/100</f>
        <v>-353.445779233856</v>
      </c>
      <c r="H12" s="4" t="n">
        <f aca="false">-H6*Assumptions!H17/100</f>
        <v>-358.747465922364</v>
      </c>
      <c r="I12" s="4" t="n">
        <f aca="false">-I6*Assumptions!I17/100</f>
        <v>-364.128677911199</v>
      </c>
      <c r="J12" s="4" t="n">
        <f aca="false">-J6*Assumptions!J17/100</f>
        <v>-369.590608079867</v>
      </c>
      <c r="K12" s="4" t="n">
        <f aca="false">-K6*Assumptions!K17/100</f>
        <v>-375.134467201065</v>
      </c>
      <c r="L12" s="4" t="n">
        <f aca="false">-L6*Assumptions!L17/100</f>
        <v>-380.761484209081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460.544265</v>
      </c>
      <c r="D13" s="0" t="n">
        <f aca="false">D11+D12</f>
        <v>402.0005025</v>
      </c>
      <c r="E13" s="0" t="n">
        <f aca="false">E11+E12</f>
        <v>358.248797325</v>
      </c>
      <c r="F13" s="0" t="n">
        <f aca="false">F11+F12</f>
        <v>348.625763937</v>
      </c>
      <c r="G13" s="0" t="n">
        <f aca="false">G11+G12</f>
        <v>352.11202157637</v>
      </c>
      <c r="H13" s="0" t="n">
        <f aca="false">H11+H12</f>
        <v>357.393701900016</v>
      </c>
      <c r="I13" s="0" t="n">
        <f aca="false">I11+I12</f>
        <v>362.754607428516</v>
      </c>
      <c r="J13" s="0" t="n">
        <f aca="false">J11+J12</f>
        <v>368.195926539943</v>
      </c>
      <c r="K13" s="0" t="n">
        <f aca="false">K11+K12</f>
        <v>373.718865438043</v>
      </c>
      <c r="L13" s="0" t="n">
        <f aca="false">L11+L12</f>
        <v>379.324648419613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336.19731345</v>
      </c>
      <c r="D15" s="0" t="n">
        <f aca="false">D13-MAX(0,D13)*D14/100</f>
        <v>293.460366825</v>
      </c>
      <c r="E15" s="0" t="n">
        <f aca="false">E13-MAX(0,E13)*E14/100</f>
        <v>261.52162204725</v>
      </c>
      <c r="F15" s="0" t="n">
        <f aca="false">F13-MAX(0,F13)*F14/100</f>
        <v>254.49680767401</v>
      </c>
      <c r="G15" s="0" t="n">
        <f aca="false">G13-MAX(0,G13)*G14/100</f>
        <v>257.04177575075</v>
      </c>
      <c r="H15" s="0" t="n">
        <f aca="false">H13-MAX(0,H13)*H14/100</f>
        <v>260.897402387011</v>
      </c>
      <c r="I15" s="0" t="n">
        <f aca="false">I13-MAX(0,I13)*I14/100</f>
        <v>264.810863422817</v>
      </c>
      <c r="J15" s="0" t="n">
        <f aca="false">J13-MAX(0,J13)*J14/100</f>
        <v>268.783026374159</v>
      </c>
      <c r="K15" s="0" t="n">
        <f aca="false">K13-MAX(0,K13)*K14/100</f>
        <v>272.814771769771</v>
      </c>
      <c r="L15" s="0" t="n">
        <f aca="false">L13-MAX(0,L13)*L14/100</f>
        <v>276.906993346318</v>
      </c>
    </row>
    <row r="16" customFormat="false" ht="15" hidden="false" customHeight="false" outlineLevel="0" collapsed="false">
      <c r="A16" s="0" t="s">
        <v>123</v>
      </c>
      <c r="C16" s="0" t="n">
        <f aca="false">-C12</f>
        <v>344.7577125</v>
      </c>
      <c r="D16" s="0" t="n">
        <f aca="false">-D12</f>
        <v>344.7577125</v>
      </c>
      <c r="E16" s="0" t="n">
        <f aca="false">-E12</f>
        <v>346.4815010625</v>
      </c>
      <c r="F16" s="0" t="n">
        <f aca="false">-F12</f>
        <v>349.946316073125</v>
      </c>
      <c r="G16" s="0" t="n">
        <f aca="false">-G12</f>
        <v>353.445779233856</v>
      </c>
      <c r="H16" s="0" t="n">
        <f aca="false">-H12</f>
        <v>358.747465922364</v>
      </c>
      <c r="I16" s="0" t="n">
        <f aca="false">-I12</f>
        <v>364.128677911199</v>
      </c>
      <c r="J16" s="0" t="n">
        <f aca="false">-J12</f>
        <v>369.590608079867</v>
      </c>
      <c r="K16" s="0" t="n">
        <f aca="false">-K12</f>
        <v>375.134467201065</v>
      </c>
      <c r="L16" s="0" t="n">
        <f aca="false">-L12</f>
        <v>380.761484209081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-390.29175</v>
      </c>
      <c r="D17" s="4" t="n">
        <f aca="false">-D6*Assumptions!D18/100</f>
        <v>-390.29175</v>
      </c>
      <c r="E17" s="4" t="n">
        <f aca="false">-E6*Assumptions!E18/100</f>
        <v>-392.24320875</v>
      </c>
      <c r="F17" s="4" t="n">
        <f aca="false">-F6*Assumptions!F18/100</f>
        <v>-396.1656408375</v>
      </c>
      <c r="G17" s="4" t="n">
        <f aca="false">-G6*Assumptions!G18/100</f>
        <v>-400.127297245875</v>
      </c>
      <c r="H17" s="4" t="n">
        <f aca="false">-H6*Assumptions!H18/100</f>
        <v>-406.129206704563</v>
      </c>
      <c r="I17" s="4" t="n">
        <f aca="false">-I6*Assumptions!I18/100</f>
        <v>-412.221144805132</v>
      </c>
      <c r="J17" s="4" t="n">
        <f aca="false">-J6*Assumptions!J18/100</f>
        <v>-418.404461977208</v>
      </c>
      <c r="K17" s="4" t="n">
        <f aca="false">-K6*Assumptions!K18/100</f>
        <v>-424.680528906866</v>
      </c>
      <c r="L17" s="4" t="n">
        <f aca="false">-L6*Assumptions!L18/100</f>
        <v>-431.05073684047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290.66327595</v>
      </c>
      <c r="D19" s="0" t="n">
        <f aca="false">D15+D16+D17+D18</f>
        <v>247.926329325</v>
      </c>
      <c r="E19" s="0" t="n">
        <f aca="false">E15+E16+E17+E18</f>
        <v>215.75991435975</v>
      </c>
      <c r="F19" s="0" t="n">
        <f aca="false">F15+F16+F17+F18</f>
        <v>208.277482909635</v>
      </c>
      <c r="G19" s="0" t="n">
        <f aca="false">G15+G16+G17+G18</f>
        <v>210.360257738731</v>
      </c>
      <c r="H19" s="0" t="n">
        <f aca="false">H15+H16+H17+H18</f>
        <v>213.515661604812</v>
      </c>
      <c r="I19" s="0" t="n">
        <f aca="false">I15+I16+I17+I18</f>
        <v>216.718396528885</v>
      </c>
      <c r="J19" s="0" t="n">
        <f aca="false">J15+J16+J17+J18</f>
        <v>219.969172476818</v>
      </c>
      <c r="K19" s="0" t="n">
        <f aca="false">K15+K16+K17+K18</f>
        <v>223.26871006397</v>
      </c>
      <c r="L19" s="0" t="n">
        <f aca="false">L15+L16+L17+L18</f>
        <v>226.617740714929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266.663555917431</v>
      </c>
      <c r="D21" s="0" t="n">
        <f aca="false">D19*D20</f>
        <v>208.674631196869</v>
      </c>
      <c r="E21" s="0" t="n">
        <f aca="false">E19*E20</f>
        <v>166.606241527989</v>
      </c>
      <c r="F21" s="0" t="n">
        <f aca="false">F19*F20</f>
        <v>147.549019790386</v>
      </c>
      <c r="G21" s="0" t="n">
        <f aca="false">G19*G20</f>
        <v>136.719733934211</v>
      </c>
      <c r="H21" s="0" t="n">
        <f aca="false">H19*H20</f>
        <v>127.312412791949</v>
      </c>
      <c r="I21" s="0" t="n">
        <f aca="false">I19*I20</f>
        <v>118.552384388833</v>
      </c>
      <c r="J21" s="0" t="n">
        <f aca="false">J19*J20</f>
        <v>110.395110233638</v>
      </c>
      <c r="K21" s="0" t="n">
        <f aca="false">K19*K20</f>
        <v>102.799116410222</v>
      </c>
      <c r="L21" s="0" t="n">
        <f aca="false">L19*L20</f>
        <v>95.7257827122713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3.9</v>
      </c>
      <c r="D23" s="4" t="n">
        <f aca="false">Assumptions!D16</f>
        <v>3.95</v>
      </c>
      <c r="E23" s="4" t="n">
        <f aca="false">Assumptions!E16</f>
        <v>4</v>
      </c>
      <c r="F23" s="4" t="n">
        <f aca="false">Assumptions!F16</f>
        <v>4</v>
      </c>
      <c r="G23" s="4" t="n">
        <f aca="false">Assumptions!G16</f>
        <v>4</v>
      </c>
      <c r="H23" s="4" t="n">
        <f aca="false">Assumptions!H16</f>
        <v>4</v>
      </c>
      <c r="I23" s="4" t="n">
        <f aca="false">Assumptions!I16</f>
        <v>4</v>
      </c>
      <c r="J23" s="4" t="n">
        <f aca="false">Assumptions!J16</f>
        <v>4</v>
      </c>
      <c r="K23" s="4" t="n">
        <f aca="false">Assumptions!K16</f>
        <v>4</v>
      </c>
      <c r="L23" s="4" t="n">
        <f aca="false">Assumptions!L16</f>
        <v>4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-507.379275</v>
      </c>
      <c r="D24" s="0" t="n">
        <f aca="false">-D6*D23/100</f>
        <v>-513.8841375</v>
      </c>
      <c r="E24" s="0" t="n">
        <f aca="false">-E6*E23/100</f>
        <v>-522.990945</v>
      </c>
      <c r="F24" s="0" t="n">
        <f aca="false">-F6*F23/100</f>
        <v>-528.22085445</v>
      </c>
      <c r="G24" s="0" t="n">
        <f aca="false">-G6*G23/100</f>
        <v>-533.5030629945</v>
      </c>
      <c r="H24" s="0" t="n">
        <f aca="false">-H6*H23/100</f>
        <v>-541.505608939417</v>
      </c>
      <c r="I24" s="0" t="n">
        <f aca="false">-I6*I23/100</f>
        <v>-549.628193073509</v>
      </c>
      <c r="J24" s="0" t="n">
        <f aca="false">-J6*J23/100</f>
        <v>-557.872615969611</v>
      </c>
      <c r="K24" s="0" t="n">
        <f aca="false">-K6*K23/100</f>
        <v>-566.240705209155</v>
      </c>
      <c r="L24" s="0" t="n">
        <f aca="false">-L6*L23/100</f>
        <v>-574.734315787293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1480.9979889038</v>
      </c>
    </row>
    <row r="31" customFormat="false" ht="15" hidden="false" customHeight="false" outlineLevel="0" collapsed="false">
      <c r="A31" s="0" t="s">
        <v>132</v>
      </c>
      <c r="B31" s="0" t="n">
        <f aca="false">L19</f>
        <v>226.617740714929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3066.89342434204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3172.64837000901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3066.89342434204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1295.4889260394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2776.4869149432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3085.4869149432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183.988486281646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-0.421419854460233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180.979279474857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172.490917111511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205.066017383994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1703.82968019002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113.362389739998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1.5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2.25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12945</v>
      </c>
      <c r="C6" s="0" t="n">
        <f aca="false">B6*(1+C5/100)</f>
        <v>13139.175</v>
      </c>
      <c r="D6" s="0" t="n">
        <f aca="false">C6*(1+D5/100)</f>
        <v>13467.654375</v>
      </c>
      <c r="E6" s="0" t="n">
        <f aca="false">D6*(1+E5/100)</f>
        <v>13804.345734375</v>
      </c>
      <c r="F6" s="0" t="n">
        <f aca="false">E6*(1+F5/100)</f>
        <v>14149.4543777344</v>
      </c>
      <c r="G6" s="0" t="n">
        <f aca="false">F6*(1+G5/100)</f>
        <v>14503.1907371777</v>
      </c>
      <c r="H6" s="0" t="n">
        <f aca="false">G6*(1+H5/100)</f>
        <v>14829.5125287642</v>
      </c>
      <c r="I6" s="0" t="n">
        <f aca="false">H6*(1+I5/100)</f>
        <v>15126.1027793395</v>
      </c>
      <c r="J6" s="0" t="n">
        <f aca="false">I6*(1+J5/100)</f>
        <v>15428.6248349263</v>
      </c>
      <c r="K6" s="0" t="n">
        <f aca="false">J6*(1+K5/100)</f>
        <v>15737.1973316248</v>
      </c>
      <c r="L6" s="0" t="n">
        <f aca="false">K6*(1+L5/100)</f>
        <v>16051.9412782573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10.55</v>
      </c>
      <c r="D7" s="4" t="n">
        <f aca="false">Assumptions!D28</f>
        <v>10.6</v>
      </c>
      <c r="E7" s="4" t="n">
        <f aca="false">Assumptions!E28</f>
        <v>10.7</v>
      </c>
      <c r="F7" s="4" t="n">
        <f aca="false">Assumptions!F28</f>
        <v>10.8</v>
      </c>
      <c r="G7" s="4" t="n">
        <f aca="false">Assumptions!G28</f>
        <v>10.9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1386.1829625</v>
      </c>
      <c r="D8" s="0" t="n">
        <f aca="false">D6*D7/100</f>
        <v>1427.57136375</v>
      </c>
      <c r="E8" s="0" t="n">
        <f aca="false">E6*E7/100</f>
        <v>1477.06499357812</v>
      </c>
      <c r="F8" s="0" t="n">
        <f aca="false">F6*F7/100</f>
        <v>1528.14107279531</v>
      </c>
      <c r="G8" s="0" t="n">
        <f aca="false">G6*G7/100</f>
        <v>1580.84779035237</v>
      </c>
      <c r="H8" s="0" t="n">
        <f aca="false">H6*H7/100</f>
        <v>1631.24637816407</v>
      </c>
      <c r="I8" s="0" t="n">
        <f aca="false">I6*I7/100</f>
        <v>1663.87130572735</v>
      </c>
      <c r="J8" s="0" t="n">
        <f aca="false">J6*J7/100</f>
        <v>1697.14873184189</v>
      </c>
      <c r="K8" s="0" t="n">
        <f aca="false">K6*K7/100</f>
        <v>1731.09170647873</v>
      </c>
      <c r="L8" s="0" t="n">
        <f aca="false">L6*L7/100</f>
        <v>1765.71354060831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0.21</v>
      </c>
      <c r="D9" s="4" t="n">
        <f aca="false">Assumptions!D29</f>
        <v>0.21</v>
      </c>
      <c r="E9" s="4" t="n">
        <f aca="false">Assumptions!E29</f>
        <v>0.21</v>
      </c>
      <c r="F9" s="4" t="n">
        <f aca="false">Assumptions!F29</f>
        <v>0.21</v>
      </c>
      <c r="G9" s="4" t="n">
        <f aca="false">Assumptions!G29</f>
        <v>0.21</v>
      </c>
      <c r="H9" s="4" t="n">
        <f aca="false">Assumptions!H29</f>
        <v>0.21</v>
      </c>
      <c r="I9" s="4" t="n">
        <f aca="false">Assumptions!I29</f>
        <v>0.21</v>
      </c>
      <c r="J9" s="4" t="n">
        <f aca="false">Assumptions!J29</f>
        <v>0.21</v>
      </c>
      <c r="K9" s="4" t="n">
        <f aca="false">Assumptions!K29</f>
        <v>0.21</v>
      </c>
      <c r="L9" s="4" t="n">
        <f aca="false">Assumptions!L29</f>
        <v>0.21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-27.5922675</v>
      </c>
      <c r="D10" s="0" t="n">
        <f aca="false">-D6*D9/100</f>
        <v>-28.2820741875</v>
      </c>
      <c r="E10" s="0" t="n">
        <f aca="false">-E6*E9/100</f>
        <v>-28.9891260421875</v>
      </c>
      <c r="F10" s="0" t="n">
        <f aca="false">-F6*F9/100</f>
        <v>-29.7138541932422</v>
      </c>
      <c r="G10" s="0" t="n">
        <f aca="false">-G6*G9/100</f>
        <v>-30.4567005480732</v>
      </c>
      <c r="H10" s="0" t="n">
        <f aca="false">-H6*H9/100</f>
        <v>-31.1419763104049</v>
      </c>
      <c r="I10" s="0" t="n">
        <f aca="false">-I6*I9/100</f>
        <v>-31.764815836613</v>
      </c>
      <c r="J10" s="0" t="n">
        <f aca="false">-J6*J9/100</f>
        <v>-32.4001121533452</v>
      </c>
      <c r="K10" s="0" t="n">
        <f aca="false">-K6*K9/100</f>
        <v>-33.0481143964121</v>
      </c>
      <c r="L10" s="0" t="n">
        <f aca="false">-L6*L9/100</f>
        <v>-33.7090766843404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852.7324575</v>
      </c>
      <c r="D11" s="0" t="n">
        <f aca="false">D8+D10+D24</f>
        <v>880.784596125</v>
      </c>
      <c r="E11" s="0" t="n">
        <f aca="false">E8+E10+E24</f>
        <v>923.510729629687</v>
      </c>
      <c r="F11" s="0" t="n">
        <f aca="false">F8+F10+F24</f>
        <v>960.747952248164</v>
      </c>
      <c r="G11" s="0" t="n">
        <f aca="false">G8+G10+G24</f>
        <v>999.269841791545</v>
      </c>
      <c r="H11" s="0" t="n">
        <f aca="false">H8+H10+H24</f>
        <v>1043.997682025</v>
      </c>
      <c r="I11" s="0" t="n">
        <f aca="false">I8+I10+I24</f>
        <v>1064.8776356655</v>
      </c>
      <c r="J11" s="0" t="n">
        <f aca="false">J8+J10+J24</f>
        <v>1086.17518837881</v>
      </c>
      <c r="K11" s="0" t="n">
        <f aca="false">K8+K10+K24</f>
        <v>1107.89869214639</v>
      </c>
      <c r="L11" s="0" t="n">
        <f aca="false">L8+L10+L24</f>
        <v>1130.05666598932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-348.1881375</v>
      </c>
      <c r="D12" s="4" t="n">
        <f aca="false">-D6*Assumptions!D31/100</f>
        <v>-356.8928409375</v>
      </c>
      <c r="E12" s="4" t="n">
        <f aca="false">-E6*Assumptions!E31/100</f>
        <v>-365.815161960937</v>
      </c>
      <c r="F12" s="4" t="n">
        <f aca="false">-F6*Assumptions!F31/100</f>
        <v>-374.960541009961</v>
      </c>
      <c r="G12" s="4" t="n">
        <f aca="false">-G6*Assumptions!G31/100</f>
        <v>-384.33455453521</v>
      </c>
      <c r="H12" s="4" t="n">
        <f aca="false">-H6*Assumptions!H31/100</f>
        <v>-392.982082012252</v>
      </c>
      <c r="I12" s="4" t="n">
        <f aca="false">-I6*Assumptions!I31/100</f>
        <v>-400.841723652497</v>
      </c>
      <c r="J12" s="4" t="n">
        <f aca="false">-J6*Assumptions!J31/100</f>
        <v>-408.858558125547</v>
      </c>
      <c r="K12" s="4" t="n">
        <f aca="false">-K6*Assumptions!K31/100</f>
        <v>-417.035729288058</v>
      </c>
      <c r="L12" s="4" t="n">
        <f aca="false">-L6*Assumptions!L31/100</f>
        <v>-425.376443873819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504.54432</v>
      </c>
      <c r="D13" s="0" t="n">
        <f aca="false">D11+D12</f>
        <v>523.8917551875</v>
      </c>
      <c r="E13" s="0" t="n">
        <f aca="false">E11+E12</f>
        <v>557.69556766875</v>
      </c>
      <c r="F13" s="0" t="n">
        <f aca="false">F11+F12</f>
        <v>585.787411238203</v>
      </c>
      <c r="G13" s="0" t="n">
        <f aca="false">G11+G12</f>
        <v>614.935287256336</v>
      </c>
      <c r="H13" s="0" t="n">
        <f aca="false">H11+H12</f>
        <v>651.015600012749</v>
      </c>
      <c r="I13" s="0" t="n">
        <f aca="false">I11+I12</f>
        <v>664.035912013004</v>
      </c>
      <c r="J13" s="0" t="n">
        <f aca="false">J11+J12</f>
        <v>677.316630253265</v>
      </c>
      <c r="K13" s="0" t="n">
        <f aca="false">K11+K12</f>
        <v>690.86296285833</v>
      </c>
      <c r="L13" s="0" t="n">
        <f aca="false">L11+L12</f>
        <v>704.680222115497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373.3627968</v>
      </c>
      <c r="D15" s="0" t="n">
        <f aca="false">D13-MAX(0,D13)*D14/100</f>
        <v>387.67989883875</v>
      </c>
      <c r="E15" s="0" t="n">
        <f aca="false">E13-MAX(0,E13)*E14/100</f>
        <v>412.694720074875</v>
      </c>
      <c r="F15" s="0" t="n">
        <f aca="false">F13-MAX(0,F13)*F14/100</f>
        <v>433.48268431627</v>
      </c>
      <c r="G15" s="0" t="n">
        <f aca="false">G13-MAX(0,G13)*G14/100</f>
        <v>455.052112569688</v>
      </c>
      <c r="H15" s="0" t="n">
        <f aca="false">H13-MAX(0,H13)*H14/100</f>
        <v>481.751544009434</v>
      </c>
      <c r="I15" s="0" t="n">
        <f aca="false">I13-MAX(0,I13)*I14/100</f>
        <v>491.386574889623</v>
      </c>
      <c r="J15" s="0" t="n">
        <f aca="false">J13-MAX(0,J13)*J14/100</f>
        <v>501.214306387416</v>
      </c>
      <c r="K15" s="0" t="n">
        <f aca="false">K13-MAX(0,K13)*K14/100</f>
        <v>511.238592515164</v>
      </c>
      <c r="L15" s="0" t="n">
        <f aca="false">L13-MAX(0,L13)*L14/100</f>
        <v>521.463364365468</v>
      </c>
    </row>
    <row r="16" customFormat="false" ht="15" hidden="false" customHeight="false" outlineLevel="0" collapsed="false">
      <c r="A16" s="0" t="s">
        <v>123</v>
      </c>
      <c r="C16" s="0" t="n">
        <f aca="false">-C12</f>
        <v>348.1881375</v>
      </c>
      <c r="D16" s="0" t="n">
        <f aca="false">-D12</f>
        <v>356.8928409375</v>
      </c>
      <c r="E16" s="0" t="n">
        <f aca="false">-E12</f>
        <v>365.815161960937</v>
      </c>
      <c r="F16" s="0" t="n">
        <f aca="false">-F12</f>
        <v>374.960541009961</v>
      </c>
      <c r="G16" s="0" t="n">
        <f aca="false">-G12</f>
        <v>384.33455453521</v>
      </c>
      <c r="H16" s="0" t="n">
        <f aca="false">-H12</f>
        <v>392.982082012252</v>
      </c>
      <c r="I16" s="0" t="n">
        <f aca="false">-I12</f>
        <v>400.841723652497</v>
      </c>
      <c r="J16" s="0" t="n">
        <f aca="false">-J12</f>
        <v>408.858558125547</v>
      </c>
      <c r="K16" s="0" t="n">
        <f aca="false">-K12</f>
        <v>417.035729288058</v>
      </c>
      <c r="L16" s="0" t="n">
        <f aca="false">-L12</f>
        <v>425.376443873819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-394.17525</v>
      </c>
      <c r="D17" s="4" t="n">
        <f aca="false">-D6*Assumptions!D32/100</f>
        <v>-404.02963125</v>
      </c>
      <c r="E17" s="4" t="n">
        <f aca="false">-E6*Assumptions!E32/100</f>
        <v>-414.13037203125</v>
      </c>
      <c r="F17" s="4" t="n">
        <f aca="false">-F6*Assumptions!F32/100</f>
        <v>-424.483631332031</v>
      </c>
      <c r="G17" s="4" t="n">
        <f aca="false">-G6*Assumptions!G32/100</f>
        <v>-435.095722115332</v>
      </c>
      <c r="H17" s="4" t="n">
        <f aca="false">-H6*Assumptions!H32/100</f>
        <v>-444.885375862927</v>
      </c>
      <c r="I17" s="4" t="n">
        <f aca="false">-I6*Assumptions!I32/100</f>
        <v>-453.783083380185</v>
      </c>
      <c r="J17" s="4" t="n">
        <f aca="false">-J6*Assumptions!J32/100</f>
        <v>-462.858745047789</v>
      </c>
      <c r="K17" s="4" t="n">
        <f aca="false">-K6*Assumptions!K32/100</f>
        <v>-472.115919948745</v>
      </c>
      <c r="L17" s="4" t="n">
        <f aca="false">-L6*Assumptions!L32/100</f>
        <v>-481.55823834772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327.3756843</v>
      </c>
      <c r="D19" s="0" t="n">
        <f aca="false">D15+D16+D17+D18</f>
        <v>340.54310852625</v>
      </c>
      <c r="E19" s="0" t="n">
        <f aca="false">E15+E16+E17+E18</f>
        <v>364.379510004562</v>
      </c>
      <c r="F19" s="0" t="n">
        <f aca="false">F15+F16+F17+F18</f>
        <v>383.9595939942</v>
      </c>
      <c r="G19" s="0" t="n">
        <f aca="false">G15+G16+G17+G18</f>
        <v>404.290944989566</v>
      </c>
      <c r="H19" s="0" t="n">
        <f aca="false">H15+H16+H17+H18</f>
        <v>429.84825015876</v>
      </c>
      <c r="I19" s="0" t="n">
        <f aca="false">I15+I16+I17+I18</f>
        <v>438.445215161935</v>
      </c>
      <c r="J19" s="0" t="n">
        <f aca="false">J15+J16+J17+J18</f>
        <v>447.214119465174</v>
      </c>
      <c r="K19" s="0" t="n">
        <f aca="false">K15+K16+K17+K18</f>
        <v>456.158401854477</v>
      </c>
      <c r="L19" s="0" t="n">
        <f aca="false">L15+L16+L17+L18</f>
        <v>465.281569891567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300.344664495413</v>
      </c>
      <c r="D21" s="0" t="n">
        <f aca="false">D19*D20</f>
        <v>286.628321291347</v>
      </c>
      <c r="E21" s="0" t="n">
        <f aca="false">E19*E20</f>
        <v>281.367838098268</v>
      </c>
      <c r="F21" s="0" t="n">
        <f aca="false">F19*F20</f>
        <v>272.006656415848</v>
      </c>
      <c r="G21" s="0" t="n">
        <f aca="false">G19*G20</f>
        <v>262.761374344937</v>
      </c>
      <c r="H21" s="0" t="n">
        <f aca="false">H19*H20</f>
        <v>256.304467085872</v>
      </c>
      <c r="I21" s="0" t="n">
        <f aca="false">I19*I20</f>
        <v>239.844547181275</v>
      </c>
      <c r="J21" s="0" t="n">
        <f aca="false">J19*J20</f>
        <v>224.44168635312</v>
      </c>
      <c r="K21" s="0" t="n">
        <f aca="false">K19*K20</f>
        <v>210.028000073561</v>
      </c>
      <c r="L21" s="0" t="n">
        <f aca="false">L19*L20</f>
        <v>196.53996337159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3.85</v>
      </c>
      <c r="D23" s="4" t="n">
        <f aca="false">Assumptions!D30</f>
        <v>3.85</v>
      </c>
      <c r="E23" s="4" t="n">
        <f aca="false">Assumptions!E30</f>
        <v>3.8</v>
      </c>
      <c r="F23" s="4" t="n">
        <f aca="false">Assumptions!F30</f>
        <v>3.8</v>
      </c>
      <c r="G23" s="4" t="n">
        <f aca="false">Assumptions!G30</f>
        <v>3.8</v>
      </c>
      <c r="H23" s="4" t="n">
        <f aca="false">Assumptions!H30</f>
        <v>3.75</v>
      </c>
      <c r="I23" s="4" t="n">
        <f aca="false">Assumptions!I30</f>
        <v>3.75</v>
      </c>
      <c r="J23" s="4" t="n">
        <f aca="false">Assumptions!J30</f>
        <v>3.75</v>
      </c>
      <c r="K23" s="4" t="n">
        <f aca="false">Assumptions!K30</f>
        <v>3.75</v>
      </c>
      <c r="L23" s="4" t="n">
        <f aca="false">Assumptions!L30</f>
        <v>3.75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-505.8582375</v>
      </c>
      <c r="D24" s="0" t="n">
        <f aca="false">-D6*D23/100</f>
        <v>-518.5046934375</v>
      </c>
      <c r="E24" s="0" t="n">
        <f aca="false">-E6*E23/100</f>
        <v>-524.56513790625</v>
      </c>
      <c r="F24" s="0" t="n">
        <f aca="false">-F6*F23/100</f>
        <v>-537.679266353906</v>
      </c>
      <c r="G24" s="0" t="n">
        <f aca="false">-G6*G23/100</f>
        <v>-551.121248012754</v>
      </c>
      <c r="H24" s="0" t="n">
        <f aca="false">-H6*H23/100</f>
        <v>-556.106719828659</v>
      </c>
      <c r="I24" s="0" t="n">
        <f aca="false">-I6*I23/100</f>
        <v>-567.228854225232</v>
      </c>
      <c r="J24" s="0" t="n">
        <f aca="false">-J6*J23/100</f>
        <v>-578.573431309736</v>
      </c>
      <c r="K24" s="0" t="n">
        <f aca="false">-K6*K23/100</f>
        <v>-590.144899935931</v>
      </c>
      <c r="L24" s="0" t="n">
        <f aca="false">-L6*L23/100</f>
        <v>-601.94779793465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2530.26751871123</v>
      </c>
    </row>
    <row r="31" customFormat="false" ht="15" hidden="false" customHeight="false" outlineLevel="0" collapsed="false">
      <c r="A31" s="0" t="s">
        <v>132</v>
      </c>
      <c r="B31" s="0" t="n">
        <f aca="false">L19</f>
        <v>465.281569891567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6779.81716127712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6513.94197848194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6513.94197848194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2751.55948720226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5281.82700591349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5590.82700591349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333.382647937596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0.0483731067220001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194.00945313148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207.483712108281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357.323802692501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3650.67077914922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188.146748187653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2.5</v>
      </c>
      <c r="D5" s="4" t="n">
        <f aca="false">Assumptions!D41</f>
        <v>3.5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12945</v>
      </c>
      <c r="C6" s="0" t="n">
        <f aca="false">B6*(1+C5/100)</f>
        <v>13268.625</v>
      </c>
      <c r="D6" s="0" t="n">
        <f aca="false">C6*(1+D5/100)</f>
        <v>13733.026875</v>
      </c>
      <c r="E6" s="0" t="n">
        <f aca="false">D6*(1+E5/100)</f>
        <v>14213.682815625</v>
      </c>
      <c r="F6" s="0" t="n">
        <f aca="false">E6*(1+F5/100)</f>
        <v>14711.1617141719</v>
      </c>
      <c r="G6" s="0" t="n">
        <f aca="false">F6*(1+G5/100)</f>
        <v>15152.496565597</v>
      </c>
      <c r="H6" s="0" t="n">
        <f aca="false">G6*(1+H5/100)</f>
        <v>15607.0714625649</v>
      </c>
      <c r="I6" s="0" t="n">
        <f aca="false">H6*(1+I5/100)</f>
        <v>15997.2482491291</v>
      </c>
      <c r="J6" s="0" t="n">
        <f aca="false">I6*(1+J5/100)</f>
        <v>16397.1794553573</v>
      </c>
      <c r="K6" s="0" t="n">
        <f aca="false">J6*(1+K5/100)</f>
        <v>16807.1089417412</v>
      </c>
      <c r="L6" s="0" t="n">
        <f aca="false">K6*(1+L5/100)</f>
        <v>17227.2866652847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10.7</v>
      </c>
      <c r="D7" s="4" t="n">
        <f aca="false">Assumptions!D42</f>
        <v>10.9</v>
      </c>
      <c r="E7" s="4" t="n">
        <f aca="false">Assumptions!E42</f>
        <v>11.2</v>
      </c>
      <c r="F7" s="4" t="n">
        <f aca="false">Assumptions!F42</f>
        <v>11.5</v>
      </c>
      <c r="G7" s="4" t="n">
        <f aca="false">Assumptions!G42</f>
        <v>11.8</v>
      </c>
      <c r="H7" s="4" t="n">
        <f aca="false">Assumptions!H42</f>
        <v>12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1419.742875</v>
      </c>
      <c r="D8" s="0" t="n">
        <f aca="false">D6*D7/100</f>
        <v>1496.899929375</v>
      </c>
      <c r="E8" s="0" t="n">
        <f aca="false">E6*E7/100</f>
        <v>1591.93247535</v>
      </c>
      <c r="F8" s="0" t="n">
        <f aca="false">F6*F7/100</f>
        <v>1691.78359712977</v>
      </c>
      <c r="G8" s="0" t="n">
        <f aca="false">G6*G7/100</f>
        <v>1787.99459474045</v>
      </c>
      <c r="H8" s="0" t="n">
        <f aca="false">H6*H7/100</f>
        <v>1872.84857550779</v>
      </c>
      <c r="I8" s="0" t="n">
        <f aca="false">I6*I7/100</f>
        <v>1919.66978989549</v>
      </c>
      <c r="J8" s="0" t="n">
        <f aca="false">J6*J7/100</f>
        <v>1967.66153464287</v>
      </c>
      <c r="K8" s="0" t="n">
        <f aca="false">K6*K7/100</f>
        <v>2016.85307300895</v>
      </c>
      <c r="L8" s="0" t="n">
        <f aca="false">L6*L7/100</f>
        <v>2067.27439983417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0.21</v>
      </c>
      <c r="D9" s="4" t="n">
        <f aca="false">Assumptions!D43</f>
        <v>0.21</v>
      </c>
      <c r="E9" s="4" t="n">
        <f aca="false">Assumptions!E43</f>
        <v>0.21</v>
      </c>
      <c r="F9" s="4" t="n">
        <f aca="false">Assumptions!F43</f>
        <v>0.21</v>
      </c>
      <c r="G9" s="4" t="n">
        <f aca="false">Assumptions!G43</f>
        <v>0.21</v>
      </c>
      <c r="H9" s="4" t="n">
        <f aca="false">Assumptions!H43</f>
        <v>0.21</v>
      </c>
      <c r="I9" s="4" t="n">
        <f aca="false">Assumptions!I43</f>
        <v>0.21</v>
      </c>
      <c r="J9" s="4" t="n">
        <f aca="false">Assumptions!J43</f>
        <v>0.21</v>
      </c>
      <c r="K9" s="4" t="n">
        <f aca="false">Assumptions!K43</f>
        <v>0.21</v>
      </c>
      <c r="L9" s="4" t="n">
        <f aca="false">Assumptions!L43</f>
        <v>0.21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-27.8641125</v>
      </c>
      <c r="D10" s="0" t="n">
        <f aca="false">-D6*D9/100</f>
        <v>-28.8393564375</v>
      </c>
      <c r="E10" s="0" t="n">
        <f aca="false">-E6*E9/100</f>
        <v>-29.8487339128125</v>
      </c>
      <c r="F10" s="0" t="n">
        <f aca="false">-F6*F9/100</f>
        <v>-30.8934395997609</v>
      </c>
      <c r="G10" s="0" t="n">
        <f aca="false">-G6*G9/100</f>
        <v>-31.8202427877538</v>
      </c>
      <c r="H10" s="0" t="n">
        <f aca="false">-H6*H9/100</f>
        <v>-32.7748500713864</v>
      </c>
      <c r="I10" s="0" t="n">
        <f aca="false">-I6*I9/100</f>
        <v>-33.594221323171</v>
      </c>
      <c r="J10" s="0" t="n">
        <f aca="false">-J6*J9/100</f>
        <v>-34.4340768562503</v>
      </c>
      <c r="K10" s="0" t="n">
        <f aca="false">-K6*K9/100</f>
        <v>-35.2949287776566</v>
      </c>
      <c r="L10" s="0" t="n">
        <f aca="false">-L6*L9/100</f>
        <v>-36.177301997098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887.6710125</v>
      </c>
      <c r="D11" s="0" t="n">
        <f aca="false">D8+D10+D24</f>
        <v>953.072065125</v>
      </c>
      <c r="E11" s="0" t="n">
        <f aca="false">E8+E10+E24</f>
        <v>1036.17747725906</v>
      </c>
      <c r="F11" s="0" t="n">
        <f aca="false">F8+F10+F24</f>
        <v>1123.93275496273</v>
      </c>
      <c r="G11" s="0" t="n">
        <f aca="false">G8+G10+G24</f>
        <v>1210.6844755912</v>
      </c>
      <c r="H11" s="0" t="n">
        <f aca="false">H8+H10+H24</f>
        <v>1286.02268851535</v>
      </c>
      <c r="I11" s="0" t="n">
        <f aca="false">I8+I10+I24</f>
        <v>1326.1718798528</v>
      </c>
      <c r="J11" s="0" t="n">
        <f aca="false">J8+J10+J24</f>
        <v>1359.32617684912</v>
      </c>
      <c r="K11" s="0" t="n">
        <f aca="false">K8+K10+K24</f>
        <v>1393.30933127035</v>
      </c>
      <c r="L11" s="0" t="n">
        <f aca="false">L8+L10+L24</f>
        <v>1428.14206455211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-351.6185625</v>
      </c>
      <c r="D12" s="4" t="n">
        <f aca="false">-D6*Assumptions!D45/100</f>
        <v>-363.9252121875</v>
      </c>
      <c r="E12" s="4" t="n">
        <f aca="false">-E6*Assumptions!E45/100</f>
        <v>-376.662594614062</v>
      </c>
      <c r="F12" s="4" t="n">
        <f aca="false">-F6*Assumptions!F45/100</f>
        <v>-389.845785425555</v>
      </c>
      <c r="G12" s="4" t="n">
        <f aca="false">-G6*Assumptions!G45/100</f>
        <v>-401.541158988321</v>
      </c>
      <c r="H12" s="4" t="n">
        <f aca="false">-H6*Assumptions!H45/100</f>
        <v>-413.587393757971</v>
      </c>
      <c r="I12" s="4" t="n">
        <f aca="false">-I6*Assumptions!I45/100</f>
        <v>-423.92707860192</v>
      </c>
      <c r="J12" s="4" t="n">
        <f aca="false">-J6*Assumptions!J45/100</f>
        <v>-434.525255566968</v>
      </c>
      <c r="K12" s="4" t="n">
        <f aca="false">-K6*Assumptions!K45/100</f>
        <v>-445.388386956142</v>
      </c>
      <c r="L12" s="4" t="n">
        <f aca="false">-L6*Assumptions!L45/100</f>
        <v>-456.523096630046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536.05245</v>
      </c>
      <c r="D13" s="0" t="n">
        <f aca="false">D11+D12</f>
        <v>589.1468529375</v>
      </c>
      <c r="E13" s="0" t="n">
        <f aca="false">E11+E12</f>
        <v>659.514882645</v>
      </c>
      <c r="F13" s="0" t="n">
        <f aca="false">F11+F12</f>
        <v>734.086969537176</v>
      </c>
      <c r="G13" s="0" t="n">
        <f aca="false">G11+G12</f>
        <v>809.143316602881</v>
      </c>
      <c r="H13" s="0" t="n">
        <f aca="false">H11+H12</f>
        <v>872.43529475738</v>
      </c>
      <c r="I13" s="0" t="n">
        <f aca="false">I11+I12</f>
        <v>902.244801250879</v>
      </c>
      <c r="J13" s="0" t="n">
        <f aca="false">J11+J12</f>
        <v>924.800921282151</v>
      </c>
      <c r="K13" s="0" t="n">
        <f aca="false">K11+K12</f>
        <v>947.920944314205</v>
      </c>
      <c r="L13" s="0" t="n">
        <f aca="false">L11+L12</f>
        <v>971.61896792206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399.35907525</v>
      </c>
      <c r="D15" s="0" t="n">
        <f aca="false">D13-MAX(0,D13)*D14/100</f>
        <v>438.914405438438</v>
      </c>
      <c r="E15" s="0" t="n">
        <f aca="false">E13-MAX(0,E13)*E14/100</f>
        <v>491.338587570525</v>
      </c>
      <c r="F15" s="0" t="n">
        <f aca="false">F13-MAX(0,F13)*F14/100</f>
        <v>546.894792305196</v>
      </c>
      <c r="G15" s="0" t="n">
        <f aca="false">G13-MAX(0,G13)*G14/100</f>
        <v>602.811770869147</v>
      </c>
      <c r="H15" s="0" t="n">
        <f aca="false">H13-MAX(0,H13)*H14/100</f>
        <v>649.964294594248</v>
      </c>
      <c r="I15" s="0" t="n">
        <f aca="false">I13-MAX(0,I13)*I14/100</f>
        <v>672.172376931905</v>
      </c>
      <c r="J15" s="0" t="n">
        <f aca="false">J13-MAX(0,J13)*J14/100</f>
        <v>688.976686355202</v>
      </c>
      <c r="K15" s="0" t="n">
        <f aca="false">K13-MAX(0,K13)*K14/100</f>
        <v>706.201103514082</v>
      </c>
      <c r="L15" s="0" t="n">
        <f aca="false">L13-MAX(0,L13)*L14/100</f>
        <v>723.856131101935</v>
      </c>
    </row>
    <row r="16" customFormat="false" ht="15" hidden="false" customHeight="false" outlineLevel="0" collapsed="false">
      <c r="A16" s="0" t="s">
        <v>123</v>
      </c>
      <c r="C16" s="0" t="n">
        <f aca="false">-C12</f>
        <v>351.6185625</v>
      </c>
      <c r="D16" s="0" t="n">
        <f aca="false">-D12</f>
        <v>363.9252121875</v>
      </c>
      <c r="E16" s="0" t="n">
        <f aca="false">-E12</f>
        <v>376.662594614062</v>
      </c>
      <c r="F16" s="0" t="n">
        <f aca="false">-F12</f>
        <v>389.845785425555</v>
      </c>
      <c r="G16" s="0" t="n">
        <f aca="false">-G12</f>
        <v>401.541158988321</v>
      </c>
      <c r="H16" s="0" t="n">
        <f aca="false">-H12</f>
        <v>413.587393757971</v>
      </c>
      <c r="I16" s="0" t="n">
        <f aca="false">-I12</f>
        <v>423.92707860192</v>
      </c>
      <c r="J16" s="0" t="n">
        <f aca="false">-J12</f>
        <v>434.525255566968</v>
      </c>
      <c r="K16" s="0" t="n">
        <f aca="false">-K12</f>
        <v>445.388386956142</v>
      </c>
      <c r="L16" s="0" t="n">
        <f aca="false">-L12</f>
        <v>456.523096630046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-398.05875</v>
      </c>
      <c r="D17" s="4" t="n">
        <f aca="false">-D6*Assumptions!D46/100</f>
        <v>-411.99080625</v>
      </c>
      <c r="E17" s="4" t="n">
        <f aca="false">-E6*Assumptions!E46/100</f>
        <v>-426.41048446875</v>
      </c>
      <c r="F17" s="4" t="n">
        <f aca="false">-F6*Assumptions!F46/100</f>
        <v>-441.334851425156</v>
      </c>
      <c r="G17" s="4" t="n">
        <f aca="false">-G6*Assumptions!G46/100</f>
        <v>-454.574896967911</v>
      </c>
      <c r="H17" s="4" t="n">
        <f aca="false">-H6*Assumptions!H46/100</f>
        <v>-468.212143876948</v>
      </c>
      <c r="I17" s="4" t="n">
        <f aca="false">-I6*Assumptions!I46/100</f>
        <v>-479.917447473872</v>
      </c>
      <c r="J17" s="4" t="n">
        <f aca="false">-J6*Assumptions!J46/100</f>
        <v>-491.915383660719</v>
      </c>
      <c r="K17" s="4" t="n">
        <f aca="false">-K6*Assumptions!K46/100</f>
        <v>-504.213268252236</v>
      </c>
      <c r="L17" s="4" t="n">
        <f aca="false">-L6*Assumptions!L46/100</f>
        <v>-516.818599958542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352.91888775</v>
      </c>
      <c r="D19" s="0" t="n">
        <f aca="false">D15+D16+D17+D18</f>
        <v>390.848811375938</v>
      </c>
      <c r="E19" s="0" t="n">
        <f aca="false">E15+E16+E17+E18</f>
        <v>441.590697715837</v>
      </c>
      <c r="F19" s="0" t="n">
        <f aca="false">F15+F16+F17+F18</f>
        <v>495.405726305595</v>
      </c>
      <c r="G19" s="0" t="n">
        <f aca="false">G15+G16+G17+G18</f>
        <v>549.778032889557</v>
      </c>
      <c r="H19" s="0" t="n">
        <f aca="false">H15+H16+H17+H18</f>
        <v>595.339544475271</v>
      </c>
      <c r="I19" s="0" t="n">
        <f aca="false">I15+I16+I17+I18</f>
        <v>616.182008059953</v>
      </c>
      <c r="J19" s="0" t="n">
        <f aca="false">J15+J16+J17+J18</f>
        <v>631.586558261452</v>
      </c>
      <c r="K19" s="0" t="n">
        <f aca="false">K15+K16+K17+K18</f>
        <v>647.376222217988</v>
      </c>
      <c r="L19" s="0" t="n">
        <f aca="false">L15+L16+L17+L18</f>
        <v>663.560627773438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323.778796100918</v>
      </c>
      <c r="D21" s="0" t="n">
        <f aca="false">D19*D20</f>
        <v>328.969624927142</v>
      </c>
      <c r="E21" s="0" t="n">
        <f aca="false">E19*E20</f>
        <v>340.989041724809</v>
      </c>
      <c r="F21" s="0" t="n">
        <f aca="false">F19*F20</f>
        <v>350.957906220948</v>
      </c>
      <c r="G21" s="0" t="n">
        <f aca="false">G19*G20</f>
        <v>357.317999072287</v>
      </c>
      <c r="H21" s="0" t="n">
        <f aca="false">H19*H20</f>
        <v>354.98151876976</v>
      </c>
      <c r="I21" s="0" t="n">
        <f aca="false">I19*I20</f>
        <v>337.072659465115</v>
      </c>
      <c r="J21" s="0" t="n">
        <f aca="false">J19*J20</f>
        <v>316.971996286003</v>
      </c>
      <c r="K21" s="0" t="n">
        <f aca="false">K19*K20</f>
        <v>298.06999650748</v>
      </c>
      <c r="L21" s="0" t="n">
        <f aca="false">L19*L20</f>
        <v>280.295180201988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3.8</v>
      </c>
      <c r="D23" s="4" t="n">
        <f aca="false">Assumptions!D44</f>
        <v>3.75</v>
      </c>
      <c r="E23" s="4" t="n">
        <f aca="false">Assumptions!E44</f>
        <v>3.7</v>
      </c>
      <c r="F23" s="4" t="n">
        <f aca="false">Assumptions!F44</f>
        <v>3.65</v>
      </c>
      <c r="G23" s="4" t="n">
        <f aca="false">Assumptions!G44</f>
        <v>3.6</v>
      </c>
      <c r="H23" s="4" t="n">
        <f aca="false">Assumptions!H44</f>
        <v>3.55</v>
      </c>
      <c r="I23" s="4" t="n">
        <f aca="false">Assumptions!I44</f>
        <v>3.5</v>
      </c>
      <c r="J23" s="4" t="n">
        <f aca="false">Assumptions!J44</f>
        <v>3.5</v>
      </c>
      <c r="K23" s="4" t="n">
        <f aca="false">Assumptions!K44</f>
        <v>3.5</v>
      </c>
      <c r="L23" s="4" t="n">
        <f aca="false">Assumptions!L44</f>
        <v>3.5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-504.20775</v>
      </c>
      <c r="D24" s="0" t="n">
        <f aca="false">-D6*D23/100</f>
        <v>-514.9885078125</v>
      </c>
      <c r="E24" s="0" t="n">
        <f aca="false">-E6*E23/100</f>
        <v>-525.906264178125</v>
      </c>
      <c r="F24" s="0" t="n">
        <f aca="false">-F6*F23/100</f>
        <v>-536.957402567273</v>
      </c>
      <c r="G24" s="0" t="n">
        <f aca="false">-G6*G23/100</f>
        <v>-545.489876361493</v>
      </c>
      <c r="H24" s="0" t="n">
        <f aca="false">-H6*H23/100</f>
        <v>-554.051036921055</v>
      </c>
      <c r="I24" s="0" t="n">
        <f aca="false">-I6*I23/100</f>
        <v>-559.903688719517</v>
      </c>
      <c r="J24" s="0" t="n">
        <f aca="false">-J6*J23/100</f>
        <v>-573.901280937505</v>
      </c>
      <c r="K24" s="0" t="n">
        <f aca="false">-K6*K23/100</f>
        <v>-588.248812960943</v>
      </c>
      <c r="L24" s="0" t="n">
        <f aca="false">-L6*L23/100</f>
        <v>-602.955033284966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3289.40471927645</v>
      </c>
    </row>
    <row r="31" customFormat="false" ht="15" hidden="false" customHeight="false" outlineLevel="0" collapsed="false">
      <c r="A31" s="0" t="s">
        <v>132</v>
      </c>
      <c r="B31" s="0" t="n">
        <f aca="false">L19</f>
        <v>663.560627773438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10463.840668735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9289.84878882813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9289.84878882813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3924.13252282783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7213.53724210428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7522.53724210428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448.571093745037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0.410600923726532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202.185793292578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240.980390940011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474.997222798859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5441.19714774219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247.279974820089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183.988486281646</v>
      </c>
      <c r="C4" s="0" t="n">
        <f aca="false">B4/Assumptions!$B$2-1</f>
        <v>-0.421419854460233</v>
      </c>
      <c r="D4" s="4" t="n">
        <f aca="false">Assumptions!$B$24</f>
        <v>0.25</v>
      </c>
      <c r="E4" s="4" t="n">
        <f aca="false">DCF_Bear!$B$43</f>
        <v>205.066017383994</v>
      </c>
      <c r="F4" s="4" t="n">
        <f aca="false">DCF_Bear!$B$47</f>
        <v>113.362389739998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333.382647937596</v>
      </c>
      <c r="C5" s="0" t="n">
        <f aca="false">B5/Assumptions!$B$2-1</f>
        <v>0.0483731067220001</v>
      </c>
      <c r="D5" s="4" t="n">
        <f aca="false">Assumptions!$B$38</f>
        <v>0.5</v>
      </c>
      <c r="E5" s="4" t="n">
        <f aca="false">DCF_Base!$B$43</f>
        <v>357.323802692501</v>
      </c>
      <c r="F5" s="4" t="n">
        <f aca="false">DCF_Base!$B$47</f>
        <v>188.146748187653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448.571093745037</v>
      </c>
      <c r="C6" s="0" t="n">
        <f aca="false">B6/Assumptions!$B$2-1</f>
        <v>0.410600923726532</v>
      </c>
      <c r="D6" s="4" t="n">
        <f aca="false">Assumptions!$B$52</f>
        <v>0.25</v>
      </c>
      <c r="E6" s="4" t="n">
        <f aca="false">DCF_Bull!$B$43</f>
        <v>474.997222798859</v>
      </c>
      <c r="F6" s="4" t="n">
        <f aca="false">DCF_Bull!$B$47</f>
        <v>247.279974820089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324.831218975469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348.677711391964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0.0210300567692194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-28.6466405882972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184.233965233848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333.382647937596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298.8297735864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266.785190917907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241.182465743708</v>
      </c>
      <c r="C18" s="3" t="n">
        <v>12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188.146748187653</v>
      </c>
      <c r="C19" s="3" t="n">
        <v>15</v>
      </c>
    </row>
    <row r="21" customFormat="false" ht="15" hidden="false" customHeight="false" outlineLevel="0" collapsed="false">
      <c r="A21" s="2" t="s">
        <v>168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382.037734379235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382.037734379235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382.037734379235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382.037734379235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382.037734379235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356.586969404487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356.586969404487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356.586969404487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356.586969404487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356.586969404487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317.268011704088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327.913438064405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333.382647937596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333.382647937596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333.382647937596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282.487362728417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290.177909014527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298.8297735864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308.635220101189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312.200837015658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254.733902813161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260.442407704883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266.785190917907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273.8741839207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281.849301048841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2026-10-10T00:50:40Z</dcterms:created>
  <dc:creator>openpyxl</dc:creator>
  <dc:description/>
  <dc:language>en-NZ</dc:language>
  <cp:lastModifiedBy/>
  <dcterms:modified xsi:type="dcterms:W3CDTF">2026-10-10T00:50:40Z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