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<sst xmlns="http://schemas.openxmlformats.org/spreadsheetml/2006/main" count="357" uniqueCount="165">
  <si>
    <t xml:space="preserve">Ticker</t>
  </si>
  <si>
    <t xml:space="preserve">0297.HK</t>
  </si>
  <si>
    <t xml:space="preserve">Company</t>
  </si>
  <si>
    <t xml:space="preserve">Sinofert Holdings Limited</t>
  </si>
  <si>
    <t xml:space="preserve">Valuation date</t>
  </si>
  <si>
    <t xml:space="preserve">2026-10-11</t>
  </si>
  <si>
    <t xml:space="preserve">Current price</t>
  </si>
  <si>
    <t xml:space="preserve">Price as of</t>
  </si>
  <si>
    <t xml:space="preserve">2026-10-09T08:08:05Z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</si>
  <si>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</si>
  <si>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</si>
  <si>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</si>
  <si>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</si>
  <si>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</si>
  <si>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</si>
  <si>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</si>
  <si>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</si>
  <si>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</si>
  <si>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</si>
  <si>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</si>
  <si>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</si>
  <si>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</si>
  <si>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2026-10-10T21:54:28Z</t>
  </si>
  <si>
    <t xml:space="preserve">Drivers file</t>
  </si>
  <si>
    <t xml:space="preserve">0297.HK_Drivers.json</t>
  </si>
  <si>
    <t xml:space="preserve">Convention</t>
  </si>
  <si>
    <t xml:space="preserve">Percents stored as percents; formulas divide by 100. Blue = input, green = link, black = formula.</t>
  </si>
  <si>
    <t xml:space="preserve">Methodology</t>
  </si>
  <si>
    <t xml:space="preserve">summary: Cyclical, SBC-zero, net-cash state-linked distributor valued on mid-cycle owner FCF in RMB at an RMB cost of equity, converted to HKD. Net cash is taken at the seasonal June low and interest income is stripped from EBITDA so the cash is counted once. The market prices the stock at roughly 2x EV/EBITDA and ~6x earnings, i.e. it gives little credit for either the cash or the earnings -- a classic HK SOE-subsidiary discount; the gap to intrinsic value is a re-rating/cash-access thesis, not a growth thesis.
key_risks_to_valuation: Cash access: a large share of time deposits sits with a Sinochem fellow subsidiary; the value of net cash to minorities depends on payout policy (FY2025 dividends 525m, ~42% payout).; Cyclicality: potash contract price and domestic fertilizer spreads; FY2017 RMB2.2bn loss.; Policy: export controls/quotas on urea and phosphate, strategic-reserve obligations, fertilizer price guidance.; Chronically low multiple: no re-rate means the market value tracks cash plus a few years of earnings, not DCF value.; Working-capital seasonality: H1 operating cash flow is negative every year; year-end cash includes farmer prepayments.</t>
  </si>
  <si>
    <t xml:space="preserve">Data sources</t>
  </si>
  <si>
    <t xml:space="preserve">price: Yahoo Finance chart API (0297.HK) at inputs.price_as_of; 52-week range 1.175-2.07 HKD. FX Yahoo CNYHKD=X.
financials: 0297.HK_Metrics.csv (FY2017-FY2025 annual reports, H1 FY2023-FY2026 interims); interim balance sheet and income statement 0297.HK_HalfYear_H1-2026.txt lines 1690-1890; FY2025 income statement 0297.HK_Annual_FY2025.txt lines 5505-5530.
qualitative: Management Review and Prospect, H1 FY2026 interim report; Analysis JSON not yet available at build time.</t>
  </si>
  <si>
    <t xml:space="preserve">Scenario narrative: bear</t>
  </si>
  <si>
    <t xml:space="preserve">The margin expansion was cyclical: potash prices and the strategic-reserve release spread normalise, domestic competition intensifies as export space narrows (management already flags 'compressing industry profit margins'), and margin falls back to the 4% of FY2019-21 while revenue shrinks. FY2017's RMB2.2bn impairment-driven loss shows tail risk beyond even this case.</t>
  </si>
  <si>
    <t xml:space="preserve">Scenario narrative: base</t>
  </si>
  <si>
    <t xml:space="preserve">Sinofert's earnings are a distribution spread on potash, compound, phosphate and nitrogen fertilizer plus some own-plant production, set largely by China's annual potash import contract price, domestic oversupply under export controls, and grain-price-driven farmer demand. Base assumes FY2026 is another good year (H1 profit +7%, revenue +10.6%) and the margin then reverts toward a 6.3% mid-cycle -- below the FY2023-25 average -- on a flat-volume market.</t>
  </si>
  <si>
    <t xml:space="preserve">Scenario narrative: bull</t>
  </si>
  <si>
    <t xml:space="preserve">The post-2018 restructuring (exit of loss-making units, potash channel scale, biological/specialty products, Sinochem group procurement leverage) made the 7-8% margin the new normal, and revenue compounds 3% on specialty and new-type fertilizers.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</si>
  <si>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</si>
  <si>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</si>
  <si>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</si>
  <si>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</si>
  <si>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</si>
  <si>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</si>
  <si>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</si>
  <si>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</si>
  <si>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</si>
  <si>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</si>
  <si>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</si>
  <si>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</si>
  <si>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</si>
  <si>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</si>
  <si>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</si>
  <si>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</si>
  <si>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</si>
  <si>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</si>
  <si>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</si>
  <si>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</si>
  <si>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</si>
  <si>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</si>
  <si>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</si>
  <si>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</si>
  <si>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</si>
  <si>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</si>
  <si>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</si>
  <si>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</si>
  <si>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</si>
  <si>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</si>
  <si>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</si>
  <si>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</si>
  <si>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</si>
  <si>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</si>
  <si>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</si>
  <si>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</si>
  <si>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</si>
  <si>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</si>
  <si>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</si>
  <si>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</si>
  <si>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</si>
  <si>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</si>
  <si>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</si>
  <si>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</si>
  <si>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</si>
  <si>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</si>
  <si>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</si>
  <si>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</si>
  <si>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</si>
  <si>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</si>
  <si>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</si>
  <si>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</si>
  <si>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</si>
  <si>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</si>
  <si>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</si>
  <si>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</si>
  <si>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</si>
  <si>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</si>
  <si>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</si>
  <si>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</si>
  <si>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</si>
  <si>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</si>
  <si>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</si>
  <si>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</si>
  <si>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</si>
  <si>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</si>
  <si>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</si>
  <si>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</si>
  <si>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</si>
  <si>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</si>
  <si>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</si>
  <si>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</si>
  <si>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</si>
  <si>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</si>
  <si>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0297.HK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</si>
  <si>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</si>
  <si>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</si>
  <si>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</si>
  <si>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</si>
  <si>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</si>
  <si>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</si>
  <si>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</si>
  <si>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</si>
  <si>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</si>
  <si>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</si>
  <si>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</si>
  <si>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</si>
  <si>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</si>
  <si>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</si>
  <si>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</si>
  <si>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</si>
  <si>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</si>
  <si>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</si>
  <si>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</si>
  <si>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</si>
  <si>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</si>
  <si>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</si>
  <si>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</si>
  <si>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</si>
  <si>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</si>
  <si>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</si>
  <si>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</si>
  <si>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</si>
  <si>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</si>
  <si>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</si>
  <si>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0297.HK owner-FCF component DCF: base case (millions, CNY)</t>
  </si>
  <si>
    <t xml:space="preserve">0297.HK owner-FCF component DCF: bull case (millions, CNY)</t>
  </si>
  <si>
    <t xml:space="preserve">0297.HK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</si>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</sst>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17643.812</v>
      </c>
      <c r="C2" s="0" t="n">
        <v>16272.192</v>
      </c>
      <c r="D2" s="0" t="n">
        <v>1371.62</v>
      </c>
      <c r="E2" s="0" t="n">
        <v>7.8</v>
      </c>
      <c r="I2" s="0" t="n">
        <v>-2207.504</v>
      </c>
      <c r="J2" s="0" t="n">
        <v>-12.5</v>
      </c>
      <c r="K2" s="0" t="n">
        <v>-0.3143</v>
      </c>
      <c r="L2" s="0" t="n">
        <v>-1410.24</v>
      </c>
      <c r="M2" s="0" t="n">
        <v>274.185</v>
      </c>
      <c r="N2" s="0" t="n">
        <v>-1684.425</v>
      </c>
      <c r="O2" s="0" t="n">
        <v>6838.43</v>
      </c>
      <c r="P2" s="0" t="n">
        <v>22317.633</v>
      </c>
      <c r="Q2" s="0" t="n">
        <v>15690.521</v>
      </c>
      <c r="R2" s="0" t="n">
        <v>5117.535</v>
      </c>
      <c r="S2" s="0" t="n">
        <v>286.816</v>
      </c>
      <c r="T2" s="0" t="n">
        <v>7024.455733</v>
      </c>
      <c r="AA2" s="0" t="s">
        <v>18</v>
      </c>
      <c r="AB2" s="0" t="s">
        <v>14</v>
      </c>
    </row>
    <row r="3" customFormat="false" ht="15" hidden="false" customHeight="false" outlineLevel="0" collapsed="false">
      <c r="A3" s="0" t="s">
        <v>66</v>
      </c>
      <c r="B3" s="0" t="n">
        <v>22996.328</v>
      </c>
      <c r="C3" s="0" t="n">
        <v>21083.401</v>
      </c>
      <c r="D3" s="0" t="n">
        <v>1912.927</v>
      </c>
      <c r="E3" s="0" t="n">
        <v>8.3</v>
      </c>
      <c r="F3" s="0" t="n">
        <v>617.78</v>
      </c>
      <c r="G3" s="0" t="n">
        <v>2.7</v>
      </c>
      <c r="H3" s="0" t="n">
        <v>876.227</v>
      </c>
      <c r="I3" s="0" t="n">
        <v>460.486</v>
      </c>
      <c r="J3" s="0" t="n">
        <v>2</v>
      </c>
      <c r="K3" s="0" t="n">
        <v>0.0656</v>
      </c>
      <c r="L3" s="0" t="n">
        <v>-807.329</v>
      </c>
      <c r="M3" s="0" t="n">
        <v>464.178</v>
      </c>
      <c r="N3" s="0" t="n">
        <v>-1271.507</v>
      </c>
      <c r="O3" s="0" t="n">
        <v>7343.249</v>
      </c>
      <c r="P3" s="0" t="n">
        <v>17607.429</v>
      </c>
      <c r="Q3" s="0" t="n">
        <v>10366.45</v>
      </c>
      <c r="R3" s="0" t="n">
        <v>3085.385</v>
      </c>
      <c r="S3" s="0" t="n">
        <v>589.13</v>
      </c>
      <c r="T3" s="0" t="n">
        <v>7024.455733</v>
      </c>
      <c r="U3" s="0" t="n">
        <v>0</v>
      </c>
      <c r="AA3" s="0" t="s">
        <v>18</v>
      </c>
      <c r="AB3" s="0" t="s">
        <v>14</v>
      </c>
      <c r="AC3" s="0" t="n">
        <v>488.965</v>
      </c>
    </row>
    <row r="4" customFormat="false" ht="15" hidden="false" customHeight="false" outlineLevel="0" collapsed="false">
      <c r="A4" s="0" t="s">
        <v>67</v>
      </c>
      <c r="B4" s="0" t="n">
        <v>22950.942</v>
      </c>
      <c r="C4" s="0" t="n">
        <v>20865.294</v>
      </c>
      <c r="D4" s="0" t="n">
        <v>2085.648</v>
      </c>
      <c r="E4" s="0" t="n">
        <v>9.1</v>
      </c>
      <c r="F4" s="0" t="n">
        <v>798.372</v>
      </c>
      <c r="G4" s="0" t="n">
        <v>3.5</v>
      </c>
      <c r="H4" s="0" t="n">
        <v>1073.011</v>
      </c>
      <c r="I4" s="0" t="n">
        <v>615.767</v>
      </c>
      <c r="J4" s="0" t="n">
        <v>2.7</v>
      </c>
      <c r="K4" s="0" t="n">
        <v>0.0877</v>
      </c>
      <c r="L4" s="0" t="n">
        <v>1327.238</v>
      </c>
      <c r="M4" s="0" t="n">
        <v>761.22</v>
      </c>
      <c r="N4" s="0" t="n">
        <v>566.018</v>
      </c>
      <c r="O4" s="0" t="n">
        <v>7750.845</v>
      </c>
      <c r="P4" s="0" t="n">
        <v>16873.775</v>
      </c>
      <c r="Q4" s="0" t="n">
        <v>9172.375</v>
      </c>
      <c r="R4" s="0" t="n">
        <v>0</v>
      </c>
      <c r="S4" s="0" t="n">
        <v>1333.998</v>
      </c>
      <c r="T4" s="0" t="n">
        <v>7024.455733</v>
      </c>
      <c r="U4" s="0" t="n">
        <v>0</v>
      </c>
      <c r="AA4" s="0" t="s">
        <v>18</v>
      </c>
      <c r="AB4" s="0" t="s">
        <v>14</v>
      </c>
      <c r="AC4" s="0" t="n">
        <v>644.332</v>
      </c>
    </row>
    <row r="5" customFormat="false" ht="15" hidden="false" customHeight="false" outlineLevel="0" collapsed="false">
      <c r="A5" s="0" t="s">
        <v>68</v>
      </c>
      <c r="B5" s="0" t="n">
        <v>21380.74</v>
      </c>
      <c r="C5" s="0" t="n">
        <v>19393.757</v>
      </c>
      <c r="D5" s="0" t="n">
        <v>1986.983</v>
      </c>
      <c r="E5" s="0" t="n">
        <v>9.3</v>
      </c>
      <c r="F5" s="0" t="n">
        <v>628.966</v>
      </c>
      <c r="G5" s="0" t="n">
        <v>2.9</v>
      </c>
      <c r="H5" s="0" t="n">
        <v>850.443</v>
      </c>
      <c r="I5" s="0" t="n">
        <v>644.074</v>
      </c>
      <c r="J5" s="0" t="n">
        <v>3</v>
      </c>
      <c r="K5" s="0" t="n">
        <v>0.0917</v>
      </c>
      <c r="L5" s="0" t="n">
        <v>990.372</v>
      </c>
      <c r="M5" s="0" t="n">
        <v>628.495</v>
      </c>
      <c r="N5" s="0" t="n">
        <v>361.877</v>
      </c>
      <c r="O5" s="0" t="n">
        <v>8003.318</v>
      </c>
      <c r="P5" s="0" t="n">
        <v>17109.032</v>
      </c>
      <c r="Q5" s="0" t="n">
        <v>8942.481</v>
      </c>
      <c r="R5" s="0" t="n">
        <v>714.297</v>
      </c>
      <c r="S5" s="0" t="n">
        <v>762.548</v>
      </c>
      <c r="T5" s="0" t="n">
        <v>7024.455733</v>
      </c>
      <c r="U5" s="0" t="n">
        <v>0</v>
      </c>
      <c r="AA5" s="0" t="s">
        <v>18</v>
      </c>
      <c r="AB5" s="0" t="s">
        <v>14</v>
      </c>
      <c r="AC5" s="0" t="n">
        <v>653.425</v>
      </c>
    </row>
    <row r="6" customFormat="false" ht="15" hidden="false" customHeight="false" outlineLevel="0" collapsed="false">
      <c r="A6" s="0" t="s">
        <v>69</v>
      </c>
      <c r="B6" s="0" t="n">
        <v>22641.396</v>
      </c>
      <c r="C6" s="0" t="n">
        <v>20681.394</v>
      </c>
      <c r="D6" s="0" t="n">
        <v>1960.002</v>
      </c>
      <c r="E6" s="0" t="n">
        <v>8.7</v>
      </c>
      <c r="F6" s="0" t="n">
        <v>693.576</v>
      </c>
      <c r="G6" s="0" t="n">
        <v>3.1</v>
      </c>
      <c r="H6" s="0" t="n">
        <v>904.213</v>
      </c>
      <c r="I6" s="0" t="n">
        <v>866.612</v>
      </c>
      <c r="J6" s="0" t="n">
        <v>3.8</v>
      </c>
      <c r="K6" s="0" t="n">
        <v>0.1234</v>
      </c>
      <c r="L6" s="0" t="n">
        <v>1568.562</v>
      </c>
      <c r="M6" s="0" t="n">
        <v>1356.702</v>
      </c>
      <c r="N6" s="0" t="n">
        <v>211.86</v>
      </c>
      <c r="O6" s="0" t="n">
        <v>8743.068</v>
      </c>
      <c r="P6" s="0" t="n">
        <v>17494.493</v>
      </c>
      <c r="Q6" s="0" t="n">
        <v>8510.769</v>
      </c>
      <c r="R6" s="0" t="n">
        <v>1041.215</v>
      </c>
      <c r="S6" s="0" t="n">
        <v>1313.892</v>
      </c>
      <c r="T6" s="0" t="n">
        <v>7024.455733</v>
      </c>
      <c r="U6" s="0" t="n">
        <v>0</v>
      </c>
      <c r="AA6" s="0" t="s">
        <v>18</v>
      </c>
      <c r="AB6" s="0" t="s">
        <v>14</v>
      </c>
      <c r="AC6" s="0" t="n">
        <v>880.507</v>
      </c>
    </row>
    <row r="7" customFormat="false" ht="15" hidden="false" customHeight="false" outlineLevel="0" collapsed="false">
      <c r="A7" s="0" t="s">
        <v>70</v>
      </c>
      <c r="B7" s="0" t="n">
        <v>23002.701</v>
      </c>
      <c r="C7" s="0" t="n">
        <v>20426.224</v>
      </c>
      <c r="D7" s="0" t="n">
        <v>2576.477</v>
      </c>
      <c r="E7" s="0" t="n">
        <v>11.2</v>
      </c>
      <c r="F7" s="0" t="n">
        <v>1053.144</v>
      </c>
      <c r="G7" s="0" t="n">
        <v>4.6</v>
      </c>
      <c r="H7" s="0" t="n">
        <v>1311.766</v>
      </c>
      <c r="I7" s="0" t="n">
        <v>1117.206</v>
      </c>
      <c r="J7" s="0" t="n">
        <v>4.9</v>
      </c>
      <c r="K7" s="0" t="n">
        <v>0.159</v>
      </c>
      <c r="L7" s="0" t="n">
        <v>2003.428</v>
      </c>
      <c r="M7" s="0" t="n">
        <v>1190.682</v>
      </c>
      <c r="N7" s="0" t="n">
        <v>812.746</v>
      </c>
      <c r="O7" s="0" t="n">
        <v>9503.442</v>
      </c>
      <c r="P7" s="0" t="n">
        <v>20821.811</v>
      </c>
      <c r="Q7" s="0" t="n">
        <v>11090.165</v>
      </c>
      <c r="R7" s="0" t="n">
        <v>1741.217</v>
      </c>
      <c r="S7" s="0" t="n">
        <v>3356.184</v>
      </c>
      <c r="T7" s="0" t="n">
        <v>7024.455733</v>
      </c>
      <c r="U7" s="0" t="n">
        <v>0</v>
      </c>
      <c r="AA7" s="0" t="s">
        <v>18</v>
      </c>
      <c r="AB7" s="0" t="s">
        <v>14</v>
      </c>
      <c r="AC7" s="0" t="n">
        <v>1124.946</v>
      </c>
    </row>
    <row r="8" customFormat="false" ht="15" hidden="false" customHeight="false" outlineLevel="0" collapsed="false">
      <c r="A8" s="0" t="s">
        <v>71</v>
      </c>
      <c r="B8" s="0" t="n">
        <v>21728.12</v>
      </c>
      <c r="C8" s="0" t="n">
        <v>19468.573</v>
      </c>
      <c r="D8" s="0" t="n">
        <v>2259.547</v>
      </c>
      <c r="E8" s="0" t="n">
        <v>10.4</v>
      </c>
      <c r="F8" s="0" t="n">
        <v>985.723</v>
      </c>
      <c r="G8" s="0" t="n">
        <v>4.5</v>
      </c>
      <c r="H8" s="0" t="n">
        <v>1371.683</v>
      </c>
      <c r="I8" s="0" t="n">
        <v>625.549</v>
      </c>
      <c r="J8" s="0" t="n">
        <v>2.9</v>
      </c>
      <c r="K8" s="0" t="n">
        <v>0.0891</v>
      </c>
      <c r="L8" s="0" t="n">
        <v>2485.139</v>
      </c>
      <c r="M8" s="0" t="n">
        <v>527.142</v>
      </c>
      <c r="N8" s="0" t="n">
        <v>1957.997</v>
      </c>
      <c r="O8" s="0" t="n">
        <v>9711.443</v>
      </c>
      <c r="P8" s="0" t="n">
        <v>21982.901</v>
      </c>
      <c r="Q8" s="0" t="n">
        <v>12064.117</v>
      </c>
      <c r="R8" s="0" t="n">
        <v>1788.858</v>
      </c>
      <c r="S8" s="0" t="n">
        <v>3907.133</v>
      </c>
      <c r="T8" s="0" t="n">
        <v>7024.455733</v>
      </c>
      <c r="U8" s="0" t="n">
        <v>0</v>
      </c>
      <c r="AA8" s="0" t="s">
        <v>18</v>
      </c>
      <c r="AB8" s="0" t="s">
        <v>14</v>
      </c>
      <c r="AC8" s="0" t="n">
        <v>684.116</v>
      </c>
    </row>
    <row r="9" customFormat="false" ht="15" hidden="false" customHeight="false" outlineLevel="0" collapsed="false">
      <c r="A9" s="0" t="s">
        <v>72</v>
      </c>
      <c r="B9" s="0" t="n">
        <v>21264.854</v>
      </c>
      <c r="C9" s="0" t="n">
        <v>18721.016</v>
      </c>
      <c r="D9" s="0" t="n">
        <v>2543.838</v>
      </c>
      <c r="E9" s="0" t="n">
        <v>12</v>
      </c>
      <c r="F9" s="0" t="n">
        <v>1057.943</v>
      </c>
      <c r="G9" s="0" t="n">
        <v>5</v>
      </c>
      <c r="H9" s="0" t="n">
        <v>1470.937</v>
      </c>
      <c r="I9" s="0" t="n">
        <v>1061.48</v>
      </c>
      <c r="J9" s="0" t="n">
        <v>5</v>
      </c>
      <c r="K9" s="0" t="n">
        <v>0.1511</v>
      </c>
      <c r="L9" s="0" t="n">
        <v>1042.228</v>
      </c>
      <c r="M9" s="0" t="n">
        <v>257.18</v>
      </c>
      <c r="N9" s="0" t="n">
        <v>785.048</v>
      </c>
      <c r="O9" s="0" t="n">
        <v>10417.266</v>
      </c>
      <c r="P9" s="0" t="n">
        <v>21417.216</v>
      </c>
      <c r="Q9" s="0" t="n">
        <v>10782.098</v>
      </c>
      <c r="R9" s="0" t="n">
        <v>1816.546</v>
      </c>
      <c r="S9" s="0" t="n">
        <v>3103.537</v>
      </c>
      <c r="T9" s="0" t="n">
        <v>7024.455733</v>
      </c>
      <c r="U9" s="0" t="n">
        <v>0</v>
      </c>
      <c r="AA9" s="0" t="s">
        <v>18</v>
      </c>
      <c r="AB9" s="0" t="s">
        <v>14</v>
      </c>
      <c r="AC9" s="0" t="n">
        <v>1074.991</v>
      </c>
    </row>
    <row r="10" customFormat="false" ht="15" hidden="false" customHeight="false" outlineLevel="0" collapsed="false">
      <c r="A10" s="0" t="s">
        <v>73</v>
      </c>
      <c r="B10" s="0" t="n">
        <v>23263.105</v>
      </c>
      <c r="C10" s="0" t="n">
        <v>20369.787</v>
      </c>
      <c r="D10" s="0" t="n">
        <v>2893.318</v>
      </c>
      <c r="E10" s="0" t="n">
        <v>12.4</v>
      </c>
      <c r="F10" s="0" t="n">
        <v>1498.025</v>
      </c>
      <c r="G10" s="0" t="n">
        <v>6.4</v>
      </c>
      <c r="H10" s="0" t="n">
        <v>1942.129</v>
      </c>
      <c r="I10" s="0" t="n">
        <v>1259.377</v>
      </c>
      <c r="J10" s="0" t="n">
        <v>5.4</v>
      </c>
      <c r="K10" s="0" t="n">
        <v>0.1793</v>
      </c>
      <c r="L10" s="0" t="n">
        <v>1993.785</v>
      </c>
      <c r="M10" s="0" t="n">
        <v>289.51</v>
      </c>
      <c r="N10" s="0" t="n">
        <v>1704.275</v>
      </c>
      <c r="O10" s="0" t="n">
        <v>11223.575</v>
      </c>
      <c r="P10" s="0" t="n">
        <v>23588.35</v>
      </c>
      <c r="Q10" s="0" t="n">
        <v>12133.883</v>
      </c>
      <c r="R10" s="0" t="n">
        <v>1482.989</v>
      </c>
      <c r="S10" s="0" t="n">
        <v>2928.295</v>
      </c>
      <c r="T10" s="0" t="n">
        <v>7024.455733</v>
      </c>
      <c r="U10" s="0" t="n">
        <v>0</v>
      </c>
      <c r="AA10" s="0" t="s">
        <v>18</v>
      </c>
      <c r="AB10" s="0" t="s">
        <v>14</v>
      </c>
      <c r="AC10" s="0" t="n">
        <v>1273.304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1.24</v>
      </c>
    </row>
    <row r="3" customFormat="false" ht="15" hidden="false" customHeight="false" outlineLevel="0" collapsed="false">
      <c r="A3" s="0" t="s">
        <v>77</v>
      </c>
      <c r="B3" s="3" t="n">
        <v>7024.456</v>
      </c>
    </row>
    <row r="4" customFormat="false" ht="15" hidden="false" customHeight="false" outlineLevel="0" collapsed="false">
      <c r="A4" s="0" t="s">
        <v>78</v>
      </c>
      <c r="B4" s="3" t="n">
        <v>-3828.8</v>
      </c>
    </row>
    <row r="5" customFormat="false" ht="15" hidden="false" customHeight="false" outlineLevel="0" collapsed="false">
      <c r="A5" s="0" t="s">
        <v>79</v>
      </c>
      <c r="B5" s="3" t="n">
        <v>790.4</v>
      </c>
    </row>
    <row r="6" customFormat="false" ht="15" hidden="false" customHeight="false" outlineLevel="0" collapsed="false">
      <c r="A6" s="0" t="s">
        <v>80</v>
      </c>
      <c r="B6" s="3" t="n">
        <v>15</v>
      </c>
    </row>
    <row r="7" customFormat="false" ht="15" hidden="false" customHeight="false" outlineLevel="0" collapsed="false">
      <c r="A7" s="0" t="s">
        <v>81</v>
      </c>
      <c r="B7" s="3" t="n">
        <v>23263.105</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1.1721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3</v>
      </c>
      <c r="D13" s="3" t="n">
        <v>-5</v>
      </c>
      <c r="E13" s="3" t="n">
        <v>-2</v>
      </c>
      <c r="F13" s="3" t="n">
        <v>0</v>
      </c>
      <c r="G13" s="3" t="n">
        <v>1</v>
      </c>
      <c r="H13" s="3" t="n">
        <v>1</v>
      </c>
      <c r="I13" s="3" t="n">
        <v>1</v>
      </c>
      <c r="J13" s="3" t="n">
        <v>1</v>
      </c>
      <c r="K13" s="3" t="n">
        <v>1</v>
      </c>
      <c r="L13" s="3" t="n">
        <v>1</v>
      </c>
    </row>
    <row r="14" customFormat="false" ht="15" hidden="false" customHeight="false" outlineLevel="0" collapsed="false">
      <c r="A14" s="0" t="s">
        <v>98</v>
      </c>
      <c r="C14" s="3" t="n">
        <v>7</v>
      </c>
      <c r="D14" s="3" t="n">
        <v>5.2</v>
      </c>
      <c r="E14" s="3" t="n">
        <v>4.4</v>
      </c>
      <c r="F14" s="3" t="n">
        <v>4</v>
      </c>
      <c r="G14" s="3" t="n">
        <v>4</v>
      </c>
      <c r="H14" s="3" t="n">
        <v>4</v>
      </c>
      <c r="I14" s="3" t="n">
        <v>4</v>
      </c>
      <c r="J14" s="3" t="n">
        <v>4</v>
      </c>
      <c r="K14" s="3" t="n">
        <v>4</v>
      </c>
      <c r="L14" s="3" t="n">
        <v>4</v>
      </c>
    </row>
    <row r="15" customFormat="false" ht="15" hidden="false" customHeight="false" outlineLevel="0" collapsed="false">
      <c r="A15" s="0" t="s">
        <v>99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1.9</v>
      </c>
      <c r="D17" s="3" t="n">
        <v>1.9</v>
      </c>
      <c r="E17" s="3" t="n">
        <v>1.9</v>
      </c>
      <c r="F17" s="3" t="n">
        <v>1.9</v>
      </c>
      <c r="G17" s="3" t="n">
        <v>1.9</v>
      </c>
      <c r="H17" s="3" t="n">
        <v>1.9</v>
      </c>
      <c r="I17" s="3" t="n">
        <v>1.9</v>
      </c>
      <c r="J17" s="3" t="n">
        <v>1.9</v>
      </c>
      <c r="K17" s="3" t="n">
        <v>1.9</v>
      </c>
      <c r="L17" s="3" t="n">
        <v>1.9</v>
      </c>
    </row>
    <row r="18" customFormat="false" ht="15" hidden="false" customHeight="false" outlineLevel="0" collapsed="false">
      <c r="A18" s="0" t="s">
        <v>102</v>
      </c>
      <c r="C18" s="3" t="n">
        <v>2.4</v>
      </c>
      <c r="D18" s="3" t="n">
        <v>2.4</v>
      </c>
      <c r="E18" s="3" t="n">
        <v>2.4</v>
      </c>
      <c r="F18" s="3" t="n">
        <v>2.4</v>
      </c>
      <c r="G18" s="3" t="n">
        <v>2.4</v>
      </c>
      <c r="H18" s="3" t="n">
        <v>2.4</v>
      </c>
      <c r="I18" s="3" t="n">
        <v>2.4</v>
      </c>
      <c r="J18" s="3" t="n">
        <v>2.4</v>
      </c>
      <c r="K18" s="3" t="n">
        <v>2.4</v>
      </c>
      <c r="L18" s="3" t="n">
        <v>2.4</v>
      </c>
    </row>
    <row r="19" customFormat="false" ht="15" hidden="false" customHeight="false" outlineLevel="0" collapsed="false">
      <c r="A19" s="0" t="s">
        <v>103</v>
      </c>
      <c r="C19" s="3" t="n">
        <v>21</v>
      </c>
      <c r="D19" s="3" t="n">
        <v>22</v>
      </c>
      <c r="E19" s="3" t="n">
        <v>22</v>
      </c>
      <c r="F19" s="3" t="n">
        <v>22</v>
      </c>
      <c r="G19" s="3" t="n">
        <v>22</v>
      </c>
      <c r="H19" s="3" t="n">
        <v>22</v>
      </c>
      <c r="I19" s="3" t="n">
        <v>22</v>
      </c>
      <c r="J19" s="3" t="n">
        <v>22</v>
      </c>
      <c r="K19" s="3" t="n">
        <v>22</v>
      </c>
      <c r="L19" s="3" t="n">
        <v>22</v>
      </c>
    </row>
    <row r="20" customFormat="false" ht="15" hidden="false" customHeight="false" outlineLevel="0" collapsed="false">
      <c r="A20" s="0" t="s">
        <v>104</v>
      </c>
      <c r="B20" s="3" t="n">
        <v>9</v>
      </c>
    </row>
    <row r="21" customFormat="false" ht="15" hidden="false" customHeight="false" outlineLevel="0" collapsed="false">
      <c r="A21" s="0" t="s">
        <v>105</v>
      </c>
      <c r="B21" s="3" t="n">
        <v>1.5</v>
      </c>
    </row>
    <row r="22" customFormat="false" ht="15" hidden="false" customHeight="false" outlineLevel="0" collapsed="false">
      <c r="A22" s="0" t="s">
        <v>106</v>
      </c>
      <c r="B22" s="3" t="n">
        <v>12</v>
      </c>
    </row>
    <row r="23" customFormat="false" ht="15" hidden="false" customHeight="false" outlineLevel="0" collapsed="false">
      <c r="A23" s="0" t="s">
        <v>107</v>
      </c>
      <c r="B23" s="3" t="n">
        <v>-5</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6</v>
      </c>
      <c r="D27" s="3" t="n">
        <v>2</v>
      </c>
      <c r="E27" s="3" t="n">
        <v>2</v>
      </c>
      <c r="F27" s="3" t="n">
        <v>2</v>
      </c>
      <c r="G27" s="3" t="n">
        <v>2</v>
      </c>
      <c r="H27" s="3" t="n">
        <v>2</v>
      </c>
      <c r="I27" s="3" t="n">
        <v>2</v>
      </c>
      <c r="J27" s="3" t="n">
        <v>1.5</v>
      </c>
      <c r="K27" s="3" t="n">
        <v>1.5</v>
      </c>
      <c r="L27" s="3" t="n">
        <v>1.5</v>
      </c>
    </row>
    <row r="28" customFormat="false" ht="15" hidden="false" customHeight="false" outlineLevel="0" collapsed="false">
      <c r="A28" s="0" t="s">
        <v>98</v>
      </c>
      <c r="C28" s="3" t="n">
        <v>7.4</v>
      </c>
      <c r="D28" s="3" t="n">
        <v>7</v>
      </c>
      <c r="E28" s="3" t="n">
        <v>6.7</v>
      </c>
      <c r="F28" s="3" t="n">
        <v>6.4</v>
      </c>
      <c r="G28" s="3" t="n">
        <v>6.3</v>
      </c>
      <c r="H28" s="3" t="n">
        <v>6.3</v>
      </c>
      <c r="I28" s="3" t="n">
        <v>6.3</v>
      </c>
      <c r="J28" s="3" t="n">
        <v>6.3</v>
      </c>
      <c r="K28" s="3" t="n">
        <v>6.3</v>
      </c>
      <c r="L28" s="3" t="n">
        <v>6.3</v>
      </c>
    </row>
    <row r="29" customFormat="false" ht="15" hidden="false" customHeight="false" outlineLevel="0" collapsed="false">
      <c r="A29" s="0" t="s">
        <v>99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1.9</v>
      </c>
      <c r="D31" s="3" t="n">
        <v>1.9</v>
      </c>
      <c r="E31" s="3" t="n">
        <v>1.9</v>
      </c>
      <c r="F31" s="3" t="n">
        <v>1.9</v>
      </c>
      <c r="G31" s="3" t="n">
        <v>1.9</v>
      </c>
      <c r="H31" s="3" t="n">
        <v>1.9</v>
      </c>
      <c r="I31" s="3" t="n">
        <v>1.9</v>
      </c>
      <c r="J31" s="3" t="n">
        <v>1.9</v>
      </c>
      <c r="K31" s="3" t="n">
        <v>1.9</v>
      </c>
      <c r="L31" s="3" t="n">
        <v>1.9</v>
      </c>
    </row>
    <row r="32" customFormat="false" ht="15" hidden="false" customHeight="false" outlineLevel="0" collapsed="false">
      <c r="A32" s="0" t="s">
        <v>102</v>
      </c>
      <c r="C32" s="3" t="n">
        <v>2.2</v>
      </c>
      <c r="D32" s="3" t="n">
        <v>2.2</v>
      </c>
      <c r="E32" s="3" t="n">
        <v>2.2</v>
      </c>
      <c r="F32" s="3" t="n">
        <v>2.2</v>
      </c>
      <c r="G32" s="3" t="n">
        <v>2.2</v>
      </c>
      <c r="H32" s="3" t="n">
        <v>2.2</v>
      </c>
      <c r="I32" s="3" t="n">
        <v>2.2</v>
      </c>
      <c r="J32" s="3" t="n">
        <v>2.2</v>
      </c>
      <c r="K32" s="3" t="n">
        <v>2.2</v>
      </c>
      <c r="L32" s="3" t="n">
        <v>2.2</v>
      </c>
    </row>
    <row r="33" customFormat="false" ht="15" hidden="false" customHeight="false" outlineLevel="0" collapsed="false">
      <c r="A33" s="0" t="s">
        <v>103</v>
      </c>
      <c r="C33" s="3" t="n">
        <v>21</v>
      </c>
      <c r="D33" s="3" t="n">
        <v>22</v>
      </c>
      <c r="E33" s="3" t="n">
        <v>22</v>
      </c>
      <c r="F33" s="3" t="n">
        <v>22</v>
      </c>
      <c r="G33" s="3" t="n">
        <v>22</v>
      </c>
      <c r="H33" s="3" t="n">
        <v>22</v>
      </c>
      <c r="I33" s="3" t="n">
        <v>22</v>
      </c>
      <c r="J33" s="3" t="n">
        <v>22</v>
      </c>
      <c r="K33" s="3" t="n">
        <v>22</v>
      </c>
      <c r="L33" s="3" t="n">
        <v>22</v>
      </c>
    </row>
    <row r="34" customFormat="false" ht="15" hidden="false" customHeight="false" outlineLevel="0" collapsed="false">
      <c r="A34" s="0" t="s">
        <v>104</v>
      </c>
      <c r="B34" s="3" t="n">
        <v>9</v>
      </c>
    </row>
    <row r="35" customFormat="false" ht="15" hidden="false" customHeight="false" outlineLevel="0" collapsed="false">
      <c r="A35" s="0" t="s">
        <v>105</v>
      </c>
      <c r="B35" s="3" t="n">
        <v>1.5</v>
      </c>
    </row>
    <row r="36" customFormat="false" ht="15" hidden="false" customHeight="false" outlineLevel="0" collapsed="false">
      <c r="A36" s="0" t="s">
        <v>106</v>
      </c>
      <c r="B36" s="3" t="n">
        <v>12</v>
      </c>
    </row>
    <row r="37" customFormat="false" ht="15" hidden="false" customHeight="false" outlineLevel="0" collapsed="false">
      <c r="A37" s="0" t="s">
        <v>107</v>
      </c>
      <c r="B37" s="3" t="n">
        <v>-5</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8</v>
      </c>
      <c r="D41" s="3" t="n">
        <v>4</v>
      </c>
      <c r="E41" s="3" t="n">
        <v>3.5</v>
      </c>
      <c r="F41" s="3" t="n">
        <v>3</v>
      </c>
      <c r="G41" s="3" t="n">
        <v>3</v>
      </c>
      <c r="H41" s="3" t="n">
        <v>3</v>
      </c>
      <c r="I41" s="3" t="n">
        <v>2.5</v>
      </c>
      <c r="J41" s="3" t="n">
        <v>2.5</v>
      </c>
      <c r="K41" s="3" t="n">
        <v>2</v>
      </c>
      <c r="L41" s="3" t="n">
        <v>2</v>
      </c>
    </row>
    <row r="42" customFormat="false" ht="15" hidden="false" customHeight="false" outlineLevel="0" collapsed="false">
      <c r="A42" s="0" t="s">
        <v>98</v>
      </c>
      <c r="C42" s="3" t="n">
        <v>7.8</v>
      </c>
      <c r="D42" s="3" t="n">
        <v>7.7</v>
      </c>
      <c r="E42" s="3" t="n">
        <v>7.6</v>
      </c>
      <c r="F42" s="3" t="n">
        <v>7.5</v>
      </c>
      <c r="G42" s="3" t="n">
        <v>7.5</v>
      </c>
      <c r="H42" s="3" t="n">
        <v>7.5</v>
      </c>
      <c r="I42" s="3" t="n">
        <v>7.5</v>
      </c>
      <c r="J42" s="3" t="n">
        <v>7.5</v>
      </c>
      <c r="K42" s="3" t="n">
        <v>7.5</v>
      </c>
      <c r="L42" s="3" t="n">
        <v>7.5</v>
      </c>
    </row>
    <row r="43" customFormat="false" ht="15" hidden="false" customHeight="false" outlineLevel="0" collapsed="false">
      <c r="A43" s="0" t="s">
        <v>99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1.9</v>
      </c>
      <c r="D45" s="3" t="n">
        <v>1.9</v>
      </c>
      <c r="E45" s="3" t="n">
        <v>1.9</v>
      </c>
      <c r="F45" s="3" t="n">
        <v>1.9</v>
      </c>
      <c r="G45" s="3" t="n">
        <v>1.9</v>
      </c>
      <c r="H45" s="3" t="n">
        <v>1.9</v>
      </c>
      <c r="I45" s="3" t="n">
        <v>1.9</v>
      </c>
      <c r="J45" s="3" t="n">
        <v>1.9</v>
      </c>
      <c r="K45" s="3" t="n">
        <v>1.9</v>
      </c>
      <c r="L45" s="3" t="n">
        <v>1.9</v>
      </c>
    </row>
    <row r="46" customFormat="false" ht="15" hidden="false" customHeight="false" outlineLevel="0" collapsed="false">
      <c r="A46" s="0" t="s">
        <v>102</v>
      </c>
      <c r="C46" s="3" t="n">
        <v>2.2</v>
      </c>
      <c r="D46" s="3" t="n">
        <v>2.2</v>
      </c>
      <c r="E46" s="3" t="n">
        <v>2.2</v>
      </c>
      <c r="F46" s="3" t="n">
        <v>2.2</v>
      </c>
      <c r="G46" s="3" t="n">
        <v>2.2</v>
      </c>
      <c r="H46" s="3" t="n">
        <v>2.2</v>
      </c>
      <c r="I46" s="3" t="n">
        <v>2.2</v>
      </c>
      <c r="J46" s="3" t="n">
        <v>2.2</v>
      </c>
      <c r="K46" s="3" t="n">
        <v>2.2</v>
      </c>
      <c r="L46" s="3" t="n">
        <v>2.2</v>
      </c>
    </row>
    <row r="47" customFormat="false" ht="15" hidden="false" customHeight="false" outlineLevel="0" collapsed="false">
      <c r="A47" s="0" t="s">
        <v>103</v>
      </c>
      <c r="C47" s="3" t="n">
        <v>21</v>
      </c>
      <c r="D47" s="3" t="n">
        <v>22</v>
      </c>
      <c r="E47" s="3" t="n">
        <v>22</v>
      </c>
      <c r="F47" s="3" t="n">
        <v>22</v>
      </c>
      <c r="G47" s="3" t="n">
        <v>22</v>
      </c>
      <c r="H47" s="3" t="n">
        <v>22</v>
      </c>
      <c r="I47" s="3" t="n">
        <v>22</v>
      </c>
      <c r="J47" s="3" t="n">
        <v>22</v>
      </c>
      <c r="K47" s="3" t="n">
        <v>22</v>
      </c>
      <c r="L47" s="3" t="n">
        <v>22</v>
      </c>
    </row>
    <row r="48" customFormat="false" ht="15" hidden="false" customHeight="false" outlineLevel="0" collapsed="false">
      <c r="A48" s="0" t="s">
        <v>104</v>
      </c>
      <c r="B48" s="3" t="n">
        <v>9</v>
      </c>
    </row>
    <row r="49" customFormat="false" ht="15" hidden="false" customHeight="false" outlineLevel="0" collapsed="false">
      <c r="A49" s="0" t="s">
        <v>105</v>
      </c>
      <c r="B49" s="3" t="n">
        <v>1.5</v>
      </c>
    </row>
    <row r="50" customFormat="false" ht="15" hidden="false" customHeight="false" outlineLevel="0" collapsed="false">
      <c r="A50" s="0" t="s">
        <v>106</v>
      </c>
      <c r="B50" s="3" t="n">
        <v>12</v>
      </c>
    </row>
    <row r="51" customFormat="false" ht="15" hidden="false" customHeight="false" outlineLevel="0" collapsed="false">
      <c r="A51" s="0" t="s">
        <v>107</v>
      </c>
      <c r="B51" s="3" t="n">
        <v>-5</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3</v>
      </c>
      <c r="D5" s="4" t="n">
        <f aca="false">Assumptions!D13</f>
        <v>-5</v>
      </c>
      <c r="E5" s="4" t="n">
        <f aca="false">Assumptions!E13</f>
        <v>-2</v>
      </c>
      <c r="F5" s="4" t="n">
        <f aca="false">Assumptions!F13</f>
        <v>0</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23263.105</v>
      </c>
      <c r="C6" s="0" t="n">
        <f aca="false">B6*(1+C5/100)</f>
        <v>23960.99815</v>
      </c>
      <c r="D6" s="0" t="n">
        <f aca="false">C6*(1+D5/100)</f>
        <v>22762.9482425</v>
      </c>
      <c r="E6" s="0" t="n">
        <f aca="false">D6*(1+E5/100)</f>
        <v>22307.68927765</v>
      </c>
      <c r="F6" s="0" t="n">
        <f aca="false">E6*(1+F5/100)</f>
        <v>22307.68927765</v>
      </c>
      <c r="G6" s="0" t="n">
        <f aca="false">F6*(1+G5/100)</f>
        <v>22530.7661704265</v>
      </c>
      <c r="H6" s="0" t="n">
        <f aca="false">G6*(1+H5/100)</f>
        <v>22756.0738321308</v>
      </c>
      <c r="I6" s="0" t="n">
        <f aca="false">H6*(1+I5/100)</f>
        <v>22983.6345704521</v>
      </c>
      <c r="J6" s="0" t="n">
        <f aca="false">I6*(1+J5/100)</f>
        <v>23213.4709161566</v>
      </c>
      <c r="K6" s="0" t="n">
        <f aca="false">J6*(1+K5/100)</f>
        <v>23445.6056253182</v>
      </c>
      <c r="L6" s="0" t="n">
        <f aca="false">K6*(1+L5/100)</f>
        <v>23680.0616815713</v>
      </c>
    </row>
    <row r="7" customFormat="false" ht="15" hidden="false" customHeight="false" outlineLevel="0" collapsed="false">
      <c r="A7" s="0" t="s">
        <v>98</v>
      </c>
      <c r="C7" s="4" t="n">
        <f aca="false">Assumptions!C14</f>
        <v>7</v>
      </c>
      <c r="D7" s="4" t="n">
        <f aca="false">Assumptions!D14</f>
        <v>5.2</v>
      </c>
      <c r="E7" s="4" t="n">
        <f aca="false">Assumptions!E14</f>
        <v>4.4</v>
      </c>
      <c r="F7" s="4" t="n">
        <f aca="false">Assumptions!F14</f>
        <v>4</v>
      </c>
      <c r="G7" s="4" t="n">
        <f aca="false">Assumptions!G14</f>
        <v>4</v>
      </c>
      <c r="H7" s="4" t="n">
        <f aca="false">Assumptions!H14</f>
        <v>4</v>
      </c>
      <c r="I7" s="4" t="n">
        <f aca="false">Assumptions!I14</f>
        <v>4</v>
      </c>
      <c r="J7" s="4" t="n">
        <f aca="false">Assumptions!J14</f>
        <v>4</v>
      </c>
      <c r="K7" s="4" t="n">
        <f aca="false">Assumptions!K14</f>
        <v>4</v>
      </c>
      <c r="L7" s="4" t="n">
        <f aca="false">Assumptions!L14</f>
        <v>4</v>
      </c>
    </row>
    <row r="8" customFormat="false" ht="15" hidden="false" customHeight="false" outlineLevel="0" collapsed="false">
      <c r="A8" s="0" t="s">
        <v>44</v>
      </c>
      <c r="C8" s="0" t="n">
        <f aca="false">C6*C7/100</f>
        <v>1677.2698705</v>
      </c>
      <c r="D8" s="0" t="n">
        <f aca="false">D6*D7/100</f>
        <v>1183.67330861</v>
      </c>
      <c r="E8" s="0" t="n">
        <f aca="false">E6*E7/100</f>
        <v>981.5383282166</v>
      </c>
      <c r="F8" s="0" t="n">
        <f aca="false">F6*F7/100</f>
        <v>892.307571106</v>
      </c>
      <c r="G8" s="0" t="n">
        <f aca="false">G6*G7/100</f>
        <v>901.23064681706</v>
      </c>
      <c r="H8" s="0" t="n">
        <f aca="false">H6*H7/100</f>
        <v>910.24295328523</v>
      </c>
      <c r="I8" s="0" t="n">
        <f aca="false">I6*I7/100</f>
        <v>919.345382818083</v>
      </c>
      <c r="J8" s="0" t="n">
        <f aca="false">J6*J7/100</f>
        <v>928.538836646264</v>
      </c>
      <c r="K8" s="0" t="n">
        <f aca="false">K6*K7/100</f>
        <v>937.824225012726</v>
      </c>
      <c r="L8" s="0" t="n">
        <f aca="false">L6*L7/100</f>
        <v>947.202467262853</v>
      </c>
    </row>
    <row r="9" customFormat="false" ht="15" hidden="false" customHeight="false" outlineLevel="0" collapsed="false">
      <c r="A9" s="0" t="s">
        <v>99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1677.2698705</v>
      </c>
      <c r="D11" s="0" t="n">
        <f aca="false">D8+D10+D24</f>
        <v>1183.67330861</v>
      </c>
      <c r="E11" s="0" t="n">
        <f aca="false">E8+E10+E24</f>
        <v>981.5383282166</v>
      </c>
      <c r="F11" s="0" t="n">
        <f aca="false">F8+F10+F24</f>
        <v>892.307571106</v>
      </c>
      <c r="G11" s="0" t="n">
        <f aca="false">G8+G10+G24</f>
        <v>901.23064681706</v>
      </c>
      <c r="H11" s="0" t="n">
        <f aca="false">H8+H10+H24</f>
        <v>910.24295328523</v>
      </c>
      <c r="I11" s="0" t="n">
        <f aca="false">I8+I10+I24</f>
        <v>919.345382818083</v>
      </c>
      <c r="J11" s="0" t="n">
        <f aca="false">J8+J10+J24</f>
        <v>928.538836646264</v>
      </c>
      <c r="K11" s="0" t="n">
        <f aca="false">K8+K10+K24</f>
        <v>937.824225012726</v>
      </c>
      <c r="L11" s="0" t="n">
        <f aca="false">L8+L10+L24</f>
        <v>947.202467262853</v>
      </c>
    </row>
    <row r="12" customFormat="false" ht="15" hidden="false" customHeight="false" outlineLevel="0" collapsed="false">
      <c r="A12" s="0" t="s">
        <v>116</v>
      </c>
      <c r="C12" s="4" t="n">
        <f aca="false">-C6*Assumptions!C17/100</f>
        <v>-455.25896485</v>
      </c>
      <c r="D12" s="4" t="n">
        <f aca="false">-D6*Assumptions!D17/100</f>
        <v>-432.4960166075</v>
      </c>
      <c r="E12" s="4" t="n">
        <f aca="false">-E6*Assumptions!E17/100</f>
        <v>-423.84609627535</v>
      </c>
      <c r="F12" s="4" t="n">
        <f aca="false">-F6*Assumptions!F17/100</f>
        <v>-423.84609627535</v>
      </c>
      <c r="G12" s="4" t="n">
        <f aca="false">-G6*Assumptions!G17/100</f>
        <v>-428.084557238103</v>
      </c>
      <c r="H12" s="4" t="n">
        <f aca="false">-H6*Assumptions!H17/100</f>
        <v>-432.365402810484</v>
      </c>
      <c r="I12" s="4" t="n">
        <f aca="false">-I6*Assumptions!I17/100</f>
        <v>-436.689056838589</v>
      </c>
      <c r="J12" s="4" t="n">
        <f aca="false">-J6*Assumptions!J17/100</f>
        <v>-441.055947406975</v>
      </c>
      <c r="K12" s="4" t="n">
        <f aca="false">-K6*Assumptions!K17/100</f>
        <v>-445.466506881045</v>
      </c>
      <c r="L12" s="4" t="n">
        <f aca="false">-L6*Assumptions!L17/100</f>
        <v>-449.921171949855</v>
      </c>
    </row>
    <row r="13" customFormat="false" ht="15" hidden="false" customHeight="false" outlineLevel="0" collapsed="false">
      <c r="A13" s="0" t="s">
        <v>117</v>
      </c>
      <c r="C13" s="0" t="n">
        <f aca="false">C11+C12</f>
        <v>1222.01090565</v>
      </c>
      <c r="D13" s="0" t="n">
        <f aca="false">D11+D12</f>
        <v>751.1772920025</v>
      </c>
      <c r="E13" s="0" t="n">
        <f aca="false">E11+E12</f>
        <v>557.69223194125</v>
      </c>
      <c r="F13" s="0" t="n">
        <f aca="false">F11+F12</f>
        <v>468.46147483065</v>
      </c>
      <c r="G13" s="0" t="n">
        <f aca="false">G11+G12</f>
        <v>473.146089578956</v>
      </c>
      <c r="H13" s="0" t="n">
        <f aca="false">H11+H12</f>
        <v>477.877550474746</v>
      </c>
      <c r="I13" s="0" t="n">
        <f aca="false">I11+I12</f>
        <v>482.656325979494</v>
      </c>
      <c r="J13" s="0" t="n">
        <f aca="false">J11+J12</f>
        <v>487.482889239288</v>
      </c>
      <c r="K13" s="0" t="n">
        <f aca="false">K11+K12</f>
        <v>492.357718131681</v>
      </c>
      <c r="L13" s="0" t="n">
        <f aca="false">L11+L12</f>
        <v>497.281295312998</v>
      </c>
    </row>
    <row r="14" customFormat="false" ht="15" hidden="false" customHeight="false" outlineLevel="0" collapsed="false">
      <c r="A14" s="0" t="s">
        <v>103</v>
      </c>
      <c r="C14" s="4" t="n">
        <f aca="false">Assumptions!C19</f>
        <v>21</v>
      </c>
      <c r="D14" s="4" t="n">
        <f aca="false">Assumptions!D19</f>
        <v>22</v>
      </c>
      <c r="E14" s="4" t="n">
        <f aca="false">Assumptions!E19</f>
        <v>22</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118</v>
      </c>
      <c r="C15" s="0" t="n">
        <f aca="false">C13-MAX(0,C13)*C14/100</f>
        <v>965.3886154635</v>
      </c>
      <c r="D15" s="0" t="n">
        <f aca="false">D13-MAX(0,D13)*D14/100</f>
        <v>585.91828776195</v>
      </c>
      <c r="E15" s="0" t="n">
        <f aca="false">E13-MAX(0,E13)*E14/100</f>
        <v>434.999940914175</v>
      </c>
      <c r="F15" s="0" t="n">
        <f aca="false">F13-MAX(0,F13)*F14/100</f>
        <v>365.399950367907</v>
      </c>
      <c r="G15" s="0" t="n">
        <f aca="false">G13-MAX(0,G13)*G14/100</f>
        <v>369.053949871586</v>
      </c>
      <c r="H15" s="0" t="n">
        <f aca="false">H13-MAX(0,H13)*H14/100</f>
        <v>372.744489370302</v>
      </c>
      <c r="I15" s="0" t="n">
        <f aca="false">I13-MAX(0,I13)*I14/100</f>
        <v>376.471934264005</v>
      </c>
      <c r="J15" s="0" t="n">
        <f aca="false">J13-MAX(0,J13)*J14/100</f>
        <v>380.236653606645</v>
      </c>
      <c r="K15" s="0" t="n">
        <f aca="false">K13-MAX(0,K13)*K14/100</f>
        <v>384.039020142711</v>
      </c>
      <c r="L15" s="0" t="n">
        <f aca="false">L13-MAX(0,L13)*L14/100</f>
        <v>387.879410344139</v>
      </c>
    </row>
    <row r="16" customFormat="false" ht="15" hidden="false" customHeight="false" outlineLevel="0" collapsed="false">
      <c r="A16" s="0" t="s">
        <v>119</v>
      </c>
      <c r="C16" s="0" t="n">
        <f aca="false">-C12</f>
        <v>455.25896485</v>
      </c>
      <c r="D16" s="0" t="n">
        <f aca="false">-D12</f>
        <v>432.4960166075</v>
      </c>
      <c r="E16" s="0" t="n">
        <f aca="false">-E12</f>
        <v>423.84609627535</v>
      </c>
      <c r="F16" s="0" t="n">
        <f aca="false">-F12</f>
        <v>423.84609627535</v>
      </c>
      <c r="G16" s="0" t="n">
        <f aca="false">-G12</f>
        <v>428.084557238103</v>
      </c>
      <c r="H16" s="0" t="n">
        <f aca="false">-H12</f>
        <v>432.365402810484</v>
      </c>
      <c r="I16" s="0" t="n">
        <f aca="false">-I12</f>
        <v>436.689056838589</v>
      </c>
      <c r="J16" s="0" t="n">
        <f aca="false">-J12</f>
        <v>441.055947406975</v>
      </c>
      <c r="K16" s="0" t="n">
        <f aca="false">-K12</f>
        <v>445.466506881045</v>
      </c>
      <c r="L16" s="0" t="n">
        <f aca="false">-L12</f>
        <v>449.921171949855</v>
      </c>
    </row>
    <row r="17" customFormat="false" ht="15" hidden="false" customHeight="false" outlineLevel="0" collapsed="false">
      <c r="A17" s="0" t="s">
        <v>120</v>
      </c>
      <c r="C17" s="4" t="n">
        <f aca="false">-C6*Assumptions!C18/100</f>
        <v>-575.0639556</v>
      </c>
      <c r="D17" s="4" t="n">
        <f aca="false">-D6*Assumptions!D18/100</f>
        <v>-546.31075782</v>
      </c>
      <c r="E17" s="4" t="n">
        <f aca="false">-E6*Assumptions!E18/100</f>
        <v>-535.3845426636</v>
      </c>
      <c r="F17" s="4" t="n">
        <f aca="false">-F6*Assumptions!F18/100</f>
        <v>-535.3845426636</v>
      </c>
      <c r="G17" s="4" t="n">
        <f aca="false">-G6*Assumptions!G18/100</f>
        <v>-540.738388090236</v>
      </c>
      <c r="H17" s="4" t="n">
        <f aca="false">-H6*Assumptions!H18/100</f>
        <v>-546.145771971138</v>
      </c>
      <c r="I17" s="4" t="n">
        <f aca="false">-I6*Assumptions!I18/100</f>
        <v>-551.60722969085</v>
      </c>
      <c r="J17" s="4" t="n">
        <f aca="false">-J6*Assumptions!J18/100</f>
        <v>-557.123301987758</v>
      </c>
      <c r="K17" s="4" t="n">
        <f aca="false">-K6*Assumptions!K18/100</f>
        <v>-562.694535007636</v>
      </c>
      <c r="L17" s="4" t="n">
        <f aca="false">-L6*Assumptions!L18/100</f>
        <v>-568.321480357712</v>
      </c>
    </row>
    <row r="18" customFormat="false" ht="15" hidden="false" customHeight="false" outlineLevel="0" collapsed="false">
      <c r="A18" s="0" t="s">
        <v>121</v>
      </c>
      <c r="C18" s="4" t="n">
        <f aca="false">(C6-B6)*Assumptions!$B$23/100</f>
        <v>-34.8946575</v>
      </c>
      <c r="D18" s="4" t="n">
        <f aca="false">(D6-C6)*Assumptions!$B$23/100</f>
        <v>59.902495375</v>
      </c>
      <c r="E18" s="4" t="n">
        <f aca="false">(E6-D6)*Assumptions!$B$23/100</f>
        <v>22.7629482425</v>
      </c>
      <c r="F18" s="4" t="n">
        <f aca="false">(F6-E6)*Assumptions!$B$23/100</f>
        <v>-0</v>
      </c>
      <c r="G18" s="4" t="n">
        <f aca="false">(G6-F6)*Assumptions!$B$23/100</f>
        <v>-11.1538446388249</v>
      </c>
      <c r="H18" s="4" t="n">
        <f aca="false">(H6-G6)*Assumptions!$B$23/100</f>
        <v>-11.2653830852132</v>
      </c>
      <c r="I18" s="4" t="n">
        <f aca="false">(I6-H6)*Assumptions!$B$23/100</f>
        <v>-11.3780369160653</v>
      </c>
      <c r="J18" s="4" t="n">
        <f aca="false">(J6-I6)*Assumptions!$B$23/100</f>
        <v>-11.491817285226</v>
      </c>
      <c r="K18" s="4" t="n">
        <f aca="false">(K6-J6)*Assumptions!$B$23/100</f>
        <v>-11.6067354580782</v>
      </c>
      <c r="L18" s="4" t="n">
        <f aca="false">(L6-K6)*Assumptions!$B$23/100</f>
        <v>-11.722802812659</v>
      </c>
    </row>
    <row r="19" customFormat="false" ht="15" hidden="false" customHeight="false" outlineLevel="0" collapsed="false">
      <c r="A19" s="0" t="s">
        <v>122</v>
      </c>
      <c r="C19" s="0" t="n">
        <f aca="false">C15+C16+C17+C18</f>
        <v>810.6889672135</v>
      </c>
      <c r="D19" s="0" t="n">
        <f aca="false">D15+D16+D17+D18</f>
        <v>532.00604192445</v>
      </c>
      <c r="E19" s="0" t="n">
        <f aca="false">E15+E16+E17+E18</f>
        <v>346.224442768425</v>
      </c>
      <c r="F19" s="0" t="n">
        <f aca="false">F15+F16+F17+F18</f>
        <v>253.861503979657</v>
      </c>
      <c r="G19" s="0" t="n">
        <f aca="false">G15+G16+G17+G18</f>
        <v>245.246274380629</v>
      </c>
      <c r="H19" s="0" t="n">
        <f aca="false">H15+H16+H17+H18</f>
        <v>247.698737124435</v>
      </c>
      <c r="I19" s="0" t="n">
        <f aca="false">I15+I16+I17+I18</f>
        <v>250.175724495679</v>
      </c>
      <c r="J19" s="0" t="n">
        <f aca="false">J15+J16+J17+J18</f>
        <v>252.677481740636</v>
      </c>
      <c r="K19" s="0" t="n">
        <f aca="false">K15+K16+K17+K18</f>
        <v>255.204256558042</v>
      </c>
      <c r="L19" s="0" t="n">
        <f aca="false">L15+L16+L17+L18</f>
        <v>257.756299123623</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743.751346067431</v>
      </c>
      <c r="D21" s="0" t="n">
        <f aca="false">D19*D20</f>
        <v>447.77884178474</v>
      </c>
      <c r="E21" s="0" t="n">
        <f aca="false">E19*E20</f>
        <v>267.348795099125</v>
      </c>
      <c r="F21" s="0" t="n">
        <f aca="false">F19*F20</f>
        <v>179.841889538117</v>
      </c>
      <c r="G21" s="0" t="n">
        <f aca="false">G19*G20</f>
        <v>159.393251092706</v>
      </c>
      <c r="H21" s="0" t="n">
        <f aca="false">H19*H20</f>
        <v>147.694663856544</v>
      </c>
      <c r="I21" s="0" t="n">
        <f aca="false">I19*I20</f>
        <v>136.854688527624</v>
      </c>
      <c r="J21" s="0" t="n">
        <f aca="false">J19*J20</f>
        <v>126.810307718257</v>
      </c>
      <c r="K21" s="0" t="n">
        <f aca="false">K19*K20</f>
        <v>117.503129170128</v>
      </c>
      <c r="L21" s="0" t="n">
        <f aca="false">L19*L20</f>
        <v>108.879046295256</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9</v>
      </c>
    </row>
    <row r="28" customFormat="false" ht="15" hidden="false" customHeight="false" outlineLevel="0" collapsed="false">
      <c r="A28" s="0" t="s">
        <v>105</v>
      </c>
      <c r="B28" s="4" t="n">
        <f aca="false">Assumptions!$B$21</f>
        <v>1.5</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2435.85595914993</v>
      </c>
    </row>
    <row r="31" customFormat="false" ht="15" hidden="false" customHeight="false" outlineLevel="0" collapsed="false">
      <c r="A31" s="0" t="s">
        <v>128</v>
      </c>
      <c r="B31" s="0" t="n">
        <f aca="false">L19</f>
        <v>257.756299123623</v>
      </c>
    </row>
    <row r="32" customFormat="false" ht="15" hidden="false" customHeight="false" outlineLevel="0" collapsed="false">
      <c r="A32" s="0" t="s">
        <v>129</v>
      </c>
      <c r="B32" s="0" t="n">
        <f aca="false">IF(B27&gt;B28,B31*(1+B28/100)/((B27-B28)/100),B31*B29)</f>
        <v>3488.30191480636</v>
      </c>
    </row>
    <row r="33" customFormat="false" ht="15" hidden="false" customHeight="false" outlineLevel="0" collapsed="false">
      <c r="A33" s="0" t="s">
        <v>130</v>
      </c>
      <c r="B33" s="0" t="n">
        <f aca="false">B31*B29</f>
        <v>3093.07558948347</v>
      </c>
    </row>
    <row r="34" customFormat="false" ht="15" hidden="false" customHeight="false" outlineLevel="0" collapsed="false">
      <c r="A34" s="0" t="s">
        <v>131</v>
      </c>
      <c r="B34" s="0" t="n">
        <f aca="false">MAX(0,MIN(B32,B33))</f>
        <v>3093.07558948347</v>
      </c>
    </row>
    <row r="35" customFormat="false" ht="15" hidden="false" customHeight="false" outlineLevel="0" collapsed="false">
      <c r="A35" s="0" t="s">
        <v>132</v>
      </c>
      <c r="B35" s="0" t="n">
        <f aca="false">B34/(1+B27/100)^L4</f>
        <v>1306.54855554307</v>
      </c>
    </row>
    <row r="36" customFormat="false" ht="15" hidden="false" customHeight="false" outlineLevel="0" collapsed="false">
      <c r="A36" s="0" t="s">
        <v>133</v>
      </c>
      <c r="B36" s="0" t="n">
        <f aca="false">B30+B35</f>
        <v>3742.404514693</v>
      </c>
    </row>
    <row r="37" customFormat="false" ht="15" hidden="false" customHeight="false" outlineLevel="0" collapsed="false">
      <c r="A37" s="0" t="s">
        <v>134</v>
      </c>
      <c r="B37" s="0" t="n">
        <f aca="false">B36+Assumptions!$B$5-Assumptions!$B$4</f>
        <v>8361.604514693</v>
      </c>
    </row>
    <row r="38" customFormat="false" ht="15" hidden="false" customHeight="false" outlineLevel="0" collapsed="false">
      <c r="A38" s="0" t="s">
        <v>135</v>
      </c>
      <c r="B38" s="0" t="n">
        <f aca="false">B37/Assumptions!$B$3*Assumptions!$B$10</f>
        <v>1.39521646255193</v>
      </c>
    </row>
    <row r="39" customFormat="false" ht="15" hidden="false" customHeight="false" outlineLevel="0" collapsed="false">
      <c r="A39" s="0" t="s">
        <v>136</v>
      </c>
      <c r="B39" s="4" t="n">
        <f aca="false">B38/Assumptions!$B$2-1</f>
        <v>0.125174566574136</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1.39521646255193</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1937.94550822576</v>
      </c>
    </row>
    <row r="47" customFormat="false" ht="15" hidden="false" customHeight="false" outlineLevel="0" collapsed="false">
      <c r="A47" s="0" t="s">
        <v>141</v>
      </c>
      <c r="B47" s="0" t="n">
        <f aca="false">(SUMPRODUCT(C19:L19/(1+B45/100)^C4:L4)+B46/(1+B45/100)^L4+Assumptions!$B$5-Assumptions!$B$4)/Assumptions!$B$3*Assumptions!$B$10</f>
        <v>1.18807114865566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6</v>
      </c>
      <c r="D5" s="4" t="n">
        <f aca="false">Assumptions!D27</f>
        <v>2</v>
      </c>
      <c r="E5" s="4" t="n">
        <f aca="false">Assumptions!E27</f>
        <v>2</v>
      </c>
      <c r="F5" s="4" t="n">
        <f aca="false">Assumptions!F27</f>
        <v>2</v>
      </c>
      <c r="G5" s="4" t="n">
        <f aca="false">Assumptions!G27</f>
        <v>2</v>
      </c>
      <c r="H5" s="4" t="n">
        <f aca="false">Assumptions!H27</f>
        <v>2</v>
      </c>
      <c r="I5" s="4" t="n">
        <f aca="false">Assumptions!I27</f>
        <v>2</v>
      </c>
      <c r="J5" s="4" t="n">
        <f aca="false">Assumptions!J27</f>
        <v>1.5</v>
      </c>
      <c r="K5" s="4" t="n">
        <f aca="false">Assumptions!K27</f>
        <v>1.5</v>
      </c>
      <c r="L5" s="4" t="n">
        <f aca="false">Assumptions!L27</f>
        <v>1.5</v>
      </c>
    </row>
    <row r="6" customFormat="false" ht="15" hidden="false" customHeight="false" outlineLevel="0" collapsed="false">
      <c r="A6" s="0" t="s">
        <v>38</v>
      </c>
      <c r="B6" s="3" t="n">
        <v>23263.105</v>
      </c>
      <c r="C6" s="0" t="n">
        <f aca="false">B6*(1+C5/100)</f>
        <v>24658.8913</v>
      </c>
      <c r="D6" s="0" t="n">
        <f aca="false">C6*(1+D5/100)</f>
        <v>25152.069126</v>
      </c>
      <c r="E6" s="0" t="n">
        <f aca="false">D6*(1+E5/100)</f>
        <v>25655.11050852</v>
      </c>
      <c r="F6" s="0" t="n">
        <f aca="false">E6*(1+F5/100)</f>
        <v>26168.2127186904</v>
      </c>
      <c r="G6" s="0" t="n">
        <f aca="false">F6*(1+G5/100)</f>
        <v>26691.5769730642</v>
      </c>
      <c r="H6" s="0" t="n">
        <f aca="false">G6*(1+H5/100)</f>
        <v>27225.4085125255</v>
      </c>
      <c r="I6" s="0" t="n">
        <f aca="false">H6*(1+I5/100)</f>
        <v>27769.916682776</v>
      </c>
      <c r="J6" s="0" t="n">
        <f aca="false">I6*(1+J5/100)</f>
        <v>28186.4654330176</v>
      </c>
      <c r="K6" s="0" t="n">
        <f aca="false">J6*(1+K5/100)</f>
        <v>28609.2624145129</v>
      </c>
      <c r="L6" s="0" t="n">
        <f aca="false">K6*(1+L5/100)</f>
        <v>29038.4013507306</v>
      </c>
    </row>
    <row r="7" customFormat="false" ht="15" hidden="false" customHeight="false" outlineLevel="0" collapsed="false">
      <c r="A7" s="0" t="s">
        <v>98</v>
      </c>
      <c r="C7" s="4" t="n">
        <f aca="false">Assumptions!C28</f>
        <v>7.4</v>
      </c>
      <c r="D7" s="4" t="n">
        <f aca="false">Assumptions!D28</f>
        <v>7</v>
      </c>
      <c r="E7" s="4" t="n">
        <f aca="false">Assumptions!E28</f>
        <v>6.7</v>
      </c>
      <c r="F7" s="4" t="n">
        <f aca="false">Assumptions!F28</f>
        <v>6.4</v>
      </c>
      <c r="G7" s="4" t="n">
        <f aca="false">Assumptions!G28</f>
        <v>6.3</v>
      </c>
      <c r="H7" s="4" t="n">
        <f aca="false">Assumptions!H28</f>
        <v>6.3</v>
      </c>
      <c r="I7" s="4" t="n">
        <f aca="false">Assumptions!I28</f>
        <v>6.3</v>
      </c>
      <c r="J7" s="4" t="n">
        <f aca="false">Assumptions!J28</f>
        <v>6.3</v>
      </c>
      <c r="K7" s="4" t="n">
        <f aca="false">Assumptions!K28</f>
        <v>6.3</v>
      </c>
      <c r="L7" s="4" t="n">
        <f aca="false">Assumptions!L28</f>
        <v>6.3</v>
      </c>
    </row>
    <row r="8" customFormat="false" ht="15" hidden="false" customHeight="false" outlineLevel="0" collapsed="false">
      <c r="A8" s="0" t="s">
        <v>44</v>
      </c>
      <c r="C8" s="0" t="n">
        <f aca="false">C6*C7/100</f>
        <v>1824.7579562</v>
      </c>
      <c r="D8" s="0" t="n">
        <f aca="false">D6*D7/100</f>
        <v>1760.64483882</v>
      </c>
      <c r="E8" s="0" t="n">
        <f aca="false">E6*E7/100</f>
        <v>1718.89240407084</v>
      </c>
      <c r="F8" s="0" t="n">
        <f aca="false">F6*F7/100</f>
        <v>1674.76561399619</v>
      </c>
      <c r="G8" s="0" t="n">
        <f aca="false">G6*G7/100</f>
        <v>1681.56934930305</v>
      </c>
      <c r="H8" s="0" t="n">
        <f aca="false">H6*H7/100</f>
        <v>1715.20073628911</v>
      </c>
      <c r="I8" s="0" t="n">
        <f aca="false">I6*I7/100</f>
        <v>1749.50475101489</v>
      </c>
      <c r="J8" s="0" t="n">
        <f aca="false">J6*J7/100</f>
        <v>1775.74732228011</v>
      </c>
      <c r="K8" s="0" t="n">
        <f aca="false">K6*K7/100</f>
        <v>1802.38353211431</v>
      </c>
      <c r="L8" s="0" t="n">
        <f aca="false">L6*L7/100</f>
        <v>1829.41928509603</v>
      </c>
    </row>
    <row r="9" customFormat="false" ht="15" hidden="false" customHeight="false" outlineLevel="0" collapsed="false">
      <c r="A9" s="0" t="s">
        <v>99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1824.7579562</v>
      </c>
      <c r="D11" s="0" t="n">
        <f aca="false">D8+D10+D24</f>
        <v>1760.64483882</v>
      </c>
      <c r="E11" s="0" t="n">
        <f aca="false">E8+E10+E24</f>
        <v>1718.89240407084</v>
      </c>
      <c r="F11" s="0" t="n">
        <f aca="false">F8+F10+F24</f>
        <v>1674.76561399619</v>
      </c>
      <c r="G11" s="0" t="n">
        <f aca="false">G8+G10+G24</f>
        <v>1681.56934930305</v>
      </c>
      <c r="H11" s="0" t="n">
        <f aca="false">H8+H10+H24</f>
        <v>1715.20073628911</v>
      </c>
      <c r="I11" s="0" t="n">
        <f aca="false">I8+I10+I24</f>
        <v>1749.50475101489</v>
      </c>
      <c r="J11" s="0" t="n">
        <f aca="false">J8+J10+J24</f>
        <v>1775.74732228011</v>
      </c>
      <c r="K11" s="0" t="n">
        <f aca="false">K8+K10+K24</f>
        <v>1802.38353211431</v>
      </c>
      <c r="L11" s="0" t="n">
        <f aca="false">L8+L10+L24</f>
        <v>1829.41928509603</v>
      </c>
    </row>
    <row r="12" customFormat="false" ht="15" hidden="false" customHeight="false" outlineLevel="0" collapsed="false">
      <c r="A12" s="0" t="s">
        <v>116</v>
      </c>
      <c r="C12" s="4" t="n">
        <f aca="false">-C6*Assumptions!C31/100</f>
        <v>-468.5189347</v>
      </c>
      <c r="D12" s="4" t="n">
        <f aca="false">-D6*Assumptions!D31/100</f>
        <v>-477.889313394</v>
      </c>
      <c r="E12" s="4" t="n">
        <f aca="false">-E6*Assumptions!E31/100</f>
        <v>-487.44709966188</v>
      </c>
      <c r="F12" s="4" t="n">
        <f aca="false">-F6*Assumptions!F31/100</f>
        <v>-497.196041655118</v>
      </c>
      <c r="G12" s="4" t="n">
        <f aca="false">-G6*Assumptions!G31/100</f>
        <v>-507.13996248822</v>
      </c>
      <c r="H12" s="4" t="n">
        <f aca="false">-H6*Assumptions!H31/100</f>
        <v>-517.282761737984</v>
      </c>
      <c r="I12" s="4" t="n">
        <f aca="false">-I6*Assumptions!I31/100</f>
        <v>-527.628416972744</v>
      </c>
      <c r="J12" s="4" t="n">
        <f aca="false">-J6*Assumptions!J31/100</f>
        <v>-535.542843227335</v>
      </c>
      <c r="K12" s="4" t="n">
        <f aca="false">-K6*Assumptions!K31/100</f>
        <v>-543.575985875745</v>
      </c>
      <c r="L12" s="4" t="n">
        <f aca="false">-L6*Assumptions!L31/100</f>
        <v>-551.729625663881</v>
      </c>
    </row>
    <row r="13" customFormat="false" ht="15" hidden="false" customHeight="false" outlineLevel="0" collapsed="false">
      <c r="A13" s="0" t="s">
        <v>117</v>
      </c>
      <c r="C13" s="0" t="n">
        <f aca="false">C11+C12</f>
        <v>1356.2390215</v>
      </c>
      <c r="D13" s="0" t="n">
        <f aca="false">D11+D12</f>
        <v>1282.755525426</v>
      </c>
      <c r="E13" s="0" t="n">
        <f aca="false">E11+E12</f>
        <v>1231.44530440896</v>
      </c>
      <c r="F13" s="0" t="n">
        <f aca="false">F11+F12</f>
        <v>1177.56957234107</v>
      </c>
      <c r="G13" s="0" t="n">
        <f aca="false">G11+G12</f>
        <v>1174.42938681483</v>
      </c>
      <c r="H13" s="0" t="n">
        <f aca="false">H11+H12</f>
        <v>1197.91797455112</v>
      </c>
      <c r="I13" s="0" t="n">
        <f aca="false">I11+I12</f>
        <v>1221.87633404214</v>
      </c>
      <c r="J13" s="0" t="n">
        <f aca="false">J11+J12</f>
        <v>1240.20447905278</v>
      </c>
      <c r="K13" s="0" t="n">
        <f aca="false">K11+K12</f>
        <v>1258.80754623857</v>
      </c>
      <c r="L13" s="0" t="n">
        <f aca="false">L11+L12</f>
        <v>1277.68965943215</v>
      </c>
    </row>
    <row r="14" customFormat="false" ht="15" hidden="false" customHeight="false" outlineLevel="0" collapsed="false">
      <c r="A14" s="0" t="s">
        <v>103</v>
      </c>
      <c r="C14" s="4" t="n">
        <f aca="false">Assumptions!C33</f>
        <v>21</v>
      </c>
      <c r="D14" s="4" t="n">
        <f aca="false">Assumptions!D33</f>
        <v>22</v>
      </c>
      <c r="E14" s="4" t="n">
        <f aca="false">Assumptions!E33</f>
        <v>22</v>
      </c>
      <c r="F14" s="4" t="n">
        <f aca="false">Assumptions!F33</f>
        <v>22</v>
      </c>
      <c r="G14" s="4" t="n">
        <f aca="false">Assumptions!G33</f>
        <v>22</v>
      </c>
      <c r="H14" s="4" t="n">
        <f aca="false">Assumptions!H33</f>
        <v>22</v>
      </c>
      <c r="I14" s="4" t="n">
        <f aca="false">Assumptions!I33</f>
        <v>22</v>
      </c>
      <c r="J14" s="4" t="n">
        <f aca="false">Assumptions!J33</f>
        <v>22</v>
      </c>
      <c r="K14" s="4" t="n">
        <f aca="false">Assumptions!K33</f>
        <v>22</v>
      </c>
      <c r="L14" s="4" t="n">
        <f aca="false">Assumptions!L33</f>
        <v>22</v>
      </c>
    </row>
    <row r="15" customFormat="false" ht="15" hidden="false" customHeight="false" outlineLevel="0" collapsed="false">
      <c r="A15" s="0" t="s">
        <v>118</v>
      </c>
      <c r="C15" s="0" t="n">
        <f aca="false">C13-MAX(0,C13)*C14/100</f>
        <v>1071.428826985</v>
      </c>
      <c r="D15" s="0" t="n">
        <f aca="false">D13-MAX(0,D13)*D14/100</f>
        <v>1000.54930983228</v>
      </c>
      <c r="E15" s="0" t="n">
        <f aca="false">E13-MAX(0,E13)*E14/100</f>
        <v>960.527337438989</v>
      </c>
      <c r="F15" s="0" t="n">
        <f aca="false">F13-MAX(0,F13)*F14/100</f>
        <v>918.504266426033</v>
      </c>
      <c r="G15" s="0" t="n">
        <f aca="false">G13-MAX(0,G13)*G14/100</f>
        <v>916.054921715564</v>
      </c>
      <c r="H15" s="0" t="n">
        <f aca="false">H13-MAX(0,H13)*H14/100</f>
        <v>934.376020149875</v>
      </c>
      <c r="I15" s="0" t="n">
        <f aca="false">I13-MAX(0,I13)*I14/100</f>
        <v>953.063540552873</v>
      </c>
      <c r="J15" s="0" t="n">
        <f aca="false">J13-MAX(0,J13)*J14/100</f>
        <v>967.359493661165</v>
      </c>
      <c r="K15" s="0" t="n">
        <f aca="false">K13-MAX(0,K13)*K14/100</f>
        <v>981.869886066083</v>
      </c>
      <c r="L15" s="0" t="n">
        <f aca="false">L13-MAX(0,L13)*L14/100</f>
        <v>996.597934357074</v>
      </c>
    </row>
    <row r="16" customFormat="false" ht="15" hidden="false" customHeight="false" outlineLevel="0" collapsed="false">
      <c r="A16" s="0" t="s">
        <v>119</v>
      </c>
      <c r="C16" s="0" t="n">
        <f aca="false">-C12</f>
        <v>468.5189347</v>
      </c>
      <c r="D16" s="0" t="n">
        <f aca="false">-D12</f>
        <v>477.889313394</v>
      </c>
      <c r="E16" s="0" t="n">
        <f aca="false">-E12</f>
        <v>487.44709966188</v>
      </c>
      <c r="F16" s="0" t="n">
        <f aca="false">-F12</f>
        <v>497.196041655118</v>
      </c>
      <c r="G16" s="0" t="n">
        <f aca="false">-G12</f>
        <v>507.13996248822</v>
      </c>
      <c r="H16" s="0" t="n">
        <f aca="false">-H12</f>
        <v>517.282761737984</v>
      </c>
      <c r="I16" s="0" t="n">
        <f aca="false">-I12</f>
        <v>527.628416972744</v>
      </c>
      <c r="J16" s="0" t="n">
        <f aca="false">-J12</f>
        <v>535.542843227335</v>
      </c>
      <c r="K16" s="0" t="n">
        <f aca="false">-K12</f>
        <v>543.575985875745</v>
      </c>
      <c r="L16" s="0" t="n">
        <f aca="false">-L12</f>
        <v>551.729625663881</v>
      </c>
    </row>
    <row r="17" customFormat="false" ht="15" hidden="false" customHeight="false" outlineLevel="0" collapsed="false">
      <c r="A17" s="0" t="s">
        <v>120</v>
      </c>
      <c r="C17" s="4" t="n">
        <f aca="false">-C6*Assumptions!C32/100</f>
        <v>-542.4956086</v>
      </c>
      <c r="D17" s="4" t="n">
        <f aca="false">-D6*Assumptions!D32/100</f>
        <v>-553.345520772</v>
      </c>
      <c r="E17" s="4" t="n">
        <f aca="false">-E6*Assumptions!E32/100</f>
        <v>-564.41243118744</v>
      </c>
      <c r="F17" s="4" t="n">
        <f aca="false">-F6*Assumptions!F32/100</f>
        <v>-575.700679811189</v>
      </c>
      <c r="G17" s="4" t="n">
        <f aca="false">-G6*Assumptions!G32/100</f>
        <v>-587.214693407413</v>
      </c>
      <c r="H17" s="4" t="n">
        <f aca="false">-H6*Assumptions!H32/100</f>
        <v>-598.958987275561</v>
      </c>
      <c r="I17" s="4" t="n">
        <f aca="false">-I6*Assumptions!I32/100</f>
        <v>-610.938167021072</v>
      </c>
      <c r="J17" s="4" t="n">
        <f aca="false">-J6*Assumptions!J32/100</f>
        <v>-620.102239526388</v>
      </c>
      <c r="K17" s="4" t="n">
        <f aca="false">-K6*Assumptions!K32/100</f>
        <v>-629.403773119284</v>
      </c>
      <c r="L17" s="4" t="n">
        <f aca="false">-L6*Assumptions!L32/100</f>
        <v>-638.844829716073</v>
      </c>
    </row>
    <row r="18" customFormat="false" ht="15" hidden="false" customHeight="false" outlineLevel="0" collapsed="false">
      <c r="A18" s="0" t="s">
        <v>121</v>
      </c>
      <c r="C18" s="4" t="n">
        <f aca="false">(C6-B6)*Assumptions!$B$37/100</f>
        <v>-69.789315</v>
      </c>
      <c r="D18" s="4" t="n">
        <f aca="false">(D6-C6)*Assumptions!$B$37/100</f>
        <v>-24.6588913</v>
      </c>
      <c r="E18" s="4" t="n">
        <f aca="false">(E6-D6)*Assumptions!$B$37/100</f>
        <v>-25.1520691260001</v>
      </c>
      <c r="F18" s="4" t="n">
        <f aca="false">(F6-E6)*Assumptions!$B$37/100</f>
        <v>-25.65511050852</v>
      </c>
      <c r="G18" s="4" t="n">
        <f aca="false">(G6-F6)*Assumptions!$B$37/100</f>
        <v>-26.1682127186905</v>
      </c>
      <c r="H18" s="4" t="n">
        <f aca="false">(H6-G6)*Assumptions!$B$37/100</f>
        <v>-26.6915769730642</v>
      </c>
      <c r="I18" s="4" t="n">
        <f aca="false">(I6-H6)*Assumptions!$B$37/100</f>
        <v>-27.2254085125254</v>
      </c>
      <c r="J18" s="4" t="n">
        <f aca="false">(J6-I6)*Assumptions!$B$37/100</f>
        <v>-20.8274375120818</v>
      </c>
      <c r="K18" s="4" t="n">
        <f aca="false">(K6-J6)*Assumptions!$B$37/100</f>
        <v>-21.1398490747632</v>
      </c>
      <c r="L18" s="4" t="n">
        <f aca="false">(L6-K6)*Assumptions!$B$37/100</f>
        <v>-21.4569468108846</v>
      </c>
    </row>
    <row r="19" customFormat="false" ht="15" hidden="false" customHeight="false" outlineLevel="0" collapsed="false">
      <c r="A19" s="0" t="s">
        <v>122</v>
      </c>
      <c r="C19" s="0" t="n">
        <f aca="false">C15+C16+C17+C18</f>
        <v>927.662838085</v>
      </c>
      <c r="D19" s="0" t="n">
        <f aca="false">D15+D16+D17+D18</f>
        <v>900.43421115428</v>
      </c>
      <c r="E19" s="0" t="n">
        <f aca="false">E15+E16+E17+E18</f>
        <v>858.409936787429</v>
      </c>
      <c r="F19" s="0" t="n">
        <f aca="false">F15+F16+F17+F18</f>
        <v>814.344517761442</v>
      </c>
      <c r="G19" s="0" t="n">
        <f aca="false">G15+G16+G17+G18</f>
        <v>809.811978077681</v>
      </c>
      <c r="H19" s="0" t="n">
        <f aca="false">H15+H16+H17+H18</f>
        <v>826.008217639234</v>
      </c>
      <c r="I19" s="0" t="n">
        <f aca="false">I15+I16+I17+I18</f>
        <v>842.528381992019</v>
      </c>
      <c r="J19" s="0" t="n">
        <f aca="false">J15+J16+J17+J18</f>
        <v>861.972659850031</v>
      </c>
      <c r="K19" s="0" t="n">
        <f aca="false">K15+K16+K17+K18</f>
        <v>874.902249747781</v>
      </c>
      <c r="L19" s="0" t="n">
        <f aca="false">L15+L16+L17+L18</f>
        <v>888.025783493997</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851.066823931193</v>
      </c>
      <c r="D21" s="0" t="n">
        <f aca="false">D19*D20</f>
        <v>757.877460781315</v>
      </c>
      <c r="E21" s="0" t="n">
        <f aca="false">E19*E20</f>
        <v>662.849972307515</v>
      </c>
      <c r="F21" s="0" t="n">
        <f aca="false">F19*F20</f>
        <v>576.902186874935</v>
      </c>
      <c r="G21" s="0" t="n">
        <f aca="false">G19*G20</f>
        <v>526.322221553032</v>
      </c>
      <c r="H21" s="0" t="n">
        <f aca="false">H19*H20</f>
        <v>492.521711912012</v>
      </c>
      <c r="I21" s="0" t="n">
        <f aca="false">I19*I20</f>
        <v>460.891877202066</v>
      </c>
      <c r="J21" s="0" t="n">
        <f aca="false">J19*J20</f>
        <v>432.595011978575</v>
      </c>
      <c r="K21" s="0" t="n">
        <f aca="false">K19*K20</f>
        <v>402.829300145187</v>
      </c>
      <c r="L21" s="0" t="n">
        <f aca="false">L19*L20</f>
        <v>375.111687749876</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9</v>
      </c>
    </row>
    <row r="28" customFormat="false" ht="15" hidden="false" customHeight="false" outlineLevel="0" collapsed="false">
      <c r="A28" s="0" t="s">
        <v>105</v>
      </c>
      <c r="B28" s="4" t="n">
        <f aca="false">Assumptions!$B$35</f>
        <v>1.5</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5538.96825443571</v>
      </c>
    </row>
    <row r="31" customFormat="false" ht="15" hidden="false" customHeight="false" outlineLevel="0" collapsed="false">
      <c r="A31" s="0" t="s">
        <v>128</v>
      </c>
      <c r="B31" s="0" t="n">
        <f aca="false">L19</f>
        <v>888.025783493997</v>
      </c>
    </row>
    <row r="32" customFormat="false" ht="15" hidden="false" customHeight="false" outlineLevel="0" collapsed="false">
      <c r="A32" s="0" t="s">
        <v>129</v>
      </c>
      <c r="B32" s="0" t="n">
        <f aca="false">IF(B27&gt;B28,B31*(1+B28/100)/((B27-B28)/100),B31*B29)</f>
        <v>12017.9489366188</v>
      </c>
    </row>
    <row r="33" customFormat="false" ht="15" hidden="false" customHeight="false" outlineLevel="0" collapsed="false">
      <c r="A33" s="0" t="s">
        <v>130</v>
      </c>
      <c r="B33" s="0" t="n">
        <f aca="false">B31*B29</f>
        <v>10656.309401928</v>
      </c>
    </row>
    <row r="34" customFormat="false" ht="15" hidden="false" customHeight="false" outlineLevel="0" collapsed="false">
      <c r="A34" s="0" t="s">
        <v>131</v>
      </c>
      <c r="B34" s="0" t="n">
        <f aca="false">MAX(0,MIN(B32,B33))</f>
        <v>10656.309401928</v>
      </c>
    </row>
    <row r="35" customFormat="false" ht="15" hidden="false" customHeight="false" outlineLevel="0" collapsed="false">
      <c r="A35" s="0" t="s">
        <v>132</v>
      </c>
      <c r="B35" s="0" t="n">
        <f aca="false">B34/(1+B27/100)^L4</f>
        <v>4501.34025299851</v>
      </c>
    </row>
    <row r="36" customFormat="false" ht="15" hidden="false" customHeight="false" outlineLevel="0" collapsed="false">
      <c r="A36" s="0" t="s">
        <v>133</v>
      </c>
      <c r="B36" s="0" t="n">
        <f aca="false">B30+B35</f>
        <v>10040.3085074342</v>
      </c>
    </row>
    <row r="37" customFormat="false" ht="15" hidden="false" customHeight="false" outlineLevel="0" collapsed="false">
      <c r="A37" s="0" t="s">
        <v>134</v>
      </c>
      <c r="B37" s="0" t="n">
        <f aca="false">B36+Assumptions!$B$5-Assumptions!$B$4</f>
        <v>14659.5085074342</v>
      </c>
    </row>
    <row r="38" customFormat="false" ht="15" hidden="false" customHeight="false" outlineLevel="0" collapsed="false">
      <c r="A38" s="0" t="s">
        <v>135</v>
      </c>
      <c r="B38" s="0" t="n">
        <f aca="false">B37/Assumptions!$B$3*Assumptions!$B$10</f>
        <v>2.44608406993561</v>
      </c>
    </row>
    <row r="39" customFormat="false" ht="15" hidden="false" customHeight="false" outlineLevel="0" collapsed="false">
      <c r="A39" s="0" t="s">
        <v>136</v>
      </c>
      <c r="B39" s="4" t="n">
        <f aca="false">B38/Assumptions!$B$2-1</f>
        <v>0.972648443496462</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2.44608406993561</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6676.63829812154</v>
      </c>
    </row>
    <row r="47" customFormat="false" ht="15" hidden="false" customHeight="false" outlineLevel="0" collapsed="false">
      <c r="A47" s="0" t="s">
        <v>141</v>
      </c>
      <c r="B47" s="0" t="n">
        <f aca="false">(SUMPRODUCT(C19:L19/(1+B45/100)^C4:L4)+B46/(1+B45/100)^L4+Assumptions!$B$5-Assumptions!$B$4)/Assumptions!$B$3*Assumptions!$B$10</f>
        <v>1.77097726847383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8</v>
      </c>
      <c r="D5" s="4" t="n">
        <f aca="false">Assumptions!D41</f>
        <v>4</v>
      </c>
      <c r="E5" s="4" t="n">
        <f aca="false">Assumptions!E41</f>
        <v>3.5</v>
      </c>
      <c r="F5" s="4" t="n">
        <f aca="false">Assumptions!F41</f>
        <v>3</v>
      </c>
      <c r="G5" s="4" t="n">
        <f aca="false">Assumptions!G41</f>
        <v>3</v>
      </c>
      <c r="H5" s="4" t="n">
        <f aca="false">Assumptions!H41</f>
        <v>3</v>
      </c>
      <c r="I5" s="4" t="n">
        <f aca="false">Assumptions!I41</f>
        <v>2.5</v>
      </c>
      <c r="J5" s="4" t="n">
        <f aca="false">Assumptions!J41</f>
        <v>2.5</v>
      </c>
      <c r="K5" s="4" t="n">
        <f aca="false">Assumptions!K41</f>
        <v>2</v>
      </c>
      <c r="L5" s="4" t="n">
        <f aca="false">Assumptions!L41</f>
        <v>2</v>
      </c>
    </row>
    <row r="6" customFormat="false" ht="15" hidden="false" customHeight="false" outlineLevel="0" collapsed="false">
      <c r="A6" s="0" t="s">
        <v>38</v>
      </c>
      <c r="B6" s="3" t="n">
        <v>23263.105</v>
      </c>
      <c r="C6" s="0" t="n">
        <f aca="false">B6*(1+C5/100)</f>
        <v>25124.1534</v>
      </c>
      <c r="D6" s="0" t="n">
        <f aca="false">C6*(1+D5/100)</f>
        <v>26129.119536</v>
      </c>
      <c r="E6" s="0" t="n">
        <f aca="false">D6*(1+E5/100)</f>
        <v>27043.63871976</v>
      </c>
      <c r="F6" s="0" t="n">
        <f aca="false">E6*(1+F5/100)</f>
        <v>27854.9478813528</v>
      </c>
      <c r="G6" s="0" t="n">
        <f aca="false">F6*(1+G5/100)</f>
        <v>28690.5963177934</v>
      </c>
      <c r="H6" s="0" t="n">
        <f aca="false">G6*(1+H5/100)</f>
        <v>29551.3142073272</v>
      </c>
      <c r="I6" s="0" t="n">
        <f aca="false">H6*(1+I5/100)</f>
        <v>30290.0970625104</v>
      </c>
      <c r="J6" s="0" t="n">
        <f aca="false">I6*(1+J5/100)</f>
        <v>31047.3494890731</v>
      </c>
      <c r="K6" s="0" t="n">
        <f aca="false">J6*(1+K5/100)</f>
        <v>31668.2964788546</v>
      </c>
      <c r="L6" s="0" t="n">
        <f aca="false">K6*(1+L5/100)</f>
        <v>32301.6624084317</v>
      </c>
    </row>
    <row r="7" customFormat="false" ht="15" hidden="false" customHeight="false" outlineLevel="0" collapsed="false">
      <c r="A7" s="0" t="s">
        <v>98</v>
      </c>
      <c r="C7" s="4" t="n">
        <f aca="false">Assumptions!C42</f>
        <v>7.8</v>
      </c>
      <c r="D7" s="4" t="n">
        <f aca="false">Assumptions!D42</f>
        <v>7.7</v>
      </c>
      <c r="E7" s="4" t="n">
        <f aca="false">Assumptions!E42</f>
        <v>7.6</v>
      </c>
      <c r="F7" s="4" t="n">
        <f aca="false">Assumptions!F42</f>
        <v>7.5</v>
      </c>
      <c r="G7" s="4" t="n">
        <f aca="false">Assumptions!G42</f>
        <v>7.5</v>
      </c>
      <c r="H7" s="4" t="n">
        <f aca="false">Assumptions!H42</f>
        <v>7.5</v>
      </c>
      <c r="I7" s="4" t="n">
        <f aca="false">Assumptions!I42</f>
        <v>7.5</v>
      </c>
      <c r="J7" s="4" t="n">
        <f aca="false">Assumptions!J42</f>
        <v>7.5</v>
      </c>
      <c r="K7" s="4" t="n">
        <f aca="false">Assumptions!K42</f>
        <v>7.5</v>
      </c>
      <c r="L7" s="4" t="n">
        <f aca="false">Assumptions!L42</f>
        <v>7.5</v>
      </c>
    </row>
    <row r="8" customFormat="false" ht="15" hidden="false" customHeight="false" outlineLevel="0" collapsed="false">
      <c r="A8" s="0" t="s">
        <v>44</v>
      </c>
      <c r="C8" s="0" t="n">
        <f aca="false">C6*C7/100</f>
        <v>1959.6839652</v>
      </c>
      <c r="D8" s="0" t="n">
        <f aca="false">D6*D7/100</f>
        <v>2011.942204272</v>
      </c>
      <c r="E8" s="0" t="n">
        <f aca="false">E6*E7/100</f>
        <v>2055.31654270176</v>
      </c>
      <c r="F8" s="0" t="n">
        <f aca="false">F6*F7/100</f>
        <v>2089.12109110146</v>
      </c>
      <c r="G8" s="0" t="n">
        <f aca="false">G6*G7/100</f>
        <v>2151.7947238345</v>
      </c>
      <c r="H8" s="0" t="n">
        <f aca="false">H6*H7/100</f>
        <v>2216.34856554954</v>
      </c>
      <c r="I8" s="0" t="n">
        <f aca="false">I6*I7/100</f>
        <v>2271.75727968828</v>
      </c>
      <c r="J8" s="0" t="n">
        <f aca="false">J6*J7/100</f>
        <v>2328.55121168049</v>
      </c>
      <c r="K8" s="0" t="n">
        <f aca="false">K6*K7/100</f>
        <v>2375.12223591409</v>
      </c>
      <c r="L8" s="0" t="n">
        <f aca="false">L6*L7/100</f>
        <v>2422.62468063238</v>
      </c>
    </row>
    <row r="9" customFormat="false" ht="15" hidden="false" customHeight="false" outlineLevel="0" collapsed="false">
      <c r="A9" s="0" t="s">
        <v>99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1959.6839652</v>
      </c>
      <c r="D11" s="0" t="n">
        <f aca="false">D8+D10+D24</f>
        <v>2011.942204272</v>
      </c>
      <c r="E11" s="0" t="n">
        <f aca="false">E8+E10+E24</f>
        <v>2055.31654270176</v>
      </c>
      <c r="F11" s="0" t="n">
        <f aca="false">F8+F10+F24</f>
        <v>2089.12109110146</v>
      </c>
      <c r="G11" s="0" t="n">
        <f aca="false">G8+G10+G24</f>
        <v>2151.7947238345</v>
      </c>
      <c r="H11" s="0" t="n">
        <f aca="false">H8+H10+H24</f>
        <v>2216.34856554954</v>
      </c>
      <c r="I11" s="0" t="n">
        <f aca="false">I8+I10+I24</f>
        <v>2271.75727968828</v>
      </c>
      <c r="J11" s="0" t="n">
        <f aca="false">J8+J10+J24</f>
        <v>2328.55121168049</v>
      </c>
      <c r="K11" s="0" t="n">
        <f aca="false">K8+K10+K24</f>
        <v>2375.12223591409</v>
      </c>
      <c r="L11" s="0" t="n">
        <f aca="false">L8+L10+L24</f>
        <v>2422.62468063238</v>
      </c>
    </row>
    <row r="12" customFormat="false" ht="15" hidden="false" customHeight="false" outlineLevel="0" collapsed="false">
      <c r="A12" s="0" t="s">
        <v>116</v>
      </c>
      <c r="C12" s="4" t="n">
        <f aca="false">-C6*Assumptions!C45/100</f>
        <v>-477.3589146</v>
      </c>
      <c r="D12" s="4" t="n">
        <f aca="false">-D6*Assumptions!D45/100</f>
        <v>-496.453271184</v>
      </c>
      <c r="E12" s="4" t="n">
        <f aca="false">-E6*Assumptions!E45/100</f>
        <v>-513.82913567544</v>
      </c>
      <c r="F12" s="4" t="n">
        <f aca="false">-F6*Assumptions!F45/100</f>
        <v>-529.244009745703</v>
      </c>
      <c r="G12" s="4" t="n">
        <f aca="false">-G6*Assumptions!G45/100</f>
        <v>-545.121330038075</v>
      </c>
      <c r="H12" s="4" t="n">
        <f aca="false">-H6*Assumptions!H45/100</f>
        <v>-561.474969939217</v>
      </c>
      <c r="I12" s="4" t="n">
        <f aca="false">-I6*Assumptions!I45/100</f>
        <v>-575.511844187697</v>
      </c>
      <c r="J12" s="4" t="n">
        <f aca="false">-J6*Assumptions!J45/100</f>
        <v>-589.899640292389</v>
      </c>
      <c r="K12" s="4" t="n">
        <f aca="false">-K6*Assumptions!K45/100</f>
        <v>-601.697633098237</v>
      </c>
      <c r="L12" s="4" t="n">
        <f aca="false">-L6*Assumptions!L45/100</f>
        <v>-613.731585760202</v>
      </c>
    </row>
    <row r="13" customFormat="false" ht="15" hidden="false" customHeight="false" outlineLevel="0" collapsed="false">
      <c r="A13" s="0" t="s">
        <v>117</v>
      </c>
      <c r="C13" s="0" t="n">
        <f aca="false">C11+C12</f>
        <v>1482.3250506</v>
      </c>
      <c r="D13" s="0" t="n">
        <f aca="false">D11+D12</f>
        <v>1515.488933088</v>
      </c>
      <c r="E13" s="0" t="n">
        <f aca="false">E11+E12</f>
        <v>1541.48740702632</v>
      </c>
      <c r="F13" s="0" t="n">
        <f aca="false">F11+F12</f>
        <v>1559.87708135576</v>
      </c>
      <c r="G13" s="0" t="n">
        <f aca="false">G11+G12</f>
        <v>1606.67339379643</v>
      </c>
      <c r="H13" s="0" t="n">
        <f aca="false">H11+H12</f>
        <v>1654.87359561032</v>
      </c>
      <c r="I13" s="0" t="n">
        <f aca="false">I11+I12</f>
        <v>1696.24543550058</v>
      </c>
      <c r="J13" s="0" t="n">
        <f aca="false">J11+J12</f>
        <v>1738.6515713881</v>
      </c>
      <c r="K13" s="0" t="n">
        <f aca="false">K11+K12</f>
        <v>1773.42460281586</v>
      </c>
      <c r="L13" s="0" t="n">
        <f aca="false">L11+L12</f>
        <v>1808.89309487217</v>
      </c>
    </row>
    <row r="14" customFormat="false" ht="15" hidden="false" customHeight="false" outlineLevel="0" collapsed="false">
      <c r="A14" s="0" t="s">
        <v>103</v>
      </c>
      <c r="C14" s="4" t="n">
        <f aca="false">Assumptions!C47</f>
        <v>21</v>
      </c>
      <c r="D14" s="4" t="n">
        <f aca="false">Assumptions!D47</f>
        <v>22</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118</v>
      </c>
      <c r="C15" s="0" t="n">
        <f aca="false">C13-MAX(0,C13)*C14/100</f>
        <v>1171.036789974</v>
      </c>
      <c r="D15" s="0" t="n">
        <f aca="false">D13-MAX(0,D13)*D14/100</f>
        <v>1182.08136780864</v>
      </c>
      <c r="E15" s="0" t="n">
        <f aca="false">E13-MAX(0,E13)*E14/100</f>
        <v>1202.36017748053</v>
      </c>
      <c r="F15" s="0" t="n">
        <f aca="false">F13-MAX(0,F13)*F14/100</f>
        <v>1216.70412345749</v>
      </c>
      <c r="G15" s="0" t="n">
        <f aca="false">G13-MAX(0,G13)*G14/100</f>
        <v>1253.20524716122</v>
      </c>
      <c r="H15" s="0" t="n">
        <f aca="false">H13-MAX(0,H13)*H14/100</f>
        <v>1290.80140457605</v>
      </c>
      <c r="I15" s="0" t="n">
        <f aca="false">I13-MAX(0,I13)*I14/100</f>
        <v>1323.07143969045</v>
      </c>
      <c r="J15" s="0" t="n">
        <f aca="false">J13-MAX(0,J13)*J14/100</f>
        <v>1356.14822568271</v>
      </c>
      <c r="K15" s="0" t="n">
        <f aca="false">K13-MAX(0,K13)*K14/100</f>
        <v>1383.27119019637</v>
      </c>
      <c r="L15" s="0" t="n">
        <f aca="false">L13-MAX(0,L13)*L14/100</f>
        <v>1410.9366140003</v>
      </c>
    </row>
    <row r="16" customFormat="false" ht="15" hidden="false" customHeight="false" outlineLevel="0" collapsed="false">
      <c r="A16" s="0" t="s">
        <v>119</v>
      </c>
      <c r="C16" s="0" t="n">
        <f aca="false">-C12</f>
        <v>477.3589146</v>
      </c>
      <c r="D16" s="0" t="n">
        <f aca="false">-D12</f>
        <v>496.453271184</v>
      </c>
      <c r="E16" s="0" t="n">
        <f aca="false">-E12</f>
        <v>513.82913567544</v>
      </c>
      <c r="F16" s="0" t="n">
        <f aca="false">-F12</f>
        <v>529.244009745703</v>
      </c>
      <c r="G16" s="0" t="n">
        <f aca="false">-G12</f>
        <v>545.121330038075</v>
      </c>
      <c r="H16" s="0" t="n">
        <f aca="false">-H12</f>
        <v>561.474969939217</v>
      </c>
      <c r="I16" s="0" t="n">
        <f aca="false">-I12</f>
        <v>575.511844187697</v>
      </c>
      <c r="J16" s="0" t="n">
        <f aca="false">-J12</f>
        <v>589.899640292389</v>
      </c>
      <c r="K16" s="0" t="n">
        <f aca="false">-K12</f>
        <v>601.697633098237</v>
      </c>
      <c r="L16" s="0" t="n">
        <f aca="false">-L12</f>
        <v>613.731585760202</v>
      </c>
    </row>
    <row r="17" customFormat="false" ht="15" hidden="false" customHeight="false" outlineLevel="0" collapsed="false">
      <c r="A17" s="0" t="s">
        <v>120</v>
      </c>
      <c r="C17" s="4" t="n">
        <f aca="false">-C6*Assumptions!C46/100</f>
        <v>-552.7313748</v>
      </c>
      <c r="D17" s="4" t="n">
        <f aca="false">-D6*Assumptions!D46/100</f>
        <v>-574.840629792</v>
      </c>
      <c r="E17" s="4" t="n">
        <f aca="false">-E6*Assumptions!E46/100</f>
        <v>-594.96005183472</v>
      </c>
      <c r="F17" s="4" t="n">
        <f aca="false">-F6*Assumptions!F46/100</f>
        <v>-612.808853389762</v>
      </c>
      <c r="G17" s="4" t="n">
        <f aca="false">-G6*Assumptions!G46/100</f>
        <v>-631.193118991455</v>
      </c>
      <c r="H17" s="4" t="n">
        <f aca="false">-H6*Assumptions!H46/100</f>
        <v>-650.128912561198</v>
      </c>
      <c r="I17" s="4" t="n">
        <f aca="false">-I6*Assumptions!I46/100</f>
        <v>-666.382135375228</v>
      </c>
      <c r="J17" s="4" t="n">
        <f aca="false">-J6*Assumptions!J46/100</f>
        <v>-683.041688759609</v>
      </c>
      <c r="K17" s="4" t="n">
        <f aca="false">-K6*Assumptions!K46/100</f>
        <v>-696.702522534801</v>
      </c>
      <c r="L17" s="4" t="n">
        <f aca="false">-L6*Assumptions!L46/100</f>
        <v>-710.636572985497</v>
      </c>
    </row>
    <row r="18" customFormat="false" ht="15" hidden="false" customHeight="false" outlineLevel="0" collapsed="false">
      <c r="A18" s="0" t="s">
        <v>121</v>
      </c>
      <c r="C18" s="4" t="n">
        <f aca="false">(C6-B6)*Assumptions!$B$51/100</f>
        <v>-93.0524200000002</v>
      </c>
      <c r="D18" s="4" t="n">
        <f aca="false">(D6-C6)*Assumptions!$B$51/100</f>
        <v>-50.2483068000001</v>
      </c>
      <c r="E18" s="4" t="n">
        <f aca="false">(E6-D6)*Assumptions!$B$51/100</f>
        <v>-45.725959188</v>
      </c>
      <c r="F18" s="4" t="n">
        <f aca="false">(F6-E6)*Assumptions!$B$51/100</f>
        <v>-40.5654580796401</v>
      </c>
      <c r="G18" s="4" t="n">
        <f aca="false">(G6-F6)*Assumptions!$B$51/100</f>
        <v>-41.7824218220292</v>
      </c>
      <c r="H18" s="4" t="n">
        <f aca="false">(H6-G6)*Assumptions!$B$51/100</f>
        <v>-43.0358944766902</v>
      </c>
      <c r="I18" s="4" t="n">
        <f aca="false">(I6-H6)*Assumptions!$B$51/100</f>
        <v>-36.9391427591589</v>
      </c>
      <c r="J18" s="4" t="n">
        <f aca="false">(J6-I6)*Assumptions!$B$51/100</f>
        <v>-37.8626213281379</v>
      </c>
      <c r="K18" s="4" t="n">
        <f aca="false">(K6-J6)*Assumptions!$B$51/100</f>
        <v>-31.0473494890732</v>
      </c>
      <c r="L18" s="4" t="n">
        <f aca="false">(L6-K6)*Assumptions!$B$51/100</f>
        <v>-31.6682964788546</v>
      </c>
    </row>
    <row r="19" customFormat="false" ht="15" hidden="false" customHeight="false" outlineLevel="0" collapsed="false">
      <c r="A19" s="0" t="s">
        <v>122</v>
      </c>
      <c r="C19" s="0" t="n">
        <f aca="false">C15+C16+C17+C18</f>
        <v>1002.611909774</v>
      </c>
      <c r="D19" s="0" t="n">
        <f aca="false">D15+D16+D17+D18</f>
        <v>1053.44570240064</v>
      </c>
      <c r="E19" s="0" t="n">
        <f aca="false">E15+E16+E17+E18</f>
        <v>1075.50330213325</v>
      </c>
      <c r="F19" s="0" t="n">
        <f aca="false">F15+F16+F17+F18</f>
        <v>1092.57382173379</v>
      </c>
      <c r="G19" s="0" t="n">
        <f aca="false">G15+G16+G17+G18</f>
        <v>1125.35103638581</v>
      </c>
      <c r="H19" s="0" t="n">
        <f aca="false">H15+H16+H17+H18</f>
        <v>1159.11156747738</v>
      </c>
      <c r="I19" s="0" t="n">
        <f aca="false">I15+I16+I17+I18</f>
        <v>1195.26200574376</v>
      </c>
      <c r="J19" s="0" t="n">
        <f aca="false">J15+J16+J17+J18</f>
        <v>1225.14355588736</v>
      </c>
      <c r="K19" s="0" t="n">
        <f aca="false">K15+K16+K17+K18</f>
        <v>1257.21895127073</v>
      </c>
      <c r="L19" s="0" t="n">
        <f aca="false">L15+L16+L17+L18</f>
        <v>1282.36333029615</v>
      </c>
    </row>
    <row r="20" customFormat="false" ht="15" hidden="false" customHeight="false" outlineLevel="0" collapsed="false">
      <c r="A20" s="0" t="s">
        <v>123</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124</v>
      </c>
      <c r="C21" s="0" t="n">
        <f aca="false">C19*C20</f>
        <v>919.827440159633</v>
      </c>
      <c r="D21" s="0" t="n">
        <f aca="false">D19*D20</f>
        <v>886.664171703257</v>
      </c>
      <c r="E21" s="0" t="n">
        <f aca="false">E19*E20</f>
        <v>830.485882658419</v>
      </c>
      <c r="F21" s="0" t="n">
        <f aca="false">F19*F20</f>
        <v>774.00684026607</v>
      </c>
      <c r="G21" s="0" t="n">
        <f aca="false">G19*G20</f>
        <v>731.400959150506</v>
      </c>
      <c r="H21" s="0" t="n">
        <f aca="false">H19*H20</f>
        <v>691.140355894515</v>
      </c>
      <c r="I21" s="0" t="n">
        <f aca="false">I19*I20</f>
        <v>653.849248701948</v>
      </c>
      <c r="J21" s="0" t="n">
        <f aca="false">J19*J20</f>
        <v>614.858238458254</v>
      </c>
      <c r="K21" s="0" t="n">
        <f aca="false">K19*K20</f>
        <v>578.858530099395</v>
      </c>
      <c r="L21" s="0" t="n">
        <f aca="false">L19*L20</f>
        <v>541.684129083838</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9</v>
      </c>
    </row>
    <row r="28" customFormat="false" ht="15" hidden="false" customHeight="false" outlineLevel="0" collapsed="false">
      <c r="A28" s="0" t="s">
        <v>105</v>
      </c>
      <c r="B28" s="4" t="n">
        <f aca="false">Assumptions!$B$49</f>
        <v>1.5</v>
      </c>
    </row>
    <row r="29" customFormat="false" ht="15" hidden="false" customHeight="false" outlineLevel="0" collapsed="false">
      <c r="A29" s="0" t="s">
        <v>106</v>
      </c>
      <c r="B29" s="4" t="n">
        <f aca="false">Assumptions!$B$50</f>
        <v>12</v>
      </c>
    </row>
    <row r="30" customFormat="false" ht="15" hidden="false" customHeight="false" outlineLevel="0" collapsed="false">
      <c r="A30" s="0" t="s">
        <v>127</v>
      </c>
      <c r="B30" s="0" t="n">
        <f aca="false">SUM(C21:L21)</f>
        <v>7222.77579617584</v>
      </c>
    </row>
    <row r="31" customFormat="false" ht="15" hidden="false" customHeight="false" outlineLevel="0" collapsed="false">
      <c r="A31" s="0" t="s">
        <v>128</v>
      </c>
      <c r="B31" s="0" t="n">
        <f aca="false">L19</f>
        <v>1282.36333029615</v>
      </c>
    </row>
    <row r="32" customFormat="false" ht="15" hidden="false" customHeight="false" outlineLevel="0" collapsed="false">
      <c r="A32" s="0" t="s">
        <v>129</v>
      </c>
      <c r="B32" s="0" t="n">
        <f aca="false">IF(B27&gt;B28,B31*(1+B28/100)/((B27-B28)/100),B31*B29)</f>
        <v>17354.6504033412</v>
      </c>
    </row>
    <row r="33" customFormat="false" ht="15" hidden="false" customHeight="false" outlineLevel="0" collapsed="false">
      <c r="A33" s="0" t="s">
        <v>130</v>
      </c>
      <c r="B33" s="0" t="n">
        <f aca="false">B31*B29</f>
        <v>15388.3599635538</v>
      </c>
    </row>
    <row r="34" customFormat="false" ht="15" hidden="false" customHeight="false" outlineLevel="0" collapsed="false">
      <c r="A34" s="0" t="s">
        <v>131</v>
      </c>
      <c r="B34" s="0" t="n">
        <f aca="false">MAX(0,MIN(B32,B33))</f>
        <v>15388.3599635538</v>
      </c>
    </row>
    <row r="35" customFormat="false" ht="15" hidden="false" customHeight="false" outlineLevel="0" collapsed="false">
      <c r="A35" s="0" t="s">
        <v>132</v>
      </c>
      <c r="B35" s="0" t="n">
        <f aca="false">B34/(1+B27/100)^L4</f>
        <v>6500.20954900606</v>
      </c>
    </row>
    <row r="36" customFormat="false" ht="15" hidden="false" customHeight="false" outlineLevel="0" collapsed="false">
      <c r="A36" s="0" t="s">
        <v>133</v>
      </c>
      <c r="B36" s="0" t="n">
        <f aca="false">B30+B35</f>
        <v>13722.9853451819</v>
      </c>
    </row>
    <row r="37" customFormat="false" ht="15" hidden="false" customHeight="false" outlineLevel="0" collapsed="false">
      <c r="A37" s="0" t="s">
        <v>134</v>
      </c>
      <c r="B37" s="0" t="n">
        <f aca="false">B36+Assumptions!$B$5-Assumptions!$B$4</f>
        <v>18342.1853451819</v>
      </c>
    </row>
    <row r="38" customFormat="false" ht="15" hidden="false" customHeight="false" outlineLevel="0" collapsed="false">
      <c r="A38" s="0" t="s">
        <v>135</v>
      </c>
      <c r="B38" s="0" t="n">
        <f aca="false">B37/Assumptions!$B$3*Assumptions!$B$10</f>
        <v>3.06057514533335</v>
      </c>
    </row>
    <row r="39" customFormat="false" ht="15" hidden="false" customHeight="false" outlineLevel="0" collapsed="false">
      <c r="A39" s="0" t="s">
        <v>136</v>
      </c>
      <c r="B39" s="4" t="n">
        <f aca="false">B38/Assumptions!$B$2-1</f>
        <v>1.4682057623656</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3.06057514533335</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9641.47244630066</v>
      </c>
    </row>
    <row r="47" customFormat="false" ht="15" hidden="false" customHeight="false" outlineLevel="0" collapsed="false">
      <c r="A47" s="0" t="s">
        <v>141</v>
      </c>
      <c r="B47" s="0" t="n">
        <f aca="false">(SUMPRODUCT(C19:L19/(1+B45/100)^C4:L4)+B46/(1+B45/100)^L4+Assumptions!$B$5-Assumptions!$B$4)/Assumptions!$B$3*Assumptions!$B$10</f>
        <v>2.10034570962774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1.39521646255193</v>
      </c>
      <c r="C4" s="0" t="n">
        <f aca="false">B4/Assumptions!$B$2-1</f>
        <v>0.125174566574136</v>
      </c>
      <c r="D4" s="4" t="n">
        <f aca="false">Assumptions!$B$24</f>
        <v>0.3</v>
      </c>
      <c r="E4" s="4" t="n">
        <f aca="false">DCF_Bear!$B$43</f>
        <v>1.39521646255193</v>
      </c>
      <c r="F4" s="4" t="n">
        <f aca="false">DCF_Bear!$B$47</f>
        <v>1.18807114865566</v>
      </c>
    </row>
    <row r="5" customFormat="false" ht="15" hidden="false" customHeight="false" outlineLevel="0" collapsed="false">
      <c r="A5" s="0" t="s">
        <v>150</v>
      </c>
      <c r="B5" s="4" t="n">
        <f aca="false">DCF_Base!$B$38</f>
        <v>2.44608406993561</v>
      </c>
      <c r="C5" s="0" t="n">
        <f aca="false">B5/Assumptions!$B$2-1</f>
        <v>0.972648443496462</v>
      </c>
      <c r="D5" s="4" t="n">
        <f aca="false">Assumptions!$B$38</f>
        <v>0.5</v>
      </c>
      <c r="E5" s="4" t="n">
        <f aca="false">DCF_Base!$B$43</f>
        <v>2.44608406993561</v>
      </c>
      <c r="F5" s="4" t="n">
        <f aca="false">DCF_Base!$B$47</f>
        <v>1.77097726847383</v>
      </c>
    </row>
    <row r="6" customFormat="false" ht="15" hidden="false" customHeight="false" outlineLevel="0" collapsed="false">
      <c r="A6" s="0" t="s">
        <v>151</v>
      </c>
      <c r="B6" s="4" t="n">
        <f aca="false">DCF_Bull!$B$38</f>
        <v>3.06057514533335</v>
      </c>
      <c r="C6" s="0" t="n">
        <f aca="false">B6/Assumptions!$B$2-1</f>
        <v>1.4682057623656</v>
      </c>
      <c r="D6" s="4" t="n">
        <f aca="false">Assumptions!$B$52</f>
        <v>0.2</v>
      </c>
      <c r="E6" s="4" t="n">
        <f aca="false">DCF_Bull!$B$43</f>
        <v>3.06057514533335</v>
      </c>
      <c r="F6" s="4" t="n">
        <f aca="false">DCF_Bull!$B$47</f>
        <v>2.10034570962774</v>
      </c>
    </row>
    <row r="8" customFormat="false" ht="15" hidden="false" customHeight="false" outlineLevel="0" collapsed="false">
      <c r="A8" s="0" t="s">
        <v>152</v>
      </c>
      <c r="B8" s="0" t="n">
        <f aca="false">SUMPRODUCT(B4:B6,D4:D6)</f>
        <v>2.25372200280005</v>
      </c>
    </row>
    <row r="9" customFormat="false" ht="15" hidden="false" customHeight="false" outlineLevel="0" collapsed="false">
      <c r="A9" s="0" t="s">
        <v>153</v>
      </c>
      <c r="B9" s="0" t="n">
        <f aca="false">SUMPRODUCT(E4:E6,D4:D6)</f>
        <v>2.25372200280005</v>
      </c>
    </row>
    <row r="10" customFormat="false" ht="15" hidden="false" customHeight="false" outlineLevel="0" collapsed="false">
      <c r="A10" s="0" t="s">
        <v>154</v>
      </c>
      <c r="B10" s="0" t="n">
        <f aca="false">1-Assumptions!$B$2/B8</f>
        <v>0.449799044221334</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1.66197912075916</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2.44608406993561</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2.33823052012167</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2.17720980230421</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2.04676729374324</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1.77097726847383</v>
      </c>
      <c r="C19" s="3" t="n">
        <v>15</v>
      </c>
    </row>
    <row r="21" customFormat="false" ht="15" hidden="false" customHeight="false" outlineLevel="0" collapsed="false">
      <c r="A21" s="2" t="s">
        <v>164</v>
      </c>
    </row>
    <row r="22" customFormat="false" ht="15" hidden="false" customHeight="false" outlineLevel="0" collapsed="false">
      <c r="B22" s="3" t="n">
        <v>0.5</v>
      </c>
      <c r="C22" s="3" t="n">
        <v>1</v>
      </c>
      <c r="D22" s="3" t="n">
        <v>1.5</v>
      </c>
      <c r="E22" s="3" t="n">
        <v>2</v>
      </c>
      <c r="F22" s="3" t="n">
        <v>2.5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2.68531287310583</v>
      </c>
      <c r="C23" s="0" t="n">
        <f aca="false">(SUMPRODUCT(DCF_Base!$C$19:$L$19/(1+$A$23/100)^DCF_Base!$C$4:$L$4)+MAX(0,MIN(IF($A$23&gt;$C$22,DCF_Base!$L$19*(1+$C$22/100)/(($A$23-$C$22)/100),DCF_Base!$L$19*DCF_Base!$B$29),DCF_Base!$L$19*DCF_Base!$B$29))/(1+$A$23/100)^DCF_Base!$L$4+Assumptions!$B$5-Assumptions!$B$4)/Assumptions!$B$3*Assumptions!$B$10</f>
        <v>2.68531287310583</v>
      </c>
      <c r="D23" s="0" t="n">
        <f aca="false">(SUMPRODUCT(DCF_Base!$C$19:$L$19/(1+$A$23/100)^DCF_Base!$C$4:$L$4)+MAX(0,MIN(IF($A$23&gt;$D$22,DCF_Base!$L$19*(1+$D$22/100)/(($A$23-$D$22)/100),DCF_Base!$L$19*DCF_Base!$B$29),DCF_Base!$L$19*DCF_Base!$B$29))/(1+$A$23/100)^DCF_Base!$L$4+Assumptions!$B$5-Assumptions!$B$4)/Assumptions!$B$3*Assumptions!$B$10</f>
        <v>2.68531287310583</v>
      </c>
      <c r="E23" s="0" t="n">
        <f aca="false">(SUMPRODUCT(DCF_Base!$C$19:$L$19/(1+$A$23/100)^DCF_Base!$C$4:$L$4)+MAX(0,MIN(IF($A$23&gt;$E$22,DCF_Base!$L$19*(1+$E$22/100)/(($A$23-$E$22)/100),DCF_Base!$L$19*DCF_Base!$B$29),DCF_Base!$L$19*DCF_Base!$B$29))/(1+$A$23/100)^DCF_Base!$L$4+Assumptions!$B$5-Assumptions!$B$4)/Assumptions!$B$3*Assumptions!$B$10</f>
        <v>2.68531287310583</v>
      </c>
      <c r="F23" s="0" t="n">
        <f aca="false">(SUMPRODUCT(DCF_Base!$C$19:$L$19/(1+$A$23/100)^DCF_Base!$C$4:$L$4)+MAX(0,MIN(IF($A$23&gt;$F$22,DCF_Base!$L$19*(1+$F$22/100)/(($A$23-$F$22)/100),DCF_Base!$L$19*DCF_Base!$B$29),DCF_Base!$L$19*DCF_Base!$B$29))/(1+$A$23/100)^DCF_Base!$L$4+Assumptions!$B$5-Assumptions!$B$4)/Assumptions!$B$3*Assumptions!$B$10</f>
        <v>2.68531287310583</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2.56030309868215</v>
      </c>
      <c r="C24" s="0" t="n">
        <f aca="false">(SUMPRODUCT(DCF_Base!$C$19:$L$19/(1+$A$24/100)^DCF_Base!$C$4:$L$4)+MAX(0,MIN(IF($A$24&gt;$C$22,DCF_Base!$L$19*(1+$C$22/100)/(($A$24-$C$22)/100),DCF_Base!$L$19*DCF_Base!$B$29),DCF_Base!$L$19*DCF_Base!$B$29))/(1+$A$24/100)^DCF_Base!$L$4+Assumptions!$B$5-Assumptions!$B$4)/Assumptions!$B$3*Assumptions!$B$10</f>
        <v>2.56030309868215</v>
      </c>
      <c r="D24" s="0" t="n">
        <f aca="false">(SUMPRODUCT(DCF_Base!$C$19:$L$19/(1+$A$24/100)^DCF_Base!$C$4:$L$4)+MAX(0,MIN(IF($A$24&gt;$D$22,DCF_Base!$L$19*(1+$D$22/100)/(($A$24-$D$22)/100),DCF_Base!$L$19*DCF_Base!$B$29),DCF_Base!$L$19*DCF_Base!$B$29))/(1+$A$24/100)^DCF_Base!$L$4+Assumptions!$B$5-Assumptions!$B$4)/Assumptions!$B$3*Assumptions!$B$10</f>
        <v>2.56030309868215</v>
      </c>
      <c r="E24" s="0" t="n">
        <f aca="false">(SUMPRODUCT(DCF_Base!$C$19:$L$19/(1+$A$24/100)^DCF_Base!$C$4:$L$4)+MAX(0,MIN(IF($A$24&gt;$E$22,DCF_Base!$L$19*(1+$E$22/100)/(($A$24-$E$22)/100),DCF_Base!$L$19*DCF_Base!$B$29),DCF_Base!$L$19*DCF_Base!$B$29))/(1+$A$24/100)^DCF_Base!$L$4+Assumptions!$B$5-Assumptions!$B$4)/Assumptions!$B$3*Assumptions!$B$10</f>
        <v>2.56030309868215</v>
      </c>
      <c r="F24" s="0" t="n">
        <f aca="false">(SUMPRODUCT(DCF_Base!$C$19:$L$19/(1+$A$24/100)^DCF_Base!$C$4:$L$4)+MAX(0,MIN(IF($A$24&gt;$F$22,DCF_Base!$L$19*(1+$F$22/100)/(($A$24-$F$22)/100),DCF_Base!$L$19*DCF_Base!$B$29),DCF_Base!$L$19*DCF_Base!$B$29))/(1+$A$24/100)^DCF_Base!$L$4+Assumptions!$B$5-Assumptions!$B$4)/Assumptions!$B$3*Assumptions!$B$10</f>
        <v>2.56030309868215</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2.43503858217086</v>
      </c>
      <c r="C25" s="0" t="n">
        <f aca="false">(SUMPRODUCT(DCF_Base!$C$19:$L$19/(1+$A$25/100)^DCF_Base!$C$4:$L$4)+MAX(0,MIN(IF($A$25&gt;$C$22,DCF_Base!$L$19*(1+$C$22/100)/(($A$25-$C$22)/100),DCF_Base!$L$19*DCF_Base!$B$29),DCF_Base!$L$19*DCF_Base!$B$29))/(1+$A$25/100)^DCF_Base!$L$4+Assumptions!$B$5-Assumptions!$B$4)/Assumptions!$B$3*Assumptions!$B$10</f>
        <v>2.44608406993561</v>
      </c>
      <c r="D25" s="0" t="n">
        <f aca="false">(SUMPRODUCT(DCF_Base!$C$19:$L$19/(1+$A$25/100)^DCF_Base!$C$4:$L$4)+MAX(0,MIN(IF($A$25&gt;$D$22,DCF_Base!$L$19*(1+$D$22/100)/(($A$25-$D$22)/100),DCF_Base!$L$19*DCF_Base!$B$29),DCF_Base!$L$19*DCF_Base!$B$29))/(1+$A$25/100)^DCF_Base!$L$4+Assumptions!$B$5-Assumptions!$B$4)/Assumptions!$B$3*Assumptions!$B$10</f>
        <v>2.44608406993561</v>
      </c>
      <c r="E25" s="0" t="n">
        <f aca="false">(SUMPRODUCT(DCF_Base!$C$19:$L$19/(1+$A$25/100)^DCF_Base!$C$4:$L$4)+MAX(0,MIN(IF($A$25&gt;$E$22,DCF_Base!$L$19*(1+$E$22/100)/(($A$25-$E$22)/100),DCF_Base!$L$19*DCF_Base!$B$29),DCF_Base!$L$19*DCF_Base!$B$29))/(1+$A$25/100)^DCF_Base!$L$4+Assumptions!$B$5-Assumptions!$B$4)/Assumptions!$B$3*Assumptions!$B$10</f>
        <v>2.44608406993561</v>
      </c>
      <c r="F25" s="0" t="n">
        <f aca="false">(SUMPRODUCT(DCF_Base!$C$19:$L$19/(1+$A$25/100)^DCF_Base!$C$4:$L$4)+MAX(0,MIN(IF($A$25&gt;$F$22,DCF_Base!$L$19*(1+$F$22/100)/(($A$25-$F$22)/100),DCF_Base!$L$19*DCF_Base!$B$29),DCF_Base!$L$19*DCF_Base!$B$29))/(1+$A$25/100)^DCF_Base!$L$4+Assumptions!$B$5-Assumptions!$B$4)/Assumptions!$B$3*Assumptions!$B$10</f>
        <v>2.44608406993561</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2.26040879612693</v>
      </c>
      <c r="C26" s="0" t="n">
        <f aca="false">(SUMPRODUCT(DCF_Base!$C$19:$L$19/(1+$A$26/100)^DCF_Base!$C$4:$L$4)+MAX(0,MIN(IF($A$26&gt;$C$22,DCF_Base!$L$19*(1+$C$22/100)/(($A$26-$C$22)/100),DCF_Base!$L$19*DCF_Base!$B$29),DCF_Base!$L$19*DCF_Base!$B$29))/(1+$A$26/100)^DCF_Base!$L$4+Assumptions!$B$5-Assumptions!$B$4)/Assumptions!$B$3*Assumptions!$B$10</f>
        <v>2.29715794356889</v>
      </c>
      <c r="D26" s="0" t="n">
        <f aca="false">(SUMPRODUCT(DCF_Base!$C$19:$L$19/(1+$A$26/100)^DCF_Base!$C$4:$L$4)+MAX(0,MIN(IF($A$26&gt;$D$22,DCF_Base!$L$19*(1+$D$22/100)/(($A$26-$D$22)/100),DCF_Base!$L$19*DCF_Base!$B$29),DCF_Base!$L$19*DCF_Base!$B$29))/(1+$A$26/100)^DCF_Base!$L$4+Assumptions!$B$5-Assumptions!$B$4)/Assumptions!$B$3*Assumptions!$B$10</f>
        <v>2.33823052012167</v>
      </c>
      <c r="E26" s="0" t="n">
        <f aca="false">(SUMPRODUCT(DCF_Base!$C$19:$L$19/(1+$A$26/100)^DCF_Base!$C$4:$L$4)+MAX(0,MIN(IF($A$26&gt;$E$22,DCF_Base!$L$19*(1+$E$22/100)/(($A$26-$E$22)/100),DCF_Base!$L$19*DCF_Base!$B$29),DCF_Base!$L$19*DCF_Base!$B$29))/(1+$A$26/100)^DCF_Base!$L$4+Assumptions!$B$5-Assumptions!$B$4)/Assumptions!$B$3*Assumptions!$B$10</f>
        <v>2.3415910036578</v>
      </c>
      <c r="F26" s="0" t="n">
        <f aca="false">(SUMPRODUCT(DCF_Base!$C$19:$L$19/(1+$A$26/100)^DCF_Base!$C$4:$L$4)+MAX(0,MIN(IF($A$26&gt;$F$22,DCF_Base!$L$19*(1+$F$22/100)/(($A$26-$F$22)/100),DCF_Base!$L$19*DCF_Base!$B$29),DCF_Base!$L$19*DCF_Base!$B$29))/(1+$A$26/100)^DCF_Base!$L$4+Assumptions!$B$5-Assumptions!$B$4)/Assumptions!$B$3*Assumptions!$B$10</f>
        <v>2.3415910036578</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2.11913899929503</v>
      </c>
      <c r="C27" s="0" t="n">
        <f aca="false">(SUMPRODUCT(DCF_Base!$C$19:$L$19/(1+$A$27/100)^DCF_Base!$C$4:$L$4)+MAX(0,MIN(IF($A$27&gt;$C$22,DCF_Base!$L$19*(1+$C$22/100)/(($A$27-$C$22)/100),DCF_Base!$L$19*DCF_Base!$B$29),DCF_Base!$L$19*DCF_Base!$B$29))/(1+$A$27/100)^DCF_Base!$L$4+Assumptions!$B$5-Assumptions!$B$4)/Assumptions!$B$3*Assumptions!$B$10</f>
        <v>2.14672263072439</v>
      </c>
      <c r="D27" s="0" t="n">
        <f aca="false">(SUMPRODUCT(DCF_Base!$C$19:$L$19/(1+$A$27/100)^DCF_Base!$C$4:$L$4)+MAX(0,MIN(IF($A$27&gt;$D$22,DCF_Base!$L$19*(1+$D$22/100)/(($A$27-$D$22)/100),DCF_Base!$L$19*DCF_Base!$B$29),DCF_Base!$L$19*DCF_Base!$B$29))/(1+$A$27/100)^DCF_Base!$L$4+Assumptions!$B$5-Assumptions!$B$4)/Assumptions!$B$3*Assumptions!$B$10</f>
        <v>2.17720980230421</v>
      </c>
      <c r="E27" s="0" t="n">
        <f aca="false">(SUMPRODUCT(DCF_Base!$C$19:$L$19/(1+$A$27/100)^DCF_Base!$C$4:$L$4)+MAX(0,MIN(IF($A$27&gt;$E$22,DCF_Base!$L$19*(1+$E$22/100)/(($A$27-$E$22)/100),DCF_Base!$L$19*DCF_Base!$B$29),DCF_Base!$L$19*DCF_Base!$B$29))/(1+$A$27/100)^DCF_Base!$L$4+Assumptions!$B$5-Assumptions!$B$4)/Assumptions!$B$3*Assumptions!$B$10</f>
        <v>2.21108443739289</v>
      </c>
      <c r="F27" s="0" t="n">
        <f aca="false">(SUMPRODUCT(DCF_Base!$C$19:$L$19/(1+$A$27/100)^DCF_Base!$C$4:$L$4)+MAX(0,MIN(IF($A$27&gt;$F$22,DCF_Base!$L$19*(1+$F$22/100)/(($A$27-$F$22)/100),DCF_Base!$L$19*DCF_Base!$B$29),DCF_Base!$L$19*DCF_Base!$B$29))/(1+$A$27/100)^DCF_Base!$L$4+Assumptions!$B$5-Assumptions!$B$4)/Assumptions!$B$3*Assumptions!$B$10</f>
        <v>2.24587460315965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2026-10-10T21:54:28Z</dcterms:created>
  <dc:creator>openpyxl</dc:creator>
  <dc:description/>
  <dc:language>en-NZ</dc:language>
  <cp:lastModifiedBy/>
  <dcterms:modified xsi:type="dcterms:W3CDTF">2026-10-10T21:54:28Z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