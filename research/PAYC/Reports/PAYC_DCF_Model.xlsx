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<sst xmlns="http://schemas.openxmlformats.org/spreadsheetml/2006/main" count="374" uniqueCount="169">
  <si>
    <t xml:space="preserve">Ticker</t>
  </si>
  <si>
    <t xml:space="preserve">PAYC</t>
  </si>
  <si>
    <t xml:space="preserve">Company</t>
  </si>
  <si>
    <t xml:space="preserve">Paycom Software, Inc.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</si>
  <si>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</si>
  <si>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</si>
  <si>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</si>
  <si>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</si>
  <si>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2026-10-01T20:00:02Z regular close (Yahoo Finance chart API; 52-week range 104.90-244.98)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</si>
  <si>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</si>
  <si>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</si>
  <si>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</si>
  <si>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</si>
  <si>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</si>
  <si>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</si>
  <si>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</si>
  <si>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</si>
  <si>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</si>
  <si>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</si>
  <si>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</si>
  <si>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</si>
  <si>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2026-10-02T06:38:44Z</t>
  </si>
  <si>
    <t xml:space="preserve">Drivers file</t>
  </si>
  <si>
    <t xml:space="preserve">PAYC_Drivers.json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</si>
  <si>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</si>
  <si>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</si>
  <si>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</si>
  <si>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 on a strict house basis: SBC and net-share-settlement taxes expensed, share count held flat at the post-recap fully diluted 45.1M, cash taxes ramped to a normal 25% rather than the FY2025 Section-174 trough, capex and D&amp;A near parity, and deferred contract costs charged as a working-capital drag on growth. Anchored to the raised FY2026 guide rather than either the weak FY2025 cash year or the flattering H1-2026 half. The H1-2026 $1.39B leveraged buyback is treated as a completed transaction: it is in the divisor and in net debt, not in the flows.
key_risks_to_valuation: SBC run-rate: forward SBC incl. taxes is set at 5% of revenue against an H1-2026 run-rate of 4.4% and a FY2025 actual of 8.0%; if the FY2025 level (not H1-2026) is the norm, base IV falls roughly $20/share.; Working-capital drag: wc_capture of -50% of the revenue change is inferred from the OCF residual, not from a disclosed deferred-contract-cost roll-forward (the XBRL tags are absent); +/-20pp moves base IV by roughly $8-10/share.; Float income: ~3% of revenue earns a near-100% margin and moves ~$25.7M per 100bp of short rates; a deeper easing cycle than the bear case assumes would compress margins further.; Leverage: $900M of term debt was added in H1-2026 to fund buybacks; the model deducts it as net debt but does not model refinancing or covenant risk, which would matter only in a bear-case recession.; Terminal value share: ten-year horizon with growth fading to 3% leaves the Gordon value a large share of EV; the WACC x g sensitivity grid shows the exposure.; Share count: 45.14M is the 2026-07-28 cover-page count plus 0.07M dilution; any Q3-2026 repurchases (the authorisation remained open) would lower it further and raise per-share values.</t>
  </si>
  <si>
    <t xml:space="preserve">Data sources</t>
  </si>
  <si>
    <t xml:space="preserve">price: Yahoo Finance chart API regular close at inputs.price_as_of; 52-week range 104.90-244.98.
financials: PAYC_Metrics.csv (SEC XBRL companyfacts, FY2011-FY2025 plus Q1/Q2/H1-2026) for revenue, EBITDA, OCF, capex, SBC, equity; SEC XBRL companyfacts CIK 1590955 fetched 2026-10-02 for the Q2-2026 10-Q anchors (LongTermDebtNoncurrent $900.0M, CashAndCashEquivalentsAtCarryingValue $198.0M, dei:EntityCommonStockSharesOutstanding 45,071,619 at 2026-07-28, diluted vs basic weighted shares, PaymentsRelatedToTaxWithholdingForShareBasedCompensation, PaymentsForRepurchaseOfCommonStock, IncomeTaxesPaidNet, DeferredIncomeTaxExpenseBenefit, pretax income).
qualitative: PAYC_Analysis.json (2026-10-02): business model, moat, risks, FY2026 guidance as raised at Q2-2026 results (Aug-2026), bull/bear points.</t>
  </si>
  <si>
    <t xml:space="preserve">Scenario narrative: bear</t>
  </si>
  <si>
    <t xml:space="preserve">The two things the Analysis flags as high-severity land together: US small-business hiring softens (per-employee billings and new logos both weaken) and the Fed eases 150-200bp, stripping $40-50M of near-100%-margin float revenue. Cloud-native rivals discount in the SMB core and the upmarket push stalls against ADP/Workday/Dayforce, so revenue growth fades to 2% by FY2029 and adjusted margin falls back to 42%. With $900M of term debt now on the balance sheet the equity carries that downside with leverage; terminal growth 2% and a 15x cap. The scenario does not approach the zero floor -- the business remains solidly cash-generative.</t>
  </si>
  <si>
    <t xml:space="preserve">Scenario narrative: base</t>
  </si>
  <si>
    <t xml:space="preserve">Paycom delivers the raised FY2026 guide (+7.5% revenue, ~46% adjusted EBITDA margin) and then settles into a maturing mid-market HCM franchise: growth steps down roughly half a point a year to 3% by FY2035 as the SMB new-logo pool thins and upmarket wins only offset churn, while Beti/IWant automation lifts the adjusted margin to 47%. Owner FCF margin runs ~22-24% after SBC and equity-award taxes (5% of revenue easing to 4%), 25% cash tax, capex near D&amp;A at 8.5%, and deferred contract costs absorbing half of each year's revenue increase. The Gordon value at 9%/3% binds below the 20x cap.</t>
  </si>
  <si>
    <t xml:space="preserve">Scenario narrative: bull</t>
  </si>
  <si>
    <t xml:space="preserve">IWant command-driven AI becomes a genuine pricing and win-rate lever and the sales pods expanded from 8 to 10 reps ramp into FY2027-28, re-accelerating bookings so revenue grows 9-9.5% in FY2027-29 before fading to 3.5%; enterprise (1,000+ employee) wins broaden the base and retention climbs above 91%. Automation takes adjusted EBITDA margin to 50% by year 6. The axes are the same as the base case -- bookings re-acceleration and margin -- pushed to the favourable end; nothing here requires float income to rise.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</si>
  <si>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</si>
  <si>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</si>
  <si>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</si>
  <si>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</si>
  <si>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</si>
  <si>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</si>
  <si>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</si>
  <si>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</si>
  <si>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</si>
  <si>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</si>
  <si>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</si>
  <si>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</si>
  <si>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</si>
  <si>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</si>
  <si>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</si>
  <si>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</si>
  <si>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</si>
  <si>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</si>
  <si>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</si>
  <si>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</si>
  <si>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</si>
  <si>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</si>
  <si>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</si>
  <si>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</si>
  <si>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</si>
  <si>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</si>
  <si>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</si>
  <si>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</si>
  <si>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</si>
  <si>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</si>
  <si>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</si>
  <si>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</si>
  <si>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</si>
  <si>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</si>
  <si>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</si>
  <si>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</si>
  <si>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</si>
  <si>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</si>
  <si>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</si>
  <si>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</si>
  <si>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</si>
  <si>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</si>
  <si>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</si>
  <si>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</si>
  <si>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</si>
  <si>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</si>
  <si>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</si>
  <si>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</si>
  <si>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</si>
  <si>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</si>
  <si>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</si>
  <si>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</si>
  <si>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</si>
  <si>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</si>
  <si>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</si>
  <si>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</si>
  <si>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</si>
  <si>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</si>
  <si>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</si>
  <si>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</si>
  <si>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</si>
  <si>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</si>
  <si>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</si>
  <si>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</si>
  <si>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</si>
  <si>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</si>
  <si>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</si>
  <si>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</si>
  <si>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</si>
  <si>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</si>
  <si>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</si>
  <si>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</si>
  <si>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</si>
  <si>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</si>
  <si>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</si>
  <si>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</si>
  <si>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</si>
  <si>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</si>
  <si>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</si>
  <si>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PAYC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</si>
  <si>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</si>
  <si>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</si>
  <si>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</si>
  <si>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</si>
  <si>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</si>
  <si>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</si>
  <si>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</si>
  <si>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</si>
  <si>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</si>
  <si>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</si>
  <si>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</si>
  <si>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</si>
  <si>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</si>
  <si>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</si>
  <si>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</si>
  <si>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</si>
  <si>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</si>
  <si>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</si>
  <si>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</si>
  <si>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</si>
  <si>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</si>
  <si>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</si>
  <si>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</si>
  <si>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</si>
  <si>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</si>
  <si>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</si>
  <si>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</si>
  <si>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</si>
  <si>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</si>
  <si>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</si>
  <si>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PAYC owner-FCF component DCF: base case (millions, USD)</t>
  </si>
  <si>
    <t xml:space="preserve">PAYC owner-FCF component DCF: bull case (millions, USD)</t>
  </si>
  <si>
    <t xml:space="preserve">PAYC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</si>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</sst>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227.47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72.361</v>
      </c>
      <c r="S2" s="0" t="n">
        <v>7.252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76.81</v>
      </c>
      <c r="C3" s="0" t="n">
        <v>16.326</v>
      </c>
      <c r="I3" s="0" t="n">
        <v>-0.406</v>
      </c>
      <c r="J3" s="0" t="n">
        <v>-0.528577008202057</v>
      </c>
      <c r="K3" s="0" t="n">
        <v>-0.01</v>
      </c>
      <c r="M3" s="0" t="n">
        <v>5.971</v>
      </c>
      <c r="O3" s="0" t="n">
        <v>9.776</v>
      </c>
      <c r="S3" s="0" t="n">
        <v>13.435</v>
      </c>
      <c r="T3" s="0" t="n">
        <v>44.771559</v>
      </c>
      <c r="U3" s="0" t="n">
        <v>0.503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107.601</v>
      </c>
      <c r="C4" s="0" t="n">
        <v>20.891</v>
      </c>
      <c r="F4" s="0" t="n">
        <v>9.472</v>
      </c>
      <c r="G4" s="0" t="n">
        <v>8.80289216642968</v>
      </c>
      <c r="H4" s="0" t="n">
        <v>14.958</v>
      </c>
      <c r="I4" s="0" t="n">
        <v>0.607</v>
      </c>
      <c r="J4" s="0" t="n">
        <v>0.564121151290416</v>
      </c>
      <c r="K4" s="0" t="n">
        <v>0.01</v>
      </c>
      <c r="M4" s="0" t="n">
        <v>17.176</v>
      </c>
      <c r="O4" s="0" t="n">
        <v>5.083</v>
      </c>
      <c r="P4" s="0" t="n">
        <v>575.478</v>
      </c>
      <c r="R4" s="0" t="n">
        <v>21.09</v>
      </c>
      <c r="S4" s="0" t="n">
        <v>13.362</v>
      </c>
      <c r="T4" s="0" t="n">
        <v>48.062075</v>
      </c>
      <c r="U4" s="0" t="n">
        <v>0.934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150.929</v>
      </c>
      <c r="C5" s="0" t="n">
        <v>27.318</v>
      </c>
      <c r="F5" s="0" t="n">
        <v>15.7</v>
      </c>
      <c r="G5" s="0" t="n">
        <v>10.4022421138416</v>
      </c>
      <c r="H5" s="0" t="n">
        <v>22.862</v>
      </c>
      <c r="I5" s="0" t="n">
        <v>5.663</v>
      </c>
      <c r="J5" s="0" t="n">
        <v>3.75209535609459</v>
      </c>
      <c r="K5" s="0" t="n">
        <v>0.11</v>
      </c>
      <c r="M5" s="0" t="n">
        <v>14.27</v>
      </c>
      <c r="O5" s="0" t="n">
        <v>74.138</v>
      </c>
      <c r="P5" s="0" t="n">
        <v>797.497</v>
      </c>
      <c r="R5" s="0" t="n">
        <v>27.833</v>
      </c>
      <c r="S5" s="0" t="n">
        <v>25.144</v>
      </c>
      <c r="T5" s="0" t="n">
        <v>53.832782</v>
      </c>
      <c r="U5" s="0" t="n">
        <v>0.712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224.653</v>
      </c>
      <c r="C6" s="0" t="n">
        <v>35.473</v>
      </c>
      <c r="F6" s="0" t="n">
        <v>34.435</v>
      </c>
      <c r="G6" s="0" t="n">
        <v>15.3280837558368</v>
      </c>
      <c r="H6" s="0" t="n">
        <v>43.856</v>
      </c>
      <c r="I6" s="0" t="n">
        <v>20.945</v>
      </c>
      <c r="J6" s="0" t="n">
        <v>9.32326743911722</v>
      </c>
      <c r="K6" s="0" t="n">
        <v>0.37</v>
      </c>
      <c r="M6" s="0" t="n">
        <v>16.549</v>
      </c>
      <c r="O6" s="0" t="n">
        <v>98.314</v>
      </c>
      <c r="P6" s="0" t="n">
        <v>876.655</v>
      </c>
      <c r="R6" s="0" t="n">
        <v>26.628</v>
      </c>
      <c r="S6" s="0" t="n">
        <v>50.714</v>
      </c>
      <c r="T6" s="0" t="n">
        <v>57.9197</v>
      </c>
      <c r="U6" s="0" t="n">
        <v>3.219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329.141</v>
      </c>
      <c r="C7" s="0" t="n">
        <v>54.066</v>
      </c>
      <c r="F7" s="0" t="n">
        <v>101.74</v>
      </c>
      <c r="G7" s="0" t="n">
        <v>30.9107646874744</v>
      </c>
      <c r="H7" s="0" t="n">
        <v>115.372</v>
      </c>
      <c r="I7" s="0" t="n">
        <v>70.421</v>
      </c>
      <c r="J7" s="0" t="n">
        <v>21.3953898177377</v>
      </c>
      <c r="K7" s="0" t="n">
        <v>1.21</v>
      </c>
      <c r="L7" s="0" t="n">
        <v>98.818</v>
      </c>
      <c r="M7" s="0" t="n">
        <v>43.805</v>
      </c>
      <c r="N7" s="0" t="n">
        <v>55.013</v>
      </c>
      <c r="O7" s="0" t="n">
        <v>205.693</v>
      </c>
      <c r="P7" s="0" t="n">
        <v>1078.613</v>
      </c>
      <c r="R7" s="0" t="n">
        <v>30.937</v>
      </c>
      <c r="S7" s="0" t="n">
        <v>60.158</v>
      </c>
      <c r="T7" s="0" t="n">
        <v>58.968099</v>
      </c>
      <c r="U7" s="0" t="n">
        <v>20.796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433.047</v>
      </c>
      <c r="C8" s="0" t="n">
        <v>72.028</v>
      </c>
      <c r="F8" s="0" t="n">
        <v>129.71</v>
      </c>
      <c r="G8" s="0" t="n">
        <v>29.952868857191</v>
      </c>
      <c r="H8" s="0" t="n">
        <v>149.105</v>
      </c>
      <c r="I8" s="0" t="n">
        <v>123.486</v>
      </c>
      <c r="J8" s="0" t="n">
        <v>28.5156114694248</v>
      </c>
      <c r="K8" s="0" t="n">
        <v>2.13</v>
      </c>
      <c r="L8" s="0" t="n">
        <v>130.149</v>
      </c>
      <c r="M8" s="0" t="n">
        <v>59.389</v>
      </c>
      <c r="N8" s="0" t="n">
        <v>70.76</v>
      </c>
      <c r="O8" s="0" t="n">
        <v>281.247</v>
      </c>
      <c r="P8" s="0" t="n">
        <v>1550.138</v>
      </c>
      <c r="Q8" s="0" t="n">
        <v>1268.891</v>
      </c>
      <c r="R8" s="0" t="n">
        <v>36.19</v>
      </c>
      <c r="S8" s="0" t="n">
        <v>46.077</v>
      </c>
      <c r="T8" s="0" t="n">
        <v>58.79</v>
      </c>
      <c r="U8" s="0" t="n">
        <v>36.076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566.336</v>
      </c>
      <c r="C9" s="0" t="n">
        <v>90.763</v>
      </c>
      <c r="F9" s="0" t="n">
        <v>173.715</v>
      </c>
      <c r="G9" s="0" t="n">
        <v>30.6734871171884</v>
      </c>
      <c r="H9" s="0" t="n">
        <v>203.372</v>
      </c>
      <c r="I9" s="0" t="n">
        <v>137.065</v>
      </c>
      <c r="J9" s="0" t="n">
        <v>24.2020637925189</v>
      </c>
      <c r="K9" s="0" t="n">
        <v>2.37</v>
      </c>
      <c r="L9" s="0" t="n">
        <v>184.817</v>
      </c>
      <c r="M9" s="0" t="n">
        <v>59.906</v>
      </c>
      <c r="N9" s="0" t="n">
        <v>124.911</v>
      </c>
      <c r="O9" s="0" t="n">
        <v>334.753</v>
      </c>
      <c r="P9" s="0" t="n">
        <v>1521.926</v>
      </c>
      <c r="Q9" s="0" t="n">
        <v>1187.173</v>
      </c>
      <c r="R9" s="0" t="n">
        <v>36.164</v>
      </c>
      <c r="S9" s="0" t="n">
        <v>45.718</v>
      </c>
      <c r="T9" s="0" t="n">
        <v>58.582</v>
      </c>
      <c r="U9" s="0" t="n">
        <v>36.576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737.671</v>
      </c>
      <c r="C10" s="0" t="n">
        <v>109.747</v>
      </c>
      <c r="F10" s="0" t="n">
        <v>226.224</v>
      </c>
      <c r="G10" s="0" t="n">
        <v>30.6673300156845</v>
      </c>
      <c r="H10" s="0" t="n">
        <v>268.435</v>
      </c>
      <c r="I10" s="0" t="n">
        <v>180.576</v>
      </c>
      <c r="J10" s="0" t="n">
        <v>24.4792054994706</v>
      </c>
      <c r="K10" s="0" t="n">
        <v>3.14</v>
      </c>
      <c r="L10" s="0" t="n">
        <v>224.263</v>
      </c>
      <c r="M10" s="0" t="n">
        <v>92.934</v>
      </c>
      <c r="N10" s="0" t="n">
        <v>131.329</v>
      </c>
      <c r="O10" s="0" t="n">
        <v>526.628</v>
      </c>
      <c r="P10" s="0" t="n">
        <v>2486.917</v>
      </c>
      <c r="Q10" s="0" t="n">
        <v>1960.289</v>
      </c>
      <c r="R10" s="0" t="n">
        <v>34.408</v>
      </c>
      <c r="S10" s="0" t="n">
        <v>133.667</v>
      </c>
      <c r="T10" s="0" t="n">
        <v>58.395</v>
      </c>
      <c r="U10" s="0" t="n">
        <v>47.268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841.434</v>
      </c>
      <c r="C11" s="0" t="n">
        <v>123.546</v>
      </c>
      <c r="F11" s="0" t="n">
        <v>186.123</v>
      </c>
      <c r="G11" s="0" t="n">
        <v>22.1197384465092</v>
      </c>
      <c r="H11" s="0" t="n">
        <v>239.496</v>
      </c>
      <c r="I11" s="0" t="n">
        <v>143.453</v>
      </c>
      <c r="J11" s="0" t="n">
        <v>17.048633642092</v>
      </c>
      <c r="K11" s="0" t="n">
        <v>2.49</v>
      </c>
      <c r="L11" s="0" t="n">
        <v>227.207</v>
      </c>
      <c r="M11" s="0" t="n">
        <v>94.102</v>
      </c>
      <c r="N11" s="0" t="n">
        <v>133.105</v>
      </c>
      <c r="O11" s="0" t="n">
        <v>655.643</v>
      </c>
      <c r="P11" s="0" t="n">
        <v>2607.912</v>
      </c>
      <c r="Q11" s="0" t="n">
        <v>1952.269</v>
      </c>
      <c r="R11" s="0" t="n">
        <v>32.669</v>
      </c>
      <c r="S11" s="0" t="n">
        <v>151.71</v>
      </c>
      <c r="T11" s="0" t="n">
        <v>58.285</v>
      </c>
      <c r="U11" s="0" t="n">
        <v>90.108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1055.524</v>
      </c>
      <c r="C12" s="0" t="n">
        <v>161.886</v>
      </c>
      <c r="F12" s="0" t="n">
        <v>253.567</v>
      </c>
      <c r="G12" s="0" t="n">
        <v>24.0228549990337</v>
      </c>
      <c r="H12" s="0" t="n">
        <v>320.789</v>
      </c>
      <c r="I12" s="0" t="n">
        <v>195.96</v>
      </c>
      <c r="J12" s="0" t="n">
        <v>18.5651865803146</v>
      </c>
      <c r="K12" s="0" t="n">
        <v>3.39</v>
      </c>
      <c r="L12" s="0" t="n">
        <v>319.362</v>
      </c>
      <c r="M12" s="0" t="n">
        <v>120.692</v>
      </c>
      <c r="N12" s="0" t="n">
        <v>198.67</v>
      </c>
      <c r="O12" s="0" t="n">
        <v>893.7</v>
      </c>
      <c r="P12" s="0" t="n">
        <v>3215.145</v>
      </c>
      <c r="Q12" s="0" t="n">
        <v>2321.431</v>
      </c>
      <c r="R12" s="0" t="n">
        <v>30.93</v>
      </c>
      <c r="S12" s="0" t="n">
        <v>277.978</v>
      </c>
      <c r="T12" s="0" t="n">
        <v>58.191</v>
      </c>
      <c r="U12" s="0" t="n">
        <v>97.506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1375.2</v>
      </c>
      <c r="C13" s="0" t="n">
        <v>212.7</v>
      </c>
      <c r="D13" s="0" t="n">
        <v>1162.5</v>
      </c>
      <c r="E13" s="0" t="n">
        <v>84.5331588132635</v>
      </c>
      <c r="F13" s="0" t="n">
        <v>378.7</v>
      </c>
      <c r="G13" s="0" t="n">
        <v>27.5378126817917</v>
      </c>
      <c r="H13" s="0" t="n">
        <v>471.4</v>
      </c>
      <c r="I13" s="0" t="n">
        <v>281.4</v>
      </c>
      <c r="J13" s="0" t="n">
        <v>20.4624781849913</v>
      </c>
      <c r="K13" s="0" t="n">
        <v>4.86</v>
      </c>
      <c r="L13" s="0" t="n">
        <v>365.1</v>
      </c>
      <c r="M13" s="0" t="n">
        <v>132.7</v>
      </c>
      <c r="N13" s="0" t="n">
        <v>232.4</v>
      </c>
      <c r="O13" s="0" t="n">
        <v>1182.6</v>
      </c>
      <c r="P13" s="0" t="n">
        <v>3902.513</v>
      </c>
      <c r="Q13" s="0" t="n">
        <v>2719.906</v>
      </c>
      <c r="R13" s="0" t="n">
        <v>29</v>
      </c>
      <c r="S13" s="0" t="n">
        <v>400.7</v>
      </c>
      <c r="T13" s="0" t="n">
        <v>58.175</v>
      </c>
      <c r="U13" s="0" t="n">
        <v>94.9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1693.7</v>
      </c>
      <c r="C14" s="0" t="n">
        <v>276.3</v>
      </c>
      <c r="D14" s="0" t="n">
        <v>1417.4</v>
      </c>
      <c r="E14" s="0" t="n">
        <v>83.6866032945622</v>
      </c>
      <c r="F14" s="0" t="n">
        <v>451.3</v>
      </c>
      <c r="G14" s="0" t="n">
        <v>26.6458050422153</v>
      </c>
      <c r="H14" s="0" t="n">
        <v>565.2</v>
      </c>
      <c r="I14" s="0" t="n">
        <v>340.8</v>
      </c>
      <c r="J14" s="0" t="n">
        <v>20.1216272067072</v>
      </c>
      <c r="K14" s="0" t="n">
        <v>5.91</v>
      </c>
      <c r="L14" s="0" t="n">
        <v>485</v>
      </c>
      <c r="M14" s="0" t="n">
        <v>192.6</v>
      </c>
      <c r="N14" s="0" t="n">
        <v>292.4</v>
      </c>
      <c r="O14" s="0" t="n">
        <v>1303</v>
      </c>
      <c r="P14" s="0" t="n">
        <v>4197.5</v>
      </c>
      <c r="Q14" s="0" t="n">
        <v>2894.5</v>
      </c>
      <c r="S14" s="0" t="n">
        <v>294</v>
      </c>
      <c r="T14" s="0" t="n">
        <v>57.974</v>
      </c>
      <c r="U14" s="0" t="n">
        <v>129.8</v>
      </c>
      <c r="V14" s="0" t="n">
        <v>0.375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1883.2</v>
      </c>
      <c r="C15" s="0" t="n">
        <v>334.6</v>
      </c>
      <c r="D15" s="0" t="n">
        <v>1548.6</v>
      </c>
      <c r="E15" s="0" t="n">
        <v>82.232370433305</v>
      </c>
      <c r="F15" s="0" t="n">
        <v>634.3</v>
      </c>
      <c r="G15" s="0" t="n">
        <v>33.6820305862362</v>
      </c>
      <c r="H15" s="0" t="n">
        <v>780.2</v>
      </c>
      <c r="I15" s="0" t="n">
        <v>502</v>
      </c>
      <c r="J15" s="0" t="n">
        <v>26.6567544604928</v>
      </c>
      <c r="K15" s="0" t="n">
        <v>8.93</v>
      </c>
      <c r="L15" s="0" t="n">
        <v>533.9</v>
      </c>
      <c r="M15" s="0" t="n">
        <v>192.9</v>
      </c>
      <c r="N15" s="0" t="n">
        <v>341</v>
      </c>
      <c r="O15" s="0" t="n">
        <v>1575.9</v>
      </c>
      <c r="P15" s="0" t="n">
        <v>5859.9</v>
      </c>
      <c r="Q15" s="0" t="n">
        <v>4284</v>
      </c>
      <c r="S15" s="0" t="n">
        <v>402</v>
      </c>
      <c r="T15" s="0" t="n">
        <v>56.296</v>
      </c>
      <c r="U15" s="0" t="n">
        <v>-22.9</v>
      </c>
      <c r="V15" s="0" t="n">
        <v>0.375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2051.7</v>
      </c>
      <c r="C16" s="0" t="n">
        <v>345.4</v>
      </c>
      <c r="D16" s="0" t="n">
        <v>1706.3</v>
      </c>
      <c r="E16" s="0" t="n">
        <v>83.1651800945557</v>
      </c>
      <c r="F16" s="0" t="n">
        <v>567.2</v>
      </c>
      <c r="G16" s="0" t="n">
        <v>27.6453672564215</v>
      </c>
      <c r="H16" s="0" t="n">
        <v>743.5</v>
      </c>
      <c r="I16" s="0" t="n">
        <v>453.4</v>
      </c>
      <c r="J16" s="0" t="n">
        <v>22.0987473802213</v>
      </c>
      <c r="K16" s="0" t="n">
        <v>8.13</v>
      </c>
      <c r="L16" s="0" t="n">
        <v>678.9</v>
      </c>
      <c r="M16" s="0" t="n">
        <v>270.9</v>
      </c>
      <c r="N16" s="0" t="n">
        <v>408</v>
      </c>
      <c r="O16" s="0" t="n">
        <v>1731.5</v>
      </c>
      <c r="P16" s="0" t="n">
        <v>7598.7</v>
      </c>
      <c r="Q16" s="0" t="n">
        <v>5867.2</v>
      </c>
      <c r="S16" s="0" t="n">
        <v>370</v>
      </c>
      <c r="T16" s="0" t="n">
        <v>56.116</v>
      </c>
      <c r="U16" s="0" t="n">
        <v>118.7</v>
      </c>
      <c r="V16" s="0" t="n">
        <v>0.375</v>
      </c>
      <c r="AA16" s="0" t="s">
        <v>17</v>
      </c>
      <c r="AB16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78</v>
      </c>
      <c r="B1" s="2" t="s">
        <v>79</v>
      </c>
    </row>
    <row r="2" customFormat="false" ht="15" hidden="false" customHeight="false" outlineLevel="0" collapsed="false">
      <c r="A2" s="0" t="s">
        <v>80</v>
      </c>
      <c r="B2" s="3" t="n">
        <v>227.47</v>
      </c>
    </row>
    <row r="3" customFormat="false" ht="15" hidden="false" customHeight="false" outlineLevel="0" collapsed="false">
      <c r="A3" s="0" t="s">
        <v>81</v>
      </c>
      <c r="B3" s="3" t="n">
        <v>45.14</v>
      </c>
    </row>
    <row r="4" customFormat="false" ht="15" hidden="false" customHeight="false" outlineLevel="0" collapsed="false">
      <c r="A4" s="0" t="s">
        <v>82</v>
      </c>
      <c r="B4" s="3" t="n">
        <v>702</v>
      </c>
    </row>
    <row r="5" customFormat="false" ht="15" hidden="false" customHeight="false" outlineLevel="0" collapsed="false">
      <c r="A5" s="0" t="s">
        <v>83</v>
      </c>
      <c r="B5" s="3" t="n">
        <v>0</v>
      </c>
    </row>
    <row r="6" customFormat="false" ht="15" hidden="false" customHeight="false" outlineLevel="0" collapsed="false">
      <c r="A6" s="0" t="s">
        <v>84</v>
      </c>
      <c r="B6" s="3" t="n">
        <v>15</v>
      </c>
    </row>
    <row r="7" customFormat="false" ht="15" hidden="false" customHeight="false" outlineLevel="0" collapsed="false">
      <c r="A7" s="0" t="s">
        <v>85</v>
      </c>
      <c r="B7" s="3" t="n">
        <v>2051.7</v>
      </c>
    </row>
    <row r="8" customFormat="false" ht="15" hidden="false" customHeight="false" outlineLevel="0" collapsed="false">
      <c r="A8" s="0" t="s">
        <v>86</v>
      </c>
      <c r="B8" s="3" t="s">
        <v>77</v>
      </c>
    </row>
    <row r="9" customFormat="false" ht="15" hidden="false" customHeight="false" outlineLevel="0" collapsed="false">
      <c r="A9" s="0" t="s">
        <v>87</v>
      </c>
      <c r="B9" s="3" t="s">
        <v>88</v>
      </c>
    </row>
    <row r="10" customFormat="false" ht="15" hidden="false" customHeight="false" outlineLevel="0" collapsed="false">
      <c r="A10" s="0" t="s">
        <v>89</v>
      </c>
      <c r="B10" s="3" t="n">
        <v>1</v>
      </c>
    </row>
    <row r="12" customFormat="false" ht="15" hidden="false" customHeight="false" outlineLevel="0" collapsed="false">
      <c r="A12" s="2" t="s">
        <v>90</v>
      </c>
      <c r="C12" s="2" t="s">
        <v>91</v>
      </c>
      <c r="D12" s="2" t="s">
        <v>92</v>
      </c>
      <c r="E12" s="2" t="s">
        <v>93</v>
      </c>
      <c r="F12" s="2" t="s">
        <v>94</v>
      </c>
      <c r="G12" s="2" t="s">
        <v>95</v>
      </c>
      <c r="H12" s="2" t="s">
        <v>96</v>
      </c>
      <c r="I12" s="2" t="s">
        <v>97</v>
      </c>
      <c r="J12" s="2" t="s">
        <v>98</v>
      </c>
      <c r="K12" s="2" t="s">
        <v>99</v>
      </c>
      <c r="L12" s="2" t="s">
        <v>100</v>
      </c>
    </row>
    <row r="13" customFormat="false" ht="15" hidden="false" customHeight="false" outlineLevel="0" collapsed="false">
      <c r="A13" s="0" t="s">
        <v>101</v>
      </c>
      <c r="C13" s="3" t="n">
        <v>6.5</v>
      </c>
      <c r="D13" s="3" t="n">
        <v>4</v>
      </c>
      <c r="E13" s="3" t="n">
        <v>3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102</v>
      </c>
      <c r="C14" s="3" t="n">
        <v>45</v>
      </c>
      <c r="D14" s="3" t="n">
        <v>44</v>
      </c>
      <c r="E14" s="3" t="n">
        <v>43</v>
      </c>
      <c r="F14" s="3" t="n">
        <v>42.5</v>
      </c>
      <c r="G14" s="3" t="n">
        <v>42</v>
      </c>
      <c r="H14" s="3" t="n">
        <v>42</v>
      </c>
      <c r="I14" s="3" t="n">
        <v>42</v>
      </c>
      <c r="J14" s="3" t="n">
        <v>42</v>
      </c>
      <c r="K14" s="3" t="n">
        <v>42</v>
      </c>
      <c r="L14" s="3" t="n">
        <v>42</v>
      </c>
    </row>
    <row r="15" customFormat="false" ht="15" hidden="false" customHeight="false" outlineLevel="0" collapsed="false">
      <c r="A15" s="0" t="s">
        <v>103</v>
      </c>
      <c r="C15" s="3" t="n">
        <v>5.5</v>
      </c>
      <c r="D15" s="3" t="n">
        <v>5.5</v>
      </c>
      <c r="E15" s="3" t="n">
        <v>5.5</v>
      </c>
      <c r="F15" s="3" t="n">
        <v>5.5</v>
      </c>
      <c r="G15" s="3" t="n">
        <v>5.5</v>
      </c>
      <c r="H15" s="3" t="n">
        <v>5.5</v>
      </c>
      <c r="I15" s="3" t="n">
        <v>5.5</v>
      </c>
      <c r="J15" s="3" t="n">
        <v>5.5</v>
      </c>
      <c r="K15" s="3" t="n">
        <v>5.5</v>
      </c>
      <c r="L15" s="3" t="n">
        <v>5.5</v>
      </c>
    </row>
    <row r="16" customFormat="false" ht="15" hidden="false" customHeight="false" outlineLevel="0" collapsed="false">
      <c r="A16" s="0" t="s">
        <v>104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105</v>
      </c>
      <c r="C17" s="3" t="n">
        <v>9.2</v>
      </c>
      <c r="D17" s="3" t="n">
        <v>9</v>
      </c>
      <c r="E17" s="3" t="n">
        <v>8.9</v>
      </c>
      <c r="F17" s="3" t="n">
        <v>8.8</v>
      </c>
      <c r="G17" s="3" t="n">
        <v>8.7</v>
      </c>
      <c r="H17" s="3" t="n">
        <v>8.6</v>
      </c>
      <c r="I17" s="3" t="n">
        <v>8.5</v>
      </c>
      <c r="J17" s="3" t="n">
        <v>8.5</v>
      </c>
      <c r="K17" s="3" t="n">
        <v>8.5</v>
      </c>
      <c r="L17" s="3" t="n">
        <v>8.5</v>
      </c>
    </row>
    <row r="18" customFormat="false" ht="15" hidden="false" customHeight="false" outlineLevel="0" collapsed="false">
      <c r="A18" s="0" t="s">
        <v>106</v>
      </c>
      <c r="C18" s="3" t="n">
        <v>8</v>
      </c>
      <c r="D18" s="3" t="n">
        <v>8</v>
      </c>
      <c r="E18" s="3" t="n">
        <v>8</v>
      </c>
      <c r="F18" s="3" t="n">
        <v>8</v>
      </c>
      <c r="G18" s="3" t="n">
        <v>8</v>
      </c>
      <c r="H18" s="3" t="n">
        <v>8</v>
      </c>
      <c r="I18" s="3" t="n">
        <v>8</v>
      </c>
      <c r="J18" s="3" t="n">
        <v>8</v>
      </c>
      <c r="K18" s="3" t="n">
        <v>8</v>
      </c>
      <c r="L18" s="3" t="n">
        <v>8</v>
      </c>
    </row>
    <row r="19" customFormat="false" ht="15" hidden="false" customHeight="false" outlineLevel="0" collapsed="false">
      <c r="A19" s="0" t="s">
        <v>107</v>
      </c>
      <c r="C19" s="3" t="n">
        <v>24</v>
      </c>
      <c r="D19" s="3" t="n">
        <v>25</v>
      </c>
      <c r="E19" s="3" t="n">
        <v>25</v>
      </c>
      <c r="F19" s="3" t="n">
        <v>25</v>
      </c>
      <c r="G19" s="3" t="n">
        <v>25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108</v>
      </c>
      <c r="B20" s="3" t="n">
        <v>9</v>
      </c>
    </row>
    <row r="21" customFormat="false" ht="15" hidden="false" customHeight="false" outlineLevel="0" collapsed="false">
      <c r="A21" s="0" t="s">
        <v>109</v>
      </c>
      <c r="B21" s="3" t="n">
        <v>2</v>
      </c>
    </row>
    <row r="22" customFormat="false" ht="15" hidden="false" customHeight="false" outlineLevel="0" collapsed="false">
      <c r="A22" s="0" t="s">
        <v>110</v>
      </c>
      <c r="B22" s="3" t="n">
        <v>15</v>
      </c>
    </row>
    <row r="23" customFormat="false" ht="15" hidden="false" customHeight="false" outlineLevel="0" collapsed="false">
      <c r="A23" s="0" t="s">
        <v>111</v>
      </c>
      <c r="B23" s="3" t="n">
        <v>-50</v>
      </c>
    </row>
    <row r="24" customFormat="false" ht="15" hidden="false" customHeight="false" outlineLevel="0" collapsed="false">
      <c r="A24" s="0" t="s">
        <v>112</v>
      </c>
      <c r="B24" s="3" t="n">
        <v>0.25</v>
      </c>
    </row>
    <row r="26" customFormat="false" ht="15" hidden="false" customHeight="false" outlineLevel="0" collapsed="false">
      <c r="A26" s="2" t="s">
        <v>113</v>
      </c>
      <c r="C26" s="2" t="s">
        <v>91</v>
      </c>
      <c r="D26" s="2" t="s">
        <v>92</v>
      </c>
      <c r="E26" s="2" t="s">
        <v>93</v>
      </c>
      <c r="F26" s="2" t="s">
        <v>94</v>
      </c>
      <c r="G26" s="2" t="s">
        <v>95</v>
      </c>
      <c r="H26" s="2" t="s">
        <v>96</v>
      </c>
      <c r="I26" s="2" t="s">
        <v>97</v>
      </c>
      <c r="J26" s="2" t="s">
        <v>98</v>
      </c>
      <c r="K26" s="2" t="s">
        <v>99</v>
      </c>
      <c r="L26" s="2" t="s">
        <v>100</v>
      </c>
    </row>
    <row r="27" customFormat="false" ht="15" hidden="false" customHeight="false" outlineLevel="0" collapsed="false">
      <c r="A27" s="0" t="s">
        <v>101</v>
      </c>
      <c r="C27" s="3" t="n">
        <v>7.5</v>
      </c>
      <c r="D27" s="3" t="n">
        <v>7</v>
      </c>
      <c r="E27" s="3" t="n">
        <v>6.5</v>
      </c>
      <c r="F27" s="3" t="n">
        <v>6</v>
      </c>
      <c r="G27" s="3" t="n">
        <v>5.5</v>
      </c>
      <c r="H27" s="3" t="n">
        <v>5</v>
      </c>
      <c r="I27" s="3" t="n">
        <v>4.5</v>
      </c>
      <c r="J27" s="3" t="n">
        <v>4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102</v>
      </c>
      <c r="C28" s="3" t="n">
        <v>46</v>
      </c>
      <c r="D28" s="3" t="n">
        <v>46.5</v>
      </c>
      <c r="E28" s="3" t="n">
        <v>47</v>
      </c>
      <c r="F28" s="3" t="n">
        <v>47</v>
      </c>
      <c r="G28" s="3" t="n">
        <v>47</v>
      </c>
      <c r="H28" s="3" t="n">
        <v>47</v>
      </c>
      <c r="I28" s="3" t="n">
        <v>47</v>
      </c>
      <c r="J28" s="3" t="n">
        <v>47</v>
      </c>
      <c r="K28" s="3" t="n">
        <v>47</v>
      </c>
      <c r="L28" s="3" t="n">
        <v>47</v>
      </c>
    </row>
    <row r="29" customFormat="false" ht="15" hidden="false" customHeight="false" outlineLevel="0" collapsed="false">
      <c r="A29" s="0" t="s">
        <v>103</v>
      </c>
      <c r="C29" s="3" t="n">
        <v>5</v>
      </c>
      <c r="D29" s="3" t="n">
        <v>5</v>
      </c>
      <c r="E29" s="3" t="n">
        <v>4.9</v>
      </c>
      <c r="F29" s="3" t="n">
        <v>4.8</v>
      </c>
      <c r="G29" s="3" t="n">
        <v>4.7</v>
      </c>
      <c r="H29" s="3" t="n">
        <v>4.6</v>
      </c>
      <c r="I29" s="3" t="n">
        <v>4.5</v>
      </c>
      <c r="J29" s="3" t="n">
        <v>4.4</v>
      </c>
      <c r="K29" s="3" t="n">
        <v>4.2</v>
      </c>
      <c r="L29" s="3" t="n">
        <v>4</v>
      </c>
    </row>
    <row r="30" customFormat="false" ht="15" hidden="false" customHeight="false" outlineLevel="0" collapsed="false">
      <c r="A30" s="0" t="s">
        <v>104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105</v>
      </c>
      <c r="C31" s="3" t="n">
        <v>9.2</v>
      </c>
      <c r="D31" s="3" t="n">
        <v>9</v>
      </c>
      <c r="E31" s="3" t="n">
        <v>8.9</v>
      </c>
      <c r="F31" s="3" t="n">
        <v>8.8</v>
      </c>
      <c r="G31" s="3" t="n">
        <v>8.7</v>
      </c>
      <c r="H31" s="3" t="n">
        <v>8.6</v>
      </c>
      <c r="I31" s="3" t="n">
        <v>8.5</v>
      </c>
      <c r="J31" s="3" t="n">
        <v>8.5</v>
      </c>
      <c r="K31" s="3" t="n">
        <v>8.5</v>
      </c>
      <c r="L31" s="3" t="n">
        <v>8.5</v>
      </c>
    </row>
    <row r="32" customFormat="false" ht="15" hidden="false" customHeight="false" outlineLevel="0" collapsed="false">
      <c r="A32" s="0" t="s">
        <v>106</v>
      </c>
      <c r="C32" s="3" t="n">
        <v>8</v>
      </c>
      <c r="D32" s="3" t="n">
        <v>8.5</v>
      </c>
      <c r="E32" s="3" t="n">
        <v>8.5</v>
      </c>
      <c r="F32" s="3" t="n">
        <v>8.5</v>
      </c>
      <c r="G32" s="3" t="n">
        <v>8.5</v>
      </c>
      <c r="H32" s="3" t="n">
        <v>8.5</v>
      </c>
      <c r="I32" s="3" t="n">
        <v>8.5</v>
      </c>
      <c r="J32" s="3" t="n">
        <v>8.5</v>
      </c>
      <c r="K32" s="3" t="n">
        <v>8.5</v>
      </c>
      <c r="L32" s="3" t="n">
        <v>8.5</v>
      </c>
    </row>
    <row r="33" customFormat="false" ht="15" hidden="false" customHeight="false" outlineLevel="0" collapsed="false">
      <c r="A33" s="0" t="s">
        <v>107</v>
      </c>
      <c r="C33" s="3" t="n">
        <v>24</v>
      </c>
      <c r="D33" s="3" t="n">
        <v>25</v>
      </c>
      <c r="E33" s="3" t="n">
        <v>25</v>
      </c>
      <c r="F33" s="3" t="n">
        <v>25</v>
      </c>
      <c r="G33" s="3" t="n">
        <v>25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108</v>
      </c>
      <c r="B34" s="3" t="n">
        <v>9</v>
      </c>
    </row>
    <row r="35" customFormat="false" ht="15" hidden="false" customHeight="false" outlineLevel="0" collapsed="false">
      <c r="A35" s="0" t="s">
        <v>109</v>
      </c>
      <c r="B35" s="3" t="n">
        <v>3</v>
      </c>
    </row>
    <row r="36" customFormat="false" ht="15" hidden="false" customHeight="false" outlineLevel="0" collapsed="false">
      <c r="A36" s="0" t="s">
        <v>110</v>
      </c>
      <c r="B36" s="3" t="n">
        <v>20</v>
      </c>
    </row>
    <row r="37" customFormat="false" ht="15" hidden="false" customHeight="false" outlineLevel="0" collapsed="false">
      <c r="A37" s="0" t="s">
        <v>111</v>
      </c>
      <c r="B37" s="3" t="n">
        <v>-50</v>
      </c>
    </row>
    <row r="38" customFormat="false" ht="15" hidden="false" customHeight="false" outlineLevel="0" collapsed="false">
      <c r="A38" s="0" t="s">
        <v>112</v>
      </c>
      <c r="B38" s="3" t="n">
        <v>0.5</v>
      </c>
    </row>
    <row r="40" customFormat="false" ht="15" hidden="false" customHeight="false" outlineLevel="0" collapsed="false">
      <c r="A40" s="2" t="s">
        <v>114</v>
      </c>
      <c r="C40" s="2" t="s">
        <v>91</v>
      </c>
      <c r="D40" s="2" t="s">
        <v>92</v>
      </c>
      <c r="E40" s="2" t="s">
        <v>93</v>
      </c>
      <c r="F40" s="2" t="s">
        <v>94</v>
      </c>
      <c r="G40" s="2" t="s">
        <v>95</v>
      </c>
      <c r="H40" s="2" t="s">
        <v>96</v>
      </c>
      <c r="I40" s="2" t="s">
        <v>97</v>
      </c>
      <c r="J40" s="2" t="s">
        <v>98</v>
      </c>
      <c r="K40" s="2" t="s">
        <v>99</v>
      </c>
      <c r="L40" s="2" t="s">
        <v>100</v>
      </c>
    </row>
    <row r="41" customFormat="false" ht="15" hidden="false" customHeight="false" outlineLevel="0" collapsed="false">
      <c r="A41" s="0" t="s">
        <v>101</v>
      </c>
      <c r="C41" s="3" t="n">
        <v>8</v>
      </c>
      <c r="D41" s="3" t="n">
        <v>9</v>
      </c>
      <c r="E41" s="3" t="n">
        <v>9.5</v>
      </c>
      <c r="F41" s="3" t="n">
        <v>9</v>
      </c>
      <c r="G41" s="3" t="n">
        <v>8</v>
      </c>
      <c r="H41" s="3" t="n">
        <v>7</v>
      </c>
      <c r="I41" s="3" t="n">
        <v>6</v>
      </c>
      <c r="J41" s="3" t="n">
        <v>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102</v>
      </c>
      <c r="C42" s="3" t="n">
        <v>46.5</v>
      </c>
      <c r="D42" s="3" t="n">
        <v>47.5</v>
      </c>
      <c r="E42" s="3" t="n">
        <v>48.5</v>
      </c>
      <c r="F42" s="3" t="n">
        <v>49</v>
      </c>
      <c r="G42" s="3" t="n">
        <v>49.5</v>
      </c>
      <c r="H42" s="3" t="n">
        <v>50</v>
      </c>
      <c r="I42" s="3" t="n">
        <v>50</v>
      </c>
      <c r="J42" s="3" t="n">
        <v>50</v>
      </c>
      <c r="K42" s="3" t="n">
        <v>50</v>
      </c>
      <c r="L42" s="3" t="n">
        <v>50</v>
      </c>
    </row>
    <row r="43" customFormat="false" ht="15" hidden="false" customHeight="false" outlineLevel="0" collapsed="false">
      <c r="A43" s="0" t="s">
        <v>103</v>
      </c>
      <c r="C43" s="3" t="n">
        <v>5</v>
      </c>
      <c r="D43" s="3" t="n">
        <v>5</v>
      </c>
      <c r="E43" s="3" t="n">
        <v>4.9</v>
      </c>
      <c r="F43" s="3" t="n">
        <v>4.8</v>
      </c>
      <c r="G43" s="3" t="n">
        <v>4.7</v>
      </c>
      <c r="H43" s="3" t="n">
        <v>4.6</v>
      </c>
      <c r="I43" s="3" t="n">
        <v>4.5</v>
      </c>
      <c r="J43" s="3" t="n">
        <v>4.4</v>
      </c>
      <c r="K43" s="3" t="n">
        <v>4.2</v>
      </c>
      <c r="L43" s="3" t="n">
        <v>4</v>
      </c>
    </row>
    <row r="44" customFormat="false" ht="15" hidden="false" customHeight="false" outlineLevel="0" collapsed="false">
      <c r="A44" s="0" t="s">
        <v>104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105</v>
      </c>
      <c r="C45" s="3" t="n">
        <v>9.2</v>
      </c>
      <c r="D45" s="3" t="n">
        <v>9</v>
      </c>
      <c r="E45" s="3" t="n">
        <v>8.9</v>
      </c>
      <c r="F45" s="3" t="n">
        <v>8.8</v>
      </c>
      <c r="G45" s="3" t="n">
        <v>8.7</v>
      </c>
      <c r="H45" s="3" t="n">
        <v>8.6</v>
      </c>
      <c r="I45" s="3" t="n">
        <v>8.5</v>
      </c>
      <c r="J45" s="3" t="n">
        <v>8.5</v>
      </c>
      <c r="K45" s="3" t="n">
        <v>8.5</v>
      </c>
      <c r="L45" s="3" t="n">
        <v>8.5</v>
      </c>
    </row>
    <row r="46" customFormat="false" ht="15" hidden="false" customHeight="false" outlineLevel="0" collapsed="false">
      <c r="A46" s="0" t="s">
        <v>106</v>
      </c>
      <c r="C46" s="3" t="n">
        <v>8</v>
      </c>
      <c r="D46" s="3" t="n">
        <v>8.5</v>
      </c>
      <c r="E46" s="3" t="n">
        <v>9</v>
      </c>
      <c r="F46" s="3" t="n">
        <v>9</v>
      </c>
      <c r="G46" s="3" t="n">
        <v>9</v>
      </c>
      <c r="H46" s="3" t="n">
        <v>9</v>
      </c>
      <c r="I46" s="3" t="n">
        <v>8.5</v>
      </c>
      <c r="J46" s="3" t="n">
        <v>8.5</v>
      </c>
      <c r="K46" s="3" t="n">
        <v>8.5</v>
      </c>
      <c r="L46" s="3" t="n">
        <v>8.5</v>
      </c>
    </row>
    <row r="47" customFormat="false" ht="15" hidden="false" customHeight="false" outlineLevel="0" collapsed="false">
      <c r="A47" s="0" t="s">
        <v>107</v>
      </c>
      <c r="C47" s="3" t="n">
        <v>24</v>
      </c>
      <c r="D47" s="3" t="n">
        <v>25</v>
      </c>
      <c r="E47" s="3" t="n">
        <v>25</v>
      </c>
      <c r="F47" s="3" t="n">
        <v>25</v>
      </c>
      <c r="G47" s="3" t="n">
        <v>25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108</v>
      </c>
      <c r="B48" s="3" t="n">
        <v>9</v>
      </c>
    </row>
    <row r="49" customFormat="false" ht="15" hidden="false" customHeight="false" outlineLevel="0" collapsed="false">
      <c r="A49" s="0" t="s">
        <v>109</v>
      </c>
      <c r="B49" s="3" t="n">
        <v>3</v>
      </c>
    </row>
    <row r="50" customFormat="false" ht="15" hidden="false" customHeight="false" outlineLevel="0" collapsed="false">
      <c r="A50" s="0" t="s">
        <v>110</v>
      </c>
      <c r="B50" s="3" t="n">
        <v>20</v>
      </c>
    </row>
    <row r="51" customFormat="false" ht="15" hidden="false" customHeight="false" outlineLevel="0" collapsed="false">
      <c r="A51" s="0" t="s">
        <v>111</v>
      </c>
      <c r="B51" s="3" t="n">
        <v>-50</v>
      </c>
    </row>
    <row r="52" customFormat="false" ht="15" hidden="false" customHeight="false" outlineLevel="0" collapsed="false">
      <c r="A52" s="0" t="s">
        <v>112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115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Assumptions!C13</f>
        <v>6.5</v>
      </c>
      <c r="D5" s="4" t="n">
        <f aca="false">Assumptions!D13</f>
        <v>4</v>
      </c>
      <c r="E5" s="4" t="n">
        <f aca="false">Assumptions!E13</f>
        <v>3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2051.7</v>
      </c>
      <c r="C6" s="0" t="n">
        <f aca="false">B6*(1+C5/100)</f>
        <v>2185.0605</v>
      </c>
      <c r="D6" s="0" t="n">
        <f aca="false">C6*(1+D5/100)</f>
        <v>2272.46292</v>
      </c>
      <c r="E6" s="0" t="n">
        <f aca="false">D6*(1+E5/100)</f>
        <v>2340.6368076</v>
      </c>
      <c r="F6" s="0" t="n">
        <f aca="false">E6*(1+F5/100)</f>
        <v>2387.449543752</v>
      </c>
      <c r="G6" s="0" t="n">
        <f aca="false">F6*(1+G5/100)</f>
        <v>2435.19853462704</v>
      </c>
      <c r="H6" s="0" t="n">
        <f aca="false">G6*(1+H5/100)</f>
        <v>2483.90250531958</v>
      </c>
      <c r="I6" s="0" t="n">
        <f aca="false">H6*(1+I5/100)</f>
        <v>2533.58055542597</v>
      </c>
      <c r="J6" s="0" t="n">
        <f aca="false">I6*(1+J5/100)</f>
        <v>2584.25216653449</v>
      </c>
      <c r="K6" s="0" t="n">
        <f aca="false">J6*(1+K5/100)</f>
        <v>2635.93720986518</v>
      </c>
      <c r="L6" s="0" t="n">
        <f aca="false">K6*(1+L5/100)</f>
        <v>2688.65595406249</v>
      </c>
    </row>
    <row r="7" customFormat="false" ht="15" hidden="false" customHeight="false" outlineLevel="0" collapsed="false">
      <c r="A7" s="0" t="s">
        <v>102</v>
      </c>
      <c r="C7" s="4" t="n">
        <f aca="false">Assumptions!C14</f>
        <v>45</v>
      </c>
      <c r="D7" s="4" t="n">
        <f aca="false">Assumptions!D14</f>
        <v>44</v>
      </c>
      <c r="E7" s="4" t="n">
        <f aca="false">Assumptions!E14</f>
        <v>43</v>
      </c>
      <c r="F7" s="4" t="n">
        <f aca="false">Assumptions!F14</f>
        <v>42.5</v>
      </c>
      <c r="G7" s="4" t="n">
        <f aca="false">Assumptions!G14</f>
        <v>42</v>
      </c>
      <c r="H7" s="4" t="n">
        <f aca="false">Assumptions!H14</f>
        <v>42</v>
      </c>
      <c r="I7" s="4" t="n">
        <f aca="false">Assumptions!I14</f>
        <v>42</v>
      </c>
      <c r="J7" s="4" t="n">
        <f aca="false">Assumptions!J14</f>
        <v>42</v>
      </c>
      <c r="K7" s="4" t="n">
        <f aca="false">Assumptions!K14</f>
        <v>42</v>
      </c>
      <c r="L7" s="4" t="n">
        <f aca="false">Assumptions!L14</f>
        <v>42</v>
      </c>
    </row>
    <row r="8" customFormat="false" ht="15" hidden="false" customHeight="false" outlineLevel="0" collapsed="false">
      <c r="A8" s="0" t="s">
        <v>43</v>
      </c>
      <c r="C8" s="0" t="n">
        <f aca="false">C6*C7/100</f>
        <v>983.277225</v>
      </c>
      <c r="D8" s="0" t="n">
        <f aca="false">D6*D7/100</f>
        <v>999.8836848</v>
      </c>
      <c r="E8" s="0" t="n">
        <f aca="false">E6*E7/100</f>
        <v>1006.473827268</v>
      </c>
      <c r="F8" s="0" t="n">
        <f aca="false">F6*F7/100</f>
        <v>1014.6660560946</v>
      </c>
      <c r="G8" s="0" t="n">
        <f aca="false">G6*G7/100</f>
        <v>1022.78338454336</v>
      </c>
      <c r="H8" s="0" t="n">
        <f aca="false">H6*H7/100</f>
        <v>1043.23905223422</v>
      </c>
      <c r="I8" s="0" t="n">
        <f aca="false">I6*I7/100</f>
        <v>1064.10383327891</v>
      </c>
      <c r="J8" s="0" t="n">
        <f aca="false">J6*J7/100</f>
        <v>1085.38590994449</v>
      </c>
      <c r="K8" s="0" t="n">
        <f aca="false">K6*K7/100</f>
        <v>1107.09362814338</v>
      </c>
      <c r="L8" s="0" t="n">
        <f aca="false">L6*L7/100</f>
        <v>1129.23550070624</v>
      </c>
    </row>
    <row r="9" customFormat="false" ht="15" hidden="false" customHeight="false" outlineLevel="0" collapsed="false">
      <c r="A9" s="0" t="s">
        <v>103</v>
      </c>
      <c r="C9" s="4" t="n">
        <f aca="false">Assumptions!C15</f>
        <v>5.5</v>
      </c>
      <c r="D9" s="4" t="n">
        <f aca="false">Assumptions!D15</f>
        <v>5.5</v>
      </c>
      <c r="E9" s="4" t="n">
        <f aca="false">Assumptions!E15</f>
        <v>5.5</v>
      </c>
      <c r="F9" s="4" t="n">
        <f aca="false">Assumptions!F15</f>
        <v>5.5</v>
      </c>
      <c r="G9" s="4" t="n">
        <f aca="false">Assumptions!G15</f>
        <v>5.5</v>
      </c>
      <c r="H9" s="4" t="n">
        <f aca="false">Assumptions!H15</f>
        <v>5.5</v>
      </c>
      <c r="I9" s="4" t="n">
        <f aca="false">Assumptions!I15</f>
        <v>5.5</v>
      </c>
      <c r="J9" s="4" t="n">
        <f aca="false">Assumptions!J15</f>
        <v>5.5</v>
      </c>
      <c r="K9" s="4" t="n">
        <f aca="false">Assumptions!K15</f>
        <v>5.5</v>
      </c>
      <c r="L9" s="4" t="n">
        <f aca="false">Assumptions!L15</f>
        <v>5.5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-120.1783275</v>
      </c>
      <c r="D10" s="0" t="n">
        <f aca="false">-D6*D9/100</f>
        <v>-124.9854606</v>
      </c>
      <c r="E10" s="0" t="n">
        <f aca="false">-E6*E9/100</f>
        <v>-128.735024418</v>
      </c>
      <c r="F10" s="0" t="n">
        <f aca="false">-F6*F9/100</f>
        <v>-131.30972490636</v>
      </c>
      <c r="G10" s="0" t="n">
        <f aca="false">-G6*G9/100</f>
        <v>-133.935919404487</v>
      </c>
      <c r="H10" s="0" t="n">
        <f aca="false">-H6*H9/100</f>
        <v>-136.614637792577</v>
      </c>
      <c r="I10" s="0" t="n">
        <f aca="false">-I6*I9/100</f>
        <v>-139.346930548428</v>
      </c>
      <c r="J10" s="0" t="n">
        <f aca="false">-J6*J9/100</f>
        <v>-142.133869159397</v>
      </c>
      <c r="K10" s="0" t="n">
        <f aca="false">-K6*K9/100</f>
        <v>-144.976546542585</v>
      </c>
      <c r="L10" s="0" t="n">
        <f aca="false">-L6*L9/100</f>
        <v>-147.876077473437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863.0988975</v>
      </c>
      <c r="D11" s="0" t="n">
        <f aca="false">D8+D10+D24</f>
        <v>874.8982242</v>
      </c>
      <c r="E11" s="0" t="n">
        <f aca="false">E8+E10+E24</f>
        <v>877.73880285</v>
      </c>
      <c r="F11" s="0" t="n">
        <f aca="false">F8+F10+F24</f>
        <v>883.35633118824</v>
      </c>
      <c r="G11" s="0" t="n">
        <f aca="false">G8+G10+G24</f>
        <v>888.847465138869</v>
      </c>
      <c r="H11" s="0" t="n">
        <f aca="false">H8+H10+H24</f>
        <v>906.624414441647</v>
      </c>
      <c r="I11" s="0" t="n">
        <f aca="false">I8+I10+I24</f>
        <v>924.75690273048</v>
      </c>
      <c r="J11" s="0" t="n">
        <f aca="false">J8+J10+J24</f>
        <v>943.252040785089</v>
      </c>
      <c r="K11" s="0" t="n">
        <f aca="false">K8+K10+K24</f>
        <v>962.117081600791</v>
      </c>
      <c r="L11" s="0" t="n">
        <f aca="false">L8+L10+L24</f>
        <v>981.359423232807</v>
      </c>
    </row>
    <row r="12" customFormat="false" ht="15" hidden="false" customHeight="false" outlineLevel="0" collapsed="false">
      <c r="A12" s="0" t="s">
        <v>120</v>
      </c>
      <c r="C12" s="4" t="n">
        <f aca="false">-C6*Assumptions!C17/100</f>
        <v>-201.025566</v>
      </c>
      <c r="D12" s="4" t="n">
        <f aca="false">-D6*Assumptions!D17/100</f>
        <v>-204.5216628</v>
      </c>
      <c r="E12" s="4" t="n">
        <f aca="false">-E6*Assumptions!E17/100</f>
        <v>-208.3166758764</v>
      </c>
      <c r="F12" s="4" t="n">
        <f aca="false">-F6*Assumptions!F17/100</f>
        <v>-210.095559850176</v>
      </c>
      <c r="G12" s="4" t="n">
        <f aca="false">-G6*Assumptions!G17/100</f>
        <v>-211.862272512552</v>
      </c>
      <c r="H12" s="4" t="n">
        <f aca="false">-H6*Assumptions!H17/100</f>
        <v>-213.615615457484</v>
      </c>
      <c r="I12" s="4" t="n">
        <f aca="false">-I6*Assumptions!I17/100</f>
        <v>-215.354347211208</v>
      </c>
      <c r="J12" s="4" t="n">
        <f aca="false">-J6*Assumptions!J17/100</f>
        <v>-219.661434155432</v>
      </c>
      <c r="K12" s="4" t="n">
        <f aca="false">-K6*Assumptions!K17/100</f>
        <v>-224.05466283854</v>
      </c>
      <c r="L12" s="4" t="n">
        <f aca="false">-L6*Assumptions!L17/100</f>
        <v>-228.535756095311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662.0733315</v>
      </c>
      <c r="D13" s="0" t="n">
        <f aca="false">D11+D12</f>
        <v>670.3765614</v>
      </c>
      <c r="E13" s="0" t="n">
        <f aca="false">E11+E12</f>
        <v>669.4221269736</v>
      </c>
      <c r="F13" s="0" t="n">
        <f aca="false">F11+F12</f>
        <v>673.260771338064</v>
      </c>
      <c r="G13" s="0" t="n">
        <f aca="false">G11+G12</f>
        <v>676.985192626317</v>
      </c>
      <c r="H13" s="0" t="n">
        <f aca="false">H11+H12</f>
        <v>693.008798984163</v>
      </c>
      <c r="I13" s="0" t="n">
        <f aca="false">I11+I12</f>
        <v>709.402555519272</v>
      </c>
      <c r="J13" s="0" t="n">
        <f aca="false">J11+J12</f>
        <v>723.590606629658</v>
      </c>
      <c r="K13" s="0" t="n">
        <f aca="false">K11+K12</f>
        <v>738.062418762251</v>
      </c>
      <c r="L13" s="0" t="n">
        <f aca="false">L11+L12</f>
        <v>752.823667137496</v>
      </c>
    </row>
    <row r="14" customFormat="false" ht="15" hidden="false" customHeight="false" outlineLevel="0" collapsed="false">
      <c r="A14" s="0" t="s">
        <v>107</v>
      </c>
      <c r="C14" s="4" t="n">
        <f aca="false">Assumptions!C19</f>
        <v>24</v>
      </c>
      <c r="D14" s="4" t="n">
        <f aca="false">Assumptions!D19</f>
        <v>25</v>
      </c>
      <c r="E14" s="4" t="n">
        <f aca="false">Assumptions!E19</f>
        <v>25</v>
      </c>
      <c r="F14" s="4" t="n">
        <f aca="false">Assumptions!F19</f>
        <v>25</v>
      </c>
      <c r="G14" s="4" t="n">
        <f aca="false">Assumptions!G19</f>
        <v>25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503.17573194</v>
      </c>
      <c r="D15" s="0" t="n">
        <f aca="false">D13-MAX(0,D13)*D14/100</f>
        <v>502.78242105</v>
      </c>
      <c r="E15" s="0" t="n">
        <f aca="false">E13-MAX(0,E13)*E14/100</f>
        <v>502.0665952302</v>
      </c>
      <c r="F15" s="0" t="n">
        <f aca="false">F13-MAX(0,F13)*F14/100</f>
        <v>504.945578503548</v>
      </c>
      <c r="G15" s="0" t="n">
        <f aca="false">G13-MAX(0,G13)*G14/100</f>
        <v>507.738894469738</v>
      </c>
      <c r="H15" s="0" t="n">
        <f aca="false">H13-MAX(0,H13)*H14/100</f>
        <v>519.756599238122</v>
      </c>
      <c r="I15" s="0" t="n">
        <f aca="false">I13-MAX(0,I13)*I14/100</f>
        <v>532.051916639454</v>
      </c>
      <c r="J15" s="0" t="n">
        <f aca="false">J13-MAX(0,J13)*J14/100</f>
        <v>542.692954972243</v>
      </c>
      <c r="K15" s="0" t="n">
        <f aca="false">K13-MAX(0,K13)*K14/100</f>
        <v>553.546814071688</v>
      </c>
      <c r="L15" s="0" t="n">
        <f aca="false">L13-MAX(0,L13)*L14/100</f>
        <v>564.617750353122</v>
      </c>
    </row>
    <row r="16" customFormat="false" ht="15" hidden="false" customHeight="false" outlineLevel="0" collapsed="false">
      <c r="A16" s="0" t="s">
        <v>123</v>
      </c>
      <c r="C16" s="0" t="n">
        <f aca="false">-C12</f>
        <v>201.025566</v>
      </c>
      <c r="D16" s="0" t="n">
        <f aca="false">-D12</f>
        <v>204.5216628</v>
      </c>
      <c r="E16" s="0" t="n">
        <f aca="false">-E12</f>
        <v>208.3166758764</v>
      </c>
      <c r="F16" s="0" t="n">
        <f aca="false">-F12</f>
        <v>210.095559850176</v>
      </c>
      <c r="G16" s="0" t="n">
        <f aca="false">-G12</f>
        <v>211.862272512552</v>
      </c>
      <c r="H16" s="0" t="n">
        <f aca="false">-H12</f>
        <v>213.615615457484</v>
      </c>
      <c r="I16" s="0" t="n">
        <f aca="false">-I12</f>
        <v>215.354347211208</v>
      </c>
      <c r="J16" s="0" t="n">
        <f aca="false">-J12</f>
        <v>219.661434155432</v>
      </c>
      <c r="K16" s="0" t="n">
        <f aca="false">-K12</f>
        <v>224.05466283854</v>
      </c>
      <c r="L16" s="0" t="n">
        <f aca="false">-L12</f>
        <v>228.535756095311</v>
      </c>
    </row>
    <row r="17" customFormat="false" ht="15" hidden="false" customHeight="false" outlineLevel="0" collapsed="false">
      <c r="A17" s="0" t="s">
        <v>124</v>
      </c>
      <c r="C17" s="4" t="n">
        <f aca="false">-C6*Assumptions!C18/100</f>
        <v>-174.80484</v>
      </c>
      <c r="D17" s="4" t="n">
        <f aca="false">-D6*Assumptions!D18/100</f>
        <v>-181.7970336</v>
      </c>
      <c r="E17" s="4" t="n">
        <f aca="false">-E6*Assumptions!E18/100</f>
        <v>-187.250944608</v>
      </c>
      <c r="F17" s="4" t="n">
        <f aca="false">-F6*Assumptions!F18/100</f>
        <v>-190.99596350016</v>
      </c>
      <c r="G17" s="4" t="n">
        <f aca="false">-G6*Assumptions!G18/100</f>
        <v>-194.815882770163</v>
      </c>
      <c r="H17" s="4" t="n">
        <f aca="false">-H6*Assumptions!H18/100</f>
        <v>-198.712200425566</v>
      </c>
      <c r="I17" s="4" t="n">
        <f aca="false">-I6*Assumptions!I18/100</f>
        <v>-202.686444434078</v>
      </c>
      <c r="J17" s="4" t="n">
        <f aca="false">-J6*Assumptions!J18/100</f>
        <v>-206.740173322759</v>
      </c>
      <c r="K17" s="4" t="n">
        <f aca="false">-K6*Assumptions!K18/100</f>
        <v>-210.874976789215</v>
      </c>
      <c r="L17" s="4" t="n">
        <f aca="false">-L6*Assumptions!L18/100</f>
        <v>-215.092476324999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(C6-B6)*Assumptions!$B$23/100</f>
        <v>-66.6802499999999</v>
      </c>
      <c r="D18" s="4" t="n">
        <f aca="false">(D6-C6)*Assumptions!$B$23/100</f>
        <v>-43.7012099999999</v>
      </c>
      <c r="E18" s="4" t="n">
        <f aca="false">(E6-D6)*Assumptions!$B$23/100</f>
        <v>-34.0869438</v>
      </c>
      <c r="F18" s="4" t="n">
        <f aca="false">(F6-E6)*Assumptions!$B$23/100</f>
        <v>-23.406368076</v>
      </c>
      <c r="G18" s="4" t="n">
        <f aca="false">(G6-F6)*Assumptions!$B$23/100</f>
        <v>-23.87449543752</v>
      </c>
      <c r="H18" s="4" t="n">
        <f aca="false">(H6-G6)*Assumptions!$B$23/100</f>
        <v>-24.3519853462703</v>
      </c>
      <c r="I18" s="4" t="n">
        <f aca="false">(I6-H6)*Assumptions!$B$23/100</f>
        <v>-24.8390250531959</v>
      </c>
      <c r="J18" s="4" t="n">
        <f aca="false">(J6-I6)*Assumptions!$B$23/100</f>
        <v>-25.3358055542597</v>
      </c>
      <c r="K18" s="4" t="n">
        <f aca="false">(K6-J6)*Assumptions!$B$23/100</f>
        <v>-25.842521665345</v>
      </c>
      <c r="L18" s="4" t="n">
        <f aca="false">(L6-K6)*Assumptions!$B$23/100</f>
        <v>-26.3593720986519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462.71620794</v>
      </c>
      <c r="D19" s="0" t="n">
        <f aca="false">D15+D16+D17+D18</f>
        <v>481.80584025</v>
      </c>
      <c r="E19" s="0" t="n">
        <f aca="false">E15+E16+E17+E18</f>
        <v>489.0453826986</v>
      </c>
      <c r="F19" s="0" t="n">
        <f aca="false">F15+F16+F17+F18</f>
        <v>500.638806777564</v>
      </c>
      <c r="G19" s="0" t="n">
        <f aca="false">G15+G16+G17+G18</f>
        <v>500.910788774607</v>
      </c>
      <c r="H19" s="0" t="n">
        <f aca="false">H15+H16+H17+H18</f>
        <v>510.308028923769</v>
      </c>
      <c r="I19" s="0" t="n">
        <f aca="false">I15+I16+I17+I18</f>
        <v>519.880794363388</v>
      </c>
      <c r="J19" s="0" t="n">
        <f aca="false">J15+J16+J17+J18</f>
        <v>530.278410250656</v>
      </c>
      <c r="K19" s="0" t="n">
        <f aca="false">K15+K16+K17+K18</f>
        <v>540.883978455669</v>
      </c>
      <c r="L19" s="0" t="n">
        <f aca="false">L15+L16+L17+L18</f>
        <v>551.701658024782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424.510282513761</v>
      </c>
      <c r="D21" s="0" t="n">
        <f aca="false">D19*D20</f>
        <v>405.526336377409</v>
      </c>
      <c r="E21" s="0" t="n">
        <f aca="false">E19*E20</f>
        <v>377.63276552</v>
      </c>
      <c r="F21" s="0" t="n">
        <f aca="false">F19*F20</f>
        <v>354.665152358824</v>
      </c>
      <c r="G21" s="0" t="n">
        <f aca="false">G19*G20</f>
        <v>325.557643360078</v>
      </c>
      <c r="H21" s="0" t="n">
        <f aca="false">H19*H20</f>
        <v>304.280004291378</v>
      </c>
      <c r="I21" s="0" t="n">
        <f aca="false">I19*I20</f>
        <v>284.39259775312</v>
      </c>
      <c r="J21" s="0" t="n">
        <f aca="false">J19*J20</f>
        <v>266.128852943287</v>
      </c>
      <c r="K21" s="0" t="n">
        <f aca="false">K19*K20</f>
        <v>249.038009176286</v>
      </c>
      <c r="L21" s="0" t="n">
        <f aca="false">L19*L20</f>
        <v>233.044742531938</v>
      </c>
    </row>
    <row r="23" customFormat="false" ht="15" hidden="false" customHeight="false" outlineLevel="0" collapsed="false">
      <c r="A23" s="0" t="s">
        <v>104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109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110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3224.77638682608</v>
      </c>
    </row>
    <row r="31" customFormat="false" ht="15" hidden="false" customHeight="false" outlineLevel="0" collapsed="false">
      <c r="A31" s="0" t="s">
        <v>132</v>
      </c>
      <c r="B31" s="0" t="n">
        <f aca="false">L19</f>
        <v>551.701658024782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8039.08130264683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8275.52487037174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8039.08130264683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3395.79481975109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6620.57120657717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5918.57120657717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131.11588849307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-0.42359041415101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853.166711038877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910.196318146375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170.180200171963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4328.7360860406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63.6032096321197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Assumptions!C27</f>
        <v>7.5</v>
      </c>
      <c r="D5" s="4" t="n">
        <f aca="false">Assumptions!D27</f>
        <v>7</v>
      </c>
      <c r="E5" s="4" t="n">
        <f aca="false">Assumptions!E27</f>
        <v>6.5</v>
      </c>
      <c r="F5" s="4" t="n">
        <f aca="false">Assumptions!F27</f>
        <v>6</v>
      </c>
      <c r="G5" s="4" t="n">
        <f aca="false">Assumptions!G27</f>
        <v>5.5</v>
      </c>
      <c r="H5" s="4" t="n">
        <f aca="false">Assumptions!H27</f>
        <v>5</v>
      </c>
      <c r="I5" s="4" t="n">
        <f aca="false">Assumptions!I27</f>
        <v>4.5</v>
      </c>
      <c r="J5" s="4" t="n">
        <f aca="false">Assumptions!J27</f>
        <v>4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2051.7</v>
      </c>
      <c r="C6" s="0" t="n">
        <f aca="false">B6*(1+C5/100)</f>
        <v>2205.5775</v>
      </c>
      <c r="D6" s="0" t="n">
        <f aca="false">C6*(1+D5/100)</f>
        <v>2359.967925</v>
      </c>
      <c r="E6" s="0" t="n">
        <f aca="false">D6*(1+E5/100)</f>
        <v>2513.365840125</v>
      </c>
      <c r="F6" s="0" t="n">
        <f aca="false">E6*(1+F5/100)</f>
        <v>2664.1677905325</v>
      </c>
      <c r="G6" s="0" t="n">
        <f aca="false">F6*(1+G5/100)</f>
        <v>2810.69701901179</v>
      </c>
      <c r="H6" s="0" t="n">
        <f aca="false">G6*(1+H5/100)</f>
        <v>2951.23186996238</v>
      </c>
      <c r="I6" s="0" t="n">
        <f aca="false">H6*(1+I5/100)</f>
        <v>3084.03730411068</v>
      </c>
      <c r="J6" s="0" t="n">
        <f aca="false">I6*(1+J5/100)</f>
        <v>3207.39879627511</v>
      </c>
      <c r="K6" s="0" t="n">
        <f aca="false">J6*(1+K5/100)</f>
        <v>3319.65775414474</v>
      </c>
      <c r="L6" s="0" t="n">
        <f aca="false">K6*(1+L5/100)</f>
        <v>3419.24748676908</v>
      </c>
    </row>
    <row r="7" customFormat="false" ht="15" hidden="false" customHeight="false" outlineLevel="0" collapsed="false">
      <c r="A7" s="0" t="s">
        <v>102</v>
      </c>
      <c r="C7" s="4" t="n">
        <f aca="false">Assumptions!C28</f>
        <v>46</v>
      </c>
      <c r="D7" s="4" t="n">
        <f aca="false">Assumptions!D28</f>
        <v>46.5</v>
      </c>
      <c r="E7" s="4" t="n">
        <f aca="false">Assumptions!E28</f>
        <v>47</v>
      </c>
      <c r="F7" s="4" t="n">
        <f aca="false">Assumptions!F28</f>
        <v>47</v>
      </c>
      <c r="G7" s="4" t="n">
        <f aca="false">Assumptions!G28</f>
        <v>47</v>
      </c>
      <c r="H7" s="4" t="n">
        <f aca="false">Assumptions!H28</f>
        <v>47</v>
      </c>
      <c r="I7" s="4" t="n">
        <f aca="false">Assumptions!I28</f>
        <v>47</v>
      </c>
      <c r="J7" s="4" t="n">
        <f aca="false">Assumptions!J28</f>
        <v>47</v>
      </c>
      <c r="K7" s="4" t="n">
        <f aca="false">Assumptions!K28</f>
        <v>47</v>
      </c>
      <c r="L7" s="4" t="n">
        <f aca="false">Assumptions!L28</f>
        <v>47</v>
      </c>
    </row>
    <row r="8" customFormat="false" ht="15" hidden="false" customHeight="false" outlineLevel="0" collapsed="false">
      <c r="A8" s="0" t="s">
        <v>43</v>
      </c>
      <c r="C8" s="0" t="n">
        <f aca="false">C6*C7/100</f>
        <v>1014.56565</v>
      </c>
      <c r="D8" s="0" t="n">
        <f aca="false">D6*D7/100</f>
        <v>1097.385085125</v>
      </c>
      <c r="E8" s="0" t="n">
        <f aca="false">E6*E7/100</f>
        <v>1181.28194485875</v>
      </c>
      <c r="F8" s="0" t="n">
        <f aca="false">F6*F7/100</f>
        <v>1252.15886155028</v>
      </c>
      <c r="G8" s="0" t="n">
        <f aca="false">G6*G7/100</f>
        <v>1321.02759893554</v>
      </c>
      <c r="H8" s="0" t="n">
        <f aca="false">H6*H7/100</f>
        <v>1387.07897888232</v>
      </c>
      <c r="I8" s="0" t="n">
        <f aca="false">I6*I7/100</f>
        <v>1449.49753293202</v>
      </c>
      <c r="J8" s="0" t="n">
        <f aca="false">J6*J7/100</f>
        <v>1507.4774342493</v>
      </c>
      <c r="K8" s="0" t="n">
        <f aca="false">K6*K7/100</f>
        <v>1560.23914444803</v>
      </c>
      <c r="L8" s="0" t="n">
        <f aca="false">L6*L7/100</f>
        <v>1607.04631878147</v>
      </c>
    </row>
    <row r="9" customFormat="false" ht="15" hidden="false" customHeight="false" outlineLevel="0" collapsed="false">
      <c r="A9" s="0" t="s">
        <v>103</v>
      </c>
      <c r="C9" s="4" t="n">
        <f aca="false">Assumptions!C29</f>
        <v>5</v>
      </c>
      <c r="D9" s="4" t="n">
        <f aca="false">Assumptions!D29</f>
        <v>5</v>
      </c>
      <c r="E9" s="4" t="n">
        <f aca="false">Assumptions!E29</f>
        <v>4.9</v>
      </c>
      <c r="F9" s="4" t="n">
        <f aca="false">Assumptions!F29</f>
        <v>4.8</v>
      </c>
      <c r="G9" s="4" t="n">
        <f aca="false">Assumptions!G29</f>
        <v>4.7</v>
      </c>
      <c r="H9" s="4" t="n">
        <f aca="false">Assumptions!H29</f>
        <v>4.6</v>
      </c>
      <c r="I9" s="4" t="n">
        <f aca="false">Assumptions!I29</f>
        <v>4.5</v>
      </c>
      <c r="J9" s="4" t="n">
        <f aca="false">Assumptions!J29</f>
        <v>4.4</v>
      </c>
      <c r="K9" s="4" t="n">
        <f aca="false">Assumptions!K29</f>
        <v>4.2</v>
      </c>
      <c r="L9" s="4" t="n">
        <f aca="false">Assumptions!L29</f>
        <v>4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-110.278875</v>
      </c>
      <c r="D10" s="0" t="n">
        <f aca="false">-D6*D9/100</f>
        <v>-117.99839625</v>
      </c>
      <c r="E10" s="0" t="n">
        <f aca="false">-E6*E9/100</f>
        <v>-123.154926166125</v>
      </c>
      <c r="F10" s="0" t="n">
        <f aca="false">-F6*F9/100</f>
        <v>-127.88005394556</v>
      </c>
      <c r="G10" s="0" t="n">
        <f aca="false">-G6*G9/100</f>
        <v>-132.102759893554</v>
      </c>
      <c r="H10" s="0" t="n">
        <f aca="false">-H6*H9/100</f>
        <v>-135.756666018269</v>
      </c>
      <c r="I10" s="0" t="n">
        <f aca="false">-I6*I9/100</f>
        <v>-138.781678684981</v>
      </c>
      <c r="J10" s="0" t="n">
        <f aca="false">-J6*J9/100</f>
        <v>-141.125547036105</v>
      </c>
      <c r="K10" s="0" t="n">
        <f aca="false">-K6*K9/100</f>
        <v>-139.425625674079</v>
      </c>
      <c r="L10" s="0" t="n">
        <f aca="false">-L6*L9/100</f>
        <v>-136.769899470763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904.286775</v>
      </c>
      <c r="D11" s="0" t="n">
        <f aca="false">D8+D10+D24</f>
        <v>979.386688875</v>
      </c>
      <c r="E11" s="0" t="n">
        <f aca="false">E8+E10+E24</f>
        <v>1058.12701869263</v>
      </c>
      <c r="F11" s="0" t="n">
        <f aca="false">F8+F10+F24</f>
        <v>1124.27880760472</v>
      </c>
      <c r="G11" s="0" t="n">
        <f aca="false">G8+G10+G24</f>
        <v>1188.92483904199</v>
      </c>
      <c r="H11" s="0" t="n">
        <f aca="false">H8+H10+H24</f>
        <v>1251.32231286405</v>
      </c>
      <c r="I11" s="0" t="n">
        <f aca="false">I8+I10+I24</f>
        <v>1310.71585424704</v>
      </c>
      <c r="J11" s="0" t="n">
        <f aca="false">J8+J10+J24</f>
        <v>1366.3518872132</v>
      </c>
      <c r="K11" s="0" t="n">
        <f aca="false">K8+K10+K24</f>
        <v>1420.81351877395</v>
      </c>
      <c r="L11" s="0" t="n">
        <f aca="false">L8+L10+L24</f>
        <v>1470.27641931071</v>
      </c>
    </row>
    <row r="12" customFormat="false" ht="15" hidden="false" customHeight="false" outlineLevel="0" collapsed="false">
      <c r="A12" s="0" t="s">
        <v>120</v>
      </c>
      <c r="C12" s="4" t="n">
        <f aca="false">-C6*Assumptions!C31/100</f>
        <v>-202.91313</v>
      </c>
      <c r="D12" s="4" t="n">
        <f aca="false">-D6*Assumptions!D31/100</f>
        <v>-212.39711325</v>
      </c>
      <c r="E12" s="4" t="n">
        <f aca="false">-E6*Assumptions!E31/100</f>
        <v>-223.689559771125</v>
      </c>
      <c r="F12" s="4" t="n">
        <f aca="false">-F6*Assumptions!F31/100</f>
        <v>-234.44676556686</v>
      </c>
      <c r="G12" s="4" t="n">
        <f aca="false">-G6*Assumptions!G31/100</f>
        <v>-244.530640654026</v>
      </c>
      <c r="H12" s="4" t="n">
        <f aca="false">-H6*Assumptions!H31/100</f>
        <v>-253.805940816764</v>
      </c>
      <c r="I12" s="4" t="n">
        <f aca="false">-I6*Assumptions!I31/100</f>
        <v>-262.143170849408</v>
      </c>
      <c r="J12" s="4" t="n">
        <f aca="false">-J6*Assumptions!J31/100</f>
        <v>-272.628897683384</v>
      </c>
      <c r="K12" s="4" t="n">
        <f aca="false">-K6*Assumptions!K31/100</f>
        <v>-282.170909102303</v>
      </c>
      <c r="L12" s="4" t="n">
        <f aca="false">-L6*Assumptions!L31/100</f>
        <v>-290.636036375372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701.373645</v>
      </c>
      <c r="D13" s="0" t="n">
        <f aca="false">D11+D12</f>
        <v>766.989575625</v>
      </c>
      <c r="E13" s="0" t="n">
        <f aca="false">E11+E12</f>
        <v>834.4374589215</v>
      </c>
      <c r="F13" s="0" t="n">
        <f aca="false">F11+F12</f>
        <v>889.832042037855</v>
      </c>
      <c r="G13" s="0" t="n">
        <f aca="false">G11+G12</f>
        <v>944.39419838796</v>
      </c>
      <c r="H13" s="0" t="n">
        <f aca="false">H11+H12</f>
        <v>997.516372047283</v>
      </c>
      <c r="I13" s="0" t="n">
        <f aca="false">I11+I12</f>
        <v>1048.57268339763</v>
      </c>
      <c r="J13" s="0" t="n">
        <f aca="false">J11+J12</f>
        <v>1093.72298952981</v>
      </c>
      <c r="K13" s="0" t="n">
        <f aca="false">K11+K12</f>
        <v>1138.64260967165</v>
      </c>
      <c r="L13" s="0" t="n">
        <f aca="false">L11+L12</f>
        <v>1179.64038293533</v>
      </c>
    </row>
    <row r="14" customFormat="false" ht="15" hidden="false" customHeight="false" outlineLevel="0" collapsed="false">
      <c r="A14" s="0" t="s">
        <v>107</v>
      </c>
      <c r="C14" s="4" t="n">
        <f aca="false">Assumptions!C33</f>
        <v>24</v>
      </c>
      <c r="D14" s="4" t="n">
        <f aca="false">Assumptions!D33</f>
        <v>25</v>
      </c>
      <c r="E14" s="4" t="n">
        <f aca="false">Assumptions!E33</f>
        <v>25</v>
      </c>
      <c r="F14" s="4" t="n">
        <f aca="false">Assumptions!F33</f>
        <v>25</v>
      </c>
      <c r="G14" s="4" t="n">
        <f aca="false">Assumptions!G33</f>
        <v>25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533.0439702</v>
      </c>
      <c r="D15" s="0" t="n">
        <f aca="false">D13-MAX(0,D13)*D14/100</f>
        <v>575.24218171875</v>
      </c>
      <c r="E15" s="0" t="n">
        <f aca="false">E13-MAX(0,E13)*E14/100</f>
        <v>625.828094191125</v>
      </c>
      <c r="F15" s="0" t="n">
        <f aca="false">F13-MAX(0,F13)*F14/100</f>
        <v>667.374031528391</v>
      </c>
      <c r="G15" s="0" t="n">
        <f aca="false">G13-MAX(0,G13)*G14/100</f>
        <v>708.29564879097</v>
      </c>
      <c r="H15" s="0" t="n">
        <f aca="false">H13-MAX(0,H13)*H14/100</f>
        <v>748.137279035463</v>
      </c>
      <c r="I15" s="0" t="n">
        <f aca="false">I13-MAX(0,I13)*I14/100</f>
        <v>786.429512548224</v>
      </c>
      <c r="J15" s="0" t="n">
        <f aca="false">J13-MAX(0,J13)*J14/100</f>
        <v>820.29224214736</v>
      </c>
      <c r="K15" s="0" t="n">
        <f aca="false">K13-MAX(0,K13)*K14/100</f>
        <v>853.981957253734</v>
      </c>
      <c r="L15" s="0" t="n">
        <f aca="false">L13-MAX(0,L13)*L14/100</f>
        <v>884.7302872015</v>
      </c>
    </row>
    <row r="16" customFormat="false" ht="15" hidden="false" customHeight="false" outlineLevel="0" collapsed="false">
      <c r="A16" s="0" t="s">
        <v>123</v>
      </c>
      <c r="C16" s="0" t="n">
        <f aca="false">-C12</f>
        <v>202.91313</v>
      </c>
      <c r="D16" s="0" t="n">
        <f aca="false">-D12</f>
        <v>212.39711325</v>
      </c>
      <c r="E16" s="0" t="n">
        <f aca="false">-E12</f>
        <v>223.689559771125</v>
      </c>
      <c r="F16" s="0" t="n">
        <f aca="false">-F12</f>
        <v>234.44676556686</v>
      </c>
      <c r="G16" s="0" t="n">
        <f aca="false">-G12</f>
        <v>244.530640654026</v>
      </c>
      <c r="H16" s="0" t="n">
        <f aca="false">-H12</f>
        <v>253.805940816764</v>
      </c>
      <c r="I16" s="0" t="n">
        <f aca="false">-I12</f>
        <v>262.143170849408</v>
      </c>
      <c r="J16" s="0" t="n">
        <f aca="false">-J12</f>
        <v>272.628897683384</v>
      </c>
      <c r="K16" s="0" t="n">
        <f aca="false">-K12</f>
        <v>282.170909102303</v>
      </c>
      <c r="L16" s="0" t="n">
        <f aca="false">-L12</f>
        <v>290.636036375372</v>
      </c>
    </row>
    <row r="17" customFormat="false" ht="15" hidden="false" customHeight="false" outlineLevel="0" collapsed="false">
      <c r="A17" s="0" t="s">
        <v>124</v>
      </c>
      <c r="C17" s="4" t="n">
        <f aca="false">-C6*Assumptions!C32/100</f>
        <v>-176.4462</v>
      </c>
      <c r="D17" s="4" t="n">
        <f aca="false">-D6*Assumptions!D32/100</f>
        <v>-200.597273625</v>
      </c>
      <c r="E17" s="4" t="n">
        <f aca="false">-E6*Assumptions!E32/100</f>
        <v>-213.636096410625</v>
      </c>
      <c r="F17" s="4" t="n">
        <f aca="false">-F6*Assumptions!F32/100</f>
        <v>-226.454262195263</v>
      </c>
      <c r="G17" s="4" t="n">
        <f aca="false">-G6*Assumptions!G32/100</f>
        <v>-238.909246616002</v>
      </c>
      <c r="H17" s="4" t="n">
        <f aca="false">-H6*Assumptions!H32/100</f>
        <v>-250.854708946802</v>
      </c>
      <c r="I17" s="4" t="n">
        <f aca="false">-I6*Assumptions!I32/100</f>
        <v>-262.143170849408</v>
      </c>
      <c r="J17" s="4" t="n">
        <f aca="false">-J6*Assumptions!J32/100</f>
        <v>-272.628897683384</v>
      </c>
      <c r="K17" s="4" t="n">
        <f aca="false">-K6*Assumptions!K32/100</f>
        <v>-282.170909102303</v>
      </c>
      <c r="L17" s="4" t="n">
        <f aca="false">-L6*Assumptions!L32/100</f>
        <v>-290.636036375372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(C6-B6)*Assumptions!$B$37/100</f>
        <v>-76.93875</v>
      </c>
      <c r="D18" s="4" t="n">
        <f aca="false">(D6-C6)*Assumptions!$B$37/100</f>
        <v>-77.1952125</v>
      </c>
      <c r="E18" s="4" t="n">
        <f aca="false">(E6-D6)*Assumptions!$B$37/100</f>
        <v>-76.6989575625</v>
      </c>
      <c r="F18" s="4" t="n">
        <f aca="false">(F6-E6)*Assumptions!$B$37/100</f>
        <v>-75.40097520375</v>
      </c>
      <c r="G18" s="4" t="n">
        <f aca="false">(G6-F6)*Assumptions!$B$37/100</f>
        <v>-73.2646142396436</v>
      </c>
      <c r="H18" s="4" t="n">
        <f aca="false">(H6-G6)*Assumptions!$B$37/100</f>
        <v>-70.2674254752947</v>
      </c>
      <c r="I18" s="4" t="n">
        <f aca="false">(I6-H6)*Assumptions!$B$37/100</f>
        <v>-66.4027170741533</v>
      </c>
      <c r="J18" s="4" t="n">
        <f aca="false">(J6-I6)*Assumptions!$B$37/100</f>
        <v>-61.6807460822138</v>
      </c>
      <c r="K18" s="4" t="n">
        <f aca="false">(K6-J6)*Assumptions!$B$37/100</f>
        <v>-56.1294789348144</v>
      </c>
      <c r="L18" s="4" t="n">
        <f aca="false">(L6-K6)*Assumptions!$B$37/100</f>
        <v>-49.7948663121711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482.5721502</v>
      </c>
      <c r="D19" s="0" t="n">
        <f aca="false">D15+D16+D17+D18</f>
        <v>509.84680884375</v>
      </c>
      <c r="E19" s="0" t="n">
        <f aca="false">E15+E16+E17+E18</f>
        <v>559.182599989125</v>
      </c>
      <c r="F19" s="0" t="n">
        <f aca="false">F15+F16+F17+F18</f>
        <v>599.965559696239</v>
      </c>
      <c r="G19" s="0" t="n">
        <f aca="false">G15+G16+G17+G18</f>
        <v>640.65242858935</v>
      </c>
      <c r="H19" s="0" t="n">
        <f aca="false">H15+H16+H17+H18</f>
        <v>680.82108543013</v>
      </c>
      <c r="I19" s="0" t="n">
        <f aca="false">I15+I16+I17+I18</f>
        <v>720.026795474071</v>
      </c>
      <c r="J19" s="0" t="n">
        <f aca="false">J15+J16+J17+J18</f>
        <v>758.611496065146</v>
      </c>
      <c r="K19" s="0" t="n">
        <f aca="false">K15+K16+K17+K18</f>
        <v>797.85247831892</v>
      </c>
      <c r="L19" s="0" t="n">
        <f aca="false">L15+L16+L17+L18</f>
        <v>834.935420889329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442.726743302752</v>
      </c>
      <c r="D21" s="0" t="n">
        <f aca="false">D19*D20</f>
        <v>429.127858634584</v>
      </c>
      <c r="E21" s="0" t="n">
        <f aca="false">E19*E20</f>
        <v>431.791566049197</v>
      </c>
      <c r="F21" s="0" t="n">
        <f aca="false">F19*F20</f>
        <v>425.030728259657</v>
      </c>
      <c r="G21" s="0" t="n">
        <f aca="false">G19*G20</f>
        <v>416.380121048478</v>
      </c>
      <c r="H21" s="0" t="n">
        <f aca="false">H19*H20</f>
        <v>405.95136869243</v>
      </c>
      <c r="I21" s="0" t="n">
        <f aca="false">I19*I20</f>
        <v>393.879314329112</v>
      </c>
      <c r="J21" s="0" t="n">
        <f aca="false">J19*J20</f>
        <v>380.721529247207</v>
      </c>
      <c r="K21" s="0" t="n">
        <f aca="false">K19*K20</f>
        <v>367.353444973958</v>
      </c>
      <c r="L21" s="0" t="n">
        <f aca="false">L19*L20</f>
        <v>352.685744843653</v>
      </c>
    </row>
    <row r="23" customFormat="false" ht="15" hidden="false" customHeight="false" outlineLevel="0" collapsed="false">
      <c r="A23" s="0" t="s">
        <v>104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109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110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4045.64841938103</v>
      </c>
    </row>
    <row r="31" customFormat="false" ht="15" hidden="false" customHeight="false" outlineLevel="0" collapsed="false">
      <c r="A31" s="0" t="s">
        <v>132</v>
      </c>
      <c r="B31" s="0" t="n">
        <f aca="false">L19</f>
        <v>834.935420889329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14333.0580586001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16698.7084177866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14333.0580586001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6054.43861981605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10100.0870391971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9398.08703919707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208.198649516993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-0.0847204048138516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821.69981596951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991.771268372033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248.373020016363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7166.52902930007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91.9366372481466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Assumptions!C41</f>
        <v>8</v>
      </c>
      <c r="D5" s="4" t="n">
        <f aca="false">Assumptions!D41</f>
        <v>9</v>
      </c>
      <c r="E5" s="4" t="n">
        <f aca="false">Assumptions!E41</f>
        <v>9.5</v>
      </c>
      <c r="F5" s="4" t="n">
        <f aca="false">Assumptions!F41</f>
        <v>9</v>
      </c>
      <c r="G5" s="4" t="n">
        <f aca="false">Assumptions!G41</f>
        <v>8</v>
      </c>
      <c r="H5" s="4" t="n">
        <f aca="false">Assumptions!H41</f>
        <v>7</v>
      </c>
      <c r="I5" s="4" t="n">
        <f aca="false">Assumptions!I41</f>
        <v>6</v>
      </c>
      <c r="J5" s="4" t="n">
        <f aca="false">Assumptions!J41</f>
        <v>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2051.7</v>
      </c>
      <c r="C6" s="0" t="n">
        <f aca="false">B6*(1+C5/100)</f>
        <v>2215.836</v>
      </c>
      <c r="D6" s="0" t="n">
        <f aca="false">C6*(1+D5/100)</f>
        <v>2415.26124</v>
      </c>
      <c r="E6" s="0" t="n">
        <f aca="false">D6*(1+E5/100)</f>
        <v>2644.7110578</v>
      </c>
      <c r="F6" s="0" t="n">
        <f aca="false">E6*(1+F5/100)</f>
        <v>2882.735053002</v>
      </c>
      <c r="G6" s="0" t="n">
        <f aca="false">F6*(1+G5/100)</f>
        <v>3113.35385724216</v>
      </c>
      <c r="H6" s="0" t="n">
        <f aca="false">G6*(1+H5/100)</f>
        <v>3331.28862724911</v>
      </c>
      <c r="I6" s="0" t="n">
        <f aca="false">H6*(1+I5/100)</f>
        <v>3531.16594488406</v>
      </c>
      <c r="J6" s="0" t="n">
        <f aca="false">I6*(1+J5/100)</f>
        <v>3707.72424212826</v>
      </c>
      <c r="K6" s="0" t="n">
        <f aca="false">J6*(1+K5/100)</f>
        <v>3856.03321181339</v>
      </c>
      <c r="L6" s="0" t="n">
        <f aca="false">K6*(1+L5/100)</f>
        <v>3990.99437422686</v>
      </c>
    </row>
    <row r="7" customFormat="false" ht="15" hidden="false" customHeight="false" outlineLevel="0" collapsed="false">
      <c r="A7" s="0" t="s">
        <v>102</v>
      </c>
      <c r="C7" s="4" t="n">
        <f aca="false">Assumptions!C42</f>
        <v>46.5</v>
      </c>
      <c r="D7" s="4" t="n">
        <f aca="false">Assumptions!D42</f>
        <v>47.5</v>
      </c>
      <c r="E7" s="4" t="n">
        <f aca="false">Assumptions!E42</f>
        <v>48.5</v>
      </c>
      <c r="F7" s="4" t="n">
        <f aca="false">Assumptions!F42</f>
        <v>49</v>
      </c>
      <c r="G7" s="4" t="n">
        <f aca="false">Assumptions!G42</f>
        <v>49.5</v>
      </c>
      <c r="H7" s="4" t="n">
        <f aca="false">Assumptions!H42</f>
        <v>50</v>
      </c>
      <c r="I7" s="4" t="n">
        <f aca="false">Assumptions!I42</f>
        <v>50</v>
      </c>
      <c r="J7" s="4" t="n">
        <f aca="false">Assumptions!J42</f>
        <v>50</v>
      </c>
      <c r="K7" s="4" t="n">
        <f aca="false">Assumptions!K42</f>
        <v>50</v>
      </c>
      <c r="L7" s="4" t="n">
        <f aca="false">Assumptions!L42</f>
        <v>50</v>
      </c>
    </row>
    <row r="8" customFormat="false" ht="15" hidden="false" customHeight="false" outlineLevel="0" collapsed="false">
      <c r="A8" s="0" t="s">
        <v>43</v>
      </c>
      <c r="C8" s="0" t="n">
        <f aca="false">C6*C7/100</f>
        <v>1030.36374</v>
      </c>
      <c r="D8" s="0" t="n">
        <f aca="false">D6*D7/100</f>
        <v>1147.249089</v>
      </c>
      <c r="E8" s="0" t="n">
        <f aca="false">E6*E7/100</f>
        <v>1282.684863033</v>
      </c>
      <c r="F8" s="0" t="n">
        <f aca="false">F6*F7/100</f>
        <v>1412.54017597098</v>
      </c>
      <c r="G8" s="0" t="n">
        <f aca="false">G6*G7/100</f>
        <v>1541.11015933487</v>
      </c>
      <c r="H8" s="0" t="n">
        <f aca="false">H6*H7/100</f>
        <v>1665.64431362456</v>
      </c>
      <c r="I8" s="0" t="n">
        <f aca="false">I6*I7/100</f>
        <v>1765.58297244203</v>
      </c>
      <c r="J8" s="0" t="n">
        <f aca="false">J6*J7/100</f>
        <v>1853.86212106413</v>
      </c>
      <c r="K8" s="0" t="n">
        <f aca="false">K6*K7/100</f>
        <v>1928.0166059067</v>
      </c>
      <c r="L8" s="0" t="n">
        <f aca="false">L6*L7/100</f>
        <v>1995.49718711343</v>
      </c>
    </row>
    <row r="9" customFormat="false" ht="15" hidden="false" customHeight="false" outlineLevel="0" collapsed="false">
      <c r="A9" s="0" t="s">
        <v>103</v>
      </c>
      <c r="C9" s="4" t="n">
        <f aca="false">Assumptions!C43</f>
        <v>5</v>
      </c>
      <c r="D9" s="4" t="n">
        <f aca="false">Assumptions!D43</f>
        <v>5</v>
      </c>
      <c r="E9" s="4" t="n">
        <f aca="false">Assumptions!E43</f>
        <v>4.9</v>
      </c>
      <c r="F9" s="4" t="n">
        <f aca="false">Assumptions!F43</f>
        <v>4.8</v>
      </c>
      <c r="G9" s="4" t="n">
        <f aca="false">Assumptions!G43</f>
        <v>4.7</v>
      </c>
      <c r="H9" s="4" t="n">
        <f aca="false">Assumptions!H43</f>
        <v>4.6</v>
      </c>
      <c r="I9" s="4" t="n">
        <f aca="false">Assumptions!I43</f>
        <v>4.5</v>
      </c>
      <c r="J9" s="4" t="n">
        <f aca="false">Assumptions!J43</f>
        <v>4.4</v>
      </c>
      <c r="K9" s="4" t="n">
        <f aca="false">Assumptions!K43</f>
        <v>4.2</v>
      </c>
      <c r="L9" s="4" t="n">
        <f aca="false">Assumptions!L43</f>
        <v>4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-110.7918</v>
      </c>
      <c r="D10" s="0" t="n">
        <f aca="false">-D6*D9/100</f>
        <v>-120.763062</v>
      </c>
      <c r="E10" s="0" t="n">
        <f aca="false">-E6*E9/100</f>
        <v>-129.5908418322</v>
      </c>
      <c r="F10" s="0" t="n">
        <f aca="false">-F6*F9/100</f>
        <v>-138.371282544096</v>
      </c>
      <c r="G10" s="0" t="n">
        <f aca="false">-G6*G9/100</f>
        <v>-146.327631290382</v>
      </c>
      <c r="H10" s="0" t="n">
        <f aca="false">-H6*H9/100</f>
        <v>-153.239276853459</v>
      </c>
      <c r="I10" s="0" t="n">
        <f aca="false">-I6*I9/100</f>
        <v>-158.902467519783</v>
      </c>
      <c r="J10" s="0" t="n">
        <f aca="false">-J6*J9/100</f>
        <v>-163.139866653644</v>
      </c>
      <c r="K10" s="0" t="n">
        <f aca="false">-K6*K9/100</f>
        <v>-161.953394896162</v>
      </c>
      <c r="L10" s="0" t="n">
        <f aca="false">-L6*L9/100</f>
        <v>-159.639774969074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919.57194</v>
      </c>
      <c r="D11" s="0" t="n">
        <f aca="false">D8+D10+D24</f>
        <v>1026.486027</v>
      </c>
      <c r="E11" s="0" t="n">
        <f aca="false">E8+E10+E24</f>
        <v>1153.0940212008</v>
      </c>
      <c r="F11" s="0" t="n">
        <f aca="false">F8+F10+F24</f>
        <v>1274.16889342688</v>
      </c>
      <c r="G11" s="0" t="n">
        <f aca="false">G8+G10+G24</f>
        <v>1394.78252804449</v>
      </c>
      <c r="H11" s="0" t="n">
        <f aca="false">H8+H10+H24</f>
        <v>1512.4050367711</v>
      </c>
      <c r="I11" s="0" t="n">
        <f aca="false">I8+I10+I24</f>
        <v>1606.68050492225</v>
      </c>
      <c r="J11" s="0" t="n">
        <f aca="false">J8+J10+J24</f>
        <v>1690.72225441049</v>
      </c>
      <c r="K11" s="0" t="n">
        <f aca="false">K8+K10+K24</f>
        <v>1766.06321101053</v>
      </c>
      <c r="L11" s="0" t="n">
        <f aca="false">L8+L10+L24</f>
        <v>1835.85741214436</v>
      </c>
    </row>
    <row r="12" customFormat="false" ht="15" hidden="false" customHeight="false" outlineLevel="0" collapsed="false">
      <c r="A12" s="0" t="s">
        <v>120</v>
      </c>
      <c r="C12" s="4" t="n">
        <f aca="false">-C6*Assumptions!C45/100</f>
        <v>-203.856912</v>
      </c>
      <c r="D12" s="4" t="n">
        <f aca="false">-D6*Assumptions!D45/100</f>
        <v>-217.3735116</v>
      </c>
      <c r="E12" s="4" t="n">
        <f aca="false">-E6*Assumptions!E45/100</f>
        <v>-235.3792841442</v>
      </c>
      <c r="F12" s="4" t="n">
        <f aca="false">-F6*Assumptions!F45/100</f>
        <v>-253.680684664176</v>
      </c>
      <c r="G12" s="4" t="n">
        <f aca="false">-G6*Assumptions!G45/100</f>
        <v>-270.861785580068</v>
      </c>
      <c r="H12" s="4" t="n">
        <f aca="false">-H6*Assumptions!H45/100</f>
        <v>-286.490821943424</v>
      </c>
      <c r="I12" s="4" t="n">
        <f aca="false">-I6*Assumptions!I45/100</f>
        <v>-300.149105315145</v>
      </c>
      <c r="J12" s="4" t="n">
        <f aca="false">-J6*Assumptions!J45/100</f>
        <v>-315.156560580902</v>
      </c>
      <c r="K12" s="4" t="n">
        <f aca="false">-K6*Assumptions!K45/100</f>
        <v>-327.762823004138</v>
      </c>
      <c r="L12" s="4" t="n">
        <f aca="false">-L6*Assumptions!L45/100</f>
        <v>-339.234521809283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715.715028</v>
      </c>
      <c r="D13" s="0" t="n">
        <f aca="false">D11+D12</f>
        <v>809.1125154</v>
      </c>
      <c r="E13" s="0" t="n">
        <f aca="false">E11+E12</f>
        <v>917.7147370566</v>
      </c>
      <c r="F13" s="0" t="n">
        <f aca="false">F11+F12</f>
        <v>1020.48820876271</v>
      </c>
      <c r="G13" s="0" t="n">
        <f aca="false">G11+G12</f>
        <v>1123.92074246442</v>
      </c>
      <c r="H13" s="0" t="n">
        <f aca="false">H11+H12</f>
        <v>1225.91421482767</v>
      </c>
      <c r="I13" s="0" t="n">
        <f aca="false">I11+I12</f>
        <v>1306.5313996071</v>
      </c>
      <c r="J13" s="0" t="n">
        <f aca="false">J11+J12</f>
        <v>1375.56569382958</v>
      </c>
      <c r="K13" s="0" t="n">
        <f aca="false">K11+K12</f>
        <v>1438.3003880064</v>
      </c>
      <c r="L13" s="0" t="n">
        <f aca="false">L11+L12</f>
        <v>1496.62289033507</v>
      </c>
    </row>
    <row r="14" customFormat="false" ht="15" hidden="false" customHeight="false" outlineLevel="0" collapsed="false">
      <c r="A14" s="0" t="s">
        <v>107</v>
      </c>
      <c r="C14" s="4" t="n">
        <f aca="false">Assumptions!C47</f>
        <v>24</v>
      </c>
      <c r="D14" s="4" t="n">
        <f aca="false">Assumptions!D47</f>
        <v>25</v>
      </c>
      <c r="E14" s="4" t="n">
        <f aca="false">Assumptions!E47</f>
        <v>25</v>
      </c>
      <c r="F14" s="4" t="n">
        <f aca="false">Assumptions!F47</f>
        <v>25</v>
      </c>
      <c r="G14" s="4" t="n">
        <f aca="false">Assumptions!G47</f>
        <v>25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543.94342128</v>
      </c>
      <c r="D15" s="0" t="n">
        <f aca="false">D13-MAX(0,D13)*D14/100</f>
        <v>606.83438655</v>
      </c>
      <c r="E15" s="0" t="n">
        <f aca="false">E13-MAX(0,E13)*E14/100</f>
        <v>688.28605279245</v>
      </c>
      <c r="F15" s="0" t="n">
        <f aca="false">F13-MAX(0,F13)*F14/100</f>
        <v>765.366156572031</v>
      </c>
      <c r="G15" s="0" t="n">
        <f aca="false">G13-MAX(0,G13)*G14/100</f>
        <v>842.940556848315</v>
      </c>
      <c r="H15" s="0" t="n">
        <f aca="false">H13-MAX(0,H13)*H14/100</f>
        <v>919.435661120755</v>
      </c>
      <c r="I15" s="0" t="n">
        <f aca="false">I13-MAX(0,I13)*I14/100</f>
        <v>979.898549705326</v>
      </c>
      <c r="J15" s="0" t="n">
        <f aca="false">J13-MAX(0,J13)*J14/100</f>
        <v>1031.67427037219</v>
      </c>
      <c r="K15" s="0" t="n">
        <f aca="false">K13-MAX(0,K13)*K14/100</f>
        <v>1078.7252910048</v>
      </c>
      <c r="L15" s="0" t="n">
        <f aca="false">L13-MAX(0,L13)*L14/100</f>
        <v>1122.4671677513</v>
      </c>
    </row>
    <row r="16" customFormat="false" ht="15" hidden="false" customHeight="false" outlineLevel="0" collapsed="false">
      <c r="A16" s="0" t="s">
        <v>123</v>
      </c>
      <c r="C16" s="0" t="n">
        <f aca="false">-C12</f>
        <v>203.856912</v>
      </c>
      <c r="D16" s="0" t="n">
        <f aca="false">-D12</f>
        <v>217.3735116</v>
      </c>
      <c r="E16" s="0" t="n">
        <f aca="false">-E12</f>
        <v>235.3792841442</v>
      </c>
      <c r="F16" s="0" t="n">
        <f aca="false">-F12</f>
        <v>253.680684664176</v>
      </c>
      <c r="G16" s="0" t="n">
        <f aca="false">-G12</f>
        <v>270.861785580068</v>
      </c>
      <c r="H16" s="0" t="n">
        <f aca="false">-H12</f>
        <v>286.490821943424</v>
      </c>
      <c r="I16" s="0" t="n">
        <f aca="false">-I12</f>
        <v>300.149105315145</v>
      </c>
      <c r="J16" s="0" t="n">
        <f aca="false">-J12</f>
        <v>315.156560580902</v>
      </c>
      <c r="K16" s="0" t="n">
        <f aca="false">-K12</f>
        <v>327.762823004138</v>
      </c>
      <c r="L16" s="0" t="n">
        <f aca="false">-L12</f>
        <v>339.234521809283</v>
      </c>
    </row>
    <row r="17" customFormat="false" ht="15" hidden="false" customHeight="false" outlineLevel="0" collapsed="false">
      <c r="A17" s="0" t="s">
        <v>124</v>
      </c>
      <c r="C17" s="4" t="n">
        <f aca="false">-C6*Assumptions!C46/100</f>
        <v>-177.26688</v>
      </c>
      <c r="D17" s="4" t="n">
        <f aca="false">-D6*Assumptions!D46/100</f>
        <v>-205.2972054</v>
      </c>
      <c r="E17" s="4" t="n">
        <f aca="false">-E6*Assumptions!E46/100</f>
        <v>-238.023995202</v>
      </c>
      <c r="F17" s="4" t="n">
        <f aca="false">-F6*Assumptions!F46/100</f>
        <v>-259.44615477018</v>
      </c>
      <c r="G17" s="4" t="n">
        <f aca="false">-G6*Assumptions!G46/100</f>
        <v>-280.201847151794</v>
      </c>
      <c r="H17" s="4" t="n">
        <f aca="false">-H6*Assumptions!H46/100</f>
        <v>-299.81597645242</v>
      </c>
      <c r="I17" s="4" t="n">
        <f aca="false">-I6*Assumptions!I46/100</f>
        <v>-300.149105315145</v>
      </c>
      <c r="J17" s="4" t="n">
        <f aca="false">-J6*Assumptions!J46/100</f>
        <v>-315.156560580902</v>
      </c>
      <c r="K17" s="4" t="n">
        <f aca="false">-K6*Assumptions!K46/100</f>
        <v>-327.762823004138</v>
      </c>
      <c r="L17" s="4" t="n">
        <f aca="false">-L6*Assumptions!L46/100</f>
        <v>-339.234521809283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(C6-B6)*Assumptions!$B$51/100</f>
        <v>-82.068</v>
      </c>
      <c r="D18" s="4" t="n">
        <f aca="false">(D6-C6)*Assumptions!$B$51/100</f>
        <v>-99.71262</v>
      </c>
      <c r="E18" s="4" t="n">
        <f aca="false">(E6-D6)*Assumptions!$B$51/100</f>
        <v>-114.7249089</v>
      </c>
      <c r="F18" s="4" t="n">
        <f aca="false">(F6-E6)*Assumptions!$B$51/100</f>
        <v>-119.011997601</v>
      </c>
      <c r="G18" s="4" t="n">
        <f aca="false">(G6-F6)*Assumptions!$B$51/100</f>
        <v>-115.30940212008</v>
      </c>
      <c r="H18" s="4" t="n">
        <f aca="false">(H6-G6)*Assumptions!$B$51/100</f>
        <v>-108.967385003476</v>
      </c>
      <c r="I18" s="4" t="n">
        <f aca="false">(I6-H6)*Assumptions!$B$51/100</f>
        <v>-99.9386588174734</v>
      </c>
      <c r="J18" s="4" t="n">
        <f aca="false">(J6-I6)*Assumptions!$B$51/100</f>
        <v>-88.2791486221015</v>
      </c>
      <c r="K18" s="4" t="n">
        <f aca="false">(K6-J6)*Assumptions!$B$51/100</f>
        <v>-74.1544848425654</v>
      </c>
      <c r="L18" s="4" t="n">
        <f aca="false">(L6-K6)*Assumptions!$B$51/100</f>
        <v>-67.4805812067343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488.46545328</v>
      </c>
      <c r="D19" s="0" t="n">
        <f aca="false">D15+D16+D17+D18</f>
        <v>519.19807275</v>
      </c>
      <c r="E19" s="0" t="n">
        <f aca="false">E15+E16+E17+E18</f>
        <v>570.91643283465</v>
      </c>
      <c r="F19" s="0" t="n">
        <f aca="false">F15+F16+F17+F18</f>
        <v>640.588688865027</v>
      </c>
      <c r="G19" s="0" t="n">
        <f aca="false">G15+G16+G17+G18</f>
        <v>718.291093156508</v>
      </c>
      <c r="H19" s="0" t="n">
        <f aca="false">H15+H16+H17+H18</f>
        <v>797.143121608282</v>
      </c>
      <c r="I19" s="0" t="n">
        <f aca="false">I15+I16+I17+I18</f>
        <v>879.959890887853</v>
      </c>
      <c r="J19" s="0" t="n">
        <f aca="false">J15+J16+J17+J18</f>
        <v>943.395121750087</v>
      </c>
      <c r="K19" s="0" t="n">
        <f aca="false">K15+K16+K17+K18</f>
        <v>1004.57080616223</v>
      </c>
      <c r="L19" s="0" t="n">
        <f aca="false">L15+L16+L17+L18</f>
        <v>1054.98658654457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448.133443376147</v>
      </c>
      <c r="D21" s="0" t="n">
        <f aca="false">D19*D20</f>
        <v>436.998630376231</v>
      </c>
      <c r="E21" s="0" t="n">
        <f aca="false">E19*E20</f>
        <v>440.852237930309</v>
      </c>
      <c r="F21" s="0" t="n">
        <f aca="false">F19*F20</f>
        <v>453.809177115184</v>
      </c>
      <c r="G21" s="0" t="n">
        <f aca="false">G19*G20</f>
        <v>466.839925940963</v>
      </c>
      <c r="H21" s="0" t="n">
        <f aca="false">H19*H20</f>
        <v>475.310398261524</v>
      </c>
      <c r="I21" s="0" t="n">
        <f aca="false">I19*I20</f>
        <v>481.368194404244</v>
      </c>
      <c r="J21" s="0" t="n">
        <f aca="false">J19*J20</f>
        <v>473.458200014154</v>
      </c>
      <c r="K21" s="0" t="n">
        <f aca="false">K19*K20</f>
        <v>462.532305648176</v>
      </c>
      <c r="L21" s="0" t="n">
        <f aca="false">L19*L20</f>
        <v>445.63773528642</v>
      </c>
    </row>
    <row r="23" customFormat="false" ht="15" hidden="false" customHeight="false" outlineLevel="0" collapsed="false">
      <c r="A23" s="0" t="s">
        <v>104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109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110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4584.94024835335</v>
      </c>
    </row>
    <row r="31" customFormat="false" ht="15" hidden="false" customHeight="false" outlineLevel="0" collapsed="false">
      <c r="A31" s="0" t="s">
        <v>132</v>
      </c>
      <c r="B31" s="0" t="n">
        <f aca="false">L19</f>
        <v>1054.98658654457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18110.6030690151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21099.7317308914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18110.6030690151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7650.11445575022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12235.0547041036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11533.0547041036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255.495230485236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0.123204072999676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898.656710356039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1157.60955236755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301.048315614248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9055.30153450756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110.381221767998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2" t="s">
        <v>149</v>
      </c>
      <c r="B3" s="2" t="s">
        <v>150</v>
      </c>
      <c r="C3" s="2" t="s">
        <v>140</v>
      </c>
      <c r="D3" s="2" t="s">
        <v>151</v>
      </c>
      <c r="E3" s="2" t="s">
        <v>143</v>
      </c>
      <c r="F3" s="2" t="s">
        <v>152</v>
      </c>
    </row>
    <row r="4" customFormat="false" ht="15" hidden="false" customHeight="false" outlineLevel="0" collapsed="false">
      <c r="A4" s="0" t="s">
        <v>153</v>
      </c>
      <c r="B4" s="4" t="n">
        <f aca="false">DCF_Bear!$B$38</f>
        <v>131.11588849307</v>
      </c>
      <c r="C4" s="0" t="n">
        <f aca="false">B4/Assumptions!$B$2-1</f>
        <v>-0.42359041415101</v>
      </c>
      <c r="D4" s="4" t="n">
        <f aca="false">Assumptions!$B$24</f>
        <v>0.25</v>
      </c>
      <c r="E4" s="4" t="n">
        <f aca="false">DCF_Bear!$B$43</f>
        <v>170.180200171963</v>
      </c>
      <c r="F4" s="4" t="n">
        <f aca="false">DCF_Bear!$B$47</f>
        <v>63.6032096321197</v>
      </c>
    </row>
    <row r="5" customFormat="false" ht="15" hidden="false" customHeight="false" outlineLevel="0" collapsed="false">
      <c r="A5" s="0" t="s">
        <v>154</v>
      </c>
      <c r="B5" s="4" t="n">
        <f aca="false">DCF_Base!$B$38</f>
        <v>208.198649516993</v>
      </c>
      <c r="C5" s="0" t="n">
        <f aca="false">B5/Assumptions!$B$2-1</f>
        <v>-0.0847204048138516</v>
      </c>
      <c r="D5" s="4" t="n">
        <f aca="false">Assumptions!$B$38</f>
        <v>0.5</v>
      </c>
      <c r="E5" s="4" t="n">
        <f aca="false">DCF_Base!$B$43</f>
        <v>248.373020016363</v>
      </c>
      <c r="F5" s="4" t="n">
        <f aca="false">DCF_Base!$B$47</f>
        <v>91.9366372481466</v>
      </c>
    </row>
    <row r="6" customFormat="false" ht="15" hidden="false" customHeight="false" outlineLevel="0" collapsed="false">
      <c r="A6" s="0" t="s">
        <v>155</v>
      </c>
      <c r="B6" s="4" t="n">
        <f aca="false">DCF_Bull!$B$38</f>
        <v>255.495230485236</v>
      </c>
      <c r="C6" s="0" t="n">
        <f aca="false">B6/Assumptions!$B$2-1</f>
        <v>0.123204072999676</v>
      </c>
      <c r="D6" s="4" t="n">
        <f aca="false">Assumptions!$B$52</f>
        <v>0.25</v>
      </c>
      <c r="E6" s="4" t="n">
        <f aca="false">DCF_Bull!$B$43</f>
        <v>301.048315614248</v>
      </c>
      <c r="F6" s="4" t="n">
        <f aca="false">DCF_Bull!$B$47</f>
        <v>110.381221767998</v>
      </c>
    </row>
    <row r="8" customFormat="false" ht="15" hidden="false" customHeight="false" outlineLevel="0" collapsed="false">
      <c r="A8" s="0" t="s">
        <v>156</v>
      </c>
      <c r="B8" s="0" t="n">
        <f aca="false">SUMPRODUCT(B4:B6,D4:D6)</f>
        <v>200.752104503073</v>
      </c>
    </row>
    <row r="9" customFormat="false" ht="15" hidden="false" customHeight="false" outlineLevel="0" collapsed="false">
      <c r="A9" s="0" t="s">
        <v>157</v>
      </c>
      <c r="B9" s="0" t="n">
        <f aca="false">SUMPRODUCT(E4:E6,D4:D6)</f>
        <v>241.993638954734</v>
      </c>
    </row>
    <row r="10" customFormat="false" ht="15" hidden="false" customHeight="false" outlineLevel="0" collapsed="false">
      <c r="A10" s="0" t="s">
        <v>158</v>
      </c>
      <c r="B10" s="0" t="n">
        <f aca="false">1-Assumptions!$B$2/B8</f>
        <v>-0.133088993328674</v>
      </c>
    </row>
    <row r="11" customFormat="false" ht="15" hidden="false" customHeight="false" outlineLevel="0" collapsed="false">
      <c r="A11" s="0" t="s">
        <v>159</v>
      </c>
      <c r="B11" s="0" t="n">
        <f aca="false">IF(ABS(B9-B8)&gt;0.01*ABS(B8),(Assumptions!$B$2-B8)/(B9-B8)*100,"n/a")</f>
        <v>64.7839510633212</v>
      </c>
    </row>
    <row r="12" customFormat="false" ht="15" hidden="false" customHeight="false" outlineLevel="0" collapsed="false">
      <c r="A12" s="0" t="s">
        <v>160</v>
      </c>
      <c r="B12" s="0" t="n">
        <f aca="false">SUMPRODUCT(F4:F6,D4:D6)</f>
        <v>89.4644264741027</v>
      </c>
    </row>
    <row r="14" customFormat="false" ht="15" hidden="false" customHeight="false" outlineLevel="0" collapsed="false">
      <c r="A14" s="2" t="s">
        <v>161</v>
      </c>
      <c r="C14" s="0" t="s">
        <v>162</v>
      </c>
    </row>
    <row r="15" customFormat="false" ht="15" hidden="false" customHeight="false" outlineLevel="0" collapsed="false">
      <c r="A15" s="0" t="s">
        <v>163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208.198649516993</v>
      </c>
      <c r="C15" s="3" t="n">
        <v>9</v>
      </c>
    </row>
    <row r="16" customFormat="false" ht="15" hidden="false" customHeight="false" outlineLevel="0" collapsed="false">
      <c r="A16" s="0" t="s">
        <v>164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174.79642105308</v>
      </c>
      <c r="C16" s="3" t="n">
        <v>10</v>
      </c>
    </row>
    <row r="17" customFormat="false" ht="15" hidden="false" customHeight="false" outlineLevel="0" collapsed="false">
      <c r="A17" s="0" t="s">
        <v>165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149.815675614315</v>
      </c>
      <c r="C17" s="3" t="n">
        <v>11</v>
      </c>
    </row>
    <row r="18" customFormat="false" ht="15" hidden="false" customHeight="false" outlineLevel="0" collapsed="false">
      <c r="A18" s="0" t="s">
        <v>166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130.444747849029</v>
      </c>
      <c r="C18" s="3" t="n">
        <v>12</v>
      </c>
    </row>
    <row r="19" customFormat="false" ht="15" hidden="false" customHeight="false" outlineLevel="0" collapsed="false">
      <c r="A19" s="0" t="s">
        <v>167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91.9366372481466</v>
      </c>
      <c r="C19" s="3" t="n">
        <v>15</v>
      </c>
    </row>
    <row r="21" customFormat="false" ht="15" hidden="false" customHeight="false" outlineLevel="0" collapsed="false">
      <c r="A21" s="2" t="s">
        <v>168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271.5117004985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271.5117004985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271.5117004985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271.5117004985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271.5117004985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224.241134928934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238.260669505583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249.943614986123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249.943614986123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249.943614986123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187.921656148237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197.280268472278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208.198649516993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221.102190751656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230.335917506737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160.788646688643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167.325608058714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174.79642105308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183.416589892734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193.473453538997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139.772940094634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144.498933280366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149.815675614315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155.841316926123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162.727764139618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2026-10-02T06:38:44Z</dcterms:created>
  <dc:creator>openpyxl</dc:creator>
  <dc:description/>
  <dc:language>en-NZ</dc:language>
  <cp:lastModifiedBy/>
  <dcterms:modified xsi:type="dcterms:W3CDTF">2026-10-02T06:38:44Z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