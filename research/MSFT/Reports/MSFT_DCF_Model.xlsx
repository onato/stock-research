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Base Case" sheetId="2" state="visible" r:id="rId2"/>
    <sheet xmlns:r="http://schemas.openxmlformats.org/officeDocument/2006/relationships" name="Bull Case" sheetId="3" state="visible" r:id="rId3"/>
    <sheet xmlns:r="http://schemas.openxmlformats.org/officeDocument/2006/relationships" name="Bear Case" sheetId="4" state="visible" r:id="rId4"/>
    <sheet xmlns:r="http://schemas.openxmlformats.org/officeDocument/2006/relationships" name="Sensitivity" sheetId="5" state="visible" r:id="rId5"/>
    <sheet xmlns:r="http://schemas.openxmlformats.org/officeDocument/2006/relationships" name="Historical" sheetId="6" state="visible" r:id="rId6"/>
  </sheets>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
    <numFmt numFmtId="167" formatCode="0.0000"/>
  </numFmts>
  <fonts count="6">
    <font>
      <name val="Calibri"/>
      <family val="2"/>
      <color theme="1"/>
      <sz val="11"/>
      <scheme val="minor"/>
    </font>
    <font>
      <b val="1"/>
      <sz val="16"/>
    </font>
    <font>
      <i val="1"/>
      <color rgb="00808080"/>
    </font>
    <font>
      <b val="1"/>
      <sz val="12"/>
    </font>
    <font>
      <b val="1"/>
      <color rgb="00FFFFFF"/>
    </font>
    <font>
      <b val="1"/>
    </font>
  </fonts>
  <fills count="5">
    <fill>
      <patternFill/>
    </fill>
    <fill>
      <patternFill patternType="gray125"/>
    </fill>
    <fill>
      <patternFill patternType="solid">
        <fgColor rgb="00dfe6e9"/>
        <bgColor rgb="00dfe6e9"/>
      </patternFill>
    </fill>
    <fill>
      <patternFill patternType="solid">
        <fgColor rgb="002d3436"/>
        <bgColor rgb="002d3436"/>
      </patternFill>
    </fill>
    <fill>
      <patternFill patternType="solid">
        <fgColor rgb="0000b894"/>
        <bgColor rgb="0000b894"/>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164" fontId="0" fillId="2" borderId="2" pivotButton="0" quotePrefix="0" xfId="0"/>
    <xf numFmtId="0" fontId="0" fillId="2" borderId="2" pivotButton="0" quotePrefix="0" xfId="0"/>
    <xf numFmtId="165" fontId="0" fillId="0" borderId="2" pivotButton="0" quotePrefix="0" xfId="0"/>
    <xf numFmtId="0" fontId="4" fillId="3" borderId="2" pivotButton="0" quotePrefix="0" xfId="0"/>
    <xf numFmtId="166" fontId="0" fillId="2" borderId="2" pivotButton="0" quotePrefix="0" xfId="0"/>
    <xf numFmtId="0" fontId="5" fillId="0" borderId="0" pivotButton="0" quotePrefix="0" xfId="0"/>
    <xf numFmtId="0" fontId="0" fillId="0" borderId="0" applyAlignment="1" pivotButton="0" quotePrefix="0" xfId="0">
      <alignment vertical="top" wrapText="1"/>
    </xf>
    <xf numFmtId="166" fontId="0" fillId="0" borderId="0" pivotButton="0" quotePrefix="0" xfId="0"/>
    <xf numFmtId="164" fontId="0" fillId="0" borderId="2" pivotButton="0" quotePrefix="0" xfId="0"/>
    <xf numFmtId="166" fontId="0" fillId="0" borderId="2" pivotButton="0" quotePrefix="0" xfId="0"/>
    <xf numFmtId="167" fontId="0" fillId="0" borderId="2" pivotButton="0" quotePrefix="0" xfId="0"/>
    <xf numFmtId="164" fontId="4" fillId="4" borderId="2" pivotButton="0" quotePrefix="0" xfId="0"/>
    <xf numFmtId="166" fontId="4" fillId="3" borderId="2"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MSFT DCF Valuation Model</t>
        </is>
      </c>
    </row>
    <row r="2">
      <c r="A2" s="2" t="inlineStr">
        <is>
          <t>Gray cells are INPUTS - adjust to see valuation change on Base/Bull/Bear sheets</t>
        </is>
      </c>
    </row>
    <row r="4">
      <c r="A4" s="3" t="inlineStr">
        <is>
          <t>VALUATION DATE / PRICE</t>
        </is>
      </c>
    </row>
    <row r="5">
      <c r="A5" t="inlineStr">
        <is>
          <t>Valuation Date</t>
        </is>
      </c>
      <c r="B5" t="inlineStr">
        <is>
          <t>2026-07-12</t>
        </is>
      </c>
    </row>
    <row r="6">
      <c r="A6" t="inlineStr">
        <is>
          <t>Current Stock Price</t>
        </is>
      </c>
      <c r="B6" s="4" t="n">
        <v>385.1</v>
      </c>
    </row>
    <row r="8">
      <c r="A8" s="3" t="inlineStr">
        <is>
          <t>KEY INPUTS</t>
        </is>
      </c>
    </row>
    <row r="9">
      <c r="A9" t="inlineStr">
        <is>
          <t>Shares Outstanding (M)</t>
        </is>
      </c>
      <c r="B9" s="5" t="n">
        <v>7465</v>
      </c>
    </row>
    <row r="10">
      <c r="A10" t="inlineStr">
        <is>
          <t>Cash &amp; Equivalents (M)</t>
        </is>
      </c>
      <c r="B10" s="5" t="n">
        <v>94565</v>
      </c>
    </row>
    <row r="11">
      <c r="A11" t="inlineStr">
        <is>
          <t>Total Debt (M)</t>
        </is>
      </c>
      <c r="B11" s="5" t="n">
        <v>43151</v>
      </c>
    </row>
    <row r="12">
      <c r="A12" t="inlineStr">
        <is>
          <t>Net Debt (M)</t>
        </is>
      </c>
      <c r="B12" s="6">
        <f>B11-B10</f>
        <v/>
      </c>
    </row>
    <row r="13">
      <c r="A13" t="inlineStr">
        <is>
          <t>Base Year FCF (M) [FY2025 actual]</t>
        </is>
      </c>
      <c r="B13" s="5" t="n">
        <v>71611</v>
      </c>
    </row>
    <row r="14">
      <c r="A14" t="inlineStr">
        <is>
          <t>Base Revenue (M) [FY2025 actual]</t>
        </is>
      </c>
      <c r="B14" s="5" t="n">
        <v>281724</v>
      </c>
    </row>
    <row r="16">
      <c r="A16" s="3" t="inlineStr">
        <is>
          <t>SCENARIO ASSUMPTIONS</t>
        </is>
      </c>
    </row>
    <row r="17">
      <c r="A17" t="inlineStr"/>
      <c r="B17" s="7" t="inlineStr">
        <is>
          <t>Base</t>
        </is>
      </c>
      <c r="C17" s="7" t="inlineStr">
        <is>
          <t>Bull</t>
        </is>
      </c>
      <c r="D17" s="7" t="inlineStr">
        <is>
          <t>Bear</t>
        </is>
      </c>
    </row>
    <row r="18">
      <c r="A18" t="inlineStr">
        <is>
          <t>WACC</t>
        </is>
      </c>
      <c r="B18" s="8" t="n">
        <v>0.1</v>
      </c>
      <c r="C18" s="8" t="n">
        <v>0.09</v>
      </c>
      <c r="D18" s="8" t="n">
        <v>0.12</v>
      </c>
    </row>
    <row r="19">
      <c r="A19" t="inlineStr">
        <is>
          <t>Terminal Growth Rate</t>
        </is>
      </c>
      <c r="B19" s="8" t="n">
        <v>0.03</v>
      </c>
      <c r="C19" s="8" t="n">
        <v>0.035</v>
      </c>
      <c r="D19" s="8" t="n">
        <v>0.02</v>
      </c>
    </row>
    <row r="20">
      <c r="A20" t="inlineStr">
        <is>
          <t>FCF Margin</t>
        </is>
      </c>
      <c r="B20" s="8" t="n">
        <v>0.254</v>
      </c>
      <c r="C20" s="8" t="n">
        <v>0.28</v>
      </c>
      <c r="D20" s="8" t="n">
        <v>0.22</v>
      </c>
    </row>
    <row r="21">
      <c r="A21" t="inlineStr">
        <is>
          <t>Growth Rate Year 1</t>
        </is>
      </c>
      <c r="B21" s="8" t="n">
        <v>0.16</v>
      </c>
      <c r="C21" s="8" t="n">
        <v>0.2</v>
      </c>
      <c r="D21" s="8" t="n">
        <v>0.1</v>
      </c>
    </row>
    <row r="22">
      <c r="A22" t="inlineStr">
        <is>
          <t>Growth Rate Year 2</t>
        </is>
      </c>
      <c r="B22" s="8" t="n">
        <v>0.14</v>
      </c>
      <c r="C22" s="8" t="n">
        <v>0.18</v>
      </c>
      <c r="D22" s="8" t="n">
        <v>0.08</v>
      </c>
    </row>
    <row r="23">
      <c r="A23" t="inlineStr">
        <is>
          <t>Growth Rate Year 3</t>
        </is>
      </c>
      <c r="B23" s="8" t="n">
        <v>0.12</v>
      </c>
      <c r="C23" s="8" t="n">
        <v>0.16</v>
      </c>
      <c r="D23" s="8" t="n">
        <v>0.06</v>
      </c>
    </row>
    <row r="24">
      <c r="A24" t="inlineStr">
        <is>
          <t>Growth Rate Year 4</t>
        </is>
      </c>
      <c r="B24" s="8" t="n">
        <v>0.1</v>
      </c>
      <c r="C24" s="8" t="n">
        <v>0.14</v>
      </c>
      <c r="D24" s="8" t="n">
        <v>0.05</v>
      </c>
    </row>
    <row r="25">
      <c r="A25" t="inlineStr">
        <is>
          <t>Growth Rate Year 5</t>
        </is>
      </c>
      <c r="B25" s="8" t="n">
        <v>0.08</v>
      </c>
      <c r="C25" s="8" t="n">
        <v>0.12</v>
      </c>
      <c r="D25" s="8" t="n">
        <v>0.04</v>
      </c>
    </row>
    <row r="27">
      <c r="A27" s="3" t="inlineStr">
        <is>
          <t>ASSUMPTION NOTES</t>
        </is>
      </c>
    </row>
    <row r="28" ht="90" customHeight="1">
      <c r="A28" s="9" t="inlineStr">
        <is>
          <t>BASE</t>
        </is>
      </c>
      <c r="B28" s="10" t="inlineStr">
        <is>
          <t>Growth starts at 16% reflecting Q3 FY2026 run rate (+18% YoY) with modest deceleration as AI normalizes post-capacity buildout. FCF margin anchored at FY2025 actual (25.4%), assuming capex moderates from $64B peak toward $50B range by Year 4-5 so margin holds steady. WACC 10% reflects MSFT AA+ credit quality offset by elevated capex risk and regulatory overhang. Assumptions unchanged from 2026-06-30 model — no new filings since last update; July 2026 news (workforce restructuring, Xbox reset, Microsoft Frontier Company launch) is cost-discipline/AI-monetization signal, not a driver of revised revenue or margin assumptions.</t>
        </is>
      </c>
    </row>
    <row r="29" ht="90" customHeight="1">
      <c r="A29" s="9" t="inlineStr">
        <is>
          <t>BULL</t>
        </is>
      </c>
      <c r="B29" s="10" t="inlineStr">
        <is>
          <t>Azure capacity constraints lift in H2 CY2026, unlocking pent-up demand and sustaining 40%+ growth. AI ARR compounds from $37B: M365 Copilot seats scale from 20M toward 100M+, GitHub Copilot monetizes 140K enterprise orgs. $627B commercial RPO converts strongly. FCF margin expands to 28% as capex stabilizes and high-margin AI services grow as a share of mix. WACC 9% reflects strong execution and credit quality. Microsoft Frontier Company (launched July 2026) is a modest incremental upside lever for higher-margin AI implementation revenue, consistent with — not additive beyond — existing bull assumptions.</t>
        </is>
      </c>
    </row>
    <row r="30" ht="90" customHeight="1">
      <c r="A30" s="9" t="inlineStr">
        <is>
          <t>BEAR</t>
        </is>
      </c>
      <c r="B30" s="10" t="inlineStr">
        <is>
          <t>Capex-to-revenue conversion disappoints — $190B CY2026 capex does not translate to commensurate revenue; asset impairments possible on short-lived GPU assets. Regulatory interventions (FTC antitrust, EU DMA gatekeeper designation) force licensing changes reducing Azure competitive advantage. OpenAI non-exclusive amendment erodes differentiation. FCF margin compressed to 22% by sustained high depreciation and elevated infrastructure costs per AI revenue dollar. WACC 12% reflects regulatory risk premium. July 2026 Xbox restructuring and ~4,800 layoffs are consistent with bear-case concerns about capital misallocation, though treated as cost-discipline rather than a further downgrade to bear assumptions.</t>
        </is>
      </c>
    </row>
    <row r="32">
      <c r="A32" s="3" t="inlineStr">
        <is>
          <t>HISTORICAL GROWTH RATE SELECTION</t>
        </is>
      </c>
    </row>
    <row r="33">
      <c r="A33" t="inlineStr">
        <is>
          <t>Selected Growth Rate</t>
        </is>
      </c>
      <c r="B33" s="11" t="n">
        <v>0.1452</v>
      </c>
    </row>
    <row r="34">
      <c r="A34" t="inlineStr">
        <is>
          <t>Source</t>
        </is>
      </c>
      <c r="B34" t="inlineStr">
        <is>
          <t>revenue_5yr_cagr</t>
        </is>
      </c>
    </row>
    <row r="35" ht="120" customHeight="1">
      <c r="A35" t="inlineStr">
        <is>
          <t>Divergence Warning</t>
        </is>
      </c>
      <c r="B35" s="10" t="inlineStr">
        <is>
          <t>Equity CAGR (23.76%) diverges from Revenue CAGR (14.52%) by 63.6% — exceeds 30% threshold. Divergence driven by two factors: (1) strong earnings growth (18.82% EPS CAGR) building retained earnings faster than revenue growth, and (2) massive AI capex cycle compressing FCF (3.20% 3yr CAGR) well below revenue growth. Using Revenue CAGR as the primary selected rate as it best represents sustainable business growth trajectory. Equity CAGR is inflated by the earnings quality of the subscription model; FCF CAGR is temporarily depressed by $64.5B FY2025 capex. Base case growth rates set above selected rate to reflect Q3 FY2026 Azure +40% YoY momentum.</t>
        </is>
      </c>
    </row>
  </sheetData>
  <mergeCells count="4">
    <mergeCell ref="B30:G30"/>
    <mergeCell ref="B35:G35"/>
    <mergeCell ref="B29:G29"/>
    <mergeCell ref="B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MSFT DCF — Base Case Case</t>
        </is>
      </c>
    </row>
    <row r="3">
      <c r="A3" s="3" t="inlineStr">
        <is>
          <t>INPUTS (linked to Assumptions sheet)</t>
        </is>
      </c>
    </row>
    <row r="4">
      <c r="A4" t="inlineStr">
        <is>
          <t>Current Stock Price</t>
        </is>
      </c>
      <c r="B4" s="12">
        <f>Assumptions!$B$6</f>
        <v/>
      </c>
    </row>
    <row r="5">
      <c r="A5" t="inlineStr">
        <is>
          <t>Shares Outstanding (M)</t>
        </is>
      </c>
      <c r="B5" s="6">
        <f>Assumptions!$B$9</f>
        <v/>
      </c>
    </row>
    <row r="6">
      <c r="A6" t="inlineStr">
        <is>
          <t>Net Debt (M)</t>
        </is>
      </c>
      <c r="B6" s="6">
        <f>Assumptions!$B$12</f>
        <v/>
      </c>
    </row>
    <row r="7">
      <c r="A7" t="inlineStr">
        <is>
          <t>Base Year FCF (M)</t>
        </is>
      </c>
      <c r="B7" s="6">
        <f>Assumptions!$B$13</f>
        <v/>
      </c>
    </row>
    <row r="8">
      <c r="A8" t="inlineStr">
        <is>
          <t>WACC</t>
        </is>
      </c>
      <c r="B8" s="13">
        <f>Assumptions!$B$18</f>
        <v/>
      </c>
    </row>
    <row r="9">
      <c r="A9" t="inlineStr">
        <is>
          <t>Terminal Growth Rate</t>
        </is>
      </c>
      <c r="B9" s="13">
        <f>Assumptions!$B$19</f>
        <v/>
      </c>
    </row>
    <row r="10">
      <c r="A10" t="inlineStr">
        <is>
          <t>FCF Margin</t>
        </is>
      </c>
      <c r="B10" s="13">
        <f>Assumptions!$B$20</f>
        <v/>
      </c>
    </row>
    <row r="12">
      <c r="A12" s="3" t="inlineStr">
        <is>
          <t>GROWTH RATES</t>
        </is>
      </c>
    </row>
    <row r="13">
      <c r="A13" t="inlineStr"/>
      <c r="B13" s="7" t="inlineStr">
        <is>
          <t>Year 1</t>
        </is>
      </c>
      <c r="C13" s="7" t="inlineStr">
        <is>
          <t>Year 2</t>
        </is>
      </c>
      <c r="D13" s="7" t="inlineStr">
        <is>
          <t>Year 3</t>
        </is>
      </c>
      <c r="E13" s="7" t="inlineStr">
        <is>
          <t>Year 4</t>
        </is>
      </c>
      <c r="F13" s="7" t="inlineStr">
        <is>
          <t>Year 5</t>
        </is>
      </c>
    </row>
    <row r="14">
      <c r="A14" t="inlineStr">
        <is>
          <t>Growth Rate</t>
        </is>
      </c>
      <c r="B14" s="13">
        <f>Assumptions!$B$21</f>
        <v/>
      </c>
      <c r="C14" s="13">
        <f>Assumptions!$B$22</f>
        <v/>
      </c>
      <c r="D14" s="13">
        <f>Assumptions!$B$23</f>
        <v/>
      </c>
      <c r="E14" s="13">
        <f>Assumptions!$B$24</f>
        <v/>
      </c>
      <c r="F14" s="13">
        <f>Assumptions!$B$25</f>
        <v/>
      </c>
    </row>
    <row r="16">
      <c r="A16" s="3" t="inlineStr">
        <is>
          <t>PROJECTIONS</t>
        </is>
      </c>
    </row>
    <row r="17">
      <c r="A17" t="inlineStr"/>
      <c r="B17" s="7" t="inlineStr">
        <is>
          <t>Year 1</t>
        </is>
      </c>
      <c r="C17" s="7" t="inlineStr">
        <is>
          <t>Year 2</t>
        </is>
      </c>
      <c r="D17" s="7" t="inlineStr">
        <is>
          <t>Year 3</t>
        </is>
      </c>
      <c r="E17" s="7" t="inlineStr">
        <is>
          <t>Year 4</t>
        </is>
      </c>
      <c r="F17" s="7" t="inlineStr">
        <is>
          <t>Year 5</t>
        </is>
      </c>
    </row>
    <row r="18">
      <c r="A18" t="inlineStr">
        <is>
          <t>Revenue</t>
        </is>
      </c>
      <c r="B18" s="6">
        <f>Assumptions!$B$14</f>
        <v/>
      </c>
      <c r="C18" s="6">
        <f>B18*(1+B14)</f>
        <v/>
      </c>
      <c r="D18" s="6">
        <f>C18*(1+C14)</f>
        <v/>
      </c>
      <c r="E18" s="6">
        <f>D18*(1+D14)</f>
        <v/>
      </c>
      <c r="F18" s="6">
        <f>E18*(1+E14)</f>
        <v/>
      </c>
      <c r="G18" s="6">
        <f>F18*(1+F14)</f>
        <v/>
      </c>
    </row>
    <row r="19">
      <c r="A19" t="inlineStr">
        <is>
          <t>Free Cash Flow</t>
        </is>
      </c>
      <c r="C19" s="6">
        <f>C18*$B$10</f>
        <v/>
      </c>
      <c r="D19" s="6">
        <f>D18*$B$10</f>
        <v/>
      </c>
      <c r="E19" s="6">
        <f>E18*$B$10</f>
        <v/>
      </c>
      <c r="F19" s="6">
        <f>F18*$B$10</f>
        <v/>
      </c>
      <c r="G19" s="6">
        <f>G18*$B$10</f>
        <v/>
      </c>
    </row>
    <row r="20">
      <c r="A20" t="inlineStr">
        <is>
          <t>Discount Factor</t>
        </is>
      </c>
      <c r="C20" s="14">
        <f>1/(1+$B$8)^1</f>
        <v/>
      </c>
      <c r="D20" s="14">
        <f>1/(1+$B$8)^2</f>
        <v/>
      </c>
      <c r="E20" s="14">
        <f>1/(1+$B$8)^3</f>
        <v/>
      </c>
      <c r="F20" s="14">
        <f>1/(1+$B$8)^4</f>
        <v/>
      </c>
      <c r="G20" s="14">
        <f>1/(1+$B$8)^5</f>
        <v/>
      </c>
    </row>
    <row r="21">
      <c r="A21" t="inlineStr">
        <is>
          <t>PV of FCF</t>
        </is>
      </c>
      <c r="C21" s="6">
        <f>C19*C20</f>
        <v/>
      </c>
      <c r="D21" s="6">
        <f>D19*D20</f>
        <v/>
      </c>
      <c r="E21" s="6">
        <f>E19*E20</f>
        <v/>
      </c>
      <c r="F21" s="6">
        <f>F19*F20</f>
        <v/>
      </c>
      <c r="G21" s="6">
        <f>G19*G20</f>
        <v/>
      </c>
    </row>
    <row r="23">
      <c r="A23" s="3" t="inlineStr">
        <is>
          <t>VALUATION</t>
        </is>
      </c>
    </row>
    <row r="24">
      <c r="A24" t="inlineStr">
        <is>
          <t>Sum of PV of FCF (Y1-Y5)</t>
        </is>
      </c>
      <c r="B24" s="6">
        <f>SUM(C21:G21)</f>
        <v/>
      </c>
    </row>
    <row r="25">
      <c r="A25" t="inlineStr">
        <is>
          <t>Terminal FCF (Year 5 x (1+g))</t>
        </is>
      </c>
      <c r="B25" s="6">
        <f>G19*(1+B9)</f>
        <v/>
      </c>
    </row>
    <row r="26">
      <c r="A26" t="inlineStr">
        <is>
          <t>Terminal Value</t>
        </is>
      </c>
      <c r="B26" s="6">
        <f>B25/(B8-B9)</f>
        <v/>
      </c>
    </row>
    <row r="27">
      <c r="A27" t="inlineStr">
        <is>
          <t>PV of Terminal Value</t>
        </is>
      </c>
      <c r="B27" s="6">
        <f>B26*G20</f>
        <v/>
      </c>
    </row>
    <row r="28">
      <c r="A28" t="inlineStr">
        <is>
          <t>Enterprise Value</t>
        </is>
      </c>
      <c r="B28" s="6">
        <f>B24+B27</f>
        <v/>
      </c>
    </row>
    <row r="29">
      <c r="A29" t="inlineStr">
        <is>
          <t>Less: Net Debt</t>
        </is>
      </c>
      <c r="B29" s="6">
        <f>B6</f>
        <v/>
      </c>
    </row>
    <row r="30">
      <c r="A30" t="inlineStr">
        <is>
          <t>Equity Value</t>
        </is>
      </c>
      <c r="B30" s="6">
        <f>B28-B29</f>
        <v/>
      </c>
    </row>
    <row r="31">
      <c r="A31" s="9" t="inlineStr">
        <is>
          <t>INTRINSIC VALUE / SHARE</t>
        </is>
      </c>
      <c r="B31" s="15">
        <f>B30/B5</f>
        <v/>
      </c>
    </row>
    <row r="32">
      <c r="A32" t="inlineStr">
        <is>
          <t>Upside / (Downside) to Current Price</t>
        </is>
      </c>
      <c r="B32" s="13">
        <f>(B31-B4)/B4</f>
        <v/>
      </c>
    </row>
    <row r="34">
      <c r="A34" s="3" t="inlineStr">
        <is>
          <t>ENTRY PRICE (15% CAGR Target)</t>
        </is>
      </c>
    </row>
    <row r="35">
      <c r="A35" t="inlineStr">
        <is>
          <t>Terminal Value per Share</t>
        </is>
      </c>
      <c r="B35" s="12">
        <f>B26/B5</f>
        <v/>
      </c>
    </row>
    <row r="36">
      <c r="A36" t="inlineStr">
        <is>
          <t>Years to Terminal</t>
        </is>
      </c>
      <c r="B36" s="5" t="n">
        <v>5</v>
      </c>
    </row>
    <row r="37">
      <c r="A37" t="inlineStr">
        <is>
          <t>Entry Price (15% CAGR)</t>
        </is>
      </c>
      <c r="B37" s="15">
        <f>B35/(1.15^B36)</f>
        <v/>
      </c>
    </row>
    <row r="38">
      <c r="A38" t="inlineStr">
        <is>
          <t>Entry Discount from Current Price</t>
        </is>
      </c>
      <c r="B38" s="13">
        <f>(B4-B37)/B4*-1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MSFT DCF — Bull Case Case</t>
        </is>
      </c>
    </row>
    <row r="3">
      <c r="A3" s="3" t="inlineStr">
        <is>
          <t>INPUTS (linked to Assumptions sheet)</t>
        </is>
      </c>
    </row>
    <row r="4">
      <c r="A4" t="inlineStr">
        <is>
          <t>Current Stock Price</t>
        </is>
      </c>
      <c r="B4" s="12">
        <f>Assumptions!$B$6</f>
        <v/>
      </c>
    </row>
    <row r="5">
      <c r="A5" t="inlineStr">
        <is>
          <t>Shares Outstanding (M)</t>
        </is>
      </c>
      <c r="B5" s="6">
        <f>Assumptions!$B$9</f>
        <v/>
      </c>
    </row>
    <row r="6">
      <c r="A6" t="inlineStr">
        <is>
          <t>Net Debt (M)</t>
        </is>
      </c>
      <c r="B6" s="6">
        <f>Assumptions!$B$12</f>
        <v/>
      </c>
    </row>
    <row r="7">
      <c r="A7" t="inlineStr">
        <is>
          <t>Base Year FCF (M)</t>
        </is>
      </c>
      <c r="B7" s="6">
        <f>Assumptions!$B$13</f>
        <v/>
      </c>
    </row>
    <row r="8">
      <c r="A8" t="inlineStr">
        <is>
          <t>WACC</t>
        </is>
      </c>
      <c r="B8" s="13">
        <f>Assumptions!$C$18</f>
        <v/>
      </c>
    </row>
    <row r="9">
      <c r="A9" t="inlineStr">
        <is>
          <t>Terminal Growth Rate</t>
        </is>
      </c>
      <c r="B9" s="13">
        <f>Assumptions!$C$19</f>
        <v/>
      </c>
    </row>
    <row r="10">
      <c r="A10" t="inlineStr">
        <is>
          <t>FCF Margin</t>
        </is>
      </c>
      <c r="B10" s="13">
        <f>Assumptions!$C$20</f>
        <v/>
      </c>
    </row>
    <row r="12">
      <c r="A12" s="3" t="inlineStr">
        <is>
          <t>GROWTH RATES</t>
        </is>
      </c>
    </row>
    <row r="13">
      <c r="A13" t="inlineStr"/>
      <c r="B13" s="7" t="inlineStr">
        <is>
          <t>Year 1</t>
        </is>
      </c>
      <c r="C13" s="7" t="inlineStr">
        <is>
          <t>Year 2</t>
        </is>
      </c>
      <c r="D13" s="7" t="inlineStr">
        <is>
          <t>Year 3</t>
        </is>
      </c>
      <c r="E13" s="7" t="inlineStr">
        <is>
          <t>Year 4</t>
        </is>
      </c>
      <c r="F13" s="7" t="inlineStr">
        <is>
          <t>Year 5</t>
        </is>
      </c>
    </row>
    <row r="14">
      <c r="A14" t="inlineStr">
        <is>
          <t>Growth Rate</t>
        </is>
      </c>
      <c r="B14" s="13">
        <f>Assumptions!$C$21</f>
        <v/>
      </c>
      <c r="C14" s="13">
        <f>Assumptions!$C$22</f>
        <v/>
      </c>
      <c r="D14" s="13">
        <f>Assumptions!$C$23</f>
        <v/>
      </c>
      <c r="E14" s="13">
        <f>Assumptions!$C$24</f>
        <v/>
      </c>
      <c r="F14" s="13">
        <f>Assumptions!$C$25</f>
        <v/>
      </c>
    </row>
    <row r="16">
      <c r="A16" s="3" t="inlineStr">
        <is>
          <t>PROJECTIONS</t>
        </is>
      </c>
    </row>
    <row r="17">
      <c r="A17" t="inlineStr"/>
      <c r="B17" s="7" t="inlineStr">
        <is>
          <t>Year 1</t>
        </is>
      </c>
      <c r="C17" s="7" t="inlineStr">
        <is>
          <t>Year 2</t>
        </is>
      </c>
      <c r="D17" s="7" t="inlineStr">
        <is>
          <t>Year 3</t>
        </is>
      </c>
      <c r="E17" s="7" t="inlineStr">
        <is>
          <t>Year 4</t>
        </is>
      </c>
      <c r="F17" s="7" t="inlineStr">
        <is>
          <t>Year 5</t>
        </is>
      </c>
    </row>
    <row r="18">
      <c r="A18" t="inlineStr">
        <is>
          <t>Revenue</t>
        </is>
      </c>
      <c r="B18" s="6">
        <f>Assumptions!$B$14</f>
        <v/>
      </c>
      <c r="C18" s="6">
        <f>B18*(1+B14)</f>
        <v/>
      </c>
      <c r="D18" s="6">
        <f>C18*(1+C14)</f>
        <v/>
      </c>
      <c r="E18" s="6">
        <f>D18*(1+D14)</f>
        <v/>
      </c>
      <c r="F18" s="6">
        <f>E18*(1+E14)</f>
        <v/>
      </c>
      <c r="G18" s="6">
        <f>F18*(1+F14)</f>
        <v/>
      </c>
    </row>
    <row r="19">
      <c r="A19" t="inlineStr">
        <is>
          <t>Free Cash Flow</t>
        </is>
      </c>
      <c r="C19" s="6">
        <f>C18*$B$10</f>
        <v/>
      </c>
      <c r="D19" s="6">
        <f>D18*$B$10</f>
        <v/>
      </c>
      <c r="E19" s="6">
        <f>E18*$B$10</f>
        <v/>
      </c>
      <c r="F19" s="6">
        <f>F18*$B$10</f>
        <v/>
      </c>
      <c r="G19" s="6">
        <f>G18*$B$10</f>
        <v/>
      </c>
    </row>
    <row r="20">
      <c r="A20" t="inlineStr">
        <is>
          <t>Discount Factor</t>
        </is>
      </c>
      <c r="C20" s="14">
        <f>1/(1+$B$8)^1</f>
        <v/>
      </c>
      <c r="D20" s="14">
        <f>1/(1+$B$8)^2</f>
        <v/>
      </c>
      <c r="E20" s="14">
        <f>1/(1+$B$8)^3</f>
        <v/>
      </c>
      <c r="F20" s="14">
        <f>1/(1+$B$8)^4</f>
        <v/>
      </c>
      <c r="G20" s="14">
        <f>1/(1+$B$8)^5</f>
        <v/>
      </c>
    </row>
    <row r="21">
      <c r="A21" t="inlineStr">
        <is>
          <t>PV of FCF</t>
        </is>
      </c>
      <c r="C21" s="6">
        <f>C19*C20</f>
        <v/>
      </c>
      <c r="D21" s="6">
        <f>D19*D20</f>
        <v/>
      </c>
      <c r="E21" s="6">
        <f>E19*E20</f>
        <v/>
      </c>
      <c r="F21" s="6">
        <f>F19*F20</f>
        <v/>
      </c>
      <c r="G21" s="6">
        <f>G19*G20</f>
        <v/>
      </c>
    </row>
    <row r="23">
      <c r="A23" s="3" t="inlineStr">
        <is>
          <t>VALUATION</t>
        </is>
      </c>
    </row>
    <row r="24">
      <c r="A24" t="inlineStr">
        <is>
          <t>Sum of PV of FCF (Y1-Y5)</t>
        </is>
      </c>
      <c r="B24" s="6">
        <f>SUM(C21:G21)</f>
        <v/>
      </c>
    </row>
    <row r="25">
      <c r="A25" t="inlineStr">
        <is>
          <t>Terminal FCF (Year 5 x (1+g))</t>
        </is>
      </c>
      <c r="B25" s="6">
        <f>G19*(1+B9)</f>
        <v/>
      </c>
    </row>
    <row r="26">
      <c r="A26" t="inlineStr">
        <is>
          <t>Terminal Value</t>
        </is>
      </c>
      <c r="B26" s="6">
        <f>B25/(B8-B9)</f>
        <v/>
      </c>
    </row>
    <row r="27">
      <c r="A27" t="inlineStr">
        <is>
          <t>PV of Terminal Value</t>
        </is>
      </c>
      <c r="B27" s="6">
        <f>B26*G20</f>
        <v/>
      </c>
    </row>
    <row r="28">
      <c r="A28" t="inlineStr">
        <is>
          <t>Enterprise Value</t>
        </is>
      </c>
      <c r="B28" s="6">
        <f>B24+B27</f>
        <v/>
      </c>
    </row>
    <row r="29">
      <c r="A29" t="inlineStr">
        <is>
          <t>Less: Net Debt</t>
        </is>
      </c>
      <c r="B29" s="6">
        <f>B6</f>
        <v/>
      </c>
    </row>
    <row r="30">
      <c r="A30" t="inlineStr">
        <is>
          <t>Equity Value</t>
        </is>
      </c>
      <c r="B30" s="6">
        <f>B28-B29</f>
        <v/>
      </c>
    </row>
    <row r="31">
      <c r="A31" s="9" t="inlineStr">
        <is>
          <t>INTRINSIC VALUE / SHARE</t>
        </is>
      </c>
      <c r="B31" s="15">
        <f>B30/B5</f>
        <v/>
      </c>
    </row>
    <row r="32">
      <c r="A32" t="inlineStr">
        <is>
          <t>Upside / (Downside) to Current Price</t>
        </is>
      </c>
      <c r="B32" s="13">
        <f>(B31-B4)/B4</f>
        <v/>
      </c>
    </row>
    <row r="34">
      <c r="A34" s="3" t="inlineStr">
        <is>
          <t>ENTRY PRICE (15% CAGR Target)</t>
        </is>
      </c>
    </row>
    <row r="35">
      <c r="A35" t="inlineStr">
        <is>
          <t>Terminal Value per Share</t>
        </is>
      </c>
      <c r="B35" s="12">
        <f>B26/B5</f>
        <v/>
      </c>
    </row>
    <row r="36">
      <c r="A36" t="inlineStr">
        <is>
          <t>Years to Terminal</t>
        </is>
      </c>
      <c r="B36" s="5" t="n">
        <v>5</v>
      </c>
    </row>
    <row r="37">
      <c r="A37" t="inlineStr">
        <is>
          <t>Entry Price (15% CAGR)</t>
        </is>
      </c>
      <c r="B37" s="15">
        <f>B35/(1.15^B36)</f>
        <v/>
      </c>
    </row>
    <row r="38">
      <c r="A38" t="inlineStr">
        <is>
          <t>Entry Discount from Current Price</t>
        </is>
      </c>
      <c r="B38" s="13">
        <f>(B4-B37)/B4*-1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MSFT DCF — Bear Case Case</t>
        </is>
      </c>
    </row>
    <row r="3">
      <c r="A3" s="3" t="inlineStr">
        <is>
          <t>INPUTS (linked to Assumptions sheet)</t>
        </is>
      </c>
    </row>
    <row r="4">
      <c r="A4" t="inlineStr">
        <is>
          <t>Current Stock Price</t>
        </is>
      </c>
      <c r="B4" s="12">
        <f>Assumptions!$B$6</f>
        <v/>
      </c>
    </row>
    <row r="5">
      <c r="A5" t="inlineStr">
        <is>
          <t>Shares Outstanding (M)</t>
        </is>
      </c>
      <c r="B5" s="6">
        <f>Assumptions!$B$9</f>
        <v/>
      </c>
    </row>
    <row r="6">
      <c r="A6" t="inlineStr">
        <is>
          <t>Net Debt (M)</t>
        </is>
      </c>
      <c r="B6" s="6">
        <f>Assumptions!$B$12</f>
        <v/>
      </c>
    </row>
    <row r="7">
      <c r="A7" t="inlineStr">
        <is>
          <t>Base Year FCF (M)</t>
        </is>
      </c>
      <c r="B7" s="6">
        <f>Assumptions!$B$13</f>
        <v/>
      </c>
    </row>
    <row r="8">
      <c r="A8" t="inlineStr">
        <is>
          <t>WACC</t>
        </is>
      </c>
      <c r="B8" s="13">
        <f>Assumptions!$D$18</f>
        <v/>
      </c>
    </row>
    <row r="9">
      <c r="A9" t="inlineStr">
        <is>
          <t>Terminal Growth Rate</t>
        </is>
      </c>
      <c r="B9" s="13">
        <f>Assumptions!$D$19</f>
        <v/>
      </c>
    </row>
    <row r="10">
      <c r="A10" t="inlineStr">
        <is>
          <t>FCF Margin</t>
        </is>
      </c>
      <c r="B10" s="13">
        <f>Assumptions!$D$20</f>
        <v/>
      </c>
    </row>
    <row r="12">
      <c r="A12" s="3" t="inlineStr">
        <is>
          <t>GROWTH RATES</t>
        </is>
      </c>
    </row>
    <row r="13">
      <c r="A13" t="inlineStr"/>
      <c r="B13" s="7" t="inlineStr">
        <is>
          <t>Year 1</t>
        </is>
      </c>
      <c r="C13" s="7" t="inlineStr">
        <is>
          <t>Year 2</t>
        </is>
      </c>
      <c r="D13" s="7" t="inlineStr">
        <is>
          <t>Year 3</t>
        </is>
      </c>
      <c r="E13" s="7" t="inlineStr">
        <is>
          <t>Year 4</t>
        </is>
      </c>
      <c r="F13" s="7" t="inlineStr">
        <is>
          <t>Year 5</t>
        </is>
      </c>
    </row>
    <row r="14">
      <c r="A14" t="inlineStr">
        <is>
          <t>Growth Rate</t>
        </is>
      </c>
      <c r="B14" s="13">
        <f>Assumptions!$D$21</f>
        <v/>
      </c>
      <c r="C14" s="13">
        <f>Assumptions!$D$22</f>
        <v/>
      </c>
      <c r="D14" s="13">
        <f>Assumptions!$D$23</f>
        <v/>
      </c>
      <c r="E14" s="13">
        <f>Assumptions!$D$24</f>
        <v/>
      </c>
      <c r="F14" s="13">
        <f>Assumptions!$D$25</f>
        <v/>
      </c>
    </row>
    <row r="16">
      <c r="A16" s="3" t="inlineStr">
        <is>
          <t>PROJECTIONS</t>
        </is>
      </c>
    </row>
    <row r="17">
      <c r="A17" t="inlineStr"/>
      <c r="B17" s="7" t="inlineStr">
        <is>
          <t>Year 1</t>
        </is>
      </c>
      <c r="C17" s="7" t="inlineStr">
        <is>
          <t>Year 2</t>
        </is>
      </c>
      <c r="D17" s="7" t="inlineStr">
        <is>
          <t>Year 3</t>
        </is>
      </c>
      <c r="E17" s="7" t="inlineStr">
        <is>
          <t>Year 4</t>
        </is>
      </c>
      <c r="F17" s="7" t="inlineStr">
        <is>
          <t>Year 5</t>
        </is>
      </c>
    </row>
    <row r="18">
      <c r="A18" t="inlineStr">
        <is>
          <t>Revenue</t>
        </is>
      </c>
      <c r="B18" s="6">
        <f>Assumptions!$B$14</f>
        <v/>
      </c>
      <c r="C18" s="6">
        <f>B18*(1+B14)</f>
        <v/>
      </c>
      <c r="D18" s="6">
        <f>C18*(1+C14)</f>
        <v/>
      </c>
      <c r="E18" s="6">
        <f>D18*(1+D14)</f>
        <v/>
      </c>
      <c r="F18" s="6">
        <f>E18*(1+E14)</f>
        <v/>
      </c>
      <c r="G18" s="6">
        <f>F18*(1+F14)</f>
        <v/>
      </c>
    </row>
    <row r="19">
      <c r="A19" t="inlineStr">
        <is>
          <t>Free Cash Flow</t>
        </is>
      </c>
      <c r="C19" s="6">
        <f>C18*$B$10</f>
        <v/>
      </c>
      <c r="D19" s="6">
        <f>D18*$B$10</f>
        <v/>
      </c>
      <c r="E19" s="6">
        <f>E18*$B$10</f>
        <v/>
      </c>
      <c r="F19" s="6">
        <f>F18*$B$10</f>
        <v/>
      </c>
      <c r="G19" s="6">
        <f>G18*$B$10</f>
        <v/>
      </c>
    </row>
    <row r="20">
      <c r="A20" t="inlineStr">
        <is>
          <t>Discount Factor</t>
        </is>
      </c>
      <c r="C20" s="14">
        <f>1/(1+$B$8)^1</f>
        <v/>
      </c>
      <c r="D20" s="14">
        <f>1/(1+$B$8)^2</f>
        <v/>
      </c>
      <c r="E20" s="14">
        <f>1/(1+$B$8)^3</f>
        <v/>
      </c>
      <c r="F20" s="14">
        <f>1/(1+$B$8)^4</f>
        <v/>
      </c>
      <c r="G20" s="14">
        <f>1/(1+$B$8)^5</f>
        <v/>
      </c>
    </row>
    <row r="21">
      <c r="A21" t="inlineStr">
        <is>
          <t>PV of FCF</t>
        </is>
      </c>
      <c r="C21" s="6">
        <f>C19*C20</f>
        <v/>
      </c>
      <c r="D21" s="6">
        <f>D19*D20</f>
        <v/>
      </c>
      <c r="E21" s="6">
        <f>E19*E20</f>
        <v/>
      </c>
      <c r="F21" s="6">
        <f>F19*F20</f>
        <v/>
      </c>
      <c r="G21" s="6">
        <f>G19*G20</f>
        <v/>
      </c>
    </row>
    <row r="23">
      <c r="A23" s="3" t="inlineStr">
        <is>
          <t>VALUATION</t>
        </is>
      </c>
    </row>
    <row r="24">
      <c r="A24" t="inlineStr">
        <is>
          <t>Sum of PV of FCF (Y1-Y5)</t>
        </is>
      </c>
      <c r="B24" s="6">
        <f>SUM(C21:G21)</f>
        <v/>
      </c>
    </row>
    <row r="25">
      <c r="A25" t="inlineStr">
        <is>
          <t>Terminal FCF (Year 5 x (1+g))</t>
        </is>
      </c>
      <c r="B25" s="6">
        <f>G19*(1+B9)</f>
        <v/>
      </c>
    </row>
    <row r="26">
      <c r="A26" t="inlineStr">
        <is>
          <t>Terminal Value</t>
        </is>
      </c>
      <c r="B26" s="6">
        <f>B25/(B8-B9)</f>
        <v/>
      </c>
    </row>
    <row r="27">
      <c r="A27" t="inlineStr">
        <is>
          <t>PV of Terminal Value</t>
        </is>
      </c>
      <c r="B27" s="6">
        <f>B26*G20</f>
        <v/>
      </c>
    </row>
    <row r="28">
      <c r="A28" t="inlineStr">
        <is>
          <t>Enterprise Value</t>
        </is>
      </c>
      <c r="B28" s="6">
        <f>B24+B27</f>
        <v/>
      </c>
    </row>
    <row r="29">
      <c r="A29" t="inlineStr">
        <is>
          <t>Less: Net Debt</t>
        </is>
      </c>
      <c r="B29" s="6">
        <f>B6</f>
        <v/>
      </c>
    </row>
    <row r="30">
      <c r="A30" t="inlineStr">
        <is>
          <t>Equity Value</t>
        </is>
      </c>
      <c r="B30" s="6">
        <f>B28-B29</f>
        <v/>
      </c>
    </row>
    <row r="31">
      <c r="A31" s="9" t="inlineStr">
        <is>
          <t>INTRINSIC VALUE / SHARE</t>
        </is>
      </c>
      <c r="B31" s="15">
        <f>B30/B5</f>
        <v/>
      </c>
    </row>
    <row r="32">
      <c r="A32" t="inlineStr">
        <is>
          <t>Upside / (Downside) to Current Price</t>
        </is>
      </c>
      <c r="B32" s="13">
        <f>(B31-B4)/B4</f>
        <v/>
      </c>
    </row>
    <row r="34">
      <c r="A34" s="3" t="inlineStr">
        <is>
          <t>ENTRY PRICE (15% CAGR Target)</t>
        </is>
      </c>
    </row>
    <row r="35">
      <c r="A35" t="inlineStr">
        <is>
          <t>Terminal Value per Share</t>
        </is>
      </c>
      <c r="B35" s="12">
        <f>B26/B5</f>
        <v/>
      </c>
    </row>
    <row r="36">
      <c r="A36" t="inlineStr">
        <is>
          <t>Years to Terminal</t>
        </is>
      </c>
      <c r="B36" s="5" t="n">
        <v>5</v>
      </c>
    </row>
    <row r="37">
      <c r="A37" t="inlineStr">
        <is>
          <t>Entry Price (15% CAGR)</t>
        </is>
      </c>
      <c r="B37" s="15">
        <f>B35/(1.15^B36)</f>
        <v/>
      </c>
    </row>
    <row r="38">
      <c r="A38" t="inlineStr">
        <is>
          <t>Entry Discount from Current Price</t>
        </is>
      </c>
      <c r="B38" s="13">
        <f>(B4-B37)/B4*-1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Sensitivity Analysis — Base Case</t>
        </is>
      </c>
    </row>
    <row r="2">
      <c r="A2" s="2" t="inlineStr">
        <is>
          <t>Intrinsic Value per Share by WACC &amp; Terminal Growth</t>
        </is>
      </c>
    </row>
    <row r="4">
      <c r="A4" s="7" t="inlineStr">
        <is>
          <t>WACC \ Term G</t>
        </is>
      </c>
      <c r="B4" s="16" t="n">
        <v>0.02</v>
      </c>
      <c r="C4" s="16" t="n">
        <v>0.025</v>
      </c>
      <c r="D4" s="16" t="n">
        <v>0.03</v>
      </c>
      <c r="E4" s="16" t="n">
        <v>0.035</v>
      </c>
      <c r="F4" s="16" t="n">
        <v>0.04</v>
      </c>
    </row>
    <row r="5">
      <c r="A5" s="16" t="n">
        <v>0.08</v>
      </c>
      <c r="B5" s="12">
        <f>('Base Case'!$G$19*(1+0.02))/(0.08-0.02)/(1+0.08)^5/'Base Case'!$B$5</f>
        <v/>
      </c>
      <c r="C5" s="12">
        <f>('Base Case'!$G$19*(1+0.025))/(0.08-0.025)/(1+0.08)^5/'Base Case'!$B$5</f>
        <v/>
      </c>
      <c r="D5" s="12">
        <f>('Base Case'!$G$19*(1+0.03))/(0.08-0.03)/(1+0.08)^5/'Base Case'!$B$5</f>
        <v/>
      </c>
      <c r="E5" s="12">
        <f>('Base Case'!$G$19*(1+0.035))/(0.08-0.035)/(1+0.08)^5/'Base Case'!$B$5</f>
        <v/>
      </c>
      <c r="F5" s="12">
        <f>('Base Case'!$G$19*(1+0.04))/(0.08-0.04)/(1+0.08)^5/'Base Case'!$B$5</f>
        <v/>
      </c>
    </row>
    <row r="6">
      <c r="A6" s="16" t="n">
        <v>0.09</v>
      </c>
      <c r="B6" s="12">
        <f>('Base Case'!$G$19*(1+0.02))/(0.09-0.02)/(1+0.09)^5/'Base Case'!$B$5</f>
        <v/>
      </c>
      <c r="C6" s="12">
        <f>('Base Case'!$G$19*(1+0.025))/(0.09-0.025)/(1+0.09)^5/'Base Case'!$B$5</f>
        <v/>
      </c>
      <c r="D6" s="12">
        <f>('Base Case'!$G$19*(1+0.03))/(0.09-0.03)/(1+0.09)^5/'Base Case'!$B$5</f>
        <v/>
      </c>
      <c r="E6" s="12">
        <f>('Base Case'!$G$19*(1+0.035))/(0.09-0.035)/(1+0.09)^5/'Base Case'!$B$5</f>
        <v/>
      </c>
      <c r="F6" s="12">
        <f>('Base Case'!$G$19*(1+0.04))/(0.09-0.04)/(1+0.09)^5/'Base Case'!$B$5</f>
        <v/>
      </c>
    </row>
    <row r="7">
      <c r="A7" s="16" t="n">
        <v>0.1</v>
      </c>
      <c r="B7" s="12">
        <f>('Base Case'!$G$19*(1+0.02))/(0.1-0.02)/(1+0.1)^5/'Base Case'!$B$5</f>
        <v/>
      </c>
      <c r="C7" s="12">
        <f>('Base Case'!$G$19*(1+0.025))/(0.1-0.025)/(1+0.1)^5/'Base Case'!$B$5</f>
        <v/>
      </c>
      <c r="D7" s="12">
        <f>('Base Case'!$G$19*(1+0.03))/(0.1-0.03)/(1+0.1)^5/'Base Case'!$B$5</f>
        <v/>
      </c>
      <c r="E7" s="12">
        <f>('Base Case'!$G$19*(1+0.035))/(0.1-0.035)/(1+0.1)^5/'Base Case'!$B$5</f>
        <v/>
      </c>
      <c r="F7" s="12">
        <f>('Base Case'!$G$19*(1+0.04))/(0.1-0.04)/(1+0.1)^5/'Base Case'!$B$5</f>
        <v/>
      </c>
    </row>
    <row r="8">
      <c r="A8" s="16" t="n">
        <v>0.11</v>
      </c>
      <c r="B8" s="12">
        <f>('Base Case'!$G$19*(1+0.02))/(0.11-0.02)/(1+0.11)^5/'Base Case'!$B$5</f>
        <v/>
      </c>
      <c r="C8" s="12">
        <f>('Base Case'!$G$19*(1+0.025))/(0.11-0.025)/(1+0.11)^5/'Base Case'!$B$5</f>
        <v/>
      </c>
      <c r="D8" s="12">
        <f>('Base Case'!$G$19*(1+0.03))/(0.11-0.03)/(1+0.11)^5/'Base Case'!$B$5</f>
        <v/>
      </c>
      <c r="E8" s="12">
        <f>('Base Case'!$G$19*(1+0.035))/(0.11-0.035)/(1+0.11)^5/'Base Case'!$B$5</f>
        <v/>
      </c>
      <c r="F8" s="12">
        <f>('Base Case'!$G$19*(1+0.04))/(0.11-0.04)/(1+0.11)^5/'Base Case'!$B$5</f>
        <v/>
      </c>
    </row>
    <row r="9">
      <c r="A9" s="16" t="n">
        <v>0.12</v>
      </c>
      <c r="B9" s="12">
        <f>('Base Case'!$G$19*(1+0.02))/(0.12-0.02)/(1+0.12)^5/'Base Case'!$B$5</f>
        <v/>
      </c>
      <c r="C9" s="12">
        <f>('Base Case'!$G$19*(1+0.025))/(0.12-0.025)/(1+0.12)^5/'Base Case'!$B$5</f>
        <v/>
      </c>
      <c r="D9" s="12">
        <f>('Base Case'!$G$19*(1+0.03))/(0.12-0.03)/(1+0.12)^5/'Base Case'!$B$5</f>
        <v/>
      </c>
      <c r="E9" s="12">
        <f>('Base Case'!$G$19*(1+0.035))/(0.12-0.035)/(1+0.12)^5/'Base Case'!$B$5</f>
        <v/>
      </c>
      <c r="F9" s="12">
        <f>('Base Case'!$G$19*(1+0.04))/(0.12-0.04)/(1+0.12)^5/'Base Case'!$B$5</f>
        <v/>
      </c>
    </row>
    <row r="11">
      <c r="A11" s="2" t="inlineStr">
        <is>
          <t>Note: Sensitivity uses Base Case Year 5 FCF as the terminal-year cash flow, discounted at each WACC over 5 years.</t>
        </is>
      </c>
    </row>
  </sheetData>
  <mergeCells count="1">
    <mergeCell ref="A11:G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s>
  <sheetData>
    <row r="1">
      <c r="A1" s="1" t="inlineStr">
        <is>
          <t>MSFT Historical Financials</t>
        </is>
      </c>
    </row>
    <row r="3">
      <c r="A3" s="7" t="inlineStr">
        <is>
          <t>Metric</t>
        </is>
      </c>
      <c r="B3" s="7" t="inlineStr">
        <is>
          <t>3-Year CAGR</t>
        </is>
      </c>
      <c r="C3" s="7" t="inlineStr">
        <is>
          <t>5-Year CAGR</t>
        </is>
      </c>
    </row>
    <row r="4">
      <c r="A4" t="inlineStr">
        <is>
          <t>Revenue</t>
        </is>
      </c>
      <c r="B4" s="11" t="n">
        <v>0.1242</v>
      </c>
      <c r="C4" s="11" t="n">
        <v>0.1452</v>
      </c>
    </row>
    <row r="5">
      <c r="A5" t="inlineStr">
        <is>
          <t>EPS</t>
        </is>
      </c>
      <c r="B5" s="11" t="n">
        <v>0.1223</v>
      </c>
      <c r="C5" s="11" t="n">
        <v>0.1882</v>
      </c>
    </row>
    <row r="6">
      <c r="A6" t="inlineStr">
        <is>
          <t>Equity</t>
        </is>
      </c>
      <c r="B6" s="11" t="n">
        <v>0.2729</v>
      </c>
      <c r="C6" s="11" t="n">
        <v>0.2376</v>
      </c>
    </row>
    <row r="7">
      <c r="A7" t="inlineStr">
        <is>
          <t>FCF</t>
        </is>
      </c>
      <c r="B7" s="11" t="n">
        <v>0.032</v>
      </c>
      <c r="C7" s="11" t="n">
        <v>0.09619999999999999</v>
      </c>
    </row>
    <row r="9">
      <c r="A9" s="9" t="inlineStr">
        <is>
          <t>Selected Growth Rate:</t>
        </is>
      </c>
      <c r="B9" s="11" t="n">
        <v>0.1452</v>
      </c>
    </row>
    <row r="10">
      <c r="A10" t="inlineStr">
        <is>
          <t>Source:</t>
        </is>
      </c>
      <c r="B10" t="inlineStr">
        <is>
          <t>revenue_5yr_cagr</t>
        </is>
      </c>
    </row>
    <row r="13">
      <c r="A13" s="3" t="inlineStr">
        <is>
          <t>ANNUAL FINANCIAL HISTORY (from Metrics CSV)</t>
        </is>
      </c>
    </row>
    <row r="14">
      <c r="A14" s="7" t="inlineStr">
        <is>
          <t>Period</t>
        </is>
      </c>
      <c r="B14" s="7" t="inlineStr">
        <is>
          <t>Revenue</t>
        </is>
      </c>
      <c r="C14" s="7" t="inlineStr">
        <is>
          <t>GrossProfit</t>
        </is>
      </c>
      <c r="D14" s="7" t="inlineStr">
        <is>
          <t>GrossMargin</t>
        </is>
      </c>
      <c r="E14" s="7" t="inlineStr">
        <is>
          <t>OperatingIncome</t>
        </is>
      </c>
      <c r="F14" s="7" t="inlineStr">
        <is>
          <t>OperatingMargin</t>
        </is>
      </c>
      <c r="G14" s="7" t="inlineStr">
        <is>
          <t>NetIncome</t>
        </is>
      </c>
      <c r="H14" s="7" t="inlineStr">
        <is>
          <t>NetMargin</t>
        </is>
      </c>
      <c r="I14" s="7" t="inlineStr">
        <is>
          <t>EPS</t>
        </is>
      </c>
      <c r="J14" s="7" t="inlineStr">
        <is>
          <t>FreeCashFlow</t>
        </is>
      </c>
      <c r="K14" s="7" t="inlineStr">
        <is>
          <t>OperatingCashFlow</t>
        </is>
      </c>
      <c r="L14" s="7" t="inlineStr">
        <is>
          <t>CapEx</t>
        </is>
      </c>
      <c r="M14" s="7" t="inlineStr">
        <is>
          <t>ShareholdersEquity</t>
        </is>
      </c>
      <c r="N14" s="7" t="inlineStr">
        <is>
          <t>TotalDebt</t>
        </is>
      </c>
      <c r="O14" s="7" t="inlineStr">
        <is>
          <t>CashAndEquivalents</t>
        </is>
      </c>
      <c r="P14" s="7" t="inlineStr">
        <is>
          <t>SharesOutstanding</t>
        </is>
      </c>
      <c r="Q14" s="7" t="inlineStr">
        <is>
          <t>CloudRevenue</t>
        </is>
      </c>
      <c r="R14" s="7" t="inlineStr">
        <is>
          <t>ProductivityRevenue</t>
        </is>
      </c>
      <c r="S14" s="7" t="inlineStr">
        <is>
          <t>PersonalComputingRevenue</t>
        </is>
      </c>
    </row>
    <row r="15">
      <c r="A15" s="17" t="inlineStr">
        <is>
          <t>FY2015</t>
        </is>
      </c>
      <c r="B15" s="6" t="n">
        <v>93580</v>
      </c>
      <c r="C15" s="6" t="n">
        <v>64470</v>
      </c>
      <c r="D15" s="6" t="n">
        <v>68.90000000000001</v>
      </c>
      <c r="E15" s="6" t="n">
        <v>18161</v>
      </c>
      <c r="F15" s="6" t="n">
        <v>19.4</v>
      </c>
      <c r="G15" s="6" t="n">
        <v>12193</v>
      </c>
      <c r="H15" s="6" t="n">
        <v>13</v>
      </c>
      <c r="I15" s="6" t="n">
        <v>1.48</v>
      </c>
      <c r="J15" s="6" t="n">
        <v>23136</v>
      </c>
      <c r="K15" s="6" t="n">
        <v>29080</v>
      </c>
      <c r="L15" s="6" t="n">
        <v>5944</v>
      </c>
      <c r="M15" s="6" t="n">
        <v>80083</v>
      </c>
      <c r="N15" s="6" t="n">
        <v>27808</v>
      </c>
      <c r="O15" s="6" t="n">
        <v>96526</v>
      </c>
      <c r="P15" s="6" t="n">
        <v>8177</v>
      </c>
      <c r="Q15" s="6" t="n"/>
      <c r="R15" s="6" t="n"/>
      <c r="S15" s="6" t="n"/>
      <c r="T15" s="6" t="n"/>
    </row>
    <row r="16">
      <c r="A16" s="17" t="inlineStr">
        <is>
          <t>FY2016</t>
        </is>
      </c>
      <c r="B16" s="6" t="n">
        <v>85320</v>
      </c>
      <c r="C16" s="6" t="n">
        <v>58374</v>
      </c>
      <c r="D16" s="6" t="n">
        <v>68.40000000000001</v>
      </c>
      <c r="E16" s="6" t="n">
        <v>20182</v>
      </c>
      <c r="F16" s="6" t="n">
        <v>23.7</v>
      </c>
      <c r="G16" s="6" t="n">
        <v>16798</v>
      </c>
      <c r="H16" s="6" t="n">
        <v>19.7</v>
      </c>
      <c r="I16" s="6" t="n">
        <v>2.1</v>
      </c>
      <c r="J16" s="6" t="n">
        <v>24982</v>
      </c>
      <c r="K16" s="6" t="n">
        <v>33325</v>
      </c>
      <c r="L16" s="6" t="n">
        <v>8343</v>
      </c>
      <c r="M16" s="6" t="n">
        <v>83090</v>
      </c>
      <c r="N16" s="6" t="n">
        <v>40783</v>
      </c>
      <c r="O16" s="6" t="n">
        <v>113240</v>
      </c>
      <c r="P16" s="6" t="n">
        <v>7808</v>
      </c>
      <c r="Q16" s="6" t="n"/>
      <c r="R16" s="6" t="n"/>
      <c r="S16" s="6" t="n"/>
      <c r="T16" s="6" t="n"/>
    </row>
    <row r="17">
      <c r="A17" s="17" t="inlineStr">
        <is>
          <t>FY2017</t>
        </is>
      </c>
      <c r="B17" s="6" t="n">
        <v>89950</v>
      </c>
      <c r="C17" s="6" t="n">
        <v>55689</v>
      </c>
      <c r="D17" s="6" t="n">
        <v>61.9</v>
      </c>
      <c r="E17" s="6" t="n">
        <v>22326</v>
      </c>
      <c r="F17" s="6" t="n">
        <v>24.8</v>
      </c>
      <c r="G17" s="6" t="n">
        <v>21204</v>
      </c>
      <c r="H17" s="6" t="n">
        <v>23.6</v>
      </c>
      <c r="I17" s="6" t="n">
        <v>2.71</v>
      </c>
      <c r="J17" s="6" t="n">
        <v>31378</v>
      </c>
      <c r="K17" s="6" t="n">
        <v>39507</v>
      </c>
      <c r="L17" s="6" t="n">
        <v>8129</v>
      </c>
      <c r="M17" s="6" t="n">
        <v>87711</v>
      </c>
      <c r="N17" s="6" t="n">
        <v>76073</v>
      </c>
      <c r="O17" s="6" t="n">
        <v>132981</v>
      </c>
      <c r="P17" s="6" t="n">
        <v>7746</v>
      </c>
      <c r="Q17" s="6" t="n"/>
      <c r="R17" s="6" t="n"/>
      <c r="S17" s="6" t="n"/>
      <c r="T17" s="6" t="n"/>
    </row>
    <row r="18">
      <c r="A18" s="17" t="inlineStr">
        <is>
          <t>FY2018</t>
        </is>
      </c>
      <c r="B18" s="6" t="n">
        <v>110360</v>
      </c>
      <c r="C18" s="6" t="n">
        <v>72007</v>
      </c>
      <c r="D18" s="6" t="n">
        <v>65.3</v>
      </c>
      <c r="E18" s="6" t="n">
        <v>35058</v>
      </c>
      <c r="F18" s="6" t="n">
        <v>31.8</v>
      </c>
      <c r="G18" s="6" t="n">
        <v>16571</v>
      </c>
      <c r="H18" s="6" t="n">
        <v>15</v>
      </c>
      <c r="I18" s="6" t="n">
        <v>2.13</v>
      </c>
      <c r="J18" s="6" t="n">
        <v>32252</v>
      </c>
      <c r="K18" s="6" t="n">
        <v>43884</v>
      </c>
      <c r="L18" s="6" t="n">
        <v>11632</v>
      </c>
      <c r="M18" s="6" t="n">
        <v>82718</v>
      </c>
      <c r="N18" s="6" t="n">
        <v>72242</v>
      </c>
      <c r="O18" s="6" t="n">
        <v>133768</v>
      </c>
      <c r="P18" s="6" t="n">
        <v>7700</v>
      </c>
      <c r="Q18" s="6" t="n"/>
      <c r="R18" s="6" t="n"/>
      <c r="S18" s="6" t="n"/>
      <c r="T18" s="6" t="n"/>
    </row>
    <row r="19">
      <c r="A19" s="17" t="inlineStr">
        <is>
          <t>FY2019</t>
        </is>
      </c>
      <c r="B19" s="6" t="n">
        <v>125843</v>
      </c>
      <c r="C19" s="6" t="n">
        <v>82933</v>
      </c>
      <c r="D19" s="6" t="n">
        <v>65.90000000000001</v>
      </c>
      <c r="E19" s="6" t="n">
        <v>42959</v>
      </c>
      <c r="F19" s="6" t="n">
        <v>34.1</v>
      </c>
      <c r="G19" s="6" t="n">
        <v>39240</v>
      </c>
      <c r="H19" s="6" t="n">
        <v>31.2</v>
      </c>
      <c r="I19" s="6" t="n">
        <v>5.06</v>
      </c>
      <c r="J19" s="6" t="n">
        <v>38260</v>
      </c>
      <c r="K19" s="6" t="n">
        <v>52185</v>
      </c>
      <c r="L19" s="6" t="n">
        <v>13925</v>
      </c>
      <c r="M19" s="6" t="n">
        <v>102330</v>
      </c>
      <c r="N19" s="6" t="n">
        <v>66662</v>
      </c>
      <c r="O19" s="6" t="n">
        <v>133819</v>
      </c>
      <c r="P19" s="6" t="n">
        <v>7643</v>
      </c>
      <c r="Q19" s="6" t="n"/>
      <c r="R19" s="6" t="n"/>
      <c r="S19" s="6" t="n"/>
      <c r="T19" s="6" t="n"/>
    </row>
    <row r="20">
      <c r="A20" s="17" t="inlineStr">
        <is>
          <t>FY2020</t>
        </is>
      </c>
      <c r="B20" s="6" t="n">
        <v>143015</v>
      </c>
      <c r="C20" s="6" t="n">
        <v>96937</v>
      </c>
      <c r="D20" s="6" t="n">
        <v>67.8</v>
      </c>
      <c r="E20" s="6" t="n">
        <v>52959</v>
      </c>
      <c r="F20" s="6" t="n">
        <v>37</v>
      </c>
      <c r="G20" s="6" t="n">
        <v>44281</v>
      </c>
      <c r="H20" s="6" t="n">
        <v>31</v>
      </c>
      <c r="I20" s="6" t="n">
        <v>5.76</v>
      </c>
      <c r="J20" s="6" t="n">
        <v>45234</v>
      </c>
      <c r="K20" s="6" t="n">
        <v>60675</v>
      </c>
      <c r="L20" s="6" t="n">
        <v>15441</v>
      </c>
      <c r="M20" s="6" t="n">
        <v>118304</v>
      </c>
      <c r="N20" s="6" t="n">
        <v>66662</v>
      </c>
      <c r="O20" s="6" t="n">
        <v>133819</v>
      </c>
      <c r="P20" s="6" t="n">
        <v>7683</v>
      </c>
      <c r="Q20" s="6" t="n">
        <v>48366</v>
      </c>
      <c r="R20" s="6" t="n">
        <v>43076</v>
      </c>
      <c r="S20" s="6" t="n">
        <v>51573</v>
      </c>
    </row>
    <row r="21">
      <c r="A21" s="17" t="inlineStr">
        <is>
          <t>FY2021</t>
        </is>
      </c>
      <c r="B21" s="6" t="n">
        <v>168088</v>
      </c>
      <c r="C21" s="6" t="n">
        <v>115856</v>
      </c>
      <c r="D21" s="6" t="n">
        <v>68.90000000000001</v>
      </c>
      <c r="E21" s="6" t="n">
        <v>69916</v>
      </c>
      <c r="F21" s="6" t="n">
        <v>41.6</v>
      </c>
      <c r="G21" s="6" t="n">
        <v>61271</v>
      </c>
      <c r="H21" s="6" t="n">
        <v>36.5</v>
      </c>
      <c r="I21" s="6" t="n">
        <v>8.050000000000001</v>
      </c>
      <c r="J21" s="6" t="n">
        <v>56118</v>
      </c>
      <c r="K21" s="6" t="n">
        <v>76740</v>
      </c>
      <c r="L21" s="6" t="n">
        <v>20622</v>
      </c>
      <c r="M21" s="6" t="n">
        <v>141988</v>
      </c>
      <c r="N21" s="6" t="n">
        <v>58146</v>
      </c>
      <c r="O21" s="6" t="n">
        <v>130334</v>
      </c>
      <c r="P21" s="6" t="n">
        <v>7608</v>
      </c>
      <c r="Q21" s="6" t="n">
        <v>60080</v>
      </c>
      <c r="R21" s="6" t="n">
        <v>48728</v>
      </c>
      <c r="S21" s="6" t="n">
        <v>59280</v>
      </c>
    </row>
    <row r="22">
      <c r="A22" s="17" t="inlineStr">
        <is>
          <t>FY2022</t>
        </is>
      </c>
      <c r="B22" s="6" t="n">
        <v>198270</v>
      </c>
      <c r="C22" s="6" t="n">
        <v>135620</v>
      </c>
      <c r="D22" s="6" t="n">
        <v>68.40000000000001</v>
      </c>
      <c r="E22" s="6" t="n">
        <v>83383</v>
      </c>
      <c r="F22" s="6" t="n">
        <v>42.1</v>
      </c>
      <c r="G22" s="6" t="n">
        <v>72738</v>
      </c>
      <c r="H22" s="6" t="n">
        <v>36.7</v>
      </c>
      <c r="I22" s="6" t="n">
        <v>9.65</v>
      </c>
      <c r="J22" s="6" t="n">
        <v>65149</v>
      </c>
      <c r="K22" s="6" t="n">
        <v>89035</v>
      </c>
      <c r="L22" s="6" t="n">
        <v>23886</v>
      </c>
      <c r="M22" s="6" t="n">
        <v>166542</v>
      </c>
      <c r="N22" s="6" t="n">
        <v>49781</v>
      </c>
      <c r="O22" s="6" t="n">
        <v>104757</v>
      </c>
      <c r="P22" s="6" t="n">
        <v>7540</v>
      </c>
      <c r="Q22" s="6" t="n">
        <v>74965</v>
      </c>
      <c r="R22" s="6" t="n">
        <v>63364</v>
      </c>
      <c r="S22" s="6" t="n">
        <v>59941</v>
      </c>
    </row>
    <row r="23">
      <c r="A23" s="17" t="inlineStr">
        <is>
          <t>FY2023</t>
        </is>
      </c>
      <c r="B23" s="6" t="n">
        <v>211915</v>
      </c>
      <c r="C23" s="6" t="n">
        <v>146052</v>
      </c>
      <c r="D23" s="6" t="n">
        <v>68.90000000000001</v>
      </c>
      <c r="E23" s="6" t="n">
        <v>88523</v>
      </c>
      <c r="F23" s="6" t="n">
        <v>41.8</v>
      </c>
      <c r="G23" s="6" t="n">
        <v>72361</v>
      </c>
      <c r="H23" s="6" t="n">
        <v>34.2</v>
      </c>
      <c r="I23" s="6" t="n">
        <v>9.68</v>
      </c>
      <c r="J23" s="6" t="n">
        <v>59475</v>
      </c>
      <c r="K23" s="6" t="n">
        <v>87582</v>
      </c>
      <c r="L23" s="6" t="n">
        <v>28107</v>
      </c>
      <c r="M23" s="6" t="n">
        <v>206223</v>
      </c>
      <c r="N23" s="6" t="n">
        <v>50074</v>
      </c>
      <c r="O23" s="6" t="n">
        <v>48305</v>
      </c>
      <c r="P23" s="6" t="n">
        <v>7472</v>
      </c>
      <c r="Q23" s="6" t="n">
        <v>87907</v>
      </c>
      <c r="R23" s="6" t="n">
        <v>69274</v>
      </c>
      <c r="S23" s="6" t="n">
        <v>54734</v>
      </c>
    </row>
    <row r="24">
      <c r="A24" s="17" t="inlineStr">
        <is>
          <t>FY2024</t>
        </is>
      </c>
      <c r="B24" s="6" t="n">
        <v>245122</v>
      </c>
      <c r="C24" s="6" t="n">
        <v>171008</v>
      </c>
      <c r="D24" s="6" t="n">
        <v>69.8</v>
      </c>
      <c r="E24" s="6" t="n">
        <v>109433</v>
      </c>
      <c r="F24" s="6" t="n">
        <v>44.6</v>
      </c>
      <c r="G24" s="6" t="n">
        <v>88136</v>
      </c>
      <c r="H24" s="6" t="n">
        <v>36</v>
      </c>
      <c r="I24" s="6" t="n">
        <v>11.8</v>
      </c>
      <c r="J24" s="6" t="n">
        <v>74071</v>
      </c>
      <c r="K24" s="6" t="n">
        <v>118548</v>
      </c>
      <c r="L24" s="6" t="n">
        <v>44477</v>
      </c>
      <c r="M24" s="6" t="n">
        <v>268477</v>
      </c>
      <c r="N24" s="6" t="n">
        <v>51630</v>
      </c>
      <c r="O24" s="6" t="n">
        <v>75543</v>
      </c>
      <c r="P24" s="6" t="n">
        <v>7469</v>
      </c>
      <c r="Q24" s="6" t="n">
        <v>105362</v>
      </c>
      <c r="R24" s="6" t="n">
        <v>77728</v>
      </c>
      <c r="S24" s="6" t="n">
        <v>62032</v>
      </c>
    </row>
    <row r="25">
      <c r="A25" s="17" t="inlineStr">
        <is>
          <t>FY2025</t>
        </is>
      </c>
      <c r="B25" s="6" t="n">
        <v>281724</v>
      </c>
      <c r="C25" s="6" t="n">
        <v>193893</v>
      </c>
      <c r="D25" s="6" t="n">
        <v>68.8</v>
      </c>
      <c r="E25" s="6" t="n">
        <v>128528</v>
      </c>
      <c r="F25" s="6" t="n">
        <v>45.6</v>
      </c>
      <c r="G25" s="6" t="n">
        <v>101832</v>
      </c>
      <c r="H25" s="6" t="n">
        <v>36.2</v>
      </c>
      <c r="I25" s="6" t="n">
        <v>13.64</v>
      </c>
      <c r="J25" s="6" t="n">
        <v>71611</v>
      </c>
      <c r="K25" s="6" t="n">
        <v>136162</v>
      </c>
      <c r="L25" s="6" t="n">
        <v>64551</v>
      </c>
      <c r="M25" s="6" t="n">
        <v>343479</v>
      </c>
      <c r="N25" s="6" t="n">
        <v>43151</v>
      </c>
      <c r="O25" s="6" t="n">
        <v>94565</v>
      </c>
      <c r="P25" s="6" t="n">
        <v>7465</v>
      </c>
      <c r="Q25" s="6" t="n">
        <v>106265</v>
      </c>
      <c r="R25" s="6" t="n">
        <v>120810</v>
      </c>
      <c r="S25" s="6" t="n">
        <v>54649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2026-07-12T08:27:52Z</dcterms:created>
  <dcterms:modified xsi:type="dcterms:W3CDTF">2026-07-12T08:27:52Z</dcterms:modified>
</cp:coreProperties>
</file>