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<sst xmlns="http://schemas.openxmlformats.org/spreadsheetml/2006/main" count="384" uniqueCount="174">
  <si>
    <t xml:space="preserve">Ticker</t>
  </si>
  <si>
    <t xml:space="preserve">CBOE</t>
  </si>
  <si>
    <t xml:space="preserve">Company</t>
  </si>
  <si>
    <t xml:space="preserve">Cboe Global Markets,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</si>
  <si>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</si>
  <si>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</si>
  <si>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</si>
  <si>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</si>
  <si>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2026-09-25T20:00:00Z regular close (Yahoo Finance chart API); 52-week range 227.15-371.18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</si>
  <si>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</si>
  <si>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</si>
  <si>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</si>
  <si>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</si>
  <si>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</si>
  <si>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</si>
  <si>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</si>
  <si>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</si>
  <si>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</si>
  <si>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</si>
  <si>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</si>
  <si>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</si>
  <si>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2026-09-26T00:28:30Z</t>
  </si>
  <si>
    <t xml:space="preserve">Drivers file</t>
  </si>
  <si>
    <t xml:space="preserve">CBOE_Drivers.json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</si>
  <si>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</si>
  <si>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</si>
  <si>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</si>
  <si>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Cboe is valued as an asset-light, moderately volume-cyclical exchange operator whose durable moat is the exclusive SPX/VIX index-options licensing franchise -- a legal monopoly on the most actively traded U.S. index options with no substitutable venue. Owner FCF (SBC-adjusted, interest income immaterial to strip given thin net cash) is projected from a component build over a 10-year horizon, reflecting still-decelerating growth even though margins are already near mature levels. The strategic realignment (divesting Cboe Australia, Canada, Japan equities and corporate listings, substantially complete by year-end 2026) is treated as a guided, in-progress cost and focus programme, not an unproven bet.
key_risks_to_valuation: Sustained low-volatility, low-volume market regime compressing the highest-margin Options transaction revenue; Loss, non-renewal, or successful competitor challenge to the exclusive SPX/VIX index licenses from S&amp;P Dow Jones Indices; Retail 0DTE options volume proving more fickle than institutional flow if sentiment fades or the PDT rule is reinstated; Intensifying multi-listed options and cash-equities competition from CME, ICE/NYSE, Nasdaq and MIAX pressuring non-proprietary fee capture; Execution risk and one-time costs from the simultaneous divestitures and wind-downs comprising the 2025-2026 strategic realignment</t>
  </si>
  <si>
    <t xml:space="preserve">Data sources</t>
  </si>
  <si>
    <t xml:space="preserve">price: Yahoo Finance chart API; see inputs.price_as_of for timestamp and 52-week range
financials: research/CBOE/Reports/CBOE_Metrics.csv (SEC XBRL, DB-verified) for revenue/EBITDA/margin history; SEC XBRL companyconcept/companyfacts API (CIK0001374310) used directly to verify total debt, cash, diluted shares and dividends/buybacks for the latest quarters, per the data-quality flag in inputs.notes
qualitative: research/CBOE/Reports/CBOE_Analysis.json</t>
  </si>
  <si>
    <t xml:space="preserve">Scenario narrative: bear</t>
  </si>
  <si>
    <t xml:space="preserve">A sustained low-volatility regime compresses the highest-margin Options segment for years; retail 0DTE engagement fades on sentiment or regulatory reversal; multi-listed competition (CME, ICE/NYSE, Nasdaq, MIAX) pressures non-proprietary fee capture; margin compresses to 30% and growth settles near 3% terminal, still above zero given the durable SPX/VIX moat.</t>
  </si>
  <si>
    <t xml:space="preserve">Scenario narrative: base</t>
  </si>
  <si>
    <t xml:space="preserve">SPX/VIX exclusive licensing moat plus structural 0DTE retail growth (PDT repeal catalyst) sustain the guided mid-to-high-teens FY2026 growth, decelerating to a ~4.5% terminal rate as the base matures; Data Vantage's recurring international subscription growth stabilizes the mix; the strategic realignment delivers guided cost savings and a modest margin step-up to 37%.</t>
  </si>
  <si>
    <t xml:space="preserve">Scenario narrative: bull</t>
  </si>
  <si>
    <t xml:space="preserve">0DTE/retail adoption compounds well past current guidance across more products and geographies; Data Vantage international expansion (Cboe Global Cloud) scales faster than guided; realignment savings plus new product launches (volatility/thematic index suite, crypto derivatives) sustain higher growth for longer and push margin toward 40%.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</si>
  <si>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</si>
  <si>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</si>
  <si>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</si>
  <si>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</si>
  <si>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</si>
  <si>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</si>
  <si>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</si>
  <si>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</si>
  <si>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</si>
  <si>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</si>
  <si>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</si>
  <si>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</si>
  <si>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</si>
  <si>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</si>
  <si>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</si>
  <si>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</si>
  <si>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</si>
  <si>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</si>
  <si>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</si>
  <si>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</si>
  <si>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</si>
  <si>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</si>
  <si>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</si>
  <si>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</si>
  <si>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</si>
  <si>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</si>
  <si>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</si>
  <si>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</si>
  <si>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</si>
  <si>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</si>
  <si>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</si>
  <si>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</si>
  <si>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</si>
  <si>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</si>
  <si>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</si>
  <si>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</si>
  <si>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</si>
  <si>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</si>
  <si>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</si>
  <si>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</si>
  <si>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</si>
  <si>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</si>
  <si>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</si>
  <si>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</si>
  <si>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</si>
  <si>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</si>
  <si>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</si>
  <si>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</si>
  <si>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</si>
  <si>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</si>
  <si>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</si>
  <si>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</si>
  <si>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</si>
  <si>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</si>
  <si>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Q3'25-Q2'26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</si>
  <si>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</si>
  <si>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</si>
  <si>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</si>
  <si>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</si>
  <si>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</si>
  <si>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</si>
  <si>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</si>
  <si>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</si>
  <si>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</si>
  <si>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</si>
  <si>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</si>
  <si>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</si>
  <si>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</si>
  <si>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</si>
  <si>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</si>
  <si>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</si>
  <si>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</si>
  <si>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</si>
  <si>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</si>
  <si>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</si>
  <si>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</si>
  <si>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</si>
  <si>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</si>
  <si>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</si>
  <si>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</si>
  <si>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</si>
  <si>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</si>
  <si>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</si>
  <si>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CBOE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</si>
  <si>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</si>
  <si>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</si>
  <si>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</si>
  <si>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</si>
  <si>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</si>
  <si>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</si>
  <si>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</si>
  <si>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</si>
  <si>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</si>
  <si>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</si>
  <si>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</si>
  <si>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</si>
  <si>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</si>
  <si>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</si>
  <si>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</si>
  <si>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</si>
  <si>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</si>
  <si>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</si>
  <si>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</si>
  <si>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</si>
  <si>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</si>
  <si>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</si>
  <si>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</si>
  <si>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</si>
  <si>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</si>
  <si>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</si>
  <si>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</si>
  <si>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</si>
  <si>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</si>
  <si>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</si>
  <si>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CBOE owner-FCF component DCF: base case (millions, USD)</t>
  </si>
  <si>
    <t xml:space="preserve">CBOE owner-FCF component DCF: bull case (millions, USD)</t>
  </si>
  <si>
    <t xml:space="preserve">CBOE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</si>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</sst>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258.03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381.66</v>
      </c>
      <c r="S2" s="0" t="n">
        <v>281.423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426.082</v>
      </c>
      <c r="F3" s="0" t="n">
        <v>177.585</v>
      </c>
      <c r="G3" s="0" t="n">
        <v>41.6785970775579</v>
      </c>
      <c r="H3" s="0" t="n">
        <v>205.097</v>
      </c>
      <c r="I3" s="0" t="n">
        <v>106.451</v>
      </c>
      <c r="J3" s="0" t="n">
        <v>24.9836885857652</v>
      </c>
      <c r="K3" s="0" t="n">
        <v>1.17</v>
      </c>
      <c r="L3" s="0" t="n">
        <v>112.766</v>
      </c>
      <c r="O3" s="0" t="n">
        <v>188.134</v>
      </c>
      <c r="S3" s="0" t="n">
        <v>383.73</v>
      </c>
      <c r="T3" s="0" t="n">
        <v>90.733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437.104</v>
      </c>
      <c r="F4" s="0" t="n">
        <v>167.341</v>
      </c>
      <c r="G4" s="0" t="n">
        <v>38.2840239393829</v>
      </c>
      <c r="H4" s="0" t="n">
        <v>197.232</v>
      </c>
      <c r="I4" s="0" t="n">
        <v>99.396</v>
      </c>
      <c r="J4" s="0" t="n">
        <v>22.739668362678</v>
      </c>
      <c r="K4" s="0" t="n">
        <v>1.03</v>
      </c>
      <c r="L4" s="0" t="n">
        <v>134.913</v>
      </c>
      <c r="O4" s="0" t="n">
        <v>175.874</v>
      </c>
      <c r="P4" s="0" t="n">
        <v>254.112</v>
      </c>
      <c r="Q4" s="0" t="n">
        <v>78.238</v>
      </c>
      <c r="S4" s="0" t="n">
        <v>53.789</v>
      </c>
      <c r="T4" s="0" t="n">
        <v>95.754</v>
      </c>
      <c r="U4" s="0" t="n">
        <v>20.801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508.144</v>
      </c>
      <c r="F5" s="0" t="n">
        <v>241.632</v>
      </c>
      <c r="G5" s="0" t="n">
        <v>47.5518750590384</v>
      </c>
      <c r="H5" s="0" t="n">
        <v>275.726</v>
      </c>
      <c r="I5" s="0" t="n">
        <v>139.406</v>
      </c>
      <c r="J5" s="0" t="n">
        <v>27.4343493183035</v>
      </c>
      <c r="K5" s="0" t="n">
        <v>1.52</v>
      </c>
      <c r="L5" s="0" t="n">
        <v>203.129</v>
      </c>
      <c r="O5" s="0" t="n">
        <v>236.27</v>
      </c>
      <c r="P5" s="0" t="n">
        <v>327.868</v>
      </c>
      <c r="Q5" s="0" t="n">
        <v>91.598</v>
      </c>
      <c r="S5" s="0" t="n">
        <v>134.936</v>
      </c>
      <c r="T5" s="0" t="n">
        <v>89.994</v>
      </c>
      <c r="U5" s="0" t="n">
        <v>12.618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512.338</v>
      </c>
      <c r="F6" s="0" t="n">
        <v>244.097</v>
      </c>
      <c r="G6" s="0" t="n">
        <v>47.6437429977866</v>
      </c>
      <c r="H6" s="0" t="n">
        <v>275.582</v>
      </c>
      <c r="I6" s="0" t="n">
        <v>157.395</v>
      </c>
      <c r="J6" s="0" t="n">
        <v>30.7209303233412</v>
      </c>
      <c r="K6" s="0" t="n">
        <v>1.78</v>
      </c>
      <c r="L6" s="0" t="n">
        <v>200.535</v>
      </c>
      <c r="O6" s="0" t="n">
        <v>239.122</v>
      </c>
      <c r="P6" s="0" t="n">
        <v>338.858</v>
      </c>
      <c r="Q6" s="0" t="n">
        <v>99.736</v>
      </c>
      <c r="S6" s="0" t="n">
        <v>135.597</v>
      </c>
      <c r="T6" s="0" t="n">
        <v>87.46</v>
      </c>
      <c r="U6" s="0" t="n">
        <v>12.348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572.05</v>
      </c>
      <c r="F7" s="0" t="n">
        <v>285.814</v>
      </c>
      <c r="G7" s="0" t="n">
        <v>49.9631151123154</v>
      </c>
      <c r="H7" s="0" t="n">
        <v>320.302</v>
      </c>
      <c r="I7" s="0" t="n">
        <v>175.999</v>
      </c>
      <c r="J7" s="0" t="n">
        <v>30.7663665763482</v>
      </c>
      <c r="K7" s="0" t="n">
        <v>1.99</v>
      </c>
      <c r="O7" s="0" t="n">
        <v>284.517</v>
      </c>
      <c r="P7" s="0" t="n">
        <v>441.589</v>
      </c>
      <c r="Q7" s="0" t="n">
        <v>157.072</v>
      </c>
      <c r="S7" s="0" t="n">
        <v>221.341</v>
      </c>
      <c r="T7" s="0" t="n">
        <v>87.331</v>
      </c>
      <c r="U7" s="0" t="n">
        <v>20.823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617.225</v>
      </c>
      <c r="F8" s="0" t="n">
        <v>313.801</v>
      </c>
      <c r="G8" s="0" t="n">
        <v>50.8406172789501</v>
      </c>
      <c r="H8" s="0" t="n">
        <v>353.714</v>
      </c>
      <c r="I8" s="0" t="n">
        <v>189.714</v>
      </c>
      <c r="J8" s="0" t="n">
        <v>30.7366033456195</v>
      </c>
      <c r="K8" s="0" t="n">
        <v>2.21</v>
      </c>
      <c r="O8" s="0" t="n">
        <v>250</v>
      </c>
      <c r="P8" s="0" t="n">
        <v>383.901</v>
      </c>
      <c r="Q8" s="0" t="n">
        <v>133.834</v>
      </c>
      <c r="S8" s="0" t="n">
        <v>147.9</v>
      </c>
      <c r="T8" s="0" t="n">
        <v>85.406</v>
      </c>
      <c r="U8" s="0" t="n">
        <v>15.577</v>
      </c>
      <c r="V8" s="0" t="n">
        <v>0.78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663.8</v>
      </c>
      <c r="C9" s="0" t="n">
        <v>102.1</v>
      </c>
      <c r="D9" s="0" t="n">
        <v>561.7</v>
      </c>
      <c r="E9" s="0" t="n">
        <v>84.6188611027418</v>
      </c>
      <c r="F9" s="0" t="n">
        <v>319.9</v>
      </c>
      <c r="G9" s="0" t="n">
        <v>48.1922265742694</v>
      </c>
      <c r="H9" s="0" t="n">
        <v>366.2</v>
      </c>
      <c r="I9" s="0" t="n">
        <v>205</v>
      </c>
      <c r="J9" s="0" t="n">
        <v>30.8827960228985</v>
      </c>
      <c r="K9" s="0" t="n">
        <v>2.46</v>
      </c>
      <c r="L9" s="0" t="n">
        <v>245.3</v>
      </c>
      <c r="M9" s="0" t="n">
        <v>39.3</v>
      </c>
      <c r="N9" s="0" t="n">
        <v>206</v>
      </c>
      <c r="O9" s="0" t="n">
        <v>259.7</v>
      </c>
      <c r="P9" s="0" t="n">
        <v>384.788</v>
      </c>
      <c r="Q9" s="0" t="n">
        <v>125.143</v>
      </c>
      <c r="S9" s="0" t="n">
        <v>102.3</v>
      </c>
      <c r="T9" s="0" t="n">
        <v>83.1</v>
      </c>
      <c r="U9" s="0" t="n">
        <v>12.2</v>
      </c>
      <c r="V9" s="0" t="n">
        <v>0.88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703.1</v>
      </c>
      <c r="C10" s="0" t="n">
        <v>136.7</v>
      </c>
      <c r="D10" s="0" t="n">
        <v>566.4</v>
      </c>
      <c r="E10" s="0" t="n">
        <v>80.5575309344332</v>
      </c>
      <c r="F10" s="0" t="n">
        <v>298.2</v>
      </c>
      <c r="G10" s="0" t="n">
        <v>42.4121746550988</v>
      </c>
      <c r="H10" s="0" t="n">
        <v>342.6</v>
      </c>
      <c r="I10" s="0" t="n">
        <v>186.8</v>
      </c>
      <c r="J10" s="0" t="n">
        <v>26.5680557530935</v>
      </c>
      <c r="K10" s="0" t="n">
        <v>2.27</v>
      </c>
      <c r="L10" s="0" t="n">
        <v>229.6</v>
      </c>
      <c r="M10" s="0" t="n">
        <v>44.4</v>
      </c>
      <c r="N10" s="0" t="n">
        <v>185.2</v>
      </c>
      <c r="O10" s="0" t="n">
        <v>317.9</v>
      </c>
      <c r="P10" s="0" t="n">
        <v>476.7</v>
      </c>
      <c r="Q10" s="0" t="n">
        <v>146.069</v>
      </c>
      <c r="R10" s="0" t="n">
        <v>0</v>
      </c>
      <c r="S10" s="0" t="n">
        <v>97.3</v>
      </c>
      <c r="T10" s="0" t="n">
        <v>81.4</v>
      </c>
      <c r="U10" s="0" t="n">
        <v>14.5</v>
      </c>
      <c r="V10" s="0" t="n">
        <v>0.96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2229.1</v>
      </c>
      <c r="C11" s="0" t="n">
        <v>1233.5</v>
      </c>
      <c r="D11" s="0" t="n">
        <v>995.6</v>
      </c>
      <c r="E11" s="0" t="n">
        <v>44.6637656453277</v>
      </c>
      <c r="F11" s="0" t="n">
        <v>371.9</v>
      </c>
      <c r="G11" s="0" t="n">
        <v>16.683863442645</v>
      </c>
      <c r="H11" s="0" t="n">
        <v>564.1</v>
      </c>
      <c r="I11" s="0" t="n">
        <v>401.7</v>
      </c>
      <c r="J11" s="0" t="n">
        <v>18.0207258534835</v>
      </c>
      <c r="K11" s="0" t="n">
        <v>3.7</v>
      </c>
      <c r="L11" s="0" t="n">
        <v>374.4</v>
      </c>
      <c r="M11" s="0" t="n">
        <v>37.5</v>
      </c>
      <c r="N11" s="0" t="n">
        <v>336.9</v>
      </c>
      <c r="O11" s="0" t="n">
        <v>3110.6</v>
      </c>
      <c r="P11" s="0" t="n">
        <v>5265.7</v>
      </c>
      <c r="R11" s="0" t="n">
        <v>1237.9</v>
      </c>
      <c r="S11" s="0" t="n">
        <v>143.5</v>
      </c>
      <c r="T11" s="0" t="n">
        <v>112.741217</v>
      </c>
      <c r="U11" s="0" t="n">
        <v>52.6</v>
      </c>
      <c r="V11" s="0" t="n">
        <v>1.04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2768.8</v>
      </c>
      <c r="C12" s="0" t="n">
        <v>1551.9</v>
      </c>
      <c r="D12" s="0" t="n">
        <v>1216.9</v>
      </c>
      <c r="E12" s="0" t="n">
        <v>43.9504478474429</v>
      </c>
      <c r="F12" s="0" t="n">
        <v>599.4</v>
      </c>
      <c r="G12" s="0" t="n">
        <v>21.648367523837</v>
      </c>
      <c r="H12" s="0" t="n">
        <v>803.4</v>
      </c>
      <c r="I12" s="0" t="n">
        <v>426.5</v>
      </c>
      <c r="J12" s="0" t="n">
        <v>15.4037850332274</v>
      </c>
      <c r="K12" s="0" t="n">
        <v>3.78</v>
      </c>
      <c r="L12" s="0" t="n">
        <v>534.7</v>
      </c>
      <c r="M12" s="0" t="n">
        <v>36.3</v>
      </c>
      <c r="N12" s="0" t="n">
        <v>498.4</v>
      </c>
      <c r="O12" s="0" t="n">
        <v>3241</v>
      </c>
      <c r="P12" s="0" t="n">
        <v>5321</v>
      </c>
      <c r="Q12" s="0" t="n">
        <v>2070.6</v>
      </c>
      <c r="R12" s="0" t="n">
        <v>1515.2</v>
      </c>
      <c r="S12" s="0" t="n">
        <v>275.1</v>
      </c>
      <c r="T12" s="0" t="n">
        <v>112.2</v>
      </c>
      <c r="U12" s="0" t="n">
        <v>35.1</v>
      </c>
      <c r="V12" s="0" t="n">
        <v>1.16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2496.1</v>
      </c>
      <c r="C13" s="0" t="n">
        <v>1359.2</v>
      </c>
      <c r="D13" s="0" t="n">
        <v>1136.9</v>
      </c>
      <c r="E13" s="0" t="n">
        <v>45.5470534033092</v>
      </c>
      <c r="F13" s="0" t="n">
        <v>537.2</v>
      </c>
      <c r="G13" s="0" t="n">
        <v>21.5215736549017</v>
      </c>
      <c r="H13" s="0" t="n">
        <v>713.8</v>
      </c>
      <c r="I13" s="0" t="n">
        <v>374.9</v>
      </c>
      <c r="J13" s="0" t="n">
        <v>15.0194303112856</v>
      </c>
      <c r="K13" s="0" t="n">
        <v>3.35</v>
      </c>
      <c r="L13" s="0" t="n">
        <v>632.8</v>
      </c>
      <c r="M13" s="0" t="n">
        <v>35.1</v>
      </c>
      <c r="N13" s="0" t="n">
        <v>597.7</v>
      </c>
      <c r="O13" s="0" t="n">
        <v>3355.6</v>
      </c>
      <c r="P13" s="0" t="n">
        <v>5113.9</v>
      </c>
      <c r="Q13" s="0" t="n">
        <v>1758.3</v>
      </c>
      <c r="R13" s="0" t="n">
        <v>867.6</v>
      </c>
      <c r="S13" s="0" t="n">
        <v>229.3</v>
      </c>
      <c r="T13" s="0" t="n">
        <v>111.8</v>
      </c>
      <c r="U13" s="0" t="n">
        <v>21.8</v>
      </c>
      <c r="V13" s="0" t="n">
        <v>1.34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3427.1</v>
      </c>
      <c r="C14" s="0" t="n">
        <v>2172.8</v>
      </c>
      <c r="D14" s="0" t="n">
        <v>1254.3</v>
      </c>
      <c r="E14" s="0" t="n">
        <v>36.5994572670771</v>
      </c>
      <c r="F14" s="0" t="n">
        <v>662.2</v>
      </c>
      <c r="G14" s="0" t="n">
        <v>19.3224592220828</v>
      </c>
      <c r="H14" s="0" t="n">
        <v>820.7</v>
      </c>
      <c r="I14" s="0" t="n">
        <v>468.2</v>
      </c>
      <c r="J14" s="0" t="n">
        <v>13.6616964780718</v>
      </c>
      <c r="K14" s="0" t="n">
        <v>4.28</v>
      </c>
      <c r="L14" s="0" t="n">
        <v>1458.8</v>
      </c>
      <c r="M14" s="0" t="n">
        <v>47.4</v>
      </c>
      <c r="N14" s="0" t="n">
        <v>1411.4</v>
      </c>
      <c r="O14" s="0" t="n">
        <v>3348.9</v>
      </c>
      <c r="P14" s="0" t="n">
        <v>6516.5</v>
      </c>
      <c r="Q14" s="0" t="n">
        <v>3167.6</v>
      </c>
      <c r="R14" s="0" t="n">
        <v>1272.6</v>
      </c>
      <c r="S14" s="0" t="n">
        <v>245.4</v>
      </c>
      <c r="T14" s="0" t="n">
        <v>109.3</v>
      </c>
      <c r="U14" s="0" t="n">
        <v>21.7</v>
      </c>
      <c r="V14" s="0" t="n">
        <v>1.56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3494.8</v>
      </c>
      <c r="C15" s="0" t="n">
        <v>2018.7</v>
      </c>
      <c r="D15" s="0" t="n">
        <v>1476.1</v>
      </c>
      <c r="E15" s="0" t="n">
        <v>42.2370378848575</v>
      </c>
      <c r="F15" s="0" t="n">
        <v>805.9</v>
      </c>
      <c r="G15" s="0" t="n">
        <v>23.0599748197322</v>
      </c>
      <c r="H15" s="0" t="n">
        <v>973.3</v>
      </c>
      <c r="I15" s="0" t="n">
        <v>529</v>
      </c>
      <c r="J15" s="0" t="n">
        <v>15.136774636603</v>
      </c>
      <c r="K15" s="0" t="n">
        <v>4.93</v>
      </c>
      <c r="L15" s="0" t="n">
        <v>596.8</v>
      </c>
      <c r="M15" s="0" t="n">
        <v>51</v>
      </c>
      <c r="N15" s="0" t="n">
        <v>545.8</v>
      </c>
      <c r="O15" s="0" t="n">
        <v>3604.8</v>
      </c>
      <c r="P15" s="0" t="n">
        <v>6814.5</v>
      </c>
      <c r="Q15" s="0" t="n">
        <v>3209.7</v>
      </c>
      <c r="R15" s="0" t="n">
        <v>1299.3</v>
      </c>
      <c r="S15" s="0" t="n">
        <v>341.9</v>
      </c>
      <c r="T15" s="0" t="n">
        <v>107.2</v>
      </c>
      <c r="U15" s="0" t="n">
        <v>26.6</v>
      </c>
      <c r="V15" s="0" t="n">
        <v>1.8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3958.5</v>
      </c>
      <c r="C16" s="0" t="n">
        <v>2216.8</v>
      </c>
      <c r="D16" s="0" t="n">
        <v>1741.7</v>
      </c>
      <c r="E16" s="0" t="n">
        <v>43.9989895162309</v>
      </c>
      <c r="F16" s="0" t="n">
        <v>489.6</v>
      </c>
      <c r="G16" s="0" t="n">
        <v>12.3683213338386</v>
      </c>
      <c r="H16" s="0" t="n">
        <v>656.4</v>
      </c>
      <c r="I16" s="0" t="n">
        <v>235</v>
      </c>
      <c r="J16" s="0" t="n">
        <v>5.9365921434887</v>
      </c>
      <c r="K16" s="0" t="n">
        <v>2.2</v>
      </c>
      <c r="L16" s="0" t="n">
        <v>651.1</v>
      </c>
      <c r="M16" s="0" t="n">
        <v>59.8</v>
      </c>
      <c r="N16" s="0" t="n">
        <v>591.3</v>
      </c>
      <c r="O16" s="0" t="n">
        <v>3465.3</v>
      </c>
      <c r="P16" s="0" t="n">
        <v>6998.9</v>
      </c>
      <c r="Q16" s="0" t="n">
        <v>3533.6</v>
      </c>
      <c r="R16" s="0" t="n">
        <v>2046.7</v>
      </c>
      <c r="S16" s="0" t="n">
        <v>432.7</v>
      </c>
      <c r="T16" s="0" t="n">
        <v>106.7</v>
      </c>
      <c r="U16" s="0" t="n">
        <v>30.7</v>
      </c>
      <c r="V16" s="0" t="n">
        <v>1.96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3773.5</v>
      </c>
      <c r="C17" s="0" t="n">
        <v>1855.5</v>
      </c>
      <c r="D17" s="0" t="n">
        <v>1918</v>
      </c>
      <c r="E17" s="0" t="n">
        <v>50.8281436332318</v>
      </c>
      <c r="F17" s="0" t="n">
        <v>1057.9</v>
      </c>
      <c r="G17" s="0" t="n">
        <v>28.0349807870677</v>
      </c>
      <c r="H17" s="0" t="n">
        <v>1215.9</v>
      </c>
      <c r="I17" s="0" t="n">
        <v>761.4</v>
      </c>
      <c r="J17" s="0" t="n">
        <v>20.1775539949649</v>
      </c>
      <c r="K17" s="0" t="n">
        <v>7.16</v>
      </c>
      <c r="L17" s="0" t="n">
        <v>1075.6</v>
      </c>
      <c r="M17" s="0" t="n">
        <v>45</v>
      </c>
      <c r="N17" s="0" t="n">
        <v>1030.6</v>
      </c>
      <c r="O17" s="0" t="n">
        <v>3985</v>
      </c>
      <c r="P17" s="0" t="n">
        <v>7487.5</v>
      </c>
      <c r="Q17" s="0" t="n">
        <v>3502.5</v>
      </c>
      <c r="R17" s="0" t="n">
        <v>1439.2</v>
      </c>
      <c r="S17" s="0" t="n">
        <v>543.2</v>
      </c>
      <c r="T17" s="0" t="n">
        <v>106.2</v>
      </c>
      <c r="U17" s="0" t="n">
        <v>41.3</v>
      </c>
      <c r="V17" s="0" t="n">
        <v>2.1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4094.5</v>
      </c>
      <c r="C18" s="0" t="n">
        <v>2022.1</v>
      </c>
      <c r="D18" s="0" t="n">
        <v>2072.4</v>
      </c>
      <c r="E18" s="0" t="n">
        <v>50.6142386127732</v>
      </c>
      <c r="F18" s="0" t="n">
        <v>1098.4</v>
      </c>
      <c r="G18" s="0" t="n">
        <v>26.826230308951</v>
      </c>
      <c r="H18" s="0" t="n">
        <v>1231.4</v>
      </c>
      <c r="I18" s="0" t="n">
        <v>764.9</v>
      </c>
      <c r="J18" s="0" t="n">
        <v>18.6811576505068</v>
      </c>
      <c r="K18" s="0" t="n">
        <v>7.24</v>
      </c>
      <c r="L18" s="0" t="n">
        <v>1100.6</v>
      </c>
      <c r="M18" s="0" t="n">
        <v>60.9</v>
      </c>
      <c r="N18" s="0" t="n">
        <v>1039.7</v>
      </c>
      <c r="O18" s="0" t="n">
        <v>4279.6</v>
      </c>
      <c r="P18" s="0" t="n">
        <v>7789.1</v>
      </c>
      <c r="Q18" s="0" t="n">
        <v>3509.5</v>
      </c>
      <c r="R18" s="0" t="n">
        <v>1441</v>
      </c>
      <c r="S18" s="0" t="n">
        <v>920.3</v>
      </c>
      <c r="T18" s="0" t="n">
        <v>105.5</v>
      </c>
      <c r="U18" s="0" t="n">
        <v>41.8</v>
      </c>
      <c r="V18" s="0" t="n">
        <v>2.36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4714.2</v>
      </c>
      <c r="C19" s="0" t="n">
        <v>2285.1</v>
      </c>
      <c r="D19" s="0" t="n">
        <v>2429.1</v>
      </c>
      <c r="E19" s="0" t="n">
        <v>51.5273004963727</v>
      </c>
      <c r="F19" s="0" t="n">
        <v>1467.1</v>
      </c>
      <c r="G19" s="0" t="n">
        <v>31.1208688642824</v>
      </c>
      <c r="H19" s="0" t="n">
        <v>1589.5</v>
      </c>
      <c r="I19" s="0" t="n">
        <v>1100</v>
      </c>
      <c r="J19" s="0" t="n">
        <v>23.3337575834712</v>
      </c>
      <c r="K19" s="0" t="n">
        <v>10.46</v>
      </c>
      <c r="L19" s="0" t="n">
        <v>1752.6</v>
      </c>
      <c r="M19" s="0" t="n">
        <v>71</v>
      </c>
      <c r="N19" s="0" t="n">
        <v>1681.6</v>
      </c>
      <c r="O19" s="0" t="n">
        <v>5138.3</v>
      </c>
      <c r="P19" s="0" t="n">
        <v>9305.3</v>
      </c>
      <c r="Q19" s="0" t="n">
        <v>4167</v>
      </c>
      <c r="R19" s="0" t="n">
        <v>1442.9</v>
      </c>
      <c r="S19" s="0" t="n">
        <v>2216.5</v>
      </c>
      <c r="T19" s="0" t="n">
        <v>105.1</v>
      </c>
      <c r="U19" s="0" t="n">
        <v>50.4</v>
      </c>
      <c r="V19" s="0" t="n">
        <v>2.7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258.03</v>
      </c>
    </row>
    <row r="3" customFormat="false" ht="15" hidden="false" customHeight="false" outlineLevel="0" collapsed="false">
      <c r="A3" s="0" t="s">
        <v>84</v>
      </c>
      <c r="B3" s="3" t="n">
        <v>104.9</v>
      </c>
    </row>
    <row r="4" customFormat="false" ht="15" hidden="false" customHeight="false" outlineLevel="0" collapsed="false">
      <c r="A4" s="0" t="s">
        <v>85</v>
      </c>
      <c r="B4" s="3" t="n">
        <v>-832.4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5061.3</v>
      </c>
    </row>
    <row r="8" customFormat="false" ht="15" hidden="false" customHeight="false" outlineLevel="0" collapsed="false">
      <c r="A8" s="0" t="s">
        <v>89</v>
      </c>
      <c r="B8" s="3" t="s">
        <v>90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</v>
      </c>
      <c r="D13" s="3" t="n">
        <v>3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32</v>
      </c>
      <c r="D14" s="3" t="n">
        <v>31</v>
      </c>
      <c r="E14" s="3" t="n">
        <v>30.5</v>
      </c>
      <c r="F14" s="3" t="n">
        <v>30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107</v>
      </c>
      <c r="C15" s="3" t="n">
        <v>1.8</v>
      </c>
      <c r="D15" s="3" t="n">
        <v>1.8</v>
      </c>
      <c r="E15" s="3" t="n">
        <v>1.8</v>
      </c>
      <c r="F15" s="3" t="n">
        <v>1.7</v>
      </c>
      <c r="G15" s="3" t="n">
        <v>1.7</v>
      </c>
      <c r="H15" s="3" t="n">
        <v>1.7</v>
      </c>
      <c r="I15" s="3" t="n">
        <v>1.7</v>
      </c>
      <c r="J15" s="3" t="n">
        <v>1.7</v>
      </c>
      <c r="K15" s="3" t="n">
        <v>1.7</v>
      </c>
      <c r="L15" s="3" t="n">
        <v>1.7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2.7</v>
      </c>
      <c r="D17" s="3" t="n">
        <v>2.7</v>
      </c>
      <c r="E17" s="3" t="n">
        <v>2.6</v>
      </c>
      <c r="F17" s="3" t="n">
        <v>2.6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110</v>
      </c>
      <c r="C18" s="3" t="n">
        <v>1.6</v>
      </c>
      <c r="D18" s="3" t="n">
        <v>1.6</v>
      </c>
      <c r="E18" s="3" t="n">
        <v>1.6</v>
      </c>
      <c r="F18" s="3" t="n">
        <v>1.5</v>
      </c>
      <c r="G18" s="3" t="n">
        <v>1.5</v>
      </c>
      <c r="H18" s="3" t="n">
        <v>1.5</v>
      </c>
      <c r="I18" s="3" t="n">
        <v>1.5</v>
      </c>
      <c r="J18" s="3" t="n">
        <v>1.5</v>
      </c>
      <c r="K18" s="3" t="n">
        <v>1.5</v>
      </c>
      <c r="L18" s="3" t="n">
        <v>1.5</v>
      </c>
    </row>
    <row r="19" customFormat="false" ht="15" hidden="false" customHeight="false" outlineLevel="0" collapsed="false">
      <c r="A19" s="0" t="s">
        <v>111</v>
      </c>
      <c r="C19" s="3" t="n">
        <v>29</v>
      </c>
      <c r="D19" s="3" t="n">
        <v>29</v>
      </c>
      <c r="E19" s="3" t="n">
        <v>28.5</v>
      </c>
      <c r="F19" s="3" t="n">
        <v>28.5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112</v>
      </c>
      <c r="B20" s="3" t="n">
        <v>10.5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2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13</v>
      </c>
      <c r="D27" s="3" t="n">
        <v>11</v>
      </c>
      <c r="E27" s="3" t="n">
        <v>9</v>
      </c>
      <c r="F27" s="3" t="n">
        <v>7.5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4.5</v>
      </c>
    </row>
    <row r="28" customFormat="false" ht="15" hidden="false" customHeight="false" outlineLevel="0" collapsed="false">
      <c r="A28" s="0" t="s">
        <v>106</v>
      </c>
      <c r="C28" s="3" t="n">
        <v>35</v>
      </c>
      <c r="D28" s="3" t="n">
        <v>35.5</v>
      </c>
      <c r="E28" s="3" t="n">
        <v>36</v>
      </c>
      <c r="F28" s="3" t="n">
        <v>36.5</v>
      </c>
      <c r="G28" s="3" t="n">
        <v>37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107</v>
      </c>
      <c r="C29" s="3" t="n">
        <v>1.7</v>
      </c>
      <c r="D29" s="3" t="n">
        <v>1.7</v>
      </c>
      <c r="E29" s="3" t="n">
        <v>1.6</v>
      </c>
      <c r="F29" s="3" t="n">
        <v>1.6</v>
      </c>
      <c r="G29" s="3" t="n">
        <v>1.6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2.6</v>
      </c>
      <c r="D31" s="3" t="n">
        <v>2.5</v>
      </c>
      <c r="E31" s="3" t="n">
        <v>2.4</v>
      </c>
      <c r="F31" s="3" t="n">
        <v>2.3</v>
      </c>
      <c r="G31" s="3" t="n">
        <v>2.2</v>
      </c>
      <c r="H31" s="3" t="n">
        <v>2.2</v>
      </c>
      <c r="I31" s="3" t="n">
        <v>2.1</v>
      </c>
      <c r="J31" s="3" t="n">
        <v>2.1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110</v>
      </c>
      <c r="C32" s="3" t="n">
        <v>1.5</v>
      </c>
      <c r="D32" s="3" t="n">
        <v>1.5</v>
      </c>
      <c r="E32" s="3" t="n">
        <v>1.4</v>
      </c>
      <c r="F32" s="3" t="n">
        <v>1.4</v>
      </c>
      <c r="G32" s="3" t="n">
        <v>1.4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111</v>
      </c>
      <c r="C33" s="3" t="n">
        <v>28</v>
      </c>
      <c r="D33" s="3" t="n">
        <v>28</v>
      </c>
      <c r="E33" s="3" t="n">
        <v>27.5</v>
      </c>
      <c r="F33" s="3" t="n">
        <v>27.5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3.5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2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18</v>
      </c>
      <c r="D41" s="3" t="n">
        <v>16</v>
      </c>
      <c r="E41" s="3" t="n">
        <v>13</v>
      </c>
      <c r="F41" s="3" t="n">
        <v>11</v>
      </c>
      <c r="G41" s="3" t="n">
        <v>9</v>
      </c>
      <c r="H41" s="3" t="n">
        <v>7.5</v>
      </c>
      <c r="I41" s="3" t="n">
        <v>6.5</v>
      </c>
      <c r="J41" s="3" t="n">
        <v>6</v>
      </c>
      <c r="K41" s="3" t="n">
        <v>5.5</v>
      </c>
      <c r="L41" s="3" t="n">
        <v>5</v>
      </c>
    </row>
    <row r="42" customFormat="false" ht="15" hidden="false" customHeight="false" outlineLevel="0" collapsed="false">
      <c r="A42" s="0" t="s">
        <v>106</v>
      </c>
      <c r="C42" s="3" t="n">
        <v>36</v>
      </c>
      <c r="D42" s="3" t="n">
        <v>37</v>
      </c>
      <c r="E42" s="3" t="n">
        <v>38</v>
      </c>
      <c r="F42" s="3" t="n">
        <v>39</v>
      </c>
      <c r="G42" s="3" t="n">
        <v>39.5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107</v>
      </c>
      <c r="C43" s="3" t="n">
        <v>1.7</v>
      </c>
      <c r="D43" s="3" t="n">
        <v>1.6</v>
      </c>
      <c r="E43" s="3" t="n">
        <v>1.6</v>
      </c>
      <c r="F43" s="3" t="n">
        <v>1.5</v>
      </c>
      <c r="G43" s="3" t="n">
        <v>1.5</v>
      </c>
      <c r="H43" s="3" t="n">
        <v>1.5</v>
      </c>
      <c r="I43" s="3" t="n">
        <v>1.4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2.5</v>
      </c>
      <c r="D45" s="3" t="n">
        <v>2.4</v>
      </c>
      <c r="E45" s="3" t="n">
        <v>2.3</v>
      </c>
      <c r="F45" s="3" t="n">
        <v>2.2</v>
      </c>
      <c r="G45" s="3" t="n">
        <v>2.1</v>
      </c>
      <c r="H45" s="3" t="n">
        <v>2</v>
      </c>
      <c r="I45" s="3" t="n">
        <v>2</v>
      </c>
      <c r="J45" s="3" t="n">
        <v>1.9</v>
      </c>
      <c r="K45" s="3" t="n">
        <v>1.9</v>
      </c>
      <c r="L45" s="3" t="n">
        <v>1.8</v>
      </c>
    </row>
    <row r="46" customFormat="false" ht="15" hidden="false" customHeight="false" outlineLevel="0" collapsed="false">
      <c r="A46" s="0" t="s">
        <v>110</v>
      </c>
      <c r="C46" s="3" t="n">
        <v>1.5</v>
      </c>
      <c r="D46" s="3" t="n">
        <v>1.4</v>
      </c>
      <c r="E46" s="3" t="n">
        <v>1.4</v>
      </c>
      <c r="F46" s="3" t="n">
        <v>1.3</v>
      </c>
      <c r="G46" s="3" t="n">
        <v>1.3</v>
      </c>
      <c r="H46" s="3" t="n">
        <v>1.3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111</v>
      </c>
      <c r="C47" s="3" t="n">
        <v>27</v>
      </c>
      <c r="D47" s="3" t="n">
        <v>27</v>
      </c>
      <c r="E47" s="3" t="n">
        <v>26.5</v>
      </c>
      <c r="F47" s="3" t="n">
        <v>26.5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112</v>
      </c>
      <c r="B48" s="3" t="n">
        <v>7.5</v>
      </c>
    </row>
    <row r="49" customFormat="false" ht="15" hidden="false" customHeight="false" outlineLevel="0" collapsed="false">
      <c r="A49" s="0" t="s">
        <v>113</v>
      </c>
      <c r="B49" s="3" t="n">
        <v>4</v>
      </c>
    </row>
    <row r="50" customFormat="false" ht="15" hidden="false" customHeight="false" outlineLevel="0" collapsed="false">
      <c r="A50" s="0" t="s">
        <v>114</v>
      </c>
      <c r="B50" s="3" t="n">
        <v>22</v>
      </c>
    </row>
    <row r="51" customFormat="false" ht="15" hidden="false" customHeight="false" outlineLevel="0" collapsed="false">
      <c r="A51" s="0" t="s">
        <v>115</v>
      </c>
      <c r="B51" s="3" t="n">
        <v>2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5061.3</v>
      </c>
      <c r="C6" s="0" t="n">
        <f aca="false">B6*(1+C5/100)</f>
        <v>5263.752</v>
      </c>
      <c r="D6" s="0" t="n">
        <f aca="false">C6*(1+D5/100)</f>
        <v>5421.66456</v>
      </c>
      <c r="E6" s="0" t="n">
        <f aca="false">D6*(1+E5/100)</f>
        <v>5557.206174</v>
      </c>
      <c r="F6" s="0" t="n">
        <f aca="false">E6*(1+F5/100)</f>
        <v>5723.92235922</v>
      </c>
      <c r="G6" s="0" t="n">
        <f aca="false">F6*(1+G5/100)</f>
        <v>5895.6400299966</v>
      </c>
      <c r="H6" s="0" t="n">
        <f aca="false">G6*(1+H5/100)</f>
        <v>6072.5092308965</v>
      </c>
      <c r="I6" s="0" t="n">
        <f aca="false">H6*(1+I5/100)</f>
        <v>6254.68450782339</v>
      </c>
      <c r="J6" s="0" t="n">
        <f aca="false">I6*(1+J5/100)</f>
        <v>6442.3250430581</v>
      </c>
      <c r="K6" s="0" t="n">
        <f aca="false">J6*(1+K5/100)</f>
        <v>6635.59479434984</v>
      </c>
      <c r="L6" s="0" t="n">
        <f aca="false">K6*(1+L5/100)</f>
        <v>6834.66263818033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32</v>
      </c>
      <c r="D7" s="4" t="n">
        <f aca="false">Assumptions!D14</f>
        <v>31</v>
      </c>
      <c r="E7" s="4" t="n">
        <f aca="false">Assumptions!E14</f>
        <v>30.5</v>
      </c>
      <c r="F7" s="4" t="n">
        <f aca="false">Assumptions!F14</f>
        <v>30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1684.40064</v>
      </c>
      <c r="D8" s="0" t="n">
        <f aca="false">D6*D7/100</f>
        <v>1680.7160136</v>
      </c>
      <c r="E8" s="0" t="n">
        <f aca="false">E6*E7/100</f>
        <v>1694.94788307</v>
      </c>
      <c r="F8" s="0" t="n">
        <f aca="false">F6*F7/100</f>
        <v>1717.176707766</v>
      </c>
      <c r="G8" s="0" t="n">
        <f aca="false">G6*G7/100</f>
        <v>1768.69200899898</v>
      </c>
      <c r="H8" s="0" t="n">
        <f aca="false">H6*H7/100</f>
        <v>1821.75276926895</v>
      </c>
      <c r="I8" s="0" t="n">
        <f aca="false">I6*I7/100</f>
        <v>1876.40535234702</v>
      </c>
      <c r="J8" s="0" t="n">
        <f aca="false">J6*J7/100</f>
        <v>1932.69751291743</v>
      </c>
      <c r="K8" s="0" t="n">
        <f aca="false">K6*K7/100</f>
        <v>1990.67843830495</v>
      </c>
      <c r="L8" s="0" t="n">
        <f aca="false">L6*L7/100</f>
        <v>2050.3987914541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1.8</v>
      </c>
      <c r="D9" s="4" t="n">
        <f aca="false">Assumptions!D15</f>
        <v>1.8</v>
      </c>
      <c r="E9" s="4" t="n">
        <f aca="false">Assumptions!E15</f>
        <v>1.8</v>
      </c>
      <c r="F9" s="4" t="n">
        <f aca="false">Assumptions!F15</f>
        <v>1.7</v>
      </c>
      <c r="G9" s="4" t="n">
        <f aca="false">Assumptions!G15</f>
        <v>1.7</v>
      </c>
      <c r="H9" s="4" t="n">
        <f aca="false">Assumptions!H15</f>
        <v>1.7</v>
      </c>
      <c r="I9" s="4" t="n">
        <f aca="false">Assumptions!I15</f>
        <v>1.7</v>
      </c>
      <c r="J9" s="4" t="n">
        <f aca="false">Assumptions!J15</f>
        <v>1.7</v>
      </c>
      <c r="K9" s="4" t="n">
        <f aca="false">Assumptions!K15</f>
        <v>1.7</v>
      </c>
      <c r="L9" s="4" t="n">
        <f aca="false">Assumptions!L15</f>
        <v>1.7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-94.747536</v>
      </c>
      <c r="D10" s="0" t="n">
        <f aca="false">-D6*D9/100</f>
        <v>-97.58996208</v>
      </c>
      <c r="E10" s="0" t="n">
        <f aca="false">-E6*E9/100</f>
        <v>-100.029711132</v>
      </c>
      <c r="F10" s="0" t="n">
        <f aca="false">-F6*F9/100</f>
        <v>-97.30668010674</v>
      </c>
      <c r="G10" s="0" t="n">
        <f aca="false">-G6*G9/100</f>
        <v>-100.225880509942</v>
      </c>
      <c r="H10" s="0" t="n">
        <f aca="false">-H6*H9/100</f>
        <v>-103.23265692524</v>
      </c>
      <c r="I10" s="0" t="n">
        <f aca="false">-I6*I9/100</f>
        <v>-106.329636632998</v>
      </c>
      <c r="J10" s="0" t="n">
        <f aca="false">-J6*J9/100</f>
        <v>-109.519525731988</v>
      </c>
      <c r="K10" s="0" t="n">
        <f aca="false">-K6*K9/100</f>
        <v>-112.805111503947</v>
      </c>
      <c r="L10" s="0" t="n">
        <f aca="false">-L6*L9/100</f>
        <v>-116.189264849066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1589.653104</v>
      </c>
      <c r="D11" s="0" t="n">
        <f aca="false">D8+D10+D24</f>
        <v>1583.12605152</v>
      </c>
      <c r="E11" s="0" t="n">
        <f aca="false">E8+E10+E24</f>
        <v>1594.918171938</v>
      </c>
      <c r="F11" s="0" t="n">
        <f aca="false">F8+F10+F24</f>
        <v>1619.87002765926</v>
      </c>
      <c r="G11" s="0" t="n">
        <f aca="false">G8+G10+G24</f>
        <v>1668.46612848904</v>
      </c>
      <c r="H11" s="0" t="n">
        <f aca="false">H8+H10+H24</f>
        <v>1718.52011234371</v>
      </c>
      <c r="I11" s="0" t="n">
        <f aca="false">I8+I10+I24</f>
        <v>1770.07571571402</v>
      </c>
      <c r="J11" s="0" t="n">
        <f aca="false">J8+J10+J24</f>
        <v>1823.17798718544</v>
      </c>
      <c r="K11" s="0" t="n">
        <f aca="false">K8+K10+K24</f>
        <v>1877.873326801</v>
      </c>
      <c r="L11" s="0" t="n">
        <f aca="false">L8+L10+L24</f>
        <v>1934.20952660503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-142.121304</v>
      </c>
      <c r="D12" s="4" t="n">
        <f aca="false">-D6*Assumptions!D17/100</f>
        <v>-146.38494312</v>
      </c>
      <c r="E12" s="4" t="n">
        <f aca="false">-E6*Assumptions!E17/100</f>
        <v>-144.487360524</v>
      </c>
      <c r="F12" s="4" t="n">
        <f aca="false">-F6*Assumptions!F17/100</f>
        <v>-148.82198133972</v>
      </c>
      <c r="G12" s="4" t="n">
        <f aca="false">-G6*Assumptions!G17/100</f>
        <v>-147.391000749915</v>
      </c>
      <c r="H12" s="4" t="n">
        <f aca="false">-H6*Assumptions!H17/100</f>
        <v>-151.812730772412</v>
      </c>
      <c r="I12" s="4" t="n">
        <f aca="false">-I6*Assumptions!I17/100</f>
        <v>-156.367112695585</v>
      </c>
      <c r="J12" s="4" t="n">
        <f aca="false">-J6*Assumptions!J17/100</f>
        <v>-161.058126076452</v>
      </c>
      <c r="K12" s="4" t="n">
        <f aca="false">-K6*Assumptions!K17/100</f>
        <v>-159.254275064396</v>
      </c>
      <c r="L12" s="4" t="n">
        <f aca="false">-L6*Assumptions!L17/100</f>
        <v>-164.031903316328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1447.5318</v>
      </c>
      <c r="D13" s="0" t="n">
        <f aca="false">D11+D12</f>
        <v>1436.7411084</v>
      </c>
      <c r="E13" s="0" t="n">
        <f aca="false">E11+E12</f>
        <v>1450.430811414</v>
      </c>
      <c r="F13" s="0" t="n">
        <f aca="false">F11+F12</f>
        <v>1471.04804631954</v>
      </c>
      <c r="G13" s="0" t="n">
        <f aca="false">G11+G12</f>
        <v>1521.07512773912</v>
      </c>
      <c r="H13" s="0" t="n">
        <f aca="false">H11+H12</f>
        <v>1566.7073815713</v>
      </c>
      <c r="I13" s="0" t="n">
        <f aca="false">I11+I12</f>
        <v>1613.70860301844</v>
      </c>
      <c r="J13" s="0" t="n">
        <f aca="false">J11+J12</f>
        <v>1662.11986110899</v>
      </c>
      <c r="K13" s="0" t="n">
        <f aca="false">K11+K12</f>
        <v>1718.61905173661</v>
      </c>
      <c r="L13" s="0" t="n">
        <f aca="false">L11+L12</f>
        <v>1770.17762328871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28.5</v>
      </c>
      <c r="F14" s="4" t="n">
        <f aca="false">Assumptions!F19</f>
        <v>28.5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1027.747578</v>
      </c>
      <c r="D15" s="0" t="n">
        <f aca="false">D13-MAX(0,D13)*D14/100</f>
        <v>1020.086186964</v>
      </c>
      <c r="E15" s="0" t="n">
        <f aca="false">E13-MAX(0,E13)*E14/100</f>
        <v>1037.05803016101</v>
      </c>
      <c r="F15" s="0" t="n">
        <f aca="false">F13-MAX(0,F13)*F14/100</f>
        <v>1051.79935311847</v>
      </c>
      <c r="G15" s="0" t="n">
        <f aca="false">G13-MAX(0,G13)*G14/100</f>
        <v>1095.17409197217</v>
      </c>
      <c r="H15" s="0" t="n">
        <f aca="false">H13-MAX(0,H13)*H14/100</f>
        <v>1128.02931473133</v>
      </c>
      <c r="I15" s="0" t="n">
        <f aca="false">I13-MAX(0,I13)*I14/100</f>
        <v>1161.87019417327</v>
      </c>
      <c r="J15" s="0" t="n">
        <f aca="false">J13-MAX(0,J13)*J14/100</f>
        <v>1196.72629999847</v>
      </c>
      <c r="K15" s="0" t="n">
        <f aca="false">K13-MAX(0,K13)*K14/100</f>
        <v>1237.40571725036</v>
      </c>
      <c r="L15" s="0" t="n">
        <f aca="false">L13-MAX(0,L13)*L14/100</f>
        <v>1274.52788876787</v>
      </c>
    </row>
    <row r="16" customFormat="false" ht="15" hidden="false" customHeight="false" outlineLevel="0" collapsed="false">
      <c r="A16" s="0" t="s">
        <v>127</v>
      </c>
      <c r="C16" s="0" t="n">
        <f aca="false">-C12</f>
        <v>142.121304</v>
      </c>
      <c r="D16" s="0" t="n">
        <f aca="false">-D12</f>
        <v>146.38494312</v>
      </c>
      <c r="E16" s="0" t="n">
        <f aca="false">-E12</f>
        <v>144.487360524</v>
      </c>
      <c r="F16" s="0" t="n">
        <f aca="false">-F12</f>
        <v>148.82198133972</v>
      </c>
      <c r="G16" s="0" t="n">
        <f aca="false">-G12</f>
        <v>147.391000749915</v>
      </c>
      <c r="H16" s="0" t="n">
        <f aca="false">-H12</f>
        <v>151.812730772412</v>
      </c>
      <c r="I16" s="0" t="n">
        <f aca="false">-I12</f>
        <v>156.367112695585</v>
      </c>
      <c r="J16" s="0" t="n">
        <f aca="false">-J12</f>
        <v>161.058126076452</v>
      </c>
      <c r="K16" s="0" t="n">
        <f aca="false">-K12</f>
        <v>159.254275064396</v>
      </c>
      <c r="L16" s="0" t="n">
        <f aca="false">-L12</f>
        <v>164.031903316328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-84.220032</v>
      </c>
      <c r="D17" s="4" t="n">
        <f aca="false">-D6*Assumptions!D18/100</f>
        <v>-86.74663296</v>
      </c>
      <c r="E17" s="4" t="n">
        <f aca="false">-E6*Assumptions!E18/100</f>
        <v>-88.915298784</v>
      </c>
      <c r="F17" s="4" t="n">
        <f aca="false">-F6*Assumptions!F18/100</f>
        <v>-85.8588353883</v>
      </c>
      <c r="G17" s="4" t="n">
        <f aca="false">-G6*Assumptions!G18/100</f>
        <v>-88.434600449949</v>
      </c>
      <c r="H17" s="4" t="n">
        <f aca="false">-H6*Assumptions!H18/100</f>
        <v>-91.0876384634475</v>
      </c>
      <c r="I17" s="4" t="n">
        <f aca="false">-I6*Assumptions!I18/100</f>
        <v>-93.8202676173509</v>
      </c>
      <c r="J17" s="4" t="n">
        <f aca="false">-J6*Assumptions!J18/100</f>
        <v>-96.6348756458714</v>
      </c>
      <c r="K17" s="4" t="n">
        <f aca="false">-K6*Assumptions!K18/100</f>
        <v>-99.5339219152476</v>
      </c>
      <c r="L17" s="4" t="n">
        <f aca="false">-L6*Assumptions!L18/100</f>
        <v>-102.519939572705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4.04904</v>
      </c>
      <c r="D18" s="4" t="n">
        <f aca="false">(D6-C6)*Assumptions!$B$23/100</f>
        <v>3.1582512</v>
      </c>
      <c r="E18" s="4" t="n">
        <f aca="false">(E6-D6)*Assumptions!$B$23/100</f>
        <v>2.71083228</v>
      </c>
      <c r="F18" s="4" t="n">
        <f aca="false">(F6-E6)*Assumptions!$B$23/100</f>
        <v>3.33432370439999</v>
      </c>
      <c r="G18" s="4" t="n">
        <f aca="false">(G6-F6)*Assumptions!$B$23/100</f>
        <v>3.43435341553201</v>
      </c>
      <c r="H18" s="4" t="n">
        <f aca="false">(H6-G6)*Assumptions!$B$23/100</f>
        <v>3.53738401799796</v>
      </c>
      <c r="I18" s="4" t="n">
        <f aca="false">(I6-H6)*Assumptions!$B$23/100</f>
        <v>3.6435055385379</v>
      </c>
      <c r="J18" s="4" t="n">
        <f aca="false">(J6-I6)*Assumptions!$B$23/100</f>
        <v>3.75281070469404</v>
      </c>
      <c r="K18" s="4" t="n">
        <f aca="false">(K6-J6)*Assumptions!$B$23/100</f>
        <v>3.86539502583486</v>
      </c>
      <c r="L18" s="4" t="n">
        <f aca="false">(L6-K6)*Assumptions!$B$23/100</f>
        <v>3.9813568766099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1089.69789</v>
      </c>
      <c r="D19" s="0" t="n">
        <f aca="false">D15+D16+D17+D18</f>
        <v>1082.882748324</v>
      </c>
      <c r="E19" s="0" t="n">
        <f aca="false">E15+E16+E17+E18</f>
        <v>1095.34092418101</v>
      </c>
      <c r="F19" s="0" t="n">
        <f aca="false">F15+F16+F17+F18</f>
        <v>1118.09682277429</v>
      </c>
      <c r="G19" s="0" t="n">
        <f aca="false">G15+G16+G17+G18</f>
        <v>1157.56484568767</v>
      </c>
      <c r="H19" s="0" t="n">
        <f aca="false">H15+H16+H17+H18</f>
        <v>1192.2917910583</v>
      </c>
      <c r="I19" s="0" t="n">
        <f aca="false">I15+I16+I17+I18</f>
        <v>1228.06054479005</v>
      </c>
      <c r="J19" s="0" t="n">
        <f aca="false">J15+J16+J17+J18</f>
        <v>1264.90236113375</v>
      </c>
      <c r="K19" s="0" t="n">
        <f aca="false">K15+K16+K17+K18</f>
        <v>1300.99146542534</v>
      </c>
      <c r="L19" s="0" t="n">
        <f aca="false">L15+L16+L17+L18</f>
        <v>1340.0212093881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986.151936651584</v>
      </c>
      <c r="D21" s="0" t="n">
        <f aca="false">D19*D20</f>
        <v>886.863699206814</v>
      </c>
      <c r="E21" s="0" t="n">
        <f aca="false">E19*E20</f>
        <v>811.82510998132</v>
      </c>
      <c r="F21" s="0" t="n">
        <f aca="false">F19*F20</f>
        <v>749.946532239039</v>
      </c>
      <c r="G21" s="0" t="n">
        <f aca="false">G19*G20</f>
        <v>702.641729990434</v>
      </c>
      <c r="H21" s="0" t="n">
        <f aca="false">H19*H20</f>
        <v>654.951114832712</v>
      </c>
      <c r="I21" s="0" t="n">
        <f aca="false">I19*I20</f>
        <v>610.497419255831</v>
      </c>
      <c r="J21" s="0" t="n">
        <f aca="false">J19*J20</f>
        <v>569.060942835753</v>
      </c>
      <c r="K21" s="0" t="n">
        <f aca="false">K19*K20</f>
        <v>529.680451889102</v>
      </c>
      <c r="L21" s="0" t="n">
        <f aca="false">L19*L20</f>
        <v>493.729289996177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6995.34822687877</v>
      </c>
    </row>
    <row r="31" customFormat="false" ht="15" hidden="false" customHeight="false" outlineLevel="0" collapsed="false">
      <c r="A31" s="0" t="s">
        <v>136</v>
      </c>
      <c r="B31" s="0" t="n">
        <f aca="false">L19</f>
        <v>1340.0212093881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17169.0217452851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18760.2969314334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17169.0217452851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6325.90652807602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13321.2547549548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14153.6547549548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134.925212154002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-0.477094864341349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613.4861656349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548.500593760516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146.002302329363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10988.1739169824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89.0521423040386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13</v>
      </c>
      <c r="D5" s="4" t="n">
        <f aca="false">Assumptions!D27</f>
        <v>11</v>
      </c>
      <c r="E5" s="4" t="n">
        <f aca="false">Assumptions!E27</f>
        <v>9</v>
      </c>
      <c r="F5" s="4" t="n">
        <f aca="false">Assumptions!F27</f>
        <v>7.5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5061.3</v>
      </c>
      <c r="C6" s="0" t="n">
        <f aca="false">B6*(1+C5/100)</f>
        <v>5719.269</v>
      </c>
      <c r="D6" s="0" t="n">
        <f aca="false">C6*(1+D5/100)</f>
        <v>6348.38859</v>
      </c>
      <c r="E6" s="0" t="n">
        <f aca="false">D6*(1+E5/100)</f>
        <v>6919.7435631</v>
      </c>
      <c r="F6" s="0" t="n">
        <f aca="false">E6*(1+F5/100)</f>
        <v>7438.7243303325</v>
      </c>
      <c r="G6" s="0" t="n">
        <f aca="false">F6*(1+G5/100)</f>
        <v>7922.24141180411</v>
      </c>
      <c r="H6" s="0" t="n">
        <f aca="false">G6*(1+H5/100)</f>
        <v>8397.57589651236</v>
      </c>
      <c r="I6" s="0" t="n">
        <f aca="false">H6*(1+I5/100)</f>
        <v>8859.44257082054</v>
      </c>
      <c r="J6" s="0" t="n">
        <f aca="false">I6*(1+J5/100)</f>
        <v>9302.41469936157</v>
      </c>
      <c r="K6" s="0" t="n">
        <f aca="false">J6*(1+K5/100)</f>
        <v>9721.02336083283</v>
      </c>
      <c r="L6" s="0" t="n">
        <f aca="false">K6*(1+L5/100)</f>
        <v>10158.4694120703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35</v>
      </c>
      <c r="D7" s="4" t="n">
        <f aca="false">Assumptions!D28</f>
        <v>35.5</v>
      </c>
      <c r="E7" s="4" t="n">
        <f aca="false">Assumptions!E28</f>
        <v>36</v>
      </c>
      <c r="F7" s="4" t="n">
        <f aca="false">Assumptions!F28</f>
        <v>36.5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2001.74415</v>
      </c>
      <c r="D8" s="0" t="n">
        <f aca="false">D6*D7/100</f>
        <v>2253.67794945</v>
      </c>
      <c r="E8" s="0" t="n">
        <f aca="false">E6*E7/100</f>
        <v>2491.107682716</v>
      </c>
      <c r="F8" s="0" t="n">
        <f aca="false">F6*F7/100</f>
        <v>2715.13438057136</v>
      </c>
      <c r="G8" s="0" t="n">
        <f aca="false">G6*G7/100</f>
        <v>2931.22932236752</v>
      </c>
      <c r="H8" s="0" t="n">
        <f aca="false">H6*H7/100</f>
        <v>3107.10308170957</v>
      </c>
      <c r="I8" s="0" t="n">
        <f aca="false">I6*I7/100</f>
        <v>3277.9937512036</v>
      </c>
      <c r="J8" s="0" t="n">
        <f aca="false">J6*J7/100</f>
        <v>3441.89343876378</v>
      </c>
      <c r="K8" s="0" t="n">
        <f aca="false">K6*K7/100</f>
        <v>3596.77864350815</v>
      </c>
      <c r="L8" s="0" t="n">
        <f aca="false">L6*L7/100</f>
        <v>3758.63368246602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1.7</v>
      </c>
      <c r="D9" s="4" t="n">
        <f aca="false">Assumptions!D29</f>
        <v>1.7</v>
      </c>
      <c r="E9" s="4" t="n">
        <f aca="false">Assumptions!E29</f>
        <v>1.6</v>
      </c>
      <c r="F9" s="4" t="n">
        <f aca="false">Assumptions!F29</f>
        <v>1.6</v>
      </c>
      <c r="G9" s="4" t="n">
        <f aca="false">Assumptions!G29</f>
        <v>1.6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-97.227573</v>
      </c>
      <c r="D10" s="0" t="n">
        <f aca="false">-D6*D9/100</f>
        <v>-107.92260603</v>
      </c>
      <c r="E10" s="0" t="n">
        <f aca="false">-E6*E9/100</f>
        <v>-110.7158970096</v>
      </c>
      <c r="F10" s="0" t="n">
        <f aca="false">-F6*F9/100</f>
        <v>-119.01958928532</v>
      </c>
      <c r="G10" s="0" t="n">
        <f aca="false">-G6*G9/100</f>
        <v>-126.755862588866</v>
      </c>
      <c r="H10" s="0" t="n">
        <f aca="false">-H6*H9/100</f>
        <v>-125.963638447685</v>
      </c>
      <c r="I10" s="0" t="n">
        <f aca="false">-I6*I9/100</f>
        <v>-132.891638562308</v>
      </c>
      <c r="J10" s="0" t="n">
        <f aca="false">-J6*J9/100</f>
        <v>-139.536220490424</v>
      </c>
      <c r="K10" s="0" t="n">
        <f aca="false">-K6*K9/100</f>
        <v>-145.815350412493</v>
      </c>
      <c r="L10" s="0" t="n">
        <f aca="false">-L6*L9/100</f>
        <v>-152.377041181055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1904.516577</v>
      </c>
      <c r="D11" s="0" t="n">
        <f aca="false">D8+D10+D24</f>
        <v>2145.75534342</v>
      </c>
      <c r="E11" s="0" t="n">
        <f aca="false">E8+E10+E24</f>
        <v>2380.3917857064</v>
      </c>
      <c r="F11" s="0" t="n">
        <f aca="false">F8+F10+F24</f>
        <v>2596.11479128604</v>
      </c>
      <c r="G11" s="0" t="n">
        <f aca="false">G8+G10+G24</f>
        <v>2804.47345977866</v>
      </c>
      <c r="H11" s="0" t="n">
        <f aca="false">H8+H10+H24</f>
        <v>2981.13944326189</v>
      </c>
      <c r="I11" s="0" t="n">
        <f aca="false">I8+I10+I24</f>
        <v>3145.10211264129</v>
      </c>
      <c r="J11" s="0" t="n">
        <f aca="false">J8+J10+J24</f>
        <v>3302.35721827336</v>
      </c>
      <c r="K11" s="0" t="n">
        <f aca="false">K8+K10+K24</f>
        <v>3450.96329309566</v>
      </c>
      <c r="L11" s="0" t="n">
        <f aca="false">L8+L10+L24</f>
        <v>3606.25664128496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-148.700994</v>
      </c>
      <c r="D12" s="4" t="n">
        <f aca="false">-D6*Assumptions!D31/100</f>
        <v>-158.70971475</v>
      </c>
      <c r="E12" s="4" t="n">
        <f aca="false">-E6*Assumptions!E31/100</f>
        <v>-166.0738455144</v>
      </c>
      <c r="F12" s="4" t="n">
        <f aca="false">-F6*Assumptions!F31/100</f>
        <v>-171.090659597647</v>
      </c>
      <c r="G12" s="4" t="n">
        <f aca="false">-G6*Assumptions!G31/100</f>
        <v>-174.28931105969</v>
      </c>
      <c r="H12" s="4" t="n">
        <f aca="false">-H6*Assumptions!H31/100</f>
        <v>-184.746669723272</v>
      </c>
      <c r="I12" s="4" t="n">
        <f aca="false">-I6*Assumptions!I31/100</f>
        <v>-186.048293987231</v>
      </c>
      <c r="J12" s="4" t="n">
        <f aca="false">-J6*Assumptions!J31/100</f>
        <v>-195.350708686593</v>
      </c>
      <c r="K12" s="4" t="n">
        <f aca="false">-K6*Assumptions!K31/100</f>
        <v>-194.420467216657</v>
      </c>
      <c r="L12" s="4" t="n">
        <f aca="false">-L6*Assumptions!L31/100</f>
        <v>-203.169388241406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1755.815583</v>
      </c>
      <c r="D13" s="0" t="n">
        <f aca="false">D11+D12</f>
        <v>1987.04562867</v>
      </c>
      <c r="E13" s="0" t="n">
        <f aca="false">E11+E12</f>
        <v>2214.317940192</v>
      </c>
      <c r="F13" s="0" t="n">
        <f aca="false">F11+F12</f>
        <v>2425.0241316884</v>
      </c>
      <c r="G13" s="0" t="n">
        <f aca="false">G11+G12</f>
        <v>2630.18414871896</v>
      </c>
      <c r="H13" s="0" t="n">
        <f aca="false">H11+H12</f>
        <v>2796.39277353862</v>
      </c>
      <c r="I13" s="0" t="n">
        <f aca="false">I11+I12</f>
        <v>2959.05381865406</v>
      </c>
      <c r="J13" s="0" t="n">
        <f aca="false">J11+J12</f>
        <v>3107.00650958676</v>
      </c>
      <c r="K13" s="0" t="n">
        <f aca="false">K11+K12</f>
        <v>3256.542825879</v>
      </c>
      <c r="L13" s="0" t="n">
        <f aca="false">L11+L12</f>
        <v>3403.08725304356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27.5</v>
      </c>
      <c r="F14" s="4" t="n">
        <f aca="false">Assumptions!F33</f>
        <v>27.5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1264.18721976</v>
      </c>
      <c r="D15" s="0" t="n">
        <f aca="false">D13-MAX(0,D13)*D14/100</f>
        <v>1430.6728526424</v>
      </c>
      <c r="E15" s="0" t="n">
        <f aca="false">E13-MAX(0,E13)*E14/100</f>
        <v>1605.3805066392</v>
      </c>
      <c r="F15" s="0" t="n">
        <f aca="false">F13-MAX(0,F13)*F14/100</f>
        <v>1758.14249547409</v>
      </c>
      <c r="G15" s="0" t="n">
        <f aca="false">G13-MAX(0,G13)*G14/100</f>
        <v>1920.03442856484</v>
      </c>
      <c r="H15" s="0" t="n">
        <f aca="false">H13-MAX(0,H13)*H14/100</f>
        <v>2041.36672468319</v>
      </c>
      <c r="I15" s="0" t="n">
        <f aca="false">I13-MAX(0,I13)*I14/100</f>
        <v>2160.10928761746</v>
      </c>
      <c r="J15" s="0" t="n">
        <f aca="false">J13-MAX(0,J13)*J14/100</f>
        <v>2268.11475199834</v>
      </c>
      <c r="K15" s="0" t="n">
        <f aca="false">K13-MAX(0,K13)*K14/100</f>
        <v>2377.27626289167</v>
      </c>
      <c r="L15" s="0" t="n">
        <f aca="false">L13-MAX(0,L13)*L14/100</f>
        <v>2484.2536947218</v>
      </c>
    </row>
    <row r="16" customFormat="false" ht="15" hidden="false" customHeight="false" outlineLevel="0" collapsed="false">
      <c r="A16" s="0" t="s">
        <v>127</v>
      </c>
      <c r="C16" s="0" t="n">
        <f aca="false">-C12</f>
        <v>148.700994</v>
      </c>
      <c r="D16" s="0" t="n">
        <f aca="false">-D12</f>
        <v>158.70971475</v>
      </c>
      <c r="E16" s="0" t="n">
        <f aca="false">-E12</f>
        <v>166.0738455144</v>
      </c>
      <c r="F16" s="0" t="n">
        <f aca="false">-F12</f>
        <v>171.090659597647</v>
      </c>
      <c r="G16" s="0" t="n">
        <f aca="false">-G12</f>
        <v>174.28931105969</v>
      </c>
      <c r="H16" s="0" t="n">
        <f aca="false">-H12</f>
        <v>184.746669723272</v>
      </c>
      <c r="I16" s="0" t="n">
        <f aca="false">-I12</f>
        <v>186.048293987231</v>
      </c>
      <c r="J16" s="0" t="n">
        <f aca="false">-J12</f>
        <v>195.350708686593</v>
      </c>
      <c r="K16" s="0" t="n">
        <f aca="false">-K12</f>
        <v>194.420467216657</v>
      </c>
      <c r="L16" s="0" t="n">
        <f aca="false">-L12</f>
        <v>203.169388241406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-85.789035</v>
      </c>
      <c r="D17" s="4" t="n">
        <f aca="false">-D6*Assumptions!D32/100</f>
        <v>-95.22582885</v>
      </c>
      <c r="E17" s="4" t="n">
        <f aca="false">-E6*Assumptions!E32/100</f>
        <v>-96.8764098834</v>
      </c>
      <c r="F17" s="4" t="n">
        <f aca="false">-F6*Assumptions!F32/100</f>
        <v>-104.142140624655</v>
      </c>
      <c r="G17" s="4" t="n">
        <f aca="false">-G6*Assumptions!G32/100</f>
        <v>-110.911379765258</v>
      </c>
      <c r="H17" s="4" t="n">
        <f aca="false">-H6*Assumptions!H32/100</f>
        <v>-109.168486654661</v>
      </c>
      <c r="I17" s="4" t="n">
        <f aca="false">-I6*Assumptions!I32/100</f>
        <v>-115.172753420667</v>
      </c>
      <c r="J17" s="4" t="n">
        <f aca="false">-J6*Assumptions!J32/100</f>
        <v>-120.9313910917</v>
      </c>
      <c r="K17" s="4" t="n">
        <f aca="false">-K6*Assumptions!K32/100</f>
        <v>-126.373303690827</v>
      </c>
      <c r="L17" s="4" t="n">
        <f aca="false">-L6*Assumptions!L32/100</f>
        <v>-132.060102356914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13.15938</v>
      </c>
      <c r="D18" s="4" t="n">
        <f aca="false">(D6-C6)*Assumptions!$B$37/100</f>
        <v>12.5823918</v>
      </c>
      <c r="E18" s="4" t="n">
        <f aca="false">(E6-D6)*Assumptions!$B$37/100</f>
        <v>11.427099462</v>
      </c>
      <c r="F18" s="4" t="n">
        <f aca="false">(F6-E6)*Assumptions!$B$37/100</f>
        <v>10.37961534465</v>
      </c>
      <c r="G18" s="4" t="n">
        <f aca="false">(G6-F6)*Assumptions!$B$37/100</f>
        <v>9.67034162943224</v>
      </c>
      <c r="H18" s="4" t="n">
        <f aca="false">(H6-G6)*Assumptions!$B$37/100</f>
        <v>9.50668969416494</v>
      </c>
      <c r="I18" s="4" t="n">
        <f aca="false">(I6-H6)*Assumptions!$B$37/100</f>
        <v>9.23733348616359</v>
      </c>
      <c r="J18" s="4" t="n">
        <f aca="false">(J6-I6)*Assumptions!$B$37/100</f>
        <v>8.85944257082054</v>
      </c>
      <c r="K18" s="4" t="n">
        <f aca="false">(K6-J6)*Assumptions!$B$37/100</f>
        <v>8.37217322942539</v>
      </c>
      <c r="L18" s="4" t="n">
        <f aca="false">(L6-K6)*Assumptions!$B$37/100</f>
        <v>8.74892102474954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1340.25855876</v>
      </c>
      <c r="D19" s="0" t="n">
        <f aca="false">D15+D16+D17+D18</f>
        <v>1506.7391303424</v>
      </c>
      <c r="E19" s="0" t="n">
        <f aca="false">E15+E16+E17+E18</f>
        <v>1686.0050417322</v>
      </c>
      <c r="F19" s="0" t="n">
        <f aca="false">F15+F16+F17+F18</f>
        <v>1835.47062979173</v>
      </c>
      <c r="G19" s="0" t="n">
        <f aca="false">G15+G16+G17+G18</f>
        <v>1993.08270148871</v>
      </c>
      <c r="H19" s="0" t="n">
        <f aca="false">H15+H16+H17+H18</f>
        <v>2126.45159744597</v>
      </c>
      <c r="I19" s="0" t="n">
        <f aca="false">I15+I16+I17+I18</f>
        <v>2240.22216167019</v>
      </c>
      <c r="J19" s="0" t="n">
        <f aca="false">J15+J16+J17+J18</f>
        <v>2351.39351216405</v>
      </c>
      <c r="K19" s="0" t="n">
        <f aca="false">K15+K16+K17+K18</f>
        <v>2453.69559964692</v>
      </c>
      <c r="L19" s="0" t="n">
        <f aca="false">L15+L16+L17+L18</f>
        <v>2564.11190163104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1235.26134447926</v>
      </c>
      <c r="D21" s="0" t="n">
        <f aca="false">D19*D20</f>
        <v>1279.90752009378</v>
      </c>
      <c r="E21" s="0" t="n">
        <f aca="false">E19*E20</f>
        <v>1319.98700116718</v>
      </c>
      <c r="F21" s="0" t="n">
        <f aca="false">F19*F20</f>
        <v>1324.42840598682</v>
      </c>
      <c r="G21" s="0" t="n">
        <f aca="false">G19*G20</f>
        <v>1325.49052886042</v>
      </c>
      <c r="H21" s="0" t="n">
        <f aca="false">H19*H20</f>
        <v>1303.39806702841</v>
      </c>
      <c r="I21" s="0" t="n">
        <f aca="false">I19*I20</f>
        <v>1265.56053071256</v>
      </c>
      <c r="J21" s="0" t="n">
        <f aca="false">J19*J20</f>
        <v>1224.29876134334</v>
      </c>
      <c r="K21" s="0" t="n">
        <f aca="false">K19*K20</f>
        <v>1177.47864768049</v>
      </c>
      <c r="L21" s="0" t="n">
        <f aca="false">L19*L20</f>
        <v>1134.06929661393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12589.8801039662</v>
      </c>
    </row>
    <row r="31" customFormat="false" ht="15" hidden="false" customHeight="false" outlineLevel="0" collapsed="false">
      <c r="A31" s="0" t="s">
        <v>136</v>
      </c>
      <c r="B31" s="0" t="n">
        <f aca="false">L19</f>
        <v>2564.11190163104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53077.1163637625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51282.2380326207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51282.2380326207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22681.3859322785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35271.2660362447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36103.6660362447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344.172221508529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0.333845760215979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800.449343224908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1395.05875804774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365.101755362415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23077.0071146793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151.113885639923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18</v>
      </c>
      <c r="D5" s="4" t="n">
        <f aca="false">Assumptions!D41</f>
        <v>16</v>
      </c>
      <c r="E5" s="4" t="n">
        <f aca="false">Assumptions!E41</f>
        <v>13</v>
      </c>
      <c r="F5" s="4" t="n">
        <f aca="false">Assumptions!F41</f>
        <v>11</v>
      </c>
      <c r="G5" s="4" t="n">
        <f aca="false">Assumptions!G41</f>
        <v>9</v>
      </c>
      <c r="H5" s="4" t="n">
        <f aca="false">Assumptions!H41</f>
        <v>7.5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5061.3</v>
      </c>
      <c r="C6" s="0" t="n">
        <f aca="false">B6*(1+C5/100)</f>
        <v>5972.334</v>
      </c>
      <c r="D6" s="0" t="n">
        <f aca="false">C6*(1+D5/100)</f>
        <v>6927.90744</v>
      </c>
      <c r="E6" s="0" t="n">
        <f aca="false">D6*(1+E5/100)</f>
        <v>7828.5354072</v>
      </c>
      <c r="F6" s="0" t="n">
        <f aca="false">E6*(1+F5/100)</f>
        <v>8689.674301992</v>
      </c>
      <c r="G6" s="0" t="n">
        <f aca="false">F6*(1+G5/100)</f>
        <v>9471.74498917128</v>
      </c>
      <c r="H6" s="0" t="n">
        <f aca="false">G6*(1+H5/100)</f>
        <v>10182.1258633591</v>
      </c>
      <c r="I6" s="0" t="n">
        <f aca="false">H6*(1+I5/100)</f>
        <v>10843.9640444775</v>
      </c>
      <c r="J6" s="0" t="n">
        <f aca="false">I6*(1+J5/100)</f>
        <v>11494.6018871461</v>
      </c>
      <c r="K6" s="0" t="n">
        <f aca="false">J6*(1+K5/100)</f>
        <v>12126.8049909392</v>
      </c>
      <c r="L6" s="0" t="n">
        <f aca="false">K6*(1+L5/100)</f>
        <v>12733.1452404861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36</v>
      </c>
      <c r="D7" s="4" t="n">
        <f aca="false">Assumptions!D42</f>
        <v>37</v>
      </c>
      <c r="E7" s="4" t="n">
        <f aca="false">Assumptions!E42</f>
        <v>38</v>
      </c>
      <c r="F7" s="4" t="n">
        <f aca="false">Assumptions!F42</f>
        <v>39</v>
      </c>
      <c r="G7" s="4" t="n">
        <f aca="false">Assumptions!G42</f>
        <v>39.5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2150.04024</v>
      </c>
      <c r="D8" s="0" t="n">
        <f aca="false">D6*D7/100</f>
        <v>2563.3257528</v>
      </c>
      <c r="E8" s="0" t="n">
        <f aca="false">E6*E7/100</f>
        <v>2974.843454736</v>
      </c>
      <c r="F8" s="0" t="n">
        <f aca="false">F6*F7/100</f>
        <v>3388.97297777688</v>
      </c>
      <c r="G8" s="0" t="n">
        <f aca="false">G6*G7/100</f>
        <v>3741.33927072266</v>
      </c>
      <c r="H8" s="0" t="n">
        <f aca="false">H6*H7/100</f>
        <v>4072.85034534365</v>
      </c>
      <c r="I8" s="0" t="n">
        <f aca="false">I6*I7/100</f>
        <v>4337.58561779099</v>
      </c>
      <c r="J8" s="0" t="n">
        <f aca="false">J6*J7/100</f>
        <v>4597.84075485845</v>
      </c>
      <c r="K8" s="0" t="n">
        <f aca="false">K6*K7/100</f>
        <v>4850.72199637566</v>
      </c>
      <c r="L8" s="0" t="n">
        <f aca="false">L6*L7/100</f>
        <v>5093.25809619444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1.7</v>
      </c>
      <c r="D9" s="4" t="n">
        <f aca="false">Assumptions!D43</f>
        <v>1.6</v>
      </c>
      <c r="E9" s="4" t="n">
        <f aca="false">Assumptions!E43</f>
        <v>1.6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1.4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-101.529678</v>
      </c>
      <c r="D10" s="0" t="n">
        <f aca="false">-D6*D9/100</f>
        <v>-110.84651904</v>
      </c>
      <c r="E10" s="0" t="n">
        <f aca="false">-E6*E9/100</f>
        <v>-125.2565665152</v>
      </c>
      <c r="F10" s="0" t="n">
        <f aca="false">-F6*F9/100</f>
        <v>-130.34511452988</v>
      </c>
      <c r="G10" s="0" t="n">
        <f aca="false">-G6*G9/100</f>
        <v>-142.076174837569</v>
      </c>
      <c r="H10" s="0" t="n">
        <f aca="false">-H6*H9/100</f>
        <v>-152.731887950387</v>
      </c>
      <c r="I10" s="0" t="n">
        <f aca="false">-I6*I9/100</f>
        <v>-151.815496622685</v>
      </c>
      <c r="J10" s="0" t="n">
        <f aca="false">-J6*J9/100</f>
        <v>-160.924426420046</v>
      </c>
      <c r="K10" s="0" t="n">
        <f aca="false">-K6*K9/100</f>
        <v>-169.775269873148</v>
      </c>
      <c r="L10" s="0" t="n">
        <f aca="false">-L6*L9/100</f>
        <v>-178.264033366806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2048.510562</v>
      </c>
      <c r="D11" s="0" t="n">
        <f aca="false">D8+D10+D24</f>
        <v>2452.47923376</v>
      </c>
      <c r="E11" s="0" t="n">
        <f aca="false">E8+E10+E24</f>
        <v>2849.5868882208</v>
      </c>
      <c r="F11" s="0" t="n">
        <f aca="false">F8+F10+F24</f>
        <v>3258.627863247</v>
      </c>
      <c r="G11" s="0" t="n">
        <f aca="false">G8+G10+G24</f>
        <v>3599.26309588509</v>
      </c>
      <c r="H11" s="0" t="n">
        <f aca="false">H8+H10+H24</f>
        <v>3920.11845739326</v>
      </c>
      <c r="I11" s="0" t="n">
        <f aca="false">I8+I10+I24</f>
        <v>4185.7701211683</v>
      </c>
      <c r="J11" s="0" t="n">
        <f aca="false">J8+J10+J24</f>
        <v>4436.9163284384</v>
      </c>
      <c r="K11" s="0" t="n">
        <f aca="false">K8+K10+K24</f>
        <v>4680.94672650251</v>
      </c>
      <c r="L11" s="0" t="n">
        <f aca="false">L8+L10+L24</f>
        <v>4914.99406282764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-149.30835</v>
      </c>
      <c r="D12" s="4" t="n">
        <f aca="false">-D6*Assumptions!D45/100</f>
        <v>-166.26977856</v>
      </c>
      <c r="E12" s="4" t="n">
        <f aca="false">-E6*Assumptions!E45/100</f>
        <v>-180.0563143656</v>
      </c>
      <c r="F12" s="4" t="n">
        <f aca="false">-F6*Assumptions!F45/100</f>
        <v>-191.172834643824</v>
      </c>
      <c r="G12" s="4" t="n">
        <f aca="false">-G6*Assumptions!G45/100</f>
        <v>-198.906644772597</v>
      </c>
      <c r="H12" s="4" t="n">
        <f aca="false">-H6*Assumptions!H45/100</f>
        <v>-203.642517267183</v>
      </c>
      <c r="I12" s="4" t="n">
        <f aca="false">-I6*Assumptions!I45/100</f>
        <v>-216.879280889549</v>
      </c>
      <c r="J12" s="4" t="n">
        <f aca="false">-J6*Assumptions!J45/100</f>
        <v>-218.397435855776</v>
      </c>
      <c r="K12" s="4" t="n">
        <f aca="false">-K6*Assumptions!K45/100</f>
        <v>-230.409294827844</v>
      </c>
      <c r="L12" s="4" t="n">
        <f aca="false">-L6*Assumptions!L45/100</f>
        <v>-229.19661432875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1899.202212</v>
      </c>
      <c r="D13" s="0" t="n">
        <f aca="false">D11+D12</f>
        <v>2286.2094552</v>
      </c>
      <c r="E13" s="0" t="n">
        <f aca="false">E11+E12</f>
        <v>2669.5305738552</v>
      </c>
      <c r="F13" s="0" t="n">
        <f aca="false">F11+F12</f>
        <v>3067.45502860318</v>
      </c>
      <c r="G13" s="0" t="n">
        <f aca="false">G11+G12</f>
        <v>3400.35645111249</v>
      </c>
      <c r="H13" s="0" t="n">
        <f aca="false">H11+H12</f>
        <v>3716.47594012608</v>
      </c>
      <c r="I13" s="0" t="n">
        <f aca="false">I11+I12</f>
        <v>3968.89084027875</v>
      </c>
      <c r="J13" s="0" t="n">
        <f aca="false">J11+J12</f>
        <v>4218.51889258263</v>
      </c>
      <c r="K13" s="0" t="n">
        <f aca="false">K11+K12</f>
        <v>4450.53743167467</v>
      </c>
      <c r="L13" s="0" t="n">
        <f aca="false">L11+L12</f>
        <v>4685.79744849889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1386.41761476</v>
      </c>
      <c r="D15" s="0" t="n">
        <f aca="false">D13-MAX(0,D13)*D14/100</f>
        <v>1668.932902296</v>
      </c>
      <c r="E15" s="0" t="n">
        <f aca="false">E13-MAX(0,E13)*E14/100</f>
        <v>1962.10497178357</v>
      </c>
      <c r="F15" s="0" t="n">
        <f aca="false">F13-MAX(0,F13)*F14/100</f>
        <v>2254.57944602333</v>
      </c>
      <c r="G15" s="0" t="n">
        <f aca="false">G13-MAX(0,G13)*G14/100</f>
        <v>2516.26377382324</v>
      </c>
      <c r="H15" s="0" t="n">
        <f aca="false">H13-MAX(0,H13)*H14/100</f>
        <v>2750.1921956933</v>
      </c>
      <c r="I15" s="0" t="n">
        <f aca="false">I13-MAX(0,I13)*I14/100</f>
        <v>2936.97922180628</v>
      </c>
      <c r="J15" s="0" t="n">
        <f aca="false">J13-MAX(0,J13)*J14/100</f>
        <v>3121.70398051114</v>
      </c>
      <c r="K15" s="0" t="n">
        <f aca="false">K13-MAX(0,K13)*K14/100</f>
        <v>3293.39769943926</v>
      </c>
      <c r="L15" s="0" t="n">
        <f aca="false">L13-MAX(0,L13)*L14/100</f>
        <v>3467.49011188918</v>
      </c>
    </row>
    <row r="16" customFormat="false" ht="15" hidden="false" customHeight="false" outlineLevel="0" collapsed="false">
      <c r="A16" s="0" t="s">
        <v>127</v>
      </c>
      <c r="C16" s="0" t="n">
        <f aca="false">-C12</f>
        <v>149.30835</v>
      </c>
      <c r="D16" s="0" t="n">
        <f aca="false">-D12</f>
        <v>166.26977856</v>
      </c>
      <c r="E16" s="0" t="n">
        <f aca="false">-E12</f>
        <v>180.0563143656</v>
      </c>
      <c r="F16" s="0" t="n">
        <f aca="false">-F12</f>
        <v>191.172834643824</v>
      </c>
      <c r="G16" s="0" t="n">
        <f aca="false">-G12</f>
        <v>198.906644772597</v>
      </c>
      <c r="H16" s="0" t="n">
        <f aca="false">-H12</f>
        <v>203.642517267183</v>
      </c>
      <c r="I16" s="0" t="n">
        <f aca="false">-I12</f>
        <v>216.879280889549</v>
      </c>
      <c r="J16" s="0" t="n">
        <f aca="false">-J12</f>
        <v>218.397435855776</v>
      </c>
      <c r="K16" s="0" t="n">
        <f aca="false">-K12</f>
        <v>230.409294827844</v>
      </c>
      <c r="L16" s="0" t="n">
        <f aca="false">-L12</f>
        <v>229.19661432875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-89.58501</v>
      </c>
      <c r="D17" s="4" t="n">
        <f aca="false">-D6*Assumptions!D46/100</f>
        <v>-96.99070416</v>
      </c>
      <c r="E17" s="4" t="n">
        <f aca="false">-E6*Assumptions!E46/100</f>
        <v>-109.5994957008</v>
      </c>
      <c r="F17" s="4" t="n">
        <f aca="false">-F6*Assumptions!F46/100</f>
        <v>-112.965765925896</v>
      </c>
      <c r="G17" s="4" t="n">
        <f aca="false">-G6*Assumptions!G46/100</f>
        <v>-123.132684859227</v>
      </c>
      <c r="H17" s="4" t="n">
        <f aca="false">-H6*Assumptions!H46/100</f>
        <v>-132.367636223669</v>
      </c>
      <c r="I17" s="4" t="n">
        <f aca="false">-I6*Assumptions!I46/100</f>
        <v>-130.12756853373</v>
      </c>
      <c r="J17" s="4" t="n">
        <f aca="false">-J6*Assumptions!J46/100</f>
        <v>-137.935222645753</v>
      </c>
      <c r="K17" s="4" t="n">
        <f aca="false">-K6*Assumptions!K46/100</f>
        <v>-145.52165989127</v>
      </c>
      <c r="L17" s="4" t="n">
        <f aca="false">-L6*Assumptions!L46/100</f>
        <v>-152.797742885833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18.22068</v>
      </c>
      <c r="D18" s="4" t="n">
        <f aca="false">(D6-C6)*Assumptions!$B$51/100</f>
        <v>19.1114688</v>
      </c>
      <c r="E18" s="4" t="n">
        <f aca="false">(E6-D6)*Assumptions!$B$51/100</f>
        <v>18.012559344</v>
      </c>
      <c r="F18" s="4" t="n">
        <f aca="false">(F6-E6)*Assumptions!$B$51/100</f>
        <v>17.22277789584</v>
      </c>
      <c r="G18" s="4" t="n">
        <f aca="false">(G6-F6)*Assumptions!$B$51/100</f>
        <v>15.6414137435856</v>
      </c>
      <c r="H18" s="4" t="n">
        <f aca="false">(H6-G6)*Assumptions!$B$51/100</f>
        <v>14.2076174837569</v>
      </c>
      <c r="I18" s="4" t="n">
        <f aca="false">(I6-H6)*Assumptions!$B$51/100</f>
        <v>13.2367636223669</v>
      </c>
      <c r="J18" s="4" t="n">
        <f aca="false">(J6-I6)*Assumptions!$B$51/100</f>
        <v>13.012756853373</v>
      </c>
      <c r="K18" s="4" t="n">
        <f aca="false">(K6-J6)*Assumptions!$B$51/100</f>
        <v>12.6440620758607</v>
      </c>
      <c r="L18" s="4" t="n">
        <f aca="false">(L6-K6)*Assumptions!$B$51/100</f>
        <v>12.1268049909392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1464.36163476</v>
      </c>
      <c r="D19" s="0" t="n">
        <f aca="false">D15+D16+D17+D18</f>
        <v>1757.323445496</v>
      </c>
      <c r="E19" s="0" t="n">
        <f aca="false">E15+E16+E17+E18</f>
        <v>2050.57434979237</v>
      </c>
      <c r="F19" s="0" t="n">
        <f aca="false">F15+F16+F17+F18</f>
        <v>2350.0092926371</v>
      </c>
      <c r="G19" s="0" t="n">
        <f aca="false">G15+G16+G17+G18</f>
        <v>2607.6791474802</v>
      </c>
      <c r="H19" s="0" t="n">
        <f aca="false">H15+H16+H17+H18</f>
        <v>2835.67469422057</v>
      </c>
      <c r="I19" s="0" t="n">
        <f aca="false">I15+I16+I17+I18</f>
        <v>3036.96769778446</v>
      </c>
      <c r="J19" s="0" t="n">
        <f aca="false">J15+J16+J17+J18</f>
        <v>3215.17895057454</v>
      </c>
      <c r="K19" s="0" t="n">
        <f aca="false">K15+K16+K17+K18</f>
        <v>3390.92939645169</v>
      </c>
      <c r="L19" s="0" t="n">
        <f aca="false">L15+L16+L17+L18</f>
        <v>3556.01578832303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1362.19686954419</v>
      </c>
      <c r="D21" s="0" t="n">
        <f aca="false">D19*D20</f>
        <v>1520.66928761147</v>
      </c>
      <c r="E21" s="0" t="n">
        <f aca="false">E19*E20</f>
        <v>1650.63149643065</v>
      </c>
      <c r="F21" s="0" t="n">
        <f aca="false">F19*F20</f>
        <v>1759.68820330607</v>
      </c>
      <c r="G21" s="0" t="n">
        <f aca="false">G19*G20</f>
        <v>1816.40142057672</v>
      </c>
      <c r="H21" s="0" t="n">
        <f aca="false">H19*H20</f>
        <v>1837.40808074057</v>
      </c>
      <c r="I21" s="0" t="n">
        <f aca="false">I19*I20</f>
        <v>1830.54716370815</v>
      </c>
      <c r="J21" s="0" t="n">
        <f aca="false">J19*J20</f>
        <v>1802.75801834653</v>
      </c>
      <c r="K21" s="0" t="n">
        <f aca="false">K19*K20</f>
        <v>1768.65273104161</v>
      </c>
      <c r="L21" s="0" t="n">
        <f aca="false">L19*L20</f>
        <v>1725.35726943848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17074.3105407444</v>
      </c>
    </row>
    <row r="31" customFormat="false" ht="15" hidden="false" customHeight="false" outlineLevel="0" collapsed="false">
      <c r="A31" s="0" t="s">
        <v>136</v>
      </c>
      <c r="B31" s="0" t="n">
        <f aca="false">L19</f>
        <v>3556.01578832303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105664.469138742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78232.3473431067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78232.3473431067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37957.8599276466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55032.170468391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55864.570468391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532.550719431754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1.06391008577202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943.506001393129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2570.06661968765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566.045215342915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33620.5129077814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200.143141716804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134.925212154002</v>
      </c>
      <c r="C4" s="0" t="n">
        <f aca="false">B4/Assumptions!$B$2-1</f>
        <v>-0.477094864341349</v>
      </c>
      <c r="D4" s="4" t="n">
        <f aca="false">Assumptions!$B$24</f>
        <v>0.2</v>
      </c>
      <c r="E4" s="4" t="n">
        <f aca="false">DCF_Bear!$B$43</f>
        <v>146.002302329363</v>
      </c>
      <c r="F4" s="4" t="n">
        <f aca="false">DCF_Bear!$B$47</f>
        <v>89.0521423040386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344.172221508529</v>
      </c>
      <c r="C5" s="0" t="n">
        <f aca="false">B5/Assumptions!$B$2-1</f>
        <v>0.333845760215979</v>
      </c>
      <c r="D5" s="4" t="n">
        <f aca="false">Assumptions!$B$38</f>
        <v>0.5</v>
      </c>
      <c r="E5" s="4" t="n">
        <f aca="false">DCF_Base!$B$43</f>
        <v>365.101755362415</v>
      </c>
      <c r="F5" s="4" t="n">
        <f aca="false">DCF_Base!$B$47</f>
        <v>151.113885639923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532.550719431754</v>
      </c>
      <c r="C6" s="0" t="n">
        <f aca="false">B6/Assumptions!$B$2-1</f>
        <v>1.06391008577202</v>
      </c>
      <c r="D6" s="4" t="n">
        <f aca="false">Assumptions!$B$52</f>
        <v>0.3</v>
      </c>
      <c r="E6" s="4" t="n">
        <f aca="false">DCF_Bull!$B$43</f>
        <v>566.045215342915</v>
      </c>
      <c r="F6" s="4" t="n">
        <f aca="false">DCF_Bull!$B$47</f>
        <v>200.143141716804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358.836369014591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381.564902749955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0.280925730274827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-443.523415053147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153.41031379581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344.172221508529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319.315942749897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269.506087961009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233.058769084273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205.253252148307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151.113885639923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2.5</v>
      </c>
      <c r="C23" s="3" t="n">
        <v>3</v>
      </c>
      <c r="D23" s="3" t="n">
        <v>3.5</v>
      </c>
      <c r="E23" s="3" t="n">
        <v>4</v>
      </c>
      <c r="F23" s="3" t="n">
        <v>4.5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401.274454269702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401.274454269702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401.274454269702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401.274454269702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401.274454269702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371.355338256833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371.355338256833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371.355338256833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371.355338256833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371.355338256833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312.64026616893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330.412822814886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344.172221508529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344.172221508529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344.172221508529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266.607778938864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278.476202072583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292.322695728588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308.686733685685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319.446649054735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232.199347496192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240.49250164855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249.970392108388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260.906419562047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273.665118257982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2026-09-26T00:28:30Z</dcterms:created>
  <dc:creator>openpyxl</dc:creator>
  <dc:description/>
  <dc:language>en-NZ</dc:language>
  <cp:lastModifiedBy/>
  <dcterms:modified xsi:type="dcterms:W3CDTF">2026-09-26T00:28:30Z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