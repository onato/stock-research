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<sst xmlns="http://schemas.openxmlformats.org/spreadsheetml/2006/main" count="368" uniqueCount="170">
  <si>
    <t xml:space="preserve">Ticker</t>
  </si>
  <si>
    <t xml:space="preserve">QIA.DE</t>
  </si>
  <si>
    <t xml:space="preserve">Company</t>
  </si>
  <si>
    <t xml:space="preserve">QIAGEN N.V.</t>
  </si>
  <si>
    <t xml:space="preserve">Valuation date</t>
  </si>
  <si>
    <t xml:space="preserve">2026-10-25</t>
  </si>
  <si>
    <t xml:space="preserve">Current price</t>
  </si>
  <si>
    <t xml:space="preserve">Price as of</t>
  </si>
  <si>
    <t xml:space="preserve">2026-10-23T15:35:51Z (XETRA, after the 17:30 CEST close - effectively the Friday regular close); Yahoo Finance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</si>
  <si>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</si>
  <si>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</si>
  <si>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</si>
  <si>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</si>
  <si>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</si>
  <si>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</si>
  <si>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</si>
  <si>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EUR</t>
  </si>
  <si>
    <t xml:space="preserve">Units</t>
  </si>
  <si>
    <t xml:space="preserve">millions</t>
  </si>
  <si>
    <t xml:space="preserve">Engine</t>
  </si>
  <si>
    <t xml:space="preserve">dcf_engine v1</t>
  </si>
  <si>
    <t xml:space="preserve">Built at</t>
  </si>
  <si>
    <t xml:space="preserve">2026-10-25T02:37:17Z</t>
  </si>
  <si>
    <t xml:space="preserve">Drivers file</t>
  </si>
  <si>
    <t xml:space="preserve">QIA.DE_Drivers.json</t>
  </si>
  <si>
    <t xml:space="preserve">Convention</t>
  </si>
  <si>
    <t xml:space="preserve">Percents stored as percents; formulas divide by 100. Blue = input, green = link, black = formula.</t>
  </si>
  <si>
    <t xml:space="preserve">Methodology</t>
  </si>
  <si>
    <t xml:space="preserve">summary: QIAGEN is valued as a mature, consumables-led diagnostics compounder on a strict owner-FCF basis: SBC plus the cash taxes withheld on award vesting are charged as real costs and the share count is held flat (repurchases fund it). The flows are USD and discounted at a USD-built 8.5% WACC; per-share values are converted to EUR at the dated EURUSD rate for comparison with the XETRA quote, with the NYSE QGEN listing as the parity check. Guidance-year growth is anchored to the reaffirmed 1-2% CER outlook; margin and growth recovery thereafter are deliberately short of the 2028 Capital Markets Day targets after the 2026 cut.
key_risks_to_valuation: QuantiFERON immigration-testing demand: a second policy shock would move the base toward the bear growth path.; US life-sciences/academic capital spending: instrument placements drive consumable pull-through across PCR, NGS and Sample technologies.; Cash tax normalisation: FY2024-25 cash taxes were refund-flattered; a faster move to 20%+ lowers near-term FCF, slower raises it.; Margin recovery: tariffs and FX have already cost ~120bp; the base assumes ~150bp of recovery by 2028.; FX: the EUR value moves one-for-one with EURUSD; fx_rate is not updated by price-only refreshes.; Q3 2026 results (due late Oct / early Nov 2026) are not yet in the extracted filings; the shares rose ~9% in the week to 2026-10-23.</t>
  </si>
  <si>
    <t xml:space="preserve">Data sources</t>
  </si>
  <si>
    <t xml:space="preserve">price: Yahoo Finance chart API (QIA.DE, EUR) at inputs.price_as_of; 52-week range 27.56-47.60 EUR. Parity cross-check: QGEN (NYSE, USD) and EURUSD=X from the same endpoint, 2026-10-23.
financials: QIAGEN 20-F FY2015-FY2025 and 6-K quarterly reports through Q2 2026 (US GAAP, USD thousands, converted to millions) via QIA.DE_Metrics.csv / QIA.DE.duckdb; Q2 2026 6-K for balance sheet, diluted shares, convertible terms, dividend and H1 cash flow; FY2025 20-F for cash taxes paid, ETR and lease liabilities.
qualitative: QIA.DE_Analysis.json (2026-10-25): guidance as of Q2 2026 earnings (2026-08-05), 2028 Capital Markets Day targets, bull/bear cases.</t>
  </si>
  <si>
    <t xml:space="preserve">Scenario narrative: bear</t>
  </si>
  <si>
    <t xml:space="preserve">The guidance cut is the first sign of a structural slowdown, not a blip: immigration-testing policy keeps QuantiFERON flat for years, academic/government funding cuts keep instrument placements depressed, and BioFire (bioMerieux) and Cepheid (Danaher) out-scale QIAstat-Dx in syndromic testing. Tariffs and FX keep gross margin at ~66% and sub-scale R&amp;D/M&amp;A spend has to rise just to defend position, so pre-SBC EBITDA margin slips to 32.5% and growth settles at 2.5-3%. Capital returns continue but the business is valued as a slow-growing consumables franchise at a 15x terminal cap.</t>
  </si>
  <si>
    <t xml:space="preserve">Scenario narrative: base</t>
  </si>
  <si>
    <t xml:space="preserve">QuantiFERON's 2026 immigration-testing hit proves a one-off rebasing: the franchise holds ~$500m in 2026 and resumes mid-single-digit growth as TST-to-blood conversion continues. Discontinued-product headwinds lapse from mid-2026, QIAstat-Dx and QIAcuity keep compounding and Parse adds single-cell revenue, so group growth recovers to 5-6% in 2027-28 - below the 7% Capital Markets Day CAGR, which the 2026 cut has made unreachable on schedule. The US life-sciences instrument cycle stays soft but stops worsening. Margins recover ~150bp by 2028 as tariffs are absorbed and Parse scales, short of the full &gt;=31% adjusted-margin target. Cash taxes normalise from refund-flattered levels to ~20%.</t>
  </si>
  <si>
    <t xml:space="preserve">Scenario narrative: bull</t>
  </si>
  <si>
    <t xml:space="preserve">Both cyclical drags turn together: US/Middle East immigration screening normalises and latent-TB testing broadens into occupational and high-risk-population screening, while NIH/biopharma capex recovers and lifts QIAcuity and automation (QIAsymphony/QIAsprint Connect) placements and their consumable pull-through. Pillars reach ~$2bn in 2028, QDI's AI/NVIDIA work earns higher-margin software revenue, and QIAGEN hits its ~7% growth / &gt;=31% adjusted margin path a year late, reaching 37.5% pre-SBC EBITDA. Requires several independent things to go right, which is why its weight is held at 25%.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</si>
  <si>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</si>
  <si>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</si>
  <si>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</si>
  <si>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</si>
  <si>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</si>
  <si>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</si>
  <si>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</si>
  <si>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</si>
  <si>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</si>
  <si>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</si>
  <si>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</si>
  <si>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</si>
  <si>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</si>
  <si>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</si>
  <si>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</si>
  <si>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</si>
  <si>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</si>
  <si>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</si>
  <si>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</si>
  <si>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</si>
  <si>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</si>
  <si>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</si>
  <si>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</si>
  <si>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</si>
  <si>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</si>
  <si>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</si>
  <si>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</si>
  <si>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CashOnly</t>
  </si>
  <si>
    <t xml:space="preserve">EPSBasic</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</si>
  <si>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</si>
  <si>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</si>
  <si>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</si>
  <si>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</si>
  <si>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</si>
  <si>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</si>
  <si>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</si>
  <si>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</si>
  <si>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</si>
  <si>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</si>
  <si>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</si>
  <si>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</si>
  <si>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</si>
  <si>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</si>
  <si>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</si>
  <si>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</si>
  <si>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</si>
  <si>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</si>
  <si>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</si>
  <si>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</si>
  <si>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</si>
  <si>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</si>
  <si>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</si>
  <si>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</si>
  <si>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</si>
  <si>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</si>
  <si>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</si>
  <si>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</si>
  <si>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</si>
  <si>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</si>
  <si>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</si>
  <si>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</si>
  <si>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</si>
  <si>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</si>
  <si>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</si>
  <si>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</si>
  <si>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</si>
  <si>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</si>
  <si>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</si>
  <si>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</si>
  <si>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</si>
  <si>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</si>
  <si>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</si>
  <si>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</si>
  <si>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</si>
  <si>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</si>
  <si>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</si>
  <si>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</si>
  <si>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</si>
  <si>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QIA.DE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</si>
  <si>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</si>
  <si>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</si>
  <si>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</si>
  <si>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</si>
  <si>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</si>
  <si>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</si>
  <si>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</si>
  <si>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</si>
  <si>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</si>
  <si>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</si>
  <si>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</si>
  <si>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</si>
  <si>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</si>
  <si>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</si>
  <si>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</si>
  <si>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</si>
  <si>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</si>
  <si>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</si>
  <si>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</si>
  <si>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</si>
  <si>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</si>
  <si>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</si>
  <si>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</si>
  <si>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</si>
  <si>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</si>
  <si>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</si>
  <si>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</si>
  <si>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</si>
  <si>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</si>
  <si>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</si>
  <si>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QIA.DE owner-FCF component DCF: base case (millions, USD)</t>
  </si>
  <si>
    <t xml:space="preserve">QIA.DE owner-FCF component DCF: bull case (millions, USD)</t>
  </si>
  <si>
    <t xml:space="preserve">QIA.DE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</si>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</sst>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45.05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row>
    <row r="2" customFormat="false" ht="15" hidden="false" customHeight="false" outlineLevel="0" collapsed="false">
      <c r="A2" s="0" t="s">
        <v>66</v>
      </c>
      <c r="B2" s="0" t="n">
        <v>1344.777</v>
      </c>
      <c r="C2" s="0" t="n">
        <v>479.57</v>
      </c>
      <c r="D2" s="0" t="n">
        <v>865.207</v>
      </c>
      <c r="E2" s="0" t="n">
        <v>64.3</v>
      </c>
      <c r="F2" s="0" t="n">
        <v>161.693</v>
      </c>
      <c r="G2" s="0" t="n">
        <v>12</v>
      </c>
      <c r="H2" s="0" t="n">
        <v>362.475</v>
      </c>
      <c r="I2" s="0" t="n">
        <v>116.365</v>
      </c>
      <c r="J2" s="0" t="n">
        <v>8.7</v>
      </c>
      <c r="K2" s="0" t="n">
        <v>0.48</v>
      </c>
      <c r="L2" s="0" t="n">
        <v>287.965</v>
      </c>
      <c r="M2" s="0" t="n">
        <v>86.591</v>
      </c>
      <c r="N2" s="0" t="n">
        <v>201.374</v>
      </c>
      <c r="O2" s="0" t="n">
        <v>2649.744</v>
      </c>
      <c r="P2" s="0" t="n">
        <v>4454.372</v>
      </c>
      <c r="Q2" s="0" t="n">
        <v>1789.497</v>
      </c>
      <c r="R2" s="0" t="n">
        <v>1172.079</v>
      </c>
      <c r="S2" s="0" t="n">
        <v>576.703</v>
      </c>
      <c r="T2" s="0" t="n">
        <v>242.806</v>
      </c>
      <c r="U2" s="0" t="n">
        <v>41.313</v>
      </c>
      <c r="AA2" s="0" t="s">
        <v>18</v>
      </c>
      <c r="AB2" s="0" t="s">
        <v>14</v>
      </c>
      <c r="AC2" s="0" t="n">
        <v>392.667</v>
      </c>
      <c r="AD2" s="0" t="n">
        <v>0.5</v>
      </c>
    </row>
    <row r="3" customFormat="false" ht="15" hidden="false" customHeight="false" outlineLevel="0" collapsed="false">
      <c r="A3" s="0" t="s">
        <v>67</v>
      </c>
      <c r="B3" s="0" t="n">
        <v>1280.986</v>
      </c>
      <c r="C3" s="0" t="n">
        <v>454.328</v>
      </c>
      <c r="D3" s="0" t="n">
        <v>826.658</v>
      </c>
      <c r="E3" s="0" t="n">
        <v>64.5</v>
      </c>
      <c r="F3" s="0" t="n">
        <v>179.498</v>
      </c>
      <c r="G3" s="0" t="n">
        <v>14</v>
      </c>
      <c r="H3" s="0" t="n">
        <v>370.971</v>
      </c>
      <c r="I3" s="0" t="n">
        <v>130.148</v>
      </c>
      <c r="J3" s="0" t="n">
        <v>10.2</v>
      </c>
      <c r="K3" s="0" t="n">
        <v>0.55</v>
      </c>
      <c r="L3" s="0" t="n">
        <v>317.497</v>
      </c>
      <c r="M3" s="0" t="n">
        <v>97.778</v>
      </c>
      <c r="N3" s="0" t="n">
        <v>219.719</v>
      </c>
      <c r="O3" s="0" t="n">
        <v>2566.036</v>
      </c>
      <c r="P3" s="0" t="n">
        <v>4179.117</v>
      </c>
      <c r="Q3" s="0" t="n">
        <v>1611.047</v>
      </c>
      <c r="R3" s="0" t="n">
        <v>1049.026</v>
      </c>
      <c r="S3" s="0" t="n">
        <v>420.828</v>
      </c>
      <c r="T3" s="0" t="n">
        <v>238.647</v>
      </c>
      <c r="U3" s="0" t="n">
        <v>23.76</v>
      </c>
      <c r="AA3" s="0" t="s">
        <v>18</v>
      </c>
      <c r="AB3" s="0" t="s">
        <v>14</v>
      </c>
      <c r="AC3" s="0" t="n">
        <v>290.011</v>
      </c>
      <c r="AD3" s="0" t="n">
        <v>0.56</v>
      </c>
    </row>
    <row r="4" customFormat="false" ht="15" hidden="false" customHeight="false" outlineLevel="0" collapsed="false">
      <c r="A4" s="0" t="s">
        <v>68</v>
      </c>
      <c r="B4" s="0" t="n">
        <v>1337.991</v>
      </c>
      <c r="C4" s="0" t="n">
        <v>493.338</v>
      </c>
      <c r="D4" s="0" t="n">
        <v>844.653</v>
      </c>
      <c r="E4" s="0" t="n">
        <v>63.1</v>
      </c>
      <c r="F4" s="0" t="n">
        <v>98.827</v>
      </c>
      <c r="G4" s="0" t="n">
        <v>7.4</v>
      </c>
      <c r="H4" s="0" t="n">
        <v>311.883</v>
      </c>
      <c r="I4" s="0" t="n">
        <v>80.404</v>
      </c>
      <c r="J4" s="0" t="n">
        <v>6</v>
      </c>
      <c r="K4" s="0" t="n">
        <v>0.34</v>
      </c>
      <c r="L4" s="0" t="n">
        <v>341.602</v>
      </c>
      <c r="M4" s="0" t="n">
        <v>74.536</v>
      </c>
      <c r="N4" s="0" t="n">
        <v>267.066</v>
      </c>
      <c r="O4" s="0" t="n">
        <v>2607.096</v>
      </c>
      <c r="P4" s="0" t="n">
        <v>4308.194</v>
      </c>
      <c r="Q4" s="0" t="n">
        <v>1701.098</v>
      </c>
      <c r="R4" s="0" t="n">
        <v>1067.096</v>
      </c>
      <c r="S4" s="0" t="n">
        <v>532.179</v>
      </c>
      <c r="T4" s="0" t="n">
        <v>238.993</v>
      </c>
      <c r="U4" s="0" t="n">
        <v>28.288</v>
      </c>
      <c r="AA4" s="0" t="s">
        <v>18</v>
      </c>
      <c r="AB4" s="0" t="s">
        <v>14</v>
      </c>
      <c r="AC4" s="0" t="n">
        <v>439.18</v>
      </c>
      <c r="AD4" s="0" t="n">
        <v>0.34</v>
      </c>
    </row>
    <row r="5" customFormat="false" ht="15" hidden="false" customHeight="false" outlineLevel="0" collapsed="false">
      <c r="A5" s="0" t="s">
        <v>69</v>
      </c>
      <c r="B5" s="0" t="n">
        <v>1417.536</v>
      </c>
      <c r="C5" s="0" t="n">
        <v>494.975</v>
      </c>
      <c r="D5" s="0" t="n">
        <v>922.561</v>
      </c>
      <c r="E5" s="0" t="n">
        <v>65.1</v>
      </c>
      <c r="F5" s="0" t="n">
        <v>153.419</v>
      </c>
      <c r="G5" s="0" t="n">
        <v>10.8</v>
      </c>
      <c r="H5" s="0" t="n">
        <v>369.867</v>
      </c>
      <c r="I5" s="0" t="n">
        <v>40.394</v>
      </c>
      <c r="J5" s="0" t="n">
        <v>2.8</v>
      </c>
      <c r="K5" s="0" t="n">
        <v>0.17</v>
      </c>
      <c r="L5" s="0" t="n">
        <v>286.779</v>
      </c>
      <c r="M5" s="0" t="n">
        <v>90.081</v>
      </c>
      <c r="N5" s="0" t="n">
        <v>196.698</v>
      </c>
      <c r="O5" s="0" t="n">
        <v>2540.996</v>
      </c>
      <c r="P5" s="0" t="n">
        <v>5038.516</v>
      </c>
      <c r="Q5" s="0" t="n">
        <v>2497.52</v>
      </c>
      <c r="R5" s="0" t="n">
        <v>1758.258</v>
      </c>
      <c r="S5" s="0" t="n">
        <v>1016.912</v>
      </c>
      <c r="T5" s="0" t="n">
        <v>233.009</v>
      </c>
      <c r="U5" s="0" t="n">
        <v>34.442</v>
      </c>
      <c r="AA5" s="0" t="s">
        <v>18</v>
      </c>
      <c r="AB5" s="0" t="s">
        <v>14</v>
      </c>
      <c r="AC5" s="0" t="n">
        <v>657.714</v>
      </c>
      <c r="AD5" s="0" t="n">
        <v>0.18</v>
      </c>
    </row>
    <row r="6" customFormat="false" ht="15" hidden="false" customHeight="false" outlineLevel="0" collapsed="false">
      <c r="A6" s="0" t="s">
        <v>70</v>
      </c>
      <c r="B6" s="0" t="n">
        <v>1501.848</v>
      </c>
      <c r="C6" s="0" t="n">
        <v>500.888</v>
      </c>
      <c r="D6" s="0" t="n">
        <v>1000.96</v>
      </c>
      <c r="E6" s="0" t="n">
        <v>66.6</v>
      </c>
      <c r="F6" s="0" t="n">
        <v>266.581</v>
      </c>
      <c r="G6" s="0" t="n">
        <v>17.8</v>
      </c>
      <c r="H6" s="0" t="n">
        <v>473.017</v>
      </c>
      <c r="I6" s="0" t="n">
        <v>190.38</v>
      </c>
      <c r="J6" s="0" t="n">
        <v>12.7</v>
      </c>
      <c r="K6" s="0" t="n">
        <v>0.82</v>
      </c>
      <c r="L6" s="0" t="n">
        <v>359.496</v>
      </c>
      <c r="M6" s="0" t="n">
        <v>109.773</v>
      </c>
      <c r="N6" s="0" t="n">
        <v>249.723</v>
      </c>
      <c r="O6" s="0" t="n">
        <v>2634.97</v>
      </c>
      <c r="P6" s="0" t="n">
        <v>5748.332</v>
      </c>
      <c r="Q6" s="0" t="n">
        <v>3113.362</v>
      </c>
      <c r="R6" s="0" t="n">
        <v>2174.206</v>
      </c>
      <c r="S6" s="0" t="n">
        <v>1393.685</v>
      </c>
      <c r="T6" s="0" t="n">
        <v>233.456</v>
      </c>
      <c r="U6" s="0" t="n">
        <v>40.113</v>
      </c>
      <c r="AA6" s="0" t="s">
        <v>18</v>
      </c>
      <c r="AB6" s="0" t="s">
        <v>14</v>
      </c>
      <c r="AC6" s="0" t="n">
        <v>1159.079</v>
      </c>
      <c r="AD6" s="0" t="n">
        <v>0.84</v>
      </c>
    </row>
    <row r="7" customFormat="false" ht="15" hidden="false" customHeight="false" outlineLevel="0" collapsed="false">
      <c r="A7" s="0" t="s">
        <v>71</v>
      </c>
      <c r="B7" s="0" t="n">
        <v>1526.424</v>
      </c>
      <c r="C7" s="0" t="n">
        <v>521.162</v>
      </c>
      <c r="D7" s="0" t="n">
        <v>1005.262</v>
      </c>
      <c r="E7" s="0" t="n">
        <v>65.9</v>
      </c>
      <c r="F7" s="0" t="n">
        <v>-26.136</v>
      </c>
      <c r="G7" s="0" t="n">
        <v>-1.7</v>
      </c>
      <c r="H7" s="0" t="n">
        <v>205.322</v>
      </c>
      <c r="I7" s="0" t="n">
        <v>-41.455</v>
      </c>
      <c r="J7" s="0" t="n">
        <v>-2.7</v>
      </c>
      <c r="K7" s="0" t="n">
        <v>-0.18</v>
      </c>
      <c r="L7" s="0" t="n">
        <v>330.843</v>
      </c>
      <c r="M7" s="0" t="n">
        <v>117.95</v>
      </c>
      <c r="N7" s="0" t="n">
        <v>212.893</v>
      </c>
      <c r="O7" s="0" t="n">
        <v>2536.591</v>
      </c>
      <c r="P7" s="0" t="n">
        <v>5235.616</v>
      </c>
      <c r="Q7" s="0" t="n">
        <v>2699.025</v>
      </c>
      <c r="R7" s="0" t="n">
        <v>1706.352</v>
      </c>
      <c r="S7" s="0" t="n">
        <v>753.233</v>
      </c>
      <c r="T7" s="0" t="n">
        <v>226.777</v>
      </c>
      <c r="U7" s="0" t="n">
        <v>65.893</v>
      </c>
      <c r="AA7" s="0" t="s">
        <v>18</v>
      </c>
      <c r="AB7" s="0" t="s">
        <v>14</v>
      </c>
      <c r="AC7" s="0" t="n">
        <v>623.647</v>
      </c>
      <c r="AD7" s="0" t="n">
        <v>-0.18</v>
      </c>
    </row>
    <row r="8" customFormat="false" ht="15" hidden="false" customHeight="false" outlineLevel="0" collapsed="false">
      <c r="A8" s="0" t="s">
        <v>72</v>
      </c>
      <c r="B8" s="0" t="n">
        <v>1870.346</v>
      </c>
      <c r="C8" s="0" t="n">
        <v>637.631</v>
      </c>
      <c r="D8" s="0" t="n">
        <v>1232.715</v>
      </c>
      <c r="E8" s="0" t="n">
        <v>65.9</v>
      </c>
      <c r="F8" s="0" t="n">
        <v>386.431</v>
      </c>
      <c r="G8" s="0" t="n">
        <v>20.7</v>
      </c>
      <c r="H8" s="0" t="n">
        <v>591.445</v>
      </c>
      <c r="I8" s="0" t="n">
        <v>359.188</v>
      </c>
      <c r="J8" s="0" t="n">
        <v>19.2</v>
      </c>
      <c r="K8" s="0" t="n">
        <v>1.53</v>
      </c>
      <c r="L8" s="0" t="n">
        <v>457.806</v>
      </c>
      <c r="M8" s="0" t="n">
        <v>132.787</v>
      </c>
      <c r="N8" s="0" t="n">
        <v>325.019</v>
      </c>
      <c r="O8" s="0" t="n">
        <v>2797.839</v>
      </c>
      <c r="P8" s="0" t="n">
        <v>5869.619</v>
      </c>
      <c r="Q8" s="0" t="n">
        <v>3071.78</v>
      </c>
      <c r="R8" s="0" t="n">
        <v>1922.749</v>
      </c>
      <c r="S8" s="0" t="n">
        <v>715.233</v>
      </c>
      <c r="T8" s="0" t="n">
        <v>234.214</v>
      </c>
      <c r="U8" s="0" t="n">
        <v>40.936</v>
      </c>
      <c r="AA8" s="0" t="s">
        <v>18</v>
      </c>
      <c r="AB8" s="0" t="s">
        <v>14</v>
      </c>
      <c r="AC8" s="0" t="n">
        <v>597.984</v>
      </c>
      <c r="AD8" s="0" t="n">
        <v>1.57</v>
      </c>
    </row>
    <row r="9" customFormat="false" ht="15" hidden="false" customHeight="false" outlineLevel="0" collapsed="false">
      <c r="A9" s="0" t="s">
        <v>73</v>
      </c>
      <c r="B9" s="0" t="n">
        <v>2251.657</v>
      </c>
      <c r="C9" s="0" t="n">
        <v>800.837</v>
      </c>
      <c r="D9" s="0" t="n">
        <v>1450.82</v>
      </c>
      <c r="E9" s="0" t="n">
        <v>64.4</v>
      </c>
      <c r="F9" s="0" t="n">
        <v>630.084</v>
      </c>
      <c r="G9" s="0" t="n">
        <v>28</v>
      </c>
      <c r="H9" s="0" t="n">
        <v>845.015</v>
      </c>
      <c r="I9" s="0" t="n">
        <v>512.599</v>
      </c>
      <c r="J9" s="0" t="n">
        <v>22.8</v>
      </c>
      <c r="K9" s="0" t="n">
        <v>2.21</v>
      </c>
      <c r="L9" s="0" t="n">
        <v>639.001</v>
      </c>
      <c r="M9" s="0" t="n">
        <v>189.904</v>
      </c>
      <c r="N9" s="0" t="n">
        <v>449.097</v>
      </c>
      <c r="O9" s="0" t="n">
        <v>3096.55</v>
      </c>
      <c r="P9" s="0" t="n">
        <v>6146.954</v>
      </c>
      <c r="Q9" s="0" t="n">
        <v>3050.404</v>
      </c>
      <c r="R9" s="0" t="n">
        <v>1941.77</v>
      </c>
      <c r="S9" s="0" t="n">
        <v>1065.301</v>
      </c>
      <c r="T9" s="0" t="n">
        <v>232.034</v>
      </c>
      <c r="U9" s="0" t="n">
        <v>38.391</v>
      </c>
      <c r="AA9" s="0" t="s">
        <v>18</v>
      </c>
      <c r="AB9" s="0" t="s">
        <v>14</v>
      </c>
      <c r="AC9" s="0" t="n">
        <v>880.516</v>
      </c>
      <c r="AD9" s="0" t="n">
        <v>2.25</v>
      </c>
    </row>
    <row r="10" customFormat="false" ht="15" hidden="false" customHeight="false" outlineLevel="0" collapsed="false">
      <c r="A10" s="0" t="s">
        <v>74</v>
      </c>
      <c r="B10" s="0" t="n">
        <v>2141.518</v>
      </c>
      <c r="C10" s="0" t="n">
        <v>756.955</v>
      </c>
      <c r="D10" s="0" t="n">
        <v>1384.563</v>
      </c>
      <c r="E10" s="0" t="n">
        <v>64.7</v>
      </c>
      <c r="F10" s="0" t="n">
        <v>531.46</v>
      </c>
      <c r="G10" s="0" t="n">
        <v>24.8</v>
      </c>
      <c r="H10" s="0" t="n">
        <v>739.857</v>
      </c>
      <c r="I10" s="0" t="n">
        <v>423.211</v>
      </c>
      <c r="J10" s="0" t="n">
        <v>19.8</v>
      </c>
      <c r="K10" s="0" t="n">
        <v>1.84</v>
      </c>
      <c r="L10" s="0" t="n">
        <v>715.264</v>
      </c>
      <c r="M10" s="0" t="n">
        <v>129.224</v>
      </c>
      <c r="N10" s="0" t="n">
        <v>586.04</v>
      </c>
      <c r="O10" s="0" t="n">
        <v>3466.611</v>
      </c>
      <c r="P10" s="0" t="n">
        <v>6287.735</v>
      </c>
      <c r="Q10" s="0" t="n">
        <v>2821.124</v>
      </c>
      <c r="R10" s="0" t="n">
        <v>1861.45</v>
      </c>
      <c r="S10" s="0" t="n">
        <v>1418.266</v>
      </c>
      <c r="T10" s="0" t="n">
        <v>230.136</v>
      </c>
      <c r="U10" s="0" t="n">
        <v>49.507</v>
      </c>
      <c r="AA10" s="0" t="s">
        <v>18</v>
      </c>
      <c r="AB10" s="0" t="s">
        <v>14</v>
      </c>
      <c r="AC10" s="0" t="n">
        <v>730.669</v>
      </c>
      <c r="AD10" s="0" t="n">
        <v>1.86</v>
      </c>
    </row>
    <row r="11" customFormat="false" ht="15" hidden="false" customHeight="false" outlineLevel="0" collapsed="false">
      <c r="A11" s="0" t="s">
        <v>75</v>
      </c>
      <c r="B11" s="0" t="n">
        <v>1965.311</v>
      </c>
      <c r="C11" s="0" t="n">
        <v>731.623</v>
      </c>
      <c r="D11" s="0" t="n">
        <v>1233.688</v>
      </c>
      <c r="E11" s="0" t="n">
        <v>62.8</v>
      </c>
      <c r="F11" s="0" t="n">
        <v>409.938</v>
      </c>
      <c r="G11" s="0" t="n">
        <v>20.9</v>
      </c>
      <c r="H11" s="0" t="n">
        <v>615.274</v>
      </c>
      <c r="I11" s="0" t="n">
        <v>341.303</v>
      </c>
      <c r="J11" s="0" t="n">
        <v>17.4</v>
      </c>
      <c r="K11" s="0" t="n">
        <v>1.48</v>
      </c>
      <c r="L11" s="0" t="n">
        <v>459.455</v>
      </c>
      <c r="M11" s="0" t="n">
        <v>149.71</v>
      </c>
      <c r="N11" s="0" t="n">
        <v>309.745</v>
      </c>
      <c r="O11" s="0" t="n">
        <v>3807.764</v>
      </c>
      <c r="P11" s="0" t="n">
        <v>6115.19</v>
      </c>
      <c r="Q11" s="0" t="n">
        <v>2307.426</v>
      </c>
      <c r="R11" s="0" t="n">
        <v>1509.794</v>
      </c>
      <c r="S11" s="0" t="n">
        <v>1057.782</v>
      </c>
      <c r="T11" s="0" t="n">
        <v>230.619</v>
      </c>
      <c r="U11" s="0" t="n">
        <v>47.1</v>
      </c>
      <c r="AA11" s="0" t="s">
        <v>18</v>
      </c>
      <c r="AB11" s="0" t="s">
        <v>14</v>
      </c>
      <c r="AC11" s="0" t="n">
        <v>668.084</v>
      </c>
      <c r="AD11" s="0" t="n">
        <v>1.5</v>
      </c>
    </row>
    <row r="12" customFormat="false" ht="15" hidden="false" customHeight="false" outlineLevel="0" collapsed="false">
      <c r="A12" s="0" t="s">
        <v>76</v>
      </c>
      <c r="B12" s="0" t="n">
        <v>1978.214</v>
      </c>
      <c r="C12" s="0" t="n">
        <v>1010.864</v>
      </c>
      <c r="D12" s="0" t="n">
        <v>967.35</v>
      </c>
      <c r="E12" s="0" t="n">
        <v>48.9</v>
      </c>
      <c r="F12" s="0" t="n">
        <v>97.711</v>
      </c>
      <c r="G12" s="0" t="n">
        <v>4.9</v>
      </c>
      <c r="H12" s="0" t="n">
        <v>300.979</v>
      </c>
      <c r="I12" s="0" t="n">
        <v>83.591</v>
      </c>
      <c r="J12" s="0" t="n">
        <v>4.2</v>
      </c>
      <c r="K12" s="0" t="n">
        <v>0.37</v>
      </c>
      <c r="L12" s="0" t="n">
        <v>673.551</v>
      </c>
      <c r="M12" s="0" t="n">
        <v>167.174</v>
      </c>
      <c r="N12" s="0" t="n">
        <v>506.377</v>
      </c>
      <c r="O12" s="0" t="n">
        <v>3567.339</v>
      </c>
      <c r="P12" s="0" t="n">
        <v>5689.622</v>
      </c>
      <c r="Q12" s="0" t="n">
        <v>2122.283</v>
      </c>
      <c r="R12" s="0" t="n">
        <v>1391.548</v>
      </c>
      <c r="S12" s="0" t="n">
        <v>1152.992</v>
      </c>
      <c r="T12" s="0" t="n">
        <v>224.717</v>
      </c>
      <c r="U12" s="0" t="n">
        <v>43.627</v>
      </c>
      <c r="AA12" s="0" t="s">
        <v>18</v>
      </c>
      <c r="AB12" s="0" t="s">
        <v>14</v>
      </c>
      <c r="AC12" s="0" t="n">
        <v>663.555</v>
      </c>
      <c r="AD12" s="0" t="n">
        <v>0.38</v>
      </c>
    </row>
    <row r="13" customFormat="false" ht="15" hidden="false" customHeight="false" outlineLevel="0" collapsed="false">
      <c r="A13" s="0" t="s">
        <v>77</v>
      </c>
      <c r="B13" s="0" t="n">
        <v>2089.999</v>
      </c>
      <c r="C13" s="0" t="n">
        <v>790.504</v>
      </c>
      <c r="D13" s="0" t="n">
        <v>1299.495</v>
      </c>
      <c r="E13" s="0" t="n">
        <v>62.2</v>
      </c>
      <c r="F13" s="0" t="n">
        <v>465.851</v>
      </c>
      <c r="G13" s="0" t="n">
        <v>22.3</v>
      </c>
      <c r="H13" s="0" t="n">
        <v>659.597</v>
      </c>
      <c r="I13" s="0" t="n">
        <v>424.88</v>
      </c>
      <c r="J13" s="0" t="n">
        <v>20.3</v>
      </c>
      <c r="K13" s="0" t="n">
        <v>1.94</v>
      </c>
      <c r="L13" s="0" t="n">
        <v>654.326</v>
      </c>
      <c r="M13" s="0" t="n">
        <v>201.049</v>
      </c>
      <c r="N13" s="0" t="n">
        <v>453.277</v>
      </c>
      <c r="O13" s="0" t="n">
        <v>3778.154</v>
      </c>
      <c r="P13" s="0" t="n">
        <v>6281.232</v>
      </c>
      <c r="Q13" s="0" t="n">
        <v>2503.078</v>
      </c>
      <c r="R13" s="0" t="n">
        <v>1654.428</v>
      </c>
      <c r="S13" s="0" t="n">
        <v>1098.918</v>
      </c>
      <c r="T13" s="0" t="n">
        <v>218.88</v>
      </c>
      <c r="U13" s="0" t="n">
        <v>50.4</v>
      </c>
      <c r="AA13" s="0" t="s">
        <v>18</v>
      </c>
      <c r="AB13" s="0" t="s">
        <v>14</v>
      </c>
      <c r="AC13" s="0" t="n">
        <v>839.005</v>
      </c>
      <c r="AD13" s="0" t="n">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45.05</v>
      </c>
    </row>
    <row r="3" customFormat="false" ht="15" hidden="false" customHeight="false" outlineLevel="0" collapsed="false">
      <c r="A3" s="0" t="s">
        <v>81</v>
      </c>
      <c r="B3" s="3" t="n">
        <v>207.828</v>
      </c>
    </row>
    <row r="4" customFormat="false" ht="15" hidden="false" customHeight="false" outlineLevel="0" collapsed="false">
      <c r="A4" s="0" t="s">
        <v>82</v>
      </c>
      <c r="B4" s="3" t="n">
        <v>850.122</v>
      </c>
    </row>
    <row r="5" customFormat="false" ht="15" hidden="false" customHeight="false" outlineLevel="0" collapsed="false">
      <c r="A5" s="0" t="s">
        <v>83</v>
      </c>
      <c r="B5" s="3" t="n">
        <v>-253.3</v>
      </c>
    </row>
    <row r="6" customFormat="false" ht="15" hidden="false" customHeight="false" outlineLevel="0" collapsed="false">
      <c r="A6" s="0" t="s">
        <v>84</v>
      </c>
      <c r="B6" s="3" t="n">
        <v>15</v>
      </c>
    </row>
    <row r="7" customFormat="false" ht="15" hidden="false" customHeight="false" outlineLevel="0" collapsed="false">
      <c r="A7" s="0" t="s">
        <v>85</v>
      </c>
      <c r="B7" s="3" t="n">
        <v>2089.999</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0.892538</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0.5</v>
      </c>
      <c r="D13" s="3" t="n">
        <v>2</v>
      </c>
      <c r="E13" s="3" t="n">
        <v>3</v>
      </c>
      <c r="F13" s="3" t="n">
        <v>3</v>
      </c>
      <c r="G13" s="3" t="n">
        <v>3</v>
      </c>
      <c r="H13" s="3" t="n">
        <v>2.5</v>
      </c>
      <c r="I13" s="3" t="n">
        <v>2.5</v>
      </c>
      <c r="J13" s="3" t="n">
        <v>2.5</v>
      </c>
      <c r="K13" s="3" t="n">
        <v>2.5</v>
      </c>
      <c r="L13" s="3" t="n">
        <v>2.5</v>
      </c>
    </row>
    <row r="14" customFormat="false" ht="15" hidden="false" customHeight="false" outlineLevel="0" collapsed="false">
      <c r="A14" s="0" t="s">
        <v>102</v>
      </c>
      <c r="C14" s="3" t="n">
        <v>33</v>
      </c>
      <c r="D14" s="3" t="n">
        <v>32.8</v>
      </c>
      <c r="E14" s="3" t="n">
        <v>32.5</v>
      </c>
      <c r="F14" s="3" t="n">
        <v>32.5</v>
      </c>
      <c r="G14" s="3" t="n">
        <v>32.5</v>
      </c>
      <c r="H14" s="3" t="n">
        <v>32.5</v>
      </c>
      <c r="I14" s="3" t="n">
        <v>32.5</v>
      </c>
      <c r="J14" s="3" t="n">
        <v>32.5</v>
      </c>
      <c r="K14" s="3" t="n">
        <v>32.5</v>
      </c>
      <c r="L14" s="3" t="n">
        <v>32.5</v>
      </c>
    </row>
    <row r="15" customFormat="false" ht="15" hidden="false" customHeight="false" outlineLevel="0" collapsed="false">
      <c r="A15" s="0" t="s">
        <v>103</v>
      </c>
      <c r="C15" s="3" t="n">
        <v>3.3</v>
      </c>
      <c r="D15" s="3" t="n">
        <v>3.4</v>
      </c>
      <c r="E15" s="3" t="n">
        <v>3.4</v>
      </c>
      <c r="F15" s="3" t="n">
        <v>3.4</v>
      </c>
      <c r="G15" s="3" t="n">
        <v>3.4</v>
      </c>
      <c r="H15" s="3" t="n">
        <v>3.4</v>
      </c>
      <c r="I15" s="3" t="n">
        <v>3.4</v>
      </c>
      <c r="J15" s="3" t="n">
        <v>3.4</v>
      </c>
      <c r="K15" s="3" t="n">
        <v>3.4</v>
      </c>
      <c r="L15" s="3" t="n">
        <v>3.4</v>
      </c>
    </row>
    <row r="16" customFormat="false" ht="15" hidden="false" customHeight="false" outlineLevel="0" collapsed="false">
      <c r="A16" s="0" t="s">
        <v>104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105</v>
      </c>
      <c r="C17" s="3" t="n">
        <v>9.6</v>
      </c>
      <c r="D17" s="3" t="n">
        <v>9.4</v>
      </c>
      <c r="E17" s="3" t="n">
        <v>9.2</v>
      </c>
      <c r="F17" s="3" t="n">
        <v>9</v>
      </c>
      <c r="G17" s="3" t="n">
        <v>9</v>
      </c>
      <c r="H17" s="3" t="n">
        <v>9</v>
      </c>
      <c r="I17" s="3" t="n">
        <v>9</v>
      </c>
      <c r="J17" s="3" t="n">
        <v>9</v>
      </c>
      <c r="K17" s="3" t="n">
        <v>9</v>
      </c>
      <c r="L17" s="3" t="n">
        <v>9</v>
      </c>
    </row>
    <row r="18" customFormat="false" ht="15" hidden="false" customHeight="false" outlineLevel="0" collapsed="false">
      <c r="A18" s="0" t="s">
        <v>106</v>
      </c>
      <c r="C18" s="3" t="n">
        <v>9</v>
      </c>
      <c r="D18" s="3" t="n">
        <v>8.8</v>
      </c>
      <c r="E18" s="3" t="n">
        <v>8.5</v>
      </c>
      <c r="F18" s="3" t="n">
        <v>8.5</v>
      </c>
      <c r="G18" s="3" t="n">
        <v>8.5</v>
      </c>
      <c r="H18" s="3" t="n">
        <v>8.5</v>
      </c>
      <c r="I18" s="3" t="n">
        <v>8.5</v>
      </c>
      <c r="J18" s="3" t="n">
        <v>8.5</v>
      </c>
      <c r="K18" s="3" t="n">
        <v>8.5</v>
      </c>
      <c r="L18" s="3" t="n">
        <v>8.5</v>
      </c>
    </row>
    <row r="19" customFormat="false" ht="15" hidden="false" customHeight="false" outlineLevel="0" collapsed="false">
      <c r="A19" s="0" t="s">
        <v>107</v>
      </c>
      <c r="C19" s="3" t="n">
        <v>12</v>
      </c>
      <c r="D19" s="3" t="n">
        <v>17</v>
      </c>
      <c r="E19" s="3" t="n">
        <v>20</v>
      </c>
      <c r="F19" s="3" t="n">
        <v>21</v>
      </c>
      <c r="G19" s="3" t="n">
        <v>21</v>
      </c>
      <c r="H19" s="3" t="n">
        <v>21</v>
      </c>
      <c r="I19" s="3" t="n">
        <v>21</v>
      </c>
      <c r="J19" s="3" t="n">
        <v>21</v>
      </c>
      <c r="K19" s="3" t="n">
        <v>21</v>
      </c>
      <c r="L19" s="3" t="n">
        <v>21</v>
      </c>
    </row>
    <row r="20" customFormat="false" ht="15" hidden="false" customHeight="false" outlineLevel="0" collapsed="false">
      <c r="A20" s="0" t="s">
        <v>108</v>
      </c>
      <c r="B20" s="3" t="n">
        <v>8</v>
      </c>
    </row>
    <row r="21" customFormat="false" ht="15" hidden="false" customHeight="false" outlineLevel="0" collapsed="false">
      <c r="A21" s="0" t="s">
        <v>109</v>
      </c>
      <c r="B21" s="3" t="n">
        <v>2</v>
      </c>
    </row>
    <row r="22" customFormat="false" ht="15" hidden="false" customHeight="false" outlineLevel="0" collapsed="false">
      <c r="A22" s="0" t="s">
        <v>110</v>
      </c>
      <c r="B22" s="3" t="n">
        <v>15</v>
      </c>
    </row>
    <row r="23" customFormat="false" ht="15" hidden="false" customHeight="false" outlineLevel="0" collapsed="false">
      <c r="A23" s="0" t="s">
        <v>111</v>
      </c>
      <c r="B23" s="3" t="n">
        <v>-15</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2</v>
      </c>
      <c r="D27" s="3" t="n">
        <v>5</v>
      </c>
      <c r="E27" s="3" t="n">
        <v>6</v>
      </c>
      <c r="F27" s="3" t="n">
        <v>5.5</v>
      </c>
      <c r="G27" s="3" t="n">
        <v>5</v>
      </c>
      <c r="H27" s="3" t="n">
        <v>4.5</v>
      </c>
      <c r="I27" s="3" t="n">
        <v>4</v>
      </c>
      <c r="J27" s="3" t="n">
        <v>3.5</v>
      </c>
      <c r="K27" s="3" t="n">
        <v>3</v>
      </c>
      <c r="L27" s="3" t="n">
        <v>3</v>
      </c>
    </row>
    <row r="28" customFormat="false" ht="15" hidden="false" customHeight="false" outlineLevel="0" collapsed="false">
      <c r="A28" s="0" t="s">
        <v>102</v>
      </c>
      <c r="C28" s="3" t="n">
        <v>34</v>
      </c>
      <c r="D28" s="3" t="n">
        <v>34.8</v>
      </c>
      <c r="E28" s="3" t="n">
        <v>35.5</v>
      </c>
      <c r="F28" s="3" t="n">
        <v>35.8</v>
      </c>
      <c r="G28" s="3" t="n">
        <v>36</v>
      </c>
      <c r="H28" s="3" t="n">
        <v>36</v>
      </c>
      <c r="I28" s="3" t="n">
        <v>36</v>
      </c>
      <c r="J28" s="3" t="n">
        <v>36</v>
      </c>
      <c r="K28" s="3" t="n">
        <v>36</v>
      </c>
      <c r="L28" s="3" t="n">
        <v>36</v>
      </c>
    </row>
    <row r="29" customFormat="false" ht="15" hidden="false" customHeight="false" outlineLevel="0" collapsed="false">
      <c r="A29" s="0" t="s">
        <v>103</v>
      </c>
      <c r="C29" s="3" t="n">
        <v>3.3</v>
      </c>
      <c r="D29" s="3" t="n">
        <v>3.4</v>
      </c>
      <c r="E29" s="3" t="n">
        <v>3.4</v>
      </c>
      <c r="F29" s="3" t="n">
        <v>3.3</v>
      </c>
      <c r="G29" s="3" t="n">
        <v>3.2</v>
      </c>
      <c r="H29" s="3" t="n">
        <v>3.1</v>
      </c>
      <c r="I29" s="3" t="n">
        <v>3</v>
      </c>
      <c r="J29" s="3" t="n">
        <v>3</v>
      </c>
      <c r="K29" s="3" t="n">
        <v>3</v>
      </c>
      <c r="L29" s="3" t="n">
        <v>3</v>
      </c>
    </row>
    <row r="30" customFormat="false" ht="15" hidden="false" customHeight="false" outlineLevel="0" collapsed="false">
      <c r="A30" s="0" t="s">
        <v>104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105</v>
      </c>
      <c r="C31" s="3" t="n">
        <v>9.6</v>
      </c>
      <c r="D31" s="3" t="n">
        <v>9.3</v>
      </c>
      <c r="E31" s="3" t="n">
        <v>9</v>
      </c>
      <c r="F31" s="3" t="n">
        <v>8.8</v>
      </c>
      <c r="G31" s="3" t="n">
        <v>8.6</v>
      </c>
      <c r="H31" s="3" t="n">
        <v>8.4</v>
      </c>
      <c r="I31" s="3" t="n">
        <v>8.2</v>
      </c>
      <c r="J31" s="3" t="n">
        <v>8</v>
      </c>
      <c r="K31" s="3" t="n">
        <v>8</v>
      </c>
      <c r="L31" s="3" t="n">
        <v>8</v>
      </c>
    </row>
    <row r="32" customFormat="false" ht="15" hidden="false" customHeight="false" outlineLevel="0" collapsed="false">
      <c r="A32" s="0" t="s">
        <v>106</v>
      </c>
      <c r="C32" s="3" t="n">
        <v>9</v>
      </c>
      <c r="D32" s="3" t="n">
        <v>8.6</v>
      </c>
      <c r="E32" s="3" t="n">
        <v>8.3</v>
      </c>
      <c r="F32" s="3" t="n">
        <v>8</v>
      </c>
      <c r="G32" s="3" t="n">
        <v>8</v>
      </c>
      <c r="H32" s="3" t="n">
        <v>8</v>
      </c>
      <c r="I32" s="3" t="n">
        <v>8</v>
      </c>
      <c r="J32" s="3" t="n">
        <v>8</v>
      </c>
      <c r="K32" s="3" t="n">
        <v>8</v>
      </c>
      <c r="L32" s="3" t="n">
        <v>8</v>
      </c>
    </row>
    <row r="33" customFormat="false" ht="15" hidden="false" customHeight="false" outlineLevel="0" collapsed="false">
      <c r="A33" s="0" t="s">
        <v>107</v>
      </c>
      <c r="C33" s="3" t="n">
        <v>12</v>
      </c>
      <c r="D33" s="3" t="n">
        <v>16</v>
      </c>
      <c r="E33" s="3" t="n">
        <v>19</v>
      </c>
      <c r="F33" s="3" t="n">
        <v>20</v>
      </c>
      <c r="G33" s="3" t="n">
        <v>20</v>
      </c>
      <c r="H33" s="3" t="n">
        <v>20</v>
      </c>
      <c r="I33" s="3" t="n">
        <v>20</v>
      </c>
      <c r="J33" s="3" t="n">
        <v>20</v>
      </c>
      <c r="K33" s="3" t="n">
        <v>20</v>
      </c>
      <c r="L33" s="3" t="n">
        <v>20</v>
      </c>
    </row>
    <row r="34" customFormat="false" ht="15" hidden="false" customHeight="false" outlineLevel="0" collapsed="false">
      <c r="A34" s="0" t="s">
        <v>108</v>
      </c>
      <c r="B34" s="3" t="n">
        <v>8</v>
      </c>
    </row>
    <row r="35" customFormat="false" ht="15" hidden="false" customHeight="false" outlineLevel="0" collapsed="false">
      <c r="A35" s="0" t="s">
        <v>109</v>
      </c>
      <c r="B35" s="3" t="n">
        <v>2.5</v>
      </c>
    </row>
    <row r="36" customFormat="false" ht="15" hidden="false" customHeight="false" outlineLevel="0" collapsed="false">
      <c r="A36" s="0" t="s">
        <v>110</v>
      </c>
      <c r="B36" s="3" t="n">
        <v>18</v>
      </c>
    </row>
    <row r="37" customFormat="false" ht="15" hidden="false" customHeight="false" outlineLevel="0" collapsed="false">
      <c r="A37" s="0" t="s">
        <v>111</v>
      </c>
      <c r="B37" s="3" t="n">
        <v>-15</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3</v>
      </c>
      <c r="D41" s="3" t="n">
        <v>7</v>
      </c>
      <c r="E41" s="3" t="n">
        <v>8</v>
      </c>
      <c r="F41" s="3" t="n">
        <v>7.5</v>
      </c>
      <c r="G41" s="3" t="n">
        <v>7</v>
      </c>
      <c r="H41" s="3" t="n">
        <v>6</v>
      </c>
      <c r="I41" s="3" t="n">
        <v>5.5</v>
      </c>
      <c r="J41" s="3" t="n">
        <v>5</v>
      </c>
      <c r="K41" s="3" t="n">
        <v>4.5</v>
      </c>
      <c r="L41" s="3" t="n">
        <v>4</v>
      </c>
    </row>
    <row r="42" customFormat="false" ht="15" hidden="false" customHeight="false" outlineLevel="0" collapsed="false">
      <c r="A42" s="0" t="s">
        <v>102</v>
      </c>
      <c r="C42" s="3" t="n">
        <v>34.5</v>
      </c>
      <c r="D42" s="3" t="n">
        <v>35.5</v>
      </c>
      <c r="E42" s="3" t="n">
        <v>36.5</v>
      </c>
      <c r="F42" s="3" t="n">
        <v>37</v>
      </c>
      <c r="G42" s="3" t="n">
        <v>37.5</v>
      </c>
      <c r="H42" s="3" t="n">
        <v>37.5</v>
      </c>
      <c r="I42" s="3" t="n">
        <v>37.5</v>
      </c>
      <c r="J42" s="3" t="n">
        <v>37.5</v>
      </c>
      <c r="K42" s="3" t="n">
        <v>37.5</v>
      </c>
      <c r="L42" s="3" t="n">
        <v>37.5</v>
      </c>
    </row>
    <row r="43" customFormat="false" ht="15" hidden="false" customHeight="false" outlineLevel="0" collapsed="false">
      <c r="A43" s="0" t="s">
        <v>103</v>
      </c>
      <c r="C43" s="3" t="n">
        <v>3.3</v>
      </c>
      <c r="D43" s="3" t="n">
        <v>3.4</v>
      </c>
      <c r="E43" s="3" t="n">
        <v>3.4</v>
      </c>
      <c r="F43" s="3" t="n">
        <v>3.3</v>
      </c>
      <c r="G43" s="3" t="n">
        <v>3.2</v>
      </c>
      <c r="H43" s="3" t="n">
        <v>3.1</v>
      </c>
      <c r="I43" s="3" t="n">
        <v>3</v>
      </c>
      <c r="J43" s="3" t="n">
        <v>3</v>
      </c>
      <c r="K43" s="3" t="n">
        <v>3</v>
      </c>
      <c r="L43" s="3" t="n">
        <v>3</v>
      </c>
    </row>
    <row r="44" customFormat="false" ht="15" hidden="false" customHeight="false" outlineLevel="0" collapsed="false">
      <c r="A44" s="0" t="s">
        <v>104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105</v>
      </c>
      <c r="C45" s="3" t="n">
        <v>9.6</v>
      </c>
      <c r="D45" s="3" t="n">
        <v>9.3</v>
      </c>
      <c r="E45" s="3" t="n">
        <v>9</v>
      </c>
      <c r="F45" s="3" t="n">
        <v>8.8</v>
      </c>
      <c r="G45" s="3" t="n">
        <v>8.6</v>
      </c>
      <c r="H45" s="3" t="n">
        <v>8.4</v>
      </c>
      <c r="I45" s="3" t="n">
        <v>8.2</v>
      </c>
      <c r="J45" s="3" t="n">
        <v>8</v>
      </c>
      <c r="K45" s="3" t="n">
        <v>8</v>
      </c>
      <c r="L45" s="3" t="n">
        <v>8</v>
      </c>
    </row>
    <row r="46" customFormat="false" ht="15" hidden="false" customHeight="false" outlineLevel="0" collapsed="false">
      <c r="A46" s="0" t="s">
        <v>106</v>
      </c>
      <c r="C46" s="3" t="n">
        <v>9</v>
      </c>
      <c r="D46" s="3" t="n">
        <v>8.6</v>
      </c>
      <c r="E46" s="3" t="n">
        <v>8.3</v>
      </c>
      <c r="F46" s="3" t="n">
        <v>8</v>
      </c>
      <c r="G46" s="3" t="n">
        <v>8</v>
      </c>
      <c r="H46" s="3" t="n">
        <v>8</v>
      </c>
      <c r="I46" s="3" t="n">
        <v>8</v>
      </c>
      <c r="J46" s="3" t="n">
        <v>8</v>
      </c>
      <c r="K46" s="3" t="n">
        <v>8</v>
      </c>
      <c r="L46" s="3" t="n">
        <v>8</v>
      </c>
    </row>
    <row r="47" customFormat="false" ht="15" hidden="false" customHeight="false" outlineLevel="0" collapsed="false">
      <c r="A47" s="0" t="s">
        <v>107</v>
      </c>
      <c r="C47" s="3" t="n">
        <v>12</v>
      </c>
      <c r="D47" s="3" t="n">
        <v>16</v>
      </c>
      <c r="E47" s="3" t="n">
        <v>19</v>
      </c>
      <c r="F47" s="3" t="n">
        <v>20</v>
      </c>
      <c r="G47" s="3" t="n">
        <v>20</v>
      </c>
      <c r="H47" s="3" t="n">
        <v>20</v>
      </c>
      <c r="I47" s="3" t="n">
        <v>20</v>
      </c>
      <c r="J47" s="3" t="n">
        <v>20</v>
      </c>
      <c r="K47" s="3" t="n">
        <v>20</v>
      </c>
      <c r="L47" s="3" t="n">
        <v>20</v>
      </c>
    </row>
    <row r="48" customFormat="false" ht="15" hidden="false" customHeight="false" outlineLevel="0" collapsed="false">
      <c r="A48" s="0" t="s">
        <v>108</v>
      </c>
      <c r="B48" s="3" t="n">
        <v>8</v>
      </c>
    </row>
    <row r="49" customFormat="false" ht="15" hidden="false" customHeight="false" outlineLevel="0" collapsed="false">
      <c r="A49" s="0" t="s">
        <v>109</v>
      </c>
      <c r="B49" s="3" t="n">
        <v>3</v>
      </c>
    </row>
    <row r="50" customFormat="false" ht="15" hidden="false" customHeight="false" outlineLevel="0" collapsed="false">
      <c r="A50" s="0" t="s">
        <v>110</v>
      </c>
      <c r="B50" s="3" t="n">
        <v>20</v>
      </c>
    </row>
    <row r="51" customFormat="false" ht="15" hidden="false" customHeight="false" outlineLevel="0" collapsed="false">
      <c r="A51" s="0" t="s">
        <v>111</v>
      </c>
      <c r="B51" s="3" t="n">
        <v>-15</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0.5</v>
      </c>
      <c r="D5" s="4" t="n">
        <f aca="false">Assumptions!D13</f>
        <v>2</v>
      </c>
      <c r="E5" s="4" t="n">
        <f aca="false">Assumptions!E13</f>
        <v>3</v>
      </c>
      <c r="F5" s="4" t="n">
        <f aca="false">Assumptions!F13</f>
        <v>3</v>
      </c>
      <c r="G5" s="4" t="n">
        <f aca="false">Assumptions!G13</f>
        <v>3</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38</v>
      </c>
      <c r="B6" s="3" t="n">
        <v>2089.999</v>
      </c>
      <c r="C6" s="0" t="n">
        <f aca="false">B6*(1+C5/100)</f>
        <v>2100.448995</v>
      </c>
      <c r="D6" s="0" t="n">
        <f aca="false">C6*(1+D5/100)</f>
        <v>2142.4579749</v>
      </c>
      <c r="E6" s="0" t="n">
        <f aca="false">D6*(1+E5/100)</f>
        <v>2206.731714147</v>
      </c>
      <c r="F6" s="0" t="n">
        <f aca="false">E6*(1+F5/100)</f>
        <v>2272.93366557141</v>
      </c>
      <c r="G6" s="0" t="n">
        <f aca="false">F6*(1+G5/100)</f>
        <v>2341.12167553855</v>
      </c>
      <c r="H6" s="0" t="n">
        <f aca="false">G6*(1+H5/100)</f>
        <v>2399.64971742702</v>
      </c>
      <c r="I6" s="0" t="n">
        <f aca="false">H6*(1+I5/100)</f>
        <v>2459.64096036269</v>
      </c>
      <c r="J6" s="0" t="n">
        <f aca="false">I6*(1+J5/100)</f>
        <v>2521.13198437176</v>
      </c>
      <c r="K6" s="0" t="n">
        <f aca="false">J6*(1+K5/100)</f>
        <v>2584.16028398105</v>
      </c>
      <c r="L6" s="0" t="n">
        <f aca="false">K6*(1+L5/100)</f>
        <v>2648.76429108058</v>
      </c>
    </row>
    <row r="7" customFormat="false" ht="15" hidden="false" customHeight="false" outlineLevel="0" collapsed="false">
      <c r="A7" s="0" t="s">
        <v>102</v>
      </c>
      <c r="C7" s="4" t="n">
        <f aca="false">Assumptions!C14</f>
        <v>33</v>
      </c>
      <c r="D7" s="4" t="n">
        <f aca="false">Assumptions!D14</f>
        <v>32.8</v>
      </c>
      <c r="E7" s="4" t="n">
        <f aca="false">Assumptions!E14</f>
        <v>32.5</v>
      </c>
      <c r="F7" s="4" t="n">
        <f aca="false">Assumptions!F14</f>
        <v>32.5</v>
      </c>
      <c r="G7" s="4" t="n">
        <f aca="false">Assumptions!G14</f>
        <v>32.5</v>
      </c>
      <c r="H7" s="4" t="n">
        <f aca="false">Assumptions!H14</f>
        <v>32.5</v>
      </c>
      <c r="I7" s="4" t="n">
        <f aca="false">Assumptions!I14</f>
        <v>32.5</v>
      </c>
      <c r="J7" s="4" t="n">
        <f aca="false">Assumptions!J14</f>
        <v>32.5</v>
      </c>
      <c r="K7" s="4" t="n">
        <f aca="false">Assumptions!K14</f>
        <v>32.5</v>
      </c>
      <c r="L7" s="4" t="n">
        <f aca="false">Assumptions!L14</f>
        <v>32.5</v>
      </c>
    </row>
    <row r="8" customFormat="false" ht="15" hidden="false" customHeight="false" outlineLevel="0" collapsed="false">
      <c r="A8" s="0" t="s">
        <v>44</v>
      </c>
      <c r="C8" s="0" t="n">
        <f aca="false">C6*C7/100</f>
        <v>693.14816835</v>
      </c>
      <c r="D8" s="0" t="n">
        <f aca="false">D6*D7/100</f>
        <v>702.7262157672</v>
      </c>
      <c r="E8" s="0" t="n">
        <f aca="false">E6*E7/100</f>
        <v>717.187807097775</v>
      </c>
      <c r="F8" s="0" t="n">
        <f aca="false">F6*F7/100</f>
        <v>738.703441310708</v>
      </c>
      <c r="G8" s="0" t="n">
        <f aca="false">G6*G7/100</f>
        <v>760.86454455003</v>
      </c>
      <c r="H8" s="0" t="n">
        <f aca="false">H6*H7/100</f>
        <v>779.88615816378</v>
      </c>
      <c r="I8" s="0" t="n">
        <f aca="false">I6*I7/100</f>
        <v>799.383312117875</v>
      </c>
      <c r="J8" s="0" t="n">
        <f aca="false">J6*J7/100</f>
        <v>819.367894920821</v>
      </c>
      <c r="K8" s="0" t="n">
        <f aca="false">K6*K7/100</f>
        <v>839.852092293842</v>
      </c>
      <c r="L8" s="0" t="n">
        <f aca="false">L6*L7/100</f>
        <v>860.848394601188</v>
      </c>
    </row>
    <row r="9" customFormat="false" ht="15" hidden="false" customHeight="false" outlineLevel="0" collapsed="false">
      <c r="A9" s="0" t="s">
        <v>103</v>
      </c>
      <c r="C9" s="4" t="n">
        <f aca="false">Assumptions!C15</f>
        <v>3.3</v>
      </c>
      <c r="D9" s="4" t="n">
        <f aca="false">Assumptions!D15</f>
        <v>3.4</v>
      </c>
      <c r="E9" s="4" t="n">
        <f aca="false">Assumptions!E15</f>
        <v>3.4</v>
      </c>
      <c r="F9" s="4" t="n">
        <f aca="false">Assumptions!F15</f>
        <v>3.4</v>
      </c>
      <c r="G9" s="4" t="n">
        <f aca="false">Assumptions!G15</f>
        <v>3.4</v>
      </c>
      <c r="H9" s="4" t="n">
        <f aca="false">Assumptions!H15</f>
        <v>3.4</v>
      </c>
      <c r="I9" s="4" t="n">
        <f aca="false">Assumptions!I15</f>
        <v>3.4</v>
      </c>
      <c r="J9" s="4" t="n">
        <f aca="false">Assumptions!J15</f>
        <v>3.4</v>
      </c>
      <c r="K9" s="4" t="n">
        <f aca="false">Assumptions!K15</f>
        <v>3.4</v>
      </c>
      <c r="L9" s="4" t="n">
        <f aca="false">Assumptions!L15</f>
        <v>3.4</v>
      </c>
    </row>
    <row r="10" customFormat="false" ht="15" hidden="false" customHeight="false" outlineLevel="0" collapsed="false">
      <c r="A10" s="0" t="s">
        <v>118</v>
      </c>
      <c r="C10" s="0" t="n">
        <f aca="false">-C6*C9/100</f>
        <v>-69.314816835</v>
      </c>
      <c r="D10" s="0" t="n">
        <f aca="false">-D6*D9/100</f>
        <v>-72.8435711466</v>
      </c>
      <c r="E10" s="0" t="n">
        <f aca="false">-E6*E9/100</f>
        <v>-75.028878280998</v>
      </c>
      <c r="F10" s="0" t="n">
        <f aca="false">-F6*F9/100</f>
        <v>-77.2797446294279</v>
      </c>
      <c r="G10" s="0" t="n">
        <f aca="false">-G6*G9/100</f>
        <v>-79.5981369683108</v>
      </c>
      <c r="H10" s="0" t="n">
        <f aca="false">-H6*H9/100</f>
        <v>-81.5880903925186</v>
      </c>
      <c r="I10" s="0" t="n">
        <f aca="false">-I6*I9/100</f>
        <v>-83.6277926523315</v>
      </c>
      <c r="J10" s="0" t="n">
        <f aca="false">-J6*J9/100</f>
        <v>-85.7184874686398</v>
      </c>
      <c r="K10" s="0" t="n">
        <f aca="false">-K6*K9/100</f>
        <v>-87.8614496553558</v>
      </c>
      <c r="L10" s="0" t="n">
        <f aca="false">-L6*L9/100</f>
        <v>-90.0579858967397</v>
      </c>
    </row>
    <row r="11" customFormat="false" ht="15" hidden="false" customHeight="false" outlineLevel="0" collapsed="false">
      <c r="A11" s="0" t="s">
        <v>119</v>
      </c>
      <c r="C11" s="0" t="n">
        <f aca="false">C8+C10+C24</f>
        <v>623.833351515</v>
      </c>
      <c r="D11" s="0" t="n">
        <f aca="false">D8+D10+D24</f>
        <v>629.8826446206</v>
      </c>
      <c r="E11" s="0" t="n">
        <f aca="false">E8+E10+E24</f>
        <v>642.158928816777</v>
      </c>
      <c r="F11" s="0" t="n">
        <f aca="false">F8+F10+F24</f>
        <v>661.42369668128</v>
      </c>
      <c r="G11" s="0" t="n">
        <f aca="false">G8+G10+G24</f>
        <v>681.266407581719</v>
      </c>
      <c r="H11" s="0" t="n">
        <f aca="false">H8+H10+H24</f>
        <v>698.298067771262</v>
      </c>
      <c r="I11" s="0" t="n">
        <f aca="false">I8+I10+I24</f>
        <v>715.755519465543</v>
      </c>
      <c r="J11" s="0" t="n">
        <f aca="false">J8+J10+J24</f>
        <v>733.649407452182</v>
      </c>
      <c r="K11" s="0" t="n">
        <f aca="false">K8+K10+K24</f>
        <v>751.990642638486</v>
      </c>
      <c r="L11" s="0" t="n">
        <f aca="false">L8+L10+L24</f>
        <v>770.790408704448</v>
      </c>
    </row>
    <row r="12" customFormat="false" ht="15" hidden="false" customHeight="false" outlineLevel="0" collapsed="false">
      <c r="A12" s="0" t="s">
        <v>120</v>
      </c>
      <c r="C12" s="4" t="n">
        <f aca="false">-C6*Assumptions!C17/100</f>
        <v>-201.64310352</v>
      </c>
      <c r="D12" s="4" t="n">
        <f aca="false">-D6*Assumptions!D17/100</f>
        <v>-201.3910496406</v>
      </c>
      <c r="E12" s="4" t="n">
        <f aca="false">-E6*Assumptions!E17/100</f>
        <v>-203.019317701524</v>
      </c>
      <c r="F12" s="4" t="n">
        <f aca="false">-F6*Assumptions!F17/100</f>
        <v>-204.564029901427</v>
      </c>
      <c r="G12" s="4" t="n">
        <f aca="false">-G6*Assumptions!G17/100</f>
        <v>-210.70095079847</v>
      </c>
      <c r="H12" s="4" t="n">
        <f aca="false">-H6*Assumptions!H17/100</f>
        <v>-215.968474568431</v>
      </c>
      <c r="I12" s="4" t="n">
        <f aca="false">-I6*Assumptions!I17/100</f>
        <v>-221.367686432642</v>
      </c>
      <c r="J12" s="4" t="n">
        <f aca="false">-J6*Assumptions!J17/100</f>
        <v>-226.901878593458</v>
      </c>
      <c r="K12" s="4" t="n">
        <f aca="false">-K6*Assumptions!K17/100</f>
        <v>-232.574425558295</v>
      </c>
      <c r="L12" s="4" t="n">
        <f aca="false">-L6*Assumptions!L17/100</f>
        <v>-238.388786197252</v>
      </c>
    </row>
    <row r="13" customFormat="false" ht="15" hidden="false" customHeight="false" outlineLevel="0" collapsed="false">
      <c r="A13" s="0" t="s">
        <v>121</v>
      </c>
      <c r="C13" s="0" t="n">
        <f aca="false">C11+C12</f>
        <v>422.190247995</v>
      </c>
      <c r="D13" s="0" t="n">
        <f aca="false">D11+D12</f>
        <v>428.49159498</v>
      </c>
      <c r="E13" s="0" t="n">
        <f aca="false">E11+E12</f>
        <v>439.139611115253</v>
      </c>
      <c r="F13" s="0" t="n">
        <f aca="false">F11+F12</f>
        <v>456.859666779853</v>
      </c>
      <c r="G13" s="0" t="n">
        <f aca="false">G11+G12</f>
        <v>470.565456783249</v>
      </c>
      <c r="H13" s="0" t="n">
        <f aca="false">H11+H12</f>
        <v>482.32959320283</v>
      </c>
      <c r="I13" s="0" t="n">
        <f aca="false">I11+I12</f>
        <v>494.387833032901</v>
      </c>
      <c r="J13" s="0" t="n">
        <f aca="false">J11+J12</f>
        <v>506.747528858723</v>
      </c>
      <c r="K13" s="0" t="n">
        <f aca="false">K11+K12</f>
        <v>519.416217080192</v>
      </c>
      <c r="L13" s="0" t="n">
        <f aca="false">L11+L12</f>
        <v>532.401622507196</v>
      </c>
    </row>
    <row r="14" customFormat="false" ht="15" hidden="false" customHeight="false" outlineLevel="0" collapsed="false">
      <c r="A14" s="0" t="s">
        <v>107</v>
      </c>
      <c r="C14" s="4" t="n">
        <f aca="false">Assumptions!C19</f>
        <v>12</v>
      </c>
      <c r="D14" s="4" t="n">
        <f aca="false">Assumptions!D19</f>
        <v>17</v>
      </c>
      <c r="E14" s="4" t="n">
        <f aca="false">Assumptions!E19</f>
        <v>20</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122</v>
      </c>
      <c r="C15" s="0" t="n">
        <f aca="false">C13-MAX(0,C13)*C14/100</f>
        <v>371.5274182356</v>
      </c>
      <c r="D15" s="0" t="n">
        <f aca="false">D13-MAX(0,D13)*D14/100</f>
        <v>355.6480238334</v>
      </c>
      <c r="E15" s="0" t="n">
        <f aca="false">E13-MAX(0,E13)*E14/100</f>
        <v>351.311688892202</v>
      </c>
      <c r="F15" s="0" t="n">
        <f aca="false">F13-MAX(0,F13)*F14/100</f>
        <v>360.919136756084</v>
      </c>
      <c r="G15" s="0" t="n">
        <f aca="false">G13-MAX(0,G13)*G14/100</f>
        <v>371.746710858767</v>
      </c>
      <c r="H15" s="0" t="n">
        <f aca="false">H13-MAX(0,H13)*H14/100</f>
        <v>381.040378630236</v>
      </c>
      <c r="I15" s="0" t="n">
        <f aca="false">I13-MAX(0,I13)*I14/100</f>
        <v>390.566388095992</v>
      </c>
      <c r="J15" s="0" t="n">
        <f aca="false">J13-MAX(0,J13)*J14/100</f>
        <v>400.330547798392</v>
      </c>
      <c r="K15" s="0" t="n">
        <f aca="false">K13-MAX(0,K13)*K14/100</f>
        <v>410.338811493351</v>
      </c>
      <c r="L15" s="0" t="n">
        <f aca="false">L13-MAX(0,L13)*L14/100</f>
        <v>420.597281780685</v>
      </c>
    </row>
    <row r="16" customFormat="false" ht="15" hidden="false" customHeight="false" outlineLevel="0" collapsed="false">
      <c r="A16" s="0" t="s">
        <v>123</v>
      </c>
      <c r="C16" s="0" t="n">
        <f aca="false">-C12</f>
        <v>201.64310352</v>
      </c>
      <c r="D16" s="0" t="n">
        <f aca="false">-D12</f>
        <v>201.3910496406</v>
      </c>
      <c r="E16" s="0" t="n">
        <f aca="false">-E12</f>
        <v>203.019317701524</v>
      </c>
      <c r="F16" s="0" t="n">
        <f aca="false">-F12</f>
        <v>204.564029901427</v>
      </c>
      <c r="G16" s="0" t="n">
        <f aca="false">-G12</f>
        <v>210.70095079847</v>
      </c>
      <c r="H16" s="0" t="n">
        <f aca="false">-H12</f>
        <v>215.968474568431</v>
      </c>
      <c r="I16" s="0" t="n">
        <f aca="false">-I12</f>
        <v>221.367686432642</v>
      </c>
      <c r="J16" s="0" t="n">
        <f aca="false">-J12</f>
        <v>226.901878593458</v>
      </c>
      <c r="K16" s="0" t="n">
        <f aca="false">-K12</f>
        <v>232.574425558295</v>
      </c>
      <c r="L16" s="0" t="n">
        <f aca="false">-L12</f>
        <v>238.388786197252</v>
      </c>
    </row>
    <row r="17" customFormat="false" ht="15" hidden="false" customHeight="false" outlineLevel="0" collapsed="false">
      <c r="A17" s="0" t="s">
        <v>124</v>
      </c>
      <c r="C17" s="4" t="n">
        <f aca="false">-C6*Assumptions!C18/100</f>
        <v>-189.04040955</v>
      </c>
      <c r="D17" s="4" t="n">
        <f aca="false">-D6*Assumptions!D18/100</f>
        <v>-188.5363017912</v>
      </c>
      <c r="E17" s="4" t="n">
        <f aca="false">-E6*Assumptions!E18/100</f>
        <v>-187.572195702495</v>
      </c>
      <c r="F17" s="4" t="n">
        <f aca="false">-F6*Assumptions!F18/100</f>
        <v>-193.19936157357</v>
      </c>
      <c r="G17" s="4" t="n">
        <f aca="false">-G6*Assumptions!G18/100</f>
        <v>-198.995342420777</v>
      </c>
      <c r="H17" s="4" t="n">
        <f aca="false">-H6*Assumptions!H18/100</f>
        <v>-203.970225981296</v>
      </c>
      <c r="I17" s="4" t="n">
        <f aca="false">-I6*Assumptions!I18/100</f>
        <v>-209.069481630829</v>
      </c>
      <c r="J17" s="4" t="n">
        <f aca="false">-J6*Assumptions!J18/100</f>
        <v>-214.296218671599</v>
      </c>
      <c r="K17" s="4" t="n">
        <f aca="false">-K6*Assumptions!K18/100</f>
        <v>-219.653624138389</v>
      </c>
      <c r="L17" s="4" t="n">
        <f aca="false">-L6*Assumptions!L18/100</f>
        <v>-225.144964741849</v>
      </c>
    </row>
    <row r="18" customFormat="false" ht="15" hidden="false" customHeight="false" outlineLevel="0" collapsed="false">
      <c r="A18" s="0" t="s">
        <v>125</v>
      </c>
      <c r="C18" s="4" t="n">
        <f aca="false">(C6-B6)*Assumptions!$B$23/100</f>
        <v>-1.56749924999999</v>
      </c>
      <c r="D18" s="4" t="n">
        <f aca="false">(D6-C6)*Assumptions!$B$23/100</f>
        <v>-6.30134698500003</v>
      </c>
      <c r="E18" s="4" t="n">
        <f aca="false">(E6-D6)*Assumptions!$B$23/100</f>
        <v>-9.64106088704998</v>
      </c>
      <c r="F18" s="4" t="n">
        <f aca="false">(F6-E6)*Assumptions!$B$23/100</f>
        <v>-9.93029271366154</v>
      </c>
      <c r="G18" s="4" t="n">
        <f aca="false">(G6-F6)*Assumptions!$B$23/100</f>
        <v>-10.2282014950714</v>
      </c>
      <c r="H18" s="4" t="n">
        <f aca="false">(H6-G6)*Assumptions!$B$23/100</f>
        <v>-8.77920628326954</v>
      </c>
      <c r="I18" s="4" t="n">
        <f aca="false">(I6-H6)*Assumptions!$B$23/100</f>
        <v>-8.99868644035125</v>
      </c>
      <c r="J18" s="4" t="n">
        <f aca="false">(J6-I6)*Assumptions!$B$23/100</f>
        <v>-9.22365360136007</v>
      </c>
      <c r="K18" s="4" t="n">
        <f aca="false">(K6-J6)*Assumptions!$B$23/100</f>
        <v>-9.45424494139406</v>
      </c>
      <c r="L18" s="4" t="n">
        <f aca="false">(L6-K6)*Assumptions!$B$23/100</f>
        <v>-9.69060106492889</v>
      </c>
    </row>
    <row r="19" customFormat="false" ht="15" hidden="false" customHeight="false" outlineLevel="0" collapsed="false">
      <c r="A19" s="0" t="s">
        <v>126</v>
      </c>
      <c r="C19" s="0" t="n">
        <f aca="false">C15+C16+C17+C18</f>
        <v>382.5626129556</v>
      </c>
      <c r="D19" s="0" t="n">
        <f aca="false">D15+D16+D17+D18</f>
        <v>362.2014246978</v>
      </c>
      <c r="E19" s="0" t="n">
        <f aca="false">E15+E16+E17+E18</f>
        <v>357.117750004181</v>
      </c>
      <c r="F19" s="0" t="n">
        <f aca="false">F15+F16+F17+F18</f>
        <v>362.35351237028</v>
      </c>
      <c r="G19" s="0" t="n">
        <f aca="false">G15+G16+G17+G18</f>
        <v>373.224117741388</v>
      </c>
      <c r="H19" s="0" t="n">
        <f aca="false">H15+H16+H17+H18</f>
        <v>384.259420934101</v>
      </c>
      <c r="I19" s="0" t="n">
        <f aca="false">I15+I16+I17+I18</f>
        <v>393.865906457454</v>
      </c>
      <c r="J19" s="0" t="n">
        <f aca="false">J15+J16+J17+J18</f>
        <v>403.71255411889</v>
      </c>
      <c r="K19" s="0" t="n">
        <f aca="false">K15+K16+K17+K18</f>
        <v>413.805367971863</v>
      </c>
      <c r="L19" s="0" t="n">
        <f aca="false">L15+L16+L17+L18</f>
        <v>424.150502171159</v>
      </c>
    </row>
    <row r="20" customFormat="false" ht="15" hidden="false" customHeight="false" outlineLevel="0" collapsed="false">
      <c r="A20" s="0" t="s">
        <v>127</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128</v>
      </c>
      <c r="C21" s="0" t="n">
        <f aca="false">C19*C20</f>
        <v>354.224641625556</v>
      </c>
      <c r="D21" s="0" t="n">
        <f aca="false">D19*D20</f>
        <v>310.529342162037</v>
      </c>
      <c r="E21" s="0" t="n">
        <f aca="false">E19*E20</f>
        <v>283.4915837939</v>
      </c>
      <c r="F21" s="0" t="n">
        <f aca="false">F19*F20</f>
        <v>266.340648857805</v>
      </c>
      <c r="G21" s="0" t="n">
        <f aca="false">G19*G20</f>
        <v>254.010063262536</v>
      </c>
      <c r="H21" s="0" t="n">
        <f aca="false">H19*H20</f>
        <v>242.14861591636</v>
      </c>
      <c r="I21" s="0" t="n">
        <f aca="false">I19*I20</f>
        <v>229.816973439138</v>
      </c>
      <c r="J21" s="0" t="n">
        <f aca="false">J19*J20</f>
        <v>218.113331273256</v>
      </c>
      <c r="K21" s="0" t="n">
        <f aca="false">K19*K20</f>
        <v>207.005707921378</v>
      </c>
      <c r="L21" s="0" t="n">
        <f aca="false">L19*L20</f>
        <v>196.46375057353</v>
      </c>
    </row>
    <row r="23" customFormat="false" ht="15" hidden="false" customHeight="false" outlineLevel="0" collapsed="false">
      <c r="A23" s="0" t="s">
        <v>104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Assumptions!$B$20</f>
        <v>8</v>
      </c>
    </row>
    <row r="28" customFormat="false" ht="15" hidden="false" customHeight="false" outlineLevel="0" collapsed="false">
      <c r="A28" s="0" t="s">
        <v>109</v>
      </c>
      <c r="B28" s="4" t="n">
        <f aca="false">Assumptions!$B$21</f>
        <v>2</v>
      </c>
    </row>
    <row r="29" customFormat="false" ht="15" hidden="false" customHeight="false" outlineLevel="0" collapsed="false">
      <c r="A29" s="0" t="s">
        <v>110</v>
      </c>
      <c r="B29" s="4" t="n">
        <f aca="false">Assumptions!$B$22</f>
        <v>15</v>
      </c>
    </row>
    <row r="30" customFormat="false" ht="15" hidden="false" customHeight="false" outlineLevel="0" collapsed="false">
      <c r="A30" s="0" t="s">
        <v>131</v>
      </c>
      <c r="B30" s="0" t="n">
        <f aca="false">SUM(C21:L21)</f>
        <v>2562.1446588255</v>
      </c>
    </row>
    <row r="31" customFormat="false" ht="15" hidden="false" customHeight="false" outlineLevel="0" collapsed="false">
      <c r="A31" s="0" t="s">
        <v>132</v>
      </c>
      <c r="B31" s="0" t="n">
        <f aca="false">L19</f>
        <v>424.150502171159</v>
      </c>
    </row>
    <row r="32" customFormat="false" ht="15" hidden="false" customHeight="false" outlineLevel="0" collapsed="false">
      <c r="A32" s="0" t="s">
        <v>133</v>
      </c>
      <c r="B32" s="0" t="n">
        <f aca="false">IF(B27&gt;B28,B31*(1+B28/100)/((B27-B28)/100),B31*B29)</f>
        <v>7210.5585369097</v>
      </c>
    </row>
    <row r="33" customFormat="false" ht="15" hidden="false" customHeight="false" outlineLevel="0" collapsed="false">
      <c r="A33" s="0" t="s">
        <v>134</v>
      </c>
      <c r="B33" s="0" t="n">
        <f aca="false">B31*B29</f>
        <v>6362.25753256739</v>
      </c>
    </row>
    <row r="34" customFormat="false" ht="15" hidden="false" customHeight="false" outlineLevel="0" collapsed="false">
      <c r="A34" s="0" t="s">
        <v>135</v>
      </c>
      <c r="B34" s="0" t="n">
        <f aca="false">MAX(0,MIN(B32,B33))</f>
        <v>6362.25753256739</v>
      </c>
    </row>
    <row r="35" customFormat="false" ht="15" hidden="false" customHeight="false" outlineLevel="0" collapsed="false">
      <c r="A35" s="0" t="s">
        <v>136</v>
      </c>
      <c r="B35" s="0" t="n">
        <f aca="false">B34/(1+B27/100)^L4</f>
        <v>2946.95625860294</v>
      </c>
    </row>
    <row r="36" customFormat="false" ht="15" hidden="false" customHeight="false" outlineLevel="0" collapsed="false">
      <c r="A36" s="0" t="s">
        <v>137</v>
      </c>
      <c r="B36" s="0" t="n">
        <f aca="false">B30+B35</f>
        <v>5509.10091742844</v>
      </c>
    </row>
    <row r="37" customFormat="false" ht="15" hidden="false" customHeight="false" outlineLevel="0" collapsed="false">
      <c r="A37" s="0" t="s">
        <v>138</v>
      </c>
      <c r="B37" s="0" t="n">
        <f aca="false">B36+Assumptions!$B$5-Assumptions!$B$4</f>
        <v>4405.67891742844</v>
      </c>
    </row>
    <row r="38" customFormat="false" ht="15" hidden="false" customHeight="false" outlineLevel="0" collapsed="false">
      <c r="A38" s="0" t="s">
        <v>139</v>
      </c>
      <c r="B38" s="0" t="n">
        <f aca="false">B37/Assumptions!$B$3*Assumptions!$B$10</f>
        <v>18.9206259483984</v>
      </c>
    </row>
    <row r="39" customFormat="false" ht="15" hidden="false" customHeight="false" outlineLevel="0" collapsed="false">
      <c r="A39" s="0" t="s">
        <v>140</v>
      </c>
      <c r="B39" s="4" t="n">
        <f aca="false">B38/Assumptions!$B$2-1</f>
        <v>-0.580008303032222</v>
      </c>
    </row>
    <row r="41" customFormat="false" ht="15" hidden="false" customHeight="false" outlineLevel="0" collapsed="false">
      <c r="A41" s="0" t="s">
        <v>141</v>
      </c>
      <c r="B41" s="0" t="n">
        <f aca="false">SUMPRODUCT(-C10:L10/(1+$B$27/100)^C4:L4)</f>
        <v>529.356677688104</v>
      </c>
    </row>
    <row r="42" customFormat="false" ht="15" hidden="false" customHeight="false" outlineLevel="0" collapsed="false">
      <c r="A42" s="0" t="s">
        <v>142</v>
      </c>
      <c r="B42" s="0" t="n">
        <f aca="false">IF(B27&gt;B28,-L10*(1+B28/100)/((B27-B28)/100),-L10*20)/(1+B27/100)^L4</f>
        <v>709.142634495666</v>
      </c>
    </row>
    <row r="43" customFormat="false" ht="15" hidden="false" customHeight="false" outlineLevel="0" collapsed="false">
      <c r="A43" s="0" t="s">
        <v>143</v>
      </c>
      <c r="B43" s="0" t="n">
        <f aca="false">(B37+B41+B42)/Assumptions!$B$3*Assumptions!$B$10</f>
        <v>24.2394843269512</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3327.95009395832</v>
      </c>
    </row>
    <row r="47" customFormat="false" ht="15" hidden="false" customHeight="false" outlineLevel="0" collapsed="false">
      <c r="A47" s="0" t="s">
        <v>145</v>
      </c>
      <c r="B47" s="0" t="n">
        <f aca="false">(SUMPRODUCT(C19:L19/(1+B45/100)^C4:L4)+B46/(1+B45/100)^L4+Assumptions!$B$5-Assumptions!$B$4)/Assumptions!$B$3*Assumptions!$B$10</f>
        <v>6.96551207821582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2</v>
      </c>
      <c r="D5" s="4" t="n">
        <f aca="false">Assumptions!D27</f>
        <v>5</v>
      </c>
      <c r="E5" s="4" t="n">
        <f aca="false">Assumptions!E27</f>
        <v>6</v>
      </c>
      <c r="F5" s="4" t="n">
        <f aca="false">Assumptions!F27</f>
        <v>5.5</v>
      </c>
      <c r="G5" s="4" t="n">
        <f aca="false">Assumptions!G27</f>
        <v>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38</v>
      </c>
      <c r="B6" s="3" t="n">
        <v>2089.999</v>
      </c>
      <c r="C6" s="0" t="n">
        <f aca="false">B6*(1+C5/100)</f>
        <v>2131.79898</v>
      </c>
      <c r="D6" s="0" t="n">
        <f aca="false">C6*(1+D5/100)</f>
        <v>2238.388929</v>
      </c>
      <c r="E6" s="0" t="n">
        <f aca="false">D6*(1+E5/100)</f>
        <v>2372.69226474</v>
      </c>
      <c r="F6" s="0" t="n">
        <f aca="false">E6*(1+F5/100)</f>
        <v>2503.1903393007</v>
      </c>
      <c r="G6" s="0" t="n">
        <f aca="false">F6*(1+G5/100)</f>
        <v>2628.34985626574</v>
      </c>
      <c r="H6" s="0" t="n">
        <f aca="false">G6*(1+H5/100)</f>
        <v>2746.62559979769</v>
      </c>
      <c r="I6" s="0" t="n">
        <f aca="false">H6*(1+I5/100)</f>
        <v>2856.4906237896</v>
      </c>
      <c r="J6" s="0" t="n">
        <f aca="false">I6*(1+J5/100)</f>
        <v>2956.46779562224</v>
      </c>
      <c r="K6" s="0" t="n">
        <f aca="false">J6*(1+K5/100)</f>
        <v>3045.1618294909</v>
      </c>
      <c r="L6" s="0" t="n">
        <f aca="false">K6*(1+L5/100)</f>
        <v>3136.51668437563</v>
      </c>
    </row>
    <row r="7" customFormat="false" ht="15" hidden="false" customHeight="false" outlineLevel="0" collapsed="false">
      <c r="A7" s="0" t="s">
        <v>102</v>
      </c>
      <c r="C7" s="4" t="n">
        <f aca="false">Assumptions!C28</f>
        <v>34</v>
      </c>
      <c r="D7" s="4" t="n">
        <f aca="false">Assumptions!D28</f>
        <v>34.8</v>
      </c>
      <c r="E7" s="4" t="n">
        <f aca="false">Assumptions!E28</f>
        <v>35.5</v>
      </c>
      <c r="F7" s="4" t="n">
        <f aca="false">Assumptions!F28</f>
        <v>35.8</v>
      </c>
      <c r="G7" s="4" t="n">
        <f aca="false">Assumptions!G28</f>
        <v>36</v>
      </c>
      <c r="H7" s="4" t="n">
        <f aca="false">Assumptions!H28</f>
        <v>36</v>
      </c>
      <c r="I7" s="4" t="n">
        <f aca="false">Assumptions!I28</f>
        <v>36</v>
      </c>
      <c r="J7" s="4" t="n">
        <f aca="false">Assumptions!J28</f>
        <v>36</v>
      </c>
      <c r="K7" s="4" t="n">
        <f aca="false">Assumptions!K28</f>
        <v>36</v>
      </c>
      <c r="L7" s="4" t="n">
        <f aca="false">Assumptions!L28</f>
        <v>36</v>
      </c>
    </row>
    <row r="8" customFormat="false" ht="15" hidden="false" customHeight="false" outlineLevel="0" collapsed="false">
      <c r="A8" s="0" t="s">
        <v>44</v>
      </c>
      <c r="C8" s="0" t="n">
        <f aca="false">C6*C7/100</f>
        <v>724.8116532</v>
      </c>
      <c r="D8" s="0" t="n">
        <f aca="false">D6*D7/100</f>
        <v>778.959347292</v>
      </c>
      <c r="E8" s="0" t="n">
        <f aca="false">E6*E7/100</f>
        <v>842.3057539827</v>
      </c>
      <c r="F8" s="0" t="n">
        <f aca="false">F6*F7/100</f>
        <v>896.142141469651</v>
      </c>
      <c r="G8" s="0" t="n">
        <f aca="false">G6*G7/100</f>
        <v>946.205948255665</v>
      </c>
      <c r="H8" s="0" t="n">
        <f aca="false">H6*H7/100</f>
        <v>988.785215927169</v>
      </c>
      <c r="I8" s="0" t="n">
        <f aca="false">I6*I7/100</f>
        <v>1028.33662456426</v>
      </c>
      <c r="J8" s="0" t="n">
        <f aca="false">J6*J7/100</f>
        <v>1064.32840642401</v>
      </c>
      <c r="K8" s="0" t="n">
        <f aca="false">K6*K7/100</f>
        <v>1096.25825861673</v>
      </c>
      <c r="L8" s="0" t="n">
        <f aca="false">L6*L7/100</f>
        <v>1129.14600637523</v>
      </c>
    </row>
    <row r="9" customFormat="false" ht="15" hidden="false" customHeight="false" outlineLevel="0" collapsed="false">
      <c r="A9" s="0" t="s">
        <v>103</v>
      </c>
      <c r="C9" s="4" t="n">
        <f aca="false">Assumptions!C29</f>
        <v>3.3</v>
      </c>
      <c r="D9" s="4" t="n">
        <f aca="false">Assumptions!D29</f>
        <v>3.4</v>
      </c>
      <c r="E9" s="4" t="n">
        <f aca="false">Assumptions!E29</f>
        <v>3.4</v>
      </c>
      <c r="F9" s="4" t="n">
        <f aca="false">Assumptions!F29</f>
        <v>3.3</v>
      </c>
      <c r="G9" s="4" t="n">
        <f aca="false">Assumptions!G29</f>
        <v>3.2</v>
      </c>
      <c r="H9" s="4" t="n">
        <f aca="false">Assumptions!H29</f>
        <v>3.1</v>
      </c>
      <c r="I9" s="4" t="n">
        <f aca="false">Assumptions!I29</f>
        <v>3</v>
      </c>
      <c r="J9" s="4" t="n">
        <f aca="false">Assumptions!J29</f>
        <v>3</v>
      </c>
      <c r="K9" s="4" t="n">
        <f aca="false">Assumptions!K29</f>
        <v>3</v>
      </c>
      <c r="L9" s="4" t="n">
        <f aca="false">Assumptions!L29</f>
        <v>3</v>
      </c>
    </row>
    <row r="10" customFormat="false" ht="15" hidden="false" customHeight="false" outlineLevel="0" collapsed="false">
      <c r="A10" s="0" t="s">
        <v>118</v>
      </c>
      <c r="C10" s="0" t="n">
        <f aca="false">-C6*C9/100</f>
        <v>-70.34936634</v>
      </c>
      <c r="D10" s="0" t="n">
        <f aca="false">-D6*D9/100</f>
        <v>-76.105223586</v>
      </c>
      <c r="E10" s="0" t="n">
        <f aca="false">-E6*E9/100</f>
        <v>-80.67153700116</v>
      </c>
      <c r="F10" s="0" t="n">
        <f aca="false">-F6*F9/100</f>
        <v>-82.6052811969231</v>
      </c>
      <c r="G10" s="0" t="n">
        <f aca="false">-G6*G9/100</f>
        <v>-84.1071954005035</v>
      </c>
      <c r="H10" s="0" t="n">
        <f aca="false">-H6*H9/100</f>
        <v>-85.1453935937285</v>
      </c>
      <c r="I10" s="0" t="n">
        <f aca="false">-I6*I9/100</f>
        <v>-85.694718713688</v>
      </c>
      <c r="J10" s="0" t="n">
        <f aca="false">-J6*J9/100</f>
        <v>-88.6940338686671</v>
      </c>
      <c r="K10" s="0" t="n">
        <f aca="false">-K6*K9/100</f>
        <v>-91.3548548847271</v>
      </c>
      <c r="L10" s="0" t="n">
        <f aca="false">-L6*L9/100</f>
        <v>-94.0955005312689</v>
      </c>
    </row>
    <row r="11" customFormat="false" ht="15" hidden="false" customHeight="false" outlineLevel="0" collapsed="false">
      <c r="A11" s="0" t="s">
        <v>119</v>
      </c>
      <c r="C11" s="0" t="n">
        <f aca="false">C8+C10+C24</f>
        <v>654.46228686</v>
      </c>
      <c r="D11" s="0" t="n">
        <f aca="false">D8+D10+D24</f>
        <v>702.854123706</v>
      </c>
      <c r="E11" s="0" t="n">
        <f aca="false">E8+E10+E24</f>
        <v>761.63421698154</v>
      </c>
      <c r="F11" s="0" t="n">
        <f aca="false">F8+F10+F24</f>
        <v>813.536860272727</v>
      </c>
      <c r="G11" s="0" t="n">
        <f aca="false">G8+G10+G24</f>
        <v>862.098752855161</v>
      </c>
      <c r="H11" s="0" t="n">
        <f aca="false">H8+H10+H24</f>
        <v>903.639822333441</v>
      </c>
      <c r="I11" s="0" t="n">
        <f aca="false">I8+I10+I24</f>
        <v>942.641905850568</v>
      </c>
      <c r="J11" s="0" t="n">
        <f aca="false">J8+J10+J24</f>
        <v>975.634372555338</v>
      </c>
      <c r="K11" s="0" t="n">
        <f aca="false">K8+K10+K24</f>
        <v>1004.903403732</v>
      </c>
      <c r="L11" s="0" t="n">
        <f aca="false">L8+L10+L24</f>
        <v>1035.05050584396</v>
      </c>
    </row>
    <row r="12" customFormat="false" ht="15" hidden="false" customHeight="false" outlineLevel="0" collapsed="false">
      <c r="A12" s="0" t="s">
        <v>120</v>
      </c>
      <c r="C12" s="4" t="n">
        <f aca="false">-C6*Assumptions!C31/100</f>
        <v>-204.65270208</v>
      </c>
      <c r="D12" s="4" t="n">
        <f aca="false">-D6*Assumptions!D31/100</f>
        <v>-208.170170397</v>
      </c>
      <c r="E12" s="4" t="n">
        <f aca="false">-E6*Assumptions!E31/100</f>
        <v>-213.5423038266</v>
      </c>
      <c r="F12" s="4" t="n">
        <f aca="false">-F6*Assumptions!F31/100</f>
        <v>-220.280749858462</v>
      </c>
      <c r="G12" s="4" t="n">
        <f aca="false">-G6*Assumptions!G31/100</f>
        <v>-226.038087638853</v>
      </c>
      <c r="H12" s="4" t="n">
        <f aca="false">-H6*Assumptions!H31/100</f>
        <v>-230.716550383006</v>
      </c>
      <c r="I12" s="4" t="n">
        <f aca="false">-I6*Assumptions!I31/100</f>
        <v>-234.232231150747</v>
      </c>
      <c r="J12" s="4" t="n">
        <f aca="false">-J6*Assumptions!J31/100</f>
        <v>-236.517423649779</v>
      </c>
      <c r="K12" s="4" t="n">
        <f aca="false">-K6*Assumptions!K31/100</f>
        <v>-243.612946359272</v>
      </c>
      <c r="L12" s="4" t="n">
        <f aca="false">-L6*Assumptions!L31/100</f>
        <v>-250.92133475005</v>
      </c>
    </row>
    <row r="13" customFormat="false" ht="15" hidden="false" customHeight="false" outlineLevel="0" collapsed="false">
      <c r="A13" s="0" t="s">
        <v>121</v>
      </c>
      <c r="C13" s="0" t="n">
        <f aca="false">C11+C12</f>
        <v>449.80958478</v>
      </c>
      <c r="D13" s="0" t="n">
        <f aca="false">D11+D12</f>
        <v>494.683953309</v>
      </c>
      <c r="E13" s="0" t="n">
        <f aca="false">E11+E12</f>
        <v>548.09191315494</v>
      </c>
      <c r="F13" s="0" t="n">
        <f aca="false">F11+F12</f>
        <v>593.256110414266</v>
      </c>
      <c r="G13" s="0" t="n">
        <f aca="false">G11+G12</f>
        <v>636.060665216308</v>
      </c>
      <c r="H13" s="0" t="n">
        <f aca="false">H11+H12</f>
        <v>672.923271950435</v>
      </c>
      <c r="I13" s="0" t="n">
        <f aca="false">I11+I12</f>
        <v>708.409674699821</v>
      </c>
      <c r="J13" s="0" t="n">
        <f aca="false">J11+J12</f>
        <v>739.116948905559</v>
      </c>
      <c r="K13" s="0" t="n">
        <f aca="false">K11+K12</f>
        <v>761.290457372726</v>
      </c>
      <c r="L13" s="0" t="n">
        <f aca="false">L11+L12</f>
        <v>784.129171093908</v>
      </c>
    </row>
    <row r="14" customFormat="false" ht="15" hidden="false" customHeight="false" outlineLevel="0" collapsed="false">
      <c r="A14" s="0" t="s">
        <v>107</v>
      </c>
      <c r="C14" s="4" t="n">
        <f aca="false">Assumptions!C33</f>
        <v>12</v>
      </c>
      <c r="D14" s="4" t="n">
        <f aca="false">Assumptions!D33</f>
        <v>16</v>
      </c>
      <c r="E14" s="4" t="n">
        <f aca="false">Assumptions!E33</f>
        <v>19</v>
      </c>
      <c r="F14" s="4" t="n">
        <f aca="false">Assumptions!F33</f>
        <v>20</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122</v>
      </c>
      <c r="C15" s="0" t="n">
        <f aca="false">C13-MAX(0,C13)*C14/100</f>
        <v>395.8324346064</v>
      </c>
      <c r="D15" s="0" t="n">
        <f aca="false">D13-MAX(0,D13)*D14/100</f>
        <v>415.53452077956</v>
      </c>
      <c r="E15" s="0" t="n">
        <f aca="false">E13-MAX(0,E13)*E14/100</f>
        <v>443.954449655502</v>
      </c>
      <c r="F15" s="0" t="n">
        <f aca="false">F13-MAX(0,F13)*F14/100</f>
        <v>474.604888331413</v>
      </c>
      <c r="G15" s="0" t="n">
        <f aca="false">G13-MAX(0,G13)*G14/100</f>
        <v>508.848532173046</v>
      </c>
      <c r="H15" s="0" t="n">
        <f aca="false">H13-MAX(0,H13)*H14/100</f>
        <v>538.338617560348</v>
      </c>
      <c r="I15" s="0" t="n">
        <f aca="false">I13-MAX(0,I13)*I14/100</f>
        <v>566.727739759857</v>
      </c>
      <c r="J15" s="0" t="n">
        <f aca="false">J13-MAX(0,J13)*J14/100</f>
        <v>591.293559124447</v>
      </c>
      <c r="K15" s="0" t="n">
        <f aca="false">K13-MAX(0,K13)*K14/100</f>
        <v>609.032365898181</v>
      </c>
      <c r="L15" s="0" t="n">
        <f aca="false">L13-MAX(0,L13)*L14/100</f>
        <v>627.303336875126</v>
      </c>
    </row>
    <row r="16" customFormat="false" ht="15" hidden="false" customHeight="false" outlineLevel="0" collapsed="false">
      <c r="A16" s="0" t="s">
        <v>123</v>
      </c>
      <c r="C16" s="0" t="n">
        <f aca="false">-C12</f>
        <v>204.65270208</v>
      </c>
      <c r="D16" s="0" t="n">
        <f aca="false">-D12</f>
        <v>208.170170397</v>
      </c>
      <c r="E16" s="0" t="n">
        <f aca="false">-E12</f>
        <v>213.5423038266</v>
      </c>
      <c r="F16" s="0" t="n">
        <f aca="false">-F12</f>
        <v>220.280749858462</v>
      </c>
      <c r="G16" s="0" t="n">
        <f aca="false">-G12</f>
        <v>226.038087638853</v>
      </c>
      <c r="H16" s="0" t="n">
        <f aca="false">-H12</f>
        <v>230.716550383006</v>
      </c>
      <c r="I16" s="0" t="n">
        <f aca="false">-I12</f>
        <v>234.232231150747</v>
      </c>
      <c r="J16" s="0" t="n">
        <f aca="false">-J12</f>
        <v>236.517423649779</v>
      </c>
      <c r="K16" s="0" t="n">
        <f aca="false">-K12</f>
        <v>243.612946359272</v>
      </c>
      <c r="L16" s="0" t="n">
        <f aca="false">-L12</f>
        <v>250.92133475005</v>
      </c>
    </row>
    <row r="17" customFormat="false" ht="15" hidden="false" customHeight="false" outlineLevel="0" collapsed="false">
      <c r="A17" s="0" t="s">
        <v>124</v>
      </c>
      <c r="C17" s="4" t="n">
        <f aca="false">-C6*Assumptions!C32/100</f>
        <v>-191.8619082</v>
      </c>
      <c r="D17" s="4" t="n">
        <f aca="false">-D6*Assumptions!D32/100</f>
        <v>-192.501447894</v>
      </c>
      <c r="E17" s="4" t="n">
        <f aca="false">-E6*Assumptions!E32/100</f>
        <v>-196.93345797342</v>
      </c>
      <c r="F17" s="4" t="n">
        <f aca="false">-F6*Assumptions!F32/100</f>
        <v>-200.255227144056</v>
      </c>
      <c r="G17" s="4" t="n">
        <f aca="false">-G6*Assumptions!G32/100</f>
        <v>-210.267988501259</v>
      </c>
      <c r="H17" s="4" t="n">
        <f aca="false">-H6*Assumptions!H32/100</f>
        <v>-219.730047983815</v>
      </c>
      <c r="I17" s="4" t="n">
        <f aca="false">-I6*Assumptions!I32/100</f>
        <v>-228.519249903168</v>
      </c>
      <c r="J17" s="4" t="n">
        <f aca="false">-J6*Assumptions!J32/100</f>
        <v>-236.517423649779</v>
      </c>
      <c r="K17" s="4" t="n">
        <f aca="false">-K6*Assumptions!K32/100</f>
        <v>-243.612946359272</v>
      </c>
      <c r="L17" s="4" t="n">
        <f aca="false">-L6*Assumptions!L32/100</f>
        <v>-250.92133475005</v>
      </c>
    </row>
    <row r="18" customFormat="false" ht="15" hidden="false" customHeight="false" outlineLevel="0" collapsed="false">
      <c r="A18" s="0" t="s">
        <v>125</v>
      </c>
      <c r="C18" s="4" t="n">
        <f aca="false">(C6-B6)*Assumptions!$B$37/100</f>
        <v>-6.26999700000004</v>
      </c>
      <c r="D18" s="4" t="n">
        <f aca="false">(D6-C6)*Assumptions!$B$37/100</f>
        <v>-15.98849235</v>
      </c>
      <c r="E18" s="4" t="n">
        <f aca="false">(E6-D6)*Assumptions!$B$37/100</f>
        <v>-20.145500361</v>
      </c>
      <c r="F18" s="4" t="n">
        <f aca="false">(F6-E6)*Assumptions!$B$37/100</f>
        <v>-19.574711184105</v>
      </c>
      <c r="G18" s="4" t="n">
        <f aca="false">(G6-F6)*Assumptions!$B$37/100</f>
        <v>-18.7739275447552</v>
      </c>
      <c r="H18" s="4" t="n">
        <f aca="false">(H6-G6)*Assumptions!$B$37/100</f>
        <v>-17.7413615297937</v>
      </c>
      <c r="I18" s="4" t="n">
        <f aca="false">(I6-H6)*Assumptions!$B$37/100</f>
        <v>-16.4797535987862</v>
      </c>
      <c r="J18" s="4" t="n">
        <f aca="false">(J6-I6)*Assumptions!$B$37/100</f>
        <v>-14.9965757748953</v>
      </c>
      <c r="K18" s="4" t="n">
        <f aca="false">(K6-J6)*Assumptions!$B$37/100</f>
        <v>-13.3041050803001</v>
      </c>
      <c r="L18" s="4" t="n">
        <f aca="false">(L6-K6)*Assumptions!$B$37/100</f>
        <v>-13.7032282327091</v>
      </c>
    </row>
    <row r="19" customFormat="false" ht="15" hidden="false" customHeight="false" outlineLevel="0" collapsed="false">
      <c r="A19" s="0" t="s">
        <v>126</v>
      </c>
      <c r="C19" s="0" t="n">
        <f aca="false">C15+C16+C17+C18</f>
        <v>402.3532314864</v>
      </c>
      <c r="D19" s="0" t="n">
        <f aca="false">D15+D16+D17+D18</f>
        <v>415.21475093256</v>
      </c>
      <c r="E19" s="0" t="n">
        <f aca="false">E15+E16+E17+E18</f>
        <v>440.417795147681</v>
      </c>
      <c r="F19" s="0" t="n">
        <f aca="false">F15+F16+F17+F18</f>
        <v>475.055699861713</v>
      </c>
      <c r="G19" s="0" t="n">
        <f aca="false">G15+G16+G17+G18</f>
        <v>505.844703765885</v>
      </c>
      <c r="H19" s="0" t="n">
        <f aca="false">H15+H16+H17+H18</f>
        <v>531.583758429745</v>
      </c>
      <c r="I19" s="0" t="n">
        <f aca="false">I15+I16+I17+I18</f>
        <v>555.96096740865</v>
      </c>
      <c r="J19" s="0" t="n">
        <f aca="false">J15+J16+J17+J18</f>
        <v>576.296983349552</v>
      </c>
      <c r="K19" s="0" t="n">
        <f aca="false">K15+K16+K17+K18</f>
        <v>595.728260817881</v>
      </c>
      <c r="L19" s="0" t="n">
        <f aca="false">L15+L16+L17+L18</f>
        <v>613.600108642417</v>
      </c>
    </row>
    <row r="20" customFormat="false" ht="15" hidden="false" customHeight="false" outlineLevel="0" collapsed="false">
      <c r="A20" s="0" t="s">
        <v>127</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128</v>
      </c>
      <c r="C21" s="0" t="n">
        <f aca="false">C19*C20</f>
        <v>372.549288413333</v>
      </c>
      <c r="D21" s="0" t="n">
        <f aca="false">D19*D20</f>
        <v>355.97972473642</v>
      </c>
      <c r="E21" s="0" t="n">
        <f aca="false">E19*E20</f>
        <v>349.617845307246</v>
      </c>
      <c r="F21" s="0" t="n">
        <f aca="false">F19*F20</f>
        <v>349.180121139471</v>
      </c>
      <c r="G21" s="0" t="n">
        <f aca="false">G19*G20</f>
        <v>344.269405691578</v>
      </c>
      <c r="H21" s="0" t="n">
        <f aca="false">H19*H20</f>
        <v>334.987938706791</v>
      </c>
      <c r="I21" s="0" t="n">
        <f aca="false">I19*I20</f>
        <v>324.397884623591</v>
      </c>
      <c r="J21" s="0" t="n">
        <f aca="false">J19*J20</f>
        <v>311.355328336116</v>
      </c>
      <c r="K21" s="0" t="n">
        <f aca="false">K19*K20</f>
        <v>298.012447165165</v>
      </c>
      <c r="L21" s="0" t="n">
        <f aca="false">L19*L20</f>
        <v>284.215574611222</v>
      </c>
    </row>
    <row r="23" customFormat="false" ht="15" hidden="false" customHeight="false" outlineLevel="0" collapsed="false">
      <c r="A23" s="0" t="s">
        <v>104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Assumptions!$B$34</f>
        <v>8</v>
      </c>
    </row>
    <row r="28" customFormat="false" ht="15" hidden="false" customHeight="false" outlineLevel="0" collapsed="false">
      <c r="A28" s="0" t="s">
        <v>109</v>
      </c>
      <c r="B28" s="4" t="n">
        <f aca="false">Assumptions!$B$35</f>
        <v>2.5</v>
      </c>
    </row>
    <row r="29" customFormat="false" ht="15" hidden="false" customHeight="false" outlineLevel="0" collapsed="false">
      <c r="A29" s="0" t="s">
        <v>110</v>
      </c>
      <c r="B29" s="4" t="n">
        <f aca="false">Assumptions!$B$36</f>
        <v>18</v>
      </c>
    </row>
    <row r="30" customFormat="false" ht="15" hidden="false" customHeight="false" outlineLevel="0" collapsed="false">
      <c r="A30" s="0" t="s">
        <v>131</v>
      </c>
      <c r="B30" s="0" t="n">
        <f aca="false">SUM(C21:L21)</f>
        <v>3324.56555873093</v>
      </c>
    </row>
    <row r="31" customFormat="false" ht="15" hidden="false" customHeight="false" outlineLevel="0" collapsed="false">
      <c r="A31" s="0" t="s">
        <v>132</v>
      </c>
      <c r="B31" s="0" t="n">
        <f aca="false">L19</f>
        <v>613.600108642417</v>
      </c>
    </row>
    <row r="32" customFormat="false" ht="15" hidden="false" customHeight="false" outlineLevel="0" collapsed="false">
      <c r="A32" s="0" t="s">
        <v>133</v>
      </c>
      <c r="B32" s="0" t="n">
        <f aca="false">IF(B27&gt;B28,B31*(1+B28/100)/((B27-B28)/100),B31*B29)</f>
        <v>11435.2747519723</v>
      </c>
    </row>
    <row r="33" customFormat="false" ht="15" hidden="false" customHeight="false" outlineLevel="0" collapsed="false">
      <c r="A33" s="0" t="s">
        <v>134</v>
      </c>
      <c r="B33" s="0" t="n">
        <f aca="false">B31*B29</f>
        <v>11044.8019555635</v>
      </c>
    </row>
    <row r="34" customFormat="false" ht="15" hidden="false" customHeight="false" outlineLevel="0" collapsed="false">
      <c r="A34" s="0" t="s">
        <v>135</v>
      </c>
      <c r="B34" s="0" t="n">
        <f aca="false">MAX(0,MIN(B32,B33))</f>
        <v>11044.8019555635</v>
      </c>
    </row>
    <row r="35" customFormat="false" ht="15" hidden="false" customHeight="false" outlineLevel="0" collapsed="false">
      <c r="A35" s="0" t="s">
        <v>136</v>
      </c>
      <c r="B35" s="0" t="n">
        <f aca="false">B34/(1+B27/100)^L4</f>
        <v>5115.880343002</v>
      </c>
    </row>
    <row r="36" customFormat="false" ht="15" hidden="false" customHeight="false" outlineLevel="0" collapsed="false">
      <c r="A36" s="0" t="s">
        <v>137</v>
      </c>
      <c r="B36" s="0" t="n">
        <f aca="false">B30+B35</f>
        <v>8440.44590173294</v>
      </c>
    </row>
    <row r="37" customFormat="false" ht="15" hidden="false" customHeight="false" outlineLevel="0" collapsed="false">
      <c r="A37" s="0" t="s">
        <v>138</v>
      </c>
      <c r="B37" s="0" t="n">
        <f aca="false">B36+Assumptions!$B$5-Assumptions!$B$4</f>
        <v>7337.02390173294</v>
      </c>
    </row>
    <row r="38" customFormat="false" ht="15" hidden="false" customHeight="false" outlineLevel="0" collapsed="false">
      <c r="A38" s="0" t="s">
        <v>139</v>
      </c>
      <c r="B38" s="0" t="n">
        <f aca="false">B37/Assumptions!$B$3*Assumptions!$B$10</f>
        <v>31.5095783013112</v>
      </c>
    </row>
    <row r="39" customFormat="false" ht="15" hidden="false" customHeight="false" outlineLevel="0" collapsed="false">
      <c r="A39" s="0" t="s">
        <v>140</v>
      </c>
      <c r="B39" s="4" t="n">
        <f aca="false">B38/Assumptions!$B$2-1</f>
        <v>-0.300564299637931</v>
      </c>
    </row>
    <row r="41" customFormat="false" ht="15" hidden="false" customHeight="false" outlineLevel="0" collapsed="false">
      <c r="A41" s="0" t="s">
        <v>141</v>
      </c>
      <c r="B41" s="0" t="n">
        <f aca="false">SUMPRODUCT(-C10:L10/(1+$B$27/100)^C4:L4)</f>
        <v>553.246531245254</v>
      </c>
    </row>
    <row r="42" customFormat="false" ht="15" hidden="false" customHeight="false" outlineLevel="0" collapsed="false">
      <c r="A42" s="0" t="s">
        <v>142</v>
      </c>
      <c r="B42" s="0" t="n">
        <f aca="false">IF(B27&gt;B28,-L10*(1+B28/100)/((B27-B28)/100),-L10*20)/(1+B27/100)^L4</f>
        <v>812.255157850118</v>
      </c>
    </row>
    <row r="43" customFormat="false" ht="15" hidden="false" customHeight="false" outlineLevel="0" collapsed="false">
      <c r="A43" s="0" t="s">
        <v>143</v>
      </c>
      <c r="B43" s="0" t="n">
        <f aca="false">(B37+B41+B42)/Assumptions!$B$3*Assumptions!$B$10</f>
        <v>37.3738610090398</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5031.52089086782</v>
      </c>
    </row>
    <row r="47" customFormat="false" ht="15" hidden="false" customHeight="false" outlineLevel="0" collapsed="false">
      <c r="A47" s="0" t="s">
        <v>145</v>
      </c>
      <c r="B47" s="0" t="n">
        <f aca="false">(SUMPRODUCT(C19:L19/(1+B45/100)^C4:L4)+B46/(1+B45/100)^L4+Assumptions!$B$5-Assumptions!$B$4)/Assumptions!$B$3*Assumptions!$B$10</f>
        <v>11.0158662980434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3</v>
      </c>
      <c r="D5" s="4" t="n">
        <f aca="false">Assumptions!D41</f>
        <v>7</v>
      </c>
      <c r="E5" s="4" t="n">
        <f aca="false">Assumptions!E41</f>
        <v>8</v>
      </c>
      <c r="F5" s="4" t="n">
        <f aca="false">Assumptions!F41</f>
        <v>7.5</v>
      </c>
      <c r="G5" s="4" t="n">
        <f aca="false">Assumptions!G41</f>
        <v>7</v>
      </c>
      <c r="H5" s="4" t="n">
        <f aca="false">Assumptions!H41</f>
        <v>6</v>
      </c>
      <c r="I5" s="4" t="n">
        <f aca="false">Assumptions!I41</f>
        <v>5.5</v>
      </c>
      <c r="J5" s="4" t="n">
        <f aca="false">Assumptions!J41</f>
        <v>5</v>
      </c>
      <c r="K5" s="4" t="n">
        <f aca="false">Assumptions!K41</f>
        <v>4.5</v>
      </c>
      <c r="L5" s="4" t="n">
        <f aca="false">Assumptions!L41</f>
        <v>4</v>
      </c>
    </row>
    <row r="6" customFormat="false" ht="15" hidden="false" customHeight="false" outlineLevel="0" collapsed="false">
      <c r="A6" s="0" t="s">
        <v>38</v>
      </c>
      <c r="B6" s="3" t="n">
        <v>2089.999</v>
      </c>
      <c r="C6" s="0" t="n">
        <f aca="false">B6*(1+C5/100)</f>
        <v>2152.69897</v>
      </c>
      <c r="D6" s="0" t="n">
        <f aca="false">C6*(1+D5/100)</f>
        <v>2303.3878979</v>
      </c>
      <c r="E6" s="0" t="n">
        <f aca="false">D6*(1+E5/100)</f>
        <v>2487.658929732</v>
      </c>
      <c r="F6" s="0" t="n">
        <f aca="false">E6*(1+F5/100)</f>
        <v>2674.2333494619</v>
      </c>
      <c r="G6" s="0" t="n">
        <f aca="false">F6*(1+G5/100)</f>
        <v>2861.42968392423</v>
      </c>
      <c r="H6" s="0" t="n">
        <f aca="false">G6*(1+H5/100)</f>
        <v>3033.11546495969</v>
      </c>
      <c r="I6" s="0" t="n">
        <f aca="false">H6*(1+I5/100)</f>
        <v>3199.93681553247</v>
      </c>
      <c r="J6" s="0" t="n">
        <f aca="false">I6*(1+J5/100)</f>
        <v>3359.93365630909</v>
      </c>
      <c r="K6" s="0" t="n">
        <f aca="false">J6*(1+K5/100)</f>
        <v>3511.130670843</v>
      </c>
      <c r="L6" s="0" t="n">
        <f aca="false">K6*(1+L5/100)</f>
        <v>3651.57589767672</v>
      </c>
    </row>
    <row r="7" customFormat="false" ht="15" hidden="false" customHeight="false" outlineLevel="0" collapsed="false">
      <c r="A7" s="0" t="s">
        <v>102</v>
      </c>
      <c r="C7" s="4" t="n">
        <f aca="false">Assumptions!C42</f>
        <v>34.5</v>
      </c>
      <c r="D7" s="4" t="n">
        <f aca="false">Assumptions!D42</f>
        <v>35.5</v>
      </c>
      <c r="E7" s="4" t="n">
        <f aca="false">Assumptions!E42</f>
        <v>36.5</v>
      </c>
      <c r="F7" s="4" t="n">
        <f aca="false">Assumptions!F42</f>
        <v>37</v>
      </c>
      <c r="G7" s="4" t="n">
        <f aca="false">Assumptions!G42</f>
        <v>37.5</v>
      </c>
      <c r="H7" s="4" t="n">
        <f aca="false">Assumptions!H42</f>
        <v>37.5</v>
      </c>
      <c r="I7" s="4" t="n">
        <f aca="false">Assumptions!I42</f>
        <v>37.5</v>
      </c>
      <c r="J7" s="4" t="n">
        <f aca="false">Assumptions!J42</f>
        <v>37.5</v>
      </c>
      <c r="K7" s="4" t="n">
        <f aca="false">Assumptions!K42</f>
        <v>37.5</v>
      </c>
      <c r="L7" s="4" t="n">
        <f aca="false">Assumptions!L42</f>
        <v>37.5</v>
      </c>
    </row>
    <row r="8" customFormat="false" ht="15" hidden="false" customHeight="false" outlineLevel="0" collapsed="false">
      <c r="A8" s="0" t="s">
        <v>44</v>
      </c>
      <c r="C8" s="0" t="n">
        <f aca="false">C6*C7/100</f>
        <v>742.68114465</v>
      </c>
      <c r="D8" s="0" t="n">
        <f aca="false">D6*D7/100</f>
        <v>817.7027037545</v>
      </c>
      <c r="E8" s="0" t="n">
        <f aca="false">E6*E7/100</f>
        <v>907.99550935218</v>
      </c>
      <c r="F8" s="0" t="n">
        <f aca="false">F6*F7/100</f>
        <v>989.466339300903</v>
      </c>
      <c r="G8" s="0" t="n">
        <f aca="false">G6*G7/100</f>
        <v>1073.03613147159</v>
      </c>
      <c r="H8" s="0" t="n">
        <f aca="false">H6*H7/100</f>
        <v>1137.41829935988</v>
      </c>
      <c r="I8" s="0" t="n">
        <f aca="false">I6*I7/100</f>
        <v>1199.97630582468</v>
      </c>
      <c r="J8" s="0" t="n">
        <f aca="false">J6*J7/100</f>
        <v>1259.97512111591</v>
      </c>
      <c r="K8" s="0" t="n">
        <f aca="false">K6*K7/100</f>
        <v>1316.67400156613</v>
      </c>
      <c r="L8" s="0" t="n">
        <f aca="false">L6*L7/100</f>
        <v>1369.34096162877</v>
      </c>
    </row>
    <row r="9" customFormat="false" ht="15" hidden="false" customHeight="false" outlineLevel="0" collapsed="false">
      <c r="A9" s="0" t="s">
        <v>103</v>
      </c>
      <c r="C9" s="4" t="n">
        <f aca="false">Assumptions!C43</f>
        <v>3.3</v>
      </c>
      <c r="D9" s="4" t="n">
        <f aca="false">Assumptions!D43</f>
        <v>3.4</v>
      </c>
      <c r="E9" s="4" t="n">
        <f aca="false">Assumptions!E43</f>
        <v>3.4</v>
      </c>
      <c r="F9" s="4" t="n">
        <f aca="false">Assumptions!F43</f>
        <v>3.3</v>
      </c>
      <c r="G9" s="4" t="n">
        <f aca="false">Assumptions!G43</f>
        <v>3.2</v>
      </c>
      <c r="H9" s="4" t="n">
        <f aca="false">Assumptions!H43</f>
        <v>3.1</v>
      </c>
      <c r="I9" s="4" t="n">
        <f aca="false">Assumptions!I43</f>
        <v>3</v>
      </c>
      <c r="J9" s="4" t="n">
        <f aca="false">Assumptions!J43</f>
        <v>3</v>
      </c>
      <c r="K9" s="4" t="n">
        <f aca="false">Assumptions!K43</f>
        <v>3</v>
      </c>
      <c r="L9" s="4" t="n">
        <f aca="false">Assumptions!L43</f>
        <v>3</v>
      </c>
    </row>
    <row r="10" customFormat="false" ht="15" hidden="false" customHeight="false" outlineLevel="0" collapsed="false">
      <c r="A10" s="0" t="s">
        <v>118</v>
      </c>
      <c r="C10" s="0" t="n">
        <f aca="false">-C6*C9/100</f>
        <v>-71.03906601</v>
      </c>
      <c r="D10" s="0" t="n">
        <f aca="false">-D6*D9/100</f>
        <v>-78.3151885286</v>
      </c>
      <c r="E10" s="0" t="n">
        <f aca="false">-E6*E9/100</f>
        <v>-84.580403610888</v>
      </c>
      <c r="F10" s="0" t="n">
        <f aca="false">-F6*F9/100</f>
        <v>-88.2497005322427</v>
      </c>
      <c r="G10" s="0" t="n">
        <f aca="false">-G6*G9/100</f>
        <v>-91.5657498855755</v>
      </c>
      <c r="H10" s="0" t="n">
        <f aca="false">-H6*H9/100</f>
        <v>-94.0265794137503</v>
      </c>
      <c r="I10" s="0" t="n">
        <f aca="false">-I6*I9/100</f>
        <v>-95.9981044659741</v>
      </c>
      <c r="J10" s="0" t="n">
        <f aca="false">-J6*J9/100</f>
        <v>-100.798009689273</v>
      </c>
      <c r="K10" s="0" t="n">
        <f aca="false">-K6*K9/100</f>
        <v>-105.33392012529</v>
      </c>
      <c r="L10" s="0" t="n">
        <f aca="false">-L6*L9/100</f>
        <v>-109.547276930302</v>
      </c>
    </row>
    <row r="11" customFormat="false" ht="15" hidden="false" customHeight="false" outlineLevel="0" collapsed="false">
      <c r="A11" s="0" t="s">
        <v>119</v>
      </c>
      <c r="C11" s="0" t="n">
        <f aca="false">C8+C10+C24</f>
        <v>671.64207864</v>
      </c>
      <c r="D11" s="0" t="n">
        <f aca="false">D8+D10+D24</f>
        <v>739.3875152259</v>
      </c>
      <c r="E11" s="0" t="n">
        <f aca="false">E8+E10+E24</f>
        <v>823.415105741292</v>
      </c>
      <c r="F11" s="0" t="n">
        <f aca="false">F8+F10+F24</f>
        <v>901.21663876866</v>
      </c>
      <c r="G11" s="0" t="n">
        <f aca="false">G8+G10+G24</f>
        <v>981.470381586012</v>
      </c>
      <c r="H11" s="0" t="n">
        <f aca="false">H8+H10+H24</f>
        <v>1043.39171994613</v>
      </c>
      <c r="I11" s="0" t="n">
        <f aca="false">I8+I10+I24</f>
        <v>1103.9782013587</v>
      </c>
      <c r="J11" s="0" t="n">
        <f aca="false">J8+J10+J24</f>
        <v>1159.17711142664</v>
      </c>
      <c r="K11" s="0" t="n">
        <f aca="false">K8+K10+K24</f>
        <v>1211.34008144084</v>
      </c>
      <c r="L11" s="0" t="n">
        <f aca="false">L8+L10+L24</f>
        <v>1259.79368469847</v>
      </c>
    </row>
    <row r="12" customFormat="false" ht="15" hidden="false" customHeight="false" outlineLevel="0" collapsed="false">
      <c r="A12" s="0" t="s">
        <v>120</v>
      </c>
      <c r="C12" s="4" t="n">
        <f aca="false">-C6*Assumptions!C45/100</f>
        <v>-206.65910112</v>
      </c>
      <c r="D12" s="4" t="n">
        <f aca="false">-D6*Assumptions!D45/100</f>
        <v>-214.2150745047</v>
      </c>
      <c r="E12" s="4" t="n">
        <f aca="false">-E6*Assumptions!E45/100</f>
        <v>-223.88930367588</v>
      </c>
      <c r="F12" s="4" t="n">
        <f aca="false">-F6*Assumptions!F45/100</f>
        <v>-235.332534752647</v>
      </c>
      <c r="G12" s="4" t="n">
        <f aca="false">-G6*Assumptions!G45/100</f>
        <v>-246.082952817484</v>
      </c>
      <c r="H12" s="4" t="n">
        <f aca="false">-H6*Assumptions!H45/100</f>
        <v>-254.781699056614</v>
      </c>
      <c r="I12" s="4" t="n">
        <f aca="false">-I6*Assumptions!I45/100</f>
        <v>-262.394818873663</v>
      </c>
      <c r="J12" s="4" t="n">
        <f aca="false">-J6*Assumptions!J45/100</f>
        <v>-268.794692504728</v>
      </c>
      <c r="K12" s="4" t="n">
        <f aca="false">-K6*Assumptions!K45/100</f>
        <v>-280.89045366744</v>
      </c>
      <c r="L12" s="4" t="n">
        <f aca="false">-L6*Assumptions!L45/100</f>
        <v>-292.126071814138</v>
      </c>
    </row>
    <row r="13" customFormat="false" ht="15" hidden="false" customHeight="false" outlineLevel="0" collapsed="false">
      <c r="A13" s="0" t="s">
        <v>121</v>
      </c>
      <c r="C13" s="0" t="n">
        <f aca="false">C11+C12</f>
        <v>464.98297752</v>
      </c>
      <c r="D13" s="0" t="n">
        <f aca="false">D11+D12</f>
        <v>525.1724407212</v>
      </c>
      <c r="E13" s="0" t="n">
        <f aca="false">E11+E12</f>
        <v>599.525802065412</v>
      </c>
      <c r="F13" s="0" t="n">
        <f aca="false">F11+F12</f>
        <v>665.884104016013</v>
      </c>
      <c r="G13" s="0" t="n">
        <f aca="false">G11+G12</f>
        <v>735.387428768528</v>
      </c>
      <c r="H13" s="0" t="n">
        <f aca="false">H11+H12</f>
        <v>788.610020889519</v>
      </c>
      <c r="I13" s="0" t="n">
        <f aca="false">I11+I12</f>
        <v>841.58338248504</v>
      </c>
      <c r="J13" s="0" t="n">
        <f aca="false">J11+J12</f>
        <v>890.38241892191</v>
      </c>
      <c r="K13" s="0" t="n">
        <f aca="false">K11+K12</f>
        <v>930.449627773396</v>
      </c>
      <c r="L13" s="0" t="n">
        <f aca="false">L11+L12</f>
        <v>967.667612884332</v>
      </c>
    </row>
    <row r="14" customFormat="false" ht="15" hidden="false" customHeight="false" outlineLevel="0" collapsed="false">
      <c r="A14" s="0" t="s">
        <v>107</v>
      </c>
      <c r="C14" s="4" t="n">
        <f aca="false">Assumptions!C47</f>
        <v>12</v>
      </c>
      <c r="D14" s="4" t="n">
        <f aca="false">Assumptions!D47</f>
        <v>16</v>
      </c>
      <c r="E14" s="4" t="n">
        <f aca="false">Assumptions!E47</f>
        <v>19</v>
      </c>
      <c r="F14" s="4" t="n">
        <f aca="false">Assumptions!F47</f>
        <v>20</v>
      </c>
      <c r="G14" s="4" t="n">
        <f aca="false">Assumptions!G47</f>
        <v>20</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122</v>
      </c>
      <c r="C15" s="0" t="n">
        <f aca="false">C13-MAX(0,C13)*C14/100</f>
        <v>409.1850202176</v>
      </c>
      <c r="D15" s="0" t="n">
        <f aca="false">D13-MAX(0,D13)*D14/100</f>
        <v>441.144850205808</v>
      </c>
      <c r="E15" s="0" t="n">
        <f aca="false">E13-MAX(0,E13)*E14/100</f>
        <v>485.615899672984</v>
      </c>
      <c r="F15" s="0" t="n">
        <f aca="false">F13-MAX(0,F13)*F14/100</f>
        <v>532.707283212811</v>
      </c>
      <c r="G15" s="0" t="n">
        <f aca="false">G13-MAX(0,G13)*G14/100</f>
        <v>588.309943014823</v>
      </c>
      <c r="H15" s="0" t="n">
        <f aca="false">H13-MAX(0,H13)*H14/100</f>
        <v>630.888016711615</v>
      </c>
      <c r="I15" s="0" t="n">
        <f aca="false">I13-MAX(0,I13)*I14/100</f>
        <v>673.266705988032</v>
      </c>
      <c r="J15" s="0" t="n">
        <f aca="false">J13-MAX(0,J13)*J14/100</f>
        <v>712.305935137528</v>
      </c>
      <c r="K15" s="0" t="n">
        <f aca="false">K13-MAX(0,K13)*K14/100</f>
        <v>744.359702218717</v>
      </c>
      <c r="L15" s="0" t="n">
        <f aca="false">L13-MAX(0,L13)*L14/100</f>
        <v>774.134090307465</v>
      </c>
    </row>
    <row r="16" customFormat="false" ht="15" hidden="false" customHeight="false" outlineLevel="0" collapsed="false">
      <c r="A16" s="0" t="s">
        <v>123</v>
      </c>
      <c r="C16" s="0" t="n">
        <f aca="false">-C12</f>
        <v>206.65910112</v>
      </c>
      <c r="D16" s="0" t="n">
        <f aca="false">-D12</f>
        <v>214.2150745047</v>
      </c>
      <c r="E16" s="0" t="n">
        <f aca="false">-E12</f>
        <v>223.88930367588</v>
      </c>
      <c r="F16" s="0" t="n">
        <f aca="false">-F12</f>
        <v>235.332534752647</v>
      </c>
      <c r="G16" s="0" t="n">
        <f aca="false">-G12</f>
        <v>246.082952817484</v>
      </c>
      <c r="H16" s="0" t="n">
        <f aca="false">-H12</f>
        <v>254.781699056614</v>
      </c>
      <c r="I16" s="0" t="n">
        <f aca="false">-I12</f>
        <v>262.394818873663</v>
      </c>
      <c r="J16" s="0" t="n">
        <f aca="false">-J12</f>
        <v>268.794692504728</v>
      </c>
      <c r="K16" s="0" t="n">
        <f aca="false">-K12</f>
        <v>280.89045366744</v>
      </c>
      <c r="L16" s="0" t="n">
        <f aca="false">-L12</f>
        <v>292.126071814138</v>
      </c>
    </row>
    <row r="17" customFormat="false" ht="15" hidden="false" customHeight="false" outlineLevel="0" collapsed="false">
      <c r="A17" s="0" t="s">
        <v>124</v>
      </c>
      <c r="C17" s="4" t="n">
        <f aca="false">-C6*Assumptions!C46/100</f>
        <v>-193.7429073</v>
      </c>
      <c r="D17" s="4" t="n">
        <f aca="false">-D6*Assumptions!D46/100</f>
        <v>-198.0913592194</v>
      </c>
      <c r="E17" s="4" t="n">
        <f aca="false">-E6*Assumptions!E46/100</f>
        <v>-206.475691167756</v>
      </c>
      <c r="F17" s="4" t="n">
        <f aca="false">-F6*Assumptions!F46/100</f>
        <v>-213.938667956952</v>
      </c>
      <c r="G17" s="4" t="n">
        <f aca="false">-G6*Assumptions!G46/100</f>
        <v>-228.914374713939</v>
      </c>
      <c r="H17" s="4" t="n">
        <f aca="false">-H6*Assumptions!H46/100</f>
        <v>-242.649237196775</v>
      </c>
      <c r="I17" s="4" t="n">
        <f aca="false">-I6*Assumptions!I46/100</f>
        <v>-255.994945242598</v>
      </c>
      <c r="J17" s="4" t="n">
        <f aca="false">-J6*Assumptions!J46/100</f>
        <v>-268.794692504728</v>
      </c>
      <c r="K17" s="4" t="n">
        <f aca="false">-K6*Assumptions!K46/100</f>
        <v>-280.89045366744</v>
      </c>
      <c r="L17" s="4" t="n">
        <f aca="false">-L6*Assumptions!L46/100</f>
        <v>-292.126071814138</v>
      </c>
    </row>
    <row r="18" customFormat="false" ht="15" hidden="false" customHeight="false" outlineLevel="0" collapsed="false">
      <c r="A18" s="0" t="s">
        <v>125</v>
      </c>
      <c r="C18" s="4" t="n">
        <f aca="false">(C6-B6)*Assumptions!$B$51/100</f>
        <v>-9.40499550000002</v>
      </c>
      <c r="D18" s="4" t="n">
        <f aca="false">(D6-C6)*Assumptions!$B$51/100</f>
        <v>-22.603339185</v>
      </c>
      <c r="E18" s="4" t="n">
        <f aca="false">(E6-D6)*Assumptions!$B$51/100</f>
        <v>-27.6406547748</v>
      </c>
      <c r="F18" s="4" t="n">
        <f aca="false">(F6-E6)*Assumptions!$B$51/100</f>
        <v>-27.986162959485</v>
      </c>
      <c r="G18" s="4" t="n">
        <f aca="false">(G6-F6)*Assumptions!$B$51/100</f>
        <v>-28.07945016935</v>
      </c>
      <c r="H18" s="4" t="n">
        <f aca="false">(H6-G6)*Assumptions!$B$51/100</f>
        <v>-25.7528671553181</v>
      </c>
      <c r="I18" s="4" t="n">
        <f aca="false">(I6-H6)*Assumptions!$B$51/100</f>
        <v>-25.0232025859174</v>
      </c>
      <c r="J18" s="4" t="n">
        <f aca="false">(J6-I6)*Assumptions!$B$51/100</f>
        <v>-23.9995261164936</v>
      </c>
      <c r="K18" s="4" t="n">
        <f aca="false">(K6-J6)*Assumptions!$B$51/100</f>
        <v>-22.6795521800864</v>
      </c>
      <c r="L18" s="4" t="n">
        <f aca="false">(L6-K6)*Assumptions!$B$51/100</f>
        <v>-21.0667840250581</v>
      </c>
    </row>
    <row r="19" customFormat="false" ht="15" hidden="false" customHeight="false" outlineLevel="0" collapsed="false">
      <c r="A19" s="0" t="s">
        <v>126</v>
      </c>
      <c r="C19" s="0" t="n">
        <f aca="false">C15+C16+C17+C18</f>
        <v>412.6962185376</v>
      </c>
      <c r="D19" s="0" t="n">
        <f aca="false">D15+D16+D17+D18</f>
        <v>434.665226306108</v>
      </c>
      <c r="E19" s="0" t="n">
        <f aca="false">E15+E16+E17+E18</f>
        <v>475.388857406308</v>
      </c>
      <c r="F19" s="0" t="n">
        <f aca="false">F15+F16+F17+F18</f>
        <v>526.114987049021</v>
      </c>
      <c r="G19" s="0" t="n">
        <f aca="false">G15+G16+G17+G18</f>
        <v>577.399070949018</v>
      </c>
      <c r="H19" s="0" t="n">
        <f aca="false">H15+H16+H17+H18</f>
        <v>617.267611416136</v>
      </c>
      <c r="I19" s="0" t="n">
        <f aca="false">I15+I16+I17+I18</f>
        <v>654.643377033179</v>
      </c>
      <c r="J19" s="0" t="n">
        <f aca="false">J15+J16+J17+J18</f>
        <v>688.306409021034</v>
      </c>
      <c r="K19" s="0" t="n">
        <f aca="false">K15+K16+K17+K18</f>
        <v>721.68015003863</v>
      </c>
      <c r="L19" s="0" t="n">
        <f aca="false">L15+L16+L17+L18</f>
        <v>753.067306282407</v>
      </c>
    </row>
    <row r="20" customFormat="false" ht="15" hidden="false" customHeight="false" outlineLevel="0" collapsed="false">
      <c r="A20" s="0" t="s">
        <v>127</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128</v>
      </c>
      <c r="C21" s="0" t="n">
        <f aca="false">C19*C20</f>
        <v>382.126128275555</v>
      </c>
      <c r="D21" s="0" t="n">
        <f aca="false">D19*D20</f>
        <v>372.655372347486</v>
      </c>
      <c r="E21" s="0" t="n">
        <f aca="false">E19*E20</f>
        <v>377.379002030867</v>
      </c>
      <c r="F21" s="0" t="n">
        <f aca="false">F19*F20</f>
        <v>386.71022148465</v>
      </c>
      <c r="G21" s="0" t="n">
        <f aca="false">G19*G20</f>
        <v>392.968105670801</v>
      </c>
      <c r="H21" s="0" t="n">
        <f aca="false">H19*H20</f>
        <v>388.983300373131</v>
      </c>
      <c r="I21" s="0" t="n">
        <f aca="false">I19*I20</f>
        <v>381.978122820828</v>
      </c>
      <c r="J21" s="0" t="n">
        <f aca="false">J19*J20</f>
        <v>371.870535797355</v>
      </c>
      <c r="K21" s="0" t="n">
        <f aca="false">K19*K20</f>
        <v>361.019749656101</v>
      </c>
      <c r="L21" s="0" t="n">
        <f aca="false">L19*L20</f>
        <v>348.815872359485</v>
      </c>
    </row>
    <row r="23" customFormat="false" ht="15" hidden="false" customHeight="false" outlineLevel="0" collapsed="false">
      <c r="A23" s="0" t="s">
        <v>104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Assumptions!$B$48</f>
        <v>8</v>
      </c>
    </row>
    <row r="28" customFormat="false" ht="15" hidden="false" customHeight="false" outlineLevel="0" collapsed="false">
      <c r="A28" s="0" t="s">
        <v>109</v>
      </c>
      <c r="B28" s="4" t="n">
        <f aca="false">Assumptions!$B$49</f>
        <v>3</v>
      </c>
    </row>
    <row r="29" customFormat="false" ht="15" hidden="false" customHeight="false" outlineLevel="0" collapsed="false">
      <c r="A29" s="0" t="s">
        <v>110</v>
      </c>
      <c r="B29" s="4" t="n">
        <f aca="false">Assumptions!$B$50</f>
        <v>20</v>
      </c>
    </row>
    <row r="30" customFormat="false" ht="15" hidden="false" customHeight="false" outlineLevel="0" collapsed="false">
      <c r="A30" s="0" t="s">
        <v>131</v>
      </c>
      <c r="B30" s="0" t="n">
        <f aca="false">SUM(C21:L21)</f>
        <v>3764.50641081626</v>
      </c>
    </row>
    <row r="31" customFormat="false" ht="15" hidden="false" customHeight="false" outlineLevel="0" collapsed="false">
      <c r="A31" s="0" t="s">
        <v>132</v>
      </c>
      <c r="B31" s="0" t="n">
        <f aca="false">L19</f>
        <v>753.067306282407</v>
      </c>
    </row>
    <row r="32" customFormat="false" ht="15" hidden="false" customHeight="false" outlineLevel="0" collapsed="false">
      <c r="A32" s="0" t="s">
        <v>133</v>
      </c>
      <c r="B32" s="0" t="n">
        <f aca="false">IF(B27&gt;B28,B31*(1+B28/100)/((B27-B28)/100),B31*B29)</f>
        <v>15513.1865094176</v>
      </c>
    </row>
    <row r="33" customFormat="false" ht="15" hidden="false" customHeight="false" outlineLevel="0" collapsed="false">
      <c r="A33" s="0" t="s">
        <v>134</v>
      </c>
      <c r="B33" s="0" t="n">
        <f aca="false">B31*B29</f>
        <v>15061.3461256481</v>
      </c>
    </row>
    <row r="34" customFormat="false" ht="15" hidden="false" customHeight="false" outlineLevel="0" collapsed="false">
      <c r="A34" s="0" t="s">
        <v>135</v>
      </c>
      <c r="B34" s="0" t="n">
        <f aca="false">MAX(0,MIN(B32,B33))</f>
        <v>15061.3461256481</v>
      </c>
    </row>
    <row r="35" customFormat="false" ht="15" hidden="false" customHeight="false" outlineLevel="0" collapsed="false">
      <c r="A35" s="0" t="s">
        <v>136</v>
      </c>
      <c r="B35" s="0" t="n">
        <f aca="false">B34/(1+B27/100)^L4</f>
        <v>6976.31744718971</v>
      </c>
    </row>
    <row r="36" customFormat="false" ht="15" hidden="false" customHeight="false" outlineLevel="0" collapsed="false">
      <c r="A36" s="0" t="s">
        <v>137</v>
      </c>
      <c r="B36" s="0" t="n">
        <f aca="false">B30+B35</f>
        <v>10740.823858006</v>
      </c>
    </row>
    <row r="37" customFormat="false" ht="15" hidden="false" customHeight="false" outlineLevel="0" collapsed="false">
      <c r="A37" s="0" t="s">
        <v>138</v>
      </c>
      <c r="B37" s="0" t="n">
        <f aca="false">B36+Assumptions!$B$5-Assumptions!$B$4</f>
        <v>9637.40185800597</v>
      </c>
    </row>
    <row r="38" customFormat="false" ht="15" hidden="false" customHeight="false" outlineLevel="0" collapsed="false">
      <c r="A38" s="0" t="s">
        <v>139</v>
      </c>
      <c r="B38" s="0" t="n">
        <f aca="false">B37/Assumptions!$B$3*Assumptions!$B$10</f>
        <v>41.3887800466777</v>
      </c>
    </row>
    <row r="39" customFormat="false" ht="15" hidden="false" customHeight="false" outlineLevel="0" collapsed="false">
      <c r="A39" s="0" t="s">
        <v>140</v>
      </c>
      <c r="B39" s="4" t="n">
        <f aca="false">B38/Assumptions!$B$2-1</f>
        <v>-0.0812701432479979</v>
      </c>
    </row>
    <row r="41" customFormat="false" ht="15" hidden="false" customHeight="false" outlineLevel="0" collapsed="false">
      <c r="A41" s="0" t="s">
        <v>141</v>
      </c>
      <c r="B41" s="0" t="n">
        <f aca="false">SUMPRODUCT(-C10:L10/(1+$B$27/100)^C4:L4)</f>
        <v>600.405955547805</v>
      </c>
    </row>
    <row r="42" customFormat="false" ht="15" hidden="false" customHeight="false" outlineLevel="0" collapsed="false">
      <c r="A42" s="0" t="s">
        <v>142</v>
      </c>
      <c r="B42" s="0" t="n">
        <f aca="false">IF(B27&gt;B28,-L10*(1+B28/100)/((B27-B28)/100),-L10*20)/(1+B27/100)^L4</f>
        <v>1045.27665741742</v>
      </c>
    </row>
    <row r="43" customFormat="false" ht="15" hidden="false" customHeight="false" outlineLevel="0" collapsed="false">
      <c r="A43" s="0" t="s">
        <v>143</v>
      </c>
      <c r="B43" s="0" t="n">
        <f aca="false">(B37+B41+B42)/Assumptions!$B$3*Assumptions!$B$10</f>
        <v>48.4563275764175</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6463.82771225733</v>
      </c>
    </row>
    <row r="47" customFormat="false" ht="15" hidden="false" customHeight="false" outlineLevel="0" collapsed="false">
      <c r="A47" s="0" t="s">
        <v>145</v>
      </c>
      <c r="B47" s="0" t="n">
        <f aca="false">(SUMPRODUCT(C19:L19/(1+B45/100)^C4:L4)+B46/(1+B45/100)^L4+Assumptions!$B$5-Assumptions!$B$4)/Assumptions!$B$3*Assumptions!$B$10</f>
        <v>13.792512086551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18.9206259483984</v>
      </c>
      <c r="C4" s="0" t="n">
        <f aca="false">B4/Assumptions!$B$2-1</f>
        <v>-0.580008303032222</v>
      </c>
      <c r="D4" s="4" t="n">
        <f aca="false">Assumptions!$B$24</f>
        <v>0.25</v>
      </c>
      <c r="E4" s="4" t="n">
        <f aca="false">DCF_Bear!$B$43</f>
        <v>24.2394843269512</v>
      </c>
      <c r="F4" s="4" t="n">
        <f aca="false">DCF_Bear!$B$47</f>
        <v>6.96551207821582</v>
      </c>
    </row>
    <row r="5" customFormat="false" ht="15" hidden="false" customHeight="false" outlineLevel="0" collapsed="false">
      <c r="A5" s="0" t="s">
        <v>154</v>
      </c>
      <c r="B5" s="4" t="n">
        <f aca="false">DCF_Base!$B$38</f>
        <v>31.5095783013112</v>
      </c>
      <c r="C5" s="0" t="n">
        <f aca="false">B5/Assumptions!$B$2-1</f>
        <v>-0.300564299637931</v>
      </c>
      <c r="D5" s="4" t="n">
        <f aca="false">Assumptions!$B$38</f>
        <v>0.5</v>
      </c>
      <c r="E5" s="4" t="n">
        <f aca="false">DCF_Base!$B$43</f>
        <v>37.3738610090398</v>
      </c>
      <c r="F5" s="4" t="n">
        <f aca="false">DCF_Base!$B$47</f>
        <v>11.0158662980434</v>
      </c>
    </row>
    <row r="6" customFormat="false" ht="15" hidden="false" customHeight="false" outlineLevel="0" collapsed="false">
      <c r="A6" s="0" t="s">
        <v>155</v>
      </c>
      <c r="B6" s="4" t="n">
        <f aca="false">DCF_Bull!$B$38</f>
        <v>41.3887800466777</v>
      </c>
      <c r="C6" s="0" t="n">
        <f aca="false">B6/Assumptions!$B$2-1</f>
        <v>-0.0812701432479979</v>
      </c>
      <c r="D6" s="4" t="n">
        <f aca="false">Assumptions!$B$52</f>
        <v>0.25</v>
      </c>
      <c r="E6" s="4" t="n">
        <f aca="false">DCF_Bull!$B$43</f>
        <v>48.4563275764175</v>
      </c>
      <c r="F6" s="4" t="n">
        <f aca="false">DCF_Bull!$B$47</f>
        <v>13.792512086551</v>
      </c>
    </row>
    <row r="8" customFormat="false" ht="15" hidden="false" customHeight="false" outlineLevel="0" collapsed="false">
      <c r="A8" s="0" t="s">
        <v>156</v>
      </c>
      <c r="B8" s="0" t="n">
        <f aca="false">SUMPRODUCT(B4:B6,D4:D6)</f>
        <v>30.8321406494246</v>
      </c>
    </row>
    <row r="9" customFormat="false" ht="15" hidden="false" customHeight="false" outlineLevel="0" collapsed="false">
      <c r="A9" s="0" t="s">
        <v>157</v>
      </c>
      <c r="B9" s="0" t="n">
        <f aca="false">SUMPRODUCT(E4:E6,D4:D6)</f>
        <v>36.8608834803621</v>
      </c>
    </row>
    <row r="10" customFormat="false" ht="15" hidden="false" customHeight="false" outlineLevel="0" collapsed="false">
      <c r="A10" s="0" t="s">
        <v>158</v>
      </c>
      <c r="B10" s="0" t="n">
        <f aca="false">1-Assumptions!$B$2/B8</f>
        <v>-0.461137600280138</v>
      </c>
    </row>
    <row r="11" customFormat="false" ht="15" hidden="false" customHeight="false" outlineLevel="0" collapsed="false">
      <c r="A11" s="0" t="s">
        <v>159</v>
      </c>
      <c r="B11" s="0" t="n">
        <f aca="false">IF(ABS(B9-B8)&gt;0.01*ABS(B8),(Assumptions!$B$2-B8)/(B9-B8)*100,"n/a")</f>
        <v>235.834563677426</v>
      </c>
    </row>
    <row r="12" customFormat="false" ht="15" hidden="false" customHeight="false" outlineLevel="0" collapsed="false">
      <c r="A12" s="0" t="s">
        <v>160</v>
      </c>
      <c r="B12" s="0" t="n">
        <f aca="false">SUMPRODUCT(F4:F6,D4:D6)</f>
        <v>10.6974391902134</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31.5095783013112</v>
      </c>
      <c r="C15" s="3" t="n">
        <v>8</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26.41876521199</v>
      </c>
      <c r="C16" s="3" t="n">
        <v>9</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22.1236172980469</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18.8454595210879</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16.2627669994328</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11.0158662980434</v>
      </c>
      <c r="C20" s="3" t="n">
        <v>15</v>
      </c>
    </row>
    <row r="22" customFormat="false" ht="15" hidden="false" customHeight="false" outlineLevel="0" collapsed="false">
      <c r="A22" s="2" t="s">
        <v>169</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37.5280703693846</v>
      </c>
      <c r="C24" s="0" t="n">
        <f aca="false">(SUMPRODUCT(DCF_Base!$C$19:$L$19/(1+$A$24/100)^DCF_Base!$C$4:$L$4)+MAX(0,MIN(IF($A$24&gt;$C$23,DCF_Base!$L$19*(1+$C$23/100)/(($A$24-$C$23)/100),DCF_Base!$L$19*DCF_Base!$B$29),DCF_Base!$L$19*DCF_Base!$B$29))/(1+$A$24/100)^DCF_Base!$L$4+Assumptions!$B$5-Assumptions!$B$4)/Assumptions!$B$3*Assumptions!$B$10</f>
        <v>37.5280703693846</v>
      </c>
      <c r="D24" s="0" t="n">
        <f aca="false">(SUMPRODUCT(DCF_Base!$C$19:$L$19/(1+$A$24/100)^DCF_Base!$C$4:$L$4)+MAX(0,MIN(IF($A$24&gt;$D$23,DCF_Base!$L$19*(1+$D$23/100)/(($A$24-$D$23)/100),DCF_Base!$L$19*DCF_Base!$B$29),DCF_Base!$L$19*DCF_Base!$B$29))/(1+$A$24/100)^DCF_Base!$L$4+Assumptions!$B$5-Assumptions!$B$4)/Assumptions!$B$3*Assumptions!$B$10</f>
        <v>37.5280703693846</v>
      </c>
      <c r="E24" s="0" t="n">
        <f aca="false">(SUMPRODUCT(DCF_Base!$C$19:$L$19/(1+$A$24/100)^DCF_Base!$C$4:$L$4)+MAX(0,MIN(IF($A$24&gt;$E$23,DCF_Base!$L$19*(1+$E$23/100)/(($A$24-$E$23)/100),DCF_Base!$L$19*DCF_Base!$B$29),DCF_Base!$L$19*DCF_Base!$B$29))/(1+$A$24/100)^DCF_Base!$L$4+Assumptions!$B$5-Assumptions!$B$4)/Assumptions!$B$3*Assumptions!$B$10</f>
        <v>37.5280703693846</v>
      </c>
      <c r="F24" s="0" t="n">
        <f aca="false">(SUMPRODUCT(DCF_Base!$C$19:$L$19/(1+$A$24/100)^DCF_Base!$C$4:$L$4)+MAX(0,MIN(IF($A$24&gt;$F$23,DCF_Base!$L$19*(1+$F$23/100)/(($A$24-$F$23)/100),DCF_Base!$L$19*DCF_Base!$B$29),DCF_Base!$L$19*DCF_Base!$B$29))/(1+$A$24/100)^DCF_Base!$L$4+Assumptions!$B$5-Assumptions!$B$4)/Assumptions!$B$3*Assumptions!$B$10</f>
        <v>37.5280703693846</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34.3752287397878</v>
      </c>
      <c r="C25" s="0" t="n">
        <f aca="false">(SUMPRODUCT(DCF_Base!$C$19:$L$19/(1+$A$25/100)^DCF_Base!$C$4:$L$4)+MAX(0,MIN(IF($A$25&gt;$C$23,DCF_Base!$L$19*(1+$C$23/100)/(($A$25-$C$23)/100),DCF_Base!$L$19*DCF_Base!$B$29),DCF_Base!$L$19*DCF_Base!$B$29))/(1+$A$25/100)^DCF_Base!$L$4+Assumptions!$B$5-Assumptions!$B$4)/Assumptions!$B$3*Assumptions!$B$10</f>
        <v>34.3752287397878</v>
      </c>
      <c r="D25" s="0" t="n">
        <f aca="false">(SUMPRODUCT(DCF_Base!$C$19:$L$19/(1+$A$25/100)^DCF_Base!$C$4:$L$4)+MAX(0,MIN(IF($A$25&gt;$D$23,DCF_Base!$L$19*(1+$D$23/100)/(($A$25-$D$23)/100),DCF_Base!$L$19*DCF_Base!$B$29),DCF_Base!$L$19*DCF_Base!$B$29))/(1+$A$25/100)^DCF_Base!$L$4+Assumptions!$B$5-Assumptions!$B$4)/Assumptions!$B$3*Assumptions!$B$10</f>
        <v>34.3752287397878</v>
      </c>
      <c r="E25" s="0" t="n">
        <f aca="false">(SUMPRODUCT(DCF_Base!$C$19:$L$19/(1+$A$25/100)^DCF_Base!$C$4:$L$4)+MAX(0,MIN(IF($A$25&gt;$E$23,DCF_Base!$L$19*(1+$E$23/100)/(($A$25-$E$23)/100),DCF_Base!$L$19*DCF_Base!$B$29),DCF_Base!$L$19*DCF_Base!$B$29))/(1+$A$25/100)^DCF_Base!$L$4+Assumptions!$B$5-Assumptions!$B$4)/Assumptions!$B$3*Assumptions!$B$10</f>
        <v>34.3752287397878</v>
      </c>
      <c r="F25" s="0" t="n">
        <f aca="false">(SUMPRODUCT(DCF_Base!$C$19:$L$19/(1+$A$25/100)^DCF_Base!$C$4:$L$4)+MAX(0,MIN(IF($A$25&gt;$F$23,DCF_Base!$L$19*(1+$F$23/100)/(($A$25-$F$23)/100),DCF_Base!$L$19*DCF_Base!$B$29),DCF_Base!$L$19*DCF_Base!$B$29))/(1+$A$25/100)^DCF_Base!$L$4+Assumptions!$B$5-Assumptions!$B$4)/Assumptions!$B$3*Assumptions!$B$10</f>
        <v>34.3752287397878</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28.5989357668401</v>
      </c>
      <c r="C26" s="0" t="n">
        <f aca="false">(SUMPRODUCT(DCF_Base!$C$19:$L$19/(1+$A$26/100)^DCF_Base!$C$4:$L$4)+MAX(0,MIN(IF($A$26&gt;$C$23,DCF_Base!$L$19*(1+$C$23/100)/(($A$26-$C$23)/100),DCF_Base!$L$19*DCF_Base!$B$29),DCF_Base!$L$19*DCF_Base!$B$29))/(1+$A$26/100)^DCF_Base!$L$4+Assumptions!$B$5-Assumptions!$B$4)/Assumptions!$B$3*Assumptions!$B$10</f>
        <v>30.2889862707266</v>
      </c>
      <c r="D26" s="0" t="n">
        <f aca="false">(SUMPRODUCT(DCF_Base!$C$19:$L$19/(1+$A$26/100)^DCF_Base!$C$4:$L$4)+MAX(0,MIN(IF($A$26&gt;$D$23,DCF_Base!$L$19*(1+$D$23/100)/(($A$26-$D$23)/100),DCF_Base!$L$19*DCF_Base!$B$29),DCF_Base!$L$19*DCF_Base!$B$29))/(1+$A$26/100)^DCF_Base!$L$4+Assumptions!$B$5-Assumptions!$B$4)/Assumptions!$B$3*Assumptions!$B$10</f>
        <v>31.5095783013112</v>
      </c>
      <c r="E26" s="0" t="n">
        <f aca="false">(SUMPRODUCT(DCF_Base!$C$19:$L$19/(1+$A$26/100)^DCF_Base!$C$4:$L$4)+MAX(0,MIN(IF($A$26&gt;$E$23,DCF_Base!$L$19*(1+$E$23/100)/(($A$26-$E$23)/100),DCF_Base!$L$19*DCF_Base!$B$29),DCF_Base!$L$19*DCF_Base!$B$29))/(1+$A$26/100)^DCF_Base!$L$4+Assumptions!$B$5-Assumptions!$B$4)/Assumptions!$B$3*Assumptions!$B$10</f>
        <v>31.5095783013112</v>
      </c>
      <c r="F26" s="0" t="n">
        <f aca="false">(SUMPRODUCT(DCF_Base!$C$19:$L$19/(1+$A$26/100)^DCF_Base!$C$4:$L$4)+MAX(0,MIN(IF($A$26&gt;$F$23,DCF_Base!$L$19*(1+$F$23/100)/(($A$26-$F$23)/100),DCF_Base!$L$19*DCF_Base!$B$29),DCF_Base!$L$19*DCF_Base!$B$29))/(1+$A$26/100)^DCF_Base!$L$4+Assumptions!$B$5-Assumptions!$B$4)/Assumptions!$B$3*Assumptions!$B$10</f>
        <v>31.5095783013112</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23.9299366425297</v>
      </c>
      <c r="C27" s="0" t="n">
        <f aca="false">(SUMPRODUCT(DCF_Base!$C$19:$L$19/(1+$A$27/100)^DCF_Base!$C$4:$L$4)+MAX(0,MIN(IF($A$27&gt;$C$23,DCF_Base!$L$19*(1+$C$23/100)/(($A$27-$C$23)/100),DCF_Base!$L$19*DCF_Base!$B$29),DCF_Base!$L$19*DCF_Base!$B$29))/(1+$A$27/100)^DCF_Base!$L$4+Assumptions!$B$5-Assumptions!$B$4)/Assumptions!$B$3*Assumptions!$B$10</f>
        <v>25.0854641926363</v>
      </c>
      <c r="D27" s="0" t="n">
        <f aca="false">(SUMPRODUCT(DCF_Base!$C$19:$L$19/(1+$A$27/100)^DCF_Base!$C$4:$L$4)+MAX(0,MIN(IF($A$27&gt;$D$23,DCF_Base!$L$19*(1+$D$23/100)/(($A$27-$D$23)/100),DCF_Base!$L$19*DCF_Base!$B$29),DCF_Base!$L$19*DCF_Base!$B$29))/(1+$A$27/100)^DCF_Base!$L$4+Assumptions!$B$5-Assumptions!$B$4)/Assumptions!$B$3*Assumptions!$B$10</f>
        <v>26.41876521199</v>
      </c>
      <c r="E27" s="0" t="n">
        <f aca="false">(SUMPRODUCT(DCF_Base!$C$19:$L$19/(1+$A$27/100)^DCF_Base!$C$4:$L$4)+MAX(0,MIN(IF($A$27&gt;$E$23,DCF_Base!$L$19*(1+$E$23/100)/(($A$27-$E$23)/100),DCF_Base!$L$19*DCF_Base!$B$29),DCF_Base!$L$19*DCF_Base!$B$29))/(1+$A$27/100)^DCF_Base!$L$4+Assumptions!$B$5-Assumptions!$B$4)/Assumptions!$B$3*Assumptions!$B$10</f>
        <v>27.9742830679027</v>
      </c>
      <c r="F27" s="0" t="n">
        <f aca="false">(SUMPRODUCT(DCF_Base!$C$19:$L$19/(1+$A$27/100)^DCF_Base!$C$4:$L$4)+MAX(0,MIN(IF($A$27&gt;$F$23,DCF_Base!$L$19*(1+$F$23/100)/(($A$27-$F$23)/100),DCF_Base!$L$19*DCF_Base!$B$29),DCF_Base!$L$19*DCF_Base!$B$29))/(1+$A$27/100)^DCF_Base!$L$4+Assumptions!$B$5-Assumptions!$B$4)/Assumptions!$B$3*Assumptions!$B$10</f>
        <v>28.9018854590433</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20.3705696137944</v>
      </c>
      <c r="C28" s="0" t="n">
        <f aca="false">(SUMPRODUCT(DCF_Base!$C$19:$L$19/(1+$A$28/100)^DCF_Base!$C$4:$L$4)+MAX(0,MIN(IF($A$28&gt;$C$23,DCF_Base!$L$19*(1+$C$23/100)/(($A$28-$C$23)/100),DCF_Base!$L$19*DCF_Base!$B$29),DCF_Base!$L$19*DCF_Base!$B$29))/(1+$A$28/100)^DCF_Base!$L$4+Assumptions!$B$5-Assumptions!$B$4)/Assumptions!$B$3*Assumptions!$B$10</f>
        <v>21.1923107157878</v>
      </c>
      <c r="D28" s="0" t="n">
        <f aca="false">(SUMPRODUCT(DCF_Base!$C$19:$L$19/(1+$A$28/100)^DCF_Base!$C$4:$L$4)+MAX(0,MIN(IF($A$28&gt;$D$23,DCF_Base!$L$19*(1+$D$23/100)/(($A$28-$D$23)/100),DCF_Base!$L$19*DCF_Base!$B$29),DCF_Base!$L$19*DCF_Base!$B$29))/(1+$A$28/100)^DCF_Base!$L$4+Assumptions!$B$5-Assumptions!$B$4)/Assumptions!$B$3*Assumptions!$B$10</f>
        <v>22.1236172980469</v>
      </c>
      <c r="E28" s="0" t="n">
        <f aca="false">(SUMPRODUCT(DCF_Base!$C$19:$L$19/(1+$A$28/100)^DCF_Base!$C$4:$L$4)+MAX(0,MIN(IF($A$28&gt;$E$23,DCF_Base!$L$19*(1+$E$23/100)/(($A$28-$E$23)/100),DCF_Base!$L$19*DCF_Base!$B$29),DCF_Base!$L$19*DCF_Base!$B$29))/(1+$A$28/100)^DCF_Base!$L$4+Assumptions!$B$5-Assumptions!$B$4)/Assumptions!$B$3*Assumptions!$B$10</f>
        <v>23.1879676777716</v>
      </c>
      <c r="F28" s="0" t="n">
        <f aca="false">(SUMPRODUCT(DCF_Base!$C$19:$L$19/(1+$A$28/100)^DCF_Base!$C$4:$L$4)+MAX(0,MIN(IF($A$28&gt;$F$23,DCF_Base!$L$19*(1+$F$23/100)/(($A$28-$F$23)/100),DCF_Base!$L$19*DCF_Base!$B$29),DCF_Base!$L$19*DCF_Base!$B$29))/(1+$A$28/100)^DCF_Base!$L$4+Assumptions!$B$5-Assumptions!$B$4)/Assumptions!$B$3*Assumptions!$B$10</f>
        <v>24.4160642697616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2026-10-25T02:37:17Z</dcterms:created>
  <dc:creator>openpyxl</dc:creator>
  <dc:description/>
  <dc:language>en-NZ</dc:language>
  <cp:lastModifiedBy/>
  <dcterms:modified xsi:type="dcterms:W3CDTF">2026-10-25T02:37:17Z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