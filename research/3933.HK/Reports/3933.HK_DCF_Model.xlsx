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<sst xmlns="http://schemas.openxmlformats.org/spreadsheetml/2006/main" count="358" uniqueCount="166">
  <si>
    <t xml:space="preserve">Ticker</t>
  </si>
  <si>
    <t xml:space="preserve">3933.HK</t>
  </si>
  <si>
    <t xml:space="preserve">Company</t>
  </si>
  <si>
    <t xml:space="preserve">The United Laboratories International Holdings Limited</t>
  </si>
  <si>
    <t xml:space="preserve">Valuation date</t>
  </si>
  <si>
    <t xml:space="preserve">2026-10-23</t>
  </si>
  <si>
    <t xml:space="preserve">Current price</t>
  </si>
  <si>
    <t xml:space="preserve">Price as of</t>
  </si>
  <si>
    <t xml:space="preserve">2026-10-23T07:54:20Z regular session (HKEX afternoon)</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</si>
  <si>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</si>
  <si>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</si>
  <si>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</si>
  <si>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</si>
  <si>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</si>
  <si>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</si>
  <si>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</si>
  <si>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</si>
  <si>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</si>
  <si>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</si>
  <si>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</si>
  <si>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</si>
  <si>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</si>
  <si>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2026-10-23T08:18:41Z</t>
  </si>
  <si>
    <t xml:space="preserve">Drivers file</t>
  </si>
  <si>
    <t xml:space="preserve">3933.HK_Drivers.json</t>
  </si>
  <si>
    <t xml:space="preserve">Convention</t>
  </si>
  <si>
    <t xml:space="preserve">Percents stored as percents; formulas divide by 100. Blue = input, green = link, black = formula.</t>
  </si>
  <si>
    <t xml:space="preserve">Methodology</t>
  </si>
  <si>
    <t xml:space="preserve">summary: Value the business on normalised (mid-cycle, ex-licence, ex-interest) earnings power, not the FY2025 peak that a one-off RMB1.44bn licence fee and the tail of an API upcycle produced. The FY2025 base revenue strips the licence fee; the margin path starts at the H1 FY2026 trough and recovers only to a mid-cycle level below the long-run average. Net cash is credited once (in the bridge, with interest income kept out of the flows because this filer books it in investing), the July 2026 dividend and NCI are deducted, and UBT251 is carried as a small risk-adjusted development-milestone item with royalties confined to the bull case. Risk is charged in the scenario weights (30/50/20), not in a stacked WACC.
key_risks_to_valuation: API price cycle: 6-APA and amoxicillin pricing drive segment profit swings of 50-80% a year; the base case assumes recovery to mid-cycle, which has not yet started.; VBP / national centralised procurement: repeated mandated price cuts on antibiotics and insulin; management calls this 'normalised', i.e. structural.; Cash conversion: H1 FY2026 OCF of RMB34.7m on RMB347.6m of profit, receivables and inventory building, RMB1.81bn of bills endorsed with recourse and RMB2.39bn of supplier-finance payables; if the stricter company net-cash definition is used every scenario falls HK$1.42/sh.; Capex and leverage: borrowings doubled to RMB5.9bn with RMB1.04bn of contracted capex outstanding; the model assumes capex converges on D&amp;A by FY2032.; UBT251 clinical and partner risk: the RMB600m bridge item and the bull-case royalties both depend on Novo Nordisk continuing and succeeding in Phase III.; FX: a CNY-built model quoted in HKD; the fx_rate (1.175) is not refreshed by price-only updates.; Terminal multiple: cyclical name with a historical P/E of 5-8x; the 13x FCF cap, not Gordon growth, binds in the base case.</t>
  </si>
  <si>
    <t xml:space="preserve">Data sources</t>
  </si>
  <si>
    <t xml:space="preserve">price: Yahoo Finance chart API at inputs.price_as_of; 52-week range 6.67-13.72 HKD
financials: 3933.HK_Metrics.csv (FY2017-FY2025, H1 FY2023-H1 FY2026) from core_metrics; H1 FY2026 interim report (balance sheet, segment note, cash-flow statement, note 15 borrowings, note 14 payables, note 21 non-cash transactions); FY2025 annual report (segment note lines 4895-5020, cash-flow statement lines 2960-3031)
qualitative: 3933.HK_Analysis.json (2026-10-23)
fx: Yahoo Finance CNYHKD=X, USDCNY=X, USDHKD=X on 2026-10-23</t>
  </si>
  <si>
    <t xml:space="preserve">Scenario narrative: bear</t>
  </si>
  <si>
    <t xml:space="preserve">Structural deflation. VBP rounds keep cutting antibiotic and insulin prices, the API cycle never recovers because Chinese capacity additions (including this Group's own) hold the market in oversupply, revenue shrinks then crawls at 2%, EBITDA margin stays at the H1 FY2026 trough (12.5%) and reaches only 14%, committed capex completes into weak demand, and the H1 FY2026 cash-conversion failure (OCF RMB34.7m) recurs as working capital absorbs growth. The RMB5.1bn of net cash and a 10x terminal cap keep the bear value above zero, but the shareholder gets little more than net cash plus a low-margin, no-growth API business.</t>
  </si>
  <si>
    <t xml:space="preserve">Scenario narrative: base</t>
  </si>
  <si>
    <t xml:space="preserve">Trough-to-mid-cycle recovery. Underlying revenue (ex-licence) is flat today; it grows 2.5-5% on antibiotics finished products, animal health (+46% in H1 FY2026), insulin exports and domestic GLP-1 launches, while 6-APA/bulk medicine stop falling by FY2027. EBITDA margin ex-interest recovers from a 14.5% FY2026 trough to 19% by FY2030 -- a mid-cycle level below both the FY2017-25 average (~21%) and the FY2023-24 peak (28%). The capex build-out (Inner Mongolia, Gaolan Port) completes by FY2027 and capex converges on D&amp;A. UBT251 contributes only risk-adjusted development milestones; no royalties. Weighted-average growth 3.7%.</t>
  </si>
  <si>
    <t xml:space="preserve">Scenario narrative: bull</t>
  </si>
  <si>
    <t xml:space="preserve">API upcycle plus pipeline. Antibiotic/6-APA pricing turns in FY2027 as overcapacity clears, margins rebuild toward 24% by FY2032 (still under the FY2023-24 peak), insulin and GLP-1 (liraglutide, semaglutide) win domestic tenders and exports, animal health keeps compounding, and UBT251 succeeds at Novo Nordisk so sales milestones and royalties on ex-China sales arrive from FY2031. Requires three independent things to go right -- the cycle, domestic GLP-1 commercialisation and a Phase III readout -- which is why the bull weight is below the house default.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</si>
  <si>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</si>
  <si>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</si>
  <si>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</si>
  <si>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</si>
  <si>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</si>
  <si>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</si>
  <si>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</si>
  <si>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</si>
  <si>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</si>
  <si>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</si>
  <si>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</si>
  <si>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</si>
  <si>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</si>
  <si>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</si>
  <si>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</si>
  <si>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</si>
  <si>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</si>
  <si>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</si>
  <si>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</si>
  <si>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</si>
  <si>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</si>
  <si>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</si>
  <si>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</si>
  <si>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</si>
  <si>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</si>
  <si>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</si>
  <si>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</si>
  <si>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EPSDiluted</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</si>
  <si>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</si>
  <si>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</si>
  <si>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</si>
  <si>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</si>
  <si>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</si>
  <si>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</si>
  <si>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</si>
  <si>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</si>
  <si>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</si>
  <si>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</si>
  <si>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</si>
  <si>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</si>
  <si>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</si>
  <si>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</si>
  <si>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</si>
  <si>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</si>
  <si>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</si>
  <si>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</si>
  <si>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</si>
  <si>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</si>
  <si>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</si>
  <si>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</si>
  <si>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</si>
  <si>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</si>
  <si>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</si>
  <si>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</si>
  <si>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</si>
  <si>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</si>
  <si>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</si>
  <si>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</si>
  <si>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</si>
  <si>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</si>
  <si>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</si>
  <si>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</si>
  <si>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</si>
  <si>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</si>
  <si>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</si>
  <si>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</si>
  <si>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</si>
  <si>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</si>
  <si>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</si>
  <si>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</si>
  <si>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</si>
  <si>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</si>
  <si>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</si>
  <si>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</si>
  <si>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3933.HK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</si>
  <si>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</si>
  <si>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</si>
  <si>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</si>
  <si>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</si>
  <si>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</si>
  <si>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</si>
  <si>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</si>
  <si>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</si>
  <si>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</si>
  <si>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</si>
  <si>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</si>
  <si>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</si>
  <si>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</si>
  <si>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</si>
  <si>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</si>
  <si>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</si>
  <si>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</si>
  <si>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</si>
  <si>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</si>
  <si>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</si>
  <si>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</si>
  <si>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</si>
  <si>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</si>
  <si>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</si>
  <si>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</si>
  <si>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</si>
  <si>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</si>
  <si>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</si>
  <si>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</si>
  <si>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</si>
  <si>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3933.HK owner-FCF component DCF: base case (millions, CNY)</t>
  </si>
  <si>
    <t xml:space="preserve">3933.HK owner-FCF component DCF: bull case (millions, CNY)</t>
  </si>
  <si>
    <t xml:space="preserve">3933.HK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</si>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</sst>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6.86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6826.645</v>
      </c>
      <c r="C2" s="0" t="n">
        <v>4328.428</v>
      </c>
      <c r="D2" s="0" t="n">
        <v>2498.217</v>
      </c>
      <c r="E2" s="0" t="n">
        <v>36.6</v>
      </c>
      <c r="F2" s="0" t="n">
        <v>335.686</v>
      </c>
      <c r="G2" s="0" t="n">
        <v>4.9</v>
      </c>
      <c r="H2" s="0" t="n">
        <v>1125.47</v>
      </c>
      <c r="I2" s="0" t="n">
        <v>81.758</v>
      </c>
      <c r="J2" s="0" t="n">
        <v>1.2</v>
      </c>
      <c r="K2" s="0" t="n">
        <v>0.0503</v>
      </c>
      <c r="L2" s="0" t="n">
        <v>769.945</v>
      </c>
      <c r="M2" s="0" t="n">
        <v>474.401</v>
      </c>
      <c r="N2" s="0" t="n">
        <v>295.544</v>
      </c>
      <c r="O2" s="0" t="n">
        <v>5441.765</v>
      </c>
      <c r="P2" s="0" t="n">
        <v>14111.846</v>
      </c>
      <c r="Q2" s="0" t="n">
        <v>8670.081</v>
      </c>
      <c r="R2" s="0" t="n">
        <v>4856.999</v>
      </c>
      <c r="S2" s="0" t="n">
        <v>1593.768</v>
      </c>
      <c r="T2" s="0" t="n">
        <v>1625.4</v>
      </c>
      <c r="U2" s="0" t="n">
        <v>0</v>
      </c>
      <c r="AA2" s="0" t="s">
        <v>18</v>
      </c>
      <c r="AB2" s="0" t="s">
        <v>14</v>
      </c>
    </row>
    <row r="3" customFormat="false" ht="15" hidden="false" customHeight="false" outlineLevel="0" collapsed="false">
      <c r="A3" s="0" t="s">
        <v>66</v>
      </c>
      <c r="B3" s="0" t="n">
        <v>7510.586</v>
      </c>
      <c r="C3" s="0" t="n">
        <v>4458.446</v>
      </c>
      <c r="D3" s="0" t="n">
        <v>3052.14</v>
      </c>
      <c r="E3" s="0" t="n">
        <v>40.6</v>
      </c>
      <c r="F3" s="0" t="n">
        <v>1040.776</v>
      </c>
      <c r="G3" s="0" t="n">
        <v>13.9</v>
      </c>
      <c r="H3" s="0" t="n">
        <v>1788.4</v>
      </c>
      <c r="I3" s="0" t="n">
        <v>682.928</v>
      </c>
      <c r="J3" s="0" t="n">
        <v>9.1</v>
      </c>
      <c r="K3" s="0" t="n">
        <v>0.418</v>
      </c>
      <c r="L3" s="0" t="n">
        <v>1213.239</v>
      </c>
      <c r="M3" s="0" t="n">
        <v>532.405</v>
      </c>
      <c r="N3" s="0" t="n">
        <v>680.834</v>
      </c>
      <c r="O3" s="0" t="n">
        <v>6122.042</v>
      </c>
      <c r="P3" s="0" t="n">
        <v>14602.297</v>
      </c>
      <c r="Q3" s="0" t="n">
        <v>8480.255</v>
      </c>
      <c r="R3" s="0" t="n">
        <v>4252.487</v>
      </c>
      <c r="S3" s="0" t="n">
        <v>1578.54</v>
      </c>
      <c r="T3" s="0" t="n">
        <v>1633.8</v>
      </c>
      <c r="U3" s="0" t="n">
        <v>0</v>
      </c>
      <c r="AA3" s="0" t="s">
        <v>18</v>
      </c>
      <c r="AB3" s="0" t="s">
        <v>14</v>
      </c>
      <c r="AC3" s="0" t="n">
        <v>0.3227</v>
      </c>
    </row>
    <row r="4" customFormat="false" ht="15" hidden="false" customHeight="false" outlineLevel="0" collapsed="false">
      <c r="A4" s="0" t="s">
        <v>67</v>
      </c>
      <c r="B4" s="0" t="n">
        <v>8392.6</v>
      </c>
      <c r="C4" s="0" t="n">
        <v>4771.336</v>
      </c>
      <c r="D4" s="0" t="n">
        <v>3621.264</v>
      </c>
      <c r="E4" s="0" t="n">
        <v>43.1</v>
      </c>
      <c r="F4" s="0" t="n">
        <v>1122.49</v>
      </c>
      <c r="G4" s="0" t="n">
        <v>13.4</v>
      </c>
      <c r="H4" s="0" t="n">
        <v>1798.22</v>
      </c>
      <c r="I4" s="0" t="n">
        <v>641.764</v>
      </c>
      <c r="J4" s="0" t="n">
        <v>7.6</v>
      </c>
      <c r="K4" s="0" t="n">
        <v>0.3914</v>
      </c>
      <c r="L4" s="0" t="n">
        <v>1801.184</v>
      </c>
      <c r="M4" s="0" t="n">
        <v>439.85</v>
      </c>
      <c r="N4" s="0" t="n">
        <v>1361.334</v>
      </c>
      <c r="O4" s="0" t="n">
        <v>6671.789</v>
      </c>
      <c r="P4" s="0" t="n">
        <v>15699.692</v>
      </c>
      <c r="Q4" s="0" t="n">
        <v>9027.903</v>
      </c>
      <c r="R4" s="0" t="n">
        <v>4998.185</v>
      </c>
      <c r="S4" s="0" t="n">
        <v>3164.819</v>
      </c>
      <c r="T4" s="0" t="n">
        <v>1639.7</v>
      </c>
      <c r="U4" s="0" t="n">
        <v>0</v>
      </c>
      <c r="AA4" s="0" t="s">
        <v>18</v>
      </c>
      <c r="AB4" s="0" t="s">
        <v>14</v>
      </c>
    </row>
    <row r="5" customFormat="false" ht="15" hidden="false" customHeight="false" outlineLevel="0" collapsed="false">
      <c r="A5" s="0" t="s">
        <v>68</v>
      </c>
      <c r="B5" s="0" t="n">
        <v>8772.488</v>
      </c>
      <c r="C5" s="0" t="n">
        <v>4966.27</v>
      </c>
      <c r="D5" s="0" t="n">
        <v>3806.218</v>
      </c>
      <c r="E5" s="0" t="n">
        <v>43.4</v>
      </c>
      <c r="F5" s="0" t="n">
        <v>1063.607</v>
      </c>
      <c r="G5" s="0" t="n">
        <v>12.1</v>
      </c>
      <c r="H5" s="0" t="n">
        <v>1678.07</v>
      </c>
      <c r="I5" s="0" t="n">
        <v>702.989</v>
      </c>
      <c r="J5" s="0" t="n">
        <v>8</v>
      </c>
      <c r="K5" s="0" t="n">
        <v>0.3981</v>
      </c>
      <c r="L5" s="0" t="n">
        <v>1569.26</v>
      </c>
      <c r="M5" s="0" t="n">
        <v>537.57</v>
      </c>
      <c r="N5" s="0" t="n">
        <v>1031.69</v>
      </c>
      <c r="O5" s="0" t="n">
        <v>8613.906</v>
      </c>
      <c r="P5" s="0" t="n">
        <v>14963.714</v>
      </c>
      <c r="Q5" s="0" t="n">
        <v>6351.879</v>
      </c>
      <c r="R5" s="0" t="n">
        <v>2211.337</v>
      </c>
      <c r="S5" s="0" t="n">
        <v>2996.802</v>
      </c>
      <c r="T5" s="0" t="n">
        <v>1765.97</v>
      </c>
      <c r="U5" s="0" t="n">
        <v>0</v>
      </c>
      <c r="AA5" s="0" t="s">
        <v>18</v>
      </c>
      <c r="AB5" s="0" t="s">
        <v>14</v>
      </c>
    </row>
    <row r="6" customFormat="false" ht="15" hidden="false" customHeight="false" outlineLevel="0" collapsed="false">
      <c r="A6" s="0" t="s">
        <v>69</v>
      </c>
      <c r="B6" s="0" t="n">
        <v>9703.438</v>
      </c>
      <c r="C6" s="0" t="n">
        <v>5492.391</v>
      </c>
      <c r="D6" s="0" t="n">
        <v>4211.047</v>
      </c>
      <c r="E6" s="0" t="n">
        <v>43.4</v>
      </c>
      <c r="F6" s="0" t="n">
        <v>1262.878</v>
      </c>
      <c r="G6" s="0" t="n">
        <v>13</v>
      </c>
      <c r="H6" s="0" t="n">
        <v>1883.74</v>
      </c>
      <c r="I6" s="0" t="n">
        <v>988.098</v>
      </c>
      <c r="J6" s="0" t="n">
        <v>10.2</v>
      </c>
      <c r="K6" s="0" t="n">
        <v>0.537</v>
      </c>
      <c r="L6" s="0" t="n">
        <v>1542.551</v>
      </c>
      <c r="M6" s="0" t="n">
        <v>487.332</v>
      </c>
      <c r="N6" s="0" t="n">
        <v>1055.219</v>
      </c>
      <c r="O6" s="0" t="n">
        <v>9340.492</v>
      </c>
      <c r="P6" s="0" t="n">
        <v>16331.119</v>
      </c>
      <c r="Q6" s="0" t="n">
        <v>6991.211</v>
      </c>
      <c r="R6" s="0" t="n">
        <v>1842.114</v>
      </c>
      <c r="S6" s="0" t="n">
        <v>3331.009</v>
      </c>
      <c r="T6" s="0" t="n">
        <v>1840.04</v>
      </c>
      <c r="U6" s="0" t="n">
        <v>0</v>
      </c>
      <c r="AA6" s="0" t="s">
        <v>18</v>
      </c>
      <c r="AB6" s="0" t="s">
        <v>14</v>
      </c>
    </row>
    <row r="7" customFormat="false" ht="15" hidden="false" customHeight="false" outlineLevel="0" collapsed="false">
      <c r="A7" s="0" t="s">
        <v>70</v>
      </c>
      <c r="B7" s="0" t="n">
        <v>11334.262</v>
      </c>
      <c r="C7" s="0" t="n">
        <v>6365.272</v>
      </c>
      <c r="D7" s="0" t="n">
        <v>4968.99</v>
      </c>
      <c r="E7" s="0" t="n">
        <v>43.8</v>
      </c>
      <c r="F7" s="0" t="n">
        <v>2088.361</v>
      </c>
      <c r="G7" s="0" t="n">
        <v>18.4</v>
      </c>
      <c r="H7" s="0" t="n">
        <v>2640.79</v>
      </c>
      <c r="I7" s="0" t="n">
        <v>1581.094</v>
      </c>
      <c r="J7" s="0" t="n">
        <v>13.9</v>
      </c>
      <c r="K7" s="0" t="n">
        <v>0.8689</v>
      </c>
      <c r="L7" s="0" t="n">
        <v>2030.543</v>
      </c>
      <c r="M7" s="0" t="n">
        <v>779.548</v>
      </c>
      <c r="N7" s="0" t="n">
        <v>1250.995</v>
      </c>
      <c r="O7" s="0" t="n">
        <v>10608.086</v>
      </c>
      <c r="P7" s="0" t="n">
        <v>18979.625</v>
      </c>
      <c r="Q7" s="0" t="n">
        <v>8370.194</v>
      </c>
      <c r="R7" s="0" t="n">
        <v>2462.787</v>
      </c>
      <c r="S7" s="0" t="n">
        <v>4743.071</v>
      </c>
      <c r="T7" s="0" t="n">
        <v>1819.73</v>
      </c>
      <c r="U7" s="0" t="n">
        <v>0</v>
      </c>
      <c r="AA7" s="0" t="s">
        <v>18</v>
      </c>
      <c r="AB7" s="0" t="s">
        <v>14</v>
      </c>
    </row>
    <row r="8" customFormat="false" ht="15" hidden="false" customHeight="false" outlineLevel="0" collapsed="false">
      <c r="A8" s="0" t="s">
        <v>71</v>
      </c>
      <c r="B8" s="0" t="n">
        <v>13739.879</v>
      </c>
      <c r="C8" s="0" t="n">
        <v>7405.042</v>
      </c>
      <c r="D8" s="0" t="n">
        <v>6334.837</v>
      </c>
      <c r="E8" s="0" t="n">
        <v>46.1</v>
      </c>
      <c r="F8" s="0" t="n">
        <v>3411.044</v>
      </c>
      <c r="G8" s="0" t="n">
        <v>24.8</v>
      </c>
      <c r="H8" s="0" t="n">
        <v>3976.69</v>
      </c>
      <c r="I8" s="0" t="n">
        <v>2701.35</v>
      </c>
      <c r="J8" s="0" t="n">
        <v>19.7</v>
      </c>
      <c r="K8" s="0" t="n">
        <v>1.4867</v>
      </c>
      <c r="L8" s="0" t="n">
        <v>2439.438</v>
      </c>
      <c r="M8" s="0" t="n">
        <v>1325.552</v>
      </c>
      <c r="N8" s="0" t="n">
        <v>1113.886</v>
      </c>
      <c r="O8" s="0" t="n">
        <v>12734.778</v>
      </c>
      <c r="P8" s="0" t="n">
        <v>21017.18</v>
      </c>
      <c r="Q8" s="0" t="n">
        <v>8269.562</v>
      </c>
      <c r="R8" s="0" t="n">
        <v>1503.684</v>
      </c>
      <c r="S8" s="0" t="n">
        <v>4261.989</v>
      </c>
      <c r="T8" s="0" t="n">
        <v>1817.03</v>
      </c>
      <c r="U8" s="0" t="n">
        <v>6.365</v>
      </c>
      <c r="AA8" s="0" t="s">
        <v>18</v>
      </c>
      <c r="AB8" s="0" t="s">
        <v>14</v>
      </c>
    </row>
    <row r="9" customFormat="false" ht="15" hidden="false" customHeight="false" outlineLevel="0" collapsed="false">
      <c r="A9" s="0" t="s">
        <v>72</v>
      </c>
      <c r="B9" s="0" t="n">
        <v>13758.937</v>
      </c>
      <c r="C9" s="0" t="n">
        <v>7676.546</v>
      </c>
      <c r="D9" s="0" t="n">
        <v>6082.391</v>
      </c>
      <c r="E9" s="0" t="n">
        <v>44.2</v>
      </c>
      <c r="F9" s="0" t="n">
        <v>3323.856</v>
      </c>
      <c r="G9" s="0" t="n">
        <v>24.2</v>
      </c>
      <c r="H9" s="0" t="n">
        <v>3939.4</v>
      </c>
      <c r="I9" s="0" t="n">
        <v>2659.704</v>
      </c>
      <c r="J9" s="0" t="n">
        <v>19.3</v>
      </c>
      <c r="K9" s="0" t="n">
        <v>1.4639</v>
      </c>
      <c r="L9" s="0" t="n">
        <v>3199.302</v>
      </c>
      <c r="M9" s="0" t="n">
        <v>1809.894</v>
      </c>
      <c r="N9" s="0" t="n">
        <v>1389.408</v>
      </c>
      <c r="O9" s="0" t="n">
        <v>14388.283</v>
      </c>
      <c r="P9" s="0" t="n">
        <v>25833.052</v>
      </c>
      <c r="Q9" s="0" t="n">
        <v>11397.812</v>
      </c>
      <c r="R9" s="0" t="n">
        <v>3155.731</v>
      </c>
      <c r="S9" s="0" t="n">
        <v>6329.841</v>
      </c>
      <c r="T9" s="0" t="n">
        <v>1816.81</v>
      </c>
      <c r="U9" s="0" t="n">
        <v>47.364</v>
      </c>
      <c r="AA9" s="0" t="s">
        <v>18</v>
      </c>
      <c r="AB9" s="0" t="s">
        <v>14</v>
      </c>
    </row>
    <row r="10" customFormat="false" ht="15" hidden="false" customHeight="false" outlineLevel="0" collapsed="false">
      <c r="A10" s="0" t="s">
        <v>73</v>
      </c>
      <c r="B10" s="0" t="n">
        <v>13210.627</v>
      </c>
      <c r="C10" s="0" t="n">
        <v>7696.556</v>
      </c>
      <c r="D10" s="0" t="n">
        <v>5514.071</v>
      </c>
      <c r="E10" s="0" t="n">
        <v>41.7</v>
      </c>
      <c r="F10" s="0" t="n">
        <v>2597.683</v>
      </c>
      <c r="G10" s="0" t="n">
        <v>19.7</v>
      </c>
      <c r="H10" s="0" t="n">
        <v>3247.23</v>
      </c>
      <c r="I10" s="0" t="n">
        <v>2085.902</v>
      </c>
      <c r="J10" s="0" t="n">
        <v>15.8</v>
      </c>
      <c r="K10" s="0" t="n">
        <v>1.1065</v>
      </c>
      <c r="L10" s="0" t="n">
        <v>3749.82</v>
      </c>
      <c r="M10" s="0" t="n">
        <v>2886.456</v>
      </c>
      <c r="N10" s="0" t="n">
        <v>863.364</v>
      </c>
      <c r="O10" s="0" t="n">
        <v>17392.954</v>
      </c>
      <c r="P10" s="0" t="n">
        <v>30900.476</v>
      </c>
      <c r="Q10" s="0" t="n">
        <v>13425.16</v>
      </c>
      <c r="R10" s="0" t="n">
        <v>4991.711</v>
      </c>
      <c r="S10" s="0" t="n">
        <v>10606.39</v>
      </c>
      <c r="T10" s="0" t="n">
        <v>1885.11</v>
      </c>
      <c r="U10" s="0" t="n">
        <v>14.093</v>
      </c>
      <c r="AA10" s="0" t="s">
        <v>18</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6.86</v>
      </c>
    </row>
    <row r="3" customFormat="false" ht="15" hidden="false" customHeight="false" outlineLevel="0" collapsed="false">
      <c r="A3" s="0" t="s">
        <v>77</v>
      </c>
      <c r="B3" s="3" t="n">
        <v>1972.631</v>
      </c>
    </row>
    <row r="4" customFormat="false" ht="15" hidden="false" customHeight="false" outlineLevel="0" collapsed="false">
      <c r="A4" s="0" t="s">
        <v>78</v>
      </c>
      <c r="B4" s="3" t="n">
        <v>-5121.098</v>
      </c>
    </row>
    <row r="5" customFormat="false" ht="15" hidden="false" customHeight="false" outlineLevel="0" collapsed="false">
      <c r="A5" s="0" t="s">
        <v>79</v>
      </c>
      <c r="B5" s="3" t="n">
        <v>8.13000000000004</v>
      </c>
    </row>
    <row r="6" customFormat="false" ht="15" hidden="false" customHeight="false" outlineLevel="0" collapsed="false">
      <c r="A6" s="0" t="s">
        <v>80</v>
      </c>
      <c r="B6" s="3" t="n">
        <v>15</v>
      </c>
    </row>
    <row r="7" customFormat="false" ht="15" hidden="false" customHeight="false" outlineLevel="0" collapsed="false">
      <c r="A7" s="0" t="s">
        <v>81</v>
      </c>
      <c r="B7" s="3" t="n">
        <v>11768.417</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1.175</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-3</v>
      </c>
      <c r="D13" s="3" t="n">
        <v>-1</v>
      </c>
      <c r="E13" s="3" t="n">
        <v>0</v>
      </c>
      <c r="F13" s="3" t="n">
        <v>1</v>
      </c>
      <c r="G13" s="3" t="n">
        <v>1.5</v>
      </c>
      <c r="H13" s="3" t="n">
        <v>2</v>
      </c>
      <c r="I13" s="3" t="n">
        <v>2</v>
      </c>
      <c r="J13" s="3" t="n">
        <v>2</v>
      </c>
      <c r="K13" s="3" t="n">
        <v>2</v>
      </c>
      <c r="L13" s="3" t="n">
        <v>2</v>
      </c>
    </row>
    <row r="14" customFormat="false" ht="15" hidden="false" customHeight="false" outlineLevel="0" collapsed="false">
      <c r="A14" s="0" t="s">
        <v>98</v>
      </c>
      <c r="C14" s="3" t="n">
        <v>12.5</v>
      </c>
      <c r="D14" s="3" t="n">
        <v>12.5</v>
      </c>
      <c r="E14" s="3" t="n">
        <v>13</v>
      </c>
      <c r="F14" s="3" t="n">
        <v>13</v>
      </c>
      <c r="G14" s="3" t="n">
        <v>13.5</v>
      </c>
      <c r="H14" s="3" t="n">
        <v>14</v>
      </c>
      <c r="I14" s="3" t="n">
        <v>14</v>
      </c>
      <c r="J14" s="3" t="n">
        <v>14</v>
      </c>
      <c r="K14" s="3" t="n">
        <v>14</v>
      </c>
      <c r="L14" s="3" t="n">
        <v>14</v>
      </c>
    </row>
    <row r="15" customFormat="false" ht="15" hidden="false" customHeight="false" outlineLevel="0" collapsed="false">
      <c r="A15" s="0" t="s">
        <v>99</v>
      </c>
      <c r="C15" s="3" t="n">
        <v>0.1</v>
      </c>
      <c r="D15" s="3" t="n">
        <v>0.1</v>
      </c>
      <c r="E15" s="3" t="n">
        <v>0.1</v>
      </c>
      <c r="F15" s="3" t="n">
        <v>0.1</v>
      </c>
      <c r="G15" s="3" t="n">
        <v>0.1</v>
      </c>
      <c r="H15" s="3" t="n">
        <v>0.1</v>
      </c>
      <c r="I15" s="3" t="n">
        <v>0.1</v>
      </c>
      <c r="J15" s="3" t="n">
        <v>0.1</v>
      </c>
      <c r="K15" s="3" t="n">
        <v>0.1</v>
      </c>
      <c r="L15" s="3" t="n">
        <v>0.1</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6.5</v>
      </c>
      <c r="D17" s="3" t="n">
        <v>7</v>
      </c>
      <c r="E17" s="3" t="n">
        <v>7.2</v>
      </c>
      <c r="F17" s="3" t="n">
        <v>7.2</v>
      </c>
      <c r="G17" s="3" t="n">
        <v>7.2</v>
      </c>
      <c r="H17" s="3" t="n">
        <v>7</v>
      </c>
      <c r="I17" s="3" t="n">
        <v>7</v>
      </c>
      <c r="J17" s="3" t="n">
        <v>7</v>
      </c>
      <c r="K17" s="3" t="n">
        <v>7</v>
      </c>
      <c r="L17" s="3" t="n">
        <v>7</v>
      </c>
    </row>
    <row r="18" customFormat="false" ht="15" hidden="false" customHeight="false" outlineLevel="0" collapsed="false">
      <c r="A18" s="0" t="s">
        <v>102</v>
      </c>
      <c r="C18" s="3" t="n">
        <v>11</v>
      </c>
      <c r="D18" s="3" t="n">
        <v>9</v>
      </c>
      <c r="E18" s="3" t="n">
        <v>8</v>
      </c>
      <c r="F18" s="3" t="n">
        <v>7.5</v>
      </c>
      <c r="G18" s="3" t="n">
        <v>7.5</v>
      </c>
      <c r="H18" s="3" t="n">
        <v>7</v>
      </c>
      <c r="I18" s="3" t="n">
        <v>7</v>
      </c>
      <c r="J18" s="3" t="n">
        <v>7</v>
      </c>
      <c r="K18" s="3" t="n">
        <v>7</v>
      </c>
      <c r="L18" s="3" t="n">
        <v>7</v>
      </c>
    </row>
    <row r="19" customFormat="false" ht="15" hidden="false" customHeight="false" outlineLevel="0" collapsed="false">
      <c r="A19" s="0" t="s">
        <v>103</v>
      </c>
      <c r="C19" s="3" t="n">
        <v>21</v>
      </c>
      <c r="D19" s="3" t="n">
        <v>21</v>
      </c>
      <c r="E19" s="3" t="n">
        <v>21</v>
      </c>
      <c r="F19" s="3" t="n">
        <v>21</v>
      </c>
      <c r="G19" s="3" t="n">
        <v>21</v>
      </c>
      <c r="H19" s="3" t="n">
        <v>21</v>
      </c>
      <c r="I19" s="3" t="n">
        <v>21</v>
      </c>
      <c r="J19" s="3" t="n">
        <v>21</v>
      </c>
      <c r="K19" s="3" t="n">
        <v>21</v>
      </c>
      <c r="L19" s="3" t="n">
        <v>21</v>
      </c>
    </row>
    <row r="20" customFormat="false" ht="15" hidden="false" customHeight="false" outlineLevel="0" collapsed="false">
      <c r="A20" s="0" t="s">
        <v>104</v>
      </c>
      <c r="B20" s="3" t="n">
        <v>9.5</v>
      </c>
    </row>
    <row r="21" customFormat="false" ht="15" hidden="false" customHeight="false" outlineLevel="0" collapsed="false">
      <c r="A21" s="0" t="s">
        <v>105</v>
      </c>
      <c r="B21" s="3" t="n">
        <v>2</v>
      </c>
    </row>
    <row r="22" customFormat="false" ht="15" hidden="false" customHeight="false" outlineLevel="0" collapsed="false">
      <c r="A22" s="0" t="s">
        <v>106</v>
      </c>
      <c r="B22" s="3" t="n">
        <v>10</v>
      </c>
    </row>
    <row r="23" customFormat="false" ht="15" hidden="false" customHeight="false" outlineLevel="0" collapsed="false">
      <c r="A23" s="0" t="s">
        <v>107</v>
      </c>
      <c r="B23" s="3" t="n">
        <v>-10</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2.5</v>
      </c>
      <c r="D27" s="3" t="n">
        <v>4</v>
      </c>
      <c r="E27" s="3" t="n">
        <v>5</v>
      </c>
      <c r="F27" s="3" t="n">
        <v>5</v>
      </c>
      <c r="G27" s="3" t="n">
        <v>4.5</v>
      </c>
      <c r="H27" s="3" t="n">
        <v>4</v>
      </c>
      <c r="I27" s="3" t="n">
        <v>3.5</v>
      </c>
      <c r="J27" s="3" t="n">
        <v>3</v>
      </c>
      <c r="K27" s="3" t="n">
        <v>3</v>
      </c>
      <c r="L27" s="3" t="n">
        <v>2.5</v>
      </c>
    </row>
    <row r="28" customFormat="false" ht="15" hidden="false" customHeight="false" outlineLevel="0" collapsed="false">
      <c r="A28" s="0" t="s">
        <v>98</v>
      </c>
      <c r="C28" s="3" t="n">
        <v>14.5</v>
      </c>
      <c r="D28" s="3" t="n">
        <v>16</v>
      </c>
      <c r="E28" s="3" t="n">
        <v>17.5</v>
      </c>
      <c r="F28" s="3" t="n">
        <v>18.5</v>
      </c>
      <c r="G28" s="3" t="n">
        <v>19</v>
      </c>
      <c r="H28" s="3" t="n">
        <v>19</v>
      </c>
      <c r="I28" s="3" t="n">
        <v>19</v>
      </c>
      <c r="J28" s="3" t="n">
        <v>19</v>
      </c>
      <c r="K28" s="3" t="n">
        <v>19</v>
      </c>
      <c r="L28" s="3" t="n">
        <v>19</v>
      </c>
    </row>
    <row r="29" customFormat="false" ht="15" hidden="false" customHeight="false" outlineLevel="0" collapsed="false">
      <c r="A29" s="0" t="s">
        <v>99</v>
      </c>
      <c r="C29" s="3" t="n">
        <v>0.1</v>
      </c>
      <c r="D29" s="3" t="n">
        <v>0.1</v>
      </c>
      <c r="E29" s="3" t="n">
        <v>0.1</v>
      </c>
      <c r="F29" s="3" t="n">
        <v>0.1</v>
      </c>
      <c r="G29" s="3" t="n">
        <v>0.1</v>
      </c>
      <c r="H29" s="3" t="n">
        <v>0.1</v>
      </c>
      <c r="I29" s="3" t="n">
        <v>0.1</v>
      </c>
      <c r="J29" s="3" t="n">
        <v>0.1</v>
      </c>
      <c r="K29" s="3" t="n">
        <v>0.1</v>
      </c>
      <c r="L29" s="3" t="n">
        <v>0.1</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6.5</v>
      </c>
      <c r="D31" s="3" t="n">
        <v>6.8</v>
      </c>
      <c r="E31" s="3" t="n">
        <v>7</v>
      </c>
      <c r="F31" s="3" t="n">
        <v>7</v>
      </c>
      <c r="G31" s="3" t="n">
        <v>7</v>
      </c>
      <c r="H31" s="3" t="n">
        <v>7</v>
      </c>
      <c r="I31" s="3" t="n">
        <v>7</v>
      </c>
      <c r="J31" s="3" t="n">
        <v>7</v>
      </c>
      <c r="K31" s="3" t="n">
        <v>7</v>
      </c>
      <c r="L31" s="3" t="n">
        <v>7</v>
      </c>
    </row>
    <row r="32" customFormat="false" ht="15" hidden="false" customHeight="false" outlineLevel="0" collapsed="false">
      <c r="A32" s="0" t="s">
        <v>102</v>
      </c>
      <c r="C32" s="3" t="n">
        <v>10.5</v>
      </c>
      <c r="D32" s="3" t="n">
        <v>8.5</v>
      </c>
      <c r="E32" s="3" t="n">
        <v>7.5</v>
      </c>
      <c r="F32" s="3" t="n">
        <v>7</v>
      </c>
      <c r="G32" s="3" t="n">
        <v>7</v>
      </c>
      <c r="H32" s="3" t="n">
        <v>7</v>
      </c>
      <c r="I32" s="3" t="n">
        <v>6.8</v>
      </c>
      <c r="J32" s="3" t="n">
        <v>6.8</v>
      </c>
      <c r="K32" s="3" t="n">
        <v>6.8</v>
      </c>
      <c r="L32" s="3" t="n">
        <v>6.8</v>
      </c>
    </row>
    <row r="33" customFormat="false" ht="15" hidden="false" customHeight="false" outlineLevel="0" collapsed="false">
      <c r="A33" s="0" t="s">
        <v>103</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104</v>
      </c>
      <c r="B34" s="3" t="n">
        <v>9.5</v>
      </c>
    </row>
    <row r="35" customFormat="false" ht="15" hidden="false" customHeight="false" outlineLevel="0" collapsed="false">
      <c r="A35" s="0" t="s">
        <v>105</v>
      </c>
      <c r="B35" s="3" t="n">
        <v>2.5</v>
      </c>
    </row>
    <row r="36" customFormat="false" ht="15" hidden="false" customHeight="false" outlineLevel="0" collapsed="false">
      <c r="A36" s="0" t="s">
        <v>106</v>
      </c>
      <c r="B36" s="3" t="n">
        <v>13</v>
      </c>
    </row>
    <row r="37" customFormat="false" ht="15" hidden="false" customHeight="false" outlineLevel="0" collapsed="false">
      <c r="A37" s="0" t="s">
        <v>107</v>
      </c>
      <c r="B37" s="3" t="n">
        <v>-5</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4</v>
      </c>
      <c r="D41" s="3" t="n">
        <v>7</v>
      </c>
      <c r="E41" s="3" t="n">
        <v>8</v>
      </c>
      <c r="F41" s="3" t="n">
        <v>8</v>
      </c>
      <c r="G41" s="3" t="n">
        <v>8</v>
      </c>
      <c r="H41" s="3" t="n">
        <v>7.5</v>
      </c>
      <c r="I41" s="3" t="n">
        <v>7</v>
      </c>
      <c r="J41" s="3" t="n">
        <v>6</v>
      </c>
      <c r="K41" s="3" t="n">
        <v>5</v>
      </c>
      <c r="L41" s="3" t="n">
        <v>4</v>
      </c>
    </row>
    <row r="42" customFormat="false" ht="15" hidden="false" customHeight="false" outlineLevel="0" collapsed="false">
      <c r="A42" s="0" t="s">
        <v>98</v>
      </c>
      <c r="C42" s="3" t="n">
        <v>15.5</v>
      </c>
      <c r="D42" s="3" t="n">
        <v>18</v>
      </c>
      <c r="E42" s="3" t="n">
        <v>20</v>
      </c>
      <c r="F42" s="3" t="n">
        <v>22</v>
      </c>
      <c r="G42" s="3" t="n">
        <v>23</v>
      </c>
      <c r="H42" s="3" t="n">
        <v>23.5</v>
      </c>
      <c r="I42" s="3" t="n">
        <v>24</v>
      </c>
      <c r="J42" s="3" t="n">
        <v>24</v>
      </c>
      <c r="K42" s="3" t="n">
        <v>24</v>
      </c>
      <c r="L42" s="3" t="n">
        <v>24</v>
      </c>
    </row>
    <row r="43" customFormat="false" ht="15" hidden="false" customHeight="false" outlineLevel="0" collapsed="false">
      <c r="A43" s="0" t="s">
        <v>99</v>
      </c>
      <c r="C43" s="3" t="n">
        <v>0.1</v>
      </c>
      <c r="D43" s="3" t="n">
        <v>0.1</v>
      </c>
      <c r="E43" s="3" t="n">
        <v>0.1</v>
      </c>
      <c r="F43" s="3" t="n">
        <v>0.1</v>
      </c>
      <c r="G43" s="3" t="n">
        <v>0.1</v>
      </c>
      <c r="H43" s="3" t="n">
        <v>0.1</v>
      </c>
      <c r="I43" s="3" t="n">
        <v>0.1</v>
      </c>
      <c r="J43" s="3" t="n">
        <v>0.1</v>
      </c>
      <c r="K43" s="3" t="n">
        <v>0.1</v>
      </c>
      <c r="L43" s="3" t="n">
        <v>0.1</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6.5</v>
      </c>
      <c r="D45" s="3" t="n">
        <v>6.8</v>
      </c>
      <c r="E45" s="3" t="n">
        <v>7</v>
      </c>
      <c r="F45" s="3" t="n">
        <v>7</v>
      </c>
      <c r="G45" s="3" t="n">
        <v>7</v>
      </c>
      <c r="H45" s="3" t="n">
        <v>7</v>
      </c>
      <c r="I45" s="3" t="n">
        <v>7</v>
      </c>
      <c r="J45" s="3" t="n">
        <v>7</v>
      </c>
      <c r="K45" s="3" t="n">
        <v>7</v>
      </c>
      <c r="L45" s="3" t="n">
        <v>7</v>
      </c>
    </row>
    <row r="46" customFormat="false" ht="15" hidden="false" customHeight="false" outlineLevel="0" collapsed="false">
      <c r="A46" s="0" t="s">
        <v>102</v>
      </c>
      <c r="C46" s="3" t="n">
        <v>10.5</v>
      </c>
      <c r="D46" s="3" t="n">
        <v>9</v>
      </c>
      <c r="E46" s="3" t="n">
        <v>8</v>
      </c>
      <c r="F46" s="3" t="n">
        <v>7.5</v>
      </c>
      <c r="G46" s="3" t="n">
        <v>7.5</v>
      </c>
      <c r="H46" s="3" t="n">
        <v>7</v>
      </c>
      <c r="I46" s="3" t="n">
        <v>7</v>
      </c>
      <c r="J46" s="3" t="n">
        <v>7</v>
      </c>
      <c r="K46" s="3" t="n">
        <v>7</v>
      </c>
      <c r="L46" s="3" t="n">
        <v>7</v>
      </c>
    </row>
    <row r="47" customFormat="false" ht="15" hidden="false" customHeight="false" outlineLevel="0" collapsed="false">
      <c r="A47" s="0" t="s">
        <v>103</v>
      </c>
      <c r="C47" s="3" t="n">
        <v>21</v>
      </c>
      <c r="D47" s="3" t="n">
        <v>21</v>
      </c>
      <c r="E47" s="3" t="n">
        <v>21</v>
      </c>
      <c r="F47" s="3" t="n">
        <v>21</v>
      </c>
      <c r="G47" s="3" t="n">
        <v>21</v>
      </c>
      <c r="H47" s="3" t="n">
        <v>21</v>
      </c>
      <c r="I47" s="3" t="n">
        <v>21</v>
      </c>
      <c r="J47" s="3" t="n">
        <v>21</v>
      </c>
      <c r="K47" s="3" t="n">
        <v>21</v>
      </c>
      <c r="L47" s="3" t="n">
        <v>21</v>
      </c>
    </row>
    <row r="48" customFormat="false" ht="15" hidden="false" customHeight="false" outlineLevel="0" collapsed="false">
      <c r="A48" s="0" t="s">
        <v>104</v>
      </c>
      <c r="B48" s="3" t="n">
        <v>9.5</v>
      </c>
    </row>
    <row r="49" customFormat="false" ht="15" hidden="false" customHeight="false" outlineLevel="0" collapsed="false">
      <c r="A49" s="0" t="s">
        <v>105</v>
      </c>
      <c r="B49" s="3" t="n">
        <v>3</v>
      </c>
    </row>
    <row r="50" customFormat="false" ht="15" hidden="false" customHeight="false" outlineLevel="0" collapsed="false">
      <c r="A50" s="0" t="s">
        <v>106</v>
      </c>
      <c r="B50" s="3" t="n">
        <v>14</v>
      </c>
    </row>
    <row r="51" customFormat="false" ht="15" hidden="false" customHeight="false" outlineLevel="0" collapsed="false">
      <c r="A51" s="0" t="s">
        <v>107</v>
      </c>
      <c r="B51" s="3" t="n">
        <v>-5</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-3</v>
      </c>
      <c r="D5" s="4" t="n">
        <f aca="false">Assumptions!D13</f>
        <v>-1</v>
      </c>
      <c r="E5" s="4" t="n">
        <f aca="false">Assumptions!E13</f>
        <v>0</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11768.417</v>
      </c>
      <c r="C6" s="0" t="n">
        <f aca="false">B6*(1+C5/100)</f>
        <v>11415.36449</v>
      </c>
      <c r="D6" s="0" t="n">
        <f aca="false">C6*(1+D5/100)</f>
        <v>11301.2108451</v>
      </c>
      <c r="E6" s="0" t="n">
        <f aca="false">D6*(1+E5/100)</f>
        <v>11301.2108451</v>
      </c>
      <c r="F6" s="0" t="n">
        <f aca="false">E6*(1+F5/100)</f>
        <v>11414.222953551</v>
      </c>
      <c r="G6" s="0" t="n">
        <f aca="false">F6*(1+G5/100)</f>
        <v>11585.4362978543</v>
      </c>
      <c r="H6" s="0" t="n">
        <f aca="false">G6*(1+H5/100)</f>
        <v>11817.1450238113</v>
      </c>
      <c r="I6" s="0" t="n">
        <f aca="false">H6*(1+I5/100)</f>
        <v>12053.4879242876</v>
      </c>
      <c r="J6" s="0" t="n">
        <f aca="false">I6*(1+J5/100)</f>
        <v>12294.5576827733</v>
      </c>
      <c r="K6" s="0" t="n">
        <f aca="false">J6*(1+K5/100)</f>
        <v>12540.4488364288</v>
      </c>
      <c r="L6" s="0" t="n">
        <f aca="false">K6*(1+L5/100)</f>
        <v>12791.2578131574</v>
      </c>
    </row>
    <row r="7" customFormat="false" ht="15" hidden="false" customHeight="false" outlineLevel="0" collapsed="false">
      <c r="A7" s="0" t="s">
        <v>98</v>
      </c>
      <c r="C7" s="4" t="n">
        <f aca="false">Assumptions!C14</f>
        <v>12.5</v>
      </c>
      <c r="D7" s="4" t="n">
        <f aca="false">Assumptions!D14</f>
        <v>12.5</v>
      </c>
      <c r="E7" s="4" t="n">
        <f aca="false">Assumptions!E14</f>
        <v>13</v>
      </c>
      <c r="F7" s="4" t="n">
        <f aca="false">Assumptions!F14</f>
        <v>13</v>
      </c>
      <c r="G7" s="4" t="n">
        <f aca="false">Assumptions!G14</f>
        <v>13.5</v>
      </c>
      <c r="H7" s="4" t="n">
        <f aca="false">Assumptions!H14</f>
        <v>14</v>
      </c>
      <c r="I7" s="4" t="n">
        <f aca="false">Assumptions!I14</f>
        <v>14</v>
      </c>
      <c r="J7" s="4" t="n">
        <f aca="false">Assumptions!J14</f>
        <v>14</v>
      </c>
      <c r="K7" s="4" t="n">
        <f aca="false">Assumptions!K14</f>
        <v>14</v>
      </c>
      <c r="L7" s="4" t="n">
        <f aca="false">Assumptions!L14</f>
        <v>14</v>
      </c>
    </row>
    <row r="8" customFormat="false" ht="15" hidden="false" customHeight="false" outlineLevel="0" collapsed="false">
      <c r="A8" s="0" t="s">
        <v>44</v>
      </c>
      <c r="C8" s="0" t="n">
        <f aca="false">C6*C7/100</f>
        <v>1426.92056125</v>
      </c>
      <c r="D8" s="0" t="n">
        <f aca="false">D6*D7/100</f>
        <v>1412.6513556375</v>
      </c>
      <c r="E8" s="0" t="n">
        <f aca="false">E6*E7/100</f>
        <v>1469.157409863</v>
      </c>
      <c r="F8" s="0" t="n">
        <f aca="false">F6*F7/100</f>
        <v>1483.84898396163</v>
      </c>
      <c r="G8" s="0" t="n">
        <f aca="false">G6*G7/100</f>
        <v>1564.03390021033</v>
      </c>
      <c r="H8" s="0" t="n">
        <f aca="false">H6*H7/100</f>
        <v>1654.40030333359</v>
      </c>
      <c r="I8" s="0" t="n">
        <f aca="false">I6*I7/100</f>
        <v>1687.48830940026</v>
      </c>
      <c r="J8" s="0" t="n">
        <f aca="false">J6*J7/100</f>
        <v>1721.23807558827</v>
      </c>
      <c r="K8" s="0" t="n">
        <f aca="false">K6*K7/100</f>
        <v>1755.66283710003</v>
      </c>
      <c r="L8" s="0" t="n">
        <f aca="false">L6*L7/100</f>
        <v>1790.77609384203</v>
      </c>
    </row>
    <row r="9" customFormat="false" ht="15" hidden="false" customHeight="false" outlineLevel="0" collapsed="false">
      <c r="A9" s="0" t="s">
        <v>99</v>
      </c>
      <c r="C9" s="4" t="n">
        <f aca="false">Assumptions!C15</f>
        <v>0.1</v>
      </c>
      <c r="D9" s="4" t="n">
        <f aca="false">Assumptions!D15</f>
        <v>0.1</v>
      </c>
      <c r="E9" s="4" t="n">
        <f aca="false">Assumptions!E15</f>
        <v>0.1</v>
      </c>
      <c r="F9" s="4" t="n">
        <f aca="false">Assumptions!F15</f>
        <v>0.1</v>
      </c>
      <c r="G9" s="4" t="n">
        <f aca="false">Assumptions!G15</f>
        <v>0.1</v>
      </c>
      <c r="H9" s="4" t="n">
        <f aca="false">Assumptions!H15</f>
        <v>0.1</v>
      </c>
      <c r="I9" s="4" t="n">
        <f aca="false">Assumptions!I15</f>
        <v>0.1</v>
      </c>
      <c r="J9" s="4" t="n">
        <f aca="false">Assumptions!J15</f>
        <v>0.1</v>
      </c>
      <c r="K9" s="4" t="n">
        <f aca="false">Assumptions!K15</f>
        <v>0.1</v>
      </c>
      <c r="L9" s="4" t="n">
        <f aca="false">Assumptions!L15</f>
        <v>0.1</v>
      </c>
    </row>
    <row r="10" customFormat="false" ht="15" hidden="false" customHeight="false" outlineLevel="0" collapsed="false">
      <c r="A10" s="0" t="s">
        <v>114</v>
      </c>
      <c r="C10" s="0" t="n">
        <f aca="false">-C6*C9/100</f>
        <v>-11.41536449</v>
      </c>
      <c r="D10" s="0" t="n">
        <f aca="false">-D6*D9/100</f>
        <v>-11.3012108451</v>
      </c>
      <c r="E10" s="0" t="n">
        <f aca="false">-E6*E9/100</f>
        <v>-11.3012108451</v>
      </c>
      <c r="F10" s="0" t="n">
        <f aca="false">-F6*F9/100</f>
        <v>-11.414222953551</v>
      </c>
      <c r="G10" s="0" t="n">
        <f aca="false">-G6*G9/100</f>
        <v>-11.5854362978543</v>
      </c>
      <c r="H10" s="0" t="n">
        <f aca="false">-H6*H9/100</f>
        <v>-11.8171450238114</v>
      </c>
      <c r="I10" s="0" t="n">
        <f aca="false">-I6*I9/100</f>
        <v>-12.0534879242876</v>
      </c>
      <c r="J10" s="0" t="n">
        <f aca="false">-J6*J9/100</f>
        <v>-12.2945576827733</v>
      </c>
      <c r="K10" s="0" t="n">
        <f aca="false">-K6*K9/100</f>
        <v>-12.5404488364288</v>
      </c>
      <c r="L10" s="0" t="n">
        <f aca="false">-L6*L9/100</f>
        <v>-12.7912578131574</v>
      </c>
    </row>
    <row r="11" customFormat="false" ht="15" hidden="false" customHeight="false" outlineLevel="0" collapsed="false">
      <c r="A11" s="0" t="s">
        <v>115</v>
      </c>
      <c r="C11" s="0" t="n">
        <f aca="false">C8+C10+C24</f>
        <v>1415.50519676</v>
      </c>
      <c r="D11" s="0" t="n">
        <f aca="false">D8+D10+D24</f>
        <v>1401.3501447924</v>
      </c>
      <c r="E11" s="0" t="n">
        <f aca="false">E8+E10+E24</f>
        <v>1457.8561990179</v>
      </c>
      <c r="F11" s="0" t="n">
        <f aca="false">F8+F10+F24</f>
        <v>1472.43476100808</v>
      </c>
      <c r="G11" s="0" t="n">
        <f aca="false">G8+G10+G24</f>
        <v>1552.44846391247</v>
      </c>
      <c r="H11" s="0" t="n">
        <f aca="false">H8+H10+H24</f>
        <v>1642.58315830978</v>
      </c>
      <c r="I11" s="0" t="n">
        <f aca="false">I8+I10+I24</f>
        <v>1675.43482147597</v>
      </c>
      <c r="J11" s="0" t="n">
        <f aca="false">J8+J10+J24</f>
        <v>1708.94351790549</v>
      </c>
      <c r="K11" s="0" t="n">
        <f aca="false">K8+K10+K24</f>
        <v>1743.1223882636</v>
      </c>
      <c r="L11" s="0" t="n">
        <f aca="false">L8+L10+L24</f>
        <v>1777.98483602887</v>
      </c>
    </row>
    <row r="12" customFormat="false" ht="15" hidden="false" customHeight="false" outlineLevel="0" collapsed="false">
      <c r="A12" s="0" t="s">
        <v>116</v>
      </c>
      <c r="C12" s="4" t="n">
        <f aca="false">-C6*Assumptions!C17/100</f>
        <v>-741.99869185</v>
      </c>
      <c r="D12" s="4" t="n">
        <f aca="false">-D6*Assumptions!D17/100</f>
        <v>-791.084759157</v>
      </c>
      <c r="E12" s="4" t="n">
        <f aca="false">-E6*Assumptions!E17/100</f>
        <v>-813.6871808472</v>
      </c>
      <c r="F12" s="4" t="n">
        <f aca="false">-F6*Assumptions!F17/100</f>
        <v>-821.824052655672</v>
      </c>
      <c r="G12" s="4" t="n">
        <f aca="false">-G6*Assumptions!G17/100</f>
        <v>-834.151413445507</v>
      </c>
      <c r="H12" s="4" t="n">
        <f aca="false">-H6*Assumptions!H17/100</f>
        <v>-827.200151666795</v>
      </c>
      <c r="I12" s="4" t="n">
        <f aca="false">-I6*Assumptions!I17/100</f>
        <v>-843.74415470013</v>
      </c>
      <c r="J12" s="4" t="n">
        <f aca="false">-J6*Assumptions!J17/100</f>
        <v>-860.619037794133</v>
      </c>
      <c r="K12" s="4" t="n">
        <f aca="false">-K6*Assumptions!K17/100</f>
        <v>-877.831418550016</v>
      </c>
      <c r="L12" s="4" t="n">
        <f aca="false">-L6*Assumptions!L17/100</f>
        <v>-895.388046921016</v>
      </c>
    </row>
    <row r="13" customFormat="false" ht="15" hidden="false" customHeight="false" outlineLevel="0" collapsed="false">
      <c r="A13" s="0" t="s">
        <v>117</v>
      </c>
      <c r="C13" s="0" t="n">
        <f aca="false">C11+C12</f>
        <v>673.50650491</v>
      </c>
      <c r="D13" s="0" t="n">
        <f aca="false">D11+D12</f>
        <v>610.2653856354</v>
      </c>
      <c r="E13" s="0" t="n">
        <f aca="false">E11+E12</f>
        <v>644.1690181707</v>
      </c>
      <c r="F13" s="0" t="n">
        <f aca="false">F11+F12</f>
        <v>650.610708352407</v>
      </c>
      <c r="G13" s="0" t="n">
        <f aca="false">G11+G12</f>
        <v>718.297050466964</v>
      </c>
      <c r="H13" s="0" t="n">
        <f aca="false">H11+H12</f>
        <v>815.383006642983</v>
      </c>
      <c r="I13" s="0" t="n">
        <f aca="false">I11+I12</f>
        <v>831.690666775843</v>
      </c>
      <c r="J13" s="0" t="n">
        <f aca="false">J11+J12</f>
        <v>848.32448011136</v>
      </c>
      <c r="K13" s="0" t="n">
        <f aca="false">K11+K12</f>
        <v>865.290969713587</v>
      </c>
      <c r="L13" s="0" t="n">
        <f aca="false">L11+L12</f>
        <v>882.596789107858</v>
      </c>
    </row>
    <row r="14" customFormat="false" ht="15" hidden="false" customHeight="false" outlineLevel="0" collapsed="false">
      <c r="A14" s="0" t="s">
        <v>103</v>
      </c>
      <c r="C14" s="4" t="n">
        <f aca="false">Assumptions!C19</f>
        <v>21</v>
      </c>
      <c r="D14" s="4" t="n">
        <f aca="false">Assumptions!D19</f>
        <v>21</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118</v>
      </c>
      <c r="C15" s="0" t="n">
        <f aca="false">C13-MAX(0,C13)*C14/100</f>
        <v>532.0701388789</v>
      </c>
      <c r="D15" s="0" t="n">
        <f aca="false">D13-MAX(0,D13)*D14/100</f>
        <v>482.109654651966</v>
      </c>
      <c r="E15" s="0" t="n">
        <f aca="false">E13-MAX(0,E13)*E14/100</f>
        <v>508.893524354853</v>
      </c>
      <c r="F15" s="0" t="n">
        <f aca="false">F13-MAX(0,F13)*F14/100</f>
        <v>513.982459598401</v>
      </c>
      <c r="G15" s="0" t="n">
        <f aca="false">G13-MAX(0,G13)*G14/100</f>
        <v>567.454669868902</v>
      </c>
      <c r="H15" s="0" t="n">
        <f aca="false">H13-MAX(0,H13)*H14/100</f>
        <v>644.152575247957</v>
      </c>
      <c r="I15" s="0" t="n">
        <f aca="false">I13-MAX(0,I13)*I14/100</f>
        <v>657.035626752916</v>
      </c>
      <c r="J15" s="0" t="n">
        <f aca="false">J13-MAX(0,J13)*J14/100</f>
        <v>670.176339287974</v>
      </c>
      <c r="K15" s="0" t="n">
        <f aca="false">K13-MAX(0,K13)*K14/100</f>
        <v>683.579866073734</v>
      </c>
      <c r="L15" s="0" t="n">
        <f aca="false">L13-MAX(0,L13)*L14/100</f>
        <v>697.251463395208</v>
      </c>
    </row>
    <row r="16" customFormat="false" ht="15" hidden="false" customHeight="false" outlineLevel="0" collapsed="false">
      <c r="A16" s="0" t="s">
        <v>119</v>
      </c>
      <c r="C16" s="0" t="n">
        <f aca="false">-C12</f>
        <v>741.99869185</v>
      </c>
      <c r="D16" s="0" t="n">
        <f aca="false">-D12</f>
        <v>791.084759157</v>
      </c>
      <c r="E16" s="0" t="n">
        <f aca="false">-E12</f>
        <v>813.6871808472</v>
      </c>
      <c r="F16" s="0" t="n">
        <f aca="false">-F12</f>
        <v>821.824052655672</v>
      </c>
      <c r="G16" s="0" t="n">
        <f aca="false">-G12</f>
        <v>834.151413445507</v>
      </c>
      <c r="H16" s="0" t="n">
        <f aca="false">-H12</f>
        <v>827.200151666795</v>
      </c>
      <c r="I16" s="0" t="n">
        <f aca="false">-I12</f>
        <v>843.74415470013</v>
      </c>
      <c r="J16" s="0" t="n">
        <f aca="false">-J12</f>
        <v>860.619037794133</v>
      </c>
      <c r="K16" s="0" t="n">
        <f aca="false">-K12</f>
        <v>877.831418550016</v>
      </c>
      <c r="L16" s="0" t="n">
        <f aca="false">-L12</f>
        <v>895.388046921016</v>
      </c>
    </row>
    <row r="17" customFormat="false" ht="15" hidden="false" customHeight="false" outlineLevel="0" collapsed="false">
      <c r="A17" s="0" t="s">
        <v>120</v>
      </c>
      <c r="C17" s="4" t="n">
        <f aca="false">-C6*Assumptions!C18/100</f>
        <v>-1255.6900939</v>
      </c>
      <c r="D17" s="4" t="n">
        <f aca="false">-D6*Assumptions!D18/100</f>
        <v>-1017.108976059</v>
      </c>
      <c r="E17" s="4" t="n">
        <f aca="false">-E6*Assumptions!E18/100</f>
        <v>-904.096867608</v>
      </c>
      <c r="F17" s="4" t="n">
        <f aca="false">-F6*Assumptions!F18/100</f>
        <v>-856.066721516325</v>
      </c>
      <c r="G17" s="4" t="n">
        <f aca="false">-G6*Assumptions!G18/100</f>
        <v>-868.90772233907</v>
      </c>
      <c r="H17" s="4" t="n">
        <f aca="false">-H6*Assumptions!H18/100</f>
        <v>-827.200151666795</v>
      </c>
      <c r="I17" s="4" t="n">
        <f aca="false">-I6*Assumptions!I18/100</f>
        <v>-843.74415470013</v>
      </c>
      <c r="J17" s="4" t="n">
        <f aca="false">-J6*Assumptions!J18/100</f>
        <v>-860.619037794133</v>
      </c>
      <c r="K17" s="4" t="n">
        <f aca="false">-K6*Assumptions!K18/100</f>
        <v>-877.831418550016</v>
      </c>
      <c r="L17" s="4" t="n">
        <f aca="false">-L6*Assumptions!L18/100</f>
        <v>-895.388046921016</v>
      </c>
    </row>
    <row r="18" customFormat="false" ht="15" hidden="false" customHeight="false" outlineLevel="0" collapsed="false">
      <c r="A18" s="0" t="s">
        <v>121</v>
      </c>
      <c r="C18" s="4" t="n">
        <f aca="false">(C6-B6)*Assumptions!$B$23/100</f>
        <v>35.305251</v>
      </c>
      <c r="D18" s="4" t="n">
        <f aca="false">(D6-C6)*Assumptions!$B$23/100</f>
        <v>11.41536449</v>
      </c>
      <c r="E18" s="4" t="n">
        <f aca="false">(E6-D6)*Assumptions!$B$23/100</f>
        <v>-0</v>
      </c>
      <c r="F18" s="4" t="n">
        <f aca="false">(F6-E6)*Assumptions!$B$23/100</f>
        <v>-11.3012108450999</v>
      </c>
      <c r="G18" s="4" t="n">
        <f aca="false">(G6-F6)*Assumptions!$B$23/100</f>
        <v>-17.1213344303264</v>
      </c>
      <c r="H18" s="4" t="n">
        <f aca="false">(H6-G6)*Assumptions!$B$23/100</f>
        <v>-23.1708725957085</v>
      </c>
      <c r="I18" s="4" t="n">
        <f aca="false">(I6-H6)*Assumptions!$B$23/100</f>
        <v>-23.6342900476227</v>
      </c>
      <c r="J18" s="4" t="n">
        <f aca="false">(J6-I6)*Assumptions!$B$23/100</f>
        <v>-24.1069758485752</v>
      </c>
      <c r="K18" s="4" t="n">
        <f aca="false">(K6-J6)*Assumptions!$B$23/100</f>
        <v>-24.5891153655466</v>
      </c>
      <c r="L18" s="4" t="n">
        <f aca="false">(L6-K6)*Assumptions!$B$23/100</f>
        <v>-25.0808976728576</v>
      </c>
    </row>
    <row r="19" customFormat="false" ht="15" hidden="false" customHeight="false" outlineLevel="0" collapsed="false">
      <c r="A19" s="0" t="s">
        <v>122</v>
      </c>
      <c r="C19" s="0" t="n">
        <f aca="false">C15+C16+C17+C18</f>
        <v>53.6839878289001</v>
      </c>
      <c r="D19" s="0" t="n">
        <f aca="false">D15+D16+D17+D18</f>
        <v>267.500802239966</v>
      </c>
      <c r="E19" s="0" t="n">
        <f aca="false">E15+E16+E17+E18</f>
        <v>418.483837594053</v>
      </c>
      <c r="F19" s="0" t="n">
        <f aca="false">F15+F16+F17+F18</f>
        <v>468.438579892649</v>
      </c>
      <c r="G19" s="0" t="n">
        <f aca="false">G15+G16+G17+G18</f>
        <v>515.577026545013</v>
      </c>
      <c r="H19" s="0" t="n">
        <f aca="false">H15+H16+H17+H18</f>
        <v>620.981702652248</v>
      </c>
      <c r="I19" s="0" t="n">
        <f aca="false">I15+I16+I17+I18</f>
        <v>633.401336705293</v>
      </c>
      <c r="J19" s="0" t="n">
        <f aca="false">J15+J16+J17+J18</f>
        <v>646.069363439399</v>
      </c>
      <c r="K19" s="0" t="n">
        <f aca="false">K15+K16+K17+K18</f>
        <v>658.990750708187</v>
      </c>
      <c r="L19" s="0" t="n">
        <f aca="false">L15+L16+L17+L18</f>
        <v>672.170565722351</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49.0264729031051</v>
      </c>
      <c r="D21" s="0" t="n">
        <f aca="false">D19*D20</f>
        <v>223.098602814759</v>
      </c>
      <c r="E21" s="0" t="n">
        <f aca="false">E19*E20</f>
        <v>318.739826637341</v>
      </c>
      <c r="F21" s="0" t="n">
        <f aca="false">F19*F20</f>
        <v>325.833834249308</v>
      </c>
      <c r="G21" s="0" t="n">
        <f aca="false">G19*G20</f>
        <v>327.508790845153</v>
      </c>
      <c r="H21" s="0" t="n">
        <f aca="false">H19*H20</f>
        <v>360.2417873594</v>
      </c>
      <c r="I21" s="0" t="n">
        <f aca="false">I19*I20</f>
        <v>335.567692334783</v>
      </c>
      <c r="J21" s="0" t="n">
        <f aca="false">J19*J20</f>
        <v>312.583603818702</v>
      </c>
      <c r="K21" s="0" t="n">
        <f aca="false">K19*K20</f>
        <v>291.173767940709</v>
      </c>
      <c r="L21" s="0" t="n">
        <f aca="false">L19*L20</f>
        <v>271.230359177647</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9.5</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10</v>
      </c>
    </row>
    <row r="30" customFormat="false" ht="15" hidden="false" customHeight="false" outlineLevel="0" collapsed="false">
      <c r="A30" s="0" t="s">
        <v>127</v>
      </c>
      <c r="B30" s="0" t="n">
        <f aca="false">SUM(C21:L21)</f>
        <v>2815.00473808091</v>
      </c>
    </row>
    <row r="31" customFormat="false" ht="15" hidden="false" customHeight="false" outlineLevel="0" collapsed="false">
      <c r="A31" s="0" t="s">
        <v>128</v>
      </c>
      <c r="B31" s="0" t="n">
        <f aca="false">L19</f>
        <v>672.170565722351</v>
      </c>
    </row>
    <row r="32" customFormat="false" ht="15" hidden="false" customHeight="false" outlineLevel="0" collapsed="false">
      <c r="A32" s="0" t="s">
        <v>129</v>
      </c>
      <c r="B32" s="0" t="n">
        <f aca="false">IF(B27&gt;B28,B31*(1+B28/100)/((B27-B28)/100),B31*B29)</f>
        <v>9141.51969382397</v>
      </c>
    </row>
    <row r="33" customFormat="false" ht="15" hidden="false" customHeight="false" outlineLevel="0" collapsed="false">
      <c r="A33" s="0" t="s">
        <v>130</v>
      </c>
      <c r="B33" s="0" t="n">
        <f aca="false">B31*B29</f>
        <v>6721.70565722351</v>
      </c>
    </row>
    <row r="34" customFormat="false" ht="15" hidden="false" customHeight="false" outlineLevel="0" collapsed="false">
      <c r="A34" s="0" t="s">
        <v>131</v>
      </c>
      <c r="B34" s="0" t="n">
        <f aca="false">MAX(0,MIN(B32,B33))</f>
        <v>6721.70565722351</v>
      </c>
    </row>
    <row r="35" customFormat="false" ht="15" hidden="false" customHeight="false" outlineLevel="0" collapsed="false">
      <c r="A35" s="0" t="s">
        <v>132</v>
      </c>
      <c r="B35" s="0" t="n">
        <f aca="false">B34/(1+B27/100)^L4</f>
        <v>2712.30359177647</v>
      </c>
    </row>
    <row r="36" customFormat="false" ht="15" hidden="false" customHeight="false" outlineLevel="0" collapsed="false">
      <c r="A36" s="0" t="s">
        <v>133</v>
      </c>
      <c r="B36" s="0" t="n">
        <f aca="false">B30+B35</f>
        <v>5527.30832985737</v>
      </c>
    </row>
    <row r="37" customFormat="false" ht="15" hidden="false" customHeight="false" outlineLevel="0" collapsed="false">
      <c r="A37" s="0" t="s">
        <v>134</v>
      </c>
      <c r="B37" s="0" t="n">
        <f aca="false">B36+Assumptions!$B$5-Assumptions!$B$4</f>
        <v>10656.5363298574</v>
      </c>
    </row>
    <row r="38" customFormat="false" ht="15" hidden="false" customHeight="false" outlineLevel="0" collapsed="false">
      <c r="A38" s="0" t="s">
        <v>135</v>
      </c>
      <c r="B38" s="0" t="n">
        <f aca="false">B37/Assumptions!$B$3*Assumptions!$B$10</f>
        <v>6.34757853221531</v>
      </c>
    </row>
    <row r="39" customFormat="false" ht="15" hidden="false" customHeight="false" outlineLevel="0" collapsed="false">
      <c r="A39" s="0" t="s">
        <v>136</v>
      </c>
      <c r="B39" s="4" t="n">
        <f aca="false">B38/Assumptions!$B$2-1</f>
        <v>-0.0746970069656989</v>
      </c>
    </row>
    <row r="41" customFormat="false" ht="15" hidden="false" customHeight="false" outlineLevel="0" collapsed="false">
      <c r="A41" s="0" t="s">
        <v>137</v>
      </c>
      <c r="B41" s="0" t="n">
        <f aca="false">SUMPRODUCT(-C10:L10/(1+$B$27/100)^C4:L4)</f>
        <v>73.6486896063058</v>
      </c>
    </row>
    <row r="42" customFormat="false" ht="15" hidden="false" customHeight="false" outlineLevel="0" collapsed="false">
      <c r="A42" s="0" t="s">
        <v>138</v>
      </c>
      <c r="B42" s="0" t="n">
        <f aca="false">IF(B27&gt;B28,-L10*(1+B28/100)/((B27-B28)/100),-L10*20)/(1+B27/100)^L4</f>
        <v>70.1957743163704</v>
      </c>
    </row>
    <row r="43" customFormat="false" ht="15" hidden="false" customHeight="false" outlineLevel="0" collapsed="false">
      <c r="A43" s="0" t="s">
        <v>139</v>
      </c>
      <c r="B43" s="0" t="n">
        <f aca="false">(B37+B41+B42)/Assumptions!$B$3*Assumptions!$B$10</f>
        <v>6.43325965813756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5273.95366951383</v>
      </c>
    </row>
    <row r="47" customFormat="false" ht="15" hidden="false" customHeight="false" outlineLevel="0" collapsed="false">
      <c r="A47" s="0" t="s">
        <v>141</v>
      </c>
      <c r="B47" s="0" t="n">
        <f aca="false">(SUMPRODUCT(C19:L19/(1+B45/100)^C4:L4)+B46/(1+B45/100)^L4+Assumptions!$B$5-Assumptions!$B$4)/Assumptions!$B$3*Assumptions!$B$10</f>
        <v>5.09425193584072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2.5</v>
      </c>
      <c r="D5" s="4" t="n">
        <f aca="false">Assumptions!D27</f>
        <v>4</v>
      </c>
      <c r="E5" s="4" t="n">
        <f aca="false">Assumptions!E27</f>
        <v>5</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38</v>
      </c>
      <c r="B6" s="3" t="n">
        <v>11768.417</v>
      </c>
      <c r="C6" s="0" t="n">
        <f aca="false">B6*(1+C5/100)</f>
        <v>12062.627425</v>
      </c>
      <c r="D6" s="0" t="n">
        <f aca="false">C6*(1+D5/100)</f>
        <v>12545.132522</v>
      </c>
      <c r="E6" s="0" t="n">
        <f aca="false">D6*(1+E5/100)</f>
        <v>13172.3891481</v>
      </c>
      <c r="F6" s="0" t="n">
        <f aca="false">E6*(1+F5/100)</f>
        <v>13831.008605505</v>
      </c>
      <c r="G6" s="0" t="n">
        <f aca="false">F6*(1+G5/100)</f>
        <v>14453.4039927527</v>
      </c>
      <c r="H6" s="0" t="n">
        <f aca="false">G6*(1+H5/100)</f>
        <v>15031.5401524628</v>
      </c>
      <c r="I6" s="0" t="n">
        <f aca="false">H6*(1+I5/100)</f>
        <v>15557.644057799</v>
      </c>
      <c r="J6" s="0" t="n">
        <f aca="false">I6*(1+J5/100)</f>
        <v>16024.373379533</v>
      </c>
      <c r="K6" s="0" t="n">
        <f aca="false">J6*(1+K5/100)</f>
        <v>16505.104580919</v>
      </c>
      <c r="L6" s="0" t="n">
        <f aca="false">K6*(1+L5/100)</f>
        <v>16917.732195442</v>
      </c>
    </row>
    <row r="7" customFormat="false" ht="15" hidden="false" customHeight="false" outlineLevel="0" collapsed="false">
      <c r="A7" s="0" t="s">
        <v>98</v>
      </c>
      <c r="C7" s="4" t="n">
        <f aca="false">Assumptions!C28</f>
        <v>14.5</v>
      </c>
      <c r="D7" s="4" t="n">
        <f aca="false">Assumptions!D28</f>
        <v>16</v>
      </c>
      <c r="E7" s="4" t="n">
        <f aca="false">Assumptions!E28</f>
        <v>17.5</v>
      </c>
      <c r="F7" s="4" t="n">
        <f aca="false">Assumptions!F28</f>
        <v>18.5</v>
      </c>
      <c r="G7" s="4" t="n">
        <f aca="false">Assumptions!G28</f>
        <v>19</v>
      </c>
      <c r="H7" s="4" t="n">
        <f aca="false">Assumptions!H28</f>
        <v>19</v>
      </c>
      <c r="I7" s="4" t="n">
        <f aca="false">Assumptions!I28</f>
        <v>19</v>
      </c>
      <c r="J7" s="4" t="n">
        <f aca="false">Assumptions!J28</f>
        <v>19</v>
      </c>
      <c r="K7" s="4" t="n">
        <f aca="false">Assumptions!K28</f>
        <v>19</v>
      </c>
      <c r="L7" s="4" t="n">
        <f aca="false">Assumptions!L28</f>
        <v>19</v>
      </c>
    </row>
    <row r="8" customFormat="false" ht="15" hidden="false" customHeight="false" outlineLevel="0" collapsed="false">
      <c r="A8" s="0" t="s">
        <v>44</v>
      </c>
      <c r="C8" s="0" t="n">
        <f aca="false">C6*C7/100</f>
        <v>1749.080976625</v>
      </c>
      <c r="D8" s="0" t="n">
        <f aca="false">D6*D7/100</f>
        <v>2007.22120352</v>
      </c>
      <c r="E8" s="0" t="n">
        <f aca="false">E6*E7/100</f>
        <v>2305.1681009175</v>
      </c>
      <c r="F8" s="0" t="n">
        <f aca="false">F6*F7/100</f>
        <v>2558.73659201843</v>
      </c>
      <c r="G8" s="0" t="n">
        <f aca="false">G6*G7/100</f>
        <v>2746.14675862302</v>
      </c>
      <c r="H8" s="0" t="n">
        <f aca="false">H6*H7/100</f>
        <v>2855.99262896794</v>
      </c>
      <c r="I8" s="0" t="n">
        <f aca="false">I6*I7/100</f>
        <v>2955.95237098182</v>
      </c>
      <c r="J8" s="0" t="n">
        <f aca="false">J6*J7/100</f>
        <v>3044.63094211127</v>
      </c>
      <c r="K8" s="0" t="n">
        <f aca="false">K6*K7/100</f>
        <v>3135.96987037461</v>
      </c>
      <c r="L8" s="0" t="n">
        <f aca="false">L6*L7/100</f>
        <v>3214.36911713397</v>
      </c>
    </row>
    <row r="9" customFormat="false" ht="15" hidden="false" customHeight="false" outlineLevel="0" collapsed="false">
      <c r="A9" s="0" t="s">
        <v>99</v>
      </c>
      <c r="C9" s="4" t="n">
        <f aca="false">Assumptions!C29</f>
        <v>0.1</v>
      </c>
      <c r="D9" s="4" t="n">
        <f aca="false">Assumptions!D29</f>
        <v>0.1</v>
      </c>
      <c r="E9" s="4" t="n">
        <f aca="false">Assumptions!E29</f>
        <v>0.1</v>
      </c>
      <c r="F9" s="4" t="n">
        <f aca="false">Assumptions!F29</f>
        <v>0.1</v>
      </c>
      <c r="G9" s="4" t="n">
        <f aca="false">Assumptions!G29</f>
        <v>0.1</v>
      </c>
      <c r="H9" s="4" t="n">
        <f aca="false">Assumptions!H29</f>
        <v>0.1</v>
      </c>
      <c r="I9" s="4" t="n">
        <f aca="false">Assumptions!I29</f>
        <v>0.1</v>
      </c>
      <c r="J9" s="4" t="n">
        <f aca="false">Assumptions!J29</f>
        <v>0.1</v>
      </c>
      <c r="K9" s="4" t="n">
        <f aca="false">Assumptions!K29</f>
        <v>0.1</v>
      </c>
      <c r="L9" s="4" t="n">
        <f aca="false">Assumptions!L29</f>
        <v>0.1</v>
      </c>
    </row>
    <row r="10" customFormat="false" ht="15" hidden="false" customHeight="false" outlineLevel="0" collapsed="false">
      <c r="A10" s="0" t="s">
        <v>114</v>
      </c>
      <c r="C10" s="0" t="n">
        <f aca="false">-C6*C9/100</f>
        <v>-12.062627425</v>
      </c>
      <c r="D10" s="0" t="n">
        <f aca="false">-D6*D9/100</f>
        <v>-12.545132522</v>
      </c>
      <c r="E10" s="0" t="n">
        <f aca="false">-E6*E9/100</f>
        <v>-13.1723891481</v>
      </c>
      <c r="F10" s="0" t="n">
        <f aca="false">-F6*F9/100</f>
        <v>-13.831008605505</v>
      </c>
      <c r="G10" s="0" t="n">
        <f aca="false">-G6*G9/100</f>
        <v>-14.4534039927527</v>
      </c>
      <c r="H10" s="0" t="n">
        <f aca="false">-H6*H9/100</f>
        <v>-15.0315401524628</v>
      </c>
      <c r="I10" s="0" t="n">
        <f aca="false">-I6*I9/100</f>
        <v>-15.557644057799</v>
      </c>
      <c r="J10" s="0" t="n">
        <f aca="false">-J6*J9/100</f>
        <v>-16.024373379533</v>
      </c>
      <c r="K10" s="0" t="n">
        <f aca="false">-K6*K9/100</f>
        <v>-16.505104580919</v>
      </c>
      <c r="L10" s="0" t="n">
        <f aca="false">-L6*L9/100</f>
        <v>-16.917732195442</v>
      </c>
    </row>
    <row r="11" customFormat="false" ht="15" hidden="false" customHeight="false" outlineLevel="0" collapsed="false">
      <c r="A11" s="0" t="s">
        <v>115</v>
      </c>
      <c r="C11" s="0" t="n">
        <f aca="false">C8+C10+C24</f>
        <v>1737.0183492</v>
      </c>
      <c r="D11" s="0" t="n">
        <f aca="false">D8+D10+D24</f>
        <v>1994.676070998</v>
      </c>
      <c r="E11" s="0" t="n">
        <f aca="false">E8+E10+E24</f>
        <v>2291.9957117694</v>
      </c>
      <c r="F11" s="0" t="n">
        <f aca="false">F8+F10+F24</f>
        <v>2544.90558341292</v>
      </c>
      <c r="G11" s="0" t="n">
        <f aca="false">G8+G10+G24</f>
        <v>2731.69335463027</v>
      </c>
      <c r="H11" s="0" t="n">
        <f aca="false">H8+H10+H24</f>
        <v>2840.96108881548</v>
      </c>
      <c r="I11" s="0" t="n">
        <f aca="false">I8+I10+I24</f>
        <v>2940.39472692402</v>
      </c>
      <c r="J11" s="0" t="n">
        <f aca="false">J8+J10+J24</f>
        <v>3028.60656873174</v>
      </c>
      <c r="K11" s="0" t="n">
        <f aca="false">K8+K10+K24</f>
        <v>3119.46476579369</v>
      </c>
      <c r="L11" s="0" t="n">
        <f aca="false">L8+L10+L24</f>
        <v>3197.45138493853</v>
      </c>
    </row>
    <row r="12" customFormat="false" ht="15" hidden="false" customHeight="false" outlineLevel="0" collapsed="false">
      <c r="A12" s="0" t="s">
        <v>116</v>
      </c>
      <c r="C12" s="4" t="n">
        <f aca="false">-C6*Assumptions!C31/100</f>
        <v>-784.070782625</v>
      </c>
      <c r="D12" s="4" t="n">
        <f aca="false">-D6*Assumptions!D31/100</f>
        <v>-853.069011496</v>
      </c>
      <c r="E12" s="4" t="n">
        <f aca="false">-E6*Assumptions!E31/100</f>
        <v>-922.067240367</v>
      </c>
      <c r="F12" s="4" t="n">
        <f aca="false">-F6*Assumptions!F31/100</f>
        <v>-968.17060238535</v>
      </c>
      <c r="G12" s="4" t="n">
        <f aca="false">-G6*Assumptions!G31/100</f>
        <v>-1011.73827949269</v>
      </c>
      <c r="H12" s="4" t="n">
        <f aca="false">-H6*Assumptions!H31/100</f>
        <v>-1052.2078106724</v>
      </c>
      <c r="I12" s="4" t="n">
        <f aca="false">-I6*Assumptions!I31/100</f>
        <v>-1089.03508404593</v>
      </c>
      <c r="J12" s="4" t="n">
        <f aca="false">-J6*Assumptions!J31/100</f>
        <v>-1121.70613656731</v>
      </c>
      <c r="K12" s="4" t="n">
        <f aca="false">-K6*Assumptions!K31/100</f>
        <v>-1155.35732066433</v>
      </c>
      <c r="L12" s="4" t="n">
        <f aca="false">-L6*Assumptions!L31/100</f>
        <v>-1184.24125368094</v>
      </c>
    </row>
    <row r="13" customFormat="false" ht="15" hidden="false" customHeight="false" outlineLevel="0" collapsed="false">
      <c r="A13" s="0" t="s">
        <v>117</v>
      </c>
      <c r="C13" s="0" t="n">
        <f aca="false">C11+C12</f>
        <v>952.947566575</v>
      </c>
      <c r="D13" s="0" t="n">
        <f aca="false">D11+D12</f>
        <v>1141.607059502</v>
      </c>
      <c r="E13" s="0" t="n">
        <f aca="false">E11+E12</f>
        <v>1369.9284714024</v>
      </c>
      <c r="F13" s="0" t="n">
        <f aca="false">F11+F12</f>
        <v>1576.73498102757</v>
      </c>
      <c r="G13" s="0" t="n">
        <f aca="false">G11+G12</f>
        <v>1719.95507513757</v>
      </c>
      <c r="H13" s="0" t="n">
        <f aca="false">H11+H12</f>
        <v>1788.75327814308</v>
      </c>
      <c r="I13" s="0" t="n">
        <f aca="false">I11+I12</f>
        <v>1851.35964287809</v>
      </c>
      <c r="J13" s="0" t="n">
        <f aca="false">J11+J12</f>
        <v>1906.90043216443</v>
      </c>
      <c r="K13" s="0" t="n">
        <f aca="false">K11+K12</f>
        <v>1964.10744512936</v>
      </c>
      <c r="L13" s="0" t="n">
        <f aca="false">L11+L12</f>
        <v>2013.21013125759</v>
      </c>
    </row>
    <row r="14" customFormat="false" ht="15" hidden="false" customHeight="false" outlineLevel="0" collapsed="false">
      <c r="A14" s="0" t="s">
        <v>103</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118</v>
      </c>
      <c r="C15" s="0" t="n">
        <f aca="false">C13-MAX(0,C13)*C14/100</f>
        <v>752.82857759425</v>
      </c>
      <c r="D15" s="0" t="n">
        <f aca="false">D13-MAX(0,D13)*D14/100</f>
        <v>901.86957700658</v>
      </c>
      <c r="E15" s="0" t="n">
        <f aca="false">E13-MAX(0,E13)*E14/100</f>
        <v>1082.2434924079</v>
      </c>
      <c r="F15" s="0" t="n">
        <f aca="false">F13-MAX(0,F13)*F14/100</f>
        <v>1245.62063501178</v>
      </c>
      <c r="G15" s="0" t="n">
        <f aca="false">G13-MAX(0,G13)*G14/100</f>
        <v>1358.76450935868</v>
      </c>
      <c r="H15" s="0" t="n">
        <f aca="false">H13-MAX(0,H13)*H14/100</f>
        <v>1413.11508973303</v>
      </c>
      <c r="I15" s="0" t="n">
        <f aca="false">I13-MAX(0,I13)*I14/100</f>
        <v>1462.57411787369</v>
      </c>
      <c r="J15" s="0" t="n">
        <f aca="false">J13-MAX(0,J13)*J14/100</f>
        <v>1506.4513414099</v>
      </c>
      <c r="K15" s="0" t="n">
        <f aca="false">K13-MAX(0,K13)*K14/100</f>
        <v>1551.64488165219</v>
      </c>
      <c r="L15" s="0" t="n">
        <f aca="false">L13-MAX(0,L13)*L14/100</f>
        <v>1590.4360036935</v>
      </c>
    </row>
    <row r="16" customFormat="false" ht="15" hidden="false" customHeight="false" outlineLevel="0" collapsed="false">
      <c r="A16" s="0" t="s">
        <v>119</v>
      </c>
      <c r="C16" s="0" t="n">
        <f aca="false">-C12</f>
        <v>784.070782625</v>
      </c>
      <c r="D16" s="0" t="n">
        <f aca="false">-D12</f>
        <v>853.069011496</v>
      </c>
      <c r="E16" s="0" t="n">
        <f aca="false">-E12</f>
        <v>922.067240367</v>
      </c>
      <c r="F16" s="0" t="n">
        <f aca="false">-F12</f>
        <v>968.17060238535</v>
      </c>
      <c r="G16" s="0" t="n">
        <f aca="false">-G12</f>
        <v>1011.73827949269</v>
      </c>
      <c r="H16" s="0" t="n">
        <f aca="false">-H12</f>
        <v>1052.2078106724</v>
      </c>
      <c r="I16" s="0" t="n">
        <f aca="false">-I12</f>
        <v>1089.03508404593</v>
      </c>
      <c r="J16" s="0" t="n">
        <f aca="false">-J12</f>
        <v>1121.70613656731</v>
      </c>
      <c r="K16" s="0" t="n">
        <f aca="false">-K12</f>
        <v>1155.35732066433</v>
      </c>
      <c r="L16" s="0" t="n">
        <f aca="false">-L12</f>
        <v>1184.24125368094</v>
      </c>
    </row>
    <row r="17" customFormat="false" ht="15" hidden="false" customHeight="false" outlineLevel="0" collapsed="false">
      <c r="A17" s="0" t="s">
        <v>120</v>
      </c>
      <c r="C17" s="4" t="n">
        <f aca="false">-C6*Assumptions!C32/100</f>
        <v>-1266.575879625</v>
      </c>
      <c r="D17" s="4" t="n">
        <f aca="false">-D6*Assumptions!D32/100</f>
        <v>-1066.33626437</v>
      </c>
      <c r="E17" s="4" t="n">
        <f aca="false">-E6*Assumptions!E32/100</f>
        <v>-987.9291861075</v>
      </c>
      <c r="F17" s="4" t="n">
        <f aca="false">-F6*Assumptions!F32/100</f>
        <v>-968.17060238535</v>
      </c>
      <c r="G17" s="4" t="n">
        <f aca="false">-G6*Assumptions!G32/100</f>
        <v>-1011.73827949269</v>
      </c>
      <c r="H17" s="4" t="n">
        <f aca="false">-H6*Assumptions!H32/100</f>
        <v>-1052.2078106724</v>
      </c>
      <c r="I17" s="4" t="n">
        <f aca="false">-I6*Assumptions!I32/100</f>
        <v>-1057.91979593033</v>
      </c>
      <c r="J17" s="4" t="n">
        <f aca="false">-J6*Assumptions!J32/100</f>
        <v>-1089.65738980824</v>
      </c>
      <c r="K17" s="4" t="n">
        <f aca="false">-K6*Assumptions!K32/100</f>
        <v>-1122.34711150249</v>
      </c>
      <c r="L17" s="4" t="n">
        <f aca="false">-L6*Assumptions!L32/100</f>
        <v>-1150.40578929005</v>
      </c>
    </row>
    <row r="18" customFormat="false" ht="15" hidden="false" customHeight="false" outlineLevel="0" collapsed="false">
      <c r="A18" s="0" t="s">
        <v>121</v>
      </c>
      <c r="C18" s="4" t="n">
        <f aca="false">(C6-B6)*Assumptions!$B$37/100</f>
        <v>-14.71052125</v>
      </c>
      <c r="D18" s="4" t="n">
        <f aca="false">(D6-C6)*Assumptions!$B$37/100</f>
        <v>-24.1252548500001</v>
      </c>
      <c r="E18" s="4" t="n">
        <f aca="false">(E6-D6)*Assumptions!$B$37/100</f>
        <v>-31.3628313050001</v>
      </c>
      <c r="F18" s="4" t="n">
        <f aca="false">(F6-E6)*Assumptions!$B$37/100</f>
        <v>-32.93097287025</v>
      </c>
      <c r="G18" s="4" t="n">
        <f aca="false">(G6-F6)*Assumptions!$B$37/100</f>
        <v>-31.1197693623862</v>
      </c>
      <c r="H18" s="4" t="n">
        <f aca="false">(H6-G6)*Assumptions!$B$37/100</f>
        <v>-28.9068079855055</v>
      </c>
      <c r="I18" s="4" t="n">
        <f aca="false">(I6-H6)*Assumptions!$B$37/100</f>
        <v>-26.3051952668099</v>
      </c>
      <c r="J18" s="4" t="n">
        <f aca="false">(J6-I6)*Assumptions!$B$37/100</f>
        <v>-23.3364660866986</v>
      </c>
      <c r="K18" s="4" t="n">
        <f aca="false">(K6-J6)*Assumptions!$B$37/100</f>
        <v>-24.0365600692996</v>
      </c>
      <c r="L18" s="4" t="n">
        <f aca="false">(L6-K6)*Assumptions!$B$37/100</f>
        <v>-20.6313807261487</v>
      </c>
    </row>
    <row r="19" customFormat="false" ht="15" hidden="false" customHeight="false" outlineLevel="0" collapsed="false">
      <c r="A19" s="0" t="s">
        <v>122</v>
      </c>
      <c r="C19" s="0" t="n">
        <f aca="false">C15+C16+C17+C18</f>
        <v>255.61295934425</v>
      </c>
      <c r="D19" s="0" t="n">
        <f aca="false">D15+D16+D17+D18</f>
        <v>664.47706928258</v>
      </c>
      <c r="E19" s="0" t="n">
        <f aca="false">E15+E16+E17+E18</f>
        <v>985.018715362396</v>
      </c>
      <c r="F19" s="0" t="n">
        <f aca="false">F15+F16+F17+F18</f>
        <v>1212.68966214153</v>
      </c>
      <c r="G19" s="0" t="n">
        <f aca="false">G15+G16+G17+G18</f>
        <v>1327.6447399963</v>
      </c>
      <c r="H19" s="0" t="n">
        <f aca="false">H15+H16+H17+H18</f>
        <v>1384.20828174753</v>
      </c>
      <c r="I19" s="0" t="n">
        <f aca="false">I15+I16+I17+I18</f>
        <v>1467.38421072248</v>
      </c>
      <c r="J19" s="0" t="n">
        <f aca="false">J15+J16+J17+J18</f>
        <v>1515.16362208227</v>
      </c>
      <c r="K19" s="0" t="n">
        <f aca="false">K15+K16+K17+K18</f>
        <v>1560.61853074473</v>
      </c>
      <c r="L19" s="0" t="n">
        <f aca="false">L15+L16+L17+L18</f>
        <v>1603.64008735823</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233.436492551827</v>
      </c>
      <c r="D21" s="0" t="n">
        <f aca="false">D19*D20</f>
        <v>554.181163263969</v>
      </c>
      <c r="E21" s="0" t="n">
        <f aca="false">E19*E20</f>
        <v>750.243298221964</v>
      </c>
      <c r="F21" s="0" t="n">
        <f aca="false">F19*F20</f>
        <v>843.515754959007</v>
      </c>
      <c r="G21" s="0" t="n">
        <f aca="false">G19*G20</f>
        <v>843.356668511592</v>
      </c>
      <c r="H21" s="0" t="n">
        <f aca="false">H19*H20</f>
        <v>803.002187286117</v>
      </c>
      <c r="I21" s="0" t="n">
        <f aca="false">I19*I20</f>
        <v>777.400843392511</v>
      </c>
      <c r="J21" s="0" t="n">
        <f aca="false">J19*J20</f>
        <v>733.071914823737</v>
      </c>
      <c r="K21" s="0" t="n">
        <f aca="false">K19*K20</f>
        <v>689.556230382145</v>
      </c>
      <c r="L21" s="0" t="n">
        <f aca="false">L19*L20</f>
        <v>647.09152567313</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9.5</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13</v>
      </c>
    </row>
    <row r="30" customFormat="false" ht="15" hidden="false" customHeight="false" outlineLevel="0" collapsed="false">
      <c r="A30" s="0" t="s">
        <v>127</v>
      </c>
      <c r="B30" s="0" t="n">
        <f aca="false">SUM(C21:L21)</f>
        <v>6874.856079066</v>
      </c>
    </row>
    <row r="31" customFormat="false" ht="15" hidden="false" customHeight="false" outlineLevel="0" collapsed="false">
      <c r="A31" s="0" t="s">
        <v>128</v>
      </c>
      <c r="B31" s="0" t="n">
        <f aca="false">L19</f>
        <v>1603.64008735823</v>
      </c>
    </row>
    <row r="32" customFormat="false" ht="15" hidden="false" customHeight="false" outlineLevel="0" collapsed="false">
      <c r="A32" s="0" t="s">
        <v>129</v>
      </c>
      <c r="B32" s="0" t="n">
        <f aca="false">IF(B27&gt;B28,B31*(1+B28/100)/((B27-B28)/100),B31*B29)</f>
        <v>23481.8727077456</v>
      </c>
    </row>
    <row r="33" customFormat="false" ht="15" hidden="false" customHeight="false" outlineLevel="0" collapsed="false">
      <c r="A33" s="0" t="s">
        <v>130</v>
      </c>
      <c r="B33" s="0" t="n">
        <f aca="false">B31*B29</f>
        <v>20847.3211356571</v>
      </c>
    </row>
    <row r="34" customFormat="false" ht="15" hidden="false" customHeight="false" outlineLevel="0" collapsed="false">
      <c r="A34" s="0" t="s">
        <v>131</v>
      </c>
      <c r="B34" s="0" t="n">
        <f aca="false">MAX(0,MIN(B32,B33))</f>
        <v>20847.3211356571</v>
      </c>
    </row>
    <row r="35" customFormat="false" ht="15" hidden="false" customHeight="false" outlineLevel="0" collapsed="false">
      <c r="A35" s="0" t="s">
        <v>132</v>
      </c>
      <c r="B35" s="0" t="n">
        <f aca="false">B34/(1+B27/100)^L4</f>
        <v>8412.18983375069</v>
      </c>
    </row>
    <row r="36" customFormat="false" ht="15" hidden="false" customHeight="false" outlineLevel="0" collapsed="false">
      <c r="A36" s="0" t="s">
        <v>133</v>
      </c>
      <c r="B36" s="0" t="n">
        <f aca="false">B30+B35</f>
        <v>15287.0459128167</v>
      </c>
    </row>
    <row r="37" customFormat="false" ht="15" hidden="false" customHeight="false" outlineLevel="0" collapsed="false">
      <c r="A37" s="0" t="s">
        <v>134</v>
      </c>
      <c r="B37" s="0" t="n">
        <f aca="false">B36+Assumptions!$B$5-Assumptions!$B$4</f>
        <v>20416.2739128167</v>
      </c>
    </row>
    <row r="38" customFormat="false" ht="15" hidden="false" customHeight="false" outlineLevel="0" collapsed="false">
      <c r="A38" s="0" t="s">
        <v>135</v>
      </c>
      <c r="B38" s="0" t="n">
        <f aca="false">B37/Assumptions!$B$3*Assumptions!$B$10</f>
        <v>12.1609778248236</v>
      </c>
    </row>
    <row r="39" customFormat="false" ht="15" hidden="false" customHeight="false" outlineLevel="0" collapsed="false">
      <c r="A39" s="0" t="s">
        <v>136</v>
      </c>
      <c r="B39" s="4" t="n">
        <f aca="false">B38/Assumptions!$B$2-1</f>
        <v>0.772737292248338</v>
      </c>
    </row>
    <row r="41" customFormat="false" ht="15" hidden="false" customHeight="false" outlineLevel="0" collapsed="false">
      <c r="A41" s="0" t="s">
        <v>137</v>
      </c>
      <c r="B41" s="0" t="n">
        <f aca="false">SUMPRODUCT(-C10:L10/(1+$B$27/100)^C4:L4)</f>
        <v>89.1479170806493</v>
      </c>
    </row>
    <row r="42" customFormat="false" ht="15" hidden="false" customHeight="false" outlineLevel="0" collapsed="false">
      <c r="A42" s="0" t="s">
        <v>138</v>
      </c>
      <c r="B42" s="0" t="n">
        <f aca="false">IF(B27&gt;B28,-L10*(1+B28/100)/((B27-B28)/100),-L10*20)/(1+B27/100)^L4</f>
        <v>99.9601224575353</v>
      </c>
    </row>
    <row r="43" customFormat="false" ht="15" hidden="false" customHeight="false" outlineLevel="0" collapsed="false">
      <c r="A43" s="0" t="s">
        <v>139</v>
      </c>
      <c r="B43" s="0" t="n">
        <f aca="false">(B37+B41+B42)/Assumptions!$B$3*Assumptions!$B$10</f>
        <v>12.2736202533657</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13149.8487163375</v>
      </c>
    </row>
    <row r="47" customFormat="false" ht="15" hidden="false" customHeight="false" outlineLevel="0" collapsed="false">
      <c r="A47" s="0" t="s">
        <v>141</v>
      </c>
      <c r="B47" s="0" t="n">
        <f aca="false">(SUMPRODUCT(C19:L19/(1+B45/100)^C4:L4)+B46/(1+B45/100)^L4+Assumptions!$B$5-Assumptions!$B$4)/Assumptions!$B$3*Assumptions!$B$10</f>
        <v>8.09542773597952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4</v>
      </c>
      <c r="D5" s="4" t="n">
        <f aca="false">Assumptions!D41</f>
        <v>7</v>
      </c>
      <c r="E5" s="4" t="n">
        <f aca="false">Assumptions!E41</f>
        <v>8</v>
      </c>
      <c r="F5" s="4" t="n">
        <f aca="false">Assumptions!F41</f>
        <v>8</v>
      </c>
      <c r="G5" s="4" t="n">
        <f aca="false">Assumptions!G41</f>
        <v>8</v>
      </c>
      <c r="H5" s="4" t="n">
        <f aca="false">Assumptions!H41</f>
        <v>7.5</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11768.417</v>
      </c>
      <c r="C6" s="0" t="n">
        <f aca="false">B6*(1+C5/100)</f>
        <v>12239.15368</v>
      </c>
      <c r="D6" s="0" t="n">
        <f aca="false">C6*(1+D5/100)</f>
        <v>13095.8944376</v>
      </c>
      <c r="E6" s="0" t="n">
        <f aca="false">D6*(1+E5/100)</f>
        <v>14143.565992608</v>
      </c>
      <c r="F6" s="0" t="n">
        <f aca="false">E6*(1+F5/100)</f>
        <v>15275.0512720166</v>
      </c>
      <c r="G6" s="0" t="n">
        <f aca="false">F6*(1+G5/100)</f>
        <v>16497.055373778</v>
      </c>
      <c r="H6" s="0" t="n">
        <f aca="false">G6*(1+H5/100)</f>
        <v>17734.3345268113</v>
      </c>
      <c r="I6" s="0" t="n">
        <f aca="false">H6*(1+I5/100)</f>
        <v>18975.7379436881</v>
      </c>
      <c r="J6" s="0" t="n">
        <f aca="false">I6*(1+J5/100)</f>
        <v>20114.2822203094</v>
      </c>
      <c r="K6" s="0" t="n">
        <f aca="false">J6*(1+K5/100)</f>
        <v>21119.9963313249</v>
      </c>
      <c r="L6" s="0" t="n">
        <f aca="false">K6*(1+L5/100)</f>
        <v>21964.7961845779</v>
      </c>
    </row>
    <row r="7" customFormat="false" ht="15" hidden="false" customHeight="false" outlineLevel="0" collapsed="false">
      <c r="A7" s="0" t="s">
        <v>98</v>
      </c>
      <c r="C7" s="4" t="n">
        <f aca="false">Assumptions!C42</f>
        <v>15.5</v>
      </c>
      <c r="D7" s="4" t="n">
        <f aca="false">Assumptions!D42</f>
        <v>18</v>
      </c>
      <c r="E7" s="4" t="n">
        <f aca="false">Assumptions!E42</f>
        <v>20</v>
      </c>
      <c r="F7" s="4" t="n">
        <f aca="false">Assumptions!F42</f>
        <v>22</v>
      </c>
      <c r="G7" s="4" t="n">
        <f aca="false">Assumptions!G42</f>
        <v>23</v>
      </c>
      <c r="H7" s="4" t="n">
        <f aca="false">Assumptions!H42</f>
        <v>23.5</v>
      </c>
      <c r="I7" s="4" t="n">
        <f aca="false">Assumptions!I42</f>
        <v>24</v>
      </c>
      <c r="J7" s="4" t="n">
        <f aca="false">Assumptions!J42</f>
        <v>24</v>
      </c>
      <c r="K7" s="4" t="n">
        <f aca="false">Assumptions!K42</f>
        <v>24</v>
      </c>
      <c r="L7" s="4" t="n">
        <f aca="false">Assumptions!L42</f>
        <v>24</v>
      </c>
    </row>
    <row r="8" customFormat="false" ht="15" hidden="false" customHeight="false" outlineLevel="0" collapsed="false">
      <c r="A8" s="0" t="s">
        <v>44</v>
      </c>
      <c r="C8" s="0" t="n">
        <f aca="false">C6*C7/100</f>
        <v>1897.0688204</v>
      </c>
      <c r="D8" s="0" t="n">
        <f aca="false">D6*D7/100</f>
        <v>2357.260998768</v>
      </c>
      <c r="E8" s="0" t="n">
        <f aca="false">E6*E7/100</f>
        <v>2828.7131985216</v>
      </c>
      <c r="F8" s="0" t="n">
        <f aca="false">F6*F7/100</f>
        <v>3360.51127984366</v>
      </c>
      <c r="G8" s="0" t="n">
        <f aca="false">G6*G7/100</f>
        <v>3794.32273596893</v>
      </c>
      <c r="H8" s="0" t="n">
        <f aca="false">H6*H7/100</f>
        <v>4167.56861380066</v>
      </c>
      <c r="I8" s="0" t="n">
        <f aca="false">I6*I7/100</f>
        <v>4554.17710648515</v>
      </c>
      <c r="J8" s="0" t="n">
        <f aca="false">J6*J7/100</f>
        <v>4827.42773287426</v>
      </c>
      <c r="K8" s="0" t="n">
        <f aca="false">K6*K7/100</f>
        <v>5068.79911951797</v>
      </c>
      <c r="L8" s="0" t="n">
        <f aca="false">L6*L7/100</f>
        <v>5271.55108429869</v>
      </c>
    </row>
    <row r="9" customFormat="false" ht="15" hidden="false" customHeight="false" outlineLevel="0" collapsed="false">
      <c r="A9" s="0" t="s">
        <v>99</v>
      </c>
      <c r="C9" s="4" t="n">
        <f aca="false">Assumptions!C43</f>
        <v>0.1</v>
      </c>
      <c r="D9" s="4" t="n">
        <f aca="false">Assumptions!D43</f>
        <v>0.1</v>
      </c>
      <c r="E9" s="4" t="n">
        <f aca="false">Assumptions!E43</f>
        <v>0.1</v>
      </c>
      <c r="F9" s="4" t="n">
        <f aca="false">Assumptions!F43</f>
        <v>0.1</v>
      </c>
      <c r="G9" s="4" t="n">
        <f aca="false">Assumptions!G43</f>
        <v>0.1</v>
      </c>
      <c r="H9" s="4" t="n">
        <f aca="false">Assumptions!H43</f>
        <v>0.1</v>
      </c>
      <c r="I9" s="4" t="n">
        <f aca="false">Assumptions!I43</f>
        <v>0.1</v>
      </c>
      <c r="J9" s="4" t="n">
        <f aca="false">Assumptions!J43</f>
        <v>0.1</v>
      </c>
      <c r="K9" s="4" t="n">
        <f aca="false">Assumptions!K43</f>
        <v>0.1</v>
      </c>
      <c r="L9" s="4" t="n">
        <f aca="false">Assumptions!L43</f>
        <v>0.1</v>
      </c>
    </row>
    <row r="10" customFormat="false" ht="15" hidden="false" customHeight="false" outlineLevel="0" collapsed="false">
      <c r="A10" s="0" t="s">
        <v>114</v>
      </c>
      <c r="C10" s="0" t="n">
        <f aca="false">-C6*C9/100</f>
        <v>-12.23915368</v>
      </c>
      <c r="D10" s="0" t="n">
        <f aca="false">-D6*D9/100</f>
        <v>-13.0958944376</v>
      </c>
      <c r="E10" s="0" t="n">
        <f aca="false">-E6*E9/100</f>
        <v>-14.143565992608</v>
      </c>
      <c r="F10" s="0" t="n">
        <f aca="false">-F6*F9/100</f>
        <v>-15.2750512720166</v>
      </c>
      <c r="G10" s="0" t="n">
        <f aca="false">-G6*G9/100</f>
        <v>-16.497055373778</v>
      </c>
      <c r="H10" s="0" t="n">
        <f aca="false">-H6*H9/100</f>
        <v>-17.7343345268113</v>
      </c>
      <c r="I10" s="0" t="n">
        <f aca="false">-I6*I9/100</f>
        <v>-18.9757379436881</v>
      </c>
      <c r="J10" s="0" t="n">
        <f aca="false">-J6*J9/100</f>
        <v>-20.1142822203094</v>
      </c>
      <c r="K10" s="0" t="n">
        <f aca="false">-K6*K9/100</f>
        <v>-21.1199963313249</v>
      </c>
      <c r="L10" s="0" t="n">
        <f aca="false">-L6*L9/100</f>
        <v>-21.9647961845779</v>
      </c>
    </row>
    <row r="11" customFormat="false" ht="15" hidden="false" customHeight="false" outlineLevel="0" collapsed="false">
      <c r="A11" s="0" t="s">
        <v>115</v>
      </c>
      <c r="C11" s="0" t="n">
        <f aca="false">C8+C10+C24</f>
        <v>1884.82966672</v>
      </c>
      <c r="D11" s="0" t="n">
        <f aca="false">D8+D10+D24</f>
        <v>2344.1651043304</v>
      </c>
      <c r="E11" s="0" t="n">
        <f aca="false">E8+E10+E24</f>
        <v>2814.56963252899</v>
      </c>
      <c r="F11" s="0" t="n">
        <f aca="false">F8+F10+F24</f>
        <v>3345.23622857165</v>
      </c>
      <c r="G11" s="0" t="n">
        <f aca="false">G8+G10+G24</f>
        <v>3777.82568059516</v>
      </c>
      <c r="H11" s="0" t="n">
        <f aca="false">H8+H10+H24</f>
        <v>4149.83427927385</v>
      </c>
      <c r="I11" s="0" t="n">
        <f aca="false">I8+I10+I24</f>
        <v>4535.20136854146</v>
      </c>
      <c r="J11" s="0" t="n">
        <f aca="false">J8+J10+J24</f>
        <v>4807.31345065395</v>
      </c>
      <c r="K11" s="0" t="n">
        <f aca="false">K8+K10+K24</f>
        <v>5047.67912318665</v>
      </c>
      <c r="L11" s="0" t="n">
        <f aca="false">L8+L10+L24</f>
        <v>5249.58628811411</v>
      </c>
    </row>
    <row r="12" customFormat="false" ht="15" hidden="false" customHeight="false" outlineLevel="0" collapsed="false">
      <c r="A12" s="0" t="s">
        <v>116</v>
      </c>
      <c r="C12" s="4" t="n">
        <f aca="false">-C6*Assumptions!C45/100</f>
        <v>-795.5449892</v>
      </c>
      <c r="D12" s="4" t="n">
        <f aca="false">-D6*Assumptions!D45/100</f>
        <v>-890.5208217568</v>
      </c>
      <c r="E12" s="4" t="n">
        <f aca="false">-E6*Assumptions!E45/100</f>
        <v>-990.04961948256</v>
      </c>
      <c r="F12" s="4" t="n">
        <f aca="false">-F6*Assumptions!F45/100</f>
        <v>-1069.25358904117</v>
      </c>
      <c r="G12" s="4" t="n">
        <f aca="false">-G6*Assumptions!G45/100</f>
        <v>-1154.79387616446</v>
      </c>
      <c r="H12" s="4" t="n">
        <f aca="false">-H6*Assumptions!H45/100</f>
        <v>-1241.40341687679</v>
      </c>
      <c r="I12" s="4" t="n">
        <f aca="false">-I6*Assumptions!I45/100</f>
        <v>-1328.30165605817</v>
      </c>
      <c r="J12" s="4" t="n">
        <f aca="false">-J6*Assumptions!J45/100</f>
        <v>-1407.99975542166</v>
      </c>
      <c r="K12" s="4" t="n">
        <f aca="false">-K6*Assumptions!K45/100</f>
        <v>-1478.39974319274</v>
      </c>
      <c r="L12" s="4" t="n">
        <f aca="false">-L6*Assumptions!L45/100</f>
        <v>-1537.53573292045</v>
      </c>
    </row>
    <row r="13" customFormat="false" ht="15" hidden="false" customHeight="false" outlineLevel="0" collapsed="false">
      <c r="A13" s="0" t="s">
        <v>117</v>
      </c>
      <c r="C13" s="0" t="n">
        <f aca="false">C11+C12</f>
        <v>1089.28467752</v>
      </c>
      <c r="D13" s="0" t="n">
        <f aca="false">D11+D12</f>
        <v>1453.6442825736</v>
      </c>
      <c r="E13" s="0" t="n">
        <f aca="false">E11+E12</f>
        <v>1824.52001304643</v>
      </c>
      <c r="F13" s="0" t="n">
        <f aca="false">F11+F12</f>
        <v>2275.98263953048</v>
      </c>
      <c r="G13" s="0" t="n">
        <f aca="false">G11+G12</f>
        <v>2623.0318044307</v>
      </c>
      <c r="H13" s="0" t="n">
        <f aca="false">H11+H12</f>
        <v>2908.43086239706</v>
      </c>
      <c r="I13" s="0" t="n">
        <f aca="false">I11+I12</f>
        <v>3206.89971248329</v>
      </c>
      <c r="J13" s="0" t="n">
        <f aca="false">J11+J12</f>
        <v>3399.31369523229</v>
      </c>
      <c r="K13" s="0" t="n">
        <f aca="false">K11+K12</f>
        <v>3569.2793799939</v>
      </c>
      <c r="L13" s="0" t="n">
        <f aca="false">L11+L12</f>
        <v>3712.05055519366</v>
      </c>
    </row>
    <row r="14" customFormat="false" ht="15" hidden="false" customHeight="false" outlineLevel="0" collapsed="false">
      <c r="A14" s="0" t="s">
        <v>103</v>
      </c>
      <c r="C14" s="4" t="n">
        <f aca="false">Assumptions!C47</f>
        <v>21</v>
      </c>
      <c r="D14" s="4" t="n">
        <f aca="false">Assumptions!D47</f>
        <v>21</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118</v>
      </c>
      <c r="C15" s="0" t="n">
        <f aca="false">C13-MAX(0,C13)*C14/100</f>
        <v>860.5348952408</v>
      </c>
      <c r="D15" s="0" t="n">
        <f aca="false">D13-MAX(0,D13)*D14/100</f>
        <v>1148.37898323314</v>
      </c>
      <c r="E15" s="0" t="n">
        <f aca="false">E13-MAX(0,E13)*E14/100</f>
        <v>1441.37081030668</v>
      </c>
      <c r="F15" s="0" t="n">
        <f aca="false">F13-MAX(0,F13)*F14/100</f>
        <v>1798.02628522908</v>
      </c>
      <c r="G15" s="0" t="n">
        <f aca="false">G13-MAX(0,G13)*G14/100</f>
        <v>2072.19512550025</v>
      </c>
      <c r="H15" s="0" t="n">
        <f aca="false">H13-MAX(0,H13)*H14/100</f>
        <v>2297.66038129368</v>
      </c>
      <c r="I15" s="0" t="n">
        <f aca="false">I13-MAX(0,I13)*I14/100</f>
        <v>2533.4507728618</v>
      </c>
      <c r="J15" s="0" t="n">
        <f aca="false">J13-MAX(0,J13)*J14/100</f>
        <v>2685.45781923351</v>
      </c>
      <c r="K15" s="0" t="n">
        <f aca="false">K13-MAX(0,K13)*K14/100</f>
        <v>2819.73071019518</v>
      </c>
      <c r="L15" s="0" t="n">
        <f aca="false">L13-MAX(0,L13)*L14/100</f>
        <v>2932.51993860299</v>
      </c>
    </row>
    <row r="16" customFormat="false" ht="15" hidden="false" customHeight="false" outlineLevel="0" collapsed="false">
      <c r="A16" s="0" t="s">
        <v>119</v>
      </c>
      <c r="C16" s="0" t="n">
        <f aca="false">-C12</f>
        <v>795.5449892</v>
      </c>
      <c r="D16" s="0" t="n">
        <f aca="false">-D12</f>
        <v>890.5208217568</v>
      </c>
      <c r="E16" s="0" t="n">
        <f aca="false">-E12</f>
        <v>990.04961948256</v>
      </c>
      <c r="F16" s="0" t="n">
        <f aca="false">-F12</f>
        <v>1069.25358904117</v>
      </c>
      <c r="G16" s="0" t="n">
        <f aca="false">-G12</f>
        <v>1154.79387616446</v>
      </c>
      <c r="H16" s="0" t="n">
        <f aca="false">-H12</f>
        <v>1241.40341687679</v>
      </c>
      <c r="I16" s="0" t="n">
        <f aca="false">-I12</f>
        <v>1328.30165605817</v>
      </c>
      <c r="J16" s="0" t="n">
        <f aca="false">-J12</f>
        <v>1407.99975542166</v>
      </c>
      <c r="K16" s="0" t="n">
        <f aca="false">-K12</f>
        <v>1478.39974319274</v>
      </c>
      <c r="L16" s="0" t="n">
        <f aca="false">-L12</f>
        <v>1537.53573292045</v>
      </c>
    </row>
    <row r="17" customFormat="false" ht="15" hidden="false" customHeight="false" outlineLevel="0" collapsed="false">
      <c r="A17" s="0" t="s">
        <v>120</v>
      </c>
      <c r="C17" s="4" t="n">
        <f aca="false">-C6*Assumptions!C46/100</f>
        <v>-1285.1111364</v>
      </c>
      <c r="D17" s="4" t="n">
        <f aca="false">-D6*Assumptions!D46/100</f>
        <v>-1178.630499384</v>
      </c>
      <c r="E17" s="4" t="n">
        <f aca="false">-E6*Assumptions!E46/100</f>
        <v>-1131.48527940864</v>
      </c>
      <c r="F17" s="4" t="n">
        <f aca="false">-F6*Assumptions!F46/100</f>
        <v>-1145.62884540125</v>
      </c>
      <c r="G17" s="4" t="n">
        <f aca="false">-G6*Assumptions!G46/100</f>
        <v>-1237.27915303335</v>
      </c>
      <c r="H17" s="4" t="n">
        <f aca="false">-H6*Assumptions!H46/100</f>
        <v>-1241.40341687679</v>
      </c>
      <c r="I17" s="4" t="n">
        <f aca="false">-I6*Assumptions!I46/100</f>
        <v>-1328.30165605817</v>
      </c>
      <c r="J17" s="4" t="n">
        <f aca="false">-J6*Assumptions!J46/100</f>
        <v>-1407.99975542166</v>
      </c>
      <c r="K17" s="4" t="n">
        <f aca="false">-K6*Assumptions!K46/100</f>
        <v>-1478.39974319274</v>
      </c>
      <c r="L17" s="4" t="n">
        <f aca="false">-L6*Assumptions!L46/100</f>
        <v>-1537.53573292045</v>
      </c>
    </row>
    <row r="18" customFormat="false" ht="15" hidden="false" customHeight="false" outlineLevel="0" collapsed="false">
      <c r="A18" s="0" t="s">
        <v>121</v>
      </c>
      <c r="C18" s="4" t="n">
        <f aca="false">(C6-B6)*Assumptions!$B$51/100</f>
        <v>-23.536834</v>
      </c>
      <c r="D18" s="4" t="n">
        <f aca="false">(D6-C6)*Assumptions!$B$51/100</f>
        <v>-42.83703788</v>
      </c>
      <c r="E18" s="4" t="n">
        <f aca="false">(E6-D6)*Assumptions!$B$51/100</f>
        <v>-52.3835777504</v>
      </c>
      <c r="F18" s="4" t="n">
        <f aca="false">(F6-E6)*Assumptions!$B$51/100</f>
        <v>-56.5742639704321</v>
      </c>
      <c r="G18" s="4" t="n">
        <f aca="false">(G6-F6)*Assumptions!$B$51/100</f>
        <v>-61.1002050880666</v>
      </c>
      <c r="H18" s="4" t="n">
        <f aca="false">(H6-G6)*Assumptions!$B$51/100</f>
        <v>-61.8639576516674</v>
      </c>
      <c r="I18" s="4" t="n">
        <f aca="false">(I6-H6)*Assumptions!$B$51/100</f>
        <v>-62.0701708438397</v>
      </c>
      <c r="J18" s="4" t="n">
        <f aca="false">(J6-I6)*Assumptions!$B$51/100</f>
        <v>-56.9272138310644</v>
      </c>
      <c r="K18" s="4" t="n">
        <f aca="false">(K6-J6)*Assumptions!$B$51/100</f>
        <v>-50.2857055507735</v>
      </c>
      <c r="L18" s="4" t="n">
        <f aca="false">(L6-K6)*Assumptions!$B$51/100</f>
        <v>-42.2399926626498</v>
      </c>
    </row>
    <row r="19" customFormat="false" ht="15" hidden="false" customHeight="false" outlineLevel="0" collapsed="false">
      <c r="A19" s="0" t="s">
        <v>122</v>
      </c>
      <c r="C19" s="0" t="n">
        <f aca="false">C15+C16+C17+C18</f>
        <v>347.4319140408</v>
      </c>
      <c r="D19" s="0" t="n">
        <f aca="false">D15+D16+D17+D18</f>
        <v>817.432267725944</v>
      </c>
      <c r="E19" s="0" t="n">
        <f aca="false">E15+E16+E17+E18</f>
        <v>1247.5515726302</v>
      </c>
      <c r="F19" s="0" t="n">
        <f aca="false">F15+F16+F17+F18</f>
        <v>1665.07676489856</v>
      </c>
      <c r="G19" s="0" t="n">
        <f aca="false">G15+G16+G17+G18</f>
        <v>1928.6096435433</v>
      </c>
      <c r="H19" s="0" t="n">
        <f aca="false">H15+H16+H17+H18</f>
        <v>2235.79642364201</v>
      </c>
      <c r="I19" s="0" t="n">
        <f aca="false">I15+I16+I17+I18</f>
        <v>2471.38060201796</v>
      </c>
      <c r="J19" s="0" t="n">
        <f aca="false">J15+J16+J17+J18</f>
        <v>2628.53060540244</v>
      </c>
      <c r="K19" s="0" t="n">
        <f aca="false">K15+K16+K17+K18</f>
        <v>2769.44500464441</v>
      </c>
      <c r="L19" s="0" t="n">
        <f aca="false">L15+L16+L17+L18</f>
        <v>2890.27994594034</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317.289419215343</v>
      </c>
      <c r="D21" s="0" t="n">
        <f aca="false">D19*D20</f>
        <v>681.74747626275</v>
      </c>
      <c r="E21" s="0" t="n">
        <f aca="false">E19*E20</f>
        <v>950.202460069736</v>
      </c>
      <c r="F21" s="0" t="n">
        <f aca="false">F19*F20</f>
        <v>1158.18459434034</v>
      </c>
      <c r="G21" s="0" t="n">
        <f aca="false">G19*G20</f>
        <v>1225.10620110809</v>
      </c>
      <c r="H21" s="0" t="n">
        <f aca="false">H19*H20</f>
        <v>1297.02259564899</v>
      </c>
      <c r="I21" s="0" t="n">
        <f aca="false">I19*I20</f>
        <v>1309.30491844853</v>
      </c>
      <c r="J21" s="0" t="n">
        <f aca="false">J19*J20</f>
        <v>1271.74513431563</v>
      </c>
      <c r="K21" s="0" t="n">
        <f aca="false">K19*K20</f>
        <v>1223.67383190173</v>
      </c>
      <c r="L21" s="0" t="n">
        <f aca="false">L19*L20</f>
        <v>1166.26896183544</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9.5</v>
      </c>
    </row>
    <row r="28" customFormat="false" ht="15" hidden="false" customHeight="false" outlineLevel="0" collapsed="false">
      <c r="A28" s="0" t="s">
        <v>105</v>
      </c>
      <c r="B28" s="4" t="n">
        <f aca="false">Assumptions!$B$49</f>
        <v>3</v>
      </c>
    </row>
    <row r="29" customFormat="false" ht="15" hidden="false" customHeight="false" outlineLevel="0" collapsed="false">
      <c r="A29" s="0" t="s">
        <v>106</v>
      </c>
      <c r="B29" s="4" t="n">
        <f aca="false">Assumptions!$B$50</f>
        <v>14</v>
      </c>
    </row>
    <row r="30" customFormat="false" ht="15" hidden="false" customHeight="false" outlineLevel="0" collapsed="false">
      <c r="A30" s="0" t="s">
        <v>127</v>
      </c>
      <c r="B30" s="0" t="n">
        <f aca="false">SUM(C21:L21)</f>
        <v>10600.5455931466</v>
      </c>
    </row>
    <row r="31" customFormat="false" ht="15" hidden="false" customHeight="false" outlineLevel="0" collapsed="false">
      <c r="A31" s="0" t="s">
        <v>128</v>
      </c>
      <c r="B31" s="0" t="n">
        <f aca="false">L19</f>
        <v>2890.27994594034</v>
      </c>
    </row>
    <row r="32" customFormat="false" ht="15" hidden="false" customHeight="false" outlineLevel="0" collapsed="false">
      <c r="A32" s="0" t="s">
        <v>129</v>
      </c>
      <c r="B32" s="0" t="n">
        <f aca="false">IF(B27&gt;B28,B31*(1+B28/100)/((B27-B28)/100),B31*B29)</f>
        <v>45799.8206818239</v>
      </c>
    </row>
    <row r="33" customFormat="false" ht="15" hidden="false" customHeight="false" outlineLevel="0" collapsed="false">
      <c r="A33" s="0" t="s">
        <v>130</v>
      </c>
      <c r="B33" s="0" t="n">
        <f aca="false">B31*B29</f>
        <v>40463.9192431648</v>
      </c>
    </row>
    <row r="34" customFormat="false" ht="15" hidden="false" customHeight="false" outlineLevel="0" collapsed="false">
      <c r="A34" s="0" t="s">
        <v>131</v>
      </c>
      <c r="B34" s="0" t="n">
        <f aca="false">MAX(0,MIN(B32,B33))</f>
        <v>40463.9192431648</v>
      </c>
    </row>
    <row r="35" customFormat="false" ht="15" hidden="false" customHeight="false" outlineLevel="0" collapsed="false">
      <c r="A35" s="0" t="s">
        <v>132</v>
      </c>
      <c r="B35" s="0" t="n">
        <f aca="false">B34/(1+B27/100)^L4</f>
        <v>16327.7654656962</v>
      </c>
    </row>
    <row r="36" customFormat="false" ht="15" hidden="false" customHeight="false" outlineLevel="0" collapsed="false">
      <c r="A36" s="0" t="s">
        <v>133</v>
      </c>
      <c r="B36" s="0" t="n">
        <f aca="false">B30+B35</f>
        <v>26928.3110588428</v>
      </c>
    </row>
    <row r="37" customFormat="false" ht="15" hidden="false" customHeight="false" outlineLevel="0" collapsed="false">
      <c r="A37" s="0" t="s">
        <v>134</v>
      </c>
      <c r="B37" s="0" t="n">
        <f aca="false">B36+Assumptions!$B$5-Assumptions!$B$4</f>
        <v>32057.5390588428</v>
      </c>
    </row>
    <row r="38" customFormat="false" ht="15" hidden="false" customHeight="false" outlineLevel="0" collapsed="false">
      <c r="A38" s="0" t="s">
        <v>135</v>
      </c>
      <c r="B38" s="0" t="n">
        <f aca="false">B37/Assumptions!$B$3*Assumptions!$B$10</f>
        <v>19.0951112469287</v>
      </c>
    </row>
    <row r="39" customFormat="false" ht="15" hidden="false" customHeight="false" outlineLevel="0" collapsed="false">
      <c r="A39" s="0" t="s">
        <v>136</v>
      </c>
      <c r="B39" s="4" t="n">
        <f aca="false">B38/Assumptions!$B$2-1</f>
        <v>1.78354391354646</v>
      </c>
    </row>
    <row r="41" customFormat="false" ht="15" hidden="false" customHeight="false" outlineLevel="0" collapsed="false">
      <c r="A41" s="0" t="s">
        <v>137</v>
      </c>
      <c r="B41" s="0" t="n">
        <f aca="false">SUMPRODUCT(-C10:L10/(1+$B$27/100)^C4:L4)</f>
        <v>102.244027378467</v>
      </c>
    </row>
    <row r="42" customFormat="false" ht="15" hidden="false" customHeight="false" outlineLevel="0" collapsed="false">
      <c r="A42" s="0" t="s">
        <v>138</v>
      </c>
      <c r="B42" s="0" t="n">
        <f aca="false">IF(B27&gt;B28,-L10*(1+B28/100)/((B27-B28)/100),-L10*20)/(1+B27/100)^L4</f>
        <v>140.44615500611</v>
      </c>
    </row>
    <row r="43" customFormat="false" ht="15" hidden="false" customHeight="false" outlineLevel="0" collapsed="false">
      <c r="A43" s="0" t="s">
        <v>139</v>
      </c>
      <c r="B43" s="0" t="n">
        <f aca="false">(B37+B41+B42)/Assumptions!$B$3*Assumptions!$B$10</f>
        <v>19.2396699425499</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24808.2362026546</v>
      </c>
    </row>
    <row r="47" customFormat="false" ht="15" hidden="false" customHeight="false" outlineLevel="0" collapsed="false">
      <c r="A47" s="0" t="s">
        <v>141</v>
      </c>
      <c r="B47" s="0" t="n">
        <f aca="false">(SUMPRODUCT(C19:L19/(1+B45/100)^C4:L4)+B46/(1+B45/100)^L4+Assumptions!$B$5-Assumptions!$B$4)/Assumptions!$B$3*Assumptions!$B$10</f>
        <v>11.4183040414162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6.34757853221531</v>
      </c>
      <c r="C4" s="0" t="n">
        <f aca="false">B4/Assumptions!$B$2-1</f>
        <v>-0.0746970069656989</v>
      </c>
      <c r="D4" s="4" t="n">
        <f aca="false">Assumptions!$B$24</f>
        <v>0.3</v>
      </c>
      <c r="E4" s="4" t="n">
        <f aca="false">DCF_Bear!$B$43</f>
        <v>6.43325965813756</v>
      </c>
      <c r="F4" s="4" t="n">
        <f aca="false">DCF_Bear!$B$47</f>
        <v>5.09425193584072</v>
      </c>
    </row>
    <row r="5" customFormat="false" ht="15" hidden="false" customHeight="false" outlineLevel="0" collapsed="false">
      <c r="A5" s="0" t="s">
        <v>150</v>
      </c>
      <c r="B5" s="4" t="n">
        <f aca="false">DCF_Base!$B$38</f>
        <v>12.1609778248236</v>
      </c>
      <c r="C5" s="0" t="n">
        <f aca="false">B5/Assumptions!$B$2-1</f>
        <v>0.772737292248338</v>
      </c>
      <c r="D5" s="4" t="n">
        <f aca="false">Assumptions!$B$38</f>
        <v>0.5</v>
      </c>
      <c r="E5" s="4" t="n">
        <f aca="false">DCF_Base!$B$43</f>
        <v>12.2736202533657</v>
      </c>
      <c r="F5" s="4" t="n">
        <f aca="false">DCF_Base!$B$47</f>
        <v>8.09542773597952</v>
      </c>
    </row>
    <row r="6" customFormat="false" ht="15" hidden="false" customHeight="false" outlineLevel="0" collapsed="false">
      <c r="A6" s="0" t="s">
        <v>151</v>
      </c>
      <c r="B6" s="4" t="n">
        <f aca="false">DCF_Bull!$B$38</f>
        <v>19.0951112469287</v>
      </c>
      <c r="C6" s="0" t="n">
        <f aca="false">B6/Assumptions!$B$2-1</f>
        <v>1.78354391354646</v>
      </c>
      <c r="D6" s="4" t="n">
        <f aca="false">Assumptions!$B$52</f>
        <v>0.2</v>
      </c>
      <c r="E6" s="4" t="n">
        <f aca="false">DCF_Bull!$B$43</f>
        <v>19.2396699425499</v>
      </c>
      <c r="F6" s="4" t="n">
        <f aca="false">DCF_Bull!$B$47</f>
        <v>11.4183040414162</v>
      </c>
    </row>
    <row r="8" customFormat="false" ht="15" hidden="false" customHeight="false" outlineLevel="0" collapsed="false">
      <c r="A8" s="0" t="s">
        <v>152</v>
      </c>
      <c r="B8" s="0" t="n">
        <f aca="false">SUMPRODUCT(B4:B6,D4:D6)</f>
        <v>11.8037847214621</v>
      </c>
    </row>
    <row r="9" customFormat="false" ht="15" hidden="false" customHeight="false" outlineLevel="0" collapsed="false">
      <c r="A9" s="0" t="s">
        <v>153</v>
      </c>
      <c r="B9" s="0" t="n">
        <f aca="false">SUMPRODUCT(E4:E6,D4:D6)</f>
        <v>11.9147220126341</v>
      </c>
    </row>
    <row r="10" customFormat="false" ht="15" hidden="false" customHeight="false" outlineLevel="0" collapsed="false">
      <c r="A10" s="0" t="s">
        <v>154</v>
      </c>
      <c r="B10" s="0" t="n">
        <f aca="false">1-Assumptions!$B$2/B8</f>
        <v>0.418830471592145</v>
      </c>
    </row>
    <row r="11" customFormat="false" ht="15" hidden="false" customHeight="false" outlineLevel="0" collapsed="false">
      <c r="A11" s="0" t="s">
        <v>155</v>
      </c>
      <c r="B11" s="0" t="str">
        <f aca="false">IF(ABS(B9-B8)&gt;0.01*ABS(B8),(Assumptions!$B$2-B8)/(B9-B8)*100,"n/a")</f>
        <v>n/a</v>
      </c>
    </row>
    <row r="12" customFormat="false" ht="15" hidden="false" customHeight="false" outlineLevel="0" collapsed="false">
      <c r="A12" s="0" t="s">
        <v>156</v>
      </c>
      <c r="B12" s="0" t="n">
        <f aca="false">SUMPRODUCT(F4:F6,D4:D6)</f>
        <v>7.85965025702521</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12.5063896511018</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12.1609778248236</v>
      </c>
      <c r="C16" s="3" t="n">
        <v>9.5</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11.8310145831819</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10.8977314565564</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9.97080872105829</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8.09542773597952</v>
      </c>
      <c r="C20" s="3" t="n">
        <v>15</v>
      </c>
    </row>
    <row r="22" customFormat="false" ht="15" hidden="false" customHeight="false" outlineLevel="0" collapsed="false">
      <c r="A22" s="2" t="s">
        <v>165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13.6438388365503</v>
      </c>
      <c r="C24" s="0" t="n">
        <f aca="false">(SUMPRODUCT(DCF_Base!$C$19:$L$19/(1+$A$24/100)^DCF_Base!$C$4:$L$4)+MAX(0,MIN(IF($A$24&gt;$C$23,DCF_Base!$L$19*(1+$C$23/100)/(($A$24-$C$23)/100),DCF_Base!$L$19*DCF_Base!$B$29),DCF_Base!$L$19*DCF_Base!$B$29))/(1+$A$24/100)^DCF_Base!$L$4+Assumptions!$B$5-Assumptions!$B$4)/Assumptions!$B$3*Assumptions!$B$10</f>
        <v>13.6438388365503</v>
      </c>
      <c r="D24" s="0" t="n">
        <f aca="false">(SUMPRODUCT(DCF_Base!$C$19:$L$19/(1+$A$24/100)^DCF_Base!$C$4:$L$4)+MAX(0,MIN(IF($A$24&gt;$D$23,DCF_Base!$L$19*(1+$D$23/100)/(($A$24-$D$23)/100),DCF_Base!$L$19*DCF_Base!$B$29),DCF_Base!$L$19*DCF_Base!$B$29))/(1+$A$24/100)^DCF_Base!$L$4+Assumptions!$B$5-Assumptions!$B$4)/Assumptions!$B$3*Assumptions!$B$10</f>
        <v>13.6438388365503</v>
      </c>
      <c r="E24" s="0" t="n">
        <f aca="false">(SUMPRODUCT(DCF_Base!$C$19:$L$19/(1+$A$24/100)^DCF_Base!$C$4:$L$4)+MAX(0,MIN(IF($A$24&gt;$E$23,DCF_Base!$L$19*(1+$E$23/100)/(($A$24-$E$23)/100),DCF_Base!$L$19*DCF_Base!$B$29),DCF_Base!$L$19*DCF_Base!$B$29))/(1+$A$24/100)^DCF_Base!$L$4+Assumptions!$B$5-Assumptions!$B$4)/Assumptions!$B$3*Assumptions!$B$10</f>
        <v>13.6438388365503</v>
      </c>
      <c r="F24" s="0" t="n">
        <f aca="false">(SUMPRODUCT(DCF_Base!$C$19:$L$19/(1+$A$24/100)^DCF_Base!$C$4:$L$4)+MAX(0,MIN(IF($A$24&gt;$F$23,DCF_Base!$L$19*(1+$F$23/100)/(($A$24-$F$23)/100),DCF_Base!$L$19*DCF_Base!$B$29),DCF_Base!$L$19*DCF_Base!$B$29))/(1+$A$24/100)^DCF_Base!$L$4+Assumptions!$B$5-Assumptions!$B$4)/Assumptions!$B$3*Assumptions!$B$10</f>
        <v>13.6438388365503</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12.868077370582</v>
      </c>
      <c r="C25" s="0" t="n">
        <f aca="false">(SUMPRODUCT(DCF_Base!$C$19:$L$19/(1+$A$25/100)^DCF_Base!$C$4:$L$4)+MAX(0,MIN(IF($A$25&gt;$C$23,DCF_Base!$L$19*(1+$C$23/100)/(($A$25-$C$23)/100),DCF_Base!$L$19*DCF_Base!$B$29),DCF_Base!$L$19*DCF_Base!$B$29))/(1+$A$25/100)^DCF_Base!$L$4+Assumptions!$B$5-Assumptions!$B$4)/Assumptions!$B$3*Assumptions!$B$10</f>
        <v>12.868077370582</v>
      </c>
      <c r="D25" s="0" t="n">
        <f aca="false">(SUMPRODUCT(DCF_Base!$C$19:$L$19/(1+$A$25/100)^DCF_Base!$C$4:$L$4)+MAX(0,MIN(IF($A$25&gt;$D$23,DCF_Base!$L$19*(1+$D$23/100)/(($A$25-$D$23)/100),DCF_Base!$L$19*DCF_Base!$B$29),DCF_Base!$L$19*DCF_Base!$B$29))/(1+$A$25/100)^DCF_Base!$L$4+Assumptions!$B$5-Assumptions!$B$4)/Assumptions!$B$3*Assumptions!$B$10</f>
        <v>12.868077370582</v>
      </c>
      <c r="E25" s="0" t="n">
        <f aca="false">(SUMPRODUCT(DCF_Base!$C$19:$L$19/(1+$A$25/100)^DCF_Base!$C$4:$L$4)+MAX(0,MIN(IF($A$25&gt;$E$23,DCF_Base!$L$19*(1+$E$23/100)/(($A$25-$E$23)/100),DCF_Base!$L$19*DCF_Base!$B$29),DCF_Base!$L$19*DCF_Base!$B$29))/(1+$A$25/100)^DCF_Base!$L$4+Assumptions!$B$5-Assumptions!$B$4)/Assumptions!$B$3*Assumptions!$B$10</f>
        <v>12.868077370582</v>
      </c>
      <c r="F25" s="0" t="n">
        <f aca="false">(SUMPRODUCT(DCF_Base!$C$19:$L$19/(1+$A$25/100)^DCF_Base!$C$4:$L$4)+MAX(0,MIN(IF($A$25&gt;$F$23,DCF_Base!$L$19*(1+$F$23/100)/(($A$25-$F$23)/100),DCF_Base!$L$19*DCF_Base!$B$29),DCF_Base!$L$19*DCF_Base!$B$29))/(1+$A$25/100)^DCF_Base!$L$4+Assumptions!$B$5-Assumptions!$B$4)/Assumptions!$B$3*Assumptions!$B$10</f>
        <v>12.868077370582</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12.04052756343</v>
      </c>
      <c r="C26" s="0" t="n">
        <f aca="false">(SUMPRODUCT(DCF_Base!$C$19:$L$19/(1+$A$26/100)^DCF_Base!$C$4:$L$4)+MAX(0,MIN(IF($A$26&gt;$C$23,DCF_Base!$L$19*(1+$C$23/100)/(($A$26-$C$23)/100),DCF_Base!$L$19*DCF_Base!$B$29),DCF_Base!$L$19*DCF_Base!$B$29))/(1+$A$26/100)^DCF_Base!$L$4+Assumptions!$B$5-Assumptions!$B$4)/Assumptions!$B$3*Assumptions!$B$10</f>
        <v>12.1609778248236</v>
      </c>
      <c r="D26" s="0" t="n">
        <f aca="false">(SUMPRODUCT(DCF_Base!$C$19:$L$19/(1+$A$26/100)^DCF_Base!$C$4:$L$4)+MAX(0,MIN(IF($A$26&gt;$D$23,DCF_Base!$L$19*(1+$D$23/100)/(($A$26-$D$23)/100),DCF_Base!$L$19*DCF_Base!$B$29),DCF_Base!$L$19*DCF_Base!$B$29))/(1+$A$26/100)^DCF_Base!$L$4+Assumptions!$B$5-Assumptions!$B$4)/Assumptions!$B$3*Assumptions!$B$10</f>
        <v>12.1609778248236</v>
      </c>
      <c r="E26" s="0" t="n">
        <f aca="false">(SUMPRODUCT(DCF_Base!$C$19:$L$19/(1+$A$26/100)^DCF_Base!$C$4:$L$4)+MAX(0,MIN(IF($A$26&gt;$E$23,DCF_Base!$L$19*(1+$E$23/100)/(($A$26-$E$23)/100),DCF_Base!$L$19*DCF_Base!$B$29),DCF_Base!$L$19*DCF_Base!$B$29))/(1+$A$26/100)^DCF_Base!$L$4+Assumptions!$B$5-Assumptions!$B$4)/Assumptions!$B$3*Assumptions!$B$10</f>
        <v>12.1609778248236</v>
      </c>
      <c r="F26" s="0" t="n">
        <f aca="false">(SUMPRODUCT(DCF_Base!$C$19:$L$19/(1+$A$26/100)^DCF_Base!$C$4:$L$4)+MAX(0,MIN(IF($A$26&gt;$F$23,DCF_Base!$L$19*(1+$F$23/100)/(($A$26-$F$23)/100),DCF_Base!$L$19*DCF_Base!$B$29),DCF_Base!$L$19*DCF_Base!$B$29))/(1+$A$26/100)^DCF_Base!$L$4+Assumptions!$B$5-Assumptions!$B$4)/Assumptions!$B$3*Assumptions!$B$10</f>
        <v>12.1609778248236</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10.9095894467537</v>
      </c>
      <c r="C27" s="0" t="n">
        <f aca="false">(SUMPRODUCT(DCF_Base!$C$19:$L$19/(1+$A$27/100)^DCF_Base!$C$4:$L$4)+MAX(0,MIN(IF($A$27&gt;$C$23,DCF_Base!$L$19*(1+$C$23/100)/(($A$27-$C$23)/100),DCF_Base!$L$19*DCF_Base!$B$29),DCF_Base!$L$19*DCF_Base!$B$29))/(1+$A$27/100)^DCF_Base!$L$4+Assumptions!$B$5-Assumptions!$B$4)/Assumptions!$B$3*Assumptions!$B$10</f>
        <v>11.1637727292821</v>
      </c>
      <c r="D27" s="0" t="n">
        <f aca="false">(SUMPRODUCT(DCF_Base!$C$19:$L$19/(1+$A$27/100)^DCF_Base!$C$4:$L$4)+MAX(0,MIN(IF($A$27&gt;$D$23,DCF_Base!$L$19*(1+$D$23/100)/(($A$27-$D$23)/100),DCF_Base!$L$19*DCF_Base!$B$29),DCF_Base!$L$19*DCF_Base!$B$29))/(1+$A$27/100)^DCF_Base!$L$4+Assumptions!$B$5-Assumptions!$B$4)/Assumptions!$B$3*Assumptions!$B$10</f>
        <v>11.4497289221266</v>
      </c>
      <c r="E27" s="0" t="n">
        <f aca="false">(SUMPRODUCT(DCF_Base!$C$19:$L$19/(1+$A$27/100)^DCF_Base!$C$4:$L$4)+MAX(0,MIN(IF($A$27&gt;$E$23,DCF_Base!$L$19*(1+$E$23/100)/(($A$27-$E$23)/100),DCF_Base!$L$19*DCF_Base!$B$29),DCF_Base!$L$19*DCF_Base!$B$29))/(1+$A$27/100)^DCF_Base!$L$4+Assumptions!$B$5-Assumptions!$B$4)/Assumptions!$B$3*Assumptions!$B$10</f>
        <v>11.515718812783</v>
      </c>
      <c r="F27" s="0" t="n">
        <f aca="false">(SUMPRODUCT(DCF_Base!$C$19:$L$19/(1+$A$27/100)^DCF_Base!$C$4:$L$4)+MAX(0,MIN(IF($A$27&gt;$F$23,DCF_Base!$L$19*(1+$F$23/100)/(($A$27-$F$23)/100),DCF_Base!$L$19*DCF_Base!$B$29),DCF_Base!$L$19*DCF_Base!$B$29))/(1+$A$27/100)^DCF_Base!$L$4+Assumptions!$B$5-Assumptions!$B$4)/Assumptions!$B$3*Assumptions!$B$10</f>
        <v>11.515718812783</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10.0095874431735</v>
      </c>
      <c r="C28" s="0" t="n">
        <f aca="false">(SUMPRODUCT(DCF_Base!$C$19:$L$19/(1+$A$28/100)^DCF_Base!$C$4:$L$4)+MAX(0,MIN(IF($A$28&gt;$C$23,DCF_Base!$L$19*(1+$C$23/100)/(($A$28-$C$23)/100),DCF_Base!$L$19*DCF_Base!$B$29),DCF_Base!$L$19*DCF_Base!$B$29))/(1+$A$28/100)^DCF_Base!$L$4+Assumptions!$B$5-Assumptions!$B$4)/Assumptions!$B$3*Assumptions!$B$10</f>
        <v>10.1983307281682</v>
      </c>
      <c r="D28" s="0" t="n">
        <f aca="false">(SUMPRODUCT(DCF_Base!$C$19:$L$19/(1+$A$28/100)^DCF_Base!$C$4:$L$4)+MAX(0,MIN(IF($A$28&gt;$D$23,DCF_Base!$L$19*(1+$D$23/100)/(($A$28-$D$23)/100),DCF_Base!$L$19*DCF_Base!$B$29),DCF_Base!$L$19*DCF_Base!$B$29))/(1+$A$28/100)^DCF_Base!$L$4+Assumptions!$B$5-Assumptions!$B$4)/Assumptions!$B$3*Assumptions!$B$10</f>
        <v>10.4080454892735</v>
      </c>
      <c r="E28" s="0" t="n">
        <f aca="false">(SUMPRODUCT(DCF_Base!$C$19:$L$19/(1+$A$28/100)^DCF_Base!$C$4:$L$4)+MAX(0,MIN(IF($A$28&gt;$E$23,DCF_Base!$L$19*(1+$E$23/100)/(($A$28-$E$23)/100),DCF_Base!$L$19*DCF_Base!$B$29),DCF_Base!$L$19*DCF_Base!$B$29))/(1+$A$28/100)^DCF_Base!$L$4+Assumptions!$B$5-Assumptions!$B$4)/Assumptions!$B$3*Assumptions!$B$10</f>
        <v>10.6424325752148</v>
      </c>
      <c r="F28" s="0" t="n">
        <f aca="false">(SUMPRODUCT(DCF_Base!$C$19:$L$19/(1+$A$28/100)^DCF_Base!$C$4:$L$4)+MAX(0,MIN(IF($A$28&gt;$F$23,DCF_Base!$L$19*(1+$F$23/100)/(($A$28-$F$23)/100),DCF_Base!$L$19*DCF_Base!$B$29),DCF_Base!$L$19*DCF_Base!$B$29))/(1+$A$28/100)^DCF_Base!$L$4+Assumptions!$B$5-Assumptions!$B$4)/Assumptions!$B$3*Assumptions!$B$10</f>
        <v>10.9061180468986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2026-10-23T08:18:41Z</dcterms:created>
  <dc:creator>openpyxl</dc:creator>
  <dc:description/>
  <dc:language>en-NZ</dc:language>
  <cp:lastModifiedBy/>
  <dcterms:modified xsi:type="dcterms:W3CDTF">2026-10-23T08:18:41Z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