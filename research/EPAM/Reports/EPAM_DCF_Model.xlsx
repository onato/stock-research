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<sst xmlns="http://schemas.openxmlformats.org/spreadsheetml/2006/main" count="381" uniqueCount="172">
  <si>
    <t xml:space="preserve">Ticker</t>
  </si>
  <si>
    <t xml:space="preserve">EPAM</t>
  </si>
  <si>
    <t xml:space="preserve">Company</t>
  </si>
  <si>
    <t xml:space="preserve">EPAM Systems, Inc.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</si>
  <si>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</si>
  <si>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</si>
  <si>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</si>
  <si>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</si>
  <si>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2026-09-25T20:00:03Z regular close (latest close; US market not yet open on the valuation date)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</si>
  <si>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</si>
  <si>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</si>
  <si>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</si>
  <si>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</si>
  <si>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</si>
  <si>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</si>
  <si>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</si>
  <si>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</si>
  <si>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</si>
  <si>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</si>
  <si>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</si>
  <si>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</si>
  <si>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2026-09-28T07:40:30Z</t>
  </si>
  <si>
    <t xml:space="preserve">Drivers file</t>
  </si>
  <si>
    <t xml:space="preserve">EPAM_Drivers.json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</si>
  <si>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</si>
  <si>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</si>
  <si>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</si>
  <si>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with SBC (incl. withholding taxes) fully expensed, interest income on the cash pile stripped, share count held flat, and a 10-year component build so the margin and tax paths have matured before Gordon growth is applied. The company is valued as a labour-based services franchise in structural transition, not as a software compounder: the terminal cap is 15x (12x bear), terminal growth 2.5%, and the AI-disruption risk is expressed through a 30% bear weight rather than a discount-rate premium so it is charged once. The 2026 de-rating (52-week range 73-223) is the market pricing something between the bear and base paths; the finding is whether the weighted value clears the price by enough to compensate for the bear-case downside.
key_risks_to_valuation: Generative-AI productivity reducing billable hours per project faster than AI-native revenue replaces them (structural, the bear axis); Further slippage of the large AI-led deals now dated to H1 2027; management has already moved this once; Software &amp; Hi-Tech vertical decline spreading to Financial Services and Consumer as those clients build in-house; Ukraine/Belarus escalation disrupting ~14,100 delivery staff, the owned Kyiv building, and ~$76M of in-country cash; Cash tax rate staying near 35% rather than normalising to 25% (Section 174 timing, foreign withholding); Interest income is estimated, not tagged; a higher true figure would lower the owner-FCF base modestly; Buyback executed at prices above intrinsic value would destroy value the flat-count convention does not capture; the H1-2026 debt draw ($165M at Q1) to fund the ASR was repaid by Q2; Working-capital seasonality: H1 FCF is routinely negative on bonus payments; the annual figure is the right base</t>
  </si>
  <si>
    <t xml:space="preserve">Data sources</t>
  </si>
  <si>
    <t xml:space="preserve">price: Yahoo Finance chart API regularMarketPrice at inputs.price_as_of; 52-week range 73.06-222.53
financials: SEC XBRL companyfacts (CIK 1352010) via research/EPAM/Reports/EPAM_Metrics.csv, FY2009-Q2 2026; FY2025 10-K and Q2 2026 10-Q for cash taxes paid, depreciation vs intangible amortisation, cover-page share count (2026-07-31), NonoperatingGainsLosses, PaymentsForRepurchaseOfCommonStock and equity-award tax withholding
qualitative: research/EPAM/Reports/EPAM_Analysis.json (2026-09-28): Q2 2026 results and lowered FY2026 guidance, $1B buyback/ASR, Anthropic partnership, Ukraine/Belarus exposure</t>
  </si>
  <si>
    <t xml:space="preserve">Scenario narrative: bear</t>
  </si>
  <si>
    <t xml:space="preserve">The Software &amp; Hi-Tech vertical is the leading indicator: AI-savvy clients are already cutting external engineering hours and building in-house, and from FY2027 Financial Services and Consumer clients follow as AI tooling matures. Time-and-materials revenue falls ~4%/yr for two years while EPAM carries bench cost and pricing deflation; pre-SBC EBITDA compresses to 12% and SBC stays sticky at ~3.9% of revenue. The business stabilises as a smaller, slower franchise (1.5% terminal growth, 12x cap). This path is also where a Ukraine/Belarus escalation, further large-deal slippage, or trapped-cash losses would land.</t>
  </si>
  <si>
    <t xml:space="preserve">Scenario narrative: base</t>
  </si>
  <si>
    <t xml:space="preserve">EPAM's axes are (1) whether generative-AI coding tools shrink billable hours faster than AI-native transformation work replaces them, (2) whether the large AI-led enterprise deals management now dates to H1 2027 actually convert, (3) Financial Services growth versus Software &amp; Hi-Tech decline, and (4) the Ukraine/Belarus delivery tail. Base: FY2026 lands at the 3.7% guidance midpoint with adjusted margins at the high end of 15-16%; from FY2027 the AI-native pipeline converts partially and Financial Services carries the book while Hi-Tech keeps shrinking, giving 4-5% growth that fades to 2.5% by FY2035 as AI productivity is largely passed to clients. Pre-SBC EBITDA edges from 15.5% to 16.5% on delivery-mix shift; SBC eases from 3.9% to 3.0% of revenue; cash tax normalises from 31% to 25%. The $1B buyback funds a flat 52.2M share count. Net cash of $764M (less $37M restricted in Belarus) is added once.</t>
  </si>
  <si>
    <t xml:space="preserve">Scenario narrative: bull</t>
  </si>
  <si>
    <t xml:space="preserve">AI turns out to be a demand multiplier for EPAM rather than a deflator: the Anthropic partnership and AI/RUN platform make EPAM the engineering partner of choice for enterprise AI rollouts, the pushed-out large deals convert in H1 2027, North American discretionary spend recovers, and outcome-based pricing lets EPAM keep part of the productivity gain. Growth runs 7-9% in FY2027-29 before maturing to 3%; pre-SBC EBITDA reaches 18% (the FY2019-21 level). Terminal growth 3%, same 15x cap and 10.5% WACC as base.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</si>
  <si>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</si>
  <si>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</si>
  <si>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</si>
  <si>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</si>
  <si>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</si>
  <si>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</si>
  <si>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</si>
  <si>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</si>
  <si>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</si>
  <si>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</si>
  <si>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</si>
  <si>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</si>
  <si>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</si>
  <si>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</si>
  <si>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</si>
  <si>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</si>
  <si>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</si>
  <si>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</si>
  <si>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</si>
  <si>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</si>
  <si>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</si>
  <si>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</si>
  <si>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</si>
  <si>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</si>
  <si>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</si>
  <si>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</si>
  <si>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</si>
  <si>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</si>
  <si>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</si>
  <si>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</si>
  <si>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</si>
  <si>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</si>
  <si>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</si>
  <si>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</si>
  <si>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</si>
  <si>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</si>
  <si>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</si>
  <si>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</si>
  <si>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</si>
  <si>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</si>
  <si>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</si>
  <si>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</si>
  <si>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</si>
  <si>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</si>
  <si>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</si>
  <si>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</si>
  <si>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</si>
  <si>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</si>
  <si>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</si>
  <si>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</si>
  <si>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</si>
  <si>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</si>
  <si>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</si>
  <si>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</si>
  <si>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</si>
  <si>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</si>
  <si>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</si>
  <si>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</si>
  <si>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</si>
  <si>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</si>
  <si>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</si>
  <si>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</si>
  <si>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</si>
  <si>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</si>
  <si>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</si>
  <si>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</si>
  <si>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</si>
  <si>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</si>
  <si>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</si>
  <si>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</si>
  <si>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</si>
  <si>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</si>
  <si>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</si>
  <si>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</si>
  <si>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</si>
  <si>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</si>
  <si>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</si>
  <si>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</si>
  <si>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</si>
  <si>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</si>
  <si>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</si>
  <si>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EPAM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</si>
  <si>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</si>
  <si>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</si>
  <si>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</si>
  <si>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</si>
  <si>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</si>
  <si>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</si>
  <si>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</si>
  <si>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</si>
  <si>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</si>
  <si>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</si>
  <si>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</si>
  <si>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</si>
  <si>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</si>
  <si>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</si>
  <si>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</si>
  <si>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</si>
  <si>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</si>
  <si>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</si>
  <si>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</si>
  <si>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</si>
  <si>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</si>
  <si>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</si>
  <si>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</si>
  <si>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</si>
  <si>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</si>
  <si>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</si>
  <si>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</si>
  <si>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</si>
  <si>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</si>
  <si>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</si>
  <si>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EPAM owner-FCF component DCF: base case (millions, USD)</t>
  </si>
  <si>
    <t xml:space="preserve">EPAM owner-FCF component DCF: bull case (millions, USD)</t>
  </si>
  <si>
    <t xml:space="preserve">EPAM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</si>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</sst>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108.23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16.534</v>
      </c>
      <c r="S2" s="0" t="n">
        <v>52.927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221.824</v>
      </c>
      <c r="C3" s="0" t="n">
        <v>132.528</v>
      </c>
      <c r="F3" s="0" t="n">
        <v>32.79</v>
      </c>
      <c r="G3" s="0" t="n">
        <v>14.7819893248702</v>
      </c>
      <c r="H3" s="0" t="n">
        <v>39.032</v>
      </c>
      <c r="I3" s="0" t="n">
        <v>28.308</v>
      </c>
      <c r="J3" s="0" t="n">
        <v>12.7614685516446</v>
      </c>
      <c r="L3" s="0" t="n">
        <v>20.473</v>
      </c>
      <c r="M3" s="0" t="n">
        <v>8.365</v>
      </c>
      <c r="N3" s="0" t="n">
        <v>12.108</v>
      </c>
      <c r="O3" s="0" t="n">
        <v>66.249</v>
      </c>
      <c r="S3" s="0" t="n">
        <v>54.004</v>
      </c>
      <c r="U3" s="0" t="n">
        <v>2.939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334.528</v>
      </c>
      <c r="C4" s="0" t="n">
        <v>205.336</v>
      </c>
      <c r="F4" s="0" t="n">
        <v>55.008</v>
      </c>
      <c r="G4" s="0" t="n">
        <v>16.4434666156495</v>
      </c>
      <c r="H4" s="0" t="n">
        <v>62.546</v>
      </c>
      <c r="I4" s="0" t="n">
        <v>44.353</v>
      </c>
      <c r="J4" s="0" t="n">
        <v>13.2583819590587</v>
      </c>
      <c r="L4" s="0" t="n">
        <v>54.52</v>
      </c>
      <c r="M4" s="0" t="n">
        <v>15.548</v>
      </c>
      <c r="N4" s="0" t="n">
        <v>38.972</v>
      </c>
      <c r="O4" s="0" t="n">
        <v>95.059</v>
      </c>
      <c r="P4" s="0" t="n">
        <v>235.613</v>
      </c>
      <c r="Q4" s="0" t="n">
        <v>54.614</v>
      </c>
      <c r="S4" s="0" t="n">
        <v>88.796</v>
      </c>
      <c r="T4" s="0" t="n">
        <v>17.158904</v>
      </c>
      <c r="U4" s="0" t="n">
        <v>2.866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433.799</v>
      </c>
      <c r="C5" s="0" t="n">
        <v>270.361</v>
      </c>
      <c r="F5" s="0" t="n">
        <v>66.006</v>
      </c>
      <c r="G5" s="0" t="n">
        <v>15.2158027104719</v>
      </c>
      <c r="H5" s="0" t="n">
        <v>76.888</v>
      </c>
      <c r="I5" s="0" t="n">
        <v>54.484</v>
      </c>
      <c r="J5" s="0" t="n">
        <v>12.5597338859702</v>
      </c>
      <c r="K5" s="0" t="n">
        <v>1.27</v>
      </c>
      <c r="L5" s="0" t="n">
        <v>48.499</v>
      </c>
      <c r="M5" s="0" t="n">
        <v>13.376</v>
      </c>
      <c r="N5" s="0" t="n">
        <v>35.123</v>
      </c>
      <c r="O5" s="0" t="n">
        <v>286.28</v>
      </c>
      <c r="P5" s="0" t="n">
        <v>350.814</v>
      </c>
      <c r="Q5" s="0" t="n">
        <v>64.534</v>
      </c>
      <c r="S5" s="0" t="n">
        <v>118.112</v>
      </c>
      <c r="T5" s="0" t="n">
        <v>43.821</v>
      </c>
      <c r="U5" s="0" t="n">
        <v>6.826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555.117</v>
      </c>
      <c r="C6" s="0" t="n">
        <v>347.65</v>
      </c>
      <c r="F6" s="0" t="n">
        <v>76.493</v>
      </c>
      <c r="G6" s="0" t="n">
        <v>13.7796176301573</v>
      </c>
      <c r="H6" s="0" t="n">
        <v>91.613</v>
      </c>
      <c r="I6" s="0" t="n">
        <v>61.994</v>
      </c>
      <c r="J6" s="0" t="n">
        <v>11.1677358106489</v>
      </c>
      <c r="K6" s="0" t="n">
        <v>1.35</v>
      </c>
      <c r="L6" s="0" t="n">
        <v>58.225</v>
      </c>
      <c r="M6" s="0" t="n">
        <v>13.36</v>
      </c>
      <c r="N6" s="0" t="n">
        <v>44.865</v>
      </c>
      <c r="O6" s="0" t="n">
        <v>376.101</v>
      </c>
      <c r="P6" s="0" t="n">
        <v>432.877</v>
      </c>
      <c r="Q6" s="0" t="n">
        <v>56.776</v>
      </c>
      <c r="S6" s="0" t="n">
        <v>169.207</v>
      </c>
      <c r="T6" s="0" t="n">
        <v>48.358</v>
      </c>
      <c r="U6" s="0" t="n">
        <v>13.15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730.027</v>
      </c>
      <c r="C7" s="0" t="n">
        <v>456.53</v>
      </c>
      <c r="F7" s="0" t="n">
        <v>86.183</v>
      </c>
      <c r="G7" s="0" t="n">
        <v>11.8054537708879</v>
      </c>
      <c r="H7" s="0" t="n">
        <v>103.666</v>
      </c>
      <c r="I7" s="0" t="n">
        <v>69.641</v>
      </c>
      <c r="J7" s="0" t="n">
        <v>9.5395101825001</v>
      </c>
      <c r="K7" s="0" t="n">
        <v>1.48</v>
      </c>
      <c r="L7" s="0" t="n">
        <v>104.874</v>
      </c>
      <c r="M7" s="0" t="n">
        <v>11.916</v>
      </c>
      <c r="N7" s="0" t="n">
        <v>92.958</v>
      </c>
      <c r="O7" s="0" t="n">
        <v>464.05</v>
      </c>
      <c r="P7" s="0" t="n">
        <v>594.026</v>
      </c>
      <c r="Q7" s="0" t="n">
        <v>129.976</v>
      </c>
      <c r="R7" s="0" t="n">
        <v>0</v>
      </c>
      <c r="S7" s="0" t="n">
        <v>220.534</v>
      </c>
      <c r="T7" s="0" t="n">
        <v>49.734</v>
      </c>
      <c r="U7" s="0" t="n">
        <v>24.62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914.128</v>
      </c>
      <c r="C8" s="0" t="n">
        <v>566.913</v>
      </c>
      <c r="F8" s="0" t="n">
        <v>105.967</v>
      </c>
      <c r="G8" s="0" t="n">
        <v>11.5921402691964</v>
      </c>
      <c r="H8" s="0" t="n">
        <v>123.362</v>
      </c>
      <c r="I8" s="0" t="n">
        <v>84.456</v>
      </c>
      <c r="J8" s="0" t="n">
        <v>9.23896872210456</v>
      </c>
      <c r="K8" s="0" t="n">
        <v>1.73</v>
      </c>
      <c r="L8" s="0" t="n">
        <v>76.393</v>
      </c>
      <c r="M8" s="0" t="n">
        <v>13.272</v>
      </c>
      <c r="N8" s="0" t="n">
        <v>63.121</v>
      </c>
      <c r="O8" s="0" t="n">
        <v>613.223</v>
      </c>
      <c r="P8" s="0" t="n">
        <v>778.536</v>
      </c>
      <c r="Q8" s="0" t="n">
        <v>165.313</v>
      </c>
      <c r="R8" s="0" t="n">
        <v>35</v>
      </c>
      <c r="S8" s="0" t="n">
        <v>199.449</v>
      </c>
      <c r="T8" s="0" t="n">
        <v>51.985873</v>
      </c>
      <c r="U8" s="0" t="n">
        <v>45.833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1160.132</v>
      </c>
      <c r="C9" s="0" t="n">
        <v>737.186</v>
      </c>
      <c r="F9" s="0" t="n">
        <v>133.696</v>
      </c>
      <c r="G9" s="0" t="n">
        <v>11.524205866229</v>
      </c>
      <c r="H9" s="0" t="n">
        <v>157.083</v>
      </c>
      <c r="I9" s="0" t="n">
        <v>99.266</v>
      </c>
      <c r="J9" s="0" t="n">
        <v>8.55644012922667</v>
      </c>
      <c r="K9" s="0" t="n">
        <v>1.97</v>
      </c>
      <c r="L9" s="0" t="n">
        <v>167.217</v>
      </c>
      <c r="M9" s="0" t="n">
        <v>29.317</v>
      </c>
      <c r="N9" s="0" t="n">
        <v>137.9</v>
      </c>
      <c r="O9" s="0" t="n">
        <v>781.412</v>
      </c>
      <c r="P9" s="0" t="n">
        <v>925.811</v>
      </c>
      <c r="Q9" s="0" t="n">
        <v>144.399</v>
      </c>
      <c r="R9" s="0" t="n">
        <v>25.048</v>
      </c>
      <c r="S9" s="0" t="n">
        <v>362.025</v>
      </c>
      <c r="T9" s="0" t="n">
        <v>53.215</v>
      </c>
      <c r="U9" s="0" t="n">
        <v>49.244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1450.448</v>
      </c>
      <c r="C10" s="0" t="n">
        <v>921.352</v>
      </c>
      <c r="F10" s="0" t="n">
        <v>172.946</v>
      </c>
      <c r="G10" s="0" t="n">
        <v>11.9236263554433</v>
      </c>
      <c r="H10" s="0" t="n">
        <v>201.508</v>
      </c>
      <c r="I10" s="0" t="n">
        <v>72.76</v>
      </c>
      <c r="J10" s="0" t="n">
        <v>5.0163811456874</v>
      </c>
      <c r="K10" s="0" t="n">
        <v>1.4</v>
      </c>
      <c r="L10" s="0" t="n">
        <v>192.82</v>
      </c>
      <c r="M10" s="0" t="n">
        <v>29.806</v>
      </c>
      <c r="N10" s="0" t="n">
        <v>163.014</v>
      </c>
      <c r="O10" s="0" t="n">
        <v>974.947</v>
      </c>
      <c r="P10" s="0" t="n">
        <v>1250.256</v>
      </c>
      <c r="Q10" s="0" t="n">
        <v>275.309</v>
      </c>
      <c r="R10" s="0" t="n">
        <v>25.033</v>
      </c>
      <c r="S10" s="0" t="n">
        <v>582.585</v>
      </c>
      <c r="T10" s="0" t="n">
        <v>54.984173</v>
      </c>
      <c r="U10" s="0" t="n">
        <v>52.407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1842.912</v>
      </c>
      <c r="C11" s="0" t="n">
        <v>1186.921</v>
      </c>
      <c r="F11" s="0" t="n">
        <v>245.764</v>
      </c>
      <c r="G11" s="0" t="n">
        <v>13.335634040041</v>
      </c>
      <c r="H11" s="0" t="n">
        <v>282.404</v>
      </c>
      <c r="I11" s="0" t="n">
        <v>240.256</v>
      </c>
      <c r="J11" s="0" t="n">
        <v>13.0367592158497</v>
      </c>
      <c r="K11" s="0" t="n">
        <v>4.48</v>
      </c>
      <c r="L11" s="0" t="n">
        <v>292.218</v>
      </c>
      <c r="M11" s="0" t="n">
        <v>37.574</v>
      </c>
      <c r="N11" s="0" t="n">
        <v>254.644</v>
      </c>
      <c r="O11" s="0" t="n">
        <v>1262.596</v>
      </c>
      <c r="P11" s="0" t="n">
        <v>1611.802</v>
      </c>
      <c r="Q11" s="0" t="n">
        <v>349.206</v>
      </c>
      <c r="R11" s="0" t="n">
        <v>25.031</v>
      </c>
      <c r="S11" s="0" t="n">
        <v>770.56</v>
      </c>
      <c r="T11" s="0" t="n">
        <v>56.673</v>
      </c>
      <c r="U11" s="0" t="n">
        <v>59.188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2293.798</v>
      </c>
      <c r="C12" s="0" t="n">
        <v>1488.198</v>
      </c>
      <c r="F12" s="0" t="n">
        <v>302.85</v>
      </c>
      <c r="G12" s="0" t="n">
        <v>13.2029934632431</v>
      </c>
      <c r="H12" s="0" t="n">
        <v>348.167</v>
      </c>
      <c r="I12" s="0" t="n">
        <v>261.057</v>
      </c>
      <c r="J12" s="0" t="n">
        <v>11.3809934440609</v>
      </c>
      <c r="K12" s="0" t="n">
        <v>4.77</v>
      </c>
      <c r="L12" s="0" t="n">
        <v>287.453</v>
      </c>
      <c r="M12" s="0" t="n">
        <v>99.308</v>
      </c>
      <c r="N12" s="0" t="n">
        <v>188.145</v>
      </c>
      <c r="O12" s="0" t="n">
        <v>1596.145</v>
      </c>
      <c r="P12" s="0" t="n">
        <v>2244.208</v>
      </c>
      <c r="Q12" s="0" t="n">
        <v>648.063</v>
      </c>
      <c r="R12" s="0" t="n">
        <v>25.074</v>
      </c>
      <c r="S12" s="0" t="n">
        <v>936.552</v>
      </c>
      <c r="T12" s="0" t="n">
        <v>57.668</v>
      </c>
      <c r="U12" s="0" t="n">
        <v>72.036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2659.478</v>
      </c>
      <c r="C13" s="0" t="n">
        <v>1732.522</v>
      </c>
      <c r="F13" s="0" t="n">
        <v>379.324</v>
      </c>
      <c r="G13" s="0" t="n">
        <v>14.2630997511542</v>
      </c>
      <c r="H13" s="0" t="n">
        <v>442.198</v>
      </c>
      <c r="I13" s="0" t="n">
        <v>327.16</v>
      </c>
      <c r="J13" s="0" t="n">
        <v>12.3016622058915</v>
      </c>
      <c r="K13" s="0" t="n">
        <v>5.87</v>
      </c>
      <c r="L13" s="0" t="n">
        <v>544.407</v>
      </c>
      <c r="M13" s="0" t="n">
        <v>68.793</v>
      </c>
      <c r="N13" s="0" t="n">
        <v>475.614</v>
      </c>
      <c r="O13" s="0" t="n">
        <v>1983.018</v>
      </c>
      <c r="P13" s="0" t="n">
        <v>2721.332</v>
      </c>
      <c r="Q13" s="0" t="n">
        <v>738.314</v>
      </c>
      <c r="R13" s="0" t="n">
        <v>25.038</v>
      </c>
      <c r="S13" s="0" t="n">
        <v>1322.143</v>
      </c>
      <c r="T13" s="0" t="n">
        <v>58.446</v>
      </c>
      <c r="U13" s="0" t="n">
        <v>75.238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3758.144</v>
      </c>
      <c r="C14" s="0" t="n">
        <v>2483.697</v>
      </c>
      <c r="F14" s="0" t="n">
        <v>542.316</v>
      </c>
      <c r="G14" s="0" t="n">
        <v>14.4304209737573</v>
      </c>
      <c r="H14" s="0" t="n">
        <v>625.711</v>
      </c>
      <c r="I14" s="0" t="n">
        <v>481.652</v>
      </c>
      <c r="J14" s="0" t="n">
        <v>12.8162199213229</v>
      </c>
      <c r="K14" s="0" t="n">
        <v>8.52</v>
      </c>
      <c r="L14" s="0" t="n">
        <v>572.327</v>
      </c>
      <c r="M14" s="0" t="n">
        <v>111.501</v>
      </c>
      <c r="N14" s="0" t="n">
        <v>460.826</v>
      </c>
      <c r="O14" s="0" t="n">
        <v>2495.837</v>
      </c>
      <c r="P14" s="0" t="n">
        <v>3523.227</v>
      </c>
      <c r="Q14" s="0" t="n">
        <v>1027.39</v>
      </c>
      <c r="R14" s="0" t="n">
        <v>30.234</v>
      </c>
      <c r="S14" s="0" t="n">
        <v>1446.625</v>
      </c>
      <c r="T14" s="0" t="n">
        <v>59.064</v>
      </c>
      <c r="U14" s="0" t="n">
        <v>111.655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4824.698</v>
      </c>
      <c r="C15" s="0" t="n">
        <v>3286.683</v>
      </c>
      <c r="F15" s="0" t="n">
        <v>572.966</v>
      </c>
      <c r="G15" s="0" t="n">
        <v>11.8756863123868</v>
      </c>
      <c r="H15" s="0" t="n">
        <v>665.238</v>
      </c>
      <c r="I15" s="0" t="n">
        <v>419.416</v>
      </c>
      <c r="J15" s="0" t="n">
        <v>8.69310369270781</v>
      </c>
      <c r="K15" s="0" t="n">
        <v>7.32</v>
      </c>
      <c r="L15" s="0" t="n">
        <v>464.104</v>
      </c>
      <c r="M15" s="0" t="n">
        <v>81.629</v>
      </c>
      <c r="N15" s="0" t="n">
        <v>382.475</v>
      </c>
      <c r="O15" s="0" t="n">
        <v>3003.01</v>
      </c>
      <c r="P15" s="0" t="n">
        <v>4009.151</v>
      </c>
      <c r="Q15" s="0" t="n">
        <v>1006.141</v>
      </c>
      <c r="R15" s="0" t="n">
        <v>27.693</v>
      </c>
      <c r="S15" s="0" t="n">
        <v>1681.344</v>
      </c>
      <c r="T15" s="0" t="n">
        <v>59.169</v>
      </c>
      <c r="U15" s="0" t="n">
        <v>99.909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4690.54</v>
      </c>
      <c r="C16" s="0" t="n">
        <v>3256.514</v>
      </c>
      <c r="F16" s="0" t="n">
        <v>501.239</v>
      </c>
      <c r="G16" s="0" t="n">
        <v>10.6861683302989</v>
      </c>
      <c r="H16" s="0" t="n">
        <v>593.039</v>
      </c>
      <c r="I16" s="0" t="n">
        <v>417.083</v>
      </c>
      <c r="J16" s="0" t="n">
        <v>8.89200390573367</v>
      </c>
      <c r="K16" s="0" t="n">
        <v>7.21</v>
      </c>
      <c r="L16" s="0" t="n">
        <v>562.634</v>
      </c>
      <c r="M16" s="0" t="n">
        <v>28.415</v>
      </c>
      <c r="N16" s="0" t="n">
        <v>534.219</v>
      </c>
      <c r="O16" s="0" t="n">
        <v>3471.47</v>
      </c>
      <c r="P16" s="0" t="n">
        <v>4352.365</v>
      </c>
      <c r="Q16" s="0" t="n">
        <v>880.895</v>
      </c>
      <c r="R16" s="0" t="n">
        <v>26.126</v>
      </c>
      <c r="S16" s="0" t="n">
        <v>2036.235</v>
      </c>
      <c r="T16" s="0" t="n">
        <v>59.085</v>
      </c>
      <c r="U16" s="0" t="n">
        <v>147.73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4727.94</v>
      </c>
      <c r="C17" s="0" t="n">
        <v>3277.497</v>
      </c>
      <c r="F17" s="0" t="n">
        <v>544.584</v>
      </c>
      <c r="G17" s="0" t="n">
        <v>11.5184202845214</v>
      </c>
      <c r="H17" s="0" t="n">
        <v>634.143</v>
      </c>
      <c r="I17" s="0" t="n">
        <v>454.533</v>
      </c>
      <c r="J17" s="0" t="n">
        <v>9.61376413406262</v>
      </c>
      <c r="K17" s="0" t="n">
        <v>7.93</v>
      </c>
      <c r="L17" s="0" t="n">
        <v>559.168</v>
      </c>
      <c r="M17" s="0" t="n">
        <v>32.146</v>
      </c>
      <c r="N17" s="0" t="n">
        <v>527.022</v>
      </c>
      <c r="O17" s="0" t="n">
        <v>3631.151</v>
      </c>
      <c r="P17" s="0" t="n">
        <v>4750.473</v>
      </c>
      <c r="Q17" s="0" t="n">
        <v>1119.322</v>
      </c>
      <c r="R17" s="0" t="n">
        <v>25.194</v>
      </c>
      <c r="S17" s="0" t="n">
        <v>1286.267</v>
      </c>
      <c r="T17" s="0" t="n">
        <v>57.983</v>
      </c>
      <c r="U17" s="0" t="n">
        <v>167.297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5457.056</v>
      </c>
      <c r="C18" s="0" t="n">
        <v>3883.535</v>
      </c>
      <c r="F18" s="0" t="n">
        <v>520.003</v>
      </c>
      <c r="G18" s="0" t="n">
        <v>9.52900245113849</v>
      </c>
      <c r="H18" s="0" t="n">
        <v>644.814</v>
      </c>
      <c r="I18" s="0" t="n">
        <v>377.678</v>
      </c>
      <c r="J18" s="0" t="n">
        <v>6.92091120193746</v>
      </c>
      <c r="K18" s="0" t="n">
        <v>6.76</v>
      </c>
      <c r="L18" s="0" t="n">
        <v>654.934</v>
      </c>
      <c r="M18" s="0" t="n">
        <v>42.243</v>
      </c>
      <c r="N18" s="0" t="n">
        <v>612.691</v>
      </c>
      <c r="O18" s="0" t="n">
        <v>3677.808</v>
      </c>
      <c r="P18" s="0" t="n">
        <v>4902.136</v>
      </c>
      <c r="Q18" s="0" t="n">
        <v>1224.328</v>
      </c>
      <c r="R18" s="0" t="n">
        <v>25.034</v>
      </c>
      <c r="S18" s="0" t="n">
        <v>1296.077</v>
      </c>
      <c r="T18" s="0" t="n">
        <v>56.233</v>
      </c>
      <c r="U18" s="0" t="n">
        <v>176.764</v>
      </c>
      <c r="AA18" s="0" t="s">
        <v>17</v>
      </c>
      <c r="AB18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108.23</v>
      </c>
    </row>
    <row r="3" customFormat="false" ht="15" hidden="false" customHeight="false" outlineLevel="0" collapsed="false">
      <c r="A3" s="0" t="s">
        <v>83</v>
      </c>
      <c r="B3" s="3" t="n">
        <v>52.2</v>
      </c>
    </row>
    <row r="4" customFormat="false" ht="15" hidden="false" customHeight="false" outlineLevel="0" collapsed="false">
      <c r="A4" s="0" t="s">
        <v>84</v>
      </c>
      <c r="B4" s="3" t="n">
        <v>-764.4</v>
      </c>
    </row>
    <row r="5" customFormat="false" ht="15" hidden="false" customHeight="false" outlineLevel="0" collapsed="false">
      <c r="A5" s="0" t="s">
        <v>85</v>
      </c>
      <c r="B5" s="3" t="n">
        <v>-37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5457.056</v>
      </c>
    </row>
    <row r="8" customFormat="false" ht="15" hidden="false" customHeight="false" outlineLevel="0" collapsed="false">
      <c r="A8" s="0" t="s">
        <v>88</v>
      </c>
      <c r="B8" s="3" t="s">
        <v>79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1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3.2</v>
      </c>
      <c r="D13" s="3" t="n">
        <v>-1</v>
      </c>
      <c r="E13" s="3" t="n">
        <v>-4</v>
      </c>
      <c r="F13" s="3" t="n">
        <v>-4</v>
      </c>
      <c r="G13" s="3" t="n">
        <v>-2</v>
      </c>
      <c r="H13" s="3" t="n">
        <v>0</v>
      </c>
      <c r="I13" s="3" t="n">
        <v>1</v>
      </c>
      <c r="J13" s="3" t="n">
        <v>1.5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104</v>
      </c>
      <c r="C14" s="3" t="n">
        <v>15</v>
      </c>
      <c r="D14" s="3" t="n">
        <v>14</v>
      </c>
      <c r="E14" s="3" t="n">
        <v>13</v>
      </c>
      <c r="F14" s="3" t="n">
        <v>12.5</v>
      </c>
      <c r="G14" s="3" t="n">
        <v>12</v>
      </c>
      <c r="H14" s="3" t="n">
        <v>12</v>
      </c>
      <c r="I14" s="3" t="n">
        <v>12</v>
      </c>
      <c r="J14" s="3" t="n">
        <v>12</v>
      </c>
      <c r="K14" s="3" t="n">
        <v>12</v>
      </c>
      <c r="L14" s="3" t="n">
        <v>12</v>
      </c>
    </row>
    <row r="15" customFormat="false" ht="15" hidden="false" customHeight="false" outlineLevel="0" collapsed="false">
      <c r="A15" s="0" t="s">
        <v>105</v>
      </c>
      <c r="C15" s="3" t="n">
        <v>3.9</v>
      </c>
      <c r="D15" s="3" t="n">
        <v>3.9</v>
      </c>
      <c r="E15" s="3" t="n">
        <v>3.9</v>
      </c>
      <c r="F15" s="3" t="n">
        <v>3.8</v>
      </c>
      <c r="G15" s="3" t="n">
        <v>3.8</v>
      </c>
      <c r="H15" s="3" t="n">
        <v>3.7</v>
      </c>
      <c r="I15" s="3" t="n">
        <v>3.7</v>
      </c>
      <c r="J15" s="3" t="n">
        <v>3.6</v>
      </c>
      <c r="K15" s="3" t="n">
        <v>3.6</v>
      </c>
      <c r="L15" s="3" t="n">
        <v>3.5</v>
      </c>
    </row>
    <row r="16" customFormat="false" ht="15" hidden="false" customHeight="false" outlineLevel="0" collapsed="false">
      <c r="A16" s="0" t="s">
        <v>106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107</v>
      </c>
      <c r="C17" s="3" t="n">
        <v>2.2</v>
      </c>
      <c r="D17" s="3" t="n">
        <v>2</v>
      </c>
      <c r="E17" s="3" t="n">
        <v>1.8</v>
      </c>
      <c r="F17" s="3" t="n">
        <v>1.6</v>
      </c>
      <c r="G17" s="3" t="n">
        <v>1.5</v>
      </c>
      <c r="H17" s="3" t="n">
        <v>1.4</v>
      </c>
      <c r="I17" s="3" t="n">
        <v>1.3</v>
      </c>
      <c r="J17" s="3" t="n">
        <v>1.3</v>
      </c>
      <c r="K17" s="3" t="n">
        <v>1.3</v>
      </c>
      <c r="L17" s="3" t="n">
        <v>1.3</v>
      </c>
    </row>
    <row r="18" customFormat="false" ht="15" hidden="false" customHeight="false" outlineLevel="0" collapsed="false">
      <c r="A18" s="0" t="s">
        <v>108</v>
      </c>
      <c r="C18" s="3" t="n">
        <v>1</v>
      </c>
      <c r="D18" s="3" t="n">
        <v>1</v>
      </c>
      <c r="E18" s="3" t="n">
        <v>1</v>
      </c>
      <c r="F18" s="3" t="n">
        <v>1</v>
      </c>
      <c r="G18" s="3" t="n">
        <v>1.1</v>
      </c>
      <c r="H18" s="3" t="n">
        <v>1.1</v>
      </c>
      <c r="I18" s="3" t="n">
        <v>1.2</v>
      </c>
      <c r="J18" s="3" t="n">
        <v>1.2</v>
      </c>
      <c r="K18" s="3" t="n">
        <v>1.2</v>
      </c>
      <c r="L18" s="3" t="n">
        <v>1.2</v>
      </c>
    </row>
    <row r="19" customFormat="false" ht="15" hidden="false" customHeight="false" outlineLevel="0" collapsed="false">
      <c r="A19" s="0" t="s">
        <v>109</v>
      </c>
      <c r="C19" s="3" t="n">
        <v>31</v>
      </c>
      <c r="D19" s="3" t="n">
        <v>29</v>
      </c>
      <c r="E19" s="3" t="n">
        <v>28</v>
      </c>
      <c r="F19" s="3" t="n">
        <v>27</v>
      </c>
      <c r="G19" s="3" t="n">
        <v>26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110</v>
      </c>
      <c r="B20" s="3" t="n">
        <v>10.5</v>
      </c>
    </row>
    <row r="21" customFormat="false" ht="15" hidden="false" customHeight="false" outlineLevel="0" collapsed="false">
      <c r="A21" s="0" t="s">
        <v>111</v>
      </c>
      <c r="B21" s="3" t="n">
        <v>1.5</v>
      </c>
    </row>
    <row r="22" customFormat="false" ht="15" hidden="false" customHeight="false" outlineLevel="0" collapsed="false">
      <c r="A22" s="0" t="s">
        <v>112</v>
      </c>
      <c r="B22" s="3" t="n">
        <v>12</v>
      </c>
    </row>
    <row r="23" customFormat="false" ht="15" hidden="false" customHeight="false" outlineLevel="0" collapsed="false">
      <c r="A23" s="0" t="s">
        <v>113</v>
      </c>
      <c r="B23" s="3" t="n">
        <v>-10</v>
      </c>
    </row>
    <row r="24" customFormat="false" ht="15" hidden="false" customHeight="false" outlineLevel="0" collapsed="false">
      <c r="A24" s="0" t="s">
        <v>114</v>
      </c>
      <c r="B24" s="3" t="n">
        <v>0.3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3.7</v>
      </c>
      <c r="D27" s="3" t="n">
        <v>4</v>
      </c>
      <c r="E27" s="3" t="n">
        <v>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104</v>
      </c>
      <c r="C28" s="3" t="n">
        <v>15.5</v>
      </c>
      <c r="D28" s="3" t="n">
        <v>15.7</v>
      </c>
      <c r="E28" s="3" t="n">
        <v>16</v>
      </c>
      <c r="F28" s="3" t="n">
        <v>16.2</v>
      </c>
      <c r="G28" s="3" t="n">
        <v>16.4</v>
      </c>
      <c r="H28" s="3" t="n">
        <v>16.5</v>
      </c>
      <c r="I28" s="3" t="n">
        <v>16.5</v>
      </c>
      <c r="J28" s="3" t="n">
        <v>16.5</v>
      </c>
      <c r="K28" s="3" t="n">
        <v>16.5</v>
      </c>
      <c r="L28" s="3" t="n">
        <v>16.5</v>
      </c>
    </row>
    <row r="29" customFormat="false" ht="15" hidden="false" customHeight="false" outlineLevel="0" collapsed="false">
      <c r="A29" s="0" t="s">
        <v>105</v>
      </c>
      <c r="C29" s="3" t="n">
        <v>3.9</v>
      </c>
      <c r="D29" s="3" t="n">
        <v>3.8</v>
      </c>
      <c r="E29" s="3" t="n">
        <v>3.7</v>
      </c>
      <c r="F29" s="3" t="n">
        <v>3.6</v>
      </c>
      <c r="G29" s="3" t="n">
        <v>3.5</v>
      </c>
      <c r="H29" s="3" t="n">
        <v>3.4</v>
      </c>
      <c r="I29" s="3" t="n">
        <v>3.3</v>
      </c>
      <c r="J29" s="3" t="n">
        <v>3.2</v>
      </c>
      <c r="K29" s="3" t="n">
        <v>3.1</v>
      </c>
      <c r="L29" s="3" t="n">
        <v>3</v>
      </c>
    </row>
    <row r="30" customFormat="false" ht="15" hidden="false" customHeight="false" outlineLevel="0" collapsed="false">
      <c r="A30" s="0" t="s">
        <v>106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107</v>
      </c>
      <c r="C31" s="3" t="n">
        <v>2.2</v>
      </c>
      <c r="D31" s="3" t="n">
        <v>2</v>
      </c>
      <c r="E31" s="3" t="n">
        <v>1.8</v>
      </c>
      <c r="F31" s="3" t="n">
        <v>1.6</v>
      </c>
      <c r="G31" s="3" t="n">
        <v>1.5</v>
      </c>
      <c r="H31" s="3" t="n">
        <v>1.4</v>
      </c>
      <c r="I31" s="3" t="n">
        <v>1.3</v>
      </c>
      <c r="J31" s="3" t="n">
        <v>1.3</v>
      </c>
      <c r="K31" s="3" t="n">
        <v>1.3</v>
      </c>
      <c r="L31" s="3" t="n">
        <v>1.3</v>
      </c>
    </row>
    <row r="32" customFormat="false" ht="15" hidden="false" customHeight="false" outlineLevel="0" collapsed="false">
      <c r="A32" s="0" t="s">
        <v>108</v>
      </c>
      <c r="C32" s="3" t="n">
        <v>1</v>
      </c>
      <c r="D32" s="3" t="n">
        <v>1.1</v>
      </c>
      <c r="E32" s="3" t="n">
        <v>1.2</v>
      </c>
      <c r="F32" s="3" t="n">
        <v>1.2</v>
      </c>
      <c r="G32" s="3" t="n">
        <v>1.3</v>
      </c>
      <c r="H32" s="3" t="n">
        <v>1.3</v>
      </c>
      <c r="I32" s="3" t="n">
        <v>1.3</v>
      </c>
      <c r="J32" s="3" t="n">
        <v>1.3</v>
      </c>
      <c r="K32" s="3" t="n">
        <v>1.3</v>
      </c>
      <c r="L32" s="3" t="n">
        <v>1.3</v>
      </c>
    </row>
    <row r="33" customFormat="false" ht="15" hidden="false" customHeight="false" outlineLevel="0" collapsed="false">
      <c r="A33" s="0" t="s">
        <v>109</v>
      </c>
      <c r="C33" s="3" t="n">
        <v>31</v>
      </c>
      <c r="D33" s="3" t="n">
        <v>29</v>
      </c>
      <c r="E33" s="3" t="n">
        <v>28</v>
      </c>
      <c r="F33" s="3" t="n">
        <v>27</v>
      </c>
      <c r="G33" s="3" t="n">
        <v>26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110</v>
      </c>
      <c r="B34" s="3" t="n">
        <v>10.5</v>
      </c>
    </row>
    <row r="35" customFormat="false" ht="15" hidden="false" customHeight="false" outlineLevel="0" collapsed="false">
      <c r="A35" s="0" t="s">
        <v>111</v>
      </c>
      <c r="B35" s="3" t="n">
        <v>2.5</v>
      </c>
    </row>
    <row r="36" customFormat="false" ht="15" hidden="false" customHeight="false" outlineLevel="0" collapsed="false">
      <c r="A36" s="0" t="s">
        <v>112</v>
      </c>
      <c r="B36" s="3" t="n">
        <v>15</v>
      </c>
    </row>
    <row r="37" customFormat="false" ht="15" hidden="false" customHeight="false" outlineLevel="0" collapsed="false">
      <c r="A37" s="0" t="s">
        <v>113</v>
      </c>
      <c r="B37" s="3" t="n">
        <v>-10</v>
      </c>
    </row>
    <row r="38" customFormat="false" ht="15" hidden="false" customHeight="false" outlineLevel="0" collapsed="false">
      <c r="A38" s="0" t="s">
        <v>114</v>
      </c>
      <c r="B38" s="3" t="n">
        <v>0.45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4.2</v>
      </c>
      <c r="D41" s="3" t="n">
        <v>7</v>
      </c>
      <c r="E41" s="3" t="n">
        <v>9</v>
      </c>
      <c r="F41" s="3" t="n">
        <v>9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</v>
      </c>
      <c r="L41" s="3" t="n">
        <v>3</v>
      </c>
    </row>
    <row r="42" customFormat="false" ht="15" hidden="false" customHeight="false" outlineLevel="0" collapsed="false">
      <c r="A42" s="0" t="s">
        <v>104</v>
      </c>
      <c r="C42" s="3" t="n">
        <v>15.8</v>
      </c>
      <c r="D42" s="3" t="n">
        <v>16.2</v>
      </c>
      <c r="E42" s="3" t="n">
        <v>16.8</v>
      </c>
      <c r="F42" s="3" t="n">
        <v>17.3</v>
      </c>
      <c r="G42" s="3" t="n">
        <v>17.7</v>
      </c>
      <c r="H42" s="3" t="n">
        <v>18</v>
      </c>
      <c r="I42" s="3" t="n">
        <v>18</v>
      </c>
      <c r="J42" s="3" t="n">
        <v>18</v>
      </c>
      <c r="K42" s="3" t="n">
        <v>18</v>
      </c>
      <c r="L42" s="3" t="n">
        <v>18</v>
      </c>
    </row>
    <row r="43" customFormat="false" ht="15" hidden="false" customHeight="false" outlineLevel="0" collapsed="false">
      <c r="A43" s="0" t="s">
        <v>105</v>
      </c>
      <c r="C43" s="3" t="n">
        <v>3.9</v>
      </c>
      <c r="D43" s="3" t="n">
        <v>3.8</v>
      </c>
      <c r="E43" s="3" t="n">
        <v>3.7</v>
      </c>
      <c r="F43" s="3" t="n">
        <v>3.6</v>
      </c>
      <c r="G43" s="3" t="n">
        <v>3.5</v>
      </c>
      <c r="H43" s="3" t="n">
        <v>3.4</v>
      </c>
      <c r="I43" s="3" t="n">
        <v>3.3</v>
      </c>
      <c r="J43" s="3" t="n">
        <v>3.2</v>
      </c>
      <c r="K43" s="3" t="n">
        <v>3.1</v>
      </c>
      <c r="L43" s="3" t="n">
        <v>3</v>
      </c>
    </row>
    <row r="44" customFormat="false" ht="15" hidden="false" customHeight="false" outlineLevel="0" collapsed="false">
      <c r="A44" s="0" t="s">
        <v>106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107</v>
      </c>
      <c r="C45" s="3" t="n">
        <v>2.2</v>
      </c>
      <c r="D45" s="3" t="n">
        <v>2</v>
      </c>
      <c r="E45" s="3" t="n">
        <v>1.8</v>
      </c>
      <c r="F45" s="3" t="n">
        <v>1.6</v>
      </c>
      <c r="G45" s="3" t="n">
        <v>1.5</v>
      </c>
      <c r="H45" s="3" t="n">
        <v>1.4</v>
      </c>
      <c r="I45" s="3" t="n">
        <v>1.3</v>
      </c>
      <c r="J45" s="3" t="n">
        <v>1.3</v>
      </c>
      <c r="K45" s="3" t="n">
        <v>1.3</v>
      </c>
      <c r="L45" s="3" t="n">
        <v>1.3</v>
      </c>
    </row>
    <row r="46" customFormat="false" ht="15" hidden="false" customHeight="false" outlineLevel="0" collapsed="false">
      <c r="A46" s="0" t="s">
        <v>108</v>
      </c>
      <c r="C46" s="3" t="n">
        <v>1</v>
      </c>
      <c r="D46" s="3" t="n">
        <v>1.1</v>
      </c>
      <c r="E46" s="3" t="n">
        <v>1.2</v>
      </c>
      <c r="F46" s="3" t="n">
        <v>1.3</v>
      </c>
      <c r="G46" s="3" t="n">
        <v>1.3</v>
      </c>
      <c r="H46" s="3" t="n">
        <v>1.3</v>
      </c>
      <c r="I46" s="3" t="n">
        <v>1.3</v>
      </c>
      <c r="J46" s="3" t="n">
        <v>1.3</v>
      </c>
      <c r="K46" s="3" t="n">
        <v>1.3</v>
      </c>
      <c r="L46" s="3" t="n">
        <v>1.3</v>
      </c>
    </row>
    <row r="47" customFormat="false" ht="15" hidden="false" customHeight="false" outlineLevel="0" collapsed="false">
      <c r="A47" s="0" t="s">
        <v>109</v>
      </c>
      <c r="C47" s="3" t="n">
        <v>31</v>
      </c>
      <c r="D47" s="3" t="n">
        <v>29</v>
      </c>
      <c r="E47" s="3" t="n">
        <v>28</v>
      </c>
      <c r="F47" s="3" t="n">
        <v>27</v>
      </c>
      <c r="G47" s="3" t="n">
        <v>26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110</v>
      </c>
      <c r="B48" s="3" t="n">
        <v>10.5</v>
      </c>
    </row>
    <row r="49" customFormat="false" ht="15" hidden="false" customHeight="false" outlineLevel="0" collapsed="false">
      <c r="A49" s="0" t="s">
        <v>111</v>
      </c>
      <c r="B49" s="3" t="n">
        <v>3</v>
      </c>
    </row>
    <row r="50" customFormat="false" ht="15" hidden="false" customHeight="false" outlineLevel="0" collapsed="false">
      <c r="A50" s="0" t="s">
        <v>112</v>
      </c>
      <c r="B50" s="3" t="n">
        <v>15</v>
      </c>
    </row>
    <row r="51" customFormat="false" ht="15" hidden="false" customHeight="false" outlineLevel="0" collapsed="false">
      <c r="A51" s="0" t="s">
        <v>113</v>
      </c>
      <c r="B51" s="3" t="n">
        <v>-10</v>
      </c>
    </row>
    <row r="52" customFormat="false" ht="15" hidden="false" customHeight="false" outlineLevel="0" collapsed="false">
      <c r="A52" s="0" t="s">
        <v>114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3.2</v>
      </c>
      <c r="D5" s="4" t="n">
        <f aca="false">Assumptions!D13</f>
        <v>-1</v>
      </c>
      <c r="E5" s="4" t="n">
        <f aca="false">Assumptions!E13</f>
        <v>-4</v>
      </c>
      <c r="F5" s="4" t="n">
        <f aca="false">Assumptions!F13</f>
        <v>-4</v>
      </c>
      <c r="G5" s="4" t="n">
        <f aca="false">Assumptions!G13</f>
        <v>-2</v>
      </c>
      <c r="H5" s="4" t="n">
        <f aca="false">Assumptions!H13</f>
        <v>0</v>
      </c>
      <c r="I5" s="4" t="n">
        <f aca="false">Assumptions!I13</f>
        <v>1</v>
      </c>
      <c r="J5" s="4" t="n">
        <f aca="false">Assumptions!J13</f>
        <v>1.5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5457.056</v>
      </c>
      <c r="C6" s="0" t="n">
        <f aca="false">B6*(1+C5/100)</f>
        <v>5631.681792</v>
      </c>
      <c r="D6" s="0" t="n">
        <f aca="false">C6*(1+D5/100)</f>
        <v>5575.36497408</v>
      </c>
      <c r="E6" s="0" t="n">
        <f aca="false">D6*(1+E5/100)</f>
        <v>5352.3503751168</v>
      </c>
      <c r="F6" s="0" t="n">
        <f aca="false">E6*(1+F5/100)</f>
        <v>5138.25636011213</v>
      </c>
      <c r="G6" s="0" t="n">
        <f aca="false">F6*(1+G5/100)</f>
        <v>5035.49123290988</v>
      </c>
      <c r="H6" s="0" t="n">
        <f aca="false">G6*(1+H5/100)</f>
        <v>5035.49123290988</v>
      </c>
      <c r="I6" s="0" t="n">
        <f aca="false">H6*(1+I5/100)</f>
        <v>5085.84614523898</v>
      </c>
      <c r="J6" s="0" t="n">
        <f aca="false">I6*(1+J5/100)</f>
        <v>5162.13383741757</v>
      </c>
      <c r="K6" s="0" t="n">
        <f aca="false">J6*(1+K5/100)</f>
        <v>5265.37651416592</v>
      </c>
      <c r="L6" s="0" t="n">
        <f aca="false">K6*(1+L5/100)</f>
        <v>5370.68404444924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15</v>
      </c>
      <c r="D7" s="4" t="n">
        <f aca="false">Assumptions!D14</f>
        <v>14</v>
      </c>
      <c r="E7" s="4" t="n">
        <f aca="false">Assumptions!E14</f>
        <v>13</v>
      </c>
      <c r="F7" s="4" t="n">
        <f aca="false">Assumptions!F14</f>
        <v>12.5</v>
      </c>
      <c r="G7" s="4" t="n">
        <f aca="false">Assumptions!G14</f>
        <v>12</v>
      </c>
      <c r="H7" s="4" t="n">
        <f aca="false">Assumptions!H14</f>
        <v>12</v>
      </c>
      <c r="I7" s="4" t="n">
        <f aca="false">Assumptions!I14</f>
        <v>12</v>
      </c>
      <c r="J7" s="4" t="n">
        <f aca="false">Assumptions!J14</f>
        <v>12</v>
      </c>
      <c r="K7" s="4" t="n">
        <f aca="false">Assumptions!K14</f>
        <v>12</v>
      </c>
      <c r="L7" s="4" t="n">
        <f aca="false">Assumptions!L14</f>
        <v>12</v>
      </c>
    </row>
    <row r="8" customFormat="false" ht="15" hidden="false" customHeight="false" outlineLevel="0" collapsed="false">
      <c r="A8" s="0" t="s">
        <v>43</v>
      </c>
      <c r="C8" s="0" t="n">
        <f aca="false">C6*C7/100</f>
        <v>844.7522688</v>
      </c>
      <c r="D8" s="0" t="n">
        <f aca="false">D6*D7/100</f>
        <v>780.5510963712</v>
      </c>
      <c r="E8" s="0" t="n">
        <f aca="false">E6*E7/100</f>
        <v>695.805548765184</v>
      </c>
      <c r="F8" s="0" t="n">
        <f aca="false">F6*F7/100</f>
        <v>642.282045014016</v>
      </c>
      <c r="G8" s="0" t="n">
        <f aca="false">G6*G7/100</f>
        <v>604.258947949186</v>
      </c>
      <c r="H8" s="0" t="n">
        <f aca="false">H6*H7/100</f>
        <v>604.258947949186</v>
      </c>
      <c r="I8" s="0" t="n">
        <f aca="false">I6*I7/100</f>
        <v>610.301537428678</v>
      </c>
      <c r="J8" s="0" t="n">
        <f aca="false">J6*J7/100</f>
        <v>619.456060490108</v>
      </c>
      <c r="K8" s="0" t="n">
        <f aca="false">K6*K7/100</f>
        <v>631.84518169991</v>
      </c>
      <c r="L8" s="0" t="n">
        <f aca="false">L6*L7/100</f>
        <v>644.482085333909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3.9</v>
      </c>
      <c r="D9" s="4" t="n">
        <f aca="false">Assumptions!D15</f>
        <v>3.9</v>
      </c>
      <c r="E9" s="4" t="n">
        <f aca="false">Assumptions!E15</f>
        <v>3.9</v>
      </c>
      <c r="F9" s="4" t="n">
        <f aca="false">Assumptions!F15</f>
        <v>3.8</v>
      </c>
      <c r="G9" s="4" t="n">
        <f aca="false">Assumptions!G15</f>
        <v>3.8</v>
      </c>
      <c r="H9" s="4" t="n">
        <f aca="false">Assumptions!H15</f>
        <v>3.7</v>
      </c>
      <c r="I9" s="4" t="n">
        <f aca="false">Assumptions!I15</f>
        <v>3.7</v>
      </c>
      <c r="J9" s="4" t="n">
        <f aca="false">Assumptions!J15</f>
        <v>3.6</v>
      </c>
      <c r="K9" s="4" t="n">
        <f aca="false">Assumptions!K15</f>
        <v>3.6</v>
      </c>
      <c r="L9" s="4" t="n">
        <f aca="false">Assumptions!L15</f>
        <v>3.5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-219.635589888</v>
      </c>
      <c r="D10" s="0" t="n">
        <f aca="false">-D6*D9/100</f>
        <v>-217.43923398912</v>
      </c>
      <c r="E10" s="0" t="n">
        <f aca="false">-E6*E9/100</f>
        <v>-208.741664629555</v>
      </c>
      <c r="F10" s="0" t="n">
        <f aca="false">-F6*F9/100</f>
        <v>-195.253741684261</v>
      </c>
      <c r="G10" s="0" t="n">
        <f aca="false">-G6*G9/100</f>
        <v>-191.348666850576</v>
      </c>
      <c r="H10" s="0" t="n">
        <f aca="false">-H6*H9/100</f>
        <v>-186.313175617666</v>
      </c>
      <c r="I10" s="0" t="n">
        <f aca="false">-I6*I9/100</f>
        <v>-188.176307373842</v>
      </c>
      <c r="J10" s="0" t="n">
        <f aca="false">-J6*J9/100</f>
        <v>-185.836818147032</v>
      </c>
      <c r="K10" s="0" t="n">
        <f aca="false">-K6*K9/100</f>
        <v>-189.553554509973</v>
      </c>
      <c r="L10" s="0" t="n">
        <f aca="false">-L6*L9/100</f>
        <v>-187.973941555723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625.116678912</v>
      </c>
      <c r="D11" s="0" t="n">
        <f aca="false">D8+D10+D24</f>
        <v>563.11186238208</v>
      </c>
      <c r="E11" s="0" t="n">
        <f aca="false">E8+E10+E24</f>
        <v>487.063884135629</v>
      </c>
      <c r="F11" s="0" t="n">
        <f aca="false">F8+F10+F24</f>
        <v>447.028303329755</v>
      </c>
      <c r="G11" s="0" t="n">
        <f aca="false">G8+G10+G24</f>
        <v>412.910281098611</v>
      </c>
      <c r="H11" s="0" t="n">
        <f aca="false">H8+H10+H24</f>
        <v>417.94577233152</v>
      </c>
      <c r="I11" s="0" t="n">
        <f aca="false">I8+I10+I24</f>
        <v>422.125230054836</v>
      </c>
      <c r="J11" s="0" t="n">
        <f aca="false">J8+J10+J24</f>
        <v>433.619242343076</v>
      </c>
      <c r="K11" s="0" t="n">
        <f aca="false">K8+K10+K24</f>
        <v>442.291627189937</v>
      </c>
      <c r="L11" s="0" t="n">
        <f aca="false">L8+L10+L24</f>
        <v>456.508143778185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-123.896999424</v>
      </c>
      <c r="D12" s="4" t="n">
        <f aca="false">-D6*Assumptions!D17/100</f>
        <v>-111.5072994816</v>
      </c>
      <c r="E12" s="4" t="n">
        <f aca="false">-E6*Assumptions!E17/100</f>
        <v>-96.3423067521024</v>
      </c>
      <c r="F12" s="4" t="n">
        <f aca="false">-F6*Assumptions!F17/100</f>
        <v>-82.212101761794</v>
      </c>
      <c r="G12" s="4" t="n">
        <f aca="false">-G6*Assumptions!G17/100</f>
        <v>-75.5323684936483</v>
      </c>
      <c r="H12" s="4" t="n">
        <f aca="false">-H6*Assumptions!H17/100</f>
        <v>-70.4968772607384</v>
      </c>
      <c r="I12" s="4" t="n">
        <f aca="false">-I6*Assumptions!I17/100</f>
        <v>-66.1159998881068</v>
      </c>
      <c r="J12" s="4" t="n">
        <f aca="false">-J6*Assumptions!J17/100</f>
        <v>-67.1077398864284</v>
      </c>
      <c r="K12" s="4" t="n">
        <f aca="false">-K6*Assumptions!K17/100</f>
        <v>-68.4498946841569</v>
      </c>
      <c r="L12" s="4" t="n">
        <f aca="false">-L6*Assumptions!L17/100</f>
        <v>-69.8188925778401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501.219679488</v>
      </c>
      <c r="D13" s="0" t="n">
        <f aca="false">D11+D12</f>
        <v>451.60456290048</v>
      </c>
      <c r="E13" s="0" t="n">
        <f aca="false">E11+E12</f>
        <v>390.721577383526</v>
      </c>
      <c r="F13" s="0" t="n">
        <f aca="false">F11+F12</f>
        <v>364.816201567961</v>
      </c>
      <c r="G13" s="0" t="n">
        <f aca="false">G11+G12</f>
        <v>337.377912604962</v>
      </c>
      <c r="H13" s="0" t="n">
        <f aca="false">H11+H12</f>
        <v>347.448895070782</v>
      </c>
      <c r="I13" s="0" t="n">
        <f aca="false">I11+I12</f>
        <v>356.009230166729</v>
      </c>
      <c r="J13" s="0" t="n">
        <f aca="false">J11+J12</f>
        <v>366.511502456647</v>
      </c>
      <c r="K13" s="0" t="n">
        <f aca="false">K11+K12</f>
        <v>373.84173250578</v>
      </c>
      <c r="L13" s="0" t="n">
        <f aca="false">L11+L12</f>
        <v>386.689251200345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31</v>
      </c>
      <c r="D14" s="4" t="n">
        <f aca="false">Assumptions!D19</f>
        <v>29</v>
      </c>
      <c r="E14" s="4" t="n">
        <f aca="false">Assumptions!E19</f>
        <v>28</v>
      </c>
      <c r="F14" s="4" t="n">
        <f aca="false">Assumptions!F19</f>
        <v>27</v>
      </c>
      <c r="G14" s="4" t="n">
        <f aca="false">Assumptions!G19</f>
        <v>26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345.84157884672</v>
      </c>
      <c r="D15" s="0" t="n">
        <f aca="false">D13-MAX(0,D13)*D14/100</f>
        <v>320.639239659341</v>
      </c>
      <c r="E15" s="0" t="n">
        <f aca="false">E13-MAX(0,E13)*E14/100</f>
        <v>281.319535716139</v>
      </c>
      <c r="F15" s="0" t="n">
        <f aca="false">F13-MAX(0,F13)*F14/100</f>
        <v>266.315827144612</v>
      </c>
      <c r="G15" s="0" t="n">
        <f aca="false">G13-MAX(0,G13)*G14/100</f>
        <v>249.659655327672</v>
      </c>
      <c r="H15" s="0" t="n">
        <f aca="false">H13-MAX(0,H13)*H14/100</f>
        <v>260.586671303087</v>
      </c>
      <c r="I15" s="0" t="n">
        <f aca="false">I13-MAX(0,I13)*I14/100</f>
        <v>267.006922625047</v>
      </c>
      <c r="J15" s="0" t="n">
        <f aca="false">J13-MAX(0,J13)*J14/100</f>
        <v>274.883626842485</v>
      </c>
      <c r="K15" s="0" t="n">
        <f aca="false">K13-MAX(0,K13)*K14/100</f>
        <v>280.381299379335</v>
      </c>
      <c r="L15" s="0" t="n">
        <f aca="false">L13-MAX(0,L13)*L14/100</f>
        <v>290.016938400259</v>
      </c>
    </row>
    <row r="16" customFormat="false" ht="15" hidden="false" customHeight="false" outlineLevel="0" collapsed="false">
      <c r="A16" s="0" t="s">
        <v>125</v>
      </c>
      <c r="C16" s="0" t="n">
        <f aca="false">-C12</f>
        <v>123.896999424</v>
      </c>
      <c r="D16" s="0" t="n">
        <f aca="false">-D12</f>
        <v>111.5072994816</v>
      </c>
      <c r="E16" s="0" t="n">
        <f aca="false">-E12</f>
        <v>96.3423067521024</v>
      </c>
      <c r="F16" s="0" t="n">
        <f aca="false">-F12</f>
        <v>82.212101761794</v>
      </c>
      <c r="G16" s="0" t="n">
        <f aca="false">-G12</f>
        <v>75.5323684936483</v>
      </c>
      <c r="H16" s="0" t="n">
        <f aca="false">-H12</f>
        <v>70.4968772607384</v>
      </c>
      <c r="I16" s="0" t="n">
        <f aca="false">-I12</f>
        <v>66.1159998881068</v>
      </c>
      <c r="J16" s="0" t="n">
        <f aca="false">-J12</f>
        <v>67.1077398864284</v>
      </c>
      <c r="K16" s="0" t="n">
        <f aca="false">-K12</f>
        <v>68.4498946841569</v>
      </c>
      <c r="L16" s="0" t="n">
        <f aca="false">-L12</f>
        <v>69.8188925778401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-56.31681792</v>
      </c>
      <c r="D17" s="4" t="n">
        <f aca="false">-D6*Assumptions!D18/100</f>
        <v>-55.7536497408</v>
      </c>
      <c r="E17" s="4" t="n">
        <f aca="false">-E6*Assumptions!E18/100</f>
        <v>-53.523503751168</v>
      </c>
      <c r="F17" s="4" t="n">
        <f aca="false">-F6*Assumptions!F18/100</f>
        <v>-51.3825636011213</v>
      </c>
      <c r="G17" s="4" t="n">
        <f aca="false">-G6*Assumptions!G18/100</f>
        <v>-55.3904035620087</v>
      </c>
      <c r="H17" s="4" t="n">
        <f aca="false">-H6*Assumptions!H18/100</f>
        <v>-55.3904035620087</v>
      </c>
      <c r="I17" s="4" t="n">
        <f aca="false">-I6*Assumptions!I18/100</f>
        <v>-61.0301537428678</v>
      </c>
      <c r="J17" s="4" t="n">
        <f aca="false">-J6*Assumptions!J18/100</f>
        <v>-61.9456060490108</v>
      </c>
      <c r="K17" s="4" t="n">
        <f aca="false">-K6*Assumptions!K18/100</f>
        <v>-63.184518169991</v>
      </c>
      <c r="L17" s="4" t="n">
        <f aca="false">-L6*Assumptions!L18/100</f>
        <v>-64.4482085333908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-17.4625792</v>
      </c>
      <c r="D18" s="4" t="n">
        <f aca="false">(D6-C6)*Assumptions!$B$23/100</f>
        <v>5.63168179200002</v>
      </c>
      <c r="E18" s="4" t="n">
        <f aca="false">(E6-D6)*Assumptions!$B$23/100</f>
        <v>22.30145989632</v>
      </c>
      <c r="F18" s="4" t="n">
        <f aca="false">(F6-E6)*Assumptions!$B$23/100</f>
        <v>21.4094015004672</v>
      </c>
      <c r="G18" s="4" t="n">
        <f aca="false">(G6-F6)*Assumptions!$B$23/100</f>
        <v>10.2765127202243</v>
      </c>
      <c r="H18" s="4" t="n">
        <f aca="false">(H6-G6)*Assumptions!$B$23/100</f>
        <v>-0</v>
      </c>
      <c r="I18" s="4" t="n">
        <f aca="false">(I6-H6)*Assumptions!$B$23/100</f>
        <v>-5.03549123290986</v>
      </c>
      <c r="J18" s="4" t="n">
        <f aca="false">(J6-I6)*Assumptions!$B$23/100</f>
        <v>-7.62876921785846</v>
      </c>
      <c r="K18" s="4" t="n">
        <f aca="false">(K6-J6)*Assumptions!$B$23/100</f>
        <v>-10.3242676748351</v>
      </c>
      <c r="L18" s="4" t="n">
        <f aca="false">(L6-K6)*Assumptions!$B$23/100</f>
        <v>-10.5307530283319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395.95918115072</v>
      </c>
      <c r="D19" s="0" t="n">
        <f aca="false">D15+D16+D17+D18</f>
        <v>382.024571192141</v>
      </c>
      <c r="E19" s="0" t="n">
        <f aca="false">E15+E16+E17+E18</f>
        <v>346.439798613393</v>
      </c>
      <c r="F19" s="0" t="n">
        <f aca="false">F15+F16+F17+F18</f>
        <v>318.554766805752</v>
      </c>
      <c r="G19" s="0" t="n">
        <f aca="false">G15+G16+G17+G18</f>
        <v>280.078132979536</v>
      </c>
      <c r="H19" s="0" t="n">
        <f aca="false">H15+H16+H17+H18</f>
        <v>275.693145001816</v>
      </c>
      <c r="I19" s="0" t="n">
        <f aca="false">I15+I16+I17+I18</f>
        <v>267.057277537376</v>
      </c>
      <c r="J19" s="0" t="n">
        <f aca="false">J15+J16+J17+J18</f>
        <v>272.416991462045</v>
      </c>
      <c r="K19" s="0" t="n">
        <f aca="false">K15+K16+K17+K18</f>
        <v>275.322408218666</v>
      </c>
      <c r="L19" s="0" t="n">
        <f aca="false">L15+L16+L17+L18</f>
        <v>284.856869416376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358.334100588887</v>
      </c>
      <c r="D21" s="0" t="n">
        <f aca="false">D19*D20</f>
        <v>312.872030623567</v>
      </c>
      <c r="E21" s="0" t="n">
        <f aca="false">E19*E20</f>
        <v>256.768026650255</v>
      </c>
      <c r="F21" s="0" t="n">
        <f aca="false">F19*F20</f>
        <v>213.665791573773</v>
      </c>
      <c r="G21" s="0" t="n">
        <f aca="false">G19*G20</f>
        <v>170.007394939783</v>
      </c>
      <c r="H21" s="0" t="n">
        <f aca="false">H19*H20</f>
        <v>151.44407939805</v>
      </c>
      <c r="I21" s="0" t="n">
        <f aca="false">I19*I20</f>
        <v>132.760375228837</v>
      </c>
      <c r="J21" s="0" t="n">
        <f aca="false">J19*J20</f>
        <v>122.556392310725</v>
      </c>
      <c r="K21" s="0" t="n">
        <f aca="false">K19*K20</f>
        <v>112.093662007829</v>
      </c>
      <c r="L21" s="0" t="n">
        <f aca="false">L19*L20</f>
        <v>104.955189441892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1935.4570427636</v>
      </c>
    </row>
    <row r="31" customFormat="false" ht="15" hidden="false" customHeight="false" outlineLevel="0" collapsed="false">
      <c r="A31" s="0" t="s">
        <v>134</v>
      </c>
      <c r="B31" s="0" t="n">
        <f aca="false">L19</f>
        <v>284.856869416376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3212.55247175135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3418.28243299652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3212.55247175135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1183.66130315022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3119.11834591382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3846.51834591382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73.6880909178893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-0.3191528142115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1204.59870497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781.085185258096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111.728012186627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2141.70164783424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55.4877907471167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3.7</v>
      </c>
      <c r="D5" s="4" t="n">
        <f aca="false">Assumptions!D27</f>
        <v>4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5457.056</v>
      </c>
      <c r="C6" s="0" t="n">
        <f aca="false">B6*(1+C5/100)</f>
        <v>5658.967072</v>
      </c>
      <c r="D6" s="0" t="n">
        <f aca="false">C6*(1+D5/100)</f>
        <v>5885.32575488</v>
      </c>
      <c r="E6" s="0" t="n">
        <f aca="false">D6*(1+E5/100)</f>
        <v>6179.592042624</v>
      </c>
      <c r="F6" s="0" t="n">
        <f aca="false">E6*(1+F5/100)</f>
        <v>6488.5716447552</v>
      </c>
      <c r="G6" s="0" t="n">
        <f aca="false">F6*(1+G5/100)</f>
        <v>6780.55736876918</v>
      </c>
      <c r="H6" s="0" t="n">
        <f aca="false">G6*(1+H5/100)</f>
        <v>7051.77966351995</v>
      </c>
      <c r="I6" s="0" t="n">
        <f aca="false">H6*(1+I5/100)</f>
        <v>7298.59195174315</v>
      </c>
      <c r="J6" s="0" t="n">
        <f aca="false">I6*(1+J5/100)</f>
        <v>7517.54971029544</v>
      </c>
      <c r="K6" s="0" t="n">
        <f aca="false">J6*(1+K5/100)</f>
        <v>7743.07620160431</v>
      </c>
      <c r="L6" s="0" t="n">
        <f aca="false">K6*(1+L5/100)</f>
        <v>7936.65310664441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15.5</v>
      </c>
      <c r="D7" s="4" t="n">
        <f aca="false">Assumptions!D28</f>
        <v>15.7</v>
      </c>
      <c r="E7" s="4" t="n">
        <f aca="false">Assumptions!E28</f>
        <v>16</v>
      </c>
      <c r="F7" s="4" t="n">
        <f aca="false">Assumptions!F28</f>
        <v>16.2</v>
      </c>
      <c r="G7" s="4" t="n">
        <f aca="false">Assumptions!G28</f>
        <v>16.4</v>
      </c>
      <c r="H7" s="4" t="n">
        <f aca="false">Assumptions!H28</f>
        <v>16.5</v>
      </c>
      <c r="I7" s="4" t="n">
        <f aca="false">Assumptions!I28</f>
        <v>16.5</v>
      </c>
      <c r="J7" s="4" t="n">
        <f aca="false">Assumptions!J28</f>
        <v>16.5</v>
      </c>
      <c r="K7" s="4" t="n">
        <f aca="false">Assumptions!K28</f>
        <v>16.5</v>
      </c>
      <c r="L7" s="4" t="n">
        <f aca="false">Assumptions!L28</f>
        <v>16.5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877.13989616</v>
      </c>
      <c r="D8" s="0" t="n">
        <f aca="false">D6*D7/100</f>
        <v>923.99614351616</v>
      </c>
      <c r="E8" s="0" t="n">
        <f aca="false">E6*E7/100</f>
        <v>988.73472681984</v>
      </c>
      <c r="F8" s="0" t="n">
        <f aca="false">F6*F7/100</f>
        <v>1051.14860645034</v>
      </c>
      <c r="G8" s="0" t="n">
        <f aca="false">G6*G7/100</f>
        <v>1112.01140847815</v>
      </c>
      <c r="H8" s="0" t="n">
        <f aca="false">H6*H7/100</f>
        <v>1163.54364448079</v>
      </c>
      <c r="I8" s="0" t="n">
        <f aca="false">I6*I7/100</f>
        <v>1204.26767203762</v>
      </c>
      <c r="J8" s="0" t="n">
        <f aca="false">J6*J7/100</f>
        <v>1240.39570219875</v>
      </c>
      <c r="K8" s="0" t="n">
        <f aca="false">K6*K7/100</f>
        <v>1277.60757326471</v>
      </c>
      <c r="L8" s="0" t="n">
        <f aca="false">L6*L7/100</f>
        <v>1309.54776259633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3.9</v>
      </c>
      <c r="D9" s="4" t="n">
        <f aca="false">Assumptions!D29</f>
        <v>3.8</v>
      </c>
      <c r="E9" s="4" t="n">
        <f aca="false">Assumptions!E29</f>
        <v>3.7</v>
      </c>
      <c r="F9" s="4" t="n">
        <f aca="false">Assumptions!F29</f>
        <v>3.6</v>
      </c>
      <c r="G9" s="4" t="n">
        <f aca="false">Assumptions!G29</f>
        <v>3.5</v>
      </c>
      <c r="H9" s="4" t="n">
        <f aca="false">Assumptions!H29</f>
        <v>3.4</v>
      </c>
      <c r="I9" s="4" t="n">
        <f aca="false">Assumptions!I29</f>
        <v>3.3</v>
      </c>
      <c r="J9" s="4" t="n">
        <f aca="false">Assumptions!J29</f>
        <v>3.2</v>
      </c>
      <c r="K9" s="4" t="n">
        <f aca="false">Assumptions!K29</f>
        <v>3.1</v>
      </c>
      <c r="L9" s="4" t="n">
        <f aca="false">Assumptions!L29</f>
        <v>3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-220.699715808</v>
      </c>
      <c r="D10" s="0" t="n">
        <f aca="false">-D6*D9/100</f>
        <v>-223.64237868544</v>
      </c>
      <c r="E10" s="0" t="n">
        <f aca="false">-E6*E9/100</f>
        <v>-228.644905577088</v>
      </c>
      <c r="F10" s="0" t="n">
        <f aca="false">-F6*F9/100</f>
        <v>-233.588579211187</v>
      </c>
      <c r="G10" s="0" t="n">
        <f aca="false">-G6*G9/100</f>
        <v>-237.319507906921</v>
      </c>
      <c r="H10" s="0" t="n">
        <f aca="false">-H6*H9/100</f>
        <v>-239.760508559678</v>
      </c>
      <c r="I10" s="0" t="n">
        <f aca="false">-I6*I9/100</f>
        <v>-240.853534407524</v>
      </c>
      <c r="J10" s="0" t="n">
        <f aca="false">-J6*J9/100</f>
        <v>-240.561590729454</v>
      </c>
      <c r="K10" s="0" t="n">
        <f aca="false">-K6*K9/100</f>
        <v>-240.035362249734</v>
      </c>
      <c r="L10" s="0" t="n">
        <f aca="false">-L6*L9/100</f>
        <v>-238.099593199332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656.440180352</v>
      </c>
      <c r="D11" s="0" t="n">
        <f aca="false">D8+D10+D24</f>
        <v>700.35376483072</v>
      </c>
      <c r="E11" s="0" t="n">
        <f aca="false">E8+E10+E24</f>
        <v>760.089821242752</v>
      </c>
      <c r="F11" s="0" t="n">
        <f aca="false">F8+F10+F24</f>
        <v>817.560027239155</v>
      </c>
      <c r="G11" s="0" t="n">
        <f aca="false">G8+G10+G24</f>
        <v>874.691900571225</v>
      </c>
      <c r="H11" s="0" t="n">
        <f aca="false">H8+H10+H24</f>
        <v>923.783135921114</v>
      </c>
      <c r="I11" s="0" t="n">
        <f aca="false">I8+I10+I24</f>
        <v>963.414137630096</v>
      </c>
      <c r="J11" s="0" t="n">
        <f aca="false">J8+J10+J24</f>
        <v>999.834111469294</v>
      </c>
      <c r="K11" s="0" t="n">
        <f aca="false">K8+K10+K24</f>
        <v>1037.57221101498</v>
      </c>
      <c r="L11" s="0" t="n">
        <f aca="false">L8+L10+L24</f>
        <v>1071.448169397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-124.497275584</v>
      </c>
      <c r="D12" s="4" t="n">
        <f aca="false">-D6*Assumptions!D31/100</f>
        <v>-117.7065150976</v>
      </c>
      <c r="E12" s="4" t="n">
        <f aca="false">-E6*Assumptions!E31/100</f>
        <v>-111.232656767232</v>
      </c>
      <c r="F12" s="4" t="n">
        <f aca="false">-F6*Assumptions!F31/100</f>
        <v>-103.817146316083</v>
      </c>
      <c r="G12" s="4" t="n">
        <f aca="false">-G6*Assumptions!G31/100</f>
        <v>-101.708360531538</v>
      </c>
      <c r="H12" s="4" t="n">
        <f aca="false">-H6*Assumptions!H31/100</f>
        <v>-98.7249152892793</v>
      </c>
      <c r="I12" s="4" t="n">
        <f aca="false">-I6*Assumptions!I31/100</f>
        <v>-94.8816953726609</v>
      </c>
      <c r="J12" s="4" t="n">
        <f aca="false">-J6*Assumptions!J31/100</f>
        <v>-97.7281462338408</v>
      </c>
      <c r="K12" s="4" t="n">
        <f aca="false">-K6*Assumptions!K31/100</f>
        <v>-100.659990620856</v>
      </c>
      <c r="L12" s="4" t="n">
        <f aca="false">-L6*Assumptions!L31/100</f>
        <v>-103.176490386377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531.942904768</v>
      </c>
      <c r="D13" s="0" t="n">
        <f aca="false">D11+D12</f>
        <v>582.64724973312</v>
      </c>
      <c r="E13" s="0" t="n">
        <f aca="false">E11+E12</f>
        <v>648.85716447552</v>
      </c>
      <c r="F13" s="0" t="n">
        <f aca="false">F11+F12</f>
        <v>713.742880923072</v>
      </c>
      <c r="G13" s="0" t="n">
        <f aca="false">G11+G12</f>
        <v>772.983540039687</v>
      </c>
      <c r="H13" s="0" t="n">
        <f aca="false">H11+H12</f>
        <v>825.058220631834</v>
      </c>
      <c r="I13" s="0" t="n">
        <f aca="false">I11+I12</f>
        <v>868.532442257435</v>
      </c>
      <c r="J13" s="0" t="n">
        <f aca="false">J11+J12</f>
        <v>902.105965235453</v>
      </c>
      <c r="K13" s="0" t="n">
        <f aca="false">K11+K12</f>
        <v>936.912220394121</v>
      </c>
      <c r="L13" s="0" t="n">
        <f aca="false">L11+L12</f>
        <v>968.271679010618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31</v>
      </c>
      <c r="D14" s="4" t="n">
        <f aca="false">Assumptions!D33</f>
        <v>29</v>
      </c>
      <c r="E14" s="4" t="n">
        <f aca="false">Assumptions!E33</f>
        <v>28</v>
      </c>
      <c r="F14" s="4" t="n">
        <f aca="false">Assumptions!F33</f>
        <v>27</v>
      </c>
      <c r="G14" s="4" t="n">
        <f aca="false">Assumptions!G33</f>
        <v>26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367.04060428992</v>
      </c>
      <c r="D15" s="0" t="n">
        <f aca="false">D13-MAX(0,D13)*D14/100</f>
        <v>413.679547310515</v>
      </c>
      <c r="E15" s="0" t="n">
        <f aca="false">E13-MAX(0,E13)*E14/100</f>
        <v>467.177158422374</v>
      </c>
      <c r="F15" s="0" t="n">
        <f aca="false">F13-MAX(0,F13)*F14/100</f>
        <v>521.032303073843</v>
      </c>
      <c r="G15" s="0" t="n">
        <f aca="false">G13-MAX(0,G13)*G14/100</f>
        <v>572.007819629368</v>
      </c>
      <c r="H15" s="0" t="n">
        <f aca="false">H13-MAX(0,H13)*H14/100</f>
        <v>618.793665473876</v>
      </c>
      <c r="I15" s="0" t="n">
        <f aca="false">I13-MAX(0,I13)*I14/100</f>
        <v>651.399331693076</v>
      </c>
      <c r="J15" s="0" t="n">
        <f aca="false">J13-MAX(0,J13)*J14/100</f>
        <v>676.57947392659</v>
      </c>
      <c r="K15" s="0" t="n">
        <f aca="false">K13-MAX(0,K13)*K14/100</f>
        <v>702.684165295591</v>
      </c>
      <c r="L15" s="0" t="n">
        <f aca="false">L13-MAX(0,L13)*L14/100</f>
        <v>726.203759257964</v>
      </c>
    </row>
    <row r="16" customFormat="false" ht="15" hidden="false" customHeight="false" outlineLevel="0" collapsed="false">
      <c r="A16" s="0" t="s">
        <v>125</v>
      </c>
      <c r="C16" s="0" t="n">
        <f aca="false">-C12</f>
        <v>124.497275584</v>
      </c>
      <c r="D16" s="0" t="n">
        <f aca="false">-D12</f>
        <v>117.7065150976</v>
      </c>
      <c r="E16" s="0" t="n">
        <f aca="false">-E12</f>
        <v>111.232656767232</v>
      </c>
      <c r="F16" s="0" t="n">
        <f aca="false">-F12</f>
        <v>103.817146316083</v>
      </c>
      <c r="G16" s="0" t="n">
        <f aca="false">-G12</f>
        <v>101.708360531538</v>
      </c>
      <c r="H16" s="0" t="n">
        <f aca="false">-H12</f>
        <v>98.7249152892793</v>
      </c>
      <c r="I16" s="0" t="n">
        <f aca="false">-I12</f>
        <v>94.8816953726609</v>
      </c>
      <c r="J16" s="0" t="n">
        <f aca="false">-J12</f>
        <v>97.7281462338408</v>
      </c>
      <c r="K16" s="0" t="n">
        <f aca="false">-K12</f>
        <v>100.659990620856</v>
      </c>
      <c r="L16" s="0" t="n">
        <f aca="false">-L12</f>
        <v>103.176490386377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-56.58967072</v>
      </c>
      <c r="D17" s="4" t="n">
        <f aca="false">-D6*Assumptions!D32/100</f>
        <v>-64.73858330368</v>
      </c>
      <c r="E17" s="4" t="n">
        <f aca="false">-E6*Assumptions!E32/100</f>
        <v>-74.155104511488</v>
      </c>
      <c r="F17" s="4" t="n">
        <f aca="false">-F6*Assumptions!F32/100</f>
        <v>-77.8628597370624</v>
      </c>
      <c r="G17" s="4" t="n">
        <f aca="false">-G6*Assumptions!G32/100</f>
        <v>-88.1472457939994</v>
      </c>
      <c r="H17" s="4" t="n">
        <f aca="false">-H6*Assumptions!H32/100</f>
        <v>-91.6731356257594</v>
      </c>
      <c r="I17" s="4" t="n">
        <f aca="false">-I6*Assumptions!I32/100</f>
        <v>-94.8816953726609</v>
      </c>
      <c r="J17" s="4" t="n">
        <f aca="false">-J6*Assumptions!J32/100</f>
        <v>-97.7281462338408</v>
      </c>
      <c r="K17" s="4" t="n">
        <f aca="false">-K6*Assumptions!K32/100</f>
        <v>-100.659990620856</v>
      </c>
      <c r="L17" s="4" t="n">
        <f aca="false">-L6*Assumptions!L32/100</f>
        <v>-103.176490386377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-20.1911072</v>
      </c>
      <c r="D18" s="4" t="n">
        <f aca="false">(D6-C6)*Assumptions!$B$37/100</f>
        <v>-22.635868288</v>
      </c>
      <c r="E18" s="4" t="n">
        <f aca="false">(E6-D6)*Assumptions!$B$37/100</f>
        <v>-29.4266287744</v>
      </c>
      <c r="F18" s="4" t="n">
        <f aca="false">(F6-E6)*Assumptions!$B$37/100</f>
        <v>-30.89796021312</v>
      </c>
      <c r="G18" s="4" t="n">
        <f aca="false">(G6-F6)*Assumptions!$B$37/100</f>
        <v>-29.1985724013984</v>
      </c>
      <c r="H18" s="4" t="n">
        <f aca="false">(H6-G6)*Assumptions!$B$37/100</f>
        <v>-27.1222294750768</v>
      </c>
      <c r="I18" s="4" t="n">
        <f aca="false">(I6-H6)*Assumptions!$B$37/100</f>
        <v>-24.6812288223197</v>
      </c>
      <c r="J18" s="4" t="n">
        <f aca="false">(J6-I6)*Assumptions!$B$37/100</f>
        <v>-21.8957758552295</v>
      </c>
      <c r="K18" s="4" t="n">
        <f aca="false">(K6-J6)*Assumptions!$B$37/100</f>
        <v>-22.5526491308863</v>
      </c>
      <c r="L18" s="4" t="n">
        <f aca="false">(L6-K6)*Assumptions!$B$37/100</f>
        <v>-19.3576905040107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414.75710195392</v>
      </c>
      <c r="D19" s="0" t="n">
        <f aca="false">D15+D16+D17+D18</f>
        <v>444.011610816435</v>
      </c>
      <c r="E19" s="0" t="n">
        <f aca="false">E15+E16+E17+E18</f>
        <v>474.828081903718</v>
      </c>
      <c r="F19" s="0" t="n">
        <f aca="false">F15+F16+F17+F18</f>
        <v>516.088629439743</v>
      </c>
      <c r="G19" s="0" t="n">
        <f aca="false">G15+G16+G17+G18</f>
        <v>556.370361965508</v>
      </c>
      <c r="H19" s="0" t="n">
        <f aca="false">H15+H16+H17+H18</f>
        <v>598.723215662319</v>
      </c>
      <c r="I19" s="0" t="n">
        <f aca="false">I15+I16+I17+I18</f>
        <v>626.718102870756</v>
      </c>
      <c r="J19" s="0" t="n">
        <f aca="false">J15+J16+J17+J18</f>
        <v>654.683698071361</v>
      </c>
      <c r="K19" s="0" t="n">
        <f aca="false">K15+K16+K17+K18</f>
        <v>680.131516164705</v>
      </c>
      <c r="L19" s="0" t="n">
        <f aca="false">L15+L16+L17+L18</f>
        <v>706.846068753953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375.345793623457</v>
      </c>
      <c r="D21" s="0" t="n">
        <f aca="false">D19*D20</f>
        <v>363.638427400287</v>
      </c>
      <c r="E21" s="0" t="n">
        <f aca="false">E19*E20</f>
        <v>351.924548151004</v>
      </c>
      <c r="F21" s="0" t="n">
        <f aca="false">F19*F20</f>
        <v>346.15864216123</v>
      </c>
      <c r="G21" s="0" t="n">
        <f aca="false">G19*G20</f>
        <v>337.716746585037</v>
      </c>
      <c r="H21" s="0" t="n">
        <f aca="false">H19*H20</f>
        <v>328.891333912647</v>
      </c>
      <c r="I21" s="0" t="n">
        <f aca="false">I19*I20</f>
        <v>311.556124839855</v>
      </c>
      <c r="J21" s="0" t="n">
        <f aca="false">J19*J20</f>
        <v>294.532553603395</v>
      </c>
      <c r="K21" s="0" t="n">
        <f aca="false">K19*K20</f>
        <v>276.906020062446</v>
      </c>
      <c r="L21" s="0" t="n">
        <f aca="false">L19*L20</f>
        <v>260.436629821582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3247.10682016094</v>
      </c>
    </row>
    <row r="31" customFormat="false" ht="15" hidden="false" customHeight="false" outlineLevel="0" collapsed="false">
      <c r="A31" s="0" t="s">
        <v>134</v>
      </c>
      <c r="B31" s="0" t="n">
        <f aca="false">L19</f>
        <v>706.846068753953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9056.46525591002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10602.6910313093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9056.46525591002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3336.84431958902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6583.95113974996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7311.35113974996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140.064198079501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0.294134695366361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1398.19871936889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1124.00890403793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188.382351784613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5796.13776378241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92.278432753873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4.2</v>
      </c>
      <c r="D5" s="4" t="n">
        <f aca="false">Assumptions!D41</f>
        <v>7</v>
      </c>
      <c r="E5" s="4" t="n">
        <f aca="false">Assumptions!E41</f>
        <v>9</v>
      </c>
      <c r="F5" s="4" t="n">
        <f aca="false">Assumptions!F41</f>
        <v>9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5457.056</v>
      </c>
      <c r="C6" s="0" t="n">
        <f aca="false">B6*(1+C5/100)</f>
        <v>5686.252352</v>
      </c>
      <c r="D6" s="0" t="n">
        <f aca="false">C6*(1+D5/100)</f>
        <v>6084.29001664</v>
      </c>
      <c r="E6" s="0" t="n">
        <f aca="false">D6*(1+E5/100)</f>
        <v>6631.8761181376</v>
      </c>
      <c r="F6" s="0" t="n">
        <f aca="false">E6*(1+F5/100)</f>
        <v>7228.74496876999</v>
      </c>
      <c r="G6" s="0" t="n">
        <f aca="false">F6*(1+G5/100)</f>
        <v>7807.04456627158</v>
      </c>
      <c r="H6" s="0" t="n">
        <f aca="false">G6*(1+H5/100)</f>
        <v>8353.5376859106</v>
      </c>
      <c r="I6" s="0" t="n">
        <f aca="false">H6*(1+I5/100)</f>
        <v>8854.74994706523</v>
      </c>
      <c r="J6" s="0" t="n">
        <f aca="false">I6*(1+J5/100)</f>
        <v>9297.48744441849</v>
      </c>
      <c r="K6" s="0" t="n">
        <f aca="false">J6*(1+K5/100)</f>
        <v>9669.38694219523</v>
      </c>
      <c r="L6" s="0" t="n">
        <f aca="false">K6*(1+L5/100)</f>
        <v>9959.46855046109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15.8</v>
      </c>
      <c r="D7" s="4" t="n">
        <f aca="false">Assumptions!D42</f>
        <v>16.2</v>
      </c>
      <c r="E7" s="4" t="n">
        <f aca="false">Assumptions!E42</f>
        <v>16.8</v>
      </c>
      <c r="F7" s="4" t="n">
        <f aca="false">Assumptions!F42</f>
        <v>17.3</v>
      </c>
      <c r="G7" s="4" t="n">
        <f aca="false">Assumptions!G42</f>
        <v>17.7</v>
      </c>
      <c r="H7" s="4" t="n">
        <f aca="false">Assumptions!H42</f>
        <v>18</v>
      </c>
      <c r="I7" s="4" t="n">
        <f aca="false">Assumptions!I42</f>
        <v>18</v>
      </c>
      <c r="J7" s="4" t="n">
        <f aca="false">Assumptions!J42</f>
        <v>18</v>
      </c>
      <c r="K7" s="4" t="n">
        <f aca="false">Assumptions!K42</f>
        <v>18</v>
      </c>
      <c r="L7" s="4" t="n">
        <f aca="false">Assumptions!L42</f>
        <v>18</v>
      </c>
    </row>
    <row r="8" customFormat="false" ht="15" hidden="false" customHeight="false" outlineLevel="0" collapsed="false">
      <c r="A8" s="0" t="s">
        <v>43</v>
      </c>
      <c r="C8" s="0" t="n">
        <f aca="false">C6*C7/100</f>
        <v>898.427871616</v>
      </c>
      <c r="D8" s="0" t="n">
        <f aca="false">D6*D7/100</f>
        <v>985.65498269568</v>
      </c>
      <c r="E8" s="0" t="n">
        <f aca="false">E6*E7/100</f>
        <v>1114.15518784712</v>
      </c>
      <c r="F8" s="0" t="n">
        <f aca="false">F6*F7/100</f>
        <v>1250.57287959721</v>
      </c>
      <c r="G8" s="0" t="n">
        <f aca="false">G6*G7/100</f>
        <v>1381.84688823007</v>
      </c>
      <c r="H8" s="0" t="n">
        <f aca="false">H6*H7/100</f>
        <v>1503.63678346391</v>
      </c>
      <c r="I8" s="0" t="n">
        <f aca="false">I6*I7/100</f>
        <v>1593.85499047174</v>
      </c>
      <c r="J8" s="0" t="n">
        <f aca="false">J6*J7/100</f>
        <v>1673.54773999533</v>
      </c>
      <c r="K8" s="0" t="n">
        <f aca="false">K6*K7/100</f>
        <v>1740.48964959514</v>
      </c>
      <c r="L8" s="0" t="n">
        <f aca="false">L6*L7/100</f>
        <v>1792.704339083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3.9</v>
      </c>
      <c r="D9" s="4" t="n">
        <f aca="false">Assumptions!D43</f>
        <v>3.8</v>
      </c>
      <c r="E9" s="4" t="n">
        <f aca="false">Assumptions!E43</f>
        <v>3.7</v>
      </c>
      <c r="F9" s="4" t="n">
        <f aca="false">Assumptions!F43</f>
        <v>3.6</v>
      </c>
      <c r="G9" s="4" t="n">
        <f aca="false">Assumptions!G43</f>
        <v>3.5</v>
      </c>
      <c r="H9" s="4" t="n">
        <f aca="false">Assumptions!H43</f>
        <v>3.4</v>
      </c>
      <c r="I9" s="4" t="n">
        <f aca="false">Assumptions!I43</f>
        <v>3.3</v>
      </c>
      <c r="J9" s="4" t="n">
        <f aca="false">Assumptions!J43</f>
        <v>3.2</v>
      </c>
      <c r="K9" s="4" t="n">
        <f aca="false">Assumptions!K43</f>
        <v>3.1</v>
      </c>
      <c r="L9" s="4" t="n">
        <f aca="false">Assumptions!L43</f>
        <v>3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-221.763841728</v>
      </c>
      <c r="D10" s="0" t="n">
        <f aca="false">-D6*D9/100</f>
        <v>-231.20302063232</v>
      </c>
      <c r="E10" s="0" t="n">
        <f aca="false">-E6*E9/100</f>
        <v>-245.379416371091</v>
      </c>
      <c r="F10" s="0" t="n">
        <f aca="false">-F6*F9/100</f>
        <v>-260.234818875719</v>
      </c>
      <c r="G10" s="0" t="n">
        <f aca="false">-G6*G9/100</f>
        <v>-273.246559819505</v>
      </c>
      <c r="H10" s="0" t="n">
        <f aca="false">-H6*H9/100</f>
        <v>-284.02028132096</v>
      </c>
      <c r="I10" s="0" t="n">
        <f aca="false">-I6*I9/100</f>
        <v>-292.206748253153</v>
      </c>
      <c r="J10" s="0" t="n">
        <f aca="false">-J6*J9/100</f>
        <v>-297.519598221392</v>
      </c>
      <c r="K10" s="0" t="n">
        <f aca="false">-K6*K9/100</f>
        <v>-299.750995208052</v>
      </c>
      <c r="L10" s="0" t="n">
        <f aca="false">-L6*L9/100</f>
        <v>-298.784056513833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676.664029888</v>
      </c>
      <c r="D11" s="0" t="n">
        <f aca="false">D8+D10+D24</f>
        <v>754.45196206336</v>
      </c>
      <c r="E11" s="0" t="n">
        <f aca="false">E8+E10+E24</f>
        <v>868.775771476026</v>
      </c>
      <c r="F11" s="0" t="n">
        <f aca="false">F8+F10+F24</f>
        <v>990.338060721488</v>
      </c>
      <c r="G11" s="0" t="n">
        <f aca="false">G8+G10+G24</f>
        <v>1108.60032841056</v>
      </c>
      <c r="H11" s="0" t="n">
        <f aca="false">H8+H10+H24</f>
        <v>1219.61650214295</v>
      </c>
      <c r="I11" s="0" t="n">
        <f aca="false">I8+I10+I24</f>
        <v>1301.64824221859</v>
      </c>
      <c r="J11" s="0" t="n">
        <f aca="false">J8+J10+J24</f>
        <v>1376.02814177394</v>
      </c>
      <c r="K11" s="0" t="n">
        <f aca="false">K8+K10+K24</f>
        <v>1440.73865438709</v>
      </c>
      <c r="L11" s="0" t="n">
        <f aca="false">L8+L10+L24</f>
        <v>1493.92028256916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-125.097551744</v>
      </c>
      <c r="D12" s="4" t="n">
        <f aca="false">-D6*Assumptions!D45/100</f>
        <v>-121.6858003328</v>
      </c>
      <c r="E12" s="4" t="n">
        <f aca="false">-E6*Assumptions!E45/100</f>
        <v>-119.373770126477</v>
      </c>
      <c r="F12" s="4" t="n">
        <f aca="false">-F6*Assumptions!F45/100</f>
        <v>-115.65991950032</v>
      </c>
      <c r="G12" s="4" t="n">
        <f aca="false">-G6*Assumptions!G45/100</f>
        <v>-117.105668494074</v>
      </c>
      <c r="H12" s="4" t="n">
        <f aca="false">-H6*Assumptions!H45/100</f>
        <v>-116.949527602748</v>
      </c>
      <c r="I12" s="4" t="n">
        <f aca="false">-I6*Assumptions!I45/100</f>
        <v>-115.111749311848</v>
      </c>
      <c r="J12" s="4" t="n">
        <f aca="false">-J6*Assumptions!J45/100</f>
        <v>-120.86733677744</v>
      </c>
      <c r="K12" s="4" t="n">
        <f aca="false">-K6*Assumptions!K45/100</f>
        <v>-125.702030248538</v>
      </c>
      <c r="L12" s="4" t="n">
        <f aca="false">-L6*Assumptions!L45/100</f>
        <v>-129.473091155994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551.566478144</v>
      </c>
      <c r="D13" s="0" t="n">
        <f aca="false">D11+D12</f>
        <v>632.76616173056</v>
      </c>
      <c r="E13" s="0" t="n">
        <f aca="false">E11+E12</f>
        <v>749.402001349549</v>
      </c>
      <c r="F13" s="0" t="n">
        <f aca="false">F11+F12</f>
        <v>874.678141221168</v>
      </c>
      <c r="G13" s="0" t="n">
        <f aca="false">G11+G12</f>
        <v>991.494659916491</v>
      </c>
      <c r="H13" s="0" t="n">
        <f aca="false">H11+H12</f>
        <v>1102.6669745402</v>
      </c>
      <c r="I13" s="0" t="n">
        <f aca="false">I11+I12</f>
        <v>1186.53649290674</v>
      </c>
      <c r="J13" s="0" t="n">
        <f aca="false">J11+J12</f>
        <v>1255.1608049965</v>
      </c>
      <c r="K13" s="0" t="n">
        <f aca="false">K11+K12</f>
        <v>1315.03662413855</v>
      </c>
      <c r="L13" s="0" t="n">
        <f aca="false">L11+L12</f>
        <v>1364.44719141317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31</v>
      </c>
      <c r="D14" s="4" t="n">
        <f aca="false">Assumptions!D47</f>
        <v>29</v>
      </c>
      <c r="E14" s="4" t="n">
        <f aca="false">Assumptions!E47</f>
        <v>28</v>
      </c>
      <c r="F14" s="4" t="n">
        <f aca="false">Assumptions!F47</f>
        <v>27</v>
      </c>
      <c r="G14" s="4" t="n">
        <f aca="false">Assumptions!G47</f>
        <v>26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380.58086991936</v>
      </c>
      <c r="D15" s="0" t="n">
        <f aca="false">D13-MAX(0,D13)*D14/100</f>
        <v>449.263974828698</v>
      </c>
      <c r="E15" s="0" t="n">
        <f aca="false">E13-MAX(0,E13)*E14/100</f>
        <v>539.569440971675</v>
      </c>
      <c r="F15" s="0" t="n">
        <f aca="false">F13-MAX(0,F13)*F14/100</f>
        <v>638.515043091453</v>
      </c>
      <c r="G15" s="0" t="n">
        <f aca="false">G13-MAX(0,G13)*G14/100</f>
        <v>733.706048338203</v>
      </c>
      <c r="H15" s="0" t="n">
        <f aca="false">H13-MAX(0,H13)*H14/100</f>
        <v>827.000230905149</v>
      </c>
      <c r="I15" s="0" t="n">
        <f aca="false">I13-MAX(0,I13)*I14/100</f>
        <v>889.902369680056</v>
      </c>
      <c r="J15" s="0" t="n">
        <f aca="false">J13-MAX(0,J13)*J14/100</f>
        <v>941.370603747373</v>
      </c>
      <c r="K15" s="0" t="n">
        <f aca="false">K13-MAX(0,K13)*K14/100</f>
        <v>986.277468103914</v>
      </c>
      <c r="L15" s="0" t="n">
        <f aca="false">L13-MAX(0,L13)*L14/100</f>
        <v>1023.33539355988</v>
      </c>
    </row>
    <row r="16" customFormat="false" ht="15" hidden="false" customHeight="false" outlineLevel="0" collapsed="false">
      <c r="A16" s="0" t="s">
        <v>125</v>
      </c>
      <c r="C16" s="0" t="n">
        <f aca="false">-C12</f>
        <v>125.097551744</v>
      </c>
      <c r="D16" s="0" t="n">
        <f aca="false">-D12</f>
        <v>121.6858003328</v>
      </c>
      <c r="E16" s="0" t="n">
        <f aca="false">-E12</f>
        <v>119.373770126477</v>
      </c>
      <c r="F16" s="0" t="n">
        <f aca="false">-F12</f>
        <v>115.65991950032</v>
      </c>
      <c r="G16" s="0" t="n">
        <f aca="false">-G12</f>
        <v>117.105668494074</v>
      </c>
      <c r="H16" s="0" t="n">
        <f aca="false">-H12</f>
        <v>116.949527602748</v>
      </c>
      <c r="I16" s="0" t="n">
        <f aca="false">-I12</f>
        <v>115.111749311848</v>
      </c>
      <c r="J16" s="0" t="n">
        <f aca="false">-J12</f>
        <v>120.86733677744</v>
      </c>
      <c r="K16" s="0" t="n">
        <f aca="false">-K12</f>
        <v>125.702030248538</v>
      </c>
      <c r="L16" s="0" t="n">
        <f aca="false">-L12</f>
        <v>129.473091155994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-56.86252352</v>
      </c>
      <c r="D17" s="4" t="n">
        <f aca="false">-D6*Assumptions!D46/100</f>
        <v>-66.92719018304</v>
      </c>
      <c r="E17" s="4" t="n">
        <f aca="false">-E6*Assumptions!E46/100</f>
        <v>-79.5825134176512</v>
      </c>
      <c r="F17" s="4" t="n">
        <f aca="false">-F6*Assumptions!F46/100</f>
        <v>-93.9736845940098</v>
      </c>
      <c r="G17" s="4" t="n">
        <f aca="false">-G6*Assumptions!G46/100</f>
        <v>-101.491579361531</v>
      </c>
      <c r="H17" s="4" t="n">
        <f aca="false">-H6*Assumptions!H46/100</f>
        <v>-108.595989916838</v>
      </c>
      <c r="I17" s="4" t="n">
        <f aca="false">-I6*Assumptions!I46/100</f>
        <v>-115.111749311848</v>
      </c>
      <c r="J17" s="4" t="n">
        <f aca="false">-J6*Assumptions!J46/100</f>
        <v>-120.86733677744</v>
      </c>
      <c r="K17" s="4" t="n">
        <f aca="false">-K6*Assumptions!K46/100</f>
        <v>-125.702030248538</v>
      </c>
      <c r="L17" s="4" t="n">
        <f aca="false">-L6*Assumptions!L46/100</f>
        <v>-129.473091155994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-22.9196352</v>
      </c>
      <c r="D18" s="4" t="n">
        <f aca="false">(D6-C6)*Assumptions!$B$51/100</f>
        <v>-39.803766464</v>
      </c>
      <c r="E18" s="4" t="n">
        <f aca="false">(E6-D6)*Assumptions!$B$51/100</f>
        <v>-54.7586101497601</v>
      </c>
      <c r="F18" s="4" t="n">
        <f aca="false">(F6-E6)*Assumptions!$B$51/100</f>
        <v>-59.6868850632384</v>
      </c>
      <c r="G18" s="4" t="n">
        <f aca="false">(G6-F6)*Assumptions!$B$51/100</f>
        <v>-57.8299597501599</v>
      </c>
      <c r="H18" s="4" t="n">
        <f aca="false">(H6-G6)*Assumptions!$B$51/100</f>
        <v>-54.6493119639011</v>
      </c>
      <c r="I18" s="4" t="n">
        <f aca="false">(I6-H6)*Assumptions!$B$51/100</f>
        <v>-50.1212261154637</v>
      </c>
      <c r="J18" s="4" t="n">
        <f aca="false">(J6-I6)*Assumptions!$B$51/100</f>
        <v>-44.2737497353262</v>
      </c>
      <c r="K18" s="4" t="n">
        <f aca="false">(K6-J6)*Assumptions!$B$51/100</f>
        <v>-37.189949777674</v>
      </c>
      <c r="L18" s="4" t="n">
        <f aca="false">(L6-K6)*Assumptions!$B$51/100</f>
        <v>-29.0081608265857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425.89626294336</v>
      </c>
      <c r="D19" s="0" t="n">
        <f aca="false">D15+D16+D17+D18</f>
        <v>464.218818514458</v>
      </c>
      <c r="E19" s="0" t="n">
        <f aca="false">E15+E16+E17+E18</f>
        <v>524.602087530741</v>
      </c>
      <c r="F19" s="0" t="n">
        <f aca="false">F15+F16+F17+F18</f>
        <v>600.514392934524</v>
      </c>
      <c r="G19" s="0" t="n">
        <f aca="false">G15+G16+G17+G18</f>
        <v>691.490177720587</v>
      </c>
      <c r="H19" s="0" t="n">
        <f aca="false">H15+H16+H17+H18</f>
        <v>780.704456627158</v>
      </c>
      <c r="I19" s="0" t="n">
        <f aca="false">I15+I16+I17+I18</f>
        <v>839.781143564592</v>
      </c>
      <c r="J19" s="0" t="n">
        <f aca="false">J15+J16+J17+J18</f>
        <v>897.096854012046</v>
      </c>
      <c r="K19" s="0" t="n">
        <f aca="false">K15+K16+K17+K18</f>
        <v>949.08751832624</v>
      </c>
      <c r="L19" s="0" t="n">
        <f aca="false">L15+L16+L17+L18</f>
        <v>994.327232733291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385.426482301683</v>
      </c>
      <c r="D21" s="0" t="n">
        <f aca="false">D19*D20</f>
        <v>380.187808205776</v>
      </c>
      <c r="E21" s="0" t="n">
        <f aca="false">E19*E20</f>
        <v>388.815151524179</v>
      </c>
      <c r="F21" s="0" t="n">
        <f aca="false">F19*F20</f>
        <v>402.785946053789</v>
      </c>
      <c r="G21" s="0" t="n">
        <f aca="false">G19*G20</f>
        <v>419.73445941713</v>
      </c>
      <c r="H21" s="0" t="n">
        <f aca="false">H19*H20</f>
        <v>428.857481077653</v>
      </c>
      <c r="I21" s="0" t="n">
        <f aca="false">I19*I20</f>
        <v>417.474710885321</v>
      </c>
      <c r="J21" s="0" t="n">
        <f aca="false">J19*J20</f>
        <v>403.590662208515</v>
      </c>
      <c r="K21" s="0" t="n">
        <f aca="false">K19*K20</f>
        <v>386.407689019693</v>
      </c>
      <c r="L21" s="0" t="n">
        <f aca="false">L19*L20</f>
        <v>366.358737609419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3979.63912830316</v>
      </c>
    </row>
    <row r="31" customFormat="false" ht="15" hidden="false" customHeight="false" outlineLevel="0" collapsed="false">
      <c r="A31" s="0" t="s">
        <v>134</v>
      </c>
      <c r="B31" s="0" t="n">
        <f aca="false">L19</f>
        <v>994.327232733291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13655.4273295372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14914.9084909994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13655.4273295372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5031.32666316935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9010.96579147251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9738.36579147251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186.558731637404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0.723724767970104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1579.57481605541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1511.85660070438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245.781555713262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8534.64208096075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115.948789738843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73.6880909178893</v>
      </c>
      <c r="C4" s="0" t="n">
        <f aca="false">B4/Assumptions!$B$2-1</f>
        <v>-0.3191528142115</v>
      </c>
      <c r="D4" s="4" t="n">
        <f aca="false">Assumptions!$B$24</f>
        <v>0.3</v>
      </c>
      <c r="E4" s="4" t="n">
        <f aca="false">DCF_Bear!$B$43</f>
        <v>111.728012186627</v>
      </c>
      <c r="F4" s="4" t="n">
        <f aca="false">DCF_Bear!$B$47</f>
        <v>55.4877907471167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140.064198079501</v>
      </c>
      <c r="C5" s="0" t="n">
        <f aca="false">B5/Assumptions!$B$2-1</f>
        <v>0.294134695366361</v>
      </c>
      <c r="D5" s="4" t="n">
        <f aca="false">Assumptions!$B$38</f>
        <v>0.45</v>
      </c>
      <c r="E5" s="4" t="n">
        <f aca="false">DCF_Base!$B$43</f>
        <v>188.382351784613</v>
      </c>
      <c r="F5" s="4" t="n">
        <f aca="false">DCF_Base!$B$47</f>
        <v>92.278432753873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186.558731637404</v>
      </c>
      <c r="C6" s="0" t="n">
        <f aca="false">B6/Assumptions!$B$2-1</f>
        <v>0.723724767970104</v>
      </c>
      <c r="D6" s="4" t="n">
        <f aca="false">Assumptions!$B$52</f>
        <v>0.25</v>
      </c>
      <c r="E6" s="4" t="n">
        <f aca="false">DCF_Bull!$B$43</f>
        <v>245.781555713262</v>
      </c>
      <c r="F6" s="4" t="n">
        <f aca="false">DCF_Bull!$B$47</f>
        <v>115.948789738843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131.774999320493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179.735850887379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0.178675768862871</v>
      </c>
    </row>
    <row r="11" customFormat="false" ht="15" hidden="false" customHeight="false" outlineLevel="0" collapsed="false">
      <c r="A11" s="0" t="s">
        <v>161</v>
      </c>
      <c r="B11" s="0" t="n">
        <f aca="false">IF(ABS(B9-B8)&gt;0.01*ABS(B8),(Assumptions!$B$2-B8)/(B9-B8)*100,"n/a")</f>
        <v>-49.0921210764111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87.1588293980887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166.557760787852</v>
      </c>
      <c r="C15" s="3" t="n">
        <v>9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148.974889654167</v>
      </c>
      <c r="C16" s="3" t="n">
        <v>10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140.064198079501</v>
      </c>
      <c r="C17" s="3" t="n">
        <v>10.5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132.213686637265</v>
      </c>
      <c r="C18" s="3" t="n">
        <v>11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119.022170309276</v>
      </c>
      <c r="C19" s="3" t="n">
        <v>12</v>
      </c>
    </row>
    <row r="20" customFormat="false" ht="15" hidden="false" customHeight="false" outlineLevel="0" collapsed="false">
      <c r="A20" s="0" t="s">
        <v>170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92.278432753873</v>
      </c>
      <c r="C20" s="3" t="n">
        <v>15</v>
      </c>
    </row>
    <row r="22" customFormat="false" ht="15" hidden="false" customHeight="false" outlineLevel="0" collapsed="false">
      <c r="A22" s="2" t="s">
        <v>171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169.252984504579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172.247502769771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172.247502769771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172.247502769771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172.247502769771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148.48932806249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153.475256321728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159.17346004657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161.124899678366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161.124899678366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132.40715050732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136.010467011876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140.064198079501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144.65842662281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149.908973529448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119.597709325283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122.273344745443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125.246272990066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128.568957498762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132.306977571046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109.164858104203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111.195669828524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113.429562725277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115.89860224274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118.641979484366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2026-09-28T07:40:30Z</dcterms:created>
  <dc:creator>openpyxl</dc:creator>
  <dc:description/>
  <dc:language>en-NZ</dc:language>
  <cp:lastModifiedBy/>
  <dcterms:modified xsi:type="dcterms:W3CDTF">2026-09-28T07:40:30Z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