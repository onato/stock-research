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<sst xmlns="http://schemas.openxmlformats.org/spreadsheetml/2006/main" count="372" uniqueCount="175">
  <si>
    <t xml:space="preserve">Ticker</t>
  </si>
  <si>
    <t xml:space="preserve">4151.T</t>
  </si>
  <si>
    <t xml:space="preserve">Company</t>
  </si>
  <si>
    <t xml:space="preserve">Kyowa Kirin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</si>
  <si>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</si>
  <si>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</si>
  <si>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</si>
  <si>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</si>
  <si>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Friday 30 Oct;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</si>
  <si>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</si>
  <si>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</si>
  <si>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</si>
  <si>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</si>
  <si>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</si>
  <si>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</si>
  <si>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</si>
  <si>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</si>
  <si>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</si>
  <si>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</si>
  <si>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</si>
  <si>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</si>
  <si>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2026-10-30T23:57:06Z</t>
  </si>
  <si>
    <t xml:space="preserve">Drivers file</t>
  </si>
  <si>
    <t xml:space="preserve">4151.T_Drivers.json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</si>
  <si>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</si>
  <si>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</si>
  <si>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</si>
  <si>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~¥500bn-revenue specialty pharma valued on owner FCF built from the company's own core operating profit, with the cash part of 'non-recurring' charges treated as recurring, in-licensing charged through capex (and impairments therefore not double-charged), leases charged in the flows and excluded from net debt, interest income stripped against the ¥265bn cash pile, and the three management-dated exclusivity/royalty cliffs modelled explicitly inside a 10-year horizon. The ten-year base revenue CAGR is 1.7% against management's 10% ambition; the bull case is management's plan, the bear is a franchise cliff without a pipeline. JPY WACC 7.5% across all scenarios; terminal value capped at 18x FCF.
key_risks_to_valuation: Crysvita exclusivity expiry (2032) and Poteligeo (2030): the base assumes slow antibody-style erosion (-3%/yr group revenue for two years); a US biosimilar entering at launch would push the base toward the bear path; US Most-Favored-Nation drug pricing: ~39% of revenue is North American; a 20-30% US price cut on the franchise is not in the base; Pipeline execution post-rocatinlimab: KOMZIFTI (50:50 with Kura), Lenmeldy, KK8123, infigratinib, OTL-203 must deliver roughly ¥100bn of replacement revenue by the mid-2030s for the base's flat-to-+2% post-cliff path; Margin trough in FY2028 (Fasenra royalty end plus R&amp;D step-up) could be deeper or longer than the 24.5% modelled; FX: ~74% of revenue in USD/GBP/EUR reported in JPY; a 10% yen appreciation is roughly -7% on revenue and more on core OP; Capital allocation of the ¥265bn net cash (added at face): Kirin Holdings' ~50% stake means buybacks are episodic (¥40bn FY2024, ¥9m FY2025); value-destroying M&amp;A would erode the bridge; In-licensing cash normalised at ~3% of revenue; a Kura-sized upfront every two years would run nearer 5%</t>
  </si>
  <si>
    <t xml:space="preserve">Data sources</t>
  </si>
  <si>
    <t xml:space="preserve">price: Yahoo Finance chart API at inputs.price_as_of; 52-week range 2,109-2,912
financials: 4151.T_Metrics.csv (FY2015-FY2025, H1 FY2026); FY2025 Annual Securities Report (lease note, cash flow statement, interest-bearing debt); H1 FY2026 tanshin (balance sheet 2026-06-30, share counts, FY2026 forecast); FY2025 integrated report (new core OP definition, FY2026 outlook, Vision 2030 targets)
qualitative: 4151.T_Analysis.json (2026-10-31): exclusivity dates, Fasenra royalty end, rocatinlimab discontinuation, KOMZIFTI launch, guidance history</t>
  </si>
  <si>
    <t xml:space="preserve">Scenario narrative: bear</t>
  </si>
  <si>
    <t xml:space="preserve">Guidance met in FY2026, then US MFN pricing and faster-than-expected biosimilar erosion of both franchise antibodies, continued -9%/yr Japan decline, Fasenra royalty loss, and a thin post-rocatinlimab pipeline that fails to replace them. Revenue down ~30% from peak by FY2034, owner EBITDA margin to 15%, in-licensing spend up. Net cash cushions the equity value; the operating business is worth well under today's EV.</t>
  </si>
  <si>
    <t xml:space="preserve">Scenario narrative: base</t>
  </si>
  <si>
    <t xml:space="preserve">Franchise strength through FY2027 (Crysvita/Poteligeo double-digit, KOMZIFTI launch, FY2026 core OP guidance already raised once to ¥130bn), then the three dated headwinds management itself names: Fasenra royalty end 2028, Poteligeo exclusivity 2030, Crysvita exclusivity 2032. Revenue peaks ~¥590bn in FY2030-31, dips ~6% over FY2032-33 and stabilises as the pipeline (KOMZIFTI label expansion, Lenmeldy, KK8123, infigratinib, OTL-203) partially refills; owner EBITDA margin rebuilds from the FY2028 R&amp;D-step-up trough to 27% (core OP ~25%, a haircut to the 30% target). Capex stays above D&amp;A to fund the Sanford plant and ~3%/yr of in-licensing. Net cash ¥265bn is added at face; the equity-method and financial-asset book (¥25bn) at book.</t>
  </si>
  <si>
    <t xml:space="preserve">Scenario narrative: bull</t>
  </si>
  <si>
    <t xml:space="preserve">Vision 2030 delivered: ~10% revenue CAGR to 2030 driven by Crysvita geographic/indication expansion, Poteligeo, KOMZIFTI frontline AML combinations and Lenmeldy newborn-screening demand; margin reaches the 30% core OP target (32% owner EBITDA) as R&amp;D intensity normalises; exclusivity expiries slow growth to 2-3% in FY2032-33 but do not shrink the business. Terminal growth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</si>
  <si>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</si>
  <si>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</si>
  <si>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</si>
  <si>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</si>
  <si>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</si>
  <si>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</si>
  <si>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</si>
  <si>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</si>
  <si>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</si>
  <si>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</si>
  <si>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</si>
  <si>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</si>
  <si>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</si>
  <si>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</si>
  <si>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</si>
  <si>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</si>
  <si>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</si>
  <si>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</si>
  <si>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</si>
  <si>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</si>
  <si>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</si>
  <si>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</si>
  <si>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</si>
  <si>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</si>
  <si>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</si>
  <si>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</si>
  <si>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</si>
  <si>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</si>
  <si>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</si>
  <si>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CoreOperatingIncome</t>
  </si>
  <si>
    <t xml:space="preserve">ResearchAndDevelopment</t>
  </si>
  <si>
    <t xml:space="preserve">RevenueUS</t>
  </si>
  <si>
    <t xml:space="preserve">SegmentRevenueAmericas</t>
  </si>
  <si>
    <t xml:space="preserve">SegmentRevenueAsia</t>
  </si>
  <si>
    <t xml:space="preserve">SegmentRevenueEurope</t>
  </si>
  <si>
    <t xml:space="preserve">SegmentRevenueOther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</si>
  <si>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</si>
  <si>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</si>
  <si>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</si>
  <si>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</si>
  <si>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</si>
  <si>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</si>
  <si>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</si>
  <si>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</si>
  <si>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</si>
  <si>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</si>
  <si>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</si>
  <si>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</si>
  <si>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</si>
  <si>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</si>
  <si>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</si>
  <si>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</si>
  <si>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</si>
  <si>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</si>
  <si>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</si>
  <si>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</si>
  <si>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</si>
  <si>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</si>
  <si>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</si>
  <si>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</si>
  <si>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</si>
  <si>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</si>
  <si>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</si>
  <si>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</si>
  <si>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</si>
  <si>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</si>
  <si>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</si>
  <si>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</si>
  <si>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</si>
  <si>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</si>
  <si>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</si>
  <si>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</si>
  <si>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</si>
  <si>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</si>
  <si>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</si>
  <si>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</si>
  <si>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</si>
  <si>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</si>
  <si>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</si>
  <si>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</si>
  <si>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</si>
  <si>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</si>
  <si>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</si>
  <si>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</si>
  <si>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4151.T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</si>
  <si>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</si>
  <si>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</si>
  <si>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</si>
  <si>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</si>
  <si>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</si>
  <si>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</si>
  <si>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</si>
  <si>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</si>
  <si>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</si>
  <si>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</si>
  <si>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</si>
  <si>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</si>
  <si>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</si>
  <si>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</si>
  <si>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</si>
  <si>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</si>
  <si>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</si>
  <si>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</si>
  <si>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</si>
  <si>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</si>
  <si>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</si>
  <si>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</si>
  <si>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</si>
  <si>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</si>
  <si>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</si>
  <si>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</si>
  <si>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</si>
  <si>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</si>
  <si>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</si>
  <si>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</si>
  <si>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4151.T owner-FCF component DCF: base case (millions, JPY)</t>
  </si>
  <si>
    <t xml:space="preserve">4151.T owner-FCF component DCF: bull case (millions, JPY)</t>
  </si>
  <si>
    <t xml:space="preserve">4151.T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</si>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</sst>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2464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</row>
    <row r="2" customFormat="false" ht="15" hidden="false" customHeight="false" outlineLevel="0" collapsed="false">
      <c r="A2" s="0" t="s">
        <v>72</v>
      </c>
      <c r="B2" s="0" t="n">
        <v>364316</v>
      </c>
      <c r="C2" s="0" t="n">
        <v>138923</v>
      </c>
      <c r="D2" s="0" t="n">
        <v>225393</v>
      </c>
      <c r="E2" s="0" t="n">
        <v>61.9</v>
      </c>
      <c r="F2" s="0" t="n">
        <v>43765</v>
      </c>
      <c r="G2" s="0" t="n">
        <v>12</v>
      </c>
      <c r="H2" s="0" t="n">
        <v>66891</v>
      </c>
      <c r="I2" s="0" t="n">
        <v>29774</v>
      </c>
      <c r="J2" s="0" t="n">
        <v>8.2</v>
      </c>
      <c r="K2" s="0" t="n">
        <v>54.4</v>
      </c>
      <c r="L2" s="0" t="n">
        <v>66526</v>
      </c>
      <c r="M2" s="0" t="n">
        <v>20096</v>
      </c>
      <c r="N2" s="0" t="n">
        <v>46430</v>
      </c>
      <c r="O2" s="0" t="n">
        <v>614858</v>
      </c>
      <c r="P2" s="0" t="n">
        <v>720764</v>
      </c>
      <c r="Q2" s="0" t="n">
        <v>105906</v>
      </c>
      <c r="R2" s="0" t="n">
        <v>4840</v>
      </c>
      <c r="S2" s="0" t="n">
        <v>12784</v>
      </c>
      <c r="T2" s="0" t="n">
        <v>547.285</v>
      </c>
      <c r="V2" s="0" t="n">
        <v>25</v>
      </c>
      <c r="AA2" s="0" t="s">
        <v>17</v>
      </c>
      <c r="AB2" s="0" t="s">
        <v>14</v>
      </c>
      <c r="AC2" s="0" t="n">
        <v>1038</v>
      </c>
      <c r="AD2" s="0" t="n">
        <v>19058</v>
      </c>
      <c r="AE2" s="0" t="n">
        <v>43765</v>
      </c>
      <c r="AF2" s="0" t="n">
        <v>51604</v>
      </c>
    </row>
    <row r="3" customFormat="false" ht="15" hidden="false" customHeight="false" outlineLevel="0" collapsed="false">
      <c r="A3" s="0" t="s">
        <v>73</v>
      </c>
      <c r="B3" s="0" t="n">
        <v>347956</v>
      </c>
      <c r="C3" s="0" t="n">
        <v>133364</v>
      </c>
      <c r="D3" s="0" t="n">
        <v>214592</v>
      </c>
      <c r="E3" s="0" t="n">
        <v>61.7</v>
      </c>
      <c r="F3" s="0" t="n">
        <v>42053</v>
      </c>
      <c r="G3" s="0" t="n">
        <v>12.1</v>
      </c>
      <c r="H3" s="0" t="n">
        <v>65837</v>
      </c>
      <c r="I3" s="0" t="n">
        <v>30450</v>
      </c>
      <c r="J3" s="0" t="n">
        <v>8.8</v>
      </c>
      <c r="K3" s="0" t="n">
        <v>55.65</v>
      </c>
      <c r="L3" s="0" t="n">
        <v>66881</v>
      </c>
      <c r="M3" s="0" t="n">
        <v>30097</v>
      </c>
      <c r="N3" s="0" t="n">
        <v>36784</v>
      </c>
      <c r="O3" s="0" t="n">
        <v>577036</v>
      </c>
      <c r="P3" s="0" t="n">
        <v>683801</v>
      </c>
      <c r="Q3" s="0" t="n">
        <v>106765</v>
      </c>
      <c r="R3" s="0" t="n">
        <v>7000</v>
      </c>
      <c r="S3" s="0" t="n">
        <v>13076</v>
      </c>
      <c r="T3" s="0" t="n">
        <v>547.224</v>
      </c>
      <c r="V3" s="0" t="n">
        <v>25</v>
      </c>
      <c r="AA3" s="0" t="s">
        <v>17</v>
      </c>
      <c r="AB3" s="0" t="s">
        <v>14</v>
      </c>
      <c r="AC3" s="0" t="n">
        <v>9402</v>
      </c>
      <c r="AD3" s="0" t="n">
        <v>20695</v>
      </c>
      <c r="AE3" s="0" t="n">
        <v>39116</v>
      </c>
      <c r="AF3" s="0" t="n">
        <v>52929</v>
      </c>
    </row>
    <row r="4" customFormat="false" ht="15" hidden="false" customHeight="false" outlineLevel="0" collapsed="false">
      <c r="A4" s="0" t="s">
        <v>74</v>
      </c>
      <c r="B4" s="0" t="n">
        <v>353380</v>
      </c>
      <c r="C4" s="0" t="n">
        <v>129059</v>
      </c>
      <c r="D4" s="0" t="n">
        <v>224321</v>
      </c>
      <c r="E4" s="0" t="n">
        <v>63.5</v>
      </c>
      <c r="F4" s="0" t="n">
        <v>55974</v>
      </c>
      <c r="G4" s="0" t="n">
        <v>15.8</v>
      </c>
      <c r="H4" s="0" t="n">
        <v>78006</v>
      </c>
      <c r="I4" s="0" t="n">
        <v>42899</v>
      </c>
      <c r="J4" s="0" t="n">
        <v>12.1</v>
      </c>
      <c r="K4" s="0" t="n">
        <v>78.38</v>
      </c>
      <c r="L4" s="0" t="n">
        <v>64902</v>
      </c>
      <c r="M4" s="0" t="n">
        <v>22334</v>
      </c>
      <c r="N4" s="0" t="n">
        <v>42568</v>
      </c>
      <c r="O4" s="0" t="n">
        <v>616028</v>
      </c>
      <c r="P4" s="0" t="n">
        <v>708295</v>
      </c>
      <c r="Q4" s="0" t="n">
        <v>92267</v>
      </c>
      <c r="R4" s="0" t="n">
        <v>2814</v>
      </c>
      <c r="S4" s="0" t="n">
        <v>14685</v>
      </c>
      <c r="T4" s="0" t="n">
        <v>547.29</v>
      </c>
      <c r="V4" s="0" t="n">
        <v>27</v>
      </c>
      <c r="AA4" s="0" t="s">
        <v>17</v>
      </c>
      <c r="AB4" s="0" t="s">
        <v>14</v>
      </c>
      <c r="AC4" s="0" t="n">
        <v>7569</v>
      </c>
      <c r="AD4" s="0" t="n">
        <v>14765</v>
      </c>
      <c r="AE4" s="0" t="n">
        <v>57731</v>
      </c>
      <c r="AF4" s="0" t="n">
        <v>49216</v>
      </c>
    </row>
    <row r="5" customFormat="false" ht="15" hidden="false" customHeight="false" outlineLevel="0" collapsed="false">
      <c r="A5" s="0" t="s">
        <v>75</v>
      </c>
      <c r="B5" s="0" t="n">
        <v>271510</v>
      </c>
      <c r="C5" s="0" t="n">
        <v>73361</v>
      </c>
      <c r="D5" s="0" t="n">
        <v>198149</v>
      </c>
      <c r="E5" s="0" t="n">
        <v>73</v>
      </c>
      <c r="F5" s="0" t="n">
        <v>67473</v>
      </c>
      <c r="G5" s="0" t="n">
        <v>24.9</v>
      </c>
      <c r="H5" s="0" t="n">
        <v>83716</v>
      </c>
      <c r="I5" s="0" t="n">
        <v>54414</v>
      </c>
      <c r="J5" s="0" t="n">
        <v>20</v>
      </c>
      <c r="K5" s="0" t="n">
        <v>99.4</v>
      </c>
      <c r="L5" s="0" t="n">
        <v>56181</v>
      </c>
      <c r="M5" s="0" t="n">
        <v>13740</v>
      </c>
      <c r="N5" s="0" t="n">
        <v>42441</v>
      </c>
      <c r="O5" s="0" t="n">
        <v>649621</v>
      </c>
      <c r="P5" s="0" t="n">
        <v>741982</v>
      </c>
      <c r="Q5" s="0" t="n">
        <v>92362</v>
      </c>
      <c r="R5" s="0" t="n">
        <v>2527</v>
      </c>
      <c r="S5" s="0" t="n">
        <v>15867</v>
      </c>
      <c r="T5" s="0" t="n">
        <v>547.412</v>
      </c>
      <c r="V5" s="0" t="n">
        <v>35</v>
      </c>
      <c r="AA5" s="0" t="s">
        <v>17</v>
      </c>
      <c r="AB5" s="0" t="s">
        <v>14</v>
      </c>
      <c r="AC5" s="0" t="n">
        <v>9509</v>
      </c>
      <c r="AD5" s="0" t="n">
        <v>4231</v>
      </c>
      <c r="AE5" s="0" t="n">
        <v>50306</v>
      </c>
      <c r="AF5" s="0" t="n">
        <v>45659</v>
      </c>
    </row>
    <row r="6" customFormat="false" ht="15" hidden="false" customHeight="false" outlineLevel="0" collapsed="false">
      <c r="A6" s="0" t="s">
        <v>76</v>
      </c>
      <c r="B6" s="0" t="n">
        <v>305820</v>
      </c>
      <c r="C6" s="0" t="n">
        <v>79620</v>
      </c>
      <c r="D6" s="0" t="n">
        <v>226200</v>
      </c>
      <c r="E6" s="0" t="n">
        <v>74</v>
      </c>
      <c r="F6" s="0" t="n">
        <v>44771</v>
      </c>
      <c r="G6" s="0" t="n">
        <v>14.6</v>
      </c>
      <c r="H6" s="0" t="n">
        <v>63568</v>
      </c>
      <c r="I6" s="0" t="n">
        <v>67084</v>
      </c>
      <c r="J6" s="0" t="n">
        <v>21.9</v>
      </c>
      <c r="K6" s="0" t="n">
        <v>124.57</v>
      </c>
      <c r="L6" s="0" t="n">
        <v>53655</v>
      </c>
      <c r="M6" s="0" t="n">
        <v>21257</v>
      </c>
      <c r="N6" s="0" t="n">
        <v>32398</v>
      </c>
      <c r="O6" s="0" t="n">
        <v>678250</v>
      </c>
      <c r="P6" s="0" t="n">
        <v>784453</v>
      </c>
      <c r="Q6" s="0" t="n">
        <v>106204</v>
      </c>
      <c r="R6" s="0" t="n">
        <v>17185</v>
      </c>
      <c r="S6" s="0" t="n">
        <v>20762</v>
      </c>
      <c r="T6" s="0" t="n">
        <v>538.542</v>
      </c>
      <c r="V6" s="0" t="n">
        <v>42</v>
      </c>
      <c r="AA6" s="0" t="s">
        <v>17</v>
      </c>
      <c r="AB6" s="0" t="s">
        <v>14</v>
      </c>
      <c r="AC6" s="0" t="n">
        <v>14227</v>
      </c>
      <c r="AD6" s="0" t="n">
        <v>7030</v>
      </c>
      <c r="AE6" s="0" t="n">
        <v>59353</v>
      </c>
      <c r="AF6" s="0" t="n">
        <v>53511</v>
      </c>
      <c r="AH6" s="0" t="n">
        <v>49699</v>
      </c>
      <c r="AI6" s="0" t="n">
        <v>27567</v>
      </c>
      <c r="AJ6" s="0" t="n">
        <v>42228</v>
      </c>
      <c r="AK6" s="0" t="n">
        <v>145</v>
      </c>
    </row>
    <row r="7" customFormat="false" ht="15" hidden="false" customHeight="false" outlineLevel="0" collapsed="false">
      <c r="A7" s="0" t="s">
        <v>77</v>
      </c>
      <c r="B7" s="0" t="n">
        <v>318352</v>
      </c>
      <c r="C7" s="0" t="n">
        <v>80440</v>
      </c>
      <c r="D7" s="0" t="n">
        <v>237912</v>
      </c>
      <c r="E7" s="0" t="n">
        <v>74.7</v>
      </c>
      <c r="F7" s="0" t="n">
        <v>50764</v>
      </c>
      <c r="G7" s="0" t="n">
        <v>15.9</v>
      </c>
      <c r="H7" s="0" t="n">
        <v>71230</v>
      </c>
      <c r="I7" s="0" t="n">
        <v>47027</v>
      </c>
      <c r="J7" s="0" t="n">
        <v>14.8</v>
      </c>
      <c r="K7" s="0" t="n">
        <v>87.56</v>
      </c>
      <c r="L7" s="0" t="n">
        <v>39502</v>
      </c>
      <c r="M7" s="0" t="n">
        <v>35227</v>
      </c>
      <c r="N7" s="0" t="n">
        <v>4275</v>
      </c>
      <c r="O7" s="0" t="n">
        <v>698396</v>
      </c>
      <c r="P7" s="0" t="n">
        <v>801290</v>
      </c>
      <c r="Q7" s="0" t="n">
        <v>102894</v>
      </c>
      <c r="R7" s="0" t="n">
        <v>17842</v>
      </c>
      <c r="S7" s="0" t="n">
        <v>287019</v>
      </c>
      <c r="T7" s="0" t="n">
        <v>537.109</v>
      </c>
      <c r="V7" s="0" t="n">
        <v>44</v>
      </c>
      <c r="AA7" s="0" t="s">
        <v>17</v>
      </c>
      <c r="AB7" s="0" t="s">
        <v>14</v>
      </c>
      <c r="AC7" s="0" t="n">
        <v>25112</v>
      </c>
      <c r="AD7" s="0" t="n">
        <v>10115</v>
      </c>
      <c r="AE7" s="0" t="n">
        <v>59955</v>
      </c>
      <c r="AF7" s="0" t="n">
        <v>52312</v>
      </c>
      <c r="AH7" s="0" t="n">
        <v>72178</v>
      </c>
      <c r="AI7" s="0" t="n">
        <v>30848</v>
      </c>
      <c r="AJ7" s="0" t="n">
        <v>48530</v>
      </c>
      <c r="AK7" s="0" t="n">
        <v>156</v>
      </c>
    </row>
    <row r="8" customFormat="false" ht="15" hidden="false" customHeight="false" outlineLevel="0" collapsed="false">
      <c r="A8" s="0" t="s">
        <v>78</v>
      </c>
      <c r="B8" s="0" t="n">
        <v>352246</v>
      </c>
      <c r="C8" s="0" t="n">
        <v>87848</v>
      </c>
      <c r="D8" s="0" t="n">
        <v>264398</v>
      </c>
      <c r="E8" s="0" t="n">
        <v>75.1</v>
      </c>
      <c r="F8" s="0" t="n">
        <v>60054</v>
      </c>
      <c r="G8" s="0" t="n">
        <v>17</v>
      </c>
      <c r="H8" s="0" t="n">
        <v>79552</v>
      </c>
      <c r="I8" s="0" t="n">
        <v>52347</v>
      </c>
      <c r="J8" s="0" t="n">
        <v>14.9</v>
      </c>
      <c r="K8" s="0" t="n">
        <v>97.43</v>
      </c>
      <c r="L8" s="0" t="n">
        <v>86548</v>
      </c>
      <c r="M8" s="0" t="n">
        <v>19766</v>
      </c>
      <c r="N8" s="0" t="n">
        <v>66782</v>
      </c>
      <c r="O8" s="0" t="n">
        <v>737162</v>
      </c>
      <c r="P8" s="0" t="n">
        <v>921872</v>
      </c>
      <c r="Q8" s="0" t="n">
        <v>184710</v>
      </c>
      <c r="R8" s="0" t="n">
        <v>20371</v>
      </c>
      <c r="S8" s="0" t="n">
        <v>335084</v>
      </c>
      <c r="T8" s="0" t="n">
        <v>537.272</v>
      </c>
      <c r="U8" s="0" t="n">
        <v>595</v>
      </c>
      <c r="V8" s="0" t="n">
        <v>46</v>
      </c>
      <c r="AA8" s="0" t="s">
        <v>17</v>
      </c>
      <c r="AB8" s="0" t="s">
        <v>14</v>
      </c>
      <c r="AC8" s="0" t="n">
        <v>13244</v>
      </c>
      <c r="AD8" s="0" t="n">
        <v>6522</v>
      </c>
      <c r="AE8" s="0" t="n">
        <v>65685</v>
      </c>
      <c r="AF8" s="0" t="n">
        <v>57679</v>
      </c>
      <c r="AH8" s="0" t="n">
        <v>102163</v>
      </c>
      <c r="AI8" s="0" t="n">
        <v>34518</v>
      </c>
      <c r="AJ8" s="0" t="n">
        <v>53361</v>
      </c>
      <c r="AK8" s="0" t="n">
        <v>217</v>
      </c>
    </row>
    <row r="9" customFormat="false" ht="15" hidden="false" customHeight="false" outlineLevel="0" collapsed="false">
      <c r="A9" s="0" t="s">
        <v>79</v>
      </c>
      <c r="B9" s="0" t="n">
        <v>398371</v>
      </c>
      <c r="C9" s="0" t="n">
        <v>86916</v>
      </c>
      <c r="D9" s="0" t="n">
        <v>311455</v>
      </c>
      <c r="E9" s="0" t="n">
        <v>78.2</v>
      </c>
      <c r="F9" s="0" t="n">
        <v>65341</v>
      </c>
      <c r="G9" s="0" t="n">
        <v>16.4</v>
      </c>
      <c r="H9" s="0" t="n">
        <v>83817</v>
      </c>
      <c r="I9" s="0" t="n">
        <v>53573</v>
      </c>
      <c r="J9" s="0" t="n">
        <v>13.4</v>
      </c>
      <c r="K9" s="0" t="n">
        <v>99.68</v>
      </c>
      <c r="L9" s="0" t="n">
        <v>48672</v>
      </c>
      <c r="M9" s="0" t="n">
        <v>28666</v>
      </c>
      <c r="N9" s="0" t="n">
        <v>20006</v>
      </c>
      <c r="O9" s="0" t="n">
        <v>762826</v>
      </c>
      <c r="P9" s="0" t="n">
        <v>939881</v>
      </c>
      <c r="Q9" s="0" t="n">
        <v>177055</v>
      </c>
      <c r="R9" s="0" t="n">
        <v>21639</v>
      </c>
      <c r="S9" s="0" t="n">
        <v>339194</v>
      </c>
      <c r="T9" s="0" t="n">
        <v>537.432</v>
      </c>
      <c r="U9" s="0" t="n">
        <v>861</v>
      </c>
      <c r="V9" s="0" t="n">
        <v>51</v>
      </c>
      <c r="AA9" s="0" t="s">
        <v>17</v>
      </c>
      <c r="AB9" s="0" t="s">
        <v>14</v>
      </c>
      <c r="AC9" s="0" t="n">
        <v>13102</v>
      </c>
      <c r="AD9" s="0" t="n">
        <v>15564</v>
      </c>
      <c r="AE9" s="0" t="n">
        <v>86697</v>
      </c>
      <c r="AF9" s="0" t="n">
        <v>62896</v>
      </c>
      <c r="AG9" s="0" t="n">
        <v>139852</v>
      </c>
      <c r="AH9" s="0" t="n">
        <v>143905</v>
      </c>
      <c r="AI9" s="0" t="n">
        <v>37368</v>
      </c>
      <c r="AJ9" s="0" t="n">
        <v>62251</v>
      </c>
      <c r="AK9" s="0" t="n">
        <v>210</v>
      </c>
    </row>
    <row r="10" customFormat="false" ht="15" hidden="false" customHeight="false" outlineLevel="0" collapsed="false">
      <c r="A10" s="0" t="s">
        <v>80</v>
      </c>
      <c r="B10" s="0" t="n">
        <v>442233</v>
      </c>
      <c r="C10" s="0" t="n">
        <v>111207</v>
      </c>
      <c r="D10" s="0" t="n">
        <v>331026</v>
      </c>
      <c r="E10" s="0" t="n">
        <v>74.9</v>
      </c>
      <c r="F10" s="0" t="n">
        <v>92563</v>
      </c>
      <c r="G10" s="0" t="n">
        <v>20.9</v>
      </c>
      <c r="H10" s="0" t="n">
        <v>113659</v>
      </c>
      <c r="I10" s="0" t="n">
        <v>81188</v>
      </c>
      <c r="J10" s="0" t="n">
        <v>18.4</v>
      </c>
      <c r="K10" s="0" t="n">
        <v>151.03</v>
      </c>
      <c r="L10" s="0" t="n">
        <v>115551</v>
      </c>
      <c r="M10" s="0" t="n">
        <v>32852</v>
      </c>
      <c r="N10" s="0" t="n">
        <v>82699</v>
      </c>
      <c r="O10" s="0" t="n">
        <v>836418</v>
      </c>
      <c r="P10" s="0" t="n">
        <v>1025942</v>
      </c>
      <c r="Q10" s="0" t="n">
        <v>189524</v>
      </c>
      <c r="R10" s="0" t="n">
        <v>19301</v>
      </c>
      <c r="S10" s="0" t="n">
        <v>403083</v>
      </c>
      <c r="T10" s="0" t="n">
        <v>537.576</v>
      </c>
      <c r="U10" s="0" t="n">
        <v>365</v>
      </c>
      <c r="V10" s="0" t="n">
        <v>56</v>
      </c>
      <c r="AA10" s="0" t="s">
        <v>17</v>
      </c>
      <c r="AB10" s="0" t="s">
        <v>14</v>
      </c>
      <c r="AC10" s="0" t="n">
        <v>15639</v>
      </c>
      <c r="AD10" s="0" t="n">
        <v>17213</v>
      </c>
      <c r="AE10" s="0" t="n">
        <v>96785</v>
      </c>
      <c r="AF10" s="0" t="n">
        <v>72106</v>
      </c>
      <c r="AG10" s="0" t="n">
        <v>172242</v>
      </c>
      <c r="AH10" s="0" t="n">
        <v>177296</v>
      </c>
      <c r="AI10" s="0" t="n">
        <v>44759</v>
      </c>
      <c r="AJ10" s="0" t="n">
        <v>65745</v>
      </c>
      <c r="AK10" s="0" t="n">
        <v>972</v>
      </c>
    </row>
    <row r="11" customFormat="false" ht="15" hidden="false" customHeight="false" outlineLevel="0" collapsed="false">
      <c r="A11" s="0" t="s">
        <v>81</v>
      </c>
      <c r="B11" s="0" t="n">
        <v>495558</v>
      </c>
      <c r="C11" s="0" t="n">
        <v>132611</v>
      </c>
      <c r="D11" s="0" t="n">
        <v>362947</v>
      </c>
      <c r="E11" s="0" t="n">
        <v>73.2</v>
      </c>
      <c r="F11" s="0" t="n">
        <v>89221</v>
      </c>
      <c r="G11" s="0" t="n">
        <v>18</v>
      </c>
      <c r="H11" s="0" t="n">
        <v>114001</v>
      </c>
      <c r="I11" s="0" t="n">
        <v>59870</v>
      </c>
      <c r="J11" s="0" t="n">
        <v>12.1</v>
      </c>
      <c r="K11" s="0" t="n">
        <v>113.06</v>
      </c>
      <c r="L11" s="0" t="n">
        <v>67884</v>
      </c>
      <c r="M11" s="0" t="n">
        <v>105268</v>
      </c>
      <c r="N11" s="0" t="n">
        <v>-37384</v>
      </c>
      <c r="O11" s="0" t="n">
        <v>850811</v>
      </c>
      <c r="P11" s="0" t="n">
        <v>1067363</v>
      </c>
      <c r="Q11" s="0" t="n">
        <v>216551</v>
      </c>
      <c r="R11" s="0" t="n">
        <v>21675</v>
      </c>
      <c r="S11" s="0" t="n">
        <v>244681</v>
      </c>
      <c r="T11" s="0" t="n">
        <v>529.529</v>
      </c>
      <c r="U11" s="0" t="n">
        <v>720</v>
      </c>
      <c r="V11" s="0" t="n">
        <v>58</v>
      </c>
      <c r="AA11" s="0" t="s">
        <v>17</v>
      </c>
      <c r="AB11" s="0" t="s">
        <v>14</v>
      </c>
      <c r="AC11" s="0" t="n">
        <v>79231</v>
      </c>
      <c r="AD11" s="0" t="n">
        <v>26037</v>
      </c>
      <c r="AE11" s="0" t="n">
        <v>95405</v>
      </c>
      <c r="AF11" s="0" t="n">
        <v>103544</v>
      </c>
      <c r="AG11" s="0" t="n">
        <v>214871</v>
      </c>
      <c r="AH11" s="0" t="n">
        <v>220414</v>
      </c>
      <c r="AI11" s="0" t="n">
        <v>52466</v>
      </c>
      <c r="AJ11" s="0" t="n">
        <v>80248</v>
      </c>
      <c r="AK11" s="0" t="n">
        <v>1263</v>
      </c>
    </row>
    <row r="12" customFormat="false" ht="15" hidden="false" customHeight="false" outlineLevel="0" collapsed="false">
      <c r="A12" s="0" t="s">
        <v>82</v>
      </c>
      <c r="B12" s="0" t="n">
        <v>496826</v>
      </c>
      <c r="C12" s="0" t="n">
        <v>127934</v>
      </c>
      <c r="D12" s="0" t="n">
        <v>368892</v>
      </c>
      <c r="E12" s="0" t="n">
        <v>74.2</v>
      </c>
      <c r="F12" s="0" t="n">
        <v>86154</v>
      </c>
      <c r="G12" s="0" t="n">
        <v>17.3</v>
      </c>
      <c r="H12" s="0" t="n">
        <v>112298</v>
      </c>
      <c r="I12" s="0" t="n">
        <v>67040</v>
      </c>
      <c r="J12" s="0" t="n">
        <v>13.5</v>
      </c>
      <c r="K12" s="0" t="n">
        <v>128.07</v>
      </c>
      <c r="L12" s="0" t="n">
        <v>96619</v>
      </c>
      <c r="M12" s="0" t="n">
        <v>83519</v>
      </c>
      <c r="N12" s="0" t="n">
        <v>13100</v>
      </c>
      <c r="O12" s="0" t="n">
        <v>893332</v>
      </c>
      <c r="P12" s="0" t="n">
        <v>1107860</v>
      </c>
      <c r="Q12" s="0" t="n">
        <v>214528</v>
      </c>
      <c r="R12" s="0" t="n">
        <v>26130</v>
      </c>
      <c r="S12" s="0" t="n">
        <v>218769</v>
      </c>
      <c r="T12" s="0" t="n">
        <v>523.452</v>
      </c>
      <c r="U12" s="0" t="n">
        <v>857</v>
      </c>
      <c r="V12" s="0" t="n">
        <v>62</v>
      </c>
      <c r="AA12" s="0" t="s">
        <v>17</v>
      </c>
      <c r="AB12" s="0" t="s">
        <v>14</v>
      </c>
      <c r="AC12" s="0" t="n">
        <v>45804</v>
      </c>
      <c r="AD12" s="0" t="n">
        <v>37715</v>
      </c>
      <c r="AE12" s="0" t="n">
        <v>103062</v>
      </c>
      <c r="AF12" s="0" t="n">
        <v>101183</v>
      </c>
      <c r="AG12" s="0" t="n">
        <v>238907</v>
      </c>
      <c r="AH12" s="0" t="n">
        <v>245494</v>
      </c>
      <c r="AI12" s="0" t="n">
        <v>36294</v>
      </c>
      <c r="AJ12" s="0" t="n">
        <v>84822</v>
      </c>
      <c r="AK12" s="0" t="n">
        <v>1379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2464</v>
      </c>
    </row>
    <row r="3" customFormat="false" ht="15" hidden="false" customHeight="false" outlineLevel="0" collapsed="false">
      <c r="A3" s="0" t="s">
        <v>86</v>
      </c>
      <c r="B3" s="3" t="n">
        <v>523.586</v>
      </c>
    </row>
    <row r="4" customFormat="false" ht="15" hidden="false" customHeight="false" outlineLevel="0" collapsed="false">
      <c r="A4" s="0" t="s">
        <v>87</v>
      </c>
      <c r="B4" s="3" t="n">
        <v>-265083</v>
      </c>
    </row>
    <row r="5" customFormat="false" ht="15" hidden="false" customHeight="false" outlineLevel="0" collapsed="false">
      <c r="A5" s="0" t="s">
        <v>88</v>
      </c>
      <c r="B5" s="3" t="n">
        <v>25085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496826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4.7</v>
      </c>
      <c r="D13" s="3" t="n">
        <v>3</v>
      </c>
      <c r="E13" s="3" t="n">
        <v>0</v>
      </c>
      <c r="F13" s="3" t="n">
        <v>-2</v>
      </c>
      <c r="G13" s="3" t="n">
        <v>-5</v>
      </c>
      <c r="H13" s="3" t="n">
        <v>-8</v>
      </c>
      <c r="I13" s="3" t="n">
        <v>-12</v>
      </c>
      <c r="J13" s="3" t="n">
        <v>-10</v>
      </c>
      <c r="K13" s="3" t="n">
        <v>-4</v>
      </c>
      <c r="L13" s="3" t="n">
        <v>0</v>
      </c>
    </row>
    <row r="14" customFormat="false" ht="15" hidden="false" customHeight="false" outlineLevel="0" collapsed="false">
      <c r="A14" s="0" t="s">
        <v>107</v>
      </c>
      <c r="C14" s="3" t="n">
        <v>24</v>
      </c>
      <c r="D14" s="3" t="n">
        <v>25</v>
      </c>
      <c r="E14" s="3" t="n">
        <v>21</v>
      </c>
      <c r="F14" s="3" t="n">
        <v>20</v>
      </c>
      <c r="G14" s="3" t="n">
        <v>19</v>
      </c>
      <c r="H14" s="3" t="n">
        <v>18</v>
      </c>
      <c r="I14" s="3" t="n">
        <v>16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108</v>
      </c>
      <c r="C15" s="3" t="n">
        <v>0.17</v>
      </c>
      <c r="D15" s="3" t="n">
        <v>0.17</v>
      </c>
      <c r="E15" s="3" t="n">
        <v>0.17</v>
      </c>
      <c r="F15" s="3" t="n">
        <v>0.17</v>
      </c>
      <c r="G15" s="3" t="n">
        <v>0.17</v>
      </c>
      <c r="H15" s="3" t="n">
        <v>0.17</v>
      </c>
      <c r="I15" s="3" t="n">
        <v>0.17</v>
      </c>
      <c r="J15" s="3" t="n">
        <v>0.17</v>
      </c>
      <c r="K15" s="3" t="n">
        <v>0.17</v>
      </c>
      <c r="L15" s="3" t="n">
        <v>0.17</v>
      </c>
    </row>
    <row r="16" customFormat="false" ht="15" hidden="false" customHeight="false" outlineLevel="0" collapsed="false">
      <c r="A16" s="0" t="s">
        <v>109</v>
      </c>
      <c r="C16" s="3" t="n">
        <v>1.3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110</v>
      </c>
      <c r="C17" s="3" t="n">
        <v>4.4</v>
      </c>
      <c r="D17" s="3" t="n">
        <v>4.6</v>
      </c>
      <c r="E17" s="3" t="n">
        <v>4.8</v>
      </c>
      <c r="F17" s="3" t="n">
        <v>5</v>
      </c>
      <c r="G17" s="3" t="n">
        <v>5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111</v>
      </c>
      <c r="C18" s="3" t="n">
        <v>9</v>
      </c>
      <c r="D18" s="3" t="n">
        <v>8.5</v>
      </c>
      <c r="E18" s="3" t="n">
        <v>8.5</v>
      </c>
      <c r="F18" s="3" t="n">
        <v>8.5</v>
      </c>
      <c r="G18" s="3" t="n">
        <v>8.5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27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0.5</v>
      </c>
    </row>
    <row r="22" customFormat="false" ht="15" hidden="false" customHeight="false" outlineLevel="0" collapsed="false">
      <c r="A22" s="0" t="s">
        <v>115</v>
      </c>
      <c r="B22" s="3" t="n">
        <v>18</v>
      </c>
    </row>
    <row r="23" customFormat="false" ht="15" hidden="false" customHeight="false" outlineLevel="0" collapsed="false">
      <c r="A23" s="0" t="s">
        <v>116</v>
      </c>
      <c r="B23" s="3" t="n">
        <v>-20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6</v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-3</v>
      </c>
      <c r="J27" s="3" t="n">
        <v>-3</v>
      </c>
      <c r="K27" s="3" t="n">
        <v>0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24.8</v>
      </c>
      <c r="D28" s="3" t="n">
        <v>27</v>
      </c>
      <c r="E28" s="3" t="n">
        <v>24.5</v>
      </c>
      <c r="F28" s="3" t="n">
        <v>25</v>
      </c>
      <c r="G28" s="3" t="n">
        <v>26</v>
      </c>
      <c r="H28" s="3" t="n">
        <v>26.5</v>
      </c>
      <c r="I28" s="3" t="n">
        <v>26</v>
      </c>
      <c r="J28" s="3" t="n">
        <v>26</v>
      </c>
      <c r="K28" s="3" t="n">
        <v>26.5</v>
      </c>
      <c r="L28" s="3" t="n">
        <v>27</v>
      </c>
    </row>
    <row r="29" customFormat="false" ht="15" hidden="false" customHeight="false" outlineLevel="0" collapsed="false">
      <c r="A29" s="0" t="s">
        <v>108</v>
      </c>
      <c r="C29" s="3" t="n">
        <v>0.17</v>
      </c>
      <c r="D29" s="3" t="n">
        <v>0.17</v>
      </c>
      <c r="E29" s="3" t="n">
        <v>0.17</v>
      </c>
      <c r="F29" s="3" t="n">
        <v>0.17</v>
      </c>
      <c r="G29" s="3" t="n">
        <v>0.17</v>
      </c>
      <c r="H29" s="3" t="n">
        <v>0.17</v>
      </c>
      <c r="I29" s="3" t="n">
        <v>0.17</v>
      </c>
      <c r="J29" s="3" t="n">
        <v>0.17</v>
      </c>
      <c r="K29" s="3" t="n">
        <v>0.17</v>
      </c>
      <c r="L29" s="3" t="n">
        <v>0.17</v>
      </c>
    </row>
    <row r="30" customFormat="false" ht="15" hidden="false" customHeight="false" outlineLevel="0" collapsed="false">
      <c r="A30" s="0" t="s">
        <v>109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110</v>
      </c>
      <c r="C31" s="3" t="n">
        <v>4.4</v>
      </c>
      <c r="D31" s="3" t="n">
        <v>4.6</v>
      </c>
      <c r="E31" s="3" t="n">
        <v>4.8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111</v>
      </c>
      <c r="C32" s="3" t="n">
        <v>9</v>
      </c>
      <c r="D32" s="3" t="n">
        <v>8.5</v>
      </c>
      <c r="E32" s="3" t="n">
        <v>8</v>
      </c>
      <c r="F32" s="3" t="n">
        <v>7.5</v>
      </c>
      <c r="G32" s="3" t="n">
        <v>7.5</v>
      </c>
      <c r="H32" s="3" t="n">
        <v>7.5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27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-20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5</v>
      </c>
      <c r="I41" s="3" t="n">
        <v>3</v>
      </c>
      <c r="J41" s="3" t="n">
        <v>2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26</v>
      </c>
      <c r="D42" s="3" t="n">
        <v>28.5</v>
      </c>
      <c r="E42" s="3" t="n">
        <v>26.5</v>
      </c>
      <c r="F42" s="3" t="n">
        <v>28</v>
      </c>
      <c r="G42" s="3" t="n">
        <v>29.5</v>
      </c>
      <c r="H42" s="3" t="n">
        <v>31</v>
      </c>
      <c r="I42" s="3" t="n">
        <v>31.5</v>
      </c>
      <c r="J42" s="3" t="n">
        <v>32</v>
      </c>
      <c r="K42" s="3" t="n">
        <v>32</v>
      </c>
      <c r="L42" s="3" t="n">
        <v>32</v>
      </c>
    </row>
    <row r="43" customFormat="false" ht="15" hidden="false" customHeight="false" outlineLevel="0" collapsed="false">
      <c r="A43" s="0" t="s">
        <v>108</v>
      </c>
      <c r="C43" s="3" t="n">
        <v>0.17</v>
      </c>
      <c r="D43" s="3" t="n">
        <v>0.17</v>
      </c>
      <c r="E43" s="3" t="n">
        <v>0.17</v>
      </c>
      <c r="F43" s="3" t="n">
        <v>0.17</v>
      </c>
      <c r="G43" s="3" t="n">
        <v>0.17</v>
      </c>
      <c r="H43" s="3" t="n">
        <v>0.17</v>
      </c>
      <c r="I43" s="3" t="n">
        <v>0.17</v>
      </c>
      <c r="J43" s="3" t="n">
        <v>0.17</v>
      </c>
      <c r="K43" s="3" t="n">
        <v>0.17</v>
      </c>
      <c r="L43" s="3" t="n">
        <v>0.17</v>
      </c>
    </row>
    <row r="44" customFormat="false" ht="15" hidden="false" customHeight="false" outlineLevel="0" collapsed="false">
      <c r="A44" s="0" t="s">
        <v>109</v>
      </c>
      <c r="C44" s="3" t="n">
        <v>1.3</v>
      </c>
      <c r="D44" s="3" t="n">
        <v>1.3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110</v>
      </c>
      <c r="C45" s="3" t="n">
        <v>4.4</v>
      </c>
      <c r="D45" s="3" t="n">
        <v>4.6</v>
      </c>
      <c r="E45" s="3" t="n">
        <v>4.8</v>
      </c>
      <c r="F45" s="3" t="n">
        <v>5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111</v>
      </c>
      <c r="C46" s="3" t="n">
        <v>9</v>
      </c>
      <c r="D46" s="3" t="n">
        <v>8.5</v>
      </c>
      <c r="E46" s="3" t="n">
        <v>8</v>
      </c>
      <c r="F46" s="3" t="n">
        <v>7.5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27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-20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4.7</v>
      </c>
      <c r="D5" s="4" t="n">
        <f aca="false">Assumptions!D13</f>
        <v>3</v>
      </c>
      <c r="E5" s="4" t="n">
        <f aca="false">Assumptions!E13</f>
        <v>0</v>
      </c>
      <c r="F5" s="4" t="n">
        <f aca="false">Assumptions!F13</f>
        <v>-2</v>
      </c>
      <c r="G5" s="4" t="n">
        <f aca="false">Assumptions!G13</f>
        <v>-5</v>
      </c>
      <c r="H5" s="4" t="n">
        <f aca="false">Assumptions!H13</f>
        <v>-8</v>
      </c>
      <c r="I5" s="4" t="n">
        <f aca="false">Assumptions!I13</f>
        <v>-12</v>
      </c>
      <c r="J5" s="4" t="n">
        <f aca="false">Assumptions!J13</f>
        <v>-10</v>
      </c>
      <c r="K5" s="4" t="n">
        <f aca="false">Assumptions!K13</f>
        <v>-4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37</v>
      </c>
      <c r="B6" s="3" t="n">
        <v>496826</v>
      </c>
      <c r="C6" s="0" t="n">
        <f aca="false">B6*(1+C5/100)</f>
        <v>520176.822</v>
      </c>
      <c r="D6" s="0" t="n">
        <f aca="false">C6*(1+D5/100)</f>
        <v>535782.12666</v>
      </c>
      <c r="E6" s="0" t="n">
        <f aca="false">D6*(1+E5/100)</f>
        <v>535782.12666</v>
      </c>
      <c r="F6" s="0" t="n">
        <f aca="false">E6*(1+F5/100)</f>
        <v>525066.4841268</v>
      </c>
      <c r="G6" s="0" t="n">
        <f aca="false">F6*(1+G5/100)</f>
        <v>498813.15992046</v>
      </c>
      <c r="H6" s="0" t="n">
        <f aca="false">G6*(1+H5/100)</f>
        <v>458908.107126823</v>
      </c>
      <c r="I6" s="0" t="n">
        <f aca="false">H6*(1+I5/100)</f>
        <v>403839.134271604</v>
      </c>
      <c r="J6" s="0" t="n">
        <f aca="false">I6*(1+J5/100)</f>
        <v>363455.220844444</v>
      </c>
      <c r="K6" s="0" t="n">
        <f aca="false">J6*(1+K5/100)</f>
        <v>348917.012010666</v>
      </c>
      <c r="L6" s="0" t="n">
        <f aca="false">K6*(1+L5/100)</f>
        <v>348917.012010666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24</v>
      </c>
      <c r="D7" s="4" t="n">
        <f aca="false">Assumptions!D14</f>
        <v>25</v>
      </c>
      <c r="E7" s="4" t="n">
        <f aca="false">Assumptions!E14</f>
        <v>21</v>
      </c>
      <c r="F7" s="4" t="n">
        <f aca="false">Assumptions!F14</f>
        <v>20</v>
      </c>
      <c r="G7" s="4" t="n">
        <f aca="false">Assumptions!G14</f>
        <v>19</v>
      </c>
      <c r="H7" s="4" t="n">
        <f aca="false">Assumptions!H14</f>
        <v>18</v>
      </c>
      <c r="I7" s="4" t="n">
        <f aca="false">Assumptions!I14</f>
        <v>16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124842.43728</v>
      </c>
      <c r="D8" s="0" t="n">
        <f aca="false">D6*D7/100</f>
        <v>133945.531665</v>
      </c>
      <c r="E8" s="0" t="n">
        <f aca="false">E6*E7/100</f>
        <v>112514.2465986</v>
      </c>
      <c r="F8" s="0" t="n">
        <f aca="false">F6*F7/100</f>
        <v>105013.29682536</v>
      </c>
      <c r="G8" s="0" t="n">
        <f aca="false">G6*G7/100</f>
        <v>94774.5003848874</v>
      </c>
      <c r="H8" s="0" t="n">
        <f aca="false">H6*H7/100</f>
        <v>82603.4592828282</v>
      </c>
      <c r="I8" s="0" t="n">
        <f aca="false">I6*I7/100</f>
        <v>64614.2614834567</v>
      </c>
      <c r="J8" s="0" t="n">
        <f aca="false">J6*J7/100</f>
        <v>54518.2831266666</v>
      </c>
      <c r="K8" s="0" t="n">
        <f aca="false">K6*K7/100</f>
        <v>52337.5518015999</v>
      </c>
      <c r="L8" s="0" t="n">
        <f aca="false">L6*L7/100</f>
        <v>52337.5518015999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0.17</v>
      </c>
      <c r="D9" s="4" t="n">
        <f aca="false">Assumptions!D15</f>
        <v>0.17</v>
      </c>
      <c r="E9" s="4" t="n">
        <f aca="false">Assumptions!E15</f>
        <v>0.17</v>
      </c>
      <c r="F9" s="4" t="n">
        <f aca="false">Assumptions!F15</f>
        <v>0.17</v>
      </c>
      <c r="G9" s="4" t="n">
        <f aca="false">Assumptions!G15</f>
        <v>0.17</v>
      </c>
      <c r="H9" s="4" t="n">
        <f aca="false">Assumptions!H15</f>
        <v>0.17</v>
      </c>
      <c r="I9" s="4" t="n">
        <f aca="false">Assumptions!I15</f>
        <v>0.17</v>
      </c>
      <c r="J9" s="4" t="n">
        <f aca="false">Assumptions!J15</f>
        <v>0.17</v>
      </c>
      <c r="K9" s="4" t="n">
        <f aca="false">Assumptions!K15</f>
        <v>0.17</v>
      </c>
      <c r="L9" s="4" t="n">
        <f aca="false">Assumptions!L15</f>
        <v>0.17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-884.3005974</v>
      </c>
      <c r="D10" s="0" t="n">
        <f aca="false">-D6*D9/100</f>
        <v>-910.829615322</v>
      </c>
      <c r="E10" s="0" t="n">
        <f aca="false">-E6*E9/100</f>
        <v>-910.829615322</v>
      </c>
      <c r="F10" s="0" t="n">
        <f aca="false">-F6*F9/100</f>
        <v>-892.61302301556</v>
      </c>
      <c r="G10" s="0" t="n">
        <f aca="false">-G6*G9/100</f>
        <v>-847.982371864782</v>
      </c>
      <c r="H10" s="0" t="n">
        <f aca="false">-H6*H9/100</f>
        <v>-780.1437821156</v>
      </c>
      <c r="I10" s="0" t="n">
        <f aca="false">-I6*I9/100</f>
        <v>-686.526528261728</v>
      </c>
      <c r="J10" s="0" t="n">
        <f aca="false">-J6*J9/100</f>
        <v>-617.873875435555</v>
      </c>
      <c r="K10" s="0" t="n">
        <f aca="false">-K6*K9/100</f>
        <v>-593.158920418133</v>
      </c>
      <c r="L10" s="0" t="n">
        <f aca="false">-L6*L9/100</f>
        <v>-593.158920418133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117195.8379966</v>
      </c>
      <c r="D11" s="0" t="n">
        <f aca="false">D8+D10+D24</f>
        <v>126069.534403098</v>
      </c>
      <c r="E11" s="0" t="n">
        <f aca="false">E8+E10+E24</f>
        <v>104638.249336698</v>
      </c>
      <c r="F11" s="0" t="n">
        <f aca="false">F8+F10+F24</f>
        <v>97294.819508696</v>
      </c>
      <c r="G11" s="0" t="n">
        <f aca="false">G8+G10+G24</f>
        <v>87441.9469340566</v>
      </c>
      <c r="H11" s="0" t="n">
        <f aca="false">H8+H10+H24</f>
        <v>75857.5101080639</v>
      </c>
      <c r="I11" s="0" t="n">
        <f aca="false">I8+I10+I24</f>
        <v>58677.8262096641</v>
      </c>
      <c r="J11" s="0" t="n">
        <f aca="false">J8+J10+J24</f>
        <v>49175.4913802533</v>
      </c>
      <c r="K11" s="0" t="n">
        <f aca="false">K8+K10+K24</f>
        <v>47208.4717250431</v>
      </c>
      <c r="L11" s="0" t="n">
        <f aca="false">L8+L10+L24</f>
        <v>47208.4717250431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-22887.780168</v>
      </c>
      <c r="D12" s="4" t="n">
        <f aca="false">-D6*Assumptions!D17/100</f>
        <v>-24645.97782636</v>
      </c>
      <c r="E12" s="4" t="n">
        <f aca="false">-E6*Assumptions!E17/100</f>
        <v>-25717.54207968</v>
      </c>
      <c r="F12" s="4" t="n">
        <f aca="false">-F6*Assumptions!F17/100</f>
        <v>-26253.32420634</v>
      </c>
      <c r="G12" s="4" t="n">
        <f aca="false">-G6*Assumptions!G17/100</f>
        <v>-24940.657996023</v>
      </c>
      <c r="H12" s="4" t="n">
        <f aca="false">-H6*Assumptions!H17/100</f>
        <v>-22945.4053563412</v>
      </c>
      <c r="I12" s="4" t="n">
        <f aca="false">-I6*Assumptions!I17/100</f>
        <v>-20191.9567135802</v>
      </c>
      <c r="J12" s="4" t="n">
        <f aca="false">-J6*Assumptions!J17/100</f>
        <v>-18172.7610422222</v>
      </c>
      <c r="K12" s="4" t="n">
        <f aca="false">-K6*Assumptions!K17/100</f>
        <v>-17445.8506005333</v>
      </c>
      <c r="L12" s="4" t="n">
        <f aca="false">-L6*Assumptions!L17/100</f>
        <v>-17445.8506005333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94308.0578286</v>
      </c>
      <c r="D13" s="0" t="n">
        <f aca="false">D11+D12</f>
        <v>101423.556576738</v>
      </c>
      <c r="E13" s="0" t="n">
        <f aca="false">E11+E12</f>
        <v>78920.707257018</v>
      </c>
      <c r="F13" s="0" t="n">
        <f aca="false">F11+F12</f>
        <v>71041.495302356</v>
      </c>
      <c r="G13" s="0" t="n">
        <f aca="false">G11+G12</f>
        <v>62501.2889380336</v>
      </c>
      <c r="H13" s="0" t="n">
        <f aca="false">H11+H12</f>
        <v>52912.1047517227</v>
      </c>
      <c r="I13" s="0" t="n">
        <f aca="false">I11+I12</f>
        <v>38485.8694960839</v>
      </c>
      <c r="J13" s="0" t="n">
        <f aca="false">J11+J12</f>
        <v>31002.7303380311</v>
      </c>
      <c r="K13" s="0" t="n">
        <f aca="false">K11+K12</f>
        <v>29762.6211245098</v>
      </c>
      <c r="L13" s="0" t="n">
        <f aca="false">L11+L12</f>
        <v>29762.6211245098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27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71674.123949736</v>
      </c>
      <c r="D15" s="0" t="n">
        <f aca="false">D13-MAX(0,D13)*D14/100</f>
        <v>74039.1963010187</v>
      </c>
      <c r="E15" s="0" t="n">
        <f aca="false">E13-MAX(0,E13)*E14/100</f>
        <v>56822.909225053</v>
      </c>
      <c r="F15" s="0" t="n">
        <f aca="false">F13-MAX(0,F13)*F14/100</f>
        <v>51149.8766176964</v>
      </c>
      <c r="G15" s="0" t="n">
        <f aca="false">G13-MAX(0,G13)*G14/100</f>
        <v>45000.9280353842</v>
      </c>
      <c r="H15" s="0" t="n">
        <f aca="false">H13-MAX(0,H13)*H14/100</f>
        <v>38096.7154212404</v>
      </c>
      <c r="I15" s="0" t="n">
        <f aca="false">I13-MAX(0,I13)*I14/100</f>
        <v>27709.8260371804</v>
      </c>
      <c r="J15" s="0" t="n">
        <f aca="false">J13-MAX(0,J13)*J14/100</f>
        <v>22321.9658433824</v>
      </c>
      <c r="K15" s="0" t="n">
        <f aca="false">K13-MAX(0,K13)*K14/100</f>
        <v>21429.0872096471</v>
      </c>
      <c r="L15" s="0" t="n">
        <f aca="false">L13-MAX(0,L13)*L14/100</f>
        <v>21429.0872096471</v>
      </c>
    </row>
    <row r="16" customFormat="false" ht="15" hidden="false" customHeight="false" outlineLevel="0" collapsed="false">
      <c r="A16" s="0" t="s">
        <v>128</v>
      </c>
      <c r="C16" s="0" t="n">
        <f aca="false">-C12</f>
        <v>22887.780168</v>
      </c>
      <c r="D16" s="0" t="n">
        <f aca="false">-D12</f>
        <v>24645.97782636</v>
      </c>
      <c r="E16" s="0" t="n">
        <f aca="false">-E12</f>
        <v>25717.54207968</v>
      </c>
      <c r="F16" s="0" t="n">
        <f aca="false">-F12</f>
        <v>26253.32420634</v>
      </c>
      <c r="G16" s="0" t="n">
        <f aca="false">-G12</f>
        <v>24940.657996023</v>
      </c>
      <c r="H16" s="0" t="n">
        <f aca="false">-H12</f>
        <v>22945.4053563412</v>
      </c>
      <c r="I16" s="0" t="n">
        <f aca="false">-I12</f>
        <v>20191.9567135802</v>
      </c>
      <c r="J16" s="0" t="n">
        <f aca="false">-J12</f>
        <v>18172.7610422222</v>
      </c>
      <c r="K16" s="0" t="n">
        <f aca="false">-K12</f>
        <v>17445.8506005333</v>
      </c>
      <c r="L16" s="0" t="n">
        <f aca="false">-L12</f>
        <v>17445.8506005333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-46815.91398</v>
      </c>
      <c r="D17" s="4" t="n">
        <f aca="false">-D6*Assumptions!D18/100</f>
        <v>-45541.4807661</v>
      </c>
      <c r="E17" s="4" t="n">
        <f aca="false">-E6*Assumptions!E18/100</f>
        <v>-45541.4807661</v>
      </c>
      <c r="F17" s="4" t="n">
        <f aca="false">-F6*Assumptions!F18/100</f>
        <v>-44630.651150778</v>
      </c>
      <c r="G17" s="4" t="n">
        <f aca="false">-G6*Assumptions!G18/100</f>
        <v>-42399.1185932391</v>
      </c>
      <c r="H17" s="4" t="n">
        <f aca="false">-H6*Assumptions!H18/100</f>
        <v>-36712.6485701459</v>
      </c>
      <c r="I17" s="4" t="n">
        <f aca="false">-I6*Assumptions!I18/100</f>
        <v>-32307.1307417284</v>
      </c>
      <c r="J17" s="4" t="n">
        <f aca="false">-J6*Assumptions!J18/100</f>
        <v>-29076.4176675555</v>
      </c>
      <c r="K17" s="4" t="n">
        <f aca="false">-K6*Assumptions!K18/100</f>
        <v>-27913.3609608533</v>
      </c>
      <c r="L17" s="4" t="n">
        <f aca="false">-L6*Assumptions!L18/100</f>
        <v>-27913.3609608533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-4670.1644</v>
      </c>
      <c r="D18" s="4" t="n">
        <f aca="false">(D6-C6)*Assumptions!$B$23/100</f>
        <v>-3121.06093199999</v>
      </c>
      <c r="E18" s="4" t="n">
        <f aca="false">(E6-D6)*Assumptions!$B$23/100</f>
        <v>-0</v>
      </c>
      <c r="F18" s="4" t="n">
        <f aca="false">(F6-E6)*Assumptions!$B$23/100</f>
        <v>2143.12850664</v>
      </c>
      <c r="G18" s="4" t="n">
        <f aca="false">(G6-F6)*Assumptions!$B$23/100</f>
        <v>5250.664841268</v>
      </c>
      <c r="H18" s="4" t="n">
        <f aca="false">(H6-G6)*Assumptions!$B$23/100</f>
        <v>7981.01055872736</v>
      </c>
      <c r="I18" s="4" t="n">
        <f aca="false">(I6-H6)*Assumptions!$B$23/100</f>
        <v>11013.7945710438</v>
      </c>
      <c r="J18" s="4" t="n">
        <f aca="false">(J6-I6)*Assumptions!$B$23/100</f>
        <v>8076.78268543208</v>
      </c>
      <c r="K18" s="4" t="n">
        <f aca="false">(K6-J6)*Assumptions!$B$23/100</f>
        <v>2907.64176675555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43075.825737736</v>
      </c>
      <c r="D19" s="0" t="n">
        <f aca="false">D15+D16+D17+D18</f>
        <v>50022.6324292787</v>
      </c>
      <c r="E19" s="0" t="n">
        <f aca="false">E15+E16+E17+E18</f>
        <v>36998.970538633</v>
      </c>
      <c r="F19" s="0" t="n">
        <f aca="false">F15+F16+F17+F18</f>
        <v>34915.6781798983</v>
      </c>
      <c r="G19" s="0" t="n">
        <f aca="false">G15+G16+G17+G18</f>
        <v>32793.1322794361</v>
      </c>
      <c r="H19" s="0" t="n">
        <f aca="false">H15+H16+H17+H18</f>
        <v>32310.482766163</v>
      </c>
      <c r="I19" s="0" t="n">
        <f aca="false">I15+I16+I17+I18</f>
        <v>26608.446580076</v>
      </c>
      <c r="J19" s="0" t="n">
        <f aca="false">J15+J16+J17+J18</f>
        <v>19495.0919034811</v>
      </c>
      <c r="K19" s="0" t="n">
        <f aca="false">K15+K16+K17+K18</f>
        <v>13869.2186160826</v>
      </c>
      <c r="L19" s="0" t="n">
        <f aca="false">L15+L16+L17+L18</f>
        <v>10961.5768493271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40070.535569987</v>
      </c>
      <c r="D21" s="0" t="n">
        <f aca="false">D19*D20</f>
        <v>43286.2151902899</v>
      </c>
      <c r="E21" s="0" t="n">
        <f aca="false">E19*E20</f>
        <v>29782.712396047</v>
      </c>
      <c r="F21" s="0" t="n">
        <f aca="false">F19*F20</f>
        <v>26144.8783186093</v>
      </c>
      <c r="G21" s="0" t="n">
        <f aca="false">G19*G20</f>
        <v>22842.3393710405</v>
      </c>
      <c r="H21" s="0" t="n">
        <f aca="false">H19*H20</f>
        <v>20935.9494755075</v>
      </c>
      <c r="I21" s="0" t="n">
        <f aca="false">I19*I20</f>
        <v>16038.3715814204</v>
      </c>
      <c r="J21" s="0" t="n">
        <f aca="false">J19*J20</f>
        <v>10930.9415704911</v>
      </c>
      <c r="K21" s="0" t="n">
        <f aca="false">K19*K20</f>
        <v>7233.95521251961</v>
      </c>
      <c r="L21" s="0" t="n">
        <f aca="false">L19*L20</f>
        <v>5318.4905319034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1.3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-6762.298686</v>
      </c>
      <c r="D24" s="0" t="n">
        <f aca="false">-D6*D23/100</f>
        <v>-6965.16764658</v>
      </c>
      <c r="E24" s="0" t="n">
        <f aca="false">-E6*E23/100</f>
        <v>-6965.16764658</v>
      </c>
      <c r="F24" s="0" t="n">
        <f aca="false">-F6*F23/100</f>
        <v>-6825.8642936484</v>
      </c>
      <c r="G24" s="0" t="n">
        <f aca="false">-G6*G23/100</f>
        <v>-6484.57107896598</v>
      </c>
      <c r="H24" s="0" t="n">
        <f aca="false">-H6*H23/100</f>
        <v>-5965.8053926487</v>
      </c>
      <c r="I24" s="0" t="n">
        <f aca="false">-I6*I23/100</f>
        <v>-5249.90874553086</v>
      </c>
      <c r="J24" s="0" t="n">
        <f aca="false">-J6*J23/100</f>
        <v>-4724.91787097777</v>
      </c>
      <c r="K24" s="0" t="n">
        <f aca="false">-K6*K23/100</f>
        <v>-4535.92115613866</v>
      </c>
      <c r="L24" s="0" t="n">
        <f aca="false">-L6*L23/100</f>
        <v>-4535.92115613866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222584.389217816</v>
      </c>
    </row>
    <row r="31" customFormat="false" ht="15" hidden="false" customHeight="false" outlineLevel="0" collapsed="false">
      <c r="A31" s="0" t="s">
        <v>137</v>
      </c>
      <c r="B31" s="0" t="n">
        <f aca="false">L19</f>
        <v>10961.5768493271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157376.924765339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197308.383287888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157376.924765339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76358.3283508988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298942.717568714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589110.717568714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1125.14604586203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-0.543366052815737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5465.94888630995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4131.94417483219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1143.47711862016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75975.0671280947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920.232388606954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1</v>
      </c>
      <c r="H5" s="4" t="n">
        <f aca="false">Assumptions!H27</f>
        <v>0</v>
      </c>
      <c r="I5" s="4" t="n">
        <f aca="false">Assumptions!I27</f>
        <v>-3</v>
      </c>
      <c r="J5" s="4" t="n">
        <f aca="false">Assumptions!J27</f>
        <v>-3</v>
      </c>
      <c r="K5" s="4" t="n">
        <f aca="false">Assumptions!K27</f>
        <v>0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496826</v>
      </c>
      <c r="C6" s="0" t="n">
        <f aca="false">B6*(1+C5/100)</f>
        <v>531603.82</v>
      </c>
      <c r="D6" s="0" t="n">
        <f aca="false">C6*(1+D5/100)</f>
        <v>563500.0492</v>
      </c>
      <c r="E6" s="0" t="n">
        <f aca="false">D6*(1+E5/100)</f>
        <v>586040.051168</v>
      </c>
      <c r="F6" s="0" t="n">
        <f aca="false">E6*(1+F5/100)</f>
        <v>603621.25270304</v>
      </c>
      <c r="G6" s="0" t="n">
        <f aca="false">F6*(1+G5/100)</f>
        <v>609657.465230071</v>
      </c>
      <c r="H6" s="0" t="n">
        <f aca="false">G6*(1+H5/100)</f>
        <v>609657.465230071</v>
      </c>
      <c r="I6" s="0" t="n">
        <f aca="false">H6*(1+I5/100)</f>
        <v>591367.741273168</v>
      </c>
      <c r="J6" s="0" t="n">
        <f aca="false">I6*(1+J5/100)</f>
        <v>573626.709034973</v>
      </c>
      <c r="K6" s="0" t="n">
        <f aca="false">J6*(1+K5/100)</f>
        <v>573626.709034973</v>
      </c>
      <c r="L6" s="0" t="n">
        <f aca="false">K6*(1+L5/100)</f>
        <v>585099.243215673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24.8</v>
      </c>
      <c r="D7" s="4" t="n">
        <f aca="false">Assumptions!D28</f>
        <v>27</v>
      </c>
      <c r="E7" s="4" t="n">
        <f aca="false">Assumptions!E28</f>
        <v>24.5</v>
      </c>
      <c r="F7" s="4" t="n">
        <f aca="false">Assumptions!F28</f>
        <v>25</v>
      </c>
      <c r="G7" s="4" t="n">
        <f aca="false">Assumptions!G28</f>
        <v>26</v>
      </c>
      <c r="H7" s="4" t="n">
        <f aca="false">Assumptions!H28</f>
        <v>26.5</v>
      </c>
      <c r="I7" s="4" t="n">
        <f aca="false">Assumptions!I28</f>
        <v>26</v>
      </c>
      <c r="J7" s="4" t="n">
        <f aca="false">Assumptions!J28</f>
        <v>26</v>
      </c>
      <c r="K7" s="4" t="n">
        <f aca="false">Assumptions!K28</f>
        <v>26.5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131837.74736</v>
      </c>
      <c r="D8" s="0" t="n">
        <f aca="false">D6*D7/100</f>
        <v>152145.013284</v>
      </c>
      <c r="E8" s="0" t="n">
        <f aca="false">E6*E7/100</f>
        <v>143579.81253616</v>
      </c>
      <c r="F8" s="0" t="n">
        <f aca="false">F6*F7/100</f>
        <v>150905.31317576</v>
      </c>
      <c r="G8" s="0" t="n">
        <f aca="false">G6*G7/100</f>
        <v>158510.940959818</v>
      </c>
      <c r="H8" s="0" t="n">
        <f aca="false">H6*H7/100</f>
        <v>161559.228285969</v>
      </c>
      <c r="I8" s="0" t="n">
        <f aca="false">I6*I7/100</f>
        <v>153755.612731024</v>
      </c>
      <c r="J8" s="0" t="n">
        <f aca="false">J6*J7/100</f>
        <v>149142.944349093</v>
      </c>
      <c r="K8" s="0" t="n">
        <f aca="false">K6*K7/100</f>
        <v>152011.077894268</v>
      </c>
      <c r="L8" s="0" t="n">
        <f aca="false">L6*L7/100</f>
        <v>157976.795668232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0.17</v>
      </c>
      <c r="D9" s="4" t="n">
        <f aca="false">Assumptions!D29</f>
        <v>0.17</v>
      </c>
      <c r="E9" s="4" t="n">
        <f aca="false">Assumptions!E29</f>
        <v>0.17</v>
      </c>
      <c r="F9" s="4" t="n">
        <f aca="false">Assumptions!F29</f>
        <v>0.17</v>
      </c>
      <c r="G9" s="4" t="n">
        <f aca="false">Assumptions!G29</f>
        <v>0.17</v>
      </c>
      <c r="H9" s="4" t="n">
        <f aca="false">Assumptions!H29</f>
        <v>0.17</v>
      </c>
      <c r="I9" s="4" t="n">
        <f aca="false">Assumptions!I29</f>
        <v>0.17</v>
      </c>
      <c r="J9" s="4" t="n">
        <f aca="false">Assumptions!J29</f>
        <v>0.17</v>
      </c>
      <c r="K9" s="4" t="n">
        <f aca="false">Assumptions!K29</f>
        <v>0.17</v>
      </c>
      <c r="L9" s="4" t="n">
        <f aca="false">Assumptions!L29</f>
        <v>0.17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-903.726494</v>
      </c>
      <c r="D10" s="0" t="n">
        <f aca="false">-D6*D9/100</f>
        <v>-957.95008364</v>
      </c>
      <c r="E10" s="0" t="n">
        <f aca="false">-E6*E9/100</f>
        <v>-996.2680869856</v>
      </c>
      <c r="F10" s="0" t="n">
        <f aca="false">-F6*F9/100</f>
        <v>-1026.15612959517</v>
      </c>
      <c r="G10" s="0" t="n">
        <f aca="false">-G6*G9/100</f>
        <v>-1036.41769089112</v>
      </c>
      <c r="H10" s="0" t="n">
        <f aca="false">-H6*H9/100</f>
        <v>-1036.41769089112</v>
      </c>
      <c r="I10" s="0" t="n">
        <f aca="false">-I6*I9/100</f>
        <v>-1005.32516016439</v>
      </c>
      <c r="J10" s="0" t="n">
        <f aca="false">-J6*J9/100</f>
        <v>-975.165405359455</v>
      </c>
      <c r="K10" s="0" t="n">
        <f aca="false">-K6*K9/100</f>
        <v>-975.165405359455</v>
      </c>
      <c r="L10" s="0" t="n">
        <f aca="false">-L6*L9/100</f>
        <v>-994.668713466644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124023.171206</v>
      </c>
      <c r="D11" s="0" t="n">
        <f aca="false">D8+D10+D24</f>
        <v>143861.56256076</v>
      </c>
      <c r="E11" s="0" t="n">
        <f aca="false">E8+E10+E24</f>
        <v>134965.02378399</v>
      </c>
      <c r="F11" s="0" t="n">
        <f aca="false">F8+F10+F24</f>
        <v>142032.080761025</v>
      </c>
      <c r="G11" s="0" t="n">
        <f aca="false">G8+G10+G24</f>
        <v>149548.976220936</v>
      </c>
      <c r="H11" s="0" t="n">
        <f aca="false">H8+H10+H24</f>
        <v>152597.263547087</v>
      </c>
      <c r="I11" s="0" t="n">
        <f aca="false">I8+I10+I24</f>
        <v>145062.506934308</v>
      </c>
      <c r="J11" s="0" t="n">
        <f aca="false">J8+J10+J24</f>
        <v>140710.631726279</v>
      </c>
      <c r="K11" s="0" t="n">
        <f aca="false">K8+K10+K24</f>
        <v>143578.765271454</v>
      </c>
      <c r="L11" s="0" t="n">
        <f aca="false">L8+L10+L24</f>
        <v>149375.836792961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-23390.56808</v>
      </c>
      <c r="D12" s="4" t="n">
        <f aca="false">-D6*Assumptions!D31/100</f>
        <v>-25921.0022632</v>
      </c>
      <c r="E12" s="4" t="n">
        <f aca="false">-E6*Assumptions!E31/100</f>
        <v>-28129.922456064</v>
      </c>
      <c r="F12" s="4" t="n">
        <f aca="false">-F6*Assumptions!F31/100</f>
        <v>-30181.062635152</v>
      </c>
      <c r="G12" s="4" t="n">
        <f aca="false">-G6*Assumptions!G31/100</f>
        <v>-30482.8732615035</v>
      </c>
      <c r="H12" s="4" t="n">
        <f aca="false">-H6*Assumptions!H31/100</f>
        <v>-30482.8732615035</v>
      </c>
      <c r="I12" s="4" t="n">
        <f aca="false">-I6*Assumptions!I31/100</f>
        <v>-29568.3870636584</v>
      </c>
      <c r="J12" s="4" t="n">
        <f aca="false">-J6*Assumptions!J31/100</f>
        <v>-28681.3354517487</v>
      </c>
      <c r="K12" s="4" t="n">
        <f aca="false">-K6*Assumptions!K31/100</f>
        <v>-28681.3354517487</v>
      </c>
      <c r="L12" s="4" t="n">
        <f aca="false">-L6*Assumptions!L31/100</f>
        <v>-29254.9621607836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100632.603126</v>
      </c>
      <c r="D13" s="0" t="n">
        <f aca="false">D11+D12</f>
        <v>117940.56029756</v>
      </c>
      <c r="E13" s="0" t="n">
        <f aca="false">E11+E12</f>
        <v>106835.101327926</v>
      </c>
      <c r="F13" s="0" t="n">
        <f aca="false">F11+F12</f>
        <v>111851.018125873</v>
      </c>
      <c r="G13" s="0" t="n">
        <f aca="false">G11+G12</f>
        <v>119066.102959433</v>
      </c>
      <c r="H13" s="0" t="n">
        <f aca="false">H11+H12</f>
        <v>122114.390285583</v>
      </c>
      <c r="I13" s="0" t="n">
        <f aca="false">I11+I12</f>
        <v>115494.11987065</v>
      </c>
      <c r="J13" s="0" t="n">
        <f aca="false">J11+J12</f>
        <v>112029.29627453</v>
      </c>
      <c r="K13" s="0" t="n">
        <f aca="false">K11+K12</f>
        <v>114897.429819705</v>
      </c>
      <c r="L13" s="0" t="n">
        <f aca="false">L11+L12</f>
        <v>120120.874632178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27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76480.77837576</v>
      </c>
      <c r="D15" s="0" t="n">
        <f aca="false">D13-MAX(0,D13)*D14/100</f>
        <v>86096.6090172188</v>
      </c>
      <c r="E15" s="0" t="n">
        <f aca="false">E13-MAX(0,E13)*E14/100</f>
        <v>76921.272956107</v>
      </c>
      <c r="F15" s="0" t="n">
        <f aca="false">F13-MAX(0,F13)*F14/100</f>
        <v>80532.7330506288</v>
      </c>
      <c r="G15" s="0" t="n">
        <f aca="false">G13-MAX(0,G13)*G14/100</f>
        <v>85727.5941307916</v>
      </c>
      <c r="H15" s="0" t="n">
        <f aca="false">H13-MAX(0,H13)*H14/100</f>
        <v>87922.3610056198</v>
      </c>
      <c r="I15" s="0" t="n">
        <f aca="false">I13-MAX(0,I13)*I14/100</f>
        <v>83155.7663068679</v>
      </c>
      <c r="J15" s="0" t="n">
        <f aca="false">J13-MAX(0,J13)*J14/100</f>
        <v>80661.0933176618</v>
      </c>
      <c r="K15" s="0" t="n">
        <f aca="false">K13-MAX(0,K13)*K14/100</f>
        <v>82726.1494701877</v>
      </c>
      <c r="L15" s="0" t="n">
        <f aca="false">L13-MAX(0,L13)*L14/100</f>
        <v>86487.0297351679</v>
      </c>
    </row>
    <row r="16" customFormat="false" ht="15" hidden="false" customHeight="false" outlineLevel="0" collapsed="false">
      <c r="A16" s="0" t="s">
        <v>128</v>
      </c>
      <c r="C16" s="0" t="n">
        <f aca="false">-C12</f>
        <v>23390.56808</v>
      </c>
      <c r="D16" s="0" t="n">
        <f aca="false">-D12</f>
        <v>25921.0022632</v>
      </c>
      <c r="E16" s="0" t="n">
        <f aca="false">-E12</f>
        <v>28129.922456064</v>
      </c>
      <c r="F16" s="0" t="n">
        <f aca="false">-F12</f>
        <v>30181.062635152</v>
      </c>
      <c r="G16" s="0" t="n">
        <f aca="false">-G12</f>
        <v>30482.8732615035</v>
      </c>
      <c r="H16" s="0" t="n">
        <f aca="false">-H12</f>
        <v>30482.8732615035</v>
      </c>
      <c r="I16" s="0" t="n">
        <f aca="false">-I12</f>
        <v>29568.3870636584</v>
      </c>
      <c r="J16" s="0" t="n">
        <f aca="false">-J12</f>
        <v>28681.3354517487</v>
      </c>
      <c r="K16" s="0" t="n">
        <f aca="false">-K12</f>
        <v>28681.3354517487</v>
      </c>
      <c r="L16" s="0" t="n">
        <f aca="false">-L12</f>
        <v>29254.9621607836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-47844.3438</v>
      </c>
      <c r="D17" s="4" t="n">
        <f aca="false">-D6*Assumptions!D32/100</f>
        <v>-47897.504182</v>
      </c>
      <c r="E17" s="4" t="n">
        <f aca="false">-E6*Assumptions!E32/100</f>
        <v>-46883.20409344</v>
      </c>
      <c r="F17" s="4" t="n">
        <f aca="false">-F6*Assumptions!F32/100</f>
        <v>-45271.593952728</v>
      </c>
      <c r="G17" s="4" t="n">
        <f aca="false">-G6*Assumptions!G32/100</f>
        <v>-45724.3098922553</v>
      </c>
      <c r="H17" s="4" t="n">
        <f aca="false">-H6*Assumptions!H32/100</f>
        <v>-45724.3098922553</v>
      </c>
      <c r="I17" s="4" t="n">
        <f aca="false">-I6*Assumptions!I32/100</f>
        <v>-44352.5805954876</v>
      </c>
      <c r="J17" s="4" t="n">
        <f aca="false">-J6*Assumptions!J32/100</f>
        <v>-43022.003177623</v>
      </c>
      <c r="K17" s="4" t="n">
        <f aca="false">-K6*Assumptions!K32/100</f>
        <v>-43022.003177623</v>
      </c>
      <c r="L17" s="4" t="n">
        <f aca="false">-L6*Assumptions!L32/100</f>
        <v>-43882.4432411755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-6955.56400000001</v>
      </c>
      <c r="D18" s="4" t="n">
        <f aca="false">(D6-C6)*Assumptions!$B$37/100</f>
        <v>-6379.24584000001</v>
      </c>
      <c r="E18" s="4" t="n">
        <f aca="false">(E6-D6)*Assumptions!$B$37/100</f>
        <v>-4508.00039359999</v>
      </c>
      <c r="F18" s="4" t="n">
        <f aca="false">(F6-E6)*Assumptions!$B$37/100</f>
        <v>-3516.24030700801</v>
      </c>
      <c r="G18" s="4" t="n">
        <f aca="false">(G6-F6)*Assumptions!$B$37/100</f>
        <v>-1207.24250540608</v>
      </c>
      <c r="H18" s="4" t="n">
        <f aca="false">(H6-G6)*Assumptions!$B$37/100</f>
        <v>-0</v>
      </c>
      <c r="I18" s="4" t="n">
        <f aca="false">(I6-H6)*Assumptions!$B$37/100</f>
        <v>3657.94479138043</v>
      </c>
      <c r="J18" s="4" t="n">
        <f aca="false">(J6-I6)*Assumptions!$B$37/100</f>
        <v>3548.20644763901</v>
      </c>
      <c r="K18" s="4" t="n">
        <f aca="false">(K6-J6)*Assumptions!$B$37/100</f>
        <v>-0</v>
      </c>
      <c r="L18" s="4" t="n">
        <f aca="false">(L6-K6)*Assumptions!$B$37/100</f>
        <v>-2294.5068361399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45071.43865576</v>
      </c>
      <c r="D19" s="0" t="n">
        <f aca="false">D15+D16+D17+D18</f>
        <v>57740.8612584188</v>
      </c>
      <c r="E19" s="0" t="n">
        <f aca="false">E15+E16+E17+E18</f>
        <v>53659.990925131</v>
      </c>
      <c r="F19" s="0" t="n">
        <f aca="false">F15+F16+F17+F18</f>
        <v>61925.9614260448</v>
      </c>
      <c r="G19" s="0" t="n">
        <f aca="false">G15+G16+G17+G18</f>
        <v>69278.9149946337</v>
      </c>
      <c r="H19" s="0" t="n">
        <f aca="false">H15+H16+H17+H18</f>
        <v>72680.9243748681</v>
      </c>
      <c r="I19" s="0" t="n">
        <f aca="false">I15+I16+I17+I18</f>
        <v>72029.5175664191</v>
      </c>
      <c r="J19" s="0" t="n">
        <f aca="false">J15+J16+J17+J18</f>
        <v>69868.6320394265</v>
      </c>
      <c r="K19" s="0" t="n">
        <f aca="false">K15+K16+K17+K18</f>
        <v>68385.4817443134</v>
      </c>
      <c r="L19" s="0" t="n">
        <f aca="false">L15+L16+L17+L18</f>
        <v>69565.0418186362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41926.9196797767</v>
      </c>
      <c r="D21" s="0" t="n">
        <f aca="false">D19*D20</f>
        <v>49965.0503047432</v>
      </c>
      <c r="E21" s="0" t="n">
        <f aca="false">E19*E20</f>
        <v>43194.1768549736</v>
      </c>
      <c r="F21" s="0" t="n">
        <f aca="false">F19*F20</f>
        <v>46370.1927227337</v>
      </c>
      <c r="G21" s="0" t="n">
        <f aca="false">G19*G20</f>
        <v>48256.826279362</v>
      </c>
      <c r="H21" s="0" t="n">
        <f aca="false">H19*H20</f>
        <v>47094.4421213957</v>
      </c>
      <c r="I21" s="0" t="n">
        <f aca="false">I19*I20</f>
        <v>43416.1447224693</v>
      </c>
      <c r="J21" s="0" t="n">
        <f aca="false">J19*J20</f>
        <v>39175.4980286467</v>
      </c>
      <c r="K21" s="0" t="n">
        <f aca="false">K19*K20</f>
        <v>35668.7370657848</v>
      </c>
      <c r="L21" s="0" t="n">
        <f aca="false">L19*L20</f>
        <v>33752.5359124397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-6910.84966</v>
      </c>
      <c r="D24" s="0" t="n">
        <f aca="false">-D6*D23/100</f>
        <v>-7325.5006396</v>
      </c>
      <c r="E24" s="0" t="n">
        <f aca="false">-E6*E23/100</f>
        <v>-7618.520665184</v>
      </c>
      <c r="F24" s="0" t="n">
        <f aca="false">-F6*F23/100</f>
        <v>-7847.07628513952</v>
      </c>
      <c r="G24" s="0" t="n">
        <f aca="false">-G6*G23/100</f>
        <v>-7925.54704799092</v>
      </c>
      <c r="H24" s="0" t="n">
        <f aca="false">-H6*H23/100</f>
        <v>-7925.54704799092</v>
      </c>
      <c r="I24" s="0" t="n">
        <f aca="false">-I6*I23/100</f>
        <v>-7687.78063655119</v>
      </c>
      <c r="J24" s="0" t="n">
        <f aca="false">-J6*J23/100</f>
        <v>-7457.14721745465</v>
      </c>
      <c r="K24" s="0" t="n">
        <f aca="false">-K6*K23/100</f>
        <v>-7457.14721745465</v>
      </c>
      <c r="L24" s="0" t="n">
        <f aca="false">-L6*L23/100</f>
        <v>-7606.29016180375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428820.523692325</v>
      </c>
    </row>
    <row r="31" customFormat="false" ht="15" hidden="false" customHeight="false" outlineLevel="0" collapsed="false">
      <c r="A31" s="0" t="s">
        <v>137</v>
      </c>
      <c r="B31" s="0" t="n">
        <f aca="false">L19</f>
        <v>69565.0418186362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1290115.32100016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1252170.75273545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1252170.75273545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607545.646423915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1036366.17011624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1326534.17011624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2533.55546197996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0.0282286777516079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6777.42797409657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8950.17027007916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2563.59369494298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545818.020423145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1396.23081456192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5</v>
      </c>
      <c r="I5" s="4" t="n">
        <f aca="false">Assumptions!I41</f>
        <v>3</v>
      </c>
      <c r="J5" s="4" t="n">
        <f aca="false">Assumptions!J41</f>
        <v>2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496826</v>
      </c>
      <c r="C6" s="0" t="n">
        <f aca="false">B6*(1+C5/100)</f>
        <v>541540.34</v>
      </c>
      <c r="D6" s="0" t="n">
        <f aca="false">C6*(1+D5/100)</f>
        <v>595694.374</v>
      </c>
      <c r="E6" s="0" t="n">
        <f aca="false">D6*(1+E5/100)</f>
        <v>649306.86766</v>
      </c>
      <c r="F6" s="0" t="n">
        <f aca="false">E6*(1+F5/100)</f>
        <v>701251.4170728</v>
      </c>
      <c r="G6" s="0" t="n">
        <f aca="false">F6*(1+G5/100)</f>
        <v>750339.016267896</v>
      </c>
      <c r="H6" s="0" t="n">
        <f aca="false">G6*(1+H5/100)</f>
        <v>787855.967081291</v>
      </c>
      <c r="I6" s="0" t="n">
        <f aca="false">H6*(1+I5/100)</f>
        <v>811491.64609373</v>
      </c>
      <c r="J6" s="0" t="n">
        <f aca="false">I6*(1+J5/100)</f>
        <v>827721.479015605</v>
      </c>
      <c r="K6" s="0" t="n">
        <f aca="false">J6*(1+K5/100)</f>
        <v>852553.123386073</v>
      </c>
      <c r="L6" s="0" t="n">
        <f aca="false">K6*(1+L5/100)</f>
        <v>878129.717087655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26</v>
      </c>
      <c r="D7" s="4" t="n">
        <f aca="false">Assumptions!D42</f>
        <v>28.5</v>
      </c>
      <c r="E7" s="4" t="n">
        <f aca="false">Assumptions!E42</f>
        <v>26.5</v>
      </c>
      <c r="F7" s="4" t="n">
        <f aca="false">Assumptions!F42</f>
        <v>28</v>
      </c>
      <c r="G7" s="4" t="n">
        <f aca="false">Assumptions!G42</f>
        <v>29.5</v>
      </c>
      <c r="H7" s="4" t="n">
        <f aca="false">Assumptions!H42</f>
        <v>31</v>
      </c>
      <c r="I7" s="4" t="n">
        <f aca="false">Assumptions!I42</f>
        <v>31.5</v>
      </c>
      <c r="J7" s="4" t="n">
        <f aca="false">Assumptions!J42</f>
        <v>32</v>
      </c>
      <c r="K7" s="4" t="n">
        <f aca="false">Assumptions!K42</f>
        <v>32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140800.4884</v>
      </c>
      <c r="D8" s="0" t="n">
        <f aca="false">D6*D7/100</f>
        <v>169772.89659</v>
      </c>
      <c r="E8" s="0" t="n">
        <f aca="false">E6*E7/100</f>
        <v>172066.3199299</v>
      </c>
      <c r="F8" s="0" t="n">
        <f aca="false">F6*F7/100</f>
        <v>196350.396780384</v>
      </c>
      <c r="G8" s="0" t="n">
        <f aca="false">G6*G7/100</f>
        <v>221350.009799029</v>
      </c>
      <c r="H8" s="0" t="n">
        <f aca="false">H6*H7/100</f>
        <v>244235.3497952</v>
      </c>
      <c r="I8" s="0" t="n">
        <f aca="false">I6*I7/100</f>
        <v>255619.868519525</v>
      </c>
      <c r="J8" s="0" t="n">
        <f aca="false">J6*J7/100</f>
        <v>264870.873284993</v>
      </c>
      <c r="K8" s="0" t="n">
        <f aca="false">K6*K7/100</f>
        <v>272816.999483543</v>
      </c>
      <c r="L8" s="0" t="n">
        <f aca="false">L6*L7/100</f>
        <v>281001.50946805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0.17</v>
      </c>
      <c r="D9" s="4" t="n">
        <f aca="false">Assumptions!D43</f>
        <v>0.17</v>
      </c>
      <c r="E9" s="4" t="n">
        <f aca="false">Assumptions!E43</f>
        <v>0.17</v>
      </c>
      <c r="F9" s="4" t="n">
        <f aca="false">Assumptions!F43</f>
        <v>0.17</v>
      </c>
      <c r="G9" s="4" t="n">
        <f aca="false">Assumptions!G43</f>
        <v>0.17</v>
      </c>
      <c r="H9" s="4" t="n">
        <f aca="false">Assumptions!H43</f>
        <v>0.17</v>
      </c>
      <c r="I9" s="4" t="n">
        <f aca="false">Assumptions!I43</f>
        <v>0.17</v>
      </c>
      <c r="J9" s="4" t="n">
        <f aca="false">Assumptions!J43</f>
        <v>0.17</v>
      </c>
      <c r="K9" s="4" t="n">
        <f aca="false">Assumptions!K43</f>
        <v>0.17</v>
      </c>
      <c r="L9" s="4" t="n">
        <f aca="false">Assumptions!L43</f>
        <v>0.17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-920.618578</v>
      </c>
      <c r="D10" s="0" t="n">
        <f aca="false">-D6*D9/100</f>
        <v>-1012.6804358</v>
      </c>
      <c r="E10" s="0" t="n">
        <f aca="false">-E6*E9/100</f>
        <v>-1103.821675022</v>
      </c>
      <c r="F10" s="0" t="n">
        <f aca="false">-F6*F9/100</f>
        <v>-1192.12740902376</v>
      </c>
      <c r="G10" s="0" t="n">
        <f aca="false">-G6*G9/100</f>
        <v>-1275.57632765542</v>
      </c>
      <c r="H10" s="0" t="n">
        <f aca="false">-H6*H9/100</f>
        <v>-1339.3551440382</v>
      </c>
      <c r="I10" s="0" t="n">
        <f aca="false">-I6*I9/100</f>
        <v>-1379.53579835934</v>
      </c>
      <c r="J10" s="0" t="n">
        <f aca="false">-J6*J9/100</f>
        <v>-1407.12651432653</v>
      </c>
      <c r="K10" s="0" t="n">
        <f aca="false">-K6*K9/100</f>
        <v>-1449.34030975632</v>
      </c>
      <c r="L10" s="0" t="n">
        <f aca="false">-L6*L9/100</f>
        <v>-1492.82051904901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132839.845402</v>
      </c>
      <c r="D11" s="0" t="n">
        <f aca="false">D8+D10+D24</f>
        <v>161016.1892922</v>
      </c>
      <c r="E11" s="0" t="n">
        <f aca="false">E8+E10+E24</f>
        <v>162521.508975298</v>
      </c>
      <c r="F11" s="0" t="n">
        <f aca="false">F8+F10+F24</f>
        <v>186042.000949414</v>
      </c>
      <c r="G11" s="0" t="n">
        <f aca="false">G8+G10+G24</f>
        <v>210320.026259891</v>
      </c>
      <c r="H11" s="0" t="n">
        <f aca="false">H8+H10+H24</f>
        <v>232653.867079105</v>
      </c>
      <c r="I11" s="0" t="n">
        <f aca="false">I8+I10+I24</f>
        <v>243690.941321947</v>
      </c>
      <c r="J11" s="0" t="n">
        <f aca="false">J8+J10+J24</f>
        <v>252703.367543464</v>
      </c>
      <c r="K11" s="0" t="n">
        <f aca="false">K8+K10+K24</f>
        <v>260284.468569768</v>
      </c>
      <c r="L11" s="0" t="n">
        <f aca="false">L8+L10+L24</f>
        <v>268093.002626861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-23827.77496</v>
      </c>
      <c r="D12" s="4" t="n">
        <f aca="false">-D6*Assumptions!D45/100</f>
        <v>-27401.941204</v>
      </c>
      <c r="E12" s="4" t="n">
        <f aca="false">-E6*Assumptions!E45/100</f>
        <v>-31166.72964768</v>
      </c>
      <c r="F12" s="4" t="n">
        <f aca="false">-F6*Assumptions!F45/100</f>
        <v>-35062.57085364</v>
      </c>
      <c r="G12" s="4" t="n">
        <f aca="false">-G6*Assumptions!G45/100</f>
        <v>-37516.9508133948</v>
      </c>
      <c r="H12" s="4" t="n">
        <f aca="false">-H6*Assumptions!H45/100</f>
        <v>-39392.7983540646</v>
      </c>
      <c r="I12" s="4" t="n">
        <f aca="false">-I6*Assumptions!I45/100</f>
        <v>-40574.5823046865</v>
      </c>
      <c r="J12" s="4" t="n">
        <f aca="false">-J6*Assumptions!J45/100</f>
        <v>-41386.0739507802</v>
      </c>
      <c r="K12" s="4" t="n">
        <f aca="false">-K6*Assumptions!K45/100</f>
        <v>-42627.6561693036</v>
      </c>
      <c r="L12" s="4" t="n">
        <f aca="false">-L6*Assumptions!L45/100</f>
        <v>-43906.4858543828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109012.070442</v>
      </c>
      <c r="D13" s="0" t="n">
        <f aca="false">D11+D12</f>
        <v>133614.2480882</v>
      </c>
      <c r="E13" s="0" t="n">
        <f aca="false">E11+E12</f>
        <v>131354.779327618</v>
      </c>
      <c r="F13" s="0" t="n">
        <f aca="false">F11+F12</f>
        <v>150979.430095774</v>
      </c>
      <c r="G13" s="0" t="n">
        <f aca="false">G11+G12</f>
        <v>172803.075446497</v>
      </c>
      <c r="H13" s="0" t="n">
        <f aca="false">H11+H12</f>
        <v>193261.068725041</v>
      </c>
      <c r="I13" s="0" t="n">
        <f aca="false">I11+I12</f>
        <v>203116.359017261</v>
      </c>
      <c r="J13" s="0" t="n">
        <f aca="false">J11+J12</f>
        <v>211317.293592684</v>
      </c>
      <c r="K13" s="0" t="n">
        <f aca="false">K11+K12</f>
        <v>217656.812400464</v>
      </c>
      <c r="L13" s="0" t="n">
        <f aca="false">L11+L12</f>
        <v>224186.516772478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27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82849.17353592</v>
      </c>
      <c r="D15" s="0" t="n">
        <f aca="false">D13-MAX(0,D13)*D14/100</f>
        <v>97538.401104386</v>
      </c>
      <c r="E15" s="0" t="n">
        <f aca="false">E13-MAX(0,E13)*E14/100</f>
        <v>94575.441115885</v>
      </c>
      <c r="F15" s="0" t="n">
        <f aca="false">F13-MAX(0,F13)*F14/100</f>
        <v>108705.189668957</v>
      </c>
      <c r="G15" s="0" t="n">
        <f aca="false">G13-MAX(0,G13)*G14/100</f>
        <v>124418.214321478</v>
      </c>
      <c r="H15" s="0" t="n">
        <f aca="false">H13-MAX(0,H13)*H14/100</f>
        <v>139147.969482029</v>
      </c>
      <c r="I15" s="0" t="n">
        <f aca="false">I13-MAX(0,I13)*I14/100</f>
        <v>146243.778492428</v>
      </c>
      <c r="J15" s="0" t="n">
        <f aca="false">J13-MAX(0,J13)*J14/100</f>
        <v>152148.451386732</v>
      </c>
      <c r="K15" s="0" t="n">
        <f aca="false">K13-MAX(0,K13)*K14/100</f>
        <v>156712.904928334</v>
      </c>
      <c r="L15" s="0" t="n">
        <f aca="false">L13-MAX(0,L13)*L14/100</f>
        <v>161414.292076184</v>
      </c>
    </row>
    <row r="16" customFormat="false" ht="15" hidden="false" customHeight="false" outlineLevel="0" collapsed="false">
      <c r="A16" s="0" t="s">
        <v>128</v>
      </c>
      <c r="C16" s="0" t="n">
        <f aca="false">-C12</f>
        <v>23827.77496</v>
      </c>
      <c r="D16" s="0" t="n">
        <f aca="false">-D12</f>
        <v>27401.941204</v>
      </c>
      <c r="E16" s="0" t="n">
        <f aca="false">-E12</f>
        <v>31166.72964768</v>
      </c>
      <c r="F16" s="0" t="n">
        <f aca="false">-F12</f>
        <v>35062.57085364</v>
      </c>
      <c r="G16" s="0" t="n">
        <f aca="false">-G12</f>
        <v>37516.9508133948</v>
      </c>
      <c r="H16" s="0" t="n">
        <f aca="false">-H12</f>
        <v>39392.7983540646</v>
      </c>
      <c r="I16" s="0" t="n">
        <f aca="false">-I12</f>
        <v>40574.5823046865</v>
      </c>
      <c r="J16" s="0" t="n">
        <f aca="false">-J12</f>
        <v>41386.0739507802</v>
      </c>
      <c r="K16" s="0" t="n">
        <f aca="false">-K12</f>
        <v>42627.6561693036</v>
      </c>
      <c r="L16" s="0" t="n">
        <f aca="false">-L12</f>
        <v>43906.4858543828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-48738.6306</v>
      </c>
      <c r="D17" s="4" t="n">
        <f aca="false">-D6*Assumptions!D46/100</f>
        <v>-50634.02179</v>
      </c>
      <c r="E17" s="4" t="n">
        <f aca="false">-E6*Assumptions!E46/100</f>
        <v>-51944.5494128</v>
      </c>
      <c r="F17" s="4" t="n">
        <f aca="false">-F6*Assumptions!F46/100</f>
        <v>-52593.85628046</v>
      </c>
      <c r="G17" s="4" t="n">
        <f aca="false">-G6*Assumptions!G46/100</f>
        <v>-52523.7311387527</v>
      </c>
      <c r="H17" s="4" t="n">
        <f aca="false">-H6*Assumptions!H46/100</f>
        <v>-55149.9176956904</v>
      </c>
      <c r="I17" s="4" t="n">
        <f aca="false">-I6*Assumptions!I46/100</f>
        <v>-56804.4152265611</v>
      </c>
      <c r="J17" s="4" t="n">
        <f aca="false">-J6*Assumptions!J46/100</f>
        <v>-57940.5035310923</v>
      </c>
      <c r="K17" s="4" t="n">
        <f aca="false">-K6*Assumptions!K46/100</f>
        <v>-59678.7186370251</v>
      </c>
      <c r="L17" s="4" t="n">
        <f aca="false">-L6*Assumptions!L46/100</f>
        <v>-61469.0801961358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-8942.86800000002</v>
      </c>
      <c r="D18" s="4" t="n">
        <f aca="false">(D6-C6)*Assumptions!$B$51/100</f>
        <v>-10830.8068</v>
      </c>
      <c r="E18" s="4" t="n">
        <f aca="false">(E6-D6)*Assumptions!$B$51/100</f>
        <v>-10722.498732</v>
      </c>
      <c r="F18" s="4" t="n">
        <f aca="false">(F6-E6)*Assumptions!$B$51/100</f>
        <v>-10388.90988256</v>
      </c>
      <c r="G18" s="4" t="n">
        <f aca="false">(G6-F6)*Assumptions!$B$51/100</f>
        <v>-9817.51983901921</v>
      </c>
      <c r="H18" s="4" t="n">
        <f aca="false">(H6-G6)*Assumptions!$B$51/100</f>
        <v>-7503.39016267897</v>
      </c>
      <c r="I18" s="4" t="n">
        <f aca="false">(I6-H6)*Assumptions!$B$51/100</f>
        <v>-4727.13580248775</v>
      </c>
      <c r="J18" s="4" t="n">
        <f aca="false">(J6-I6)*Assumptions!$B$51/100</f>
        <v>-3245.96658437492</v>
      </c>
      <c r="K18" s="4" t="n">
        <f aca="false">(K6-J6)*Assumptions!$B$51/100</f>
        <v>-4966.32887409364</v>
      </c>
      <c r="L18" s="4" t="n">
        <f aca="false">(L6-K6)*Assumptions!$B$51/100</f>
        <v>-5115.31874031643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48995.44989592</v>
      </c>
      <c r="D19" s="0" t="n">
        <f aca="false">D15+D16+D17+D18</f>
        <v>63475.513718386</v>
      </c>
      <c r="E19" s="0" t="n">
        <f aca="false">E15+E16+E17+E18</f>
        <v>63075.122618765</v>
      </c>
      <c r="F19" s="0" t="n">
        <f aca="false">F15+F16+F17+F18</f>
        <v>80784.9943595772</v>
      </c>
      <c r="G19" s="0" t="n">
        <f aca="false">G15+G16+G17+G18</f>
        <v>99593.9141571004</v>
      </c>
      <c r="H19" s="0" t="n">
        <f aca="false">H15+H16+H17+H18</f>
        <v>115887.459977725</v>
      </c>
      <c r="I19" s="0" t="n">
        <f aca="false">I15+I16+I17+I18</f>
        <v>125286.809768065</v>
      </c>
      <c r="J19" s="0" t="n">
        <f aca="false">J15+J16+J17+J18</f>
        <v>132348.055222045</v>
      </c>
      <c r="K19" s="0" t="n">
        <f aca="false">K15+K16+K17+K18</f>
        <v>134695.513586519</v>
      </c>
      <c r="L19" s="0" t="n">
        <f aca="false">L15+L16+L17+L18</f>
        <v>138736.378994115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45577.1626938791</v>
      </c>
      <c r="D21" s="0" t="n">
        <f aca="false">D19*D20</f>
        <v>54927.4320981166</v>
      </c>
      <c r="E21" s="0" t="n">
        <f aca="false">E19*E20</f>
        <v>50772.9866250891</v>
      </c>
      <c r="F21" s="0" t="n">
        <f aca="false">F19*F20</f>
        <v>60491.8465744329</v>
      </c>
      <c r="G21" s="0" t="n">
        <f aca="false">G19*G20</f>
        <v>69373.0006356647</v>
      </c>
      <c r="H21" s="0" t="n">
        <f aca="false">H19*H20</f>
        <v>75090.6145382443</v>
      </c>
      <c r="I21" s="0" t="n">
        <f aca="false">I19*I20</f>
        <v>75517.2386055621</v>
      </c>
      <c r="J21" s="0" t="n">
        <f aca="false">J19*J20</f>
        <v>74207.8501482712</v>
      </c>
      <c r="K21" s="0" t="n">
        <f aca="false">K19*K20</f>
        <v>70254.9537637485</v>
      </c>
      <c r="L21" s="0" t="n">
        <f aca="false">L19*L20</f>
        <v>67314.0487224754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-7040.02442</v>
      </c>
      <c r="D24" s="0" t="n">
        <f aca="false">-D6*D23/100</f>
        <v>-7744.026862</v>
      </c>
      <c r="E24" s="0" t="n">
        <f aca="false">-E6*E23/100</f>
        <v>-8440.98927958</v>
      </c>
      <c r="F24" s="0" t="n">
        <f aca="false">-F6*F23/100</f>
        <v>-9116.2684219464</v>
      </c>
      <c r="G24" s="0" t="n">
        <f aca="false">-G6*G23/100</f>
        <v>-9754.40721148265</v>
      </c>
      <c r="H24" s="0" t="n">
        <f aca="false">-H6*H23/100</f>
        <v>-10242.1275720568</v>
      </c>
      <c r="I24" s="0" t="n">
        <f aca="false">-I6*I23/100</f>
        <v>-10549.3913992185</v>
      </c>
      <c r="J24" s="0" t="n">
        <f aca="false">-J6*J23/100</f>
        <v>-10760.3792272029</v>
      </c>
      <c r="K24" s="0" t="n">
        <f aca="false">-K6*K23/100</f>
        <v>-11083.1906040189</v>
      </c>
      <c r="L24" s="0" t="n">
        <f aca="false">-L6*L23/100</f>
        <v>-11415.6863221395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643527.134405484</v>
      </c>
    </row>
    <row r="31" customFormat="false" ht="15" hidden="false" customHeight="false" outlineLevel="0" collapsed="false">
      <c r="A31" s="0" t="s">
        <v>137</v>
      </c>
      <c r="B31" s="0" t="n">
        <f aca="false">L19</f>
        <v>138736.378994115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2844095.76937935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2497254.82189407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2497254.82189407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1211652.87700456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1855180.01141004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2145348.01141004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4097.41286323553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0.662911064624811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8371.01798326028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14848.3027636717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4141.75958134284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1137638.30775174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1933.21137384593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1125.14604586203</v>
      </c>
      <c r="C4" s="0" t="n">
        <f aca="false">B4/Assumptions!$B$2-1</f>
        <v>-0.543366052815737</v>
      </c>
      <c r="D4" s="4" t="n">
        <f aca="false">Assumptions!$B$24</f>
        <v>0.25</v>
      </c>
      <c r="E4" s="4" t="n">
        <f aca="false">DCF_Bear!$B$43</f>
        <v>1143.47711862016</v>
      </c>
      <c r="F4" s="4" t="n">
        <f aca="false">DCF_Bear!$B$47</f>
        <v>920.232388606954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2533.55546197996</v>
      </c>
      <c r="C5" s="0" t="n">
        <f aca="false">B5/Assumptions!$B$2-1</f>
        <v>0.0282286777516079</v>
      </c>
      <c r="D5" s="4" t="n">
        <f aca="false">Assumptions!$B$38</f>
        <v>0.5</v>
      </c>
      <c r="E5" s="4" t="n">
        <f aca="false">DCF_Base!$B$43</f>
        <v>2563.59369494298</v>
      </c>
      <c r="F5" s="4" t="n">
        <f aca="false">DCF_Base!$B$47</f>
        <v>1396.23081456192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4097.41286323553</v>
      </c>
      <c r="C6" s="0" t="n">
        <f aca="false">B6/Assumptions!$B$2-1</f>
        <v>0.662911064624811</v>
      </c>
      <c r="D6" s="4" t="n">
        <f aca="false">Assumptions!$B$52</f>
        <v>0.25</v>
      </c>
      <c r="E6" s="4" t="n">
        <f aca="false">DCF_Bull!$B$43</f>
        <v>4141.75958134284</v>
      </c>
      <c r="F6" s="4" t="n">
        <f aca="false">DCF_Bull!$B$47</f>
        <v>1933.21137384593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2572.41745826437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2603.10602246224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0.0421461368628406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-353.282928342062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1411.47634789418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2533.55546197996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2133.95138050294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1934.45832995309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1779.16363020112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1654.82578054513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1396.23081456192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2859.57821432549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2859.57821432549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2859.57821432549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2859.57821432549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2859.57821432549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2688.80629457206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2688.80629457206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2688.80629457206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2688.80629457206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2688.80629457206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2374.87443284066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2463.7192798848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2533.55546197996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2533.55546197996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2533.55546197996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2125.85160784568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2186.57360990947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2256.63745844462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2338.37861506896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2392.24490722233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1935.49025916914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1978.65578582242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2027.57671602946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2083.48635055179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2147.99746730834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2026-10-30T23:57:06Z</dcterms:created>
  <dc:creator>openpyxl</dc:creator>
  <dc:description/>
  <dc:language>en-NZ</dc:language>
  <cp:lastModifiedBy/>
  <dcterms:modified xsi:type="dcterms:W3CDTF">2026-10-30T23:57:06Z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