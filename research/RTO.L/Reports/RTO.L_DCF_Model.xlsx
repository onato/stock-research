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<sst xmlns="http://schemas.openxmlformats.org/spreadsheetml/2006/main" count="353" uniqueCount="166">
  <si>
    <t xml:space="preserve">Ticker</t>
  </si>
  <si>
    <t xml:space="preserve">RTO.L</t>
  </si>
  <si>
    <t xml:space="preserve">Company</t>
  </si>
  <si>
    <t xml:space="preserve">Rentokil Initial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</si>
  <si>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</si>
  <si>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</si>
  <si>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</si>
  <si>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</si>
  <si>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2026-10-09T15:35:29Z (LSE regular close, 16:35 BST)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</si>
  <si>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</si>
  <si>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</si>
  <si>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</si>
  <si>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</si>
  <si>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</si>
  <si>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</si>
  <si>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</si>
  <si>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</si>
  <si>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</si>
  <si>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</si>
  <si>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</si>
  <si>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</si>
  <si>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</si>
  <si>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2026-10-10T01:18:07Z</t>
  </si>
  <si>
    <t xml:space="preserve">Drivers file</t>
  </si>
  <si>
    <t xml:space="preserve">RTO.L_Drivers.json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</si>
  <si>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</si>
  <si>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</si>
  <si>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</si>
  <si>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defensive, recurring-revenue consolidator valued on unlevered owner FCF after every recurring cash cost the company's own 'Free Cash Flow' definition adds back or nets away: lease payments (treatment B), termite damage claim cash, transformation/integration cash and bolt-on acquisition spend. On that basis FY2025 owner FCF is ~$516m against a headline $615m, and the current price sits close to the base-case value -- the 40% share-price fall since the July 2026 results has removed the premium, not created a bargain. The value is in the termite and transformation lines tapering as management says they will; the risk is that they do not.
key_risks_to_valuation: North America organic growth: every 1pp of sustained organic growth below the base path is worth roughly 8-10% of equity value; the July 2026 Residential lead-flow warning is the live data point; Termite damage claims: the provision has been topped up every period since the Terminix acquisition; the base case assumes cash tapers from $120m/yr to ~$70m/yr by FY2035, the bear holds it flat -- this is the single largest judgment in the flows; Margin path: the 20%+ NA margin target is retired and no replacement is promised until February 2027; the base case allows only ~130bp of group adjusted EBITDA margin expansion over six years; Recurring 'one-off' cash: $100-135m/yr for three consecutive years; the model treats 0.5% of revenue as permanent, which is more than the company's headline FCF assumes and less than its own history; Leadership and reorganisation risk: new CEO, NA CEO, CMO, Chief Transformation Officer and a two-division restructure all within 2026; Currency: USD flows against a GBp quote; a 5% GBP move shifts the pence value by 5% with no change in the business; Refinancing at higher coupons: 2025 USD bonds at 5.0-5.625% versus legacy paper; cash interest is outside the unlevered flows but inside the WACC</t>
  </si>
  <si>
    <t xml:space="preserve">Data sources</t>
  </si>
  <si>
    <t xml:space="preserve">price: Yahoo Finance chart API for RTO.L at inputs.price_as_of (LSE regular close); 52-week range 293.5-507.0p. GBPUSD=X and NYSE ADR RTO from the same endpoint for the fx_note parity check.
financials: RTO.L_Metrics.csv (core_metrics, FY2019-FY2025 + H1 FY2025/H1 FY2026); FY2025 Annual Report (adjusted EBITDA, FCF reconciliation, one-off and adjusting items table, lease note B4, termite provision narrative); H1 FY2026 interim report (net debt note 9, adjusting items, FY2026 technical guidance); kpis table (CashTaxesPaid, InterestIncome, LeaseLiabilities, DividendsPaid, AdjustedOperatingProfit).
qualitative: RTO.L_Analysis.json (2026-10-10): competitive position vs Rollins, termite liability, margin-target retirement, leadership transition, FY2026 guidance items.</t>
  </si>
  <si>
    <t xml:space="preserve">Scenario narrative: bear</t>
  </si>
  <si>
    <t xml:space="preserve">The margin-target retirement was the first admission of a structural problem, not a one-off reset: NA Residential lead flow keeps weakening, National Accounts churn is not fixed, and Rollins and well-funded PE roll-ups keep the share-loss going. Savings are spent on marketing that does not convert, so margins drift down rather than up. The termite provision keeps being topped up every half ($392m and rising, inflation assumption already lifted to 3.2%), making $120m/yr a permanent cost of the Terminix deal. Leadership churn (five senior changes in six months) produces another guidance miss in February 2027. No growth premium survives: terminal growth 2% and a 15x cap.</t>
  </si>
  <si>
    <t xml:space="preserve">Scenario narrative: base</t>
  </si>
  <si>
    <t xml:space="preserve">Rentokil is a $7bn route-based pest-control and hygiene group whose value hinges on two things: whether North America (62% of revenue) can get back toward market growth after four years of post-Terminix underperformance, and how much of the recurring termite, transformation and acquisition cash the headline 'Free Cash Flow' leaves out actually recurs. The base case takes management at its post-July-2026 word -- NA savings reinvested for volume, no 20% margin, organic growth ~3% against a 6% market -- and charges the termite cash ($120m/yr, tapering) and one-off cash ($115m/yr, falling to a permanent 0.5%) in the flows. Adjusted EBITDA margin improves only 130bp over six years. Growth of 4-4.5% through FY2029 is organic ~3% plus bolt-on M&amp;A that costs ~1.7% of revenue a year, which is charged as capex. Leverage is inside the 2.0-2.5x range and no equity raise is needed.</t>
  </si>
  <si>
    <t xml:space="preserve">Scenario narrative: bull</t>
  </si>
  <si>
    <t xml:space="preserve">The new team (Duffy, Carrasco, Jochim) does what Ransom's could not: separating Residential and Commercial leadership, the Dallas training hub and Branch 360 lift NA retention above 82% and organic growth to ~5% by FY2028, while International keeps compounding at 4-5% with 19-20% margins. Reinvested savings earn their keep, so group adjusted EBITDA margin reaches 23.5% (still short of Rollins). The termite claims pool behaves as a run-off book -- litigated-claim volumes stop rising, cash falls below $50m/yr by FY2032 -- and transformation spend ends in 2027. The stock re-rates from ~11x to a Rollins-adjacent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</si>
  <si>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</si>
  <si>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</si>
  <si>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</si>
  <si>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</si>
  <si>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</si>
  <si>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</si>
  <si>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</si>
  <si>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</si>
  <si>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</si>
  <si>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</si>
  <si>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</si>
  <si>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</si>
  <si>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</si>
  <si>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</si>
  <si>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</si>
  <si>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</si>
  <si>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</si>
  <si>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</si>
  <si>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</si>
  <si>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</si>
  <si>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</si>
  <si>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</si>
  <si>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</si>
  <si>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</si>
  <si>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</si>
  <si>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</si>
  <si>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</si>
  <si>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AdjustedEPS</t>
  </si>
  <si>
    <t xml:space="preserve">AdjustedOperatingProfit</t>
  </si>
  <si>
    <t xml:space="preserve">FY2019</t>
  </si>
  <si>
    <t xml:space="preserve">GBP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</si>
  <si>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</si>
  <si>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</si>
  <si>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</si>
  <si>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</si>
  <si>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</si>
  <si>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</si>
  <si>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</si>
  <si>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</si>
  <si>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</si>
  <si>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</si>
  <si>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</si>
  <si>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</si>
  <si>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</si>
  <si>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</si>
  <si>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</si>
  <si>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</si>
  <si>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</si>
  <si>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</si>
  <si>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</si>
  <si>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</si>
  <si>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</si>
  <si>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</si>
  <si>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</si>
  <si>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</si>
  <si>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</si>
  <si>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</si>
  <si>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</si>
  <si>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</si>
  <si>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</si>
  <si>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</si>
  <si>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</si>
  <si>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</si>
  <si>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</si>
  <si>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</si>
  <si>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</si>
  <si>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</si>
  <si>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</si>
  <si>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</si>
  <si>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</si>
  <si>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</si>
  <si>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</si>
  <si>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</si>
  <si>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</si>
  <si>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RTO.L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</si>
  <si>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</si>
  <si>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</si>
  <si>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</si>
  <si>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</si>
  <si>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</si>
  <si>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</si>
  <si>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</si>
  <si>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</si>
  <si>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</si>
  <si>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</si>
  <si>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</si>
  <si>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</si>
  <si>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</si>
  <si>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</si>
  <si>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</si>
  <si>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</si>
  <si>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</si>
  <si>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</si>
  <si>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</si>
  <si>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</si>
  <si>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</si>
  <si>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</si>
  <si>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</si>
  <si>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</si>
  <si>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</si>
  <si>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</si>
  <si>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</si>
  <si>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</si>
  <si>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</si>
  <si>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</si>
  <si>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RTO.L owner-FCF component DCF: base case (millions, USD)</t>
  </si>
  <si>
    <t xml:space="preserve">RTO.L owner-FCF component DCF: bull case (millions, USD)</t>
  </si>
  <si>
    <t xml:space="preserve">RTO.L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</si>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</sst>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303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2714.4</v>
      </c>
      <c r="F2" s="0" t="n">
        <v>265.6</v>
      </c>
      <c r="G2" s="0" t="n">
        <v>9.8</v>
      </c>
      <c r="I2" s="0" t="n">
        <v>283.5</v>
      </c>
      <c r="J2" s="0" t="n">
        <v>10.4</v>
      </c>
      <c r="K2" s="0" t="n">
        <v>0.1524</v>
      </c>
      <c r="L2" s="0" t="n">
        <v>462.9</v>
      </c>
      <c r="M2" s="0" t="n">
        <v>170.9</v>
      </c>
      <c r="N2" s="0" t="n">
        <v>292</v>
      </c>
      <c r="O2" s="0" t="n">
        <v>1002.3</v>
      </c>
      <c r="P2" s="0" t="n">
        <v>3394.4</v>
      </c>
      <c r="Q2" s="0" t="n">
        <v>2392.1</v>
      </c>
      <c r="R2" s="0" t="n">
        <v>1143.9</v>
      </c>
      <c r="S2" s="0" t="n">
        <v>309.6</v>
      </c>
      <c r="T2" s="0" t="n">
        <v>1860.5</v>
      </c>
      <c r="U2" s="0" t="n">
        <v>5.3</v>
      </c>
      <c r="AA2" s="0" t="s">
        <v>18</v>
      </c>
      <c r="AB2" s="0" t="s">
        <v>67</v>
      </c>
      <c r="AD2" s="0" t="n">
        <v>365.4</v>
      </c>
    </row>
    <row r="3" customFormat="false" ht="15" hidden="false" customHeight="false" outlineLevel="0" collapsed="false">
      <c r="A3" s="0" t="s">
        <v>68</v>
      </c>
      <c r="B3" s="0" t="n">
        <v>2803.3</v>
      </c>
      <c r="F3" s="0" t="n">
        <v>293.8</v>
      </c>
      <c r="G3" s="0" t="n">
        <v>10.5</v>
      </c>
      <c r="H3" s="0" t="n">
        <v>623.9</v>
      </c>
      <c r="I3" s="0" t="n">
        <v>185.9</v>
      </c>
      <c r="J3" s="0" t="n">
        <v>6.6</v>
      </c>
      <c r="K3" s="0" t="n">
        <v>0.0998</v>
      </c>
      <c r="L3" s="0" t="n">
        <v>523.4</v>
      </c>
      <c r="M3" s="0" t="n">
        <v>152.5</v>
      </c>
      <c r="N3" s="0" t="n">
        <v>370.9</v>
      </c>
      <c r="O3" s="0" t="n">
        <v>1130.6</v>
      </c>
      <c r="P3" s="0" t="n">
        <v>5583.1</v>
      </c>
      <c r="Q3" s="0" t="n">
        <v>4452.5</v>
      </c>
      <c r="R3" s="0" t="n">
        <v>2929.1</v>
      </c>
      <c r="S3" s="0" t="n">
        <v>1949.5</v>
      </c>
      <c r="T3" s="0" t="n">
        <v>1862.9</v>
      </c>
      <c r="U3" s="0" t="n">
        <v>5.5</v>
      </c>
      <c r="AA3" s="0" t="s">
        <v>18</v>
      </c>
      <c r="AB3" s="0" t="s">
        <v>67</v>
      </c>
      <c r="AD3" s="0" t="n">
        <v>384</v>
      </c>
    </row>
    <row r="4" customFormat="false" ht="15" hidden="false" customHeight="false" outlineLevel="0" collapsed="false">
      <c r="A4" s="0" t="s">
        <v>69</v>
      </c>
      <c r="B4" s="0" t="n">
        <v>2956.6</v>
      </c>
      <c r="F4" s="0" t="n">
        <v>346.5</v>
      </c>
      <c r="G4" s="0" t="n">
        <v>11.7</v>
      </c>
      <c r="H4" s="0" t="n">
        <v>676</v>
      </c>
      <c r="I4" s="0" t="n">
        <v>263.2</v>
      </c>
      <c r="J4" s="0" t="n">
        <v>8.9</v>
      </c>
      <c r="K4" s="0" t="n">
        <v>0.141</v>
      </c>
      <c r="L4" s="0" t="n">
        <v>563.2</v>
      </c>
      <c r="M4" s="0" t="n">
        <v>159.9</v>
      </c>
      <c r="N4" s="0" t="n">
        <v>403.3</v>
      </c>
      <c r="O4" s="0" t="n">
        <v>1263.9</v>
      </c>
      <c r="P4" s="0" t="n">
        <v>4323.1</v>
      </c>
      <c r="Q4" s="0" t="n">
        <v>3059.2</v>
      </c>
      <c r="R4" s="0" t="n">
        <v>1715.4</v>
      </c>
      <c r="S4" s="0" t="n">
        <v>668.4</v>
      </c>
      <c r="T4" s="0" t="n">
        <v>1866.3</v>
      </c>
      <c r="U4" s="0" t="n">
        <v>9.8</v>
      </c>
      <c r="AA4" s="0" t="s">
        <v>18</v>
      </c>
      <c r="AB4" s="0" t="s">
        <v>67</v>
      </c>
      <c r="AD4" s="0" t="n">
        <v>441.5</v>
      </c>
    </row>
    <row r="5" customFormat="false" ht="15" hidden="false" customHeight="false" outlineLevel="0" collapsed="false">
      <c r="A5" s="0" t="s">
        <v>70</v>
      </c>
      <c r="B5" s="0" t="n">
        <v>3714</v>
      </c>
      <c r="F5" s="0" t="n">
        <v>317</v>
      </c>
      <c r="G5" s="0" t="n">
        <v>8.5</v>
      </c>
      <c r="H5" s="0" t="n">
        <v>859</v>
      </c>
      <c r="I5" s="0" t="n">
        <v>232</v>
      </c>
      <c r="J5" s="0" t="n">
        <v>6.2</v>
      </c>
      <c r="K5" s="0" t="n">
        <v>0.1151</v>
      </c>
      <c r="L5" s="0" t="n">
        <v>600</v>
      </c>
      <c r="M5" s="0" t="n">
        <v>190</v>
      </c>
      <c r="N5" s="0" t="n">
        <v>410</v>
      </c>
      <c r="O5" s="0" t="n">
        <v>4098</v>
      </c>
      <c r="P5" s="0" t="n">
        <v>11922</v>
      </c>
      <c r="Q5" s="0" t="n">
        <v>7824</v>
      </c>
      <c r="R5" s="0" t="n">
        <v>4929</v>
      </c>
      <c r="S5" s="0" t="n">
        <v>2170</v>
      </c>
      <c r="T5" s="0" t="n">
        <v>2014</v>
      </c>
      <c r="U5" s="0" t="n">
        <v>18</v>
      </c>
      <c r="AA5" s="0" t="s">
        <v>18</v>
      </c>
      <c r="AB5" s="0" t="s">
        <v>67</v>
      </c>
      <c r="AD5" s="0" t="n">
        <v>571</v>
      </c>
    </row>
    <row r="6" customFormat="false" ht="15" hidden="false" customHeight="false" outlineLevel="0" collapsed="false">
      <c r="A6" s="0" t="s">
        <v>71</v>
      </c>
      <c r="B6" s="0" t="n">
        <v>6385</v>
      </c>
      <c r="F6" s="0" t="n">
        <v>727</v>
      </c>
      <c r="G6" s="0" t="n">
        <v>11.4</v>
      </c>
      <c r="H6" s="0" t="n">
        <v>1401</v>
      </c>
      <c r="I6" s="0" t="n">
        <v>474</v>
      </c>
      <c r="J6" s="0" t="n">
        <v>7.4</v>
      </c>
      <c r="K6" s="0" t="n">
        <v>0.1875</v>
      </c>
      <c r="L6" s="0" t="n">
        <v>916</v>
      </c>
      <c r="M6" s="0" t="n">
        <v>262</v>
      </c>
      <c r="N6" s="0" t="n">
        <v>654</v>
      </c>
      <c r="O6" s="0" t="n">
        <v>5208</v>
      </c>
      <c r="P6" s="0" t="n">
        <v>14173</v>
      </c>
      <c r="Q6" s="0" t="n">
        <v>8965</v>
      </c>
      <c r="R6" s="0" t="n">
        <v>5460</v>
      </c>
      <c r="S6" s="0" t="n">
        <v>1989</v>
      </c>
      <c r="T6" s="0" t="n">
        <v>2527</v>
      </c>
      <c r="U6" s="0" t="n">
        <v>32</v>
      </c>
      <c r="AA6" s="0" t="s">
        <v>18</v>
      </c>
      <c r="AB6" s="0" t="s">
        <v>14</v>
      </c>
      <c r="AC6" s="0" t="n">
        <v>0.2719</v>
      </c>
    </row>
    <row r="7" customFormat="false" ht="15" hidden="false" customHeight="false" outlineLevel="0" collapsed="false">
      <c r="A7" s="0" t="s">
        <v>72</v>
      </c>
      <c r="B7" s="0" t="n">
        <v>6617</v>
      </c>
      <c r="F7" s="0" t="n">
        <v>644</v>
      </c>
      <c r="G7" s="0" t="n">
        <v>9.7</v>
      </c>
      <c r="H7" s="0" t="n">
        <v>1365</v>
      </c>
      <c r="I7" s="0" t="n">
        <v>392</v>
      </c>
      <c r="J7" s="0" t="n">
        <v>5.9</v>
      </c>
      <c r="K7" s="0" t="n">
        <v>0.1551</v>
      </c>
      <c r="L7" s="0" t="n">
        <v>868</v>
      </c>
      <c r="M7" s="0" t="n">
        <v>275</v>
      </c>
      <c r="N7" s="0" t="n">
        <v>593</v>
      </c>
      <c r="O7" s="0" t="n">
        <v>5293</v>
      </c>
      <c r="P7" s="0" t="n">
        <v>13211</v>
      </c>
      <c r="Q7" s="0" t="n">
        <v>7918</v>
      </c>
      <c r="R7" s="0" t="n">
        <v>4587</v>
      </c>
      <c r="S7" s="0" t="n">
        <v>1158</v>
      </c>
      <c r="T7" s="0" t="n">
        <v>2528</v>
      </c>
      <c r="U7" s="0" t="n">
        <v>25</v>
      </c>
      <c r="AA7" s="0" t="s">
        <v>18</v>
      </c>
      <c r="AB7" s="0" t="s">
        <v>14</v>
      </c>
      <c r="AC7" s="0" t="n">
        <v>0.2524</v>
      </c>
    </row>
    <row r="8" customFormat="false" ht="15" hidden="false" customHeight="false" outlineLevel="0" collapsed="false">
      <c r="A8" s="0" t="s">
        <v>73</v>
      </c>
      <c r="B8" s="0" t="n">
        <v>6908</v>
      </c>
      <c r="F8" s="0" t="n">
        <v>584</v>
      </c>
      <c r="G8" s="0" t="n">
        <v>8.5</v>
      </c>
      <c r="H8" s="0" t="n">
        <v>1430</v>
      </c>
      <c r="I8" s="0" t="n">
        <v>470</v>
      </c>
      <c r="J8" s="0" t="n">
        <v>6.8</v>
      </c>
      <c r="K8" s="0" t="n">
        <v>0.1854</v>
      </c>
      <c r="L8" s="0" t="n">
        <v>972</v>
      </c>
      <c r="M8" s="0" t="n">
        <v>269</v>
      </c>
      <c r="N8" s="0" t="n">
        <v>703</v>
      </c>
      <c r="O8" s="0" t="n">
        <v>5494</v>
      </c>
      <c r="P8" s="0" t="n">
        <v>14434</v>
      </c>
      <c r="Q8" s="0" t="n">
        <v>8940</v>
      </c>
      <c r="R8" s="0" t="n">
        <v>5567</v>
      </c>
      <c r="S8" s="0" t="n">
        <v>2319</v>
      </c>
      <c r="T8" s="0" t="n">
        <v>2535</v>
      </c>
      <c r="U8" s="0" t="n">
        <v>28</v>
      </c>
      <c r="AA8" s="0" t="s">
        <v>18</v>
      </c>
      <c r="AB8" s="0" t="s">
        <v>14</v>
      </c>
      <c r="AC8" s="0" t="n">
        <v>0.258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303</v>
      </c>
    </row>
    <row r="3" customFormat="false" ht="15" hidden="false" customHeight="false" outlineLevel="0" collapsed="false">
      <c r="A3" s="0" t="s">
        <v>77</v>
      </c>
      <c r="B3" s="3" t="n">
        <v>2535</v>
      </c>
    </row>
    <row r="4" customFormat="false" ht="15" hidden="false" customHeight="false" outlineLevel="0" collapsed="false">
      <c r="A4" s="0" t="s">
        <v>78</v>
      </c>
      <c r="B4" s="3" t="n">
        <v>3032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6908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75.569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4.5</v>
      </c>
      <c r="D13" s="3" t="n">
        <v>3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17.4</v>
      </c>
      <c r="D14" s="3" t="n">
        <v>17.2</v>
      </c>
      <c r="E14" s="3" t="n">
        <v>17.4</v>
      </c>
      <c r="F14" s="3" t="n">
        <v>17.2</v>
      </c>
      <c r="G14" s="3" t="n">
        <v>17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99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100</v>
      </c>
      <c r="C16" s="3" t="n">
        <v>3.2</v>
      </c>
      <c r="D16" s="3" t="n">
        <v>3.2</v>
      </c>
      <c r="E16" s="3" t="n">
        <v>3.2</v>
      </c>
      <c r="F16" s="3" t="n">
        <v>3.2</v>
      </c>
      <c r="G16" s="3" t="n">
        <v>3.2</v>
      </c>
      <c r="H16" s="3" t="n">
        <v>3.2</v>
      </c>
      <c r="I16" s="3" t="n">
        <v>3.2</v>
      </c>
      <c r="J16" s="3" t="n">
        <v>3.2</v>
      </c>
      <c r="K16" s="3" t="n">
        <v>3.2</v>
      </c>
      <c r="L16" s="3" t="n">
        <v>3.2</v>
      </c>
    </row>
    <row r="17" customFormat="false" ht="15" hidden="false" customHeight="false" outlineLevel="0" collapsed="false">
      <c r="A17" s="0" t="s">
        <v>101</v>
      </c>
      <c r="C17" s="3" t="n">
        <v>2.9</v>
      </c>
      <c r="D17" s="3" t="n">
        <v>2.9</v>
      </c>
      <c r="E17" s="3" t="n">
        <v>2.9</v>
      </c>
      <c r="F17" s="3" t="n">
        <v>2.9</v>
      </c>
      <c r="G17" s="3" t="n">
        <v>2.9</v>
      </c>
      <c r="H17" s="3" t="n">
        <v>2.9</v>
      </c>
      <c r="I17" s="3" t="n">
        <v>2.9</v>
      </c>
      <c r="J17" s="3" t="n">
        <v>2.9</v>
      </c>
      <c r="K17" s="3" t="n">
        <v>2.9</v>
      </c>
      <c r="L17" s="3" t="n">
        <v>2.9</v>
      </c>
    </row>
    <row r="18" customFormat="false" ht="15" hidden="false" customHeight="false" outlineLevel="0" collapsed="false">
      <c r="A18" s="0" t="s">
        <v>102</v>
      </c>
      <c r="C18" s="3" t="n">
        <v>4.2</v>
      </c>
      <c r="D18" s="3" t="n">
        <v>4</v>
      </c>
      <c r="E18" s="3" t="n">
        <v>3.8</v>
      </c>
      <c r="F18" s="3" t="n">
        <v>3.8</v>
      </c>
      <c r="G18" s="3" t="n">
        <v>3.8</v>
      </c>
      <c r="H18" s="3" t="n">
        <v>3.8</v>
      </c>
      <c r="I18" s="3" t="n">
        <v>3.8</v>
      </c>
      <c r="J18" s="3" t="n">
        <v>3.8</v>
      </c>
      <c r="K18" s="3" t="n">
        <v>3.8</v>
      </c>
      <c r="L18" s="3" t="n">
        <v>3.8</v>
      </c>
    </row>
    <row r="19" customFormat="false" ht="15" hidden="false" customHeight="false" outlineLevel="0" collapsed="false">
      <c r="A19" s="0" t="s">
        <v>103</v>
      </c>
      <c r="C19" s="3" t="n">
        <v>20</v>
      </c>
      <c r="D19" s="3" t="n">
        <v>21</v>
      </c>
      <c r="E19" s="3" t="n">
        <v>22</v>
      </c>
      <c r="F19" s="3" t="n">
        <v>23</v>
      </c>
      <c r="G19" s="3" t="n">
        <v>24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8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5.5</v>
      </c>
      <c r="D27" s="3" t="n">
        <v>4.5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17.7</v>
      </c>
      <c r="D28" s="3" t="n">
        <v>18.4</v>
      </c>
      <c r="E28" s="3" t="n">
        <v>19.4</v>
      </c>
      <c r="F28" s="3" t="n">
        <v>19.8</v>
      </c>
      <c r="G28" s="3" t="n">
        <v>20.1</v>
      </c>
      <c r="H28" s="3" t="n">
        <v>20.4</v>
      </c>
      <c r="I28" s="3" t="n">
        <v>20.5</v>
      </c>
      <c r="J28" s="3" t="n">
        <v>20.6</v>
      </c>
      <c r="K28" s="3" t="n">
        <v>20.7</v>
      </c>
      <c r="L28" s="3" t="n">
        <v>20.8</v>
      </c>
    </row>
    <row r="29" customFormat="false" ht="15" hidden="false" customHeight="false" outlineLevel="0" collapsed="false">
      <c r="A29" s="0" t="s">
        <v>99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100</v>
      </c>
      <c r="C30" s="3" t="n">
        <v>3.2</v>
      </c>
      <c r="D30" s="3" t="n">
        <v>3.2</v>
      </c>
      <c r="E30" s="3" t="n">
        <v>3.2</v>
      </c>
      <c r="F30" s="3" t="n">
        <v>3.2</v>
      </c>
      <c r="G30" s="3" t="n">
        <v>3.2</v>
      </c>
      <c r="H30" s="3" t="n">
        <v>3.2</v>
      </c>
      <c r="I30" s="3" t="n">
        <v>3.2</v>
      </c>
      <c r="J30" s="3" t="n">
        <v>3.2</v>
      </c>
      <c r="K30" s="3" t="n">
        <v>3.2</v>
      </c>
      <c r="L30" s="3" t="n">
        <v>3.2</v>
      </c>
    </row>
    <row r="31" customFormat="false" ht="15" hidden="false" customHeight="false" outlineLevel="0" collapsed="false">
      <c r="A31" s="0" t="s">
        <v>101</v>
      </c>
      <c r="C31" s="3" t="n">
        <v>2.9</v>
      </c>
      <c r="D31" s="3" t="n">
        <v>2.9</v>
      </c>
      <c r="E31" s="3" t="n">
        <v>2.9</v>
      </c>
      <c r="F31" s="3" t="n">
        <v>2.9</v>
      </c>
      <c r="G31" s="3" t="n">
        <v>2.9</v>
      </c>
      <c r="H31" s="3" t="n">
        <v>2.9</v>
      </c>
      <c r="I31" s="3" t="n">
        <v>2.9</v>
      </c>
      <c r="J31" s="3" t="n">
        <v>2.9</v>
      </c>
      <c r="K31" s="3" t="n">
        <v>2.9</v>
      </c>
      <c r="L31" s="3" t="n">
        <v>2.9</v>
      </c>
    </row>
    <row r="32" customFormat="false" ht="15" hidden="false" customHeight="false" outlineLevel="0" collapsed="false">
      <c r="A32" s="0" t="s">
        <v>102</v>
      </c>
      <c r="C32" s="3" t="n">
        <v>4.3</v>
      </c>
      <c r="D32" s="3" t="n">
        <v>4.3</v>
      </c>
      <c r="E32" s="3" t="n">
        <v>4.3</v>
      </c>
      <c r="F32" s="3" t="n">
        <v>4.3</v>
      </c>
      <c r="G32" s="3" t="n">
        <v>4.2</v>
      </c>
      <c r="H32" s="3" t="n">
        <v>4.2</v>
      </c>
      <c r="I32" s="3" t="n">
        <v>4.1</v>
      </c>
      <c r="J32" s="3" t="n">
        <v>4.1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103</v>
      </c>
      <c r="C33" s="3" t="n">
        <v>20</v>
      </c>
      <c r="D33" s="3" t="n">
        <v>21</v>
      </c>
      <c r="E33" s="3" t="n">
        <v>22</v>
      </c>
      <c r="F33" s="3" t="n">
        <v>23</v>
      </c>
      <c r="G33" s="3" t="n">
        <v>24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104</v>
      </c>
      <c r="B34" s="3" t="n">
        <v>8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20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6</v>
      </c>
      <c r="D41" s="3" t="n">
        <v>5.5</v>
      </c>
      <c r="E41" s="3" t="n">
        <v>5.5</v>
      </c>
      <c r="F41" s="3" t="n">
        <v>5.5</v>
      </c>
      <c r="G41" s="3" t="n">
        <v>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17.8</v>
      </c>
      <c r="D42" s="3" t="n">
        <v>19.2</v>
      </c>
      <c r="E42" s="3" t="n">
        <v>20.6</v>
      </c>
      <c r="F42" s="3" t="n">
        <v>21.4</v>
      </c>
      <c r="G42" s="3" t="n">
        <v>22</v>
      </c>
      <c r="H42" s="3" t="n">
        <v>22.5</v>
      </c>
      <c r="I42" s="3" t="n">
        <v>22.6</v>
      </c>
      <c r="J42" s="3" t="n">
        <v>22.7</v>
      </c>
      <c r="K42" s="3" t="n">
        <v>22.8</v>
      </c>
      <c r="L42" s="3" t="n">
        <v>22.8</v>
      </c>
    </row>
    <row r="43" customFormat="false" ht="15" hidden="false" customHeight="false" outlineLevel="0" collapsed="false">
      <c r="A43" s="0" t="s">
        <v>99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100</v>
      </c>
      <c r="C44" s="3" t="n">
        <v>3.2</v>
      </c>
      <c r="D44" s="3" t="n">
        <v>3.2</v>
      </c>
      <c r="E44" s="3" t="n">
        <v>3.2</v>
      </c>
      <c r="F44" s="3" t="n">
        <v>3.2</v>
      </c>
      <c r="G44" s="3" t="n">
        <v>3.2</v>
      </c>
      <c r="H44" s="3" t="n">
        <v>3.2</v>
      </c>
      <c r="I44" s="3" t="n">
        <v>3.2</v>
      </c>
      <c r="J44" s="3" t="n">
        <v>3.2</v>
      </c>
      <c r="K44" s="3" t="n">
        <v>3.2</v>
      </c>
      <c r="L44" s="3" t="n">
        <v>3.2</v>
      </c>
    </row>
    <row r="45" customFormat="false" ht="15" hidden="false" customHeight="false" outlineLevel="0" collapsed="false">
      <c r="A45" s="0" t="s">
        <v>101</v>
      </c>
      <c r="C45" s="3" t="n">
        <v>2.9</v>
      </c>
      <c r="D45" s="3" t="n">
        <v>2.9</v>
      </c>
      <c r="E45" s="3" t="n">
        <v>2.9</v>
      </c>
      <c r="F45" s="3" t="n">
        <v>2.9</v>
      </c>
      <c r="G45" s="3" t="n">
        <v>2.9</v>
      </c>
      <c r="H45" s="3" t="n">
        <v>2.9</v>
      </c>
      <c r="I45" s="3" t="n">
        <v>2.9</v>
      </c>
      <c r="J45" s="3" t="n">
        <v>2.9</v>
      </c>
      <c r="K45" s="3" t="n">
        <v>2.9</v>
      </c>
      <c r="L45" s="3" t="n">
        <v>2.9</v>
      </c>
    </row>
    <row r="46" customFormat="false" ht="15" hidden="false" customHeight="false" outlineLevel="0" collapsed="false">
      <c r="A46" s="0" t="s">
        <v>102</v>
      </c>
      <c r="C46" s="3" t="n">
        <v>4.3</v>
      </c>
      <c r="D46" s="3" t="n">
        <v>4.3</v>
      </c>
      <c r="E46" s="3" t="n">
        <v>4.3</v>
      </c>
      <c r="F46" s="3" t="n">
        <v>4.3</v>
      </c>
      <c r="G46" s="3" t="n">
        <v>4.2</v>
      </c>
      <c r="H46" s="3" t="n">
        <v>4.2</v>
      </c>
      <c r="I46" s="3" t="n">
        <v>4.1</v>
      </c>
      <c r="J46" s="3" t="n">
        <v>4.1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103</v>
      </c>
      <c r="C47" s="3" t="n">
        <v>20</v>
      </c>
      <c r="D47" s="3" t="n">
        <v>21</v>
      </c>
      <c r="E47" s="3" t="n">
        <v>22</v>
      </c>
      <c r="F47" s="3" t="n">
        <v>23</v>
      </c>
      <c r="G47" s="3" t="n">
        <v>24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8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4.5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6908</v>
      </c>
      <c r="C6" s="0" t="n">
        <f aca="false">B6*(1+C5/100)</f>
        <v>7218.86</v>
      </c>
      <c r="D6" s="0" t="n">
        <f aca="false">C6*(1+D5/100)</f>
        <v>7435.4258</v>
      </c>
      <c r="E6" s="0" t="n">
        <f aca="false">D6*(1+E5/100)</f>
        <v>7621.311445</v>
      </c>
      <c r="F6" s="0" t="n">
        <f aca="false">E6*(1+F5/100)</f>
        <v>7811.844231125</v>
      </c>
      <c r="G6" s="0" t="n">
        <f aca="false">F6*(1+G5/100)</f>
        <v>8007.14033690312</v>
      </c>
      <c r="H6" s="0" t="n">
        <f aca="false">G6*(1+H5/100)</f>
        <v>8207.3188453257</v>
      </c>
      <c r="I6" s="0" t="n">
        <f aca="false">H6*(1+I5/100)</f>
        <v>8412.50181645884</v>
      </c>
      <c r="J6" s="0" t="n">
        <f aca="false">I6*(1+J5/100)</f>
        <v>8622.81436187031</v>
      </c>
      <c r="K6" s="0" t="n">
        <f aca="false">J6*(1+K5/100)</f>
        <v>8795.27064910772</v>
      </c>
      <c r="L6" s="0" t="n">
        <f aca="false">K6*(1+L5/100)</f>
        <v>8971.17606208987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17.4</v>
      </c>
      <c r="D7" s="4" t="n">
        <f aca="false">Assumptions!D14</f>
        <v>17.2</v>
      </c>
      <c r="E7" s="4" t="n">
        <f aca="false">Assumptions!E14</f>
        <v>17.4</v>
      </c>
      <c r="F7" s="4" t="n">
        <f aca="false">Assumptions!F14</f>
        <v>17.2</v>
      </c>
      <c r="G7" s="4" t="n">
        <f aca="false">Assumptions!G14</f>
        <v>17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1256.08164</v>
      </c>
      <c r="D8" s="0" t="n">
        <f aca="false">D6*D7/100</f>
        <v>1278.8932376</v>
      </c>
      <c r="E8" s="0" t="n">
        <f aca="false">E6*E7/100</f>
        <v>1326.10819143</v>
      </c>
      <c r="F8" s="0" t="n">
        <f aca="false">F6*F7/100</f>
        <v>1343.6372077535</v>
      </c>
      <c r="G8" s="0" t="n">
        <f aca="false">G6*G7/100</f>
        <v>1361.21385727353</v>
      </c>
      <c r="H8" s="0" t="n">
        <f aca="false">H6*H7/100</f>
        <v>1395.24420370537</v>
      </c>
      <c r="I8" s="0" t="n">
        <f aca="false">I6*I7/100</f>
        <v>1430.125308798</v>
      </c>
      <c r="J8" s="0" t="n">
        <f aca="false">J6*J7/100</f>
        <v>1465.87844151795</v>
      </c>
      <c r="K8" s="0" t="n">
        <f aca="false">K6*K7/100</f>
        <v>1495.19601034831</v>
      </c>
      <c r="L8" s="0" t="n">
        <f aca="false">L6*L7/100</f>
        <v>1525.09993055528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-28.87544</v>
      </c>
      <c r="D10" s="0" t="n">
        <f aca="false">-D6*D9/100</f>
        <v>-29.7417032</v>
      </c>
      <c r="E10" s="0" t="n">
        <f aca="false">-E6*E9/100</f>
        <v>-30.48524578</v>
      </c>
      <c r="F10" s="0" t="n">
        <f aca="false">-F6*F9/100</f>
        <v>-31.2473769245</v>
      </c>
      <c r="G10" s="0" t="n">
        <f aca="false">-G6*G9/100</f>
        <v>-32.0285613476125</v>
      </c>
      <c r="H10" s="0" t="n">
        <f aca="false">-H6*H9/100</f>
        <v>-32.8292753813028</v>
      </c>
      <c r="I10" s="0" t="n">
        <f aca="false">-I6*I9/100</f>
        <v>-33.6500072658354</v>
      </c>
      <c r="J10" s="0" t="n">
        <f aca="false">-J6*J9/100</f>
        <v>-34.4912574474812</v>
      </c>
      <c r="K10" s="0" t="n">
        <f aca="false">-K6*K9/100</f>
        <v>-35.1810825964309</v>
      </c>
      <c r="L10" s="0" t="n">
        <f aca="false">-L6*L9/100</f>
        <v>-35.8847042483595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996.20268</v>
      </c>
      <c r="D11" s="0" t="n">
        <f aca="false">D8+D10+D24</f>
        <v>1011.2179088</v>
      </c>
      <c r="E11" s="0" t="n">
        <f aca="false">E8+E10+E24</f>
        <v>1051.74097941</v>
      </c>
      <c r="F11" s="0" t="n">
        <f aca="false">F8+F10+F24</f>
        <v>1062.410815433</v>
      </c>
      <c r="G11" s="0" t="n">
        <f aca="false">G8+G10+G24</f>
        <v>1072.95680514502</v>
      </c>
      <c r="H11" s="0" t="n">
        <f aca="false">H8+H10+H24</f>
        <v>1099.78072527364</v>
      </c>
      <c r="I11" s="0" t="n">
        <f aca="false">I8+I10+I24</f>
        <v>1127.27524340548</v>
      </c>
      <c r="J11" s="0" t="n">
        <f aca="false">J8+J10+J24</f>
        <v>1155.45712449062</v>
      </c>
      <c r="K11" s="0" t="n">
        <f aca="false">K8+K10+K24</f>
        <v>1178.56626698043</v>
      </c>
      <c r="L11" s="0" t="n">
        <f aca="false">L8+L10+L24</f>
        <v>1202.13759232004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-209.34694</v>
      </c>
      <c r="D12" s="4" t="n">
        <f aca="false">-D6*Assumptions!D17/100</f>
        <v>-215.6273482</v>
      </c>
      <c r="E12" s="4" t="n">
        <f aca="false">-E6*Assumptions!E17/100</f>
        <v>-221.018031905</v>
      </c>
      <c r="F12" s="4" t="n">
        <f aca="false">-F6*Assumptions!F17/100</f>
        <v>-226.543482702625</v>
      </c>
      <c r="G12" s="4" t="n">
        <f aca="false">-G6*Assumptions!G17/100</f>
        <v>-232.207069770191</v>
      </c>
      <c r="H12" s="4" t="n">
        <f aca="false">-H6*Assumptions!H17/100</f>
        <v>-238.012246514445</v>
      </c>
      <c r="I12" s="4" t="n">
        <f aca="false">-I6*Assumptions!I17/100</f>
        <v>-243.962552677306</v>
      </c>
      <c r="J12" s="4" t="n">
        <f aca="false">-J6*Assumptions!J17/100</f>
        <v>-250.061616494239</v>
      </c>
      <c r="K12" s="4" t="n">
        <f aca="false">-K6*Assumptions!K17/100</f>
        <v>-255.062848824124</v>
      </c>
      <c r="L12" s="4" t="n">
        <f aca="false">-L6*Assumptions!L17/100</f>
        <v>-260.164105800606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786.85574</v>
      </c>
      <c r="D13" s="0" t="n">
        <f aca="false">D11+D12</f>
        <v>795.5905606</v>
      </c>
      <c r="E13" s="0" t="n">
        <f aca="false">E11+E12</f>
        <v>830.722947505</v>
      </c>
      <c r="F13" s="0" t="n">
        <f aca="false">F11+F12</f>
        <v>835.867332730375</v>
      </c>
      <c r="G13" s="0" t="n">
        <f aca="false">G11+G12</f>
        <v>840.749735374828</v>
      </c>
      <c r="H13" s="0" t="n">
        <f aca="false">H11+H12</f>
        <v>861.768478759199</v>
      </c>
      <c r="I13" s="0" t="n">
        <f aca="false">I11+I12</f>
        <v>883.312690728178</v>
      </c>
      <c r="J13" s="0" t="n">
        <f aca="false">J11+J12</f>
        <v>905.395507996383</v>
      </c>
      <c r="K13" s="0" t="n">
        <f aca="false">K11+K12</f>
        <v>923.50341815631</v>
      </c>
      <c r="L13" s="0" t="n">
        <f aca="false">L11+L12</f>
        <v>941.973486519436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20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629.484592</v>
      </c>
      <c r="D15" s="0" t="n">
        <f aca="false">D13-MAX(0,D13)*D14/100</f>
        <v>628.516542874</v>
      </c>
      <c r="E15" s="0" t="n">
        <f aca="false">E13-MAX(0,E13)*E14/100</f>
        <v>647.9638990539</v>
      </c>
      <c r="F15" s="0" t="n">
        <f aca="false">F13-MAX(0,F13)*F14/100</f>
        <v>643.617846202389</v>
      </c>
      <c r="G15" s="0" t="n">
        <f aca="false">G13-MAX(0,G13)*G14/100</f>
        <v>638.969798884869</v>
      </c>
      <c r="H15" s="0" t="n">
        <f aca="false">H13-MAX(0,H13)*H14/100</f>
        <v>646.326359069399</v>
      </c>
      <c r="I15" s="0" t="n">
        <f aca="false">I13-MAX(0,I13)*I14/100</f>
        <v>662.484518046134</v>
      </c>
      <c r="J15" s="0" t="n">
        <f aca="false">J13-MAX(0,J13)*J14/100</f>
        <v>679.046630997287</v>
      </c>
      <c r="K15" s="0" t="n">
        <f aca="false">K13-MAX(0,K13)*K14/100</f>
        <v>692.627563617233</v>
      </c>
      <c r="L15" s="0" t="n">
        <f aca="false">L13-MAX(0,L13)*L14/100</f>
        <v>706.480114889577</v>
      </c>
    </row>
    <row r="16" customFormat="false" ht="15" hidden="false" customHeight="false" outlineLevel="0" collapsed="false">
      <c r="A16" s="0" t="s">
        <v>119</v>
      </c>
      <c r="C16" s="0" t="n">
        <f aca="false">-C12</f>
        <v>209.34694</v>
      </c>
      <c r="D16" s="0" t="n">
        <f aca="false">-D12</f>
        <v>215.6273482</v>
      </c>
      <c r="E16" s="0" t="n">
        <f aca="false">-E12</f>
        <v>221.018031905</v>
      </c>
      <c r="F16" s="0" t="n">
        <f aca="false">-F12</f>
        <v>226.543482702625</v>
      </c>
      <c r="G16" s="0" t="n">
        <f aca="false">-G12</f>
        <v>232.207069770191</v>
      </c>
      <c r="H16" s="0" t="n">
        <f aca="false">-H12</f>
        <v>238.012246514445</v>
      </c>
      <c r="I16" s="0" t="n">
        <f aca="false">-I12</f>
        <v>243.962552677306</v>
      </c>
      <c r="J16" s="0" t="n">
        <f aca="false">-J12</f>
        <v>250.061616494239</v>
      </c>
      <c r="K16" s="0" t="n">
        <f aca="false">-K12</f>
        <v>255.062848824124</v>
      </c>
      <c r="L16" s="0" t="n">
        <f aca="false">-L12</f>
        <v>260.164105800606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-303.19212</v>
      </c>
      <c r="D17" s="4" t="n">
        <f aca="false">-D6*Assumptions!D18/100</f>
        <v>-297.417032</v>
      </c>
      <c r="E17" s="4" t="n">
        <f aca="false">-E6*Assumptions!E18/100</f>
        <v>-289.60983491</v>
      </c>
      <c r="F17" s="4" t="n">
        <f aca="false">-F6*Assumptions!F18/100</f>
        <v>-296.85008078275</v>
      </c>
      <c r="G17" s="4" t="n">
        <f aca="false">-G6*Assumptions!G18/100</f>
        <v>-304.271332802319</v>
      </c>
      <c r="H17" s="4" t="n">
        <f aca="false">-H6*Assumptions!H18/100</f>
        <v>-311.878116122377</v>
      </c>
      <c r="I17" s="4" t="n">
        <f aca="false">-I6*Assumptions!I18/100</f>
        <v>-319.675069025436</v>
      </c>
      <c r="J17" s="4" t="n">
        <f aca="false">-J6*Assumptions!J18/100</f>
        <v>-327.666945751072</v>
      </c>
      <c r="K17" s="4" t="n">
        <f aca="false">-K6*Assumptions!K18/100</f>
        <v>-334.220284666093</v>
      </c>
      <c r="L17" s="4" t="n">
        <f aca="false">-L6*Assumptions!L18/100</f>
        <v>-340.904690359415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535.639412</v>
      </c>
      <c r="D19" s="0" t="n">
        <f aca="false">D15+D16+D17+D18</f>
        <v>546.726859074</v>
      </c>
      <c r="E19" s="0" t="n">
        <f aca="false">E15+E16+E17+E18</f>
        <v>579.3720960489</v>
      </c>
      <c r="F19" s="0" t="n">
        <f aca="false">F15+F16+F17+F18</f>
        <v>573.311248122264</v>
      </c>
      <c r="G19" s="0" t="n">
        <f aca="false">G15+G16+G17+G18</f>
        <v>566.905535852741</v>
      </c>
      <c r="H19" s="0" t="n">
        <f aca="false">H15+H16+H17+H18</f>
        <v>572.460489461468</v>
      </c>
      <c r="I19" s="0" t="n">
        <f aca="false">I15+I16+I17+I18</f>
        <v>586.772001698004</v>
      </c>
      <c r="J19" s="0" t="n">
        <f aca="false">J15+J16+J17+J18</f>
        <v>601.441301740454</v>
      </c>
      <c r="K19" s="0" t="n">
        <f aca="false">K15+K16+K17+K18</f>
        <v>613.470127775263</v>
      </c>
      <c r="L19" s="0" t="n">
        <f aca="false">L15+L16+L17+L18</f>
        <v>625.739530330769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495.962418518518</v>
      </c>
      <c r="D21" s="0" t="n">
        <f aca="false">D19*D20</f>
        <v>468.730160385802</v>
      </c>
      <c r="E21" s="0" t="n">
        <f aca="false">E19*E20</f>
        <v>459.924249391051</v>
      </c>
      <c r="F21" s="0" t="n">
        <f aca="false">F19*F20</f>
        <v>421.400882313858</v>
      </c>
      <c r="G21" s="0" t="n">
        <f aca="false">G19*G20</f>
        <v>385.826382006791</v>
      </c>
      <c r="H21" s="0" t="n">
        <f aca="false">H19*H20</f>
        <v>360.747213049252</v>
      </c>
      <c r="I21" s="0" t="n">
        <f aca="false">I19*I20</f>
        <v>342.375827199522</v>
      </c>
      <c r="J21" s="0" t="n">
        <f aca="false">J19*J20</f>
        <v>324.940021184731</v>
      </c>
      <c r="K21" s="0" t="n">
        <f aca="false">K19*K20</f>
        <v>306.88779778558</v>
      </c>
      <c r="L21" s="0" t="n">
        <f aca="false">L19*L20</f>
        <v>289.838475686381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3.2</v>
      </c>
      <c r="D23" s="4" t="n">
        <f aca="false">Assumptions!D16</f>
        <v>3.2</v>
      </c>
      <c r="E23" s="4" t="n">
        <f aca="false">Assumptions!E16</f>
        <v>3.2</v>
      </c>
      <c r="F23" s="4" t="n">
        <f aca="false">Assumptions!F16</f>
        <v>3.2</v>
      </c>
      <c r="G23" s="4" t="n">
        <f aca="false">Assumptions!G16</f>
        <v>3.2</v>
      </c>
      <c r="H23" s="4" t="n">
        <f aca="false">Assumptions!H16</f>
        <v>3.2</v>
      </c>
      <c r="I23" s="4" t="n">
        <f aca="false">Assumptions!I16</f>
        <v>3.2</v>
      </c>
      <c r="J23" s="4" t="n">
        <f aca="false">Assumptions!J16</f>
        <v>3.2</v>
      </c>
      <c r="K23" s="4" t="n">
        <f aca="false">Assumptions!K16</f>
        <v>3.2</v>
      </c>
      <c r="L23" s="4" t="n">
        <f aca="false">Assumptions!L16</f>
        <v>3.2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-231.00352</v>
      </c>
      <c r="D24" s="0" t="n">
        <f aca="false">-D6*D23/100</f>
        <v>-237.9336256</v>
      </c>
      <c r="E24" s="0" t="n">
        <f aca="false">-E6*E23/100</f>
        <v>-243.88196624</v>
      </c>
      <c r="F24" s="0" t="n">
        <f aca="false">-F6*F23/100</f>
        <v>-249.979015396</v>
      </c>
      <c r="G24" s="0" t="n">
        <f aca="false">-G6*G23/100</f>
        <v>-256.2284907809</v>
      </c>
      <c r="H24" s="0" t="n">
        <f aca="false">-H6*H23/100</f>
        <v>-262.634203050422</v>
      </c>
      <c r="I24" s="0" t="n">
        <f aca="false">-I6*I23/100</f>
        <v>-269.200058126683</v>
      </c>
      <c r="J24" s="0" t="n">
        <f aca="false">-J6*J23/100</f>
        <v>-275.93005957985</v>
      </c>
      <c r="K24" s="0" t="n">
        <f aca="false">-K6*K23/100</f>
        <v>-281.448660771447</v>
      </c>
      <c r="L24" s="0" t="n">
        <f aca="false">-L6*L23/100</f>
        <v>-287.077633986876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3856.63342752149</v>
      </c>
    </row>
    <row r="31" customFormat="false" ht="15" hidden="false" customHeight="false" outlineLevel="0" collapsed="false">
      <c r="A31" s="0" t="s">
        <v>128</v>
      </c>
      <c r="B31" s="0" t="n">
        <f aca="false">L19</f>
        <v>625.739530330769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10637.5720156231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9386.09295496153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9386.09295496153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4347.57713529571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8204.2105628172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5172.2105628172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154.184923085417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-0.491138867704893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214.379144774132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282.566542604644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168.99900144815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4909.64862259526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31.1550161318793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5.5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6908</v>
      </c>
      <c r="C6" s="0" t="n">
        <f aca="false">B6*(1+C5/100)</f>
        <v>7287.94</v>
      </c>
      <c r="D6" s="0" t="n">
        <f aca="false">C6*(1+D5/100)</f>
        <v>7615.8973</v>
      </c>
      <c r="E6" s="0" t="n">
        <f aca="false">D6*(1+E5/100)</f>
        <v>7958.6126785</v>
      </c>
      <c r="F6" s="0" t="n">
        <f aca="false">E6*(1+F5/100)</f>
        <v>8316.7502490325</v>
      </c>
      <c r="G6" s="0" t="n">
        <f aca="false">F6*(1+G5/100)</f>
        <v>8649.4202589938</v>
      </c>
      <c r="H6" s="0" t="n">
        <f aca="false">G6*(1+H5/100)</f>
        <v>8995.39706935355</v>
      </c>
      <c r="I6" s="0" t="n">
        <f aca="false">H6*(1+I5/100)</f>
        <v>9310.23596678092</v>
      </c>
      <c r="J6" s="0" t="n">
        <f aca="false">I6*(1+J5/100)</f>
        <v>9636.09422561826</v>
      </c>
      <c r="K6" s="0" t="n">
        <f aca="false">J6*(1+K5/100)</f>
        <v>9925.1770523868</v>
      </c>
      <c r="L6" s="0" t="n">
        <f aca="false">K6*(1+L5/100)</f>
        <v>10222.9323639584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17.7</v>
      </c>
      <c r="D7" s="4" t="n">
        <f aca="false">Assumptions!D28</f>
        <v>18.4</v>
      </c>
      <c r="E7" s="4" t="n">
        <f aca="false">Assumptions!E28</f>
        <v>19.4</v>
      </c>
      <c r="F7" s="4" t="n">
        <f aca="false">Assumptions!F28</f>
        <v>19.8</v>
      </c>
      <c r="G7" s="4" t="n">
        <f aca="false">Assumptions!G28</f>
        <v>20.1</v>
      </c>
      <c r="H7" s="4" t="n">
        <f aca="false">Assumptions!H28</f>
        <v>20.4</v>
      </c>
      <c r="I7" s="4" t="n">
        <f aca="false">Assumptions!I28</f>
        <v>20.5</v>
      </c>
      <c r="J7" s="4" t="n">
        <f aca="false">Assumptions!J28</f>
        <v>20.6</v>
      </c>
      <c r="K7" s="4" t="n">
        <f aca="false">Assumptions!K28</f>
        <v>20.7</v>
      </c>
      <c r="L7" s="4" t="n">
        <f aca="false">Assumptions!L28</f>
        <v>20.8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1289.96538</v>
      </c>
      <c r="D8" s="0" t="n">
        <f aca="false">D6*D7/100</f>
        <v>1401.3251032</v>
      </c>
      <c r="E8" s="0" t="n">
        <f aca="false">E6*E7/100</f>
        <v>1543.970859629</v>
      </c>
      <c r="F8" s="0" t="n">
        <f aca="false">F6*F7/100</f>
        <v>1646.71654930843</v>
      </c>
      <c r="G8" s="0" t="n">
        <f aca="false">G6*G7/100</f>
        <v>1738.53347205775</v>
      </c>
      <c r="H8" s="0" t="n">
        <f aca="false">H6*H7/100</f>
        <v>1835.06100214812</v>
      </c>
      <c r="I8" s="0" t="n">
        <f aca="false">I6*I7/100</f>
        <v>1908.59837319009</v>
      </c>
      <c r="J8" s="0" t="n">
        <f aca="false">J6*J7/100</f>
        <v>1985.03541047736</v>
      </c>
      <c r="K8" s="0" t="n">
        <f aca="false">K6*K7/100</f>
        <v>2054.51164984407</v>
      </c>
      <c r="L8" s="0" t="n">
        <f aca="false">L6*L7/100</f>
        <v>2126.36993170335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-29.15176</v>
      </c>
      <c r="D10" s="0" t="n">
        <f aca="false">-D6*D9/100</f>
        <v>-30.4635892</v>
      </c>
      <c r="E10" s="0" t="n">
        <f aca="false">-E6*E9/100</f>
        <v>-31.834450714</v>
      </c>
      <c r="F10" s="0" t="n">
        <f aca="false">-F6*F9/100</f>
        <v>-33.26700099613</v>
      </c>
      <c r="G10" s="0" t="n">
        <f aca="false">-G6*G9/100</f>
        <v>-34.5976810359752</v>
      </c>
      <c r="H10" s="0" t="n">
        <f aca="false">-H6*H9/100</f>
        <v>-35.9815882774142</v>
      </c>
      <c r="I10" s="0" t="n">
        <f aca="false">-I6*I9/100</f>
        <v>-37.2409438671237</v>
      </c>
      <c r="J10" s="0" t="n">
        <f aca="false">-J6*J9/100</f>
        <v>-38.544376902473</v>
      </c>
      <c r="K10" s="0" t="n">
        <f aca="false">-K6*K9/100</f>
        <v>-39.7007082095472</v>
      </c>
      <c r="L10" s="0" t="n">
        <f aca="false">-L6*L9/100</f>
        <v>-40.8917294558336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1027.59954</v>
      </c>
      <c r="D11" s="0" t="n">
        <f aca="false">D8+D10+D24</f>
        <v>1127.1528004</v>
      </c>
      <c r="E11" s="0" t="n">
        <f aca="false">E8+E10+E24</f>
        <v>1257.460803203</v>
      </c>
      <c r="F11" s="0" t="n">
        <f aca="false">F8+F10+F24</f>
        <v>1347.31354034326</v>
      </c>
      <c r="G11" s="0" t="n">
        <f aca="false">G8+G10+G24</f>
        <v>1427.15434273398</v>
      </c>
      <c r="H11" s="0" t="n">
        <f aca="false">H8+H10+H24</f>
        <v>1511.2267076514</v>
      </c>
      <c r="I11" s="0" t="n">
        <f aca="false">I8+I10+I24</f>
        <v>1573.42987838598</v>
      </c>
      <c r="J11" s="0" t="n">
        <f aca="false">J8+J10+J24</f>
        <v>1638.1360183551</v>
      </c>
      <c r="K11" s="0" t="n">
        <f aca="false">K8+K10+K24</f>
        <v>1697.20527595814</v>
      </c>
      <c r="L11" s="0" t="n">
        <f aca="false">L8+L10+L24</f>
        <v>1758.34436660085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-211.35026</v>
      </c>
      <c r="D12" s="4" t="n">
        <f aca="false">-D6*Assumptions!D31/100</f>
        <v>-220.8610217</v>
      </c>
      <c r="E12" s="4" t="n">
        <f aca="false">-E6*Assumptions!E31/100</f>
        <v>-230.7997676765</v>
      </c>
      <c r="F12" s="4" t="n">
        <f aca="false">-F6*Assumptions!F31/100</f>
        <v>-241.185757221942</v>
      </c>
      <c r="G12" s="4" t="n">
        <f aca="false">-G6*Assumptions!G31/100</f>
        <v>-250.83318751082</v>
      </c>
      <c r="H12" s="4" t="n">
        <f aca="false">-H6*Assumptions!H31/100</f>
        <v>-260.866515011253</v>
      </c>
      <c r="I12" s="4" t="n">
        <f aca="false">-I6*Assumptions!I31/100</f>
        <v>-269.996843036647</v>
      </c>
      <c r="J12" s="4" t="n">
        <f aca="false">-J6*Assumptions!J31/100</f>
        <v>-279.446732542929</v>
      </c>
      <c r="K12" s="4" t="n">
        <f aca="false">-K6*Assumptions!K31/100</f>
        <v>-287.830134519217</v>
      </c>
      <c r="L12" s="4" t="n">
        <f aca="false">-L6*Assumptions!L31/100</f>
        <v>-296.465038554794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816.24928</v>
      </c>
      <c r="D13" s="0" t="n">
        <f aca="false">D11+D12</f>
        <v>906.2917787</v>
      </c>
      <c r="E13" s="0" t="n">
        <f aca="false">E11+E12</f>
        <v>1026.6610355265</v>
      </c>
      <c r="F13" s="0" t="n">
        <f aca="false">F11+F12</f>
        <v>1106.12778312132</v>
      </c>
      <c r="G13" s="0" t="n">
        <f aca="false">G11+G12</f>
        <v>1176.32115522316</v>
      </c>
      <c r="H13" s="0" t="n">
        <f aca="false">H11+H12</f>
        <v>1250.36019264014</v>
      </c>
      <c r="I13" s="0" t="n">
        <f aca="false">I11+I12</f>
        <v>1303.43303534933</v>
      </c>
      <c r="J13" s="0" t="n">
        <f aca="false">J11+J12</f>
        <v>1358.68928581217</v>
      </c>
      <c r="K13" s="0" t="n">
        <f aca="false">K11+K12</f>
        <v>1409.37514143893</v>
      </c>
      <c r="L13" s="0" t="n">
        <f aca="false">L11+L12</f>
        <v>1461.87932804605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20</v>
      </c>
      <c r="D14" s="4" t="n">
        <f aca="false">Assumptions!D33</f>
        <v>21</v>
      </c>
      <c r="E14" s="4" t="n">
        <f aca="false">Assumptions!E33</f>
        <v>22</v>
      </c>
      <c r="F14" s="4" t="n">
        <f aca="false">Assumptions!F33</f>
        <v>23</v>
      </c>
      <c r="G14" s="4" t="n">
        <f aca="false">Assumptions!G33</f>
        <v>24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652.999424</v>
      </c>
      <c r="D15" s="0" t="n">
        <f aca="false">D13-MAX(0,D13)*D14/100</f>
        <v>715.970505173</v>
      </c>
      <c r="E15" s="0" t="n">
        <f aca="false">E13-MAX(0,E13)*E14/100</f>
        <v>800.79560771067</v>
      </c>
      <c r="F15" s="0" t="n">
        <f aca="false">F13-MAX(0,F13)*F14/100</f>
        <v>851.718393003418</v>
      </c>
      <c r="G15" s="0" t="n">
        <f aca="false">G13-MAX(0,G13)*G14/100</f>
        <v>894.004077969599</v>
      </c>
      <c r="H15" s="0" t="n">
        <f aca="false">H13-MAX(0,H13)*H14/100</f>
        <v>937.770144480108</v>
      </c>
      <c r="I15" s="0" t="n">
        <f aca="false">I13-MAX(0,I13)*I14/100</f>
        <v>977.574776511997</v>
      </c>
      <c r="J15" s="0" t="n">
        <f aca="false">J13-MAX(0,J13)*J14/100</f>
        <v>1019.01696435913</v>
      </c>
      <c r="K15" s="0" t="n">
        <f aca="false">K13-MAX(0,K13)*K14/100</f>
        <v>1057.03135607919</v>
      </c>
      <c r="L15" s="0" t="n">
        <f aca="false">L13-MAX(0,L13)*L14/100</f>
        <v>1096.40949603454</v>
      </c>
    </row>
    <row r="16" customFormat="false" ht="15" hidden="false" customHeight="false" outlineLevel="0" collapsed="false">
      <c r="A16" s="0" t="s">
        <v>119</v>
      </c>
      <c r="C16" s="0" t="n">
        <f aca="false">-C12</f>
        <v>211.35026</v>
      </c>
      <c r="D16" s="0" t="n">
        <f aca="false">-D12</f>
        <v>220.8610217</v>
      </c>
      <c r="E16" s="0" t="n">
        <f aca="false">-E12</f>
        <v>230.7997676765</v>
      </c>
      <c r="F16" s="0" t="n">
        <f aca="false">-F12</f>
        <v>241.185757221942</v>
      </c>
      <c r="G16" s="0" t="n">
        <f aca="false">-G12</f>
        <v>250.83318751082</v>
      </c>
      <c r="H16" s="0" t="n">
        <f aca="false">-H12</f>
        <v>260.866515011253</v>
      </c>
      <c r="I16" s="0" t="n">
        <f aca="false">-I12</f>
        <v>269.996843036647</v>
      </c>
      <c r="J16" s="0" t="n">
        <f aca="false">-J12</f>
        <v>279.446732542929</v>
      </c>
      <c r="K16" s="0" t="n">
        <f aca="false">-K12</f>
        <v>287.830134519217</v>
      </c>
      <c r="L16" s="0" t="n">
        <f aca="false">-L12</f>
        <v>296.465038554794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-313.38142</v>
      </c>
      <c r="D17" s="4" t="n">
        <f aca="false">-D6*Assumptions!D32/100</f>
        <v>-327.4835839</v>
      </c>
      <c r="E17" s="4" t="n">
        <f aca="false">-E6*Assumptions!E32/100</f>
        <v>-342.2203451755</v>
      </c>
      <c r="F17" s="4" t="n">
        <f aca="false">-F6*Assumptions!F32/100</f>
        <v>-357.620260708397</v>
      </c>
      <c r="G17" s="4" t="n">
        <f aca="false">-G6*Assumptions!G32/100</f>
        <v>-363.27565087774</v>
      </c>
      <c r="H17" s="4" t="n">
        <f aca="false">-H6*Assumptions!H32/100</f>
        <v>-377.806676912849</v>
      </c>
      <c r="I17" s="4" t="n">
        <f aca="false">-I6*Assumptions!I32/100</f>
        <v>-381.719674638018</v>
      </c>
      <c r="J17" s="4" t="n">
        <f aca="false">-J6*Assumptions!J32/100</f>
        <v>-395.079863250348</v>
      </c>
      <c r="K17" s="4" t="n">
        <f aca="false">-K6*Assumptions!K32/100</f>
        <v>-397.007082095472</v>
      </c>
      <c r="L17" s="4" t="n">
        <f aca="false">-L6*Assumptions!L32/100</f>
        <v>-408.917294558336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550.968264</v>
      </c>
      <c r="D19" s="0" t="n">
        <f aca="false">D15+D16+D17+D18</f>
        <v>609.347942973</v>
      </c>
      <c r="E19" s="0" t="n">
        <f aca="false">E15+E16+E17+E18</f>
        <v>689.37503021167</v>
      </c>
      <c r="F19" s="0" t="n">
        <f aca="false">F15+F16+F17+F18</f>
        <v>735.283889516963</v>
      </c>
      <c r="G19" s="0" t="n">
        <f aca="false">G15+G16+G17+G18</f>
        <v>781.56161460268</v>
      </c>
      <c r="H19" s="0" t="n">
        <f aca="false">H15+H16+H17+H18</f>
        <v>820.829982578511</v>
      </c>
      <c r="I19" s="0" t="n">
        <f aca="false">I15+I16+I17+I18</f>
        <v>865.851944910626</v>
      </c>
      <c r="J19" s="0" t="n">
        <f aca="false">J15+J16+J17+J18</f>
        <v>903.383833651712</v>
      </c>
      <c r="K19" s="0" t="n">
        <f aca="false">K15+K16+K17+K18</f>
        <v>947.85440850294</v>
      </c>
      <c r="L19" s="0" t="n">
        <f aca="false">L15+L16+L17+L18</f>
        <v>983.957240030997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510.1558</v>
      </c>
      <c r="D21" s="0" t="n">
        <f aca="false">D19*D20</f>
        <v>522.41764658179</v>
      </c>
      <c r="E21" s="0" t="n">
        <f aca="false">E19*E20</f>
        <v>547.248125136277</v>
      </c>
      <c r="F21" s="0" t="n">
        <f aca="false">F19*F20</f>
        <v>540.455609075257</v>
      </c>
      <c r="G21" s="0" t="n">
        <f aca="false">G19*G20</f>
        <v>531.917702345154</v>
      </c>
      <c r="H21" s="0" t="n">
        <f aca="false">H19*H20</f>
        <v>517.262123855966</v>
      </c>
      <c r="I21" s="0" t="n">
        <f aca="false">I19*I20</f>
        <v>505.216293574388</v>
      </c>
      <c r="J21" s="0" t="n">
        <f aca="false">J19*J20</f>
        <v>488.070176084129</v>
      </c>
      <c r="K21" s="0" t="n">
        <f aca="false">K19*K20</f>
        <v>474.163188844596</v>
      </c>
      <c r="L21" s="0" t="n">
        <f aca="false">L19*L20</f>
        <v>455.762586136136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3.2</v>
      </c>
      <c r="D23" s="4" t="n">
        <f aca="false">Assumptions!D30</f>
        <v>3.2</v>
      </c>
      <c r="E23" s="4" t="n">
        <f aca="false">Assumptions!E30</f>
        <v>3.2</v>
      </c>
      <c r="F23" s="4" t="n">
        <f aca="false">Assumptions!F30</f>
        <v>3.2</v>
      </c>
      <c r="G23" s="4" t="n">
        <f aca="false">Assumptions!G30</f>
        <v>3.2</v>
      </c>
      <c r="H23" s="4" t="n">
        <f aca="false">Assumptions!H30</f>
        <v>3.2</v>
      </c>
      <c r="I23" s="4" t="n">
        <f aca="false">Assumptions!I30</f>
        <v>3.2</v>
      </c>
      <c r="J23" s="4" t="n">
        <f aca="false">Assumptions!J30</f>
        <v>3.2</v>
      </c>
      <c r="K23" s="4" t="n">
        <f aca="false">Assumptions!K30</f>
        <v>3.2</v>
      </c>
      <c r="L23" s="4" t="n">
        <f aca="false">Assumptions!L30</f>
        <v>3.2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-233.21408</v>
      </c>
      <c r="D24" s="0" t="n">
        <f aca="false">-D6*D23/100</f>
        <v>-243.7087136</v>
      </c>
      <c r="E24" s="0" t="n">
        <f aca="false">-E6*E23/100</f>
        <v>-254.675605712</v>
      </c>
      <c r="F24" s="0" t="n">
        <f aca="false">-F6*F23/100</f>
        <v>-266.13600796904</v>
      </c>
      <c r="G24" s="0" t="n">
        <f aca="false">-G6*G23/100</f>
        <v>-276.781448287802</v>
      </c>
      <c r="H24" s="0" t="n">
        <f aca="false">-H6*H23/100</f>
        <v>-287.852706219314</v>
      </c>
      <c r="I24" s="0" t="n">
        <f aca="false">-I6*I23/100</f>
        <v>-297.92755093699</v>
      </c>
      <c r="J24" s="0" t="n">
        <f aca="false">-J6*J23/100</f>
        <v>-308.355015219784</v>
      </c>
      <c r="K24" s="0" t="n">
        <f aca="false">-K6*K23/100</f>
        <v>-317.605665676378</v>
      </c>
      <c r="L24" s="0" t="n">
        <f aca="false">-L6*L23/100</f>
        <v>-327.133835646669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5092.66925163369</v>
      </c>
    </row>
    <row r="31" customFormat="false" ht="15" hidden="false" customHeight="false" outlineLevel="0" collapsed="false">
      <c r="A31" s="0" t="s">
        <v>128</v>
      </c>
      <c r="B31" s="0" t="n">
        <f aca="false">L19</f>
        <v>983.957240030997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18337.3849278504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19679.1448006199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18337.3849278504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8493.75728708254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13586.4265387162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10554.4265387162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314.630161382346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0.0383833708988313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230.409626269782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352.987315826807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332.021373815205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8068.44936825417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79.0822817129429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6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6908</v>
      </c>
      <c r="C6" s="0" t="n">
        <f aca="false">B6*(1+C5/100)</f>
        <v>7322.48</v>
      </c>
      <c r="D6" s="0" t="n">
        <f aca="false">C6*(1+D5/100)</f>
        <v>7725.2164</v>
      </c>
      <c r="E6" s="0" t="n">
        <f aca="false">D6*(1+E5/100)</f>
        <v>8150.103302</v>
      </c>
      <c r="F6" s="0" t="n">
        <f aca="false">E6*(1+F5/100)</f>
        <v>8598.35898361</v>
      </c>
      <c r="G6" s="0" t="n">
        <f aca="false">F6*(1+G5/100)</f>
        <v>9028.2769327905</v>
      </c>
      <c r="H6" s="0" t="n">
        <f aca="false">G6*(1+H5/100)</f>
        <v>9479.69077943002</v>
      </c>
      <c r="I6" s="0" t="n">
        <f aca="false">H6*(1+I5/100)</f>
        <v>9906.27686450437</v>
      </c>
      <c r="J6" s="0" t="n">
        <f aca="false">I6*(1+J5/100)</f>
        <v>10302.5279390846</v>
      </c>
      <c r="K6" s="0" t="n">
        <f aca="false">J6*(1+K5/100)</f>
        <v>10663.1164169525</v>
      </c>
      <c r="L6" s="0" t="n">
        <f aca="false">K6*(1+L5/100)</f>
        <v>10983.0099094611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17.8</v>
      </c>
      <c r="D7" s="4" t="n">
        <f aca="false">Assumptions!D42</f>
        <v>19.2</v>
      </c>
      <c r="E7" s="4" t="n">
        <f aca="false">Assumptions!E42</f>
        <v>20.6</v>
      </c>
      <c r="F7" s="4" t="n">
        <f aca="false">Assumptions!F42</f>
        <v>21.4</v>
      </c>
      <c r="G7" s="4" t="n">
        <f aca="false">Assumptions!G42</f>
        <v>22</v>
      </c>
      <c r="H7" s="4" t="n">
        <f aca="false">Assumptions!H42</f>
        <v>22.5</v>
      </c>
      <c r="I7" s="4" t="n">
        <f aca="false">Assumptions!I42</f>
        <v>22.6</v>
      </c>
      <c r="J7" s="4" t="n">
        <f aca="false">Assumptions!J42</f>
        <v>22.7</v>
      </c>
      <c r="K7" s="4" t="n">
        <f aca="false">Assumptions!K42</f>
        <v>22.8</v>
      </c>
      <c r="L7" s="4" t="n">
        <f aca="false">Assumptions!L42</f>
        <v>22.8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1303.40144</v>
      </c>
      <c r="D8" s="0" t="n">
        <f aca="false">D6*D7/100</f>
        <v>1483.2415488</v>
      </c>
      <c r="E8" s="0" t="n">
        <f aca="false">E6*E7/100</f>
        <v>1678.921280212</v>
      </c>
      <c r="F8" s="0" t="n">
        <f aca="false">F6*F7/100</f>
        <v>1840.04882249254</v>
      </c>
      <c r="G8" s="0" t="n">
        <f aca="false">G6*G7/100</f>
        <v>1986.22092521391</v>
      </c>
      <c r="H8" s="0" t="n">
        <f aca="false">H6*H7/100</f>
        <v>2132.93042537176</v>
      </c>
      <c r="I8" s="0" t="n">
        <f aca="false">I6*I7/100</f>
        <v>2238.81857137799</v>
      </c>
      <c r="J8" s="0" t="n">
        <f aca="false">J6*J7/100</f>
        <v>2338.67384217219</v>
      </c>
      <c r="K8" s="0" t="n">
        <f aca="false">K6*K7/100</f>
        <v>2431.19054306517</v>
      </c>
      <c r="L8" s="0" t="n">
        <f aca="false">L6*L7/100</f>
        <v>2504.12625935713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-29.28992</v>
      </c>
      <c r="D10" s="0" t="n">
        <f aca="false">-D6*D9/100</f>
        <v>-30.9008656</v>
      </c>
      <c r="E10" s="0" t="n">
        <f aca="false">-E6*E9/100</f>
        <v>-32.600413208</v>
      </c>
      <c r="F10" s="0" t="n">
        <f aca="false">-F6*F9/100</f>
        <v>-34.39343593444</v>
      </c>
      <c r="G10" s="0" t="n">
        <f aca="false">-G6*G9/100</f>
        <v>-36.113107731162</v>
      </c>
      <c r="H10" s="0" t="n">
        <f aca="false">-H6*H9/100</f>
        <v>-37.9187631177201</v>
      </c>
      <c r="I10" s="0" t="n">
        <f aca="false">-I6*I9/100</f>
        <v>-39.6251074580175</v>
      </c>
      <c r="J10" s="0" t="n">
        <f aca="false">-J6*J9/100</f>
        <v>-41.2101117563382</v>
      </c>
      <c r="K10" s="0" t="n">
        <f aca="false">-K6*K9/100</f>
        <v>-42.65246566781</v>
      </c>
      <c r="L10" s="0" t="n">
        <f aca="false">-L6*L9/100</f>
        <v>-43.9320396378444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1039.79216</v>
      </c>
      <c r="D11" s="0" t="n">
        <f aca="false">D8+D10+D24</f>
        <v>1205.1337584</v>
      </c>
      <c r="E11" s="0" t="n">
        <f aca="false">E8+E10+E24</f>
        <v>1385.51756134</v>
      </c>
      <c r="F11" s="0" t="n">
        <f aca="false">F8+F10+F24</f>
        <v>1530.50789908258</v>
      </c>
      <c r="G11" s="0" t="n">
        <f aca="false">G8+G10+G24</f>
        <v>1661.20295563345</v>
      </c>
      <c r="H11" s="0" t="n">
        <f aca="false">H8+H10+H24</f>
        <v>1791.66155731227</v>
      </c>
      <c r="I11" s="0" t="n">
        <f aca="false">I8+I10+I24</f>
        <v>1882.19260425583</v>
      </c>
      <c r="J11" s="0" t="n">
        <f aca="false">J8+J10+J24</f>
        <v>1967.78283636515</v>
      </c>
      <c r="K11" s="0" t="n">
        <f aca="false">K8+K10+K24</f>
        <v>2047.31835205488</v>
      </c>
      <c r="L11" s="0" t="n">
        <f aca="false">L8+L10+L24</f>
        <v>2108.73790261653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-212.35192</v>
      </c>
      <c r="D12" s="4" t="n">
        <f aca="false">-D6*Assumptions!D45/100</f>
        <v>-224.0312756</v>
      </c>
      <c r="E12" s="4" t="n">
        <f aca="false">-E6*Assumptions!E45/100</f>
        <v>-236.352995758</v>
      </c>
      <c r="F12" s="4" t="n">
        <f aca="false">-F6*Assumptions!F45/100</f>
        <v>-249.35241052469</v>
      </c>
      <c r="G12" s="4" t="n">
        <f aca="false">-G6*Assumptions!G45/100</f>
        <v>-261.820031050924</v>
      </c>
      <c r="H12" s="4" t="n">
        <f aca="false">-H6*Assumptions!H45/100</f>
        <v>-274.911032603471</v>
      </c>
      <c r="I12" s="4" t="n">
        <f aca="false">-I6*Assumptions!I45/100</f>
        <v>-287.282029070627</v>
      </c>
      <c r="J12" s="4" t="n">
        <f aca="false">-J6*Assumptions!J45/100</f>
        <v>-298.773310233452</v>
      </c>
      <c r="K12" s="4" t="n">
        <f aca="false">-K6*Assumptions!K45/100</f>
        <v>-309.230376091623</v>
      </c>
      <c r="L12" s="4" t="n">
        <f aca="false">-L6*Assumptions!L45/100</f>
        <v>-318.507287374371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827.44024</v>
      </c>
      <c r="D13" s="0" t="n">
        <f aca="false">D11+D12</f>
        <v>981.1024828</v>
      </c>
      <c r="E13" s="0" t="n">
        <f aca="false">E11+E12</f>
        <v>1149.164565582</v>
      </c>
      <c r="F13" s="0" t="n">
        <f aca="false">F11+F12</f>
        <v>1281.15548855789</v>
      </c>
      <c r="G13" s="0" t="n">
        <f aca="false">G11+G12</f>
        <v>1399.38292458253</v>
      </c>
      <c r="H13" s="0" t="n">
        <f aca="false">H11+H12</f>
        <v>1516.7505247088</v>
      </c>
      <c r="I13" s="0" t="n">
        <f aca="false">I11+I12</f>
        <v>1594.9105751852</v>
      </c>
      <c r="J13" s="0" t="n">
        <f aca="false">J11+J12</f>
        <v>1669.0095261317</v>
      </c>
      <c r="K13" s="0" t="n">
        <f aca="false">K11+K12</f>
        <v>1738.08797596326</v>
      </c>
      <c r="L13" s="0" t="n">
        <f aca="false">L11+L12</f>
        <v>1790.23061524216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20</v>
      </c>
      <c r="D14" s="4" t="n">
        <f aca="false">Assumptions!D47</f>
        <v>21</v>
      </c>
      <c r="E14" s="4" t="n">
        <f aca="false">Assumptions!E47</f>
        <v>22</v>
      </c>
      <c r="F14" s="4" t="n">
        <f aca="false">Assumptions!F47</f>
        <v>23</v>
      </c>
      <c r="G14" s="4" t="n">
        <f aca="false">Assumptions!G47</f>
        <v>24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661.952192</v>
      </c>
      <c r="D15" s="0" t="n">
        <f aca="false">D13-MAX(0,D13)*D14/100</f>
        <v>775.070961412</v>
      </c>
      <c r="E15" s="0" t="n">
        <f aca="false">E13-MAX(0,E13)*E14/100</f>
        <v>896.34836115396</v>
      </c>
      <c r="F15" s="0" t="n">
        <f aca="false">F13-MAX(0,F13)*F14/100</f>
        <v>986.489726189575</v>
      </c>
      <c r="G15" s="0" t="n">
        <f aca="false">G13-MAX(0,G13)*G14/100</f>
        <v>1063.53102268272</v>
      </c>
      <c r="H15" s="0" t="n">
        <f aca="false">H13-MAX(0,H13)*H14/100</f>
        <v>1137.5628935316</v>
      </c>
      <c r="I15" s="0" t="n">
        <f aca="false">I13-MAX(0,I13)*I14/100</f>
        <v>1196.1829313889</v>
      </c>
      <c r="J15" s="0" t="n">
        <f aca="false">J13-MAX(0,J13)*J14/100</f>
        <v>1251.75714459877</v>
      </c>
      <c r="K15" s="0" t="n">
        <f aca="false">K13-MAX(0,K13)*K14/100</f>
        <v>1303.56598197244</v>
      </c>
      <c r="L15" s="0" t="n">
        <f aca="false">L13-MAX(0,L13)*L14/100</f>
        <v>1342.67296143162</v>
      </c>
    </row>
    <row r="16" customFormat="false" ht="15" hidden="false" customHeight="false" outlineLevel="0" collapsed="false">
      <c r="A16" s="0" t="s">
        <v>119</v>
      </c>
      <c r="C16" s="0" t="n">
        <f aca="false">-C12</f>
        <v>212.35192</v>
      </c>
      <c r="D16" s="0" t="n">
        <f aca="false">-D12</f>
        <v>224.0312756</v>
      </c>
      <c r="E16" s="0" t="n">
        <f aca="false">-E12</f>
        <v>236.352995758</v>
      </c>
      <c r="F16" s="0" t="n">
        <f aca="false">-F12</f>
        <v>249.35241052469</v>
      </c>
      <c r="G16" s="0" t="n">
        <f aca="false">-G12</f>
        <v>261.820031050924</v>
      </c>
      <c r="H16" s="0" t="n">
        <f aca="false">-H12</f>
        <v>274.911032603471</v>
      </c>
      <c r="I16" s="0" t="n">
        <f aca="false">-I12</f>
        <v>287.282029070627</v>
      </c>
      <c r="J16" s="0" t="n">
        <f aca="false">-J12</f>
        <v>298.773310233452</v>
      </c>
      <c r="K16" s="0" t="n">
        <f aca="false">-K12</f>
        <v>309.230376091623</v>
      </c>
      <c r="L16" s="0" t="n">
        <f aca="false">-L12</f>
        <v>318.507287374371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-314.86664</v>
      </c>
      <c r="D17" s="4" t="n">
        <f aca="false">-D6*Assumptions!D46/100</f>
        <v>-332.1843052</v>
      </c>
      <c r="E17" s="4" t="n">
        <f aca="false">-E6*Assumptions!E46/100</f>
        <v>-350.454441986</v>
      </c>
      <c r="F17" s="4" t="n">
        <f aca="false">-F6*Assumptions!F46/100</f>
        <v>-369.72943629523</v>
      </c>
      <c r="G17" s="4" t="n">
        <f aca="false">-G6*Assumptions!G46/100</f>
        <v>-379.187631177201</v>
      </c>
      <c r="H17" s="4" t="n">
        <f aca="false">-H6*Assumptions!H46/100</f>
        <v>-398.147012736061</v>
      </c>
      <c r="I17" s="4" t="n">
        <f aca="false">-I6*Assumptions!I46/100</f>
        <v>-406.157351444679</v>
      </c>
      <c r="J17" s="4" t="n">
        <f aca="false">-J6*Assumptions!J46/100</f>
        <v>-422.403645502467</v>
      </c>
      <c r="K17" s="4" t="n">
        <f aca="false">-K6*Assumptions!K46/100</f>
        <v>-426.5246566781</v>
      </c>
      <c r="L17" s="4" t="n">
        <f aca="false">-L6*Assumptions!L46/100</f>
        <v>-439.320396378443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559.437472</v>
      </c>
      <c r="D19" s="0" t="n">
        <f aca="false">D15+D16+D17+D18</f>
        <v>666.917931812</v>
      </c>
      <c r="E19" s="0" t="n">
        <f aca="false">E15+E16+E17+E18</f>
        <v>782.24691492596</v>
      </c>
      <c r="F19" s="0" t="n">
        <f aca="false">F15+F16+F17+F18</f>
        <v>866.112700419035</v>
      </c>
      <c r="G19" s="0" t="n">
        <f aca="false">G15+G16+G17+G18</f>
        <v>946.163422556444</v>
      </c>
      <c r="H19" s="0" t="n">
        <f aca="false">H15+H16+H17+H18</f>
        <v>1014.32691339901</v>
      </c>
      <c r="I19" s="0" t="n">
        <f aca="false">I15+I16+I17+I18</f>
        <v>1077.30760901485</v>
      </c>
      <c r="J19" s="0" t="n">
        <f aca="false">J15+J16+J17+J18</f>
        <v>1128.12680932976</v>
      </c>
      <c r="K19" s="0" t="n">
        <f aca="false">K15+K16+K17+K18</f>
        <v>1186.27170138597</v>
      </c>
      <c r="L19" s="0" t="n">
        <f aca="false">L15+L16+L17+L18</f>
        <v>1221.85985242755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517.997659259259</v>
      </c>
      <c r="D21" s="0" t="n">
        <f aca="false">D19*D20</f>
        <v>571.774632897805</v>
      </c>
      <c r="E21" s="0" t="n">
        <f aca="false">E19*E20</f>
        <v>620.972821506789</v>
      </c>
      <c r="F21" s="0" t="n">
        <f aca="false">F19*F20</f>
        <v>636.618690694142</v>
      </c>
      <c r="G21" s="0" t="n">
        <f aca="false">G19*G20</f>
        <v>643.942927039862</v>
      </c>
      <c r="H21" s="0" t="n">
        <f aca="false">H19*H20</f>
        <v>639.198012554147</v>
      </c>
      <c r="I21" s="0" t="n">
        <f aca="false">I19*I20</f>
        <v>628.59864260298</v>
      </c>
      <c r="J21" s="0" t="n">
        <f aca="false">J19*J20</f>
        <v>609.491812853362</v>
      </c>
      <c r="K21" s="0" t="n">
        <f aca="false">K19*K20</f>
        <v>593.431193355608</v>
      </c>
      <c r="L21" s="0" t="n">
        <f aca="false">L19*L20</f>
        <v>565.957526996552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3.2</v>
      </c>
      <c r="D23" s="4" t="n">
        <f aca="false">Assumptions!D44</f>
        <v>3.2</v>
      </c>
      <c r="E23" s="4" t="n">
        <f aca="false">Assumptions!E44</f>
        <v>3.2</v>
      </c>
      <c r="F23" s="4" t="n">
        <f aca="false">Assumptions!F44</f>
        <v>3.2</v>
      </c>
      <c r="G23" s="4" t="n">
        <f aca="false">Assumptions!G44</f>
        <v>3.2</v>
      </c>
      <c r="H23" s="4" t="n">
        <f aca="false">Assumptions!H44</f>
        <v>3.2</v>
      </c>
      <c r="I23" s="4" t="n">
        <f aca="false">Assumptions!I44</f>
        <v>3.2</v>
      </c>
      <c r="J23" s="4" t="n">
        <f aca="false">Assumptions!J44</f>
        <v>3.2</v>
      </c>
      <c r="K23" s="4" t="n">
        <f aca="false">Assumptions!K44</f>
        <v>3.2</v>
      </c>
      <c r="L23" s="4" t="n">
        <f aca="false">Assumptions!L44</f>
        <v>3.2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-234.31936</v>
      </c>
      <c r="D24" s="0" t="n">
        <f aca="false">-D6*D23/100</f>
        <v>-247.2069248</v>
      </c>
      <c r="E24" s="0" t="n">
        <f aca="false">-E6*E23/100</f>
        <v>-260.803305664</v>
      </c>
      <c r="F24" s="0" t="n">
        <f aca="false">-F6*F23/100</f>
        <v>-275.14748747552</v>
      </c>
      <c r="G24" s="0" t="n">
        <f aca="false">-G6*G23/100</f>
        <v>-288.904861849296</v>
      </c>
      <c r="H24" s="0" t="n">
        <f aca="false">-H6*H23/100</f>
        <v>-303.350104941761</v>
      </c>
      <c r="I24" s="0" t="n">
        <f aca="false">-I6*I23/100</f>
        <v>-317.00085966414</v>
      </c>
      <c r="J24" s="0" t="n">
        <f aca="false">-J6*J23/100</f>
        <v>-329.680894050706</v>
      </c>
      <c r="K24" s="0" t="n">
        <f aca="false">-K6*K23/100</f>
        <v>-341.21972534248</v>
      </c>
      <c r="L24" s="0" t="n">
        <f aca="false">-L6*L23/100</f>
        <v>-351.456317102755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6027.98391976051</v>
      </c>
    </row>
    <row r="31" customFormat="false" ht="15" hidden="false" customHeight="false" outlineLevel="0" collapsed="false">
      <c r="A31" s="0" t="s">
        <v>128</v>
      </c>
      <c r="B31" s="0" t="n">
        <f aca="false">L19</f>
        <v>1221.85985242755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25170.3129600074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24437.1970485509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24437.1970485509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11319.150539931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17347.1344596916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14315.1344596916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426.737828790703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0.408375672576576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240.316793599753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419.190114377671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446.397898821845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10487.6304000031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115.742307269193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154.184923085417</v>
      </c>
      <c r="C4" s="0" t="n">
        <f aca="false">B4/Assumptions!$B$2-1</f>
        <v>-0.491138867704893</v>
      </c>
      <c r="D4" s="4" t="n">
        <f aca="false">Assumptions!$B$24</f>
        <v>0.3</v>
      </c>
      <c r="E4" s="4" t="n">
        <f aca="false">DCF_Bear!$B$43</f>
        <v>168.99900144815</v>
      </c>
      <c r="F4" s="4" t="n">
        <f aca="false">DCF_Bear!$B$47</f>
        <v>31.1550161318793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314.630161382346</v>
      </c>
      <c r="C5" s="0" t="n">
        <f aca="false">B5/Assumptions!$B$2-1</f>
        <v>0.0383833708988313</v>
      </c>
      <c r="D5" s="4" t="n">
        <f aca="false">Assumptions!$B$38</f>
        <v>0.5</v>
      </c>
      <c r="E5" s="4" t="n">
        <f aca="false">DCF_Base!$B$43</f>
        <v>332.021373815205</v>
      </c>
      <c r="F5" s="4" t="n">
        <f aca="false">DCF_Base!$B$47</f>
        <v>79.0822817129429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426.737828790703</v>
      </c>
      <c r="C6" s="0" t="n">
        <f aca="false">B6/Assumptions!$B$2-1</f>
        <v>0.408375672576576</v>
      </c>
      <c r="D6" s="4" t="n">
        <f aca="false">Assumptions!$B$52</f>
        <v>0.2</v>
      </c>
      <c r="E6" s="4" t="n">
        <f aca="false">DCF_Bull!$B$43</f>
        <v>446.397898821845</v>
      </c>
      <c r="F6" s="4" t="n">
        <f aca="false">DCF_Bull!$B$47</f>
        <v>115.742307269193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288.918123374939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305.989967106416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-0.0487400252381773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82.4859742541852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72.0361071498739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314.630161382346</v>
      </c>
      <c r="C15" s="3" t="n">
        <v>8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249.520103952135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201.901926523034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165.594033939478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137.018204929691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79.0822817129429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405.29557257746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405.29557257746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405.29557257746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405.29557257746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405.29557257746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344.446509416372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367.490643663272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367.490643663272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367.490643663272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367.490643663272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273.585933356294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292.397871201568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314.630161382346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333.157069866327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333.157069866327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221.816974224024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234.67914159779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249.520103952135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266.834560032205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287.297099035924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182.388767596647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191.535560843391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201.901926523034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213.749201585484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227.419134349849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2026-10-10T01:18:07Z</dcterms:created>
  <dc:creator>openpyxl</dc:creator>
  <dc:description/>
  <dc:language>en-NZ</dc:language>
  <cp:lastModifiedBy/>
  <dcterms:modified xsi:type="dcterms:W3CDTF">2026-10-10T01:18:07Z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