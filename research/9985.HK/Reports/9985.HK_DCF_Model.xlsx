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<sst xmlns="http://schemas.openxmlformats.org/spreadsheetml/2006/main" count="347" uniqueCount="163">
  <si>
    <t xml:space="preserve">Ticker</t>
  </si>
  <si>
    <t xml:space="preserve">9985.HK</t>
  </si>
  <si>
    <t xml:space="preserve">Company</t>
  </si>
  <si>
    <t xml:space="preserve">WEILONG Delicious Global Holdings Ltd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</si>
  <si>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</si>
  <si>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</si>
  <si>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</si>
  <si>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</si>
  <si>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close,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</si>
  <si>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</si>
  <si>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</si>
  <si>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</si>
  <si>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</si>
  <si>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</si>
  <si>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</si>
  <si>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</si>
  <si>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</si>
  <si>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</si>
  <si>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</si>
  <si>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</si>
  <si>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</si>
  <si>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</si>
  <si>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2026-10-23T22:20:40Z</t>
  </si>
  <si>
    <t xml:space="preserve">Drivers file</t>
  </si>
  <si>
    <t xml:space="preserve">9985.HK_Drivers.json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</si>
  <si>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</si>
  <si>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</si>
  <si>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</si>
  <si>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highly cash-generative, net-cash Chinese branded snack maker paying out ~90% of earnings. The value question is the durability of konjac growth against a shrinking latiao franchise, not the balance sheet. Flows are owner FCF built from components at a 9% CNY rate; deposits are added at book with their interest stripped from the flows; the declared-but-unpaid H1 dividend is deducted because the price is ex.
key_risks_to_valuation: Category concentration: vegetable (konjac) products are 66% of revenue and growing on a low-barrier product; Latiao decline accelerating with offline traditional-channel traffic; Margin compression from online/discount-channel mix and brand spend (H1 FY2026 EBITDA margin ~2.4pp lower YoY); Food-safety event in a category with a history of regulatory scrutiny; Capital allocation: cash held in RMB deposits with short-term borrowings alongside; HK-listed PRC governance and capital-control discount; CNY/HKD rate: values are converted at a dated spot rate that refresh_price.py does not update</t>
  </si>
  <si>
    <t xml:space="preserve">Data sources</t>
  </si>
  <si>
    <t xml:space="preserve">price: Yahoo Finance chart API at inputs.price_as_of; 52-week range 6.22-13.46 HKD
fx: Yahoo CNYHKD=X / HKDCNY=X, 2026-10-23
financials: 9985.HK_Metrics.csv (FY2021-H1 FY2026, RMB millions); FY2022-FY2025 annual reports and H1 FY2024-H1 FY2026 interim reports in research/9985.HK/Extracted/
qualitative: Analysis.json not yet available at build time; product/channel axes from the H1 FY2026 interim MD&amp;A</t>
  </si>
  <si>
    <t xml:space="preserve">Scenario narrative: bear</t>
  </si>
  <si>
    <t xml:space="preserve">Konjac commoditises under copycats and discount-channel price pressure while latiao keeps falling; single-category dependence (vegetable products 66% of H1 FY2026 revenue) produces a ~12% revenue decline over four years, margin down ~7pp to 21%, then ~1.5% growth.</t>
  </si>
  <si>
    <t xml:space="preserve">Scenario narrative: base</t>
  </si>
  <si>
    <t xml:space="preserve">Konjac keeps compounding and online direct sales scale while latiao shrinks with offline traffic; ~6% growth fading to 3%, EBITDA margin easing 28.2% -&gt; 26.5% as channel and brand spend outgrow supply-chain savings; capex normalises after the plant build. Net cash (RMB5.6bn after the payable dividend) is ~40% of the market cap.</t>
  </si>
  <si>
    <t xml:space="preserve">Scenario narrative: bull</t>
  </si>
  <si>
    <t xml:space="preserve">New categories (stinky tofu, low-burden vegetable SKUs) and overseas become real growth legs, latiao stabilises, the snack-discount and e-commerce channels keep scaling; revenue reaccelerates to ~10% and margin returns to and slightly above the FY2025 high.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</si>
  <si>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</si>
  <si>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</si>
  <si>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</si>
  <si>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</si>
  <si>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</si>
  <si>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</si>
  <si>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</si>
  <si>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</si>
  <si>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</si>
  <si>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</si>
  <si>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</si>
  <si>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</si>
  <si>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</si>
  <si>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</si>
  <si>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</si>
  <si>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</si>
  <si>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</si>
  <si>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</si>
  <si>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</si>
  <si>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</si>
  <si>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</si>
  <si>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</si>
  <si>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</si>
  <si>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</si>
  <si>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</si>
  <si>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</si>
  <si>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</si>
  <si>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</si>
  <si>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MarketingExpense</t>
  </si>
  <si>
    <t xml:space="preserve">MarketingPctRevenue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</si>
  <si>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</si>
  <si>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</si>
  <si>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</si>
  <si>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</si>
  <si>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</si>
  <si>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</si>
  <si>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</si>
  <si>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</si>
  <si>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</si>
  <si>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</si>
  <si>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</si>
  <si>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</si>
  <si>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</si>
  <si>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</si>
  <si>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</si>
  <si>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</si>
  <si>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</si>
  <si>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</si>
  <si>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</si>
  <si>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</si>
  <si>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</si>
  <si>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</si>
  <si>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</si>
  <si>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</si>
  <si>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</si>
  <si>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</si>
  <si>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</si>
  <si>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</si>
  <si>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</si>
  <si>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</si>
  <si>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</si>
  <si>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</si>
  <si>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</si>
  <si>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</si>
  <si>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</si>
  <si>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</si>
  <si>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</si>
  <si>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</si>
  <si>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</si>
  <si>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</si>
  <si>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</si>
  <si>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</si>
  <si>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9985.HK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</si>
  <si>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</si>
  <si>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</si>
  <si>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</si>
  <si>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</si>
  <si>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</si>
  <si>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</si>
  <si>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</si>
  <si>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</si>
  <si>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</si>
  <si>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</si>
  <si>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</si>
  <si>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</si>
  <si>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</si>
  <si>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</si>
  <si>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</si>
  <si>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</si>
  <si>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</si>
  <si>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</si>
  <si>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</si>
  <si>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</si>
  <si>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</si>
  <si>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</si>
  <si>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</si>
  <si>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</si>
  <si>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</si>
  <si>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</si>
  <si>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</si>
  <si>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</si>
  <si>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</si>
  <si>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</si>
  <si>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9985.HK owner-FCF component DCF: base case (millions, CNY)</t>
  </si>
  <si>
    <t xml:space="preserve">9985.HK owner-FCF component DCF: bull case (millions, CNY)</t>
  </si>
  <si>
    <t xml:space="preserve">9985.HK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</si>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</sst>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6.745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4800.2</v>
      </c>
      <c r="C2" s="0" t="n">
        <v>3007.169</v>
      </c>
      <c r="D2" s="0" t="n">
        <v>1793.031</v>
      </c>
      <c r="E2" s="0" t="n">
        <v>37.4</v>
      </c>
      <c r="F2" s="0" t="n">
        <v>1077.386</v>
      </c>
      <c r="G2" s="0" t="n">
        <v>22.4</v>
      </c>
      <c r="I2" s="0" t="n">
        <v>826.729</v>
      </c>
      <c r="J2" s="0" t="n">
        <v>17.2</v>
      </c>
      <c r="K2" s="0" t="n">
        <v>0.41</v>
      </c>
      <c r="L2" s="0" t="n">
        <v>889.126</v>
      </c>
      <c r="M2" s="0" t="n">
        <v>392.488</v>
      </c>
      <c r="N2" s="0" t="n">
        <v>496.638</v>
      </c>
      <c r="O2" s="0" t="n">
        <v>3669.929</v>
      </c>
      <c r="P2" s="0" t="n">
        <v>5190.589</v>
      </c>
      <c r="Q2" s="0" t="n">
        <v>1520.66</v>
      </c>
      <c r="R2" s="0" t="n">
        <v>460.112</v>
      </c>
      <c r="S2" s="0" t="n">
        <v>494.275</v>
      </c>
      <c r="U2" s="0" t="n">
        <v>50.519</v>
      </c>
      <c r="AA2" s="0" t="s">
        <v>18</v>
      </c>
      <c r="AB2" s="0" t="s">
        <v>14</v>
      </c>
      <c r="AC2" s="0" t="n">
        <v>1169.803</v>
      </c>
    </row>
    <row r="3" customFormat="false" ht="15" hidden="false" customHeight="false" outlineLevel="0" collapsed="false">
      <c r="A3" s="0" t="s">
        <v>68</v>
      </c>
      <c r="B3" s="0" t="n">
        <v>4632.221</v>
      </c>
      <c r="C3" s="0" t="n">
        <v>2672.616</v>
      </c>
      <c r="D3" s="0" t="n">
        <v>1959.605</v>
      </c>
      <c r="E3" s="0" t="n">
        <v>42.3</v>
      </c>
      <c r="F3" s="0" t="n">
        <v>354.692</v>
      </c>
      <c r="G3" s="0" t="n">
        <v>7.7</v>
      </c>
      <c r="I3" s="0" t="n">
        <v>151.297</v>
      </c>
      <c r="J3" s="0" t="n">
        <v>3.3</v>
      </c>
      <c r="K3" s="0" t="n">
        <v>0.07</v>
      </c>
      <c r="L3" s="0" t="n">
        <v>1202.944</v>
      </c>
      <c r="M3" s="0" t="n">
        <v>297.197</v>
      </c>
      <c r="N3" s="0" t="n">
        <v>905.747</v>
      </c>
      <c r="O3" s="0" t="n">
        <v>5524.412</v>
      </c>
      <c r="P3" s="0" t="n">
        <v>6930.335</v>
      </c>
      <c r="Q3" s="0" t="n">
        <v>1405.923</v>
      </c>
      <c r="R3" s="0" t="n">
        <v>161.3</v>
      </c>
      <c r="S3" s="0" t="n">
        <v>1314.453</v>
      </c>
      <c r="T3" s="0" t="n">
        <v>2163.327</v>
      </c>
      <c r="U3" s="0" t="n">
        <v>98.133</v>
      </c>
      <c r="AA3" s="0" t="s">
        <v>18</v>
      </c>
      <c r="AB3" s="0" t="s">
        <v>14</v>
      </c>
      <c r="AC3" s="0" t="n">
        <v>1456.451</v>
      </c>
    </row>
    <row r="4" customFormat="false" ht="15" hidden="false" customHeight="false" outlineLevel="0" collapsed="false">
      <c r="A4" s="0" t="s">
        <v>69</v>
      </c>
      <c r="B4" s="0" t="n">
        <v>4871.666</v>
      </c>
      <c r="C4" s="0" t="n">
        <v>2548.983</v>
      </c>
      <c r="D4" s="0" t="n">
        <v>2322.683</v>
      </c>
      <c r="E4" s="0" t="n">
        <v>47.7</v>
      </c>
      <c r="F4" s="0" t="n">
        <v>1103.713</v>
      </c>
      <c r="G4" s="0" t="n">
        <v>22.7</v>
      </c>
      <c r="H4" s="0" t="n">
        <v>1232.163</v>
      </c>
      <c r="I4" s="0" t="n">
        <v>880.354</v>
      </c>
      <c r="J4" s="0" t="n">
        <v>18.1</v>
      </c>
      <c r="K4" s="0" t="n">
        <v>0.38</v>
      </c>
      <c r="L4" s="0" t="n">
        <v>1155.715</v>
      </c>
      <c r="M4" s="0" t="n">
        <v>122.257</v>
      </c>
      <c r="N4" s="0" t="n">
        <v>1033.458</v>
      </c>
      <c r="O4" s="0" t="n">
        <v>5705.87</v>
      </c>
      <c r="P4" s="0" t="n">
        <v>7053.546</v>
      </c>
      <c r="Q4" s="0" t="n">
        <v>1347.676</v>
      </c>
      <c r="R4" s="0" t="n">
        <v>180.94</v>
      </c>
      <c r="S4" s="0" t="n">
        <v>526.193</v>
      </c>
      <c r="T4" s="0" t="n">
        <v>2309.771</v>
      </c>
      <c r="U4" s="0" t="n">
        <v>89.981</v>
      </c>
      <c r="AA4" s="0" t="s">
        <v>18</v>
      </c>
      <c r="AB4" s="0" t="s">
        <v>14</v>
      </c>
      <c r="AC4" s="0" t="n">
        <v>1482.635</v>
      </c>
      <c r="AD4" s="0" t="n">
        <v>213.97</v>
      </c>
      <c r="AE4" s="0" t="n">
        <v>4.4</v>
      </c>
    </row>
    <row r="5" customFormat="false" ht="15" hidden="false" customHeight="false" outlineLevel="0" collapsed="false">
      <c r="A5" s="0" t="s">
        <v>70</v>
      </c>
      <c r="B5" s="0" t="n">
        <v>6266.326</v>
      </c>
      <c r="C5" s="0" t="n">
        <v>3250.194</v>
      </c>
      <c r="D5" s="0" t="n">
        <v>3016.132</v>
      </c>
      <c r="E5" s="0" t="n">
        <v>48.1</v>
      </c>
      <c r="F5" s="0" t="n">
        <v>1401.017</v>
      </c>
      <c r="G5" s="0" t="n">
        <v>22.4</v>
      </c>
      <c r="H5" s="0" t="n">
        <v>1543.108</v>
      </c>
      <c r="I5" s="0" t="n">
        <v>1068.512</v>
      </c>
      <c r="J5" s="0" t="n">
        <v>17.1</v>
      </c>
      <c r="K5" s="0" t="n">
        <v>0.46</v>
      </c>
      <c r="L5" s="0" t="n">
        <v>1308.75</v>
      </c>
      <c r="M5" s="0" t="n">
        <v>304.805</v>
      </c>
      <c r="N5" s="0" t="n">
        <v>1003.945</v>
      </c>
      <c r="O5" s="0" t="n">
        <v>5997.351</v>
      </c>
      <c r="P5" s="0" t="n">
        <v>8182.413</v>
      </c>
      <c r="Q5" s="0" t="n">
        <v>2175.983</v>
      </c>
      <c r="R5" s="0" t="n">
        <v>388.96</v>
      </c>
      <c r="S5" s="0" t="n">
        <v>841.717</v>
      </c>
      <c r="T5" s="0" t="n">
        <v>2312.789</v>
      </c>
      <c r="U5" s="0" t="n">
        <v>36.197</v>
      </c>
      <c r="AA5" s="0" t="s">
        <v>18</v>
      </c>
      <c r="AB5" s="0" t="s">
        <v>14</v>
      </c>
      <c r="AC5" s="0" t="n">
        <v>1783.735</v>
      </c>
      <c r="AD5" s="0" t="n">
        <v>280.456</v>
      </c>
      <c r="AE5" s="0" t="n">
        <v>4.5</v>
      </c>
    </row>
    <row r="6" customFormat="false" ht="15" hidden="false" customHeight="false" outlineLevel="0" collapsed="false">
      <c r="A6" s="0" t="s">
        <v>71</v>
      </c>
      <c r="B6" s="0" t="n">
        <v>7223.759</v>
      </c>
      <c r="C6" s="0" t="n">
        <v>3757.398</v>
      </c>
      <c r="D6" s="0" t="n">
        <v>3466.361</v>
      </c>
      <c r="E6" s="0" t="n">
        <v>48</v>
      </c>
      <c r="F6" s="0" t="n">
        <v>1853.288</v>
      </c>
      <c r="G6" s="0" t="n">
        <v>25.7</v>
      </c>
      <c r="H6" s="0" t="n">
        <v>2023.631</v>
      </c>
      <c r="I6" s="0" t="n">
        <v>1425.204</v>
      </c>
      <c r="J6" s="0" t="n">
        <v>19.7</v>
      </c>
      <c r="K6" s="0" t="n">
        <v>0.6</v>
      </c>
      <c r="L6" s="0" t="n">
        <v>1494.379</v>
      </c>
      <c r="M6" s="0" t="n">
        <v>420.515</v>
      </c>
      <c r="N6" s="0" t="n">
        <v>1073.864</v>
      </c>
      <c r="O6" s="0" t="n">
        <v>7299.586</v>
      </c>
      <c r="P6" s="0" t="n">
        <v>11352.758</v>
      </c>
      <c r="Q6" s="0" t="n">
        <v>4042.233</v>
      </c>
      <c r="R6" s="0" t="n">
        <v>2201.01</v>
      </c>
      <c r="S6" s="0" t="n">
        <v>1690.604</v>
      </c>
      <c r="T6" s="0" t="n">
        <v>2371.579</v>
      </c>
      <c r="U6" s="0" t="n">
        <v>15.789</v>
      </c>
      <c r="AA6" s="0" t="s">
        <v>18</v>
      </c>
      <c r="AB6" s="0" t="s">
        <v>14</v>
      </c>
      <c r="AC6" s="0" t="n">
        <v>2122.629</v>
      </c>
      <c r="AD6" s="0" t="n">
        <v>400.346</v>
      </c>
      <c r="AE6" s="0" t="n"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6.745</v>
      </c>
    </row>
    <row r="3" customFormat="false" ht="15" hidden="false" customHeight="false" outlineLevel="0" collapsed="false">
      <c r="A3" s="0" t="s">
        <v>75</v>
      </c>
      <c r="B3" s="3" t="n">
        <v>2430.5</v>
      </c>
    </row>
    <row r="4" customFormat="false" ht="15" hidden="false" customHeight="false" outlineLevel="0" collapsed="false">
      <c r="A4" s="0" t="s">
        <v>76</v>
      </c>
      <c r="B4" s="3" t="n">
        <v>-5561.3</v>
      </c>
    </row>
    <row r="5" customFormat="false" ht="15" hidden="false" customHeight="false" outlineLevel="0" collapsed="false">
      <c r="A5" s="0" t="s">
        <v>77</v>
      </c>
      <c r="B5" s="3" t="n">
        <v>-689.8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7223.759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1.1744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-2</v>
      </c>
      <c r="D13" s="3" t="n">
        <v>-5</v>
      </c>
      <c r="E13" s="3" t="n">
        <v>-4</v>
      </c>
      <c r="F13" s="3" t="n">
        <v>-2</v>
      </c>
      <c r="G13" s="3" t="n">
        <v>0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25.5</v>
      </c>
      <c r="D14" s="3" t="n">
        <v>23.5</v>
      </c>
      <c r="E14" s="3" t="n">
        <v>22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97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2.5</v>
      </c>
      <c r="D17" s="3" t="n">
        <v>2.7</v>
      </c>
      <c r="E17" s="3" t="n">
        <v>2.8</v>
      </c>
      <c r="F17" s="3" t="n">
        <v>2.9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100</v>
      </c>
      <c r="C18" s="3" t="n">
        <v>5.5</v>
      </c>
      <c r="D18" s="3" t="n">
        <v>3.5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101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-3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6</v>
      </c>
      <c r="D27" s="3" t="n">
        <v>6.5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27</v>
      </c>
      <c r="D28" s="3" t="n">
        <v>27</v>
      </c>
      <c r="E28" s="3" t="n">
        <v>27</v>
      </c>
      <c r="F28" s="3" t="n">
        <v>26.8</v>
      </c>
      <c r="G28" s="3" t="n">
        <v>26.8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97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2.5</v>
      </c>
      <c r="D31" s="3" t="n">
        <v>2.7</v>
      </c>
      <c r="E31" s="3" t="n">
        <v>2.8</v>
      </c>
      <c r="F31" s="3" t="n">
        <v>2.9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100</v>
      </c>
      <c r="C32" s="3" t="n">
        <v>5.5</v>
      </c>
      <c r="D32" s="3" t="n">
        <v>4.5</v>
      </c>
      <c r="E32" s="3" t="n">
        <v>4</v>
      </c>
      <c r="F32" s="3" t="n">
        <v>3.6</v>
      </c>
      <c r="G32" s="3" t="n">
        <v>3.4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101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-3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8</v>
      </c>
      <c r="D41" s="3" t="n">
        <v>10</v>
      </c>
      <c r="E41" s="3" t="n">
        <v>9.5</v>
      </c>
      <c r="F41" s="3" t="n">
        <v>8.5</v>
      </c>
      <c r="G41" s="3" t="n">
        <v>7.5</v>
      </c>
      <c r="H41" s="3" t="n">
        <v>6.5</v>
      </c>
      <c r="I41" s="3" t="n">
        <v>5.5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96</v>
      </c>
      <c r="C42" s="3" t="n">
        <v>27.5</v>
      </c>
      <c r="D42" s="3" t="n">
        <v>28</v>
      </c>
      <c r="E42" s="3" t="n">
        <v>28.5</v>
      </c>
      <c r="F42" s="3" t="n">
        <v>28.8</v>
      </c>
      <c r="G42" s="3" t="n">
        <v>29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97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2.5</v>
      </c>
      <c r="D45" s="3" t="n">
        <v>2.7</v>
      </c>
      <c r="E45" s="3" t="n">
        <v>2.8</v>
      </c>
      <c r="F45" s="3" t="n">
        <v>2.9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100</v>
      </c>
      <c r="C46" s="3" t="n">
        <v>5.5</v>
      </c>
      <c r="D46" s="3" t="n">
        <v>4.8</v>
      </c>
      <c r="E46" s="3" t="n">
        <v>4.3</v>
      </c>
      <c r="F46" s="3" t="n">
        <v>3.8</v>
      </c>
      <c r="G46" s="3" t="n">
        <v>3.6</v>
      </c>
      <c r="H46" s="3" t="n">
        <v>3.5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101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-3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-2</v>
      </c>
      <c r="D5" s="4" t="n">
        <f aca="false">Assumptions!D13</f>
        <v>-5</v>
      </c>
      <c r="E5" s="4" t="n">
        <f aca="false">Assumptions!E13</f>
        <v>-4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7223.759</v>
      </c>
      <c r="C6" s="0" t="n">
        <f aca="false">B6*(1+C5/100)</f>
        <v>7079.28382</v>
      </c>
      <c r="D6" s="0" t="n">
        <f aca="false">C6*(1+D5/100)</f>
        <v>6725.319629</v>
      </c>
      <c r="E6" s="0" t="n">
        <f aca="false">D6*(1+E5/100)</f>
        <v>6456.30684384</v>
      </c>
      <c r="F6" s="0" t="n">
        <f aca="false">E6*(1+F5/100)</f>
        <v>6327.1807069632</v>
      </c>
      <c r="G6" s="0" t="n">
        <f aca="false">F6*(1+G5/100)</f>
        <v>6327.1807069632</v>
      </c>
      <c r="H6" s="0" t="n">
        <f aca="false">G6*(1+H5/100)</f>
        <v>6390.45251403283</v>
      </c>
      <c r="I6" s="0" t="n">
        <f aca="false">H6*(1+I5/100)</f>
        <v>6486.30930174332</v>
      </c>
      <c r="J6" s="0" t="n">
        <f aca="false">I6*(1+J5/100)</f>
        <v>6583.60394126947</v>
      </c>
      <c r="K6" s="0" t="n">
        <f aca="false">J6*(1+K5/100)</f>
        <v>6682.35800038851</v>
      </c>
      <c r="L6" s="0" t="n">
        <f aca="false">K6*(1+L5/100)</f>
        <v>6782.59337039434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25.5</v>
      </c>
      <c r="D7" s="4" t="n">
        <f aca="false">Assumptions!D14</f>
        <v>23.5</v>
      </c>
      <c r="E7" s="4" t="n">
        <f aca="false">Assumptions!E14</f>
        <v>22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1805.2173741</v>
      </c>
      <c r="D8" s="0" t="n">
        <f aca="false">D6*D7/100</f>
        <v>1580.450112815</v>
      </c>
      <c r="E8" s="0" t="n">
        <f aca="false">E6*E7/100</f>
        <v>1420.3875056448</v>
      </c>
      <c r="F8" s="0" t="n">
        <f aca="false">F6*F7/100</f>
        <v>1328.70794846227</v>
      </c>
      <c r="G8" s="0" t="n">
        <f aca="false">G6*G7/100</f>
        <v>1328.70794846227</v>
      </c>
      <c r="H8" s="0" t="n">
        <f aca="false">H6*H7/100</f>
        <v>1341.99502794689</v>
      </c>
      <c r="I8" s="0" t="n">
        <f aca="false">I6*I7/100</f>
        <v>1362.1249533661</v>
      </c>
      <c r="J8" s="0" t="n">
        <f aca="false">J6*J7/100</f>
        <v>1382.55682766659</v>
      </c>
      <c r="K8" s="0" t="n">
        <f aca="false">K6*K7/100</f>
        <v>1403.29518008159</v>
      </c>
      <c r="L8" s="0" t="n">
        <f aca="false">L6*L7/100</f>
        <v>1424.34460778281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-21.23785146</v>
      </c>
      <c r="D10" s="0" t="n">
        <f aca="false">-D6*D9/100</f>
        <v>-20.175958887</v>
      </c>
      <c r="E10" s="0" t="n">
        <f aca="false">-E6*E9/100</f>
        <v>-19.36892053152</v>
      </c>
      <c r="F10" s="0" t="n">
        <f aca="false">-F6*F9/100</f>
        <v>-18.9815421208896</v>
      </c>
      <c r="G10" s="0" t="n">
        <f aca="false">-G6*G9/100</f>
        <v>-18.9815421208896</v>
      </c>
      <c r="H10" s="0" t="n">
        <f aca="false">-H6*H9/100</f>
        <v>-19.1713575420985</v>
      </c>
      <c r="I10" s="0" t="n">
        <f aca="false">-I6*I9/100</f>
        <v>-19.45892790523</v>
      </c>
      <c r="J10" s="0" t="n">
        <f aca="false">-J6*J9/100</f>
        <v>-19.7508118238084</v>
      </c>
      <c r="K10" s="0" t="n">
        <f aca="false">-K6*K9/100</f>
        <v>-20.0470740011655</v>
      </c>
      <c r="L10" s="0" t="n">
        <f aca="false">-L6*L9/100</f>
        <v>-20.347780111183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1783.97952264</v>
      </c>
      <c r="D11" s="0" t="n">
        <f aca="false">D8+D10+D24</f>
        <v>1560.274153928</v>
      </c>
      <c r="E11" s="0" t="n">
        <f aca="false">E8+E10+E24</f>
        <v>1401.01858511328</v>
      </c>
      <c r="F11" s="0" t="n">
        <f aca="false">F8+F10+F24</f>
        <v>1309.72640634138</v>
      </c>
      <c r="G11" s="0" t="n">
        <f aca="false">G8+G10+G24</f>
        <v>1309.72640634138</v>
      </c>
      <c r="H11" s="0" t="n">
        <f aca="false">H8+H10+H24</f>
        <v>1322.8236704048</v>
      </c>
      <c r="I11" s="0" t="n">
        <f aca="false">I8+I10+I24</f>
        <v>1342.66602546087</v>
      </c>
      <c r="J11" s="0" t="n">
        <f aca="false">J8+J10+J24</f>
        <v>1362.80601584278</v>
      </c>
      <c r="K11" s="0" t="n">
        <f aca="false">K8+K10+K24</f>
        <v>1383.24810608042</v>
      </c>
      <c r="L11" s="0" t="n">
        <f aca="false">L8+L10+L24</f>
        <v>1403.99682767163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-176.9820955</v>
      </c>
      <c r="D12" s="4" t="n">
        <f aca="false">-D6*Assumptions!D17/100</f>
        <v>-181.583629983</v>
      </c>
      <c r="E12" s="4" t="n">
        <f aca="false">-E6*Assumptions!E17/100</f>
        <v>-180.77659162752</v>
      </c>
      <c r="F12" s="4" t="n">
        <f aca="false">-F6*Assumptions!F17/100</f>
        <v>-183.488240501933</v>
      </c>
      <c r="G12" s="4" t="n">
        <f aca="false">-G6*Assumptions!G17/100</f>
        <v>-189.815421208896</v>
      </c>
      <c r="H12" s="4" t="n">
        <f aca="false">-H6*Assumptions!H17/100</f>
        <v>-191.713575420985</v>
      </c>
      <c r="I12" s="4" t="n">
        <f aca="false">-I6*Assumptions!I17/100</f>
        <v>-194.5892790523</v>
      </c>
      <c r="J12" s="4" t="n">
        <f aca="false">-J6*Assumptions!J17/100</f>
        <v>-197.508118238084</v>
      </c>
      <c r="K12" s="4" t="n">
        <f aca="false">-K6*Assumptions!K17/100</f>
        <v>-200.470740011655</v>
      </c>
      <c r="L12" s="4" t="n">
        <f aca="false">-L6*Assumptions!L17/100</f>
        <v>-203.47780111183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1606.99742714</v>
      </c>
      <c r="D13" s="0" t="n">
        <f aca="false">D11+D12</f>
        <v>1378.690523945</v>
      </c>
      <c r="E13" s="0" t="n">
        <f aca="false">E11+E12</f>
        <v>1220.24199348576</v>
      </c>
      <c r="F13" s="0" t="n">
        <f aca="false">F11+F12</f>
        <v>1126.23816583945</v>
      </c>
      <c r="G13" s="0" t="n">
        <f aca="false">G11+G12</f>
        <v>1119.91098513249</v>
      </c>
      <c r="H13" s="0" t="n">
        <f aca="false">H11+H12</f>
        <v>1131.11009498381</v>
      </c>
      <c r="I13" s="0" t="n">
        <f aca="false">I11+I12</f>
        <v>1148.07674640857</v>
      </c>
      <c r="J13" s="0" t="n">
        <f aca="false">J11+J12</f>
        <v>1165.2978976047</v>
      </c>
      <c r="K13" s="0" t="n">
        <f aca="false">K11+K12</f>
        <v>1182.77736606877</v>
      </c>
      <c r="L13" s="0" t="n">
        <f aca="false">L11+L12</f>
        <v>1200.5190265598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1124.898198998</v>
      </c>
      <c r="D15" s="0" t="n">
        <f aca="false">D13-MAX(0,D13)*D14/100</f>
        <v>965.0833667615</v>
      </c>
      <c r="E15" s="0" t="n">
        <f aca="false">E13-MAX(0,E13)*E14/100</f>
        <v>854.169395440032</v>
      </c>
      <c r="F15" s="0" t="n">
        <f aca="false">F13-MAX(0,F13)*F14/100</f>
        <v>788.366716087615</v>
      </c>
      <c r="G15" s="0" t="n">
        <f aca="false">G13-MAX(0,G13)*G14/100</f>
        <v>783.93768959274</v>
      </c>
      <c r="H15" s="0" t="n">
        <f aca="false">H13-MAX(0,H13)*H14/100</f>
        <v>791.777066488668</v>
      </c>
      <c r="I15" s="0" t="n">
        <f aca="false">I13-MAX(0,I13)*I14/100</f>
        <v>803.653722485998</v>
      </c>
      <c r="J15" s="0" t="n">
        <f aca="false">J13-MAX(0,J13)*J14/100</f>
        <v>815.708528323288</v>
      </c>
      <c r="K15" s="0" t="n">
        <f aca="false">K13-MAX(0,K13)*K14/100</f>
        <v>827.944156248137</v>
      </c>
      <c r="L15" s="0" t="n">
        <f aca="false">L13-MAX(0,L13)*L14/100</f>
        <v>840.363318591859</v>
      </c>
    </row>
    <row r="16" customFormat="false" ht="15" hidden="false" customHeight="false" outlineLevel="0" collapsed="false">
      <c r="A16" s="0" t="s">
        <v>117</v>
      </c>
      <c r="C16" s="0" t="n">
        <f aca="false">-C12</f>
        <v>176.9820955</v>
      </c>
      <c r="D16" s="0" t="n">
        <f aca="false">-D12</f>
        <v>181.583629983</v>
      </c>
      <c r="E16" s="0" t="n">
        <f aca="false">-E12</f>
        <v>180.77659162752</v>
      </c>
      <c r="F16" s="0" t="n">
        <f aca="false">-F12</f>
        <v>183.488240501933</v>
      </c>
      <c r="G16" s="0" t="n">
        <f aca="false">-G12</f>
        <v>189.815421208896</v>
      </c>
      <c r="H16" s="0" t="n">
        <f aca="false">-H12</f>
        <v>191.713575420985</v>
      </c>
      <c r="I16" s="0" t="n">
        <f aca="false">-I12</f>
        <v>194.5892790523</v>
      </c>
      <c r="J16" s="0" t="n">
        <f aca="false">-J12</f>
        <v>197.508118238084</v>
      </c>
      <c r="K16" s="0" t="n">
        <f aca="false">-K12</f>
        <v>200.470740011655</v>
      </c>
      <c r="L16" s="0" t="n">
        <f aca="false">-L12</f>
        <v>203.47780111183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-389.3606101</v>
      </c>
      <c r="D17" s="4" t="n">
        <f aca="false">-D6*Assumptions!D18/100</f>
        <v>-235.386187015</v>
      </c>
      <c r="E17" s="4" t="n">
        <f aca="false">-E6*Assumptions!E18/100</f>
        <v>-193.6892053152</v>
      </c>
      <c r="F17" s="4" t="n">
        <f aca="false">-F6*Assumptions!F18/100</f>
        <v>-189.815421208896</v>
      </c>
      <c r="G17" s="4" t="n">
        <f aca="false">-G6*Assumptions!G18/100</f>
        <v>-189.815421208896</v>
      </c>
      <c r="H17" s="4" t="n">
        <f aca="false">-H6*Assumptions!H18/100</f>
        <v>-191.713575420985</v>
      </c>
      <c r="I17" s="4" t="n">
        <f aca="false">-I6*Assumptions!I18/100</f>
        <v>-194.5892790523</v>
      </c>
      <c r="J17" s="4" t="n">
        <f aca="false">-J6*Assumptions!J18/100</f>
        <v>-197.508118238084</v>
      </c>
      <c r="K17" s="4" t="n">
        <f aca="false">-K6*Assumptions!K18/100</f>
        <v>-200.470740011655</v>
      </c>
      <c r="L17" s="4" t="n">
        <f aca="false">-L6*Assumptions!L18/100</f>
        <v>-203.47780111183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4.33425540000001</v>
      </c>
      <c r="D18" s="4" t="n">
        <f aca="false">(D6-C6)*Assumptions!$B$23/100</f>
        <v>10.61892573</v>
      </c>
      <c r="E18" s="4" t="n">
        <f aca="false">(E6-D6)*Assumptions!$B$23/100</f>
        <v>8.0703835548</v>
      </c>
      <c r="F18" s="4" t="n">
        <f aca="false">(F6-E6)*Assumptions!$B$23/100</f>
        <v>3.873784106304</v>
      </c>
      <c r="G18" s="4" t="n">
        <f aca="false">(G6-F6)*Assumptions!$B$23/100</f>
        <v>-0</v>
      </c>
      <c r="H18" s="4" t="n">
        <f aca="false">(H6-G6)*Assumptions!$B$23/100</f>
        <v>-1.89815421208896</v>
      </c>
      <c r="I18" s="4" t="n">
        <f aca="false">(I6-H6)*Assumptions!$B$23/100</f>
        <v>-2.87570363131475</v>
      </c>
      <c r="J18" s="4" t="n">
        <f aca="false">(J6-I6)*Assumptions!$B$23/100</f>
        <v>-2.91883918578446</v>
      </c>
      <c r="K18" s="4" t="n">
        <f aca="false">(K6-J6)*Assumptions!$B$23/100</f>
        <v>-2.96262177357125</v>
      </c>
      <c r="L18" s="4" t="n">
        <f aca="false">(L6-K6)*Assumptions!$B$23/100</f>
        <v>-3.00706110017482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916.853939798</v>
      </c>
      <c r="D19" s="0" t="n">
        <f aca="false">D15+D16+D17+D18</f>
        <v>921.8997354595</v>
      </c>
      <c r="E19" s="0" t="n">
        <f aca="false">E15+E16+E17+E18</f>
        <v>849.327165307152</v>
      </c>
      <c r="F19" s="0" t="n">
        <f aca="false">F15+F16+F17+F18</f>
        <v>785.913319486955</v>
      </c>
      <c r="G19" s="0" t="n">
        <f aca="false">G15+G16+G17+G18</f>
        <v>783.937689592741</v>
      </c>
      <c r="H19" s="0" t="n">
        <f aca="false">H15+H16+H17+H18</f>
        <v>789.878912276579</v>
      </c>
      <c r="I19" s="0" t="n">
        <f aca="false">I15+I16+I17+I18</f>
        <v>800.778018854683</v>
      </c>
      <c r="J19" s="0" t="n">
        <f aca="false">J15+J16+J17+J18</f>
        <v>812.789689137503</v>
      </c>
      <c r="K19" s="0" t="n">
        <f aca="false">K15+K16+K17+K18</f>
        <v>824.981534474566</v>
      </c>
      <c r="L19" s="0" t="n">
        <f aca="false">L15+L16+L17+L18</f>
        <v>837.356257491684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841.150403484403</v>
      </c>
      <c r="D21" s="0" t="n">
        <f aca="false">D19*D20</f>
        <v>775.944563133995</v>
      </c>
      <c r="E21" s="0" t="n">
        <f aca="false">E19*E20</f>
        <v>655.836406217276</v>
      </c>
      <c r="F21" s="0" t="n">
        <f aca="false">F19*F20</f>
        <v>556.760809236495</v>
      </c>
      <c r="G21" s="0" t="n">
        <f aca="false">G19*G20</f>
        <v>509.505709368532</v>
      </c>
      <c r="H21" s="0" t="n">
        <f aca="false">H19*H20</f>
        <v>470.978987581418</v>
      </c>
      <c r="I21" s="0" t="n">
        <f aca="false">I19*I20</f>
        <v>438.052998831299</v>
      </c>
      <c r="J21" s="0" t="n">
        <f aca="false">J19*J20</f>
        <v>407.911737443824</v>
      </c>
      <c r="K21" s="0" t="n">
        <f aca="false">K19*K20</f>
        <v>379.844416060075</v>
      </c>
      <c r="L21" s="0" t="n">
        <f aca="false">L19*L20</f>
        <v>353.708332386216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5389.69436374353</v>
      </c>
    </row>
    <row r="31" customFormat="false" ht="15" hidden="false" customHeight="false" outlineLevel="0" collapsed="false">
      <c r="A31" s="0" t="s">
        <v>126</v>
      </c>
      <c r="B31" s="0" t="n">
        <f aca="false">L19</f>
        <v>837.356257491684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10571.6227508325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12560.3438623753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10571.6227508325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4465.56769637598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9855.26206011952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14726.7620601195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7.11586478642434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0.0549836599591314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127.019604244111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108.513417968173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7.22967263719007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6040.92728619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5.12491253576332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6</v>
      </c>
      <c r="D5" s="4" t="n">
        <f aca="false">Assumptions!D27</f>
        <v>6.5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7223.759</v>
      </c>
      <c r="C6" s="0" t="n">
        <f aca="false">B6*(1+C5/100)</f>
        <v>7657.18454</v>
      </c>
      <c r="D6" s="0" t="n">
        <f aca="false">C6*(1+D5/100)</f>
        <v>8154.9015351</v>
      </c>
      <c r="E6" s="0" t="n">
        <f aca="false">D6*(1+E5/100)</f>
        <v>8684.9701348815</v>
      </c>
      <c r="F6" s="0" t="n">
        <f aca="false">E6*(1+F5/100)</f>
        <v>9206.06834297439</v>
      </c>
      <c r="G6" s="0" t="n">
        <f aca="false">F6*(1+G5/100)</f>
        <v>9712.40210183798</v>
      </c>
      <c r="H6" s="0" t="n">
        <f aca="false">G6*(1+H5/100)</f>
        <v>10198.0222069299</v>
      </c>
      <c r="I6" s="0" t="n">
        <f aca="false">H6*(1+I5/100)</f>
        <v>10656.9332062417</v>
      </c>
      <c r="J6" s="0" t="n">
        <f aca="false">I6*(1+J5/100)</f>
        <v>11083.2105344914</v>
      </c>
      <c r="K6" s="0" t="n">
        <f aca="false">J6*(1+K5/100)</f>
        <v>11471.1229031986</v>
      </c>
      <c r="L6" s="0" t="n">
        <f aca="false">K6*(1+L5/100)</f>
        <v>11815.2565902945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27</v>
      </c>
      <c r="D7" s="4" t="n">
        <f aca="false">Assumptions!D28</f>
        <v>27</v>
      </c>
      <c r="E7" s="4" t="n">
        <f aca="false">Assumptions!E28</f>
        <v>27</v>
      </c>
      <c r="F7" s="4" t="n">
        <f aca="false">Assumptions!F28</f>
        <v>26.8</v>
      </c>
      <c r="G7" s="4" t="n">
        <f aca="false">Assumptions!G28</f>
        <v>26.8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2067.4398258</v>
      </c>
      <c r="D8" s="0" t="n">
        <f aca="false">D6*D7/100</f>
        <v>2201.823414477</v>
      </c>
      <c r="E8" s="0" t="n">
        <f aca="false">E6*E7/100</f>
        <v>2344.94193641801</v>
      </c>
      <c r="F8" s="0" t="n">
        <f aca="false">F6*F7/100</f>
        <v>2467.22631591714</v>
      </c>
      <c r="G8" s="0" t="n">
        <f aca="false">G6*G7/100</f>
        <v>2602.92376329258</v>
      </c>
      <c r="H8" s="0" t="n">
        <f aca="false">H6*H7/100</f>
        <v>2702.47588483642</v>
      </c>
      <c r="I8" s="0" t="n">
        <f aca="false">I6*I7/100</f>
        <v>2824.08729965406</v>
      </c>
      <c r="J8" s="0" t="n">
        <f aca="false">J6*J7/100</f>
        <v>2937.05079164022</v>
      </c>
      <c r="K8" s="0" t="n">
        <f aca="false">K6*K7/100</f>
        <v>3039.84756934763</v>
      </c>
      <c r="L8" s="0" t="n">
        <f aca="false">L6*L7/100</f>
        <v>3131.04299642806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-22.97155362</v>
      </c>
      <c r="D10" s="0" t="n">
        <f aca="false">-D6*D9/100</f>
        <v>-24.4647046053</v>
      </c>
      <c r="E10" s="0" t="n">
        <f aca="false">-E6*E9/100</f>
        <v>-26.0549104046445</v>
      </c>
      <c r="F10" s="0" t="n">
        <f aca="false">-F6*F9/100</f>
        <v>-27.6182050289232</v>
      </c>
      <c r="G10" s="0" t="n">
        <f aca="false">-G6*G9/100</f>
        <v>-29.1372063055139</v>
      </c>
      <c r="H10" s="0" t="n">
        <f aca="false">-H6*H9/100</f>
        <v>-30.5940666207896</v>
      </c>
      <c r="I10" s="0" t="n">
        <f aca="false">-I6*I9/100</f>
        <v>-31.9707996187252</v>
      </c>
      <c r="J10" s="0" t="n">
        <f aca="false">-J6*J9/100</f>
        <v>-33.2496316034742</v>
      </c>
      <c r="K10" s="0" t="n">
        <f aca="false">-K6*K9/100</f>
        <v>-34.4133687095958</v>
      </c>
      <c r="L10" s="0" t="n">
        <f aca="false">-L6*L9/100</f>
        <v>-35.4457697708836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2044.46827218</v>
      </c>
      <c r="D11" s="0" t="n">
        <f aca="false">D8+D10+D24</f>
        <v>2177.3587098717</v>
      </c>
      <c r="E11" s="0" t="n">
        <f aca="false">E8+E10+E24</f>
        <v>2318.88702601336</v>
      </c>
      <c r="F11" s="0" t="n">
        <f aca="false">F8+F10+F24</f>
        <v>2439.60811088821</v>
      </c>
      <c r="G11" s="0" t="n">
        <f aca="false">G8+G10+G24</f>
        <v>2573.78655698706</v>
      </c>
      <c r="H11" s="0" t="n">
        <f aca="false">H8+H10+H24</f>
        <v>2671.88181821563</v>
      </c>
      <c r="I11" s="0" t="n">
        <f aca="false">I8+I10+I24</f>
        <v>2792.11650003533</v>
      </c>
      <c r="J11" s="0" t="n">
        <f aca="false">J8+J10+J24</f>
        <v>2903.80116003675</v>
      </c>
      <c r="K11" s="0" t="n">
        <f aca="false">K8+K10+K24</f>
        <v>3005.43420063803</v>
      </c>
      <c r="L11" s="0" t="n">
        <f aca="false">L8+L10+L24</f>
        <v>3095.59722665717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-191.4296135</v>
      </c>
      <c r="D12" s="4" t="n">
        <f aca="false">-D6*Assumptions!D31/100</f>
        <v>-220.1823414477</v>
      </c>
      <c r="E12" s="4" t="n">
        <f aca="false">-E6*Assumptions!E31/100</f>
        <v>-243.179163776682</v>
      </c>
      <c r="F12" s="4" t="n">
        <f aca="false">-F6*Assumptions!F31/100</f>
        <v>-266.975981946257</v>
      </c>
      <c r="G12" s="4" t="n">
        <f aca="false">-G6*Assumptions!G31/100</f>
        <v>-291.372063055139</v>
      </c>
      <c r="H12" s="4" t="n">
        <f aca="false">-H6*Assumptions!H31/100</f>
        <v>-305.940666207896</v>
      </c>
      <c r="I12" s="4" t="n">
        <f aca="false">-I6*Assumptions!I31/100</f>
        <v>-319.707996187252</v>
      </c>
      <c r="J12" s="4" t="n">
        <f aca="false">-J6*Assumptions!J31/100</f>
        <v>-332.496316034742</v>
      </c>
      <c r="K12" s="4" t="n">
        <f aca="false">-K6*Assumptions!K31/100</f>
        <v>-344.133687095958</v>
      </c>
      <c r="L12" s="4" t="n">
        <f aca="false">-L6*Assumptions!L31/100</f>
        <v>-354.457697708836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1853.03865868</v>
      </c>
      <c r="D13" s="0" t="n">
        <f aca="false">D11+D12</f>
        <v>1957.176368424</v>
      </c>
      <c r="E13" s="0" t="n">
        <f aca="false">E11+E12</f>
        <v>2075.70786223668</v>
      </c>
      <c r="F13" s="0" t="n">
        <f aca="false">F11+F12</f>
        <v>2172.63212894196</v>
      </c>
      <c r="G13" s="0" t="n">
        <f aca="false">G11+G12</f>
        <v>2282.41449393193</v>
      </c>
      <c r="H13" s="0" t="n">
        <f aca="false">H11+H12</f>
        <v>2365.94115200773</v>
      </c>
      <c r="I13" s="0" t="n">
        <f aca="false">I11+I12</f>
        <v>2472.40850384808</v>
      </c>
      <c r="J13" s="0" t="n">
        <f aca="false">J11+J12</f>
        <v>2571.304844002</v>
      </c>
      <c r="K13" s="0" t="n">
        <f aca="false">K11+K12</f>
        <v>2661.30051354207</v>
      </c>
      <c r="L13" s="0" t="n">
        <f aca="false">L11+L12</f>
        <v>2741.13952894834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1297.127061076</v>
      </c>
      <c r="D15" s="0" t="n">
        <f aca="false">D13-MAX(0,D13)*D14/100</f>
        <v>1370.0234578968</v>
      </c>
      <c r="E15" s="0" t="n">
        <f aca="false">E13-MAX(0,E13)*E14/100</f>
        <v>1452.99550356567</v>
      </c>
      <c r="F15" s="0" t="n">
        <f aca="false">F13-MAX(0,F13)*F14/100</f>
        <v>1520.84249025937</v>
      </c>
      <c r="G15" s="0" t="n">
        <f aca="false">G13-MAX(0,G13)*G14/100</f>
        <v>1597.69014575235</v>
      </c>
      <c r="H15" s="0" t="n">
        <f aca="false">H13-MAX(0,H13)*H14/100</f>
        <v>1656.15880640541</v>
      </c>
      <c r="I15" s="0" t="n">
        <f aca="false">I13-MAX(0,I13)*I14/100</f>
        <v>1730.68595269366</v>
      </c>
      <c r="J15" s="0" t="n">
        <f aca="false">J13-MAX(0,J13)*J14/100</f>
        <v>1799.9133908014</v>
      </c>
      <c r="K15" s="0" t="n">
        <f aca="false">K13-MAX(0,K13)*K14/100</f>
        <v>1862.91035947945</v>
      </c>
      <c r="L15" s="0" t="n">
        <f aca="false">L13-MAX(0,L13)*L14/100</f>
        <v>1918.79767026383</v>
      </c>
    </row>
    <row r="16" customFormat="false" ht="15" hidden="false" customHeight="false" outlineLevel="0" collapsed="false">
      <c r="A16" s="0" t="s">
        <v>117</v>
      </c>
      <c r="C16" s="0" t="n">
        <f aca="false">-C12</f>
        <v>191.4296135</v>
      </c>
      <c r="D16" s="0" t="n">
        <f aca="false">-D12</f>
        <v>220.1823414477</v>
      </c>
      <c r="E16" s="0" t="n">
        <f aca="false">-E12</f>
        <v>243.179163776682</v>
      </c>
      <c r="F16" s="0" t="n">
        <f aca="false">-F12</f>
        <v>266.975981946257</v>
      </c>
      <c r="G16" s="0" t="n">
        <f aca="false">-G12</f>
        <v>291.372063055139</v>
      </c>
      <c r="H16" s="0" t="n">
        <f aca="false">-H12</f>
        <v>305.940666207896</v>
      </c>
      <c r="I16" s="0" t="n">
        <f aca="false">-I12</f>
        <v>319.707996187252</v>
      </c>
      <c r="J16" s="0" t="n">
        <f aca="false">-J12</f>
        <v>332.496316034742</v>
      </c>
      <c r="K16" s="0" t="n">
        <f aca="false">-K12</f>
        <v>344.133687095958</v>
      </c>
      <c r="L16" s="0" t="n">
        <f aca="false">-L12</f>
        <v>354.457697708836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-421.1451497</v>
      </c>
      <c r="D17" s="4" t="n">
        <f aca="false">-D6*Assumptions!D32/100</f>
        <v>-366.9705690795</v>
      </c>
      <c r="E17" s="4" t="n">
        <f aca="false">-E6*Assumptions!E32/100</f>
        <v>-347.39880539526</v>
      </c>
      <c r="F17" s="4" t="n">
        <f aca="false">-F6*Assumptions!F32/100</f>
        <v>-331.418460347078</v>
      </c>
      <c r="G17" s="4" t="n">
        <f aca="false">-G6*Assumptions!G32/100</f>
        <v>-330.221671462491</v>
      </c>
      <c r="H17" s="4" t="n">
        <f aca="false">-H6*Assumptions!H32/100</f>
        <v>-336.534732828686</v>
      </c>
      <c r="I17" s="4" t="n">
        <f aca="false">-I6*Assumptions!I32/100</f>
        <v>-351.678795805977</v>
      </c>
      <c r="J17" s="4" t="n">
        <f aca="false">-J6*Assumptions!J32/100</f>
        <v>-365.745947638216</v>
      </c>
      <c r="K17" s="4" t="n">
        <f aca="false">-K6*Assumptions!K32/100</f>
        <v>-378.547055805553</v>
      </c>
      <c r="L17" s="4" t="n">
        <f aca="false">-L6*Assumptions!L32/100</f>
        <v>-389.90346747972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-13.0027662</v>
      </c>
      <c r="D18" s="4" t="n">
        <f aca="false">(D6-C6)*Assumptions!$B$37/100</f>
        <v>-14.931509853</v>
      </c>
      <c r="E18" s="4" t="n">
        <f aca="false">(E6-D6)*Assumptions!$B$37/100</f>
        <v>-15.902057993445</v>
      </c>
      <c r="F18" s="4" t="n">
        <f aca="false">(F6-E6)*Assumptions!$B$37/100</f>
        <v>-15.6329462427867</v>
      </c>
      <c r="G18" s="4" t="n">
        <f aca="false">(G6-F6)*Assumptions!$B$37/100</f>
        <v>-15.1900127659077</v>
      </c>
      <c r="H18" s="4" t="n">
        <f aca="false">(H6-G6)*Assumptions!$B$37/100</f>
        <v>-14.568603152757</v>
      </c>
      <c r="I18" s="4" t="n">
        <f aca="false">(I6-H6)*Assumptions!$B$37/100</f>
        <v>-13.7673299793553</v>
      </c>
      <c r="J18" s="4" t="n">
        <f aca="false">(J6-I6)*Assumptions!$B$37/100</f>
        <v>-12.7883198474901</v>
      </c>
      <c r="K18" s="4" t="n">
        <f aca="false">(K6-J6)*Assumptions!$B$37/100</f>
        <v>-11.6373710612159</v>
      </c>
      <c r="L18" s="4" t="n">
        <f aca="false">(L6-K6)*Assumptions!$B$37/100</f>
        <v>-10.3240106128788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1054.408758676</v>
      </c>
      <c r="D19" s="0" t="n">
        <f aca="false">D15+D16+D17+D18</f>
        <v>1208.303720412</v>
      </c>
      <c r="E19" s="0" t="n">
        <f aca="false">E15+E16+E17+E18</f>
        <v>1332.87380395365</v>
      </c>
      <c r="F19" s="0" t="n">
        <f aca="false">F15+F16+F17+F18</f>
        <v>1440.76706561576</v>
      </c>
      <c r="G19" s="0" t="n">
        <f aca="false">G15+G16+G17+G18</f>
        <v>1543.65052457909</v>
      </c>
      <c r="H19" s="0" t="n">
        <f aca="false">H15+H16+H17+H18</f>
        <v>1610.99613663187</v>
      </c>
      <c r="I19" s="0" t="n">
        <f aca="false">I15+I16+I17+I18</f>
        <v>1684.94782309558</v>
      </c>
      <c r="J19" s="0" t="n">
        <f aca="false">J15+J16+J17+J18</f>
        <v>1753.87543935044</v>
      </c>
      <c r="K19" s="0" t="n">
        <f aca="false">K15+K16+K17+K18</f>
        <v>1816.85961970864</v>
      </c>
      <c r="L19" s="0" t="n">
        <f aca="false">L15+L16+L17+L18</f>
        <v>1873.02788988007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967.347485023853</v>
      </c>
      <c r="D21" s="0" t="n">
        <f aca="false">D19*D20</f>
        <v>1017.00506726033</v>
      </c>
      <c r="E21" s="0" t="n">
        <f aca="false">E19*E20</f>
        <v>1029.22313241916</v>
      </c>
      <c r="F21" s="0" t="n">
        <f aca="false">F19*F20</f>
        <v>1020.67571255463</v>
      </c>
      <c r="G21" s="0" t="n">
        <f aca="false">G19*G20</f>
        <v>1003.26692539985</v>
      </c>
      <c r="H21" s="0" t="n">
        <f aca="false">H19*H20</f>
        <v>960.584360002227</v>
      </c>
      <c r="I21" s="0" t="n">
        <f aca="false">I19*I20</f>
        <v>921.724160007479</v>
      </c>
      <c r="J21" s="0" t="n">
        <f aca="false">J19*J20</f>
        <v>880.210941756246</v>
      </c>
      <c r="K21" s="0" t="n">
        <f aca="false">K19*K20</f>
        <v>836.53264039528</v>
      </c>
      <c r="L21" s="0" t="n">
        <f aca="false">L19*L20</f>
        <v>791.187222302371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9427.75764712143</v>
      </c>
    </row>
    <row r="31" customFormat="false" ht="15" hidden="false" customHeight="false" outlineLevel="0" collapsed="false">
      <c r="A31" s="0" t="s">
        <v>126</v>
      </c>
      <c r="B31" s="0" t="n">
        <f aca="false">L19</f>
        <v>1873.02788988007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27292.6921096811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28095.4183482011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27292.6921096811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11528.728096406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20956.4857435274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25827.9857435274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12.479895682863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0.850243985598669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183.523841857845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218.173281916528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12.6739928242581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14696.064982136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7.57887530349218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8</v>
      </c>
      <c r="D5" s="4" t="n">
        <f aca="false">Assumptions!D41</f>
        <v>10</v>
      </c>
      <c r="E5" s="4" t="n">
        <f aca="false">Assumptions!E41</f>
        <v>9.5</v>
      </c>
      <c r="F5" s="4" t="n">
        <f aca="false">Assumptions!F41</f>
        <v>8.5</v>
      </c>
      <c r="G5" s="4" t="n">
        <f aca="false">Assumptions!G41</f>
        <v>7.5</v>
      </c>
      <c r="H5" s="4" t="n">
        <f aca="false">Assumptions!H41</f>
        <v>6.5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7223.759</v>
      </c>
      <c r="C6" s="0" t="n">
        <f aca="false">B6*(1+C5/100)</f>
        <v>7801.65972</v>
      </c>
      <c r="D6" s="0" t="n">
        <f aca="false">C6*(1+D5/100)</f>
        <v>8581.825692</v>
      </c>
      <c r="E6" s="0" t="n">
        <f aca="false">D6*(1+E5/100)</f>
        <v>9397.09913274</v>
      </c>
      <c r="F6" s="0" t="n">
        <f aca="false">E6*(1+F5/100)</f>
        <v>10195.8525590229</v>
      </c>
      <c r="G6" s="0" t="n">
        <f aca="false">F6*(1+G5/100)</f>
        <v>10960.5415009496</v>
      </c>
      <c r="H6" s="0" t="n">
        <f aca="false">G6*(1+H5/100)</f>
        <v>11672.9766985113</v>
      </c>
      <c r="I6" s="0" t="n">
        <f aca="false">H6*(1+I5/100)</f>
        <v>12314.9904169295</v>
      </c>
      <c r="J6" s="0" t="n">
        <f aca="false">I6*(1+J5/100)</f>
        <v>12930.7399377759</v>
      </c>
      <c r="K6" s="0" t="n">
        <f aca="false">J6*(1+K5/100)</f>
        <v>13447.969535287</v>
      </c>
      <c r="L6" s="0" t="n">
        <f aca="false">K6*(1+L5/100)</f>
        <v>13918.648469022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27.5</v>
      </c>
      <c r="D7" s="4" t="n">
        <f aca="false">Assumptions!D42</f>
        <v>28</v>
      </c>
      <c r="E7" s="4" t="n">
        <f aca="false">Assumptions!E42</f>
        <v>28.5</v>
      </c>
      <c r="F7" s="4" t="n">
        <f aca="false">Assumptions!F42</f>
        <v>28.8</v>
      </c>
      <c r="G7" s="4" t="n">
        <f aca="false">Assumptions!G42</f>
        <v>29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2145.456423</v>
      </c>
      <c r="D8" s="0" t="n">
        <f aca="false">D6*D7/100</f>
        <v>2402.91119376</v>
      </c>
      <c r="E8" s="0" t="n">
        <f aca="false">E6*E7/100</f>
        <v>2678.1732528309</v>
      </c>
      <c r="F8" s="0" t="n">
        <f aca="false">F6*F7/100</f>
        <v>2936.4055369986</v>
      </c>
      <c r="G8" s="0" t="n">
        <f aca="false">G6*G7/100</f>
        <v>3178.55703527539</v>
      </c>
      <c r="H8" s="0" t="n">
        <f aca="false">H6*H7/100</f>
        <v>3385.16324256829</v>
      </c>
      <c r="I8" s="0" t="n">
        <f aca="false">I6*I7/100</f>
        <v>3571.34722090955</v>
      </c>
      <c r="J8" s="0" t="n">
        <f aca="false">J6*J7/100</f>
        <v>3749.91458195502</v>
      </c>
      <c r="K8" s="0" t="n">
        <f aca="false">K6*K7/100</f>
        <v>3899.91116523322</v>
      </c>
      <c r="L8" s="0" t="n">
        <f aca="false">L6*L7/100</f>
        <v>4036.40805601639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-23.40497916</v>
      </c>
      <c r="D10" s="0" t="n">
        <f aca="false">-D6*D9/100</f>
        <v>-25.745477076</v>
      </c>
      <c r="E10" s="0" t="n">
        <f aca="false">-E6*E9/100</f>
        <v>-28.19129739822</v>
      </c>
      <c r="F10" s="0" t="n">
        <f aca="false">-F6*F9/100</f>
        <v>-30.5875576770687</v>
      </c>
      <c r="G10" s="0" t="n">
        <f aca="false">-G6*G9/100</f>
        <v>-32.8816245028489</v>
      </c>
      <c r="H10" s="0" t="n">
        <f aca="false">-H6*H9/100</f>
        <v>-35.018930095534</v>
      </c>
      <c r="I10" s="0" t="n">
        <f aca="false">-I6*I9/100</f>
        <v>-36.9449712507884</v>
      </c>
      <c r="J10" s="0" t="n">
        <f aca="false">-J6*J9/100</f>
        <v>-38.7922198133278</v>
      </c>
      <c r="K10" s="0" t="n">
        <f aca="false">-K6*K9/100</f>
        <v>-40.3439086058609</v>
      </c>
      <c r="L10" s="0" t="n">
        <f aca="false">-L6*L9/100</f>
        <v>-41.7559454070661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2122.05144384</v>
      </c>
      <c r="D11" s="0" t="n">
        <f aca="false">D8+D10+D24</f>
        <v>2377.165716684</v>
      </c>
      <c r="E11" s="0" t="n">
        <f aca="false">E8+E10+E24</f>
        <v>2649.98195543268</v>
      </c>
      <c r="F11" s="0" t="n">
        <f aca="false">F8+F10+F24</f>
        <v>2905.81797932153</v>
      </c>
      <c r="G11" s="0" t="n">
        <f aca="false">G8+G10+G24</f>
        <v>3145.67541077254</v>
      </c>
      <c r="H11" s="0" t="n">
        <f aca="false">H8+H10+H24</f>
        <v>3350.14431247276</v>
      </c>
      <c r="I11" s="0" t="n">
        <f aca="false">I8+I10+I24</f>
        <v>3534.40224965876</v>
      </c>
      <c r="J11" s="0" t="n">
        <f aca="false">J8+J10+J24</f>
        <v>3711.1223621417</v>
      </c>
      <c r="K11" s="0" t="n">
        <f aca="false">K8+K10+K24</f>
        <v>3859.56725662736</v>
      </c>
      <c r="L11" s="0" t="n">
        <f aca="false">L8+L10+L24</f>
        <v>3994.65211060932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-195.041493</v>
      </c>
      <c r="D12" s="4" t="n">
        <f aca="false">-D6*Assumptions!D45/100</f>
        <v>-231.709293684</v>
      </c>
      <c r="E12" s="4" t="n">
        <f aca="false">-E6*Assumptions!E45/100</f>
        <v>-263.11877571672</v>
      </c>
      <c r="F12" s="4" t="n">
        <f aca="false">-F6*Assumptions!F45/100</f>
        <v>-295.679724211664</v>
      </c>
      <c r="G12" s="4" t="n">
        <f aca="false">-G6*Assumptions!G45/100</f>
        <v>-328.816245028489</v>
      </c>
      <c r="H12" s="4" t="n">
        <f aca="false">-H6*Assumptions!H45/100</f>
        <v>-350.18930095534</v>
      </c>
      <c r="I12" s="4" t="n">
        <f aca="false">-I6*Assumptions!I45/100</f>
        <v>-369.449712507884</v>
      </c>
      <c r="J12" s="4" t="n">
        <f aca="false">-J6*Assumptions!J45/100</f>
        <v>-387.922198133278</v>
      </c>
      <c r="K12" s="4" t="n">
        <f aca="false">-K6*Assumptions!K45/100</f>
        <v>-403.439086058609</v>
      </c>
      <c r="L12" s="4" t="n">
        <f aca="false">-L6*Assumptions!L45/100</f>
        <v>-417.559454070661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1927.00995084</v>
      </c>
      <c r="D13" s="0" t="n">
        <f aca="false">D11+D12</f>
        <v>2145.456423</v>
      </c>
      <c r="E13" s="0" t="n">
        <f aca="false">E11+E12</f>
        <v>2386.86317971596</v>
      </c>
      <c r="F13" s="0" t="n">
        <f aca="false">F11+F12</f>
        <v>2610.13825510986</v>
      </c>
      <c r="G13" s="0" t="n">
        <f aca="false">G11+G12</f>
        <v>2816.85916574405</v>
      </c>
      <c r="H13" s="0" t="n">
        <f aca="false">H11+H12</f>
        <v>2999.95501151742</v>
      </c>
      <c r="I13" s="0" t="n">
        <f aca="false">I11+I12</f>
        <v>3164.95253715087</v>
      </c>
      <c r="J13" s="0" t="n">
        <f aca="false">J11+J12</f>
        <v>3323.20016400842</v>
      </c>
      <c r="K13" s="0" t="n">
        <f aca="false">K11+K12</f>
        <v>3456.12817056875</v>
      </c>
      <c r="L13" s="0" t="n">
        <f aca="false">L11+L12</f>
        <v>3577.09265653866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1348.906965588</v>
      </c>
      <c r="D15" s="0" t="n">
        <f aca="false">D13-MAX(0,D13)*D14/100</f>
        <v>1501.8194961</v>
      </c>
      <c r="E15" s="0" t="n">
        <f aca="false">E13-MAX(0,E13)*E14/100</f>
        <v>1670.80422580117</v>
      </c>
      <c r="F15" s="0" t="n">
        <f aca="false">F13-MAX(0,F13)*F14/100</f>
        <v>1827.0967785769</v>
      </c>
      <c r="G15" s="0" t="n">
        <f aca="false">G13-MAX(0,G13)*G14/100</f>
        <v>1971.80141602084</v>
      </c>
      <c r="H15" s="0" t="n">
        <f aca="false">H13-MAX(0,H13)*H14/100</f>
        <v>2099.96850806219</v>
      </c>
      <c r="I15" s="0" t="n">
        <f aca="false">I13-MAX(0,I13)*I14/100</f>
        <v>2215.46677600561</v>
      </c>
      <c r="J15" s="0" t="n">
        <f aca="false">J13-MAX(0,J13)*J14/100</f>
        <v>2326.24011480589</v>
      </c>
      <c r="K15" s="0" t="n">
        <f aca="false">K13-MAX(0,K13)*K14/100</f>
        <v>2419.28971939813</v>
      </c>
      <c r="L15" s="0" t="n">
        <f aca="false">L13-MAX(0,L13)*L14/100</f>
        <v>2503.96485957706</v>
      </c>
    </row>
    <row r="16" customFormat="false" ht="15" hidden="false" customHeight="false" outlineLevel="0" collapsed="false">
      <c r="A16" s="0" t="s">
        <v>117</v>
      </c>
      <c r="C16" s="0" t="n">
        <f aca="false">-C12</f>
        <v>195.041493</v>
      </c>
      <c r="D16" s="0" t="n">
        <f aca="false">-D12</f>
        <v>231.709293684</v>
      </c>
      <c r="E16" s="0" t="n">
        <f aca="false">-E12</f>
        <v>263.11877571672</v>
      </c>
      <c r="F16" s="0" t="n">
        <f aca="false">-F12</f>
        <v>295.679724211664</v>
      </c>
      <c r="G16" s="0" t="n">
        <f aca="false">-G12</f>
        <v>328.816245028489</v>
      </c>
      <c r="H16" s="0" t="n">
        <f aca="false">-H12</f>
        <v>350.18930095534</v>
      </c>
      <c r="I16" s="0" t="n">
        <f aca="false">-I12</f>
        <v>369.449712507884</v>
      </c>
      <c r="J16" s="0" t="n">
        <f aca="false">-J12</f>
        <v>387.922198133278</v>
      </c>
      <c r="K16" s="0" t="n">
        <f aca="false">-K12</f>
        <v>403.439086058609</v>
      </c>
      <c r="L16" s="0" t="n">
        <f aca="false">-L12</f>
        <v>417.559454070661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-429.0912846</v>
      </c>
      <c r="D17" s="4" t="n">
        <f aca="false">-D6*Assumptions!D46/100</f>
        <v>-411.927633216</v>
      </c>
      <c r="E17" s="4" t="n">
        <f aca="false">-E6*Assumptions!E46/100</f>
        <v>-404.07526270782</v>
      </c>
      <c r="F17" s="4" t="n">
        <f aca="false">-F6*Assumptions!F46/100</f>
        <v>-387.44239724287</v>
      </c>
      <c r="G17" s="4" t="n">
        <f aca="false">-G6*Assumptions!G46/100</f>
        <v>-394.579494034186</v>
      </c>
      <c r="H17" s="4" t="n">
        <f aca="false">-H6*Assumptions!H46/100</f>
        <v>-408.554184447897</v>
      </c>
      <c r="I17" s="4" t="n">
        <f aca="false">-I6*Assumptions!I46/100</f>
        <v>-418.709674175602</v>
      </c>
      <c r="J17" s="4" t="n">
        <f aca="false">-J6*Assumptions!J46/100</f>
        <v>-439.645157884382</v>
      </c>
      <c r="K17" s="4" t="n">
        <f aca="false">-K6*Assumptions!K46/100</f>
        <v>-457.230964199757</v>
      </c>
      <c r="L17" s="4" t="n">
        <f aca="false">-L6*Assumptions!L46/100</f>
        <v>-473.234047946749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-17.3370216</v>
      </c>
      <c r="D18" s="4" t="n">
        <f aca="false">(D6-C6)*Assumptions!$B$51/100</f>
        <v>-23.4049791600001</v>
      </c>
      <c r="E18" s="4" t="n">
        <f aca="false">(E6-D6)*Assumptions!$B$51/100</f>
        <v>-24.4582032222</v>
      </c>
      <c r="F18" s="4" t="n">
        <f aca="false">(F6-E6)*Assumptions!$B$51/100</f>
        <v>-23.962602788487</v>
      </c>
      <c r="G18" s="4" t="n">
        <f aca="false">(G6-F6)*Assumptions!$B$51/100</f>
        <v>-22.9406682578015</v>
      </c>
      <c r="H18" s="4" t="n">
        <f aca="false">(H6-G6)*Assumptions!$B$51/100</f>
        <v>-21.3730559268517</v>
      </c>
      <c r="I18" s="4" t="n">
        <f aca="false">(I6-H6)*Assumptions!$B$51/100</f>
        <v>-19.2604115525437</v>
      </c>
      <c r="J18" s="4" t="n">
        <f aca="false">(J6-I6)*Assumptions!$B$51/100</f>
        <v>-18.4724856253942</v>
      </c>
      <c r="K18" s="4" t="n">
        <f aca="false">(K6-J6)*Assumptions!$B$51/100</f>
        <v>-15.5168879253311</v>
      </c>
      <c r="L18" s="4" t="n">
        <f aca="false">(L6-K6)*Assumptions!$B$51/100</f>
        <v>-14.1203680120513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1097.520152388</v>
      </c>
      <c r="D19" s="0" t="n">
        <f aca="false">D15+D16+D17+D18</f>
        <v>1298.196177408</v>
      </c>
      <c r="E19" s="0" t="n">
        <f aca="false">E15+E16+E17+E18</f>
        <v>1505.38953558787</v>
      </c>
      <c r="F19" s="0" t="n">
        <f aca="false">F15+F16+F17+F18</f>
        <v>1711.37150275721</v>
      </c>
      <c r="G19" s="0" t="n">
        <f aca="false">G15+G16+G17+G18</f>
        <v>1883.09749875734</v>
      </c>
      <c r="H19" s="0" t="n">
        <f aca="false">H15+H16+H17+H18</f>
        <v>2020.23056864278</v>
      </c>
      <c r="I19" s="0" t="n">
        <f aca="false">I15+I16+I17+I18</f>
        <v>2146.94640278535</v>
      </c>
      <c r="J19" s="0" t="n">
        <f aca="false">J15+J16+J17+J18</f>
        <v>2256.04466942939</v>
      </c>
      <c r="K19" s="0" t="n">
        <f aca="false">K15+K16+K17+K18</f>
        <v>2349.98095333165</v>
      </c>
      <c r="L19" s="0" t="n">
        <f aca="false">L15+L16+L17+L18</f>
        <v>2434.16989768892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1006.89922237431</v>
      </c>
      <c r="D21" s="0" t="n">
        <f aca="false">D19*D20</f>
        <v>1092.66574985944</v>
      </c>
      <c r="E21" s="0" t="n">
        <f aca="false">E19*E20</f>
        <v>1162.43693043775</v>
      </c>
      <c r="F21" s="0" t="n">
        <f aca="false">F19*F20</f>
        <v>1212.37871805174</v>
      </c>
      <c r="G21" s="0" t="n">
        <f aca="false">G19*G20</f>
        <v>1223.8841679023</v>
      </c>
      <c r="H21" s="0" t="n">
        <f aca="false">H19*H20</f>
        <v>1204.59748084431</v>
      </c>
      <c r="I21" s="0" t="n">
        <f aca="false">I19*I20</f>
        <v>1174.45320416676</v>
      </c>
      <c r="J21" s="0" t="n">
        <f aca="false">J19*J20</f>
        <v>1132.23274502211</v>
      </c>
      <c r="K21" s="0" t="n">
        <f aca="false">K19*K20</f>
        <v>1081.99651224809</v>
      </c>
      <c r="L21" s="0" t="n">
        <f aca="false">L19*L20</f>
        <v>1028.21967060397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11319.7644015108</v>
      </c>
    </row>
    <row r="31" customFormat="false" ht="15" hidden="false" customHeight="false" outlineLevel="0" collapsed="false">
      <c r="A31" s="0" t="s">
        <v>126</v>
      </c>
      <c r="B31" s="0" t="n">
        <f aca="false">L19</f>
        <v>2434.16989768892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38384.9868481715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36512.5484653338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36512.5484653338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15423.2950590596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26743.0594605704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31614.5594605704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15.2759262005735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1.26477779104129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204.723496023171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278.140256259898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15.5092424691113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19960.1931610492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8.85866233177944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7.11586478642434</v>
      </c>
      <c r="C4" s="0" t="n">
        <f aca="false">B4/Assumptions!$B$2-1</f>
        <v>0.0549836599591314</v>
      </c>
      <c r="D4" s="4" t="n">
        <f aca="false">Assumptions!$B$24</f>
        <v>0.25</v>
      </c>
      <c r="E4" s="4" t="n">
        <f aca="false">DCF_Bear!$B$43</f>
        <v>7.22967263719007</v>
      </c>
      <c r="F4" s="4" t="n">
        <f aca="false">DCF_Bear!$B$47</f>
        <v>5.12491253576332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12.479895682863</v>
      </c>
      <c r="C5" s="0" t="n">
        <f aca="false">B5/Assumptions!$B$2-1</f>
        <v>0.850243985598669</v>
      </c>
      <c r="D5" s="4" t="n">
        <f aca="false">Assumptions!$B$38</f>
        <v>0.5</v>
      </c>
      <c r="E5" s="4" t="n">
        <f aca="false">DCF_Base!$B$43</f>
        <v>12.6739928242581</v>
      </c>
      <c r="F5" s="4" t="n">
        <f aca="false">DCF_Base!$B$47</f>
        <v>7.57887530349218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15.2759262005735</v>
      </c>
      <c r="C6" s="0" t="n">
        <f aca="false">B6/Assumptions!$B$2-1</f>
        <v>1.26477779104129</v>
      </c>
      <c r="D6" s="4" t="n">
        <f aca="false">Assumptions!$B$52</f>
        <v>0.25</v>
      </c>
      <c r="E6" s="4" t="n">
        <f aca="false">DCF_Bull!$B$43</f>
        <v>15.5092424691113</v>
      </c>
      <c r="F6" s="4" t="n">
        <f aca="false">DCF_Bull!$B$47</f>
        <v>8.85866233177944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11.837895588181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12.0217251887044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0.430219674624073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-2770.44370094925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7.28533136863178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12.479895682863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11.1446830510306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10.1092291388695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9.28342536730581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7.57887530349218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14.286232972781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14.286232972781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14.286232972781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14.286232972781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14.286232972781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13.1871171557458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13.4266632299291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13.4266632299291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13.4266632299291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13.4266632299291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11.7357839491513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12.0830360915501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12.479895682863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12.6437367985427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12.6437367985427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10.61159616561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10.8624605822785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11.1446830510306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11.4645351822829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11.8300804751428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9.71611800631417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9.90232854278774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10.1092291388695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10.3404709815491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10.6006180545636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2026-10-23T22:20:40Z</dcterms:created>
  <dc:creator>openpyxl</dc:creator>
  <dc:description/>
  <dc:language>en-NZ</dc:language>
  <cp:lastModifiedBy/>
  <dcterms:modified xsi:type="dcterms:W3CDTF">2026-10-23T22:20:40Z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