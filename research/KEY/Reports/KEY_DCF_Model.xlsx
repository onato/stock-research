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<sst xmlns="http://schemas.openxmlformats.org/spreadsheetml/2006/main" count="387" uniqueCount="175">
  <si>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</si>
  <si>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KEY</t>
  </si>
  <si>
    <t xml:space="preserve">Company</t>
  </si>
  <si>
    <t xml:space="preserve">KeyCorp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</si>
  <si>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</si>
  <si>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</si>
  <si>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</si>
  <si>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</si>
  <si>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NYSE regular close</t>
  </si>
  <si>
    <t xml:space="preserve">Balance sheet date</t>
  </si>
  <si>
    <t xml:space="preserve">2026-06-30</t>
  </si>
  <si>
    <t xml:space="preserve">Model</t>
  </si>
  <si>
    <t xml:space="preserve">Bank FCFE capitalisation at cost of equity on tangible book (engine route; residual-income equivalent: GAAP earnings after regulatory capital retention, preferred stock deducted in the equity bridge, net debt zero)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</si>
  <si>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</si>
  <si>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</si>
  <si>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</si>
  <si>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</si>
  <si>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</si>
  <si>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</si>
  <si>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</si>
  <si>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</si>
  <si>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2026-09-28T22:24:02Z</t>
  </si>
  <si>
    <t xml:space="preserve">Drivers file</t>
  </si>
  <si>
    <t xml:space="preserve">KEY_Drivers.json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</si>
  <si>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</si>
  <si>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</si>
  <si>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</si>
  <si>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regional bank is valued on what it can distribute after funding its regulatory capital, discounted at a USD cost of equity - never on statutory operating cash flow (which is loan and deposit movement) and never with deposits or wholesale funding treated as net debt. GAAP net income is the flow; capital retention at NPAT x g/ROTE is the reinvestment; preferred stock is deducted at book so the common claim is valued; 10.5% is the return an owner requires from a NIM-geared US super-regional after March 2023. The result is the residual-income answer in FCFE form: at a ~14.5% return on tangible common equity and 2.5% growth the franchise is worth ~1.5x tangible book, and the 1.50x TBV / 9.9x FY2027E EPS the market pays is that base case, with neither a margin of safety nor a premium embedded.
key_risks_to_valuation: Net interest margin: 5bp on ~$170bn of average earning assets is ~$85m of NII (~1.1% of revenue, ~4% of NPAT); the base assumes the guided 3.00-3.05% exit NIM and further 2027 repricing gains, and the bear case removes most of it; Credit cycle: every 10bp on the provision rate over ~$110bn of loans is ~$110m pre-tax (~4% of NPAT); CRE, agriculture and consumer-goods-linked commercial books are management's own watch categories; Capital-markets fees: investment banking and debt placement (~12% of revenue) fell ~25% peak-to-trough in 2022-23; a 20% decline is ~$190m of revenue (~7% of NPAT) with little cost offset; Operating leverage: the base assumes GAAP efficiency improves from ~61% to 58%; every 1pp is ~$85m pre-tax (~3% of NPAT), and KeyCorp's history is a ratio in the low-to-mid 60s; Share count: the ~12m further Q3 2026 repurchase estimate and the ~9m dilutive-award count are approximations until the Q3 10-Q cover prints; each 20m shares is ~2% of value per share; Capital: marked CET1 ~9.8% is at the bottom of the 9.5-10% range; the surplus funding the $3.0bn buyback is AOCI accretion, which reverses if long rates rise, and a Basel III endgame re-proposal could change the RWA base either way; Scotiabank's 14.9% stake: a standstill-governed strategic holder is a stabiliser today, but any change in Scotiabank's intent (sale, or a bid) would reprice the shares in either direction outside this model</t>
  </si>
  <si>
    <t xml:space="preserve">Data sources</t>
  </si>
  <si>
    <t xml:space="preserve">price: Yahoo Finance chart API at inputs.price_as_of (NYSE regular close); 52-week range 16.47-24.07.
financials: SEC XBRL companyfacts (CIK 0000091576) for FY2020-FY2025 annual NII, noninterest income, noninterest expense, provision, pre-tax income, tax, net income, preferred dividends, diluted EPS, equity, goodwill, intangibles, AOCI, preferred stock, deposits, long-term debt, share-based compensation and share counts; Q2 2026 10-Q (filed 2026-08-04) facts for the 30 Jun 2026 balance sheet, Q2/H1 2026 income statement, diluted shares and the 31 Jul 2026 cover-page share count; KEY_Metrics.csv / KEY.duckdb (101 periods) for the reported history and kpis (buybacks to FY2023, cash taxes). The CSV FreeCashFlow column is statutory OCF less capex and was not used.
qualitative: KEY_Analysis.json (2026-09-29): FY2026 guidance (revenue +7-8%, NII +9-11%, exit NIM 3.00-3.05%, loans +4-5%, NCOs 40-45bp, buybacks &gt;= $1.3bn, CET1 9.5-10% marked target), Q1/Q2 2026 results, the $3.0bn repurchase authorisation, Scotiabank's 14.9% investment, the Clearwater UK acquisition (Aug 2026), competitive position, CRE and rate risks, bull/bear cases.</t>
  </si>
  <si>
    <t xml:space="preserve">Scenario narrative: bear</t>
  </si>
  <si>
    <t xml:space="preserve">The repricing tailwind is blunted: the Fed cuts fast into a slowdown so reinvestment yields fall while deposit costs stay sticky, NIM plateaus near 2.95%, capital-markets fees drop ~20%, and loan growth stops. A mid-sized credit cycle (CRE, agriculture and consumer-goods-linked commercial exposures management already flags) pushes provisions to ~85bp in FY2028. With no operating leverage the efficiency ratio stays in the low 60s, ROTCE settles at ~10-11% - barely above the cost of equity - and the buyback is halted to hold marked CET1 above 9.5%. EPS falls to ~$1.35 before recovering slowly.</t>
  </si>
  <si>
    <t xml:space="preserve">Scenario narrative: base</t>
  </si>
  <si>
    <t xml:space="preserve">KeyCorp delivers the guided NIM recovery - exit-2026 NIM of 3.00-3.05% and the remaining ~$9bn of low-yield fixed-rate assets repricing through 2027 - on 4-5% loan growth, with fees compounding mid-single digits on KeyBanc Capital Markets, wealth and Clearwater UK. Expenses grow ~3.5% so the GAAP efficiency ratio improves from ~61% to ~58% and then stalls, because KeyCorp has never sustained a PNC-class cost base. Provisions normalise to ~45bp mid-cycle. GAAP EPS reaches ~$2.07 in FY2027 and ~$2.55 by FY2031; 66-83% of earnings are distributed once the AOCI-accretion surplus has been returned. At a 10.5% cost of equity and a ~14.5% return on tangible common equity the franchise is worth ~1.5x tangible book - which is what the market pays today.</t>
  </si>
  <si>
    <t xml:space="preserve">Scenario narrative: bull</t>
  </si>
  <si>
    <t xml:space="preserve">The Fed holds, the curve steepens and NIM exits 2027 above 3.20%; commercial loans grow 8-10% for a second year on deposit share gains; a multi-year M&amp;A upcycle lifts KeyBanc/Clearwater fees 10% a year and Scotiabank cross-border referrals start to show. Positive operating leverage takes efficiency to 56% by FY2030, credit stays benign, ROTCE reaches 16-17%, FY2028 EPS clears $2.45 and the buyback runs at the full $3.0bn authorisation. The market's 9.9x forward multiple re-rates toward the 11-12x regional-bank norm.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</si>
  <si>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</si>
  <si>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</si>
  <si>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</si>
  <si>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</si>
  <si>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</si>
  <si>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</si>
  <si>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</si>
  <si>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</si>
  <si>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</si>
  <si>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</si>
  <si>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</si>
  <si>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</si>
  <si>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</si>
  <si>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</si>
  <si>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</si>
  <si>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</si>
  <si>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</si>
  <si>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</si>
  <si>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</si>
  <si>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</si>
  <si>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</si>
  <si>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</si>
  <si>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</si>
  <si>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</si>
  <si>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</si>
  <si>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</si>
  <si>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</si>
  <si>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</si>
  <si>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</si>
  <si>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</si>
  <si>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</si>
  <si>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</si>
  <si>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</si>
  <si>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</si>
  <si>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</si>
  <si>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</si>
  <si>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</si>
  <si>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</si>
  <si>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</si>
  <si>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</si>
  <si>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</si>
  <si>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</si>
  <si>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</si>
  <si>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</si>
  <si>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</si>
  <si>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</si>
  <si>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</si>
  <si>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</si>
  <si>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</si>
  <si>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</si>
  <si>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</si>
  <si>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</si>
  <si>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</si>
  <si>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</si>
  <si>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</si>
  <si>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</si>
  <si>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</si>
  <si>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</si>
  <si>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</si>
  <si>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</si>
  <si>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</si>
  <si>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</si>
  <si>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</si>
  <si>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</si>
  <si>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</si>
  <si>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</si>
  <si>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</si>
  <si>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</si>
  <si>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</si>
  <si>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</si>
  <si>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</si>
  <si>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</si>
  <si>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</si>
  <si>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</si>
  <si>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</si>
  <si>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</si>
  <si>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</si>
  <si>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</si>
  <si>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</si>
  <si>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</si>
  <si>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</si>
  <si>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</si>
  <si>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</si>
  <si>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</si>
  <si>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KEY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</si>
  <si>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</si>
  <si>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</si>
  <si>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</si>
  <si>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</si>
  <si>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</si>
  <si>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</si>
  <si>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</si>
  <si>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</si>
  <si>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</si>
  <si>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</si>
  <si>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</si>
  <si>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</si>
  <si>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</si>
  <si>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</si>
  <si>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</si>
  <si>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</si>
  <si>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</si>
  <si>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</si>
  <si>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</si>
  <si>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</si>
  <si>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</si>
  <si>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</si>
  <si>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</si>
  <si>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</si>
  <si>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</si>
  <si>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</si>
  <si>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</si>
  <si>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</si>
  <si>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</si>
  <si>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</si>
  <si>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KEY owner-FCF component DCF: base case (millions, USD)</t>
  </si>
  <si>
    <t xml:space="preserve">KEY owner-FCF component DCF: bull case (millions, USD)</t>
  </si>
  <si>
    <t xml:space="preserve">KEY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</si>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</sst>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I2" s="0" t="n">
        <v>951</v>
      </c>
      <c r="K2" s="0" t="n">
        <v>2.35</v>
      </c>
      <c r="L2" s="0" t="n">
        <v>-44</v>
      </c>
      <c r="M2" s="0" t="n">
        <v>196</v>
      </c>
      <c r="N2" s="0" t="n">
        <v>-240</v>
      </c>
      <c r="O2" s="0" t="n">
        <v>7979</v>
      </c>
      <c r="T2" s="0" t="n">
        <v>395.823</v>
      </c>
      <c r="V2" s="0" t="n">
        <v>1.835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-1468</v>
      </c>
      <c r="K3" s="0" t="n">
        <v>-3.36</v>
      </c>
      <c r="L3" s="0" t="n">
        <v>-560</v>
      </c>
      <c r="M3" s="0" t="n">
        <v>202</v>
      </c>
      <c r="N3" s="0" t="n">
        <v>-762</v>
      </c>
      <c r="O3" s="0" t="n">
        <v>10681</v>
      </c>
      <c r="P3" s="0" t="n">
        <v>104531</v>
      </c>
      <c r="Q3" s="0" t="n">
        <v>93850</v>
      </c>
      <c r="R3" s="0" t="n">
        <v>14995</v>
      </c>
      <c r="T3" s="0" t="n">
        <v>450.039</v>
      </c>
      <c r="U3" s="0" t="n">
        <v>49</v>
      </c>
      <c r="V3" s="0" t="n">
        <v>0.625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-1335</v>
      </c>
      <c r="K4" s="0" t="n">
        <v>-2.34</v>
      </c>
      <c r="L4" s="0" t="n">
        <v>2320</v>
      </c>
      <c r="M4" s="0" t="n">
        <v>229</v>
      </c>
      <c r="N4" s="0" t="n">
        <v>2091</v>
      </c>
      <c r="O4" s="0" t="n">
        <v>10933</v>
      </c>
      <c r="P4" s="0" t="n">
        <v>93287</v>
      </c>
      <c r="Q4" s="0" t="n">
        <v>82354</v>
      </c>
      <c r="R4" s="0" t="n">
        <v>11558</v>
      </c>
      <c r="T4" s="0" t="n">
        <v>697.155</v>
      </c>
      <c r="U4" s="0" t="n">
        <v>54</v>
      </c>
      <c r="V4" s="0" t="n">
        <v>0.0925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584</v>
      </c>
      <c r="K5" s="0" t="n">
        <v>0.45</v>
      </c>
      <c r="L5" s="0" t="n">
        <v>2724</v>
      </c>
      <c r="M5" s="0" t="n">
        <v>156</v>
      </c>
      <c r="N5" s="0" t="n">
        <v>2568</v>
      </c>
      <c r="O5" s="0" t="n">
        <v>11374</v>
      </c>
      <c r="P5" s="0" t="n">
        <v>91843</v>
      </c>
      <c r="Q5" s="0" t="n">
        <v>80469</v>
      </c>
      <c r="R5" s="0" t="n">
        <v>10592</v>
      </c>
      <c r="T5" s="0" t="n">
        <v>878.153</v>
      </c>
      <c r="U5" s="0" t="n">
        <v>55</v>
      </c>
      <c r="V5" s="0" t="n">
        <v>0.04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932</v>
      </c>
      <c r="K6" s="0" t="n">
        <v>0.87</v>
      </c>
      <c r="L6" s="0" t="n">
        <v>1793</v>
      </c>
      <c r="M6" s="0" t="n">
        <v>180</v>
      </c>
      <c r="N6" s="0" t="n">
        <v>1613</v>
      </c>
      <c r="O6" s="0" t="n">
        <v>9922</v>
      </c>
      <c r="P6" s="0" t="n">
        <v>88785</v>
      </c>
      <c r="Q6" s="0" t="n">
        <v>78863</v>
      </c>
      <c r="R6" s="0" t="n">
        <v>9520</v>
      </c>
      <c r="T6" s="0" t="n">
        <v>935.801</v>
      </c>
      <c r="U6" s="0" t="n">
        <v>41</v>
      </c>
      <c r="V6" s="0" t="n">
        <v>0.1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865</v>
      </c>
      <c r="K7" s="0" t="n">
        <v>0.89</v>
      </c>
      <c r="L7" s="0" t="n">
        <v>1299</v>
      </c>
      <c r="M7" s="0" t="n">
        <v>164</v>
      </c>
      <c r="N7" s="0" t="n">
        <v>1135</v>
      </c>
      <c r="O7" s="0" t="n">
        <v>10309</v>
      </c>
      <c r="P7" s="0" t="n">
        <v>89236</v>
      </c>
      <c r="Q7" s="0" t="n">
        <v>78927</v>
      </c>
      <c r="R7" s="0" t="n">
        <v>6847</v>
      </c>
      <c r="T7" s="0" t="n">
        <v>943.259</v>
      </c>
      <c r="U7" s="0" t="n">
        <v>53</v>
      </c>
      <c r="V7" s="0" t="n">
        <v>0.18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910</v>
      </c>
      <c r="K8" s="0" t="n">
        <v>0.98</v>
      </c>
      <c r="L8" s="0" t="n">
        <v>1547</v>
      </c>
      <c r="M8" s="0" t="n">
        <v>100</v>
      </c>
      <c r="N8" s="0" t="n">
        <v>1447</v>
      </c>
      <c r="O8" s="0" t="n">
        <v>10320</v>
      </c>
      <c r="P8" s="0" t="n">
        <v>92934</v>
      </c>
      <c r="Q8" s="0" t="n">
        <v>82614</v>
      </c>
      <c r="R8" s="0" t="n">
        <v>7650</v>
      </c>
      <c r="T8" s="0" t="n">
        <v>912.571</v>
      </c>
      <c r="U8" s="0" t="n">
        <v>38</v>
      </c>
      <c r="V8" s="0" t="n">
        <v>0.215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4114</v>
      </c>
      <c r="I9" s="0" t="n">
        <v>907</v>
      </c>
      <c r="J9" s="0" t="n">
        <v>22.0466699076325</v>
      </c>
      <c r="K9" s="0" t="n">
        <v>1.01</v>
      </c>
      <c r="L9" s="0" t="n">
        <v>1320</v>
      </c>
      <c r="M9" s="0" t="n">
        <v>97</v>
      </c>
      <c r="N9" s="0" t="n">
        <v>1223</v>
      </c>
      <c r="O9" s="0" t="n">
        <v>10542</v>
      </c>
      <c r="P9" s="0" t="n">
        <v>93821</v>
      </c>
      <c r="Q9" s="0" t="n">
        <v>83279</v>
      </c>
      <c r="R9" s="0" t="n">
        <v>7875</v>
      </c>
      <c r="T9" s="0" t="n">
        <v>878.199</v>
      </c>
      <c r="U9" s="0" t="n">
        <v>46</v>
      </c>
      <c r="V9" s="0" t="n">
        <v>0.25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4256</v>
      </c>
      <c r="I10" s="0" t="n">
        <v>920</v>
      </c>
      <c r="J10" s="0" t="n">
        <v>21.6165413533835</v>
      </c>
      <c r="K10" s="0" t="n">
        <v>1.06</v>
      </c>
      <c r="L10" s="0" t="n">
        <v>1131</v>
      </c>
      <c r="M10" s="0" t="n">
        <v>75</v>
      </c>
      <c r="N10" s="0" t="n">
        <v>1056</v>
      </c>
      <c r="O10" s="0" t="n">
        <v>10759</v>
      </c>
      <c r="P10" s="0" t="n">
        <v>95131</v>
      </c>
      <c r="Q10" s="0" t="n">
        <v>84372</v>
      </c>
      <c r="R10" s="0" t="n">
        <v>10184</v>
      </c>
      <c r="T10" s="0" t="n">
        <v>844.489</v>
      </c>
      <c r="U10" s="0" t="n">
        <v>59</v>
      </c>
      <c r="V10" s="0" t="n">
        <v>0.29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5024</v>
      </c>
      <c r="I11" s="0" t="n">
        <v>791</v>
      </c>
      <c r="J11" s="0" t="n">
        <v>15.7444267515924</v>
      </c>
      <c r="K11" s="0" t="n">
        <v>0.81</v>
      </c>
      <c r="L11" s="0" t="n">
        <v>1689</v>
      </c>
      <c r="M11" s="0" t="n">
        <v>145</v>
      </c>
      <c r="N11" s="0" t="n">
        <v>1544</v>
      </c>
      <c r="O11" s="0" t="n">
        <v>15240</v>
      </c>
      <c r="P11" s="0" t="n">
        <v>136453</v>
      </c>
      <c r="Q11" s="0" t="n">
        <v>121213</v>
      </c>
      <c r="R11" s="0" t="n">
        <v>12384</v>
      </c>
      <c r="T11" s="0" t="n">
        <v>938.536</v>
      </c>
      <c r="U11" s="0" t="n">
        <v>102</v>
      </c>
      <c r="V11" s="0" t="n">
        <v>0.33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6308</v>
      </c>
      <c r="I12" s="0" t="n">
        <v>1298</v>
      </c>
      <c r="J12" s="0" t="n">
        <v>20.577045022194</v>
      </c>
      <c r="K12" s="0" t="n">
        <v>1.14</v>
      </c>
      <c r="L12" s="0" t="n">
        <v>1815</v>
      </c>
      <c r="M12" s="0" t="n">
        <v>112</v>
      </c>
      <c r="N12" s="0" t="n">
        <v>1703</v>
      </c>
      <c r="O12" s="0" t="n">
        <v>15025</v>
      </c>
      <c r="P12" s="0" t="n">
        <v>137698</v>
      </c>
      <c r="Q12" s="0" t="n">
        <v>122673</v>
      </c>
      <c r="R12" s="0" t="n">
        <v>14333</v>
      </c>
      <c r="T12" s="0" t="n">
        <v>1088.593</v>
      </c>
      <c r="U12" s="0" t="n">
        <v>104</v>
      </c>
      <c r="V12" s="0" t="n">
        <v>0.38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6455</v>
      </c>
      <c r="I13" s="0" t="n">
        <v>1866</v>
      </c>
      <c r="J13" s="0" t="n">
        <v>28.9078233927188</v>
      </c>
      <c r="K13" s="0" t="n">
        <v>1.73</v>
      </c>
      <c r="L13" s="0" t="n">
        <v>2506</v>
      </c>
      <c r="M13" s="0" t="n">
        <v>99</v>
      </c>
      <c r="N13" s="0" t="n">
        <v>2407</v>
      </c>
      <c r="O13" s="0" t="n">
        <v>15596</v>
      </c>
      <c r="P13" s="0" t="n">
        <v>139613</v>
      </c>
      <c r="Q13" s="0" t="n">
        <v>124017</v>
      </c>
      <c r="R13" s="0" t="n">
        <v>13732</v>
      </c>
      <c r="T13" s="0" t="n">
        <v>1054.682</v>
      </c>
      <c r="U13" s="0" t="n">
        <v>99</v>
      </c>
      <c r="V13" s="0" t="n">
        <v>0.565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6400</v>
      </c>
      <c r="I14" s="0" t="n">
        <v>1717</v>
      </c>
      <c r="J14" s="0" t="n">
        <v>26.828125</v>
      </c>
      <c r="K14" s="0" t="n">
        <v>1.63</v>
      </c>
      <c r="L14" s="0" t="n">
        <v>2906</v>
      </c>
      <c r="M14" s="0" t="n">
        <v>85</v>
      </c>
      <c r="N14" s="0" t="n">
        <v>2821</v>
      </c>
      <c r="O14" s="0" t="n">
        <v>17038</v>
      </c>
      <c r="P14" s="0" t="n">
        <v>144988</v>
      </c>
      <c r="Q14" s="0" t="n">
        <v>127950</v>
      </c>
      <c r="R14" s="0" t="n">
        <v>12448</v>
      </c>
      <c r="T14" s="0" t="n">
        <v>1002.254</v>
      </c>
      <c r="U14" s="0" t="n">
        <v>96</v>
      </c>
      <c r="V14" s="0" t="n">
        <v>0.71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6715</v>
      </c>
      <c r="I15" s="0" t="n">
        <v>1343</v>
      </c>
      <c r="J15" s="0" t="n">
        <v>20</v>
      </c>
      <c r="K15" s="0" t="n">
        <v>1.28</v>
      </c>
      <c r="L15" s="0" t="n">
        <v>1673</v>
      </c>
      <c r="M15" s="0" t="n">
        <v>63</v>
      </c>
      <c r="N15" s="0" t="n">
        <v>1610</v>
      </c>
      <c r="O15" s="0" t="n">
        <v>17981</v>
      </c>
      <c r="P15" s="0" t="n">
        <v>170336</v>
      </c>
      <c r="Q15" s="0" t="n">
        <v>152355</v>
      </c>
      <c r="R15" s="0" t="n">
        <v>13709</v>
      </c>
      <c r="T15" s="0" t="n">
        <v>974.807</v>
      </c>
      <c r="U15" s="0" t="n">
        <v>101</v>
      </c>
      <c r="V15" s="0" t="n">
        <v>0.74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7292</v>
      </c>
      <c r="I16" s="0" t="n">
        <v>2625</v>
      </c>
      <c r="J16" s="0" t="n">
        <v>35.9983543609435</v>
      </c>
      <c r="K16" s="0" t="n">
        <v>2.65</v>
      </c>
      <c r="L16" s="0" t="n">
        <v>1153</v>
      </c>
      <c r="M16" s="0" t="n">
        <v>66</v>
      </c>
      <c r="N16" s="0" t="n">
        <v>1087</v>
      </c>
      <c r="O16" s="0" t="n">
        <v>17423</v>
      </c>
      <c r="P16" s="0" t="n">
        <v>186346</v>
      </c>
      <c r="Q16" s="0" t="n">
        <v>168923</v>
      </c>
      <c r="R16" s="0" t="n">
        <v>12042</v>
      </c>
      <c r="T16" s="0" t="n">
        <v>957.414</v>
      </c>
      <c r="U16" s="0" t="n">
        <v>104</v>
      </c>
      <c r="V16" s="0" t="n">
        <v>0.75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7272</v>
      </c>
      <c r="I17" s="0" t="n">
        <v>1917</v>
      </c>
      <c r="J17" s="0" t="n">
        <v>26.3613861386139</v>
      </c>
      <c r="K17" s="0" t="n">
        <v>1.94</v>
      </c>
      <c r="L17" s="0" t="n">
        <v>4469</v>
      </c>
      <c r="M17" s="0" t="n">
        <v>96</v>
      </c>
      <c r="N17" s="0" t="n">
        <v>4373</v>
      </c>
      <c r="O17" s="0" t="n">
        <v>13454</v>
      </c>
      <c r="P17" s="0" t="n">
        <v>189813</v>
      </c>
      <c r="Q17" s="0" t="n">
        <v>176359</v>
      </c>
      <c r="R17" s="0" t="n">
        <v>19307</v>
      </c>
      <c r="T17" s="0" t="n">
        <v>933.059</v>
      </c>
      <c r="U17" s="0" t="n">
        <v>120</v>
      </c>
      <c r="V17" s="0" t="n">
        <v>0.79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6413</v>
      </c>
      <c r="I18" s="0" t="n">
        <v>967</v>
      </c>
      <c r="J18" s="0" t="n">
        <v>15.0787462965851</v>
      </c>
      <c r="K18" s="0" t="n">
        <v>0.89</v>
      </c>
      <c r="L18" s="0" t="n">
        <v>2903</v>
      </c>
      <c r="M18" s="0" t="n">
        <v>142</v>
      </c>
      <c r="N18" s="0" t="n">
        <v>2761</v>
      </c>
      <c r="O18" s="0" t="n">
        <v>14637</v>
      </c>
      <c r="P18" s="0" t="n">
        <v>188281</v>
      </c>
      <c r="Q18" s="0" t="n">
        <v>173644</v>
      </c>
      <c r="R18" s="0" t="n">
        <v>19554</v>
      </c>
      <c r="T18" s="0" t="n">
        <v>932.759</v>
      </c>
      <c r="U18" s="0" t="n">
        <v>121</v>
      </c>
      <c r="V18" s="0" t="n">
        <v>0.82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4619</v>
      </c>
      <c r="I19" s="0" t="n">
        <v>-161</v>
      </c>
      <c r="J19" s="0" t="n">
        <v>-3.48560294436025</v>
      </c>
      <c r="K19" s="0" t="n">
        <v>-0.32</v>
      </c>
      <c r="L19" s="0" t="n">
        <v>664</v>
      </c>
      <c r="M19" s="0" t="n">
        <v>65</v>
      </c>
      <c r="N19" s="0" t="n">
        <v>599</v>
      </c>
      <c r="O19" s="0" t="n">
        <v>18176</v>
      </c>
      <c r="P19" s="0" t="n">
        <v>187168</v>
      </c>
      <c r="Q19" s="0" t="n">
        <v>168992</v>
      </c>
      <c r="R19" s="0" t="n">
        <v>12105</v>
      </c>
      <c r="T19" s="0" t="n">
        <v>949.561</v>
      </c>
      <c r="U19" s="0" t="n">
        <v>104</v>
      </c>
      <c r="V19" s="0" t="n">
        <v>0.82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7513</v>
      </c>
      <c r="I20" s="0" t="n">
        <v>1829</v>
      </c>
      <c r="J20" s="0" t="n">
        <v>24.3444695860509</v>
      </c>
      <c r="K20" s="0" t="n">
        <v>1.53</v>
      </c>
      <c r="L20" s="0" t="n">
        <v>2208</v>
      </c>
      <c r="M20" s="0" t="n">
        <v>107</v>
      </c>
      <c r="N20" s="0" t="n">
        <v>2101</v>
      </c>
      <c r="O20" s="0" t="n">
        <v>20381</v>
      </c>
      <c r="P20" s="0" t="n">
        <v>184381</v>
      </c>
      <c r="Q20" s="0" t="n">
        <v>164000</v>
      </c>
      <c r="R20" s="0" t="n">
        <v>9917</v>
      </c>
      <c r="T20" s="0" t="n">
        <v>1107.994</v>
      </c>
      <c r="U20" s="0" t="n">
        <v>132</v>
      </c>
      <c r="V20" s="0" t="n">
        <v>0.82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20.4</v>
      </c>
    </row>
    <row r="3" customFormat="false" ht="15" hidden="false" customHeight="false" outlineLevel="0" collapsed="false">
      <c r="A3" s="0" t="s">
        <v>85</v>
      </c>
      <c r="B3" s="3" t="n">
        <v>1064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-2500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8000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31.1</v>
      </c>
      <c r="D14" s="3" t="n">
        <v>26.6</v>
      </c>
      <c r="E14" s="3" t="n">
        <v>31.6</v>
      </c>
      <c r="F14" s="3" t="n">
        <v>33.6</v>
      </c>
      <c r="G14" s="3" t="n">
        <v>33.6</v>
      </c>
      <c r="H14" s="3" t="n">
        <v>33.6</v>
      </c>
      <c r="I14" s="3" t="n">
        <v>33.6</v>
      </c>
      <c r="J14" s="3" t="n">
        <v>33.6</v>
      </c>
      <c r="K14" s="3" t="n">
        <v>33.6</v>
      </c>
      <c r="L14" s="3" t="n">
        <v>33.6</v>
      </c>
    </row>
    <row r="15" customFormat="false" ht="15" hidden="false" customHeight="false" outlineLevel="0" collapsed="false">
      <c r="A15" s="0" t="s">
        <v>108</v>
      </c>
      <c r="C15" s="3" t="n">
        <v>1.6</v>
      </c>
      <c r="D15" s="3" t="n">
        <v>1.6</v>
      </c>
      <c r="E15" s="3" t="n">
        <v>1.6</v>
      </c>
      <c r="F15" s="3" t="n">
        <v>1.6</v>
      </c>
      <c r="G15" s="3" t="n">
        <v>1.6</v>
      </c>
      <c r="H15" s="3" t="n">
        <v>1.6</v>
      </c>
      <c r="I15" s="3" t="n">
        <v>1.6</v>
      </c>
      <c r="J15" s="3" t="n">
        <v>1.6</v>
      </c>
      <c r="K15" s="3" t="n">
        <v>1.6</v>
      </c>
      <c r="L15" s="3" t="n">
        <v>1.6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5.5</v>
      </c>
      <c r="D18" s="3" t="n">
        <v>5.5</v>
      </c>
      <c r="E18" s="3" t="n">
        <v>5.5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36.7</v>
      </c>
      <c r="D28" s="3" t="n">
        <v>37</v>
      </c>
      <c r="E28" s="3" t="n">
        <v>37.3</v>
      </c>
      <c r="F28" s="3" t="n">
        <v>37.6</v>
      </c>
      <c r="G28" s="3" t="n">
        <v>37.6</v>
      </c>
      <c r="H28" s="3" t="n">
        <v>37.6</v>
      </c>
      <c r="I28" s="3" t="n">
        <v>37.6</v>
      </c>
      <c r="J28" s="3" t="n">
        <v>37.6</v>
      </c>
      <c r="K28" s="3" t="n">
        <v>37.6</v>
      </c>
      <c r="L28" s="3" t="n">
        <v>37.6</v>
      </c>
    </row>
    <row r="29" customFormat="false" ht="15" hidden="false" customHeight="false" outlineLevel="0" collapsed="false">
      <c r="A29" s="0" t="s">
        <v>108</v>
      </c>
      <c r="C29" s="3" t="n">
        <v>1.6</v>
      </c>
      <c r="D29" s="3" t="n">
        <v>1.6</v>
      </c>
      <c r="E29" s="3" t="n">
        <v>1.6</v>
      </c>
      <c r="F29" s="3" t="n">
        <v>1.6</v>
      </c>
      <c r="G29" s="3" t="n">
        <v>1.6</v>
      </c>
      <c r="H29" s="3" t="n">
        <v>1.6</v>
      </c>
      <c r="I29" s="3" t="n">
        <v>1.6</v>
      </c>
      <c r="J29" s="3" t="n">
        <v>1.6</v>
      </c>
      <c r="K29" s="3" t="n">
        <v>1.6</v>
      </c>
      <c r="L29" s="3" t="n">
        <v>1.6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9.5</v>
      </c>
      <c r="D32" s="3" t="n">
        <v>8.5</v>
      </c>
      <c r="E32" s="3" t="n">
        <v>7.6</v>
      </c>
      <c r="F32" s="3" t="n">
        <v>7.6</v>
      </c>
      <c r="G32" s="3" t="n">
        <v>6.6</v>
      </c>
      <c r="H32" s="3" t="n">
        <v>6.6</v>
      </c>
      <c r="I32" s="3" t="n">
        <v>5.7</v>
      </c>
      <c r="J32" s="3" t="n">
        <v>5.7</v>
      </c>
      <c r="K32" s="3" t="n">
        <v>4.7</v>
      </c>
      <c r="L32" s="3" t="n">
        <v>4.7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10.5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</v>
      </c>
      <c r="D41" s="3" t="n">
        <v>6.5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38.1</v>
      </c>
      <c r="D42" s="3" t="n">
        <v>39.1</v>
      </c>
      <c r="E42" s="3" t="n">
        <v>40.1</v>
      </c>
      <c r="F42" s="3" t="n">
        <v>40.6</v>
      </c>
      <c r="G42" s="3" t="n">
        <v>40.6</v>
      </c>
      <c r="H42" s="3" t="n">
        <v>40.6</v>
      </c>
      <c r="I42" s="3" t="n">
        <v>40.6</v>
      </c>
      <c r="J42" s="3" t="n">
        <v>40.6</v>
      </c>
      <c r="K42" s="3" t="n">
        <v>40.6</v>
      </c>
      <c r="L42" s="3" t="n">
        <v>40.6</v>
      </c>
    </row>
    <row r="43" customFormat="false" ht="15" hidden="false" customHeight="false" outlineLevel="0" collapsed="false">
      <c r="A43" s="0" t="s">
        <v>108</v>
      </c>
      <c r="C43" s="3" t="n">
        <v>1.6</v>
      </c>
      <c r="D43" s="3" t="n">
        <v>1.6</v>
      </c>
      <c r="E43" s="3" t="n">
        <v>1.6</v>
      </c>
      <c r="F43" s="3" t="n">
        <v>1.6</v>
      </c>
      <c r="G43" s="3" t="n">
        <v>1.6</v>
      </c>
      <c r="H43" s="3" t="n">
        <v>1.6</v>
      </c>
      <c r="I43" s="3" t="n">
        <v>1.6</v>
      </c>
      <c r="J43" s="3" t="n">
        <v>1.6</v>
      </c>
      <c r="K43" s="3" t="n">
        <v>1.6</v>
      </c>
      <c r="L43" s="3" t="n">
        <v>1.6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11.6</v>
      </c>
      <c r="D46" s="3" t="n">
        <v>11.6</v>
      </c>
      <c r="E46" s="3" t="n">
        <v>9.7</v>
      </c>
      <c r="F46" s="3" t="n">
        <v>9.7</v>
      </c>
      <c r="G46" s="3" t="n">
        <v>8.7</v>
      </c>
      <c r="H46" s="3" t="n">
        <v>7.8</v>
      </c>
      <c r="I46" s="3" t="n">
        <v>6.8</v>
      </c>
      <c r="J46" s="3" t="n">
        <v>6.8</v>
      </c>
      <c r="K46" s="3" t="n">
        <v>5.8</v>
      </c>
      <c r="L46" s="3" t="n">
        <v>5.8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10.5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8000</v>
      </c>
      <c r="C6" s="0" t="n">
        <f aca="false">B6*(1+C5/100)</f>
        <v>8080</v>
      </c>
      <c r="D6" s="0" t="n">
        <f aca="false">C6*(1+D5/100)</f>
        <v>8080</v>
      </c>
      <c r="E6" s="0" t="n">
        <f aca="false">D6*(1+E5/100)</f>
        <v>8241.6</v>
      </c>
      <c r="F6" s="0" t="n">
        <f aca="false">E6*(1+F5/100)</f>
        <v>8447.64</v>
      </c>
      <c r="G6" s="0" t="n">
        <f aca="false">F6*(1+G5/100)</f>
        <v>8658.831</v>
      </c>
      <c r="H6" s="0" t="n">
        <f aca="false">G6*(1+H5/100)</f>
        <v>8875.301775</v>
      </c>
      <c r="I6" s="0" t="n">
        <f aca="false">H6*(1+I5/100)</f>
        <v>9097.184319375</v>
      </c>
      <c r="J6" s="0" t="n">
        <f aca="false">I6*(1+J5/100)</f>
        <v>9279.1280057625</v>
      </c>
      <c r="K6" s="0" t="n">
        <f aca="false">J6*(1+K5/100)</f>
        <v>9464.71056587775</v>
      </c>
      <c r="L6" s="0" t="n">
        <f aca="false">K6*(1+L5/100)</f>
        <v>9654.0047771953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31.1</v>
      </c>
      <c r="D7" s="4" t="n">
        <f aca="false">Assumptions!D14</f>
        <v>26.6</v>
      </c>
      <c r="E7" s="4" t="n">
        <f aca="false">Assumptions!E14</f>
        <v>31.6</v>
      </c>
      <c r="F7" s="4" t="n">
        <f aca="false">Assumptions!F14</f>
        <v>33.6</v>
      </c>
      <c r="G7" s="4" t="n">
        <f aca="false">Assumptions!G14</f>
        <v>33.6</v>
      </c>
      <c r="H7" s="4" t="n">
        <f aca="false">Assumptions!H14</f>
        <v>33.6</v>
      </c>
      <c r="I7" s="4" t="n">
        <f aca="false">Assumptions!I14</f>
        <v>33.6</v>
      </c>
      <c r="J7" s="4" t="n">
        <f aca="false">Assumptions!J14</f>
        <v>33.6</v>
      </c>
      <c r="K7" s="4" t="n">
        <f aca="false">Assumptions!K14</f>
        <v>33.6</v>
      </c>
      <c r="L7" s="4" t="n">
        <f aca="false">Assumptions!L14</f>
        <v>33.6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2512.88</v>
      </c>
      <c r="D8" s="0" t="n">
        <f aca="false">D6*D7/100</f>
        <v>2149.28</v>
      </c>
      <c r="E8" s="0" t="n">
        <f aca="false">E6*E7/100</f>
        <v>2604.3456</v>
      </c>
      <c r="F8" s="0" t="n">
        <f aca="false">F6*F7/100</f>
        <v>2838.40704</v>
      </c>
      <c r="G8" s="0" t="n">
        <f aca="false">G6*G7/100</f>
        <v>2909.367216</v>
      </c>
      <c r="H8" s="0" t="n">
        <f aca="false">H6*H7/100</f>
        <v>2982.1013964</v>
      </c>
      <c r="I8" s="0" t="n">
        <f aca="false">I6*I7/100</f>
        <v>3056.65393131</v>
      </c>
      <c r="J8" s="0" t="n">
        <f aca="false">J6*J7/100</f>
        <v>3117.7870099362</v>
      </c>
      <c r="K8" s="0" t="n">
        <f aca="false">K6*K7/100</f>
        <v>3180.14275013492</v>
      </c>
      <c r="L8" s="0" t="n">
        <f aca="false">L6*L7/100</f>
        <v>3243.74560513762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1.6</v>
      </c>
      <c r="D9" s="4" t="n">
        <f aca="false">Assumptions!D15</f>
        <v>1.6</v>
      </c>
      <c r="E9" s="4" t="n">
        <f aca="false">Assumptions!E15</f>
        <v>1.6</v>
      </c>
      <c r="F9" s="4" t="n">
        <f aca="false">Assumptions!F15</f>
        <v>1.6</v>
      </c>
      <c r="G9" s="4" t="n">
        <f aca="false">Assumptions!G15</f>
        <v>1.6</v>
      </c>
      <c r="H9" s="4" t="n">
        <f aca="false">Assumptions!H15</f>
        <v>1.6</v>
      </c>
      <c r="I9" s="4" t="n">
        <f aca="false">Assumptions!I15</f>
        <v>1.6</v>
      </c>
      <c r="J9" s="4" t="n">
        <f aca="false">Assumptions!J15</f>
        <v>1.6</v>
      </c>
      <c r="K9" s="4" t="n">
        <f aca="false">Assumptions!K15</f>
        <v>1.6</v>
      </c>
      <c r="L9" s="4" t="n">
        <f aca="false">Assumptions!L15</f>
        <v>1.6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-129.28</v>
      </c>
      <c r="D10" s="0" t="n">
        <f aca="false">-D6*D9/100</f>
        <v>-129.28</v>
      </c>
      <c r="E10" s="0" t="n">
        <f aca="false">-E6*E9/100</f>
        <v>-131.8656</v>
      </c>
      <c r="F10" s="0" t="n">
        <f aca="false">-F6*F9/100</f>
        <v>-135.16224</v>
      </c>
      <c r="G10" s="0" t="n">
        <f aca="false">-G6*G9/100</f>
        <v>-138.541296</v>
      </c>
      <c r="H10" s="0" t="n">
        <f aca="false">-H6*H9/100</f>
        <v>-142.0048284</v>
      </c>
      <c r="I10" s="0" t="n">
        <f aca="false">-I6*I9/100</f>
        <v>-145.55494911</v>
      </c>
      <c r="J10" s="0" t="n">
        <f aca="false">-J6*J9/100</f>
        <v>-148.4660480922</v>
      </c>
      <c r="K10" s="0" t="n">
        <f aca="false">-K6*K9/100</f>
        <v>-151.435369054044</v>
      </c>
      <c r="L10" s="0" t="n">
        <f aca="false">-L6*L9/100</f>
        <v>-154.464076435125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2383.6</v>
      </c>
      <c r="D11" s="0" t="n">
        <f aca="false">D8+D10+D24</f>
        <v>2020</v>
      </c>
      <c r="E11" s="0" t="n">
        <f aca="false">E8+E10+E24</f>
        <v>2472.48</v>
      </c>
      <c r="F11" s="0" t="n">
        <f aca="false">F8+F10+F24</f>
        <v>2703.2448</v>
      </c>
      <c r="G11" s="0" t="n">
        <f aca="false">G8+G10+G24</f>
        <v>2770.82592</v>
      </c>
      <c r="H11" s="0" t="n">
        <f aca="false">H8+H10+H24</f>
        <v>2840.096568</v>
      </c>
      <c r="I11" s="0" t="n">
        <f aca="false">I8+I10+I24</f>
        <v>2911.0989822</v>
      </c>
      <c r="J11" s="0" t="n">
        <f aca="false">J8+J10+J24</f>
        <v>2969.320961844</v>
      </c>
      <c r="K11" s="0" t="n">
        <f aca="false">K8+K10+K24</f>
        <v>3028.70738108088</v>
      </c>
      <c r="L11" s="0" t="n">
        <f aca="false">L8+L10+L24</f>
        <v>3089.2815287025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2383.6</v>
      </c>
      <c r="D13" s="0" t="n">
        <f aca="false">D11+D12</f>
        <v>2020</v>
      </c>
      <c r="E13" s="0" t="n">
        <f aca="false">E11+E12</f>
        <v>2472.48</v>
      </c>
      <c r="F13" s="0" t="n">
        <f aca="false">F11+F12</f>
        <v>2703.2448</v>
      </c>
      <c r="G13" s="0" t="n">
        <f aca="false">G11+G12</f>
        <v>2770.82592</v>
      </c>
      <c r="H13" s="0" t="n">
        <f aca="false">H11+H12</f>
        <v>2840.096568</v>
      </c>
      <c r="I13" s="0" t="n">
        <f aca="false">I11+I12</f>
        <v>2911.0989822</v>
      </c>
      <c r="J13" s="0" t="n">
        <f aca="false">J11+J12</f>
        <v>2969.320961844</v>
      </c>
      <c r="K13" s="0" t="n">
        <f aca="false">K11+K12</f>
        <v>3028.70738108088</v>
      </c>
      <c r="L13" s="0" t="n">
        <f aca="false">L11+L12</f>
        <v>3089.2815287025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1883.044</v>
      </c>
      <c r="D15" s="0" t="n">
        <f aca="false">D13-MAX(0,D13)*D14/100</f>
        <v>1595.8</v>
      </c>
      <c r="E15" s="0" t="n">
        <f aca="false">E13-MAX(0,E13)*E14/100</f>
        <v>1953.2592</v>
      </c>
      <c r="F15" s="0" t="n">
        <f aca="false">F13-MAX(0,F13)*F14/100</f>
        <v>2135.563392</v>
      </c>
      <c r="G15" s="0" t="n">
        <f aca="false">G13-MAX(0,G13)*G14/100</f>
        <v>2188.9524768</v>
      </c>
      <c r="H15" s="0" t="n">
        <f aca="false">H13-MAX(0,H13)*H14/100</f>
        <v>2243.67628872</v>
      </c>
      <c r="I15" s="0" t="n">
        <f aca="false">I13-MAX(0,I13)*I14/100</f>
        <v>2299.768195938</v>
      </c>
      <c r="J15" s="0" t="n">
        <f aca="false">J13-MAX(0,J13)*J14/100</f>
        <v>2345.76355985676</v>
      </c>
      <c r="K15" s="0" t="n">
        <f aca="false">K13-MAX(0,K13)*K14/100</f>
        <v>2392.67883105389</v>
      </c>
      <c r="L15" s="0" t="n">
        <f aca="false">L13-MAX(0,L13)*L14/100</f>
        <v>2440.53240767497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-444.4</v>
      </c>
      <c r="D17" s="4" t="n">
        <f aca="false">-D6*Assumptions!D18/100</f>
        <v>-444.4</v>
      </c>
      <c r="E17" s="4" t="n">
        <f aca="false">-E6*Assumptions!E18/100</f>
        <v>-453.288</v>
      </c>
      <c r="F17" s="4" t="n">
        <f aca="false">-F6*Assumptions!F18/100</f>
        <v>-506.8584</v>
      </c>
      <c r="G17" s="4" t="n">
        <f aca="false">-G6*Assumptions!G18/100</f>
        <v>-519.52986</v>
      </c>
      <c r="H17" s="4" t="n">
        <f aca="false">-H6*Assumptions!H18/100</f>
        <v>-532.5181065</v>
      </c>
      <c r="I17" s="4" t="n">
        <f aca="false">-I6*Assumptions!I18/100</f>
        <v>-545.8310591625</v>
      </c>
      <c r="J17" s="4" t="n">
        <f aca="false">-J6*Assumptions!J18/100</f>
        <v>-445.3981442766</v>
      </c>
      <c r="K17" s="4" t="n">
        <f aca="false">-K6*Assumptions!K18/100</f>
        <v>-454.306107162132</v>
      </c>
      <c r="L17" s="4" t="n">
        <f aca="false">-L6*Assumptions!L18/100</f>
        <v>-463.392229305375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1438.644</v>
      </c>
      <c r="D19" s="0" t="n">
        <f aca="false">D15+D16+D17+D18</f>
        <v>1151.4</v>
      </c>
      <c r="E19" s="0" t="n">
        <f aca="false">E15+E16+E17+E18</f>
        <v>1499.9712</v>
      </c>
      <c r="F19" s="0" t="n">
        <f aca="false">F15+F16+F17+F18</f>
        <v>1628.704992</v>
      </c>
      <c r="G19" s="0" t="n">
        <f aca="false">G15+G16+G17+G18</f>
        <v>1669.4226168</v>
      </c>
      <c r="H19" s="0" t="n">
        <f aca="false">H15+H16+H17+H18</f>
        <v>1711.15818222</v>
      </c>
      <c r="I19" s="0" t="n">
        <f aca="false">I15+I16+I17+I18</f>
        <v>1753.9371367755</v>
      </c>
      <c r="J19" s="0" t="n">
        <f aca="false">J15+J16+J17+J18</f>
        <v>1900.36541558016</v>
      </c>
      <c r="K19" s="0" t="n">
        <f aca="false">K15+K16+K17+K18</f>
        <v>1938.37272389176</v>
      </c>
      <c r="L19" s="0" t="n">
        <f aca="false">L15+L16+L17+L18</f>
        <v>1977.1401783696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1301.94027149321</v>
      </c>
      <c r="D21" s="0" t="n">
        <f aca="false">D19*D20</f>
        <v>942.978235498864</v>
      </c>
      <c r="E21" s="0" t="n">
        <f aca="false">E19*E20</f>
        <v>1111.72170921971</v>
      </c>
      <c r="F21" s="0" t="n">
        <f aca="false">F19*F20</f>
        <v>1092.42923860574</v>
      </c>
      <c r="G21" s="0" t="n">
        <f aca="false">G19*G20</f>
        <v>1013.33933897817</v>
      </c>
      <c r="H21" s="0" t="n">
        <f aca="false">H19*H20</f>
        <v>939.975404934503</v>
      </c>
      <c r="I21" s="0" t="n">
        <f aca="false">I19*I20</f>
        <v>871.922886930195</v>
      </c>
      <c r="J21" s="0" t="n">
        <f aca="false">J19*J20</f>
        <v>854.946411953259</v>
      </c>
      <c r="K21" s="0" t="n">
        <f aca="false">K19*K20</f>
        <v>789.18130334147</v>
      </c>
      <c r="L21" s="0" t="n">
        <f aca="false">L19*L20</f>
        <v>728.47504923828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9646.9098501934</v>
      </c>
    </row>
    <row r="31" customFormat="false" ht="15" hidden="false" customHeight="false" outlineLevel="0" collapsed="false">
      <c r="A31" s="0" t="s">
        <v>137</v>
      </c>
      <c r="B31" s="0" t="n">
        <f aca="false">L19</f>
        <v>1977.1401783696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23725.6821404352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29657.102675544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23725.6821404352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8741.70059085936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18388.6104410528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15888.6104410528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14.9329045498616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-0.267994875006783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831.084683274744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682.945358660887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16.3558651155906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15512.9460148999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8.70654271670766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8000</v>
      </c>
      <c r="C6" s="0" t="n">
        <f aca="false">B6*(1+C5/100)</f>
        <v>8480</v>
      </c>
      <c r="D6" s="0" t="n">
        <f aca="false">C6*(1+D5/100)</f>
        <v>8861.6</v>
      </c>
      <c r="E6" s="0" t="n">
        <f aca="false">D6*(1+E5/100)</f>
        <v>9216.064</v>
      </c>
      <c r="F6" s="0" t="n">
        <f aca="false">E6*(1+F5/100)</f>
        <v>9584.70656</v>
      </c>
      <c r="G6" s="0" t="n">
        <f aca="false">F6*(1+G5/100)</f>
        <v>9920.1712896</v>
      </c>
      <c r="H6" s="0" t="n">
        <f aca="false">G6*(1+H5/100)</f>
        <v>10267.377284736</v>
      </c>
      <c r="I6" s="0" t="n">
        <f aca="false">H6*(1+I5/100)</f>
        <v>10575.3986032781</v>
      </c>
      <c r="J6" s="0" t="n">
        <f aca="false">I6*(1+J5/100)</f>
        <v>10892.6605613764</v>
      </c>
      <c r="K6" s="0" t="n">
        <f aca="false">J6*(1+K5/100)</f>
        <v>11164.9770754108</v>
      </c>
      <c r="L6" s="0" t="n">
        <f aca="false">K6*(1+L5/100)</f>
        <v>11444.1015022961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36.7</v>
      </c>
      <c r="D7" s="4" t="n">
        <f aca="false">Assumptions!D28</f>
        <v>37</v>
      </c>
      <c r="E7" s="4" t="n">
        <f aca="false">Assumptions!E28</f>
        <v>37.3</v>
      </c>
      <c r="F7" s="4" t="n">
        <f aca="false">Assumptions!F28</f>
        <v>37.6</v>
      </c>
      <c r="G7" s="4" t="n">
        <f aca="false">Assumptions!G28</f>
        <v>37.6</v>
      </c>
      <c r="H7" s="4" t="n">
        <f aca="false">Assumptions!H28</f>
        <v>37.6</v>
      </c>
      <c r="I7" s="4" t="n">
        <f aca="false">Assumptions!I28</f>
        <v>37.6</v>
      </c>
      <c r="J7" s="4" t="n">
        <f aca="false">Assumptions!J28</f>
        <v>37.6</v>
      </c>
      <c r="K7" s="4" t="n">
        <f aca="false">Assumptions!K28</f>
        <v>37.6</v>
      </c>
      <c r="L7" s="4" t="n">
        <f aca="false">Assumptions!L28</f>
        <v>37.6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3112.16</v>
      </c>
      <c r="D8" s="0" t="n">
        <f aca="false">D6*D7/100</f>
        <v>3278.792</v>
      </c>
      <c r="E8" s="0" t="n">
        <f aca="false">E6*E7/100</f>
        <v>3437.591872</v>
      </c>
      <c r="F8" s="0" t="n">
        <f aca="false">F6*F7/100</f>
        <v>3603.84966656</v>
      </c>
      <c r="G8" s="0" t="n">
        <f aca="false">G6*G7/100</f>
        <v>3729.9844048896</v>
      </c>
      <c r="H8" s="0" t="n">
        <f aca="false">H6*H7/100</f>
        <v>3860.53385906073</v>
      </c>
      <c r="I8" s="0" t="n">
        <f aca="false">I6*I7/100</f>
        <v>3976.34987483256</v>
      </c>
      <c r="J8" s="0" t="n">
        <f aca="false">J6*J7/100</f>
        <v>4095.64037107753</v>
      </c>
      <c r="K8" s="0" t="n">
        <f aca="false">K6*K7/100</f>
        <v>4198.03138035447</v>
      </c>
      <c r="L8" s="0" t="n">
        <f aca="false">L6*L7/100</f>
        <v>4302.98216486333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1.6</v>
      </c>
      <c r="D9" s="4" t="n">
        <f aca="false">Assumptions!D29</f>
        <v>1.6</v>
      </c>
      <c r="E9" s="4" t="n">
        <f aca="false">Assumptions!E29</f>
        <v>1.6</v>
      </c>
      <c r="F9" s="4" t="n">
        <f aca="false">Assumptions!F29</f>
        <v>1.6</v>
      </c>
      <c r="G9" s="4" t="n">
        <f aca="false">Assumptions!G29</f>
        <v>1.6</v>
      </c>
      <c r="H9" s="4" t="n">
        <f aca="false">Assumptions!H29</f>
        <v>1.6</v>
      </c>
      <c r="I9" s="4" t="n">
        <f aca="false">Assumptions!I29</f>
        <v>1.6</v>
      </c>
      <c r="J9" s="4" t="n">
        <f aca="false">Assumptions!J29</f>
        <v>1.6</v>
      </c>
      <c r="K9" s="4" t="n">
        <f aca="false">Assumptions!K29</f>
        <v>1.6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-135.68</v>
      </c>
      <c r="D10" s="0" t="n">
        <f aca="false">-D6*D9/100</f>
        <v>-141.7856</v>
      </c>
      <c r="E10" s="0" t="n">
        <f aca="false">-E6*E9/100</f>
        <v>-147.457024</v>
      </c>
      <c r="F10" s="0" t="n">
        <f aca="false">-F6*F9/100</f>
        <v>-153.35530496</v>
      </c>
      <c r="G10" s="0" t="n">
        <f aca="false">-G6*G9/100</f>
        <v>-158.7227406336</v>
      </c>
      <c r="H10" s="0" t="n">
        <f aca="false">-H6*H9/100</f>
        <v>-164.278036555776</v>
      </c>
      <c r="I10" s="0" t="n">
        <f aca="false">-I6*I9/100</f>
        <v>-169.206377652449</v>
      </c>
      <c r="J10" s="0" t="n">
        <f aca="false">-J6*J9/100</f>
        <v>-174.282568982023</v>
      </c>
      <c r="K10" s="0" t="n">
        <f aca="false">-K6*K9/100</f>
        <v>-178.639633206573</v>
      </c>
      <c r="L10" s="0" t="n">
        <f aca="false">-L6*L9/100</f>
        <v>-183.105624036738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2976.48</v>
      </c>
      <c r="D11" s="0" t="n">
        <f aca="false">D8+D10+D24</f>
        <v>3137.0064</v>
      </c>
      <c r="E11" s="0" t="n">
        <f aca="false">E8+E10+E24</f>
        <v>3290.134848</v>
      </c>
      <c r="F11" s="0" t="n">
        <f aca="false">F8+F10+F24</f>
        <v>3450.4943616</v>
      </c>
      <c r="G11" s="0" t="n">
        <f aca="false">G8+G10+G24</f>
        <v>3571.261664256</v>
      </c>
      <c r="H11" s="0" t="n">
        <f aca="false">H8+H10+H24</f>
        <v>3696.25582250496</v>
      </c>
      <c r="I11" s="0" t="n">
        <f aca="false">I8+I10+I24</f>
        <v>3807.14349718011</v>
      </c>
      <c r="J11" s="0" t="n">
        <f aca="false">J8+J10+J24</f>
        <v>3921.35780209551</v>
      </c>
      <c r="K11" s="0" t="n">
        <f aca="false">K8+K10+K24</f>
        <v>4019.3917471479</v>
      </c>
      <c r="L11" s="0" t="n">
        <f aca="false">L8+L10+L24</f>
        <v>4119.8765408266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2976.48</v>
      </c>
      <c r="D13" s="0" t="n">
        <f aca="false">D11+D12</f>
        <v>3137.0064</v>
      </c>
      <c r="E13" s="0" t="n">
        <f aca="false">E11+E12</f>
        <v>3290.134848</v>
      </c>
      <c r="F13" s="0" t="n">
        <f aca="false">F11+F12</f>
        <v>3450.4943616</v>
      </c>
      <c r="G13" s="0" t="n">
        <f aca="false">G11+G12</f>
        <v>3571.261664256</v>
      </c>
      <c r="H13" s="0" t="n">
        <f aca="false">H11+H12</f>
        <v>3696.25582250496</v>
      </c>
      <c r="I13" s="0" t="n">
        <f aca="false">I11+I12</f>
        <v>3807.14349718011</v>
      </c>
      <c r="J13" s="0" t="n">
        <f aca="false">J11+J12</f>
        <v>3921.35780209551</v>
      </c>
      <c r="K13" s="0" t="n">
        <f aca="false">K11+K12</f>
        <v>4019.3917471479</v>
      </c>
      <c r="L13" s="0" t="n">
        <f aca="false">L11+L12</f>
        <v>4119.8765408266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2351.4192</v>
      </c>
      <c r="D15" s="0" t="n">
        <f aca="false">D13-MAX(0,D13)*D14/100</f>
        <v>2478.235056</v>
      </c>
      <c r="E15" s="0" t="n">
        <f aca="false">E13-MAX(0,E13)*E14/100</f>
        <v>2599.20652992</v>
      </c>
      <c r="F15" s="0" t="n">
        <f aca="false">F13-MAX(0,F13)*F14/100</f>
        <v>2725.890545664</v>
      </c>
      <c r="G15" s="0" t="n">
        <f aca="false">G13-MAX(0,G13)*G14/100</f>
        <v>2821.29671476224</v>
      </c>
      <c r="H15" s="0" t="n">
        <f aca="false">H13-MAX(0,H13)*H14/100</f>
        <v>2920.04209977892</v>
      </c>
      <c r="I15" s="0" t="n">
        <f aca="false">I13-MAX(0,I13)*I14/100</f>
        <v>3007.64336277229</v>
      </c>
      <c r="J15" s="0" t="n">
        <f aca="false">J13-MAX(0,J13)*J14/100</f>
        <v>3097.87266365545</v>
      </c>
      <c r="K15" s="0" t="n">
        <f aca="false">K13-MAX(0,K13)*K14/100</f>
        <v>3175.31948024684</v>
      </c>
      <c r="L15" s="0" t="n">
        <f aca="false">L13-MAX(0,L13)*L14/100</f>
        <v>3254.70246725301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-805.6</v>
      </c>
      <c r="D17" s="4" t="n">
        <f aca="false">-D6*Assumptions!D32/100</f>
        <v>-753.236</v>
      </c>
      <c r="E17" s="4" t="n">
        <f aca="false">-E6*Assumptions!E32/100</f>
        <v>-700.420864</v>
      </c>
      <c r="F17" s="4" t="n">
        <f aca="false">-F6*Assumptions!F32/100</f>
        <v>-728.43769856</v>
      </c>
      <c r="G17" s="4" t="n">
        <f aca="false">-G6*Assumptions!G32/100</f>
        <v>-654.7313051136</v>
      </c>
      <c r="H17" s="4" t="n">
        <f aca="false">-H6*Assumptions!H32/100</f>
        <v>-677.646900792576</v>
      </c>
      <c r="I17" s="4" t="n">
        <f aca="false">-I6*Assumptions!I32/100</f>
        <v>-602.79772038685</v>
      </c>
      <c r="J17" s="4" t="n">
        <f aca="false">-J6*Assumptions!J32/100</f>
        <v>-620.881651998456</v>
      </c>
      <c r="K17" s="4" t="n">
        <f aca="false">-K6*Assumptions!K32/100</f>
        <v>-524.753922544309</v>
      </c>
      <c r="L17" s="4" t="n">
        <f aca="false">-L6*Assumptions!L32/100</f>
        <v>-537.872770607917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1545.8192</v>
      </c>
      <c r="D19" s="0" t="n">
        <f aca="false">D15+D16+D17+D18</f>
        <v>1724.999056</v>
      </c>
      <c r="E19" s="0" t="n">
        <f aca="false">E15+E16+E17+E18</f>
        <v>1898.78566592</v>
      </c>
      <c r="F19" s="0" t="n">
        <f aca="false">F15+F16+F17+F18</f>
        <v>1997.452847104</v>
      </c>
      <c r="G19" s="0" t="n">
        <f aca="false">G15+G16+G17+G18</f>
        <v>2166.56540964864</v>
      </c>
      <c r="H19" s="0" t="n">
        <f aca="false">H15+H16+H17+H18</f>
        <v>2242.39519898634</v>
      </c>
      <c r="I19" s="0" t="n">
        <f aca="false">I15+I16+I17+I18</f>
        <v>2404.84564238543</v>
      </c>
      <c r="J19" s="0" t="n">
        <f aca="false">J15+J16+J17+J18</f>
        <v>2476.991011657</v>
      </c>
      <c r="K19" s="0" t="n">
        <f aca="false">K15+K16+K17+K18</f>
        <v>2650.56555770253</v>
      </c>
      <c r="L19" s="0" t="n">
        <f aca="false">L15+L16+L17+L18</f>
        <v>2716.82969664509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1398.93140271493</v>
      </c>
      <c r="D21" s="0" t="n">
        <f aca="false">D19*D20</f>
        <v>1412.74671362175</v>
      </c>
      <c r="E21" s="0" t="n">
        <f aca="false">E19*E20</f>
        <v>1407.30785094972</v>
      </c>
      <c r="F21" s="0" t="n">
        <f aca="false">F19*F20</f>
        <v>1339.76128496614</v>
      </c>
      <c r="G21" s="0" t="n">
        <f aca="false">G19*G20</f>
        <v>1315.10495782947</v>
      </c>
      <c r="H21" s="0" t="n">
        <f aca="false">H19*H20</f>
        <v>1231.79514149638</v>
      </c>
      <c r="I21" s="0" t="n">
        <f aca="false">I19*I20</f>
        <v>1195.50462280827</v>
      </c>
      <c r="J21" s="0" t="n">
        <f aca="false">J19*J20</f>
        <v>1114.36177510635</v>
      </c>
      <c r="K21" s="0" t="n">
        <f aca="false">K19*K20</f>
        <v>1079.14063979395</v>
      </c>
      <c r="L21" s="0" t="n">
        <f aca="false">L19*L20</f>
        <v>1001.01281066859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12495.6671999556</v>
      </c>
    </row>
    <row r="31" customFormat="false" ht="15" hidden="false" customHeight="false" outlineLevel="0" collapsed="false">
      <c r="A31" s="0" t="s">
        <v>137</v>
      </c>
      <c r="B31" s="0" t="n">
        <f aca="false">L19</f>
        <v>2716.82969664509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34809.3804882653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40752.4454496764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34809.3804882653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12825.4766366914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25321.1438366469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22821.1438366469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21.4484434554952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0.0513942870340789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940.363127056366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864.396066499838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23.1446457050781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22278.0035124898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12.4354186813686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</v>
      </c>
      <c r="D5" s="4" t="n">
        <f aca="false">Assumptions!D41</f>
        <v>6.5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8000</v>
      </c>
      <c r="C6" s="0" t="n">
        <f aca="false">B6*(1+C5/100)</f>
        <v>8640</v>
      </c>
      <c r="D6" s="0" t="n">
        <f aca="false">C6*(1+D5/100)</f>
        <v>9201.6</v>
      </c>
      <c r="E6" s="0" t="n">
        <f aca="false">D6*(1+E5/100)</f>
        <v>9707.688</v>
      </c>
      <c r="F6" s="0" t="n">
        <f aca="false">E6*(1+F5/100)</f>
        <v>10193.0724</v>
      </c>
      <c r="G6" s="0" t="n">
        <f aca="false">F6*(1+G5/100)</f>
        <v>10651.760658</v>
      </c>
      <c r="H6" s="0" t="n">
        <f aca="false">G6*(1+H5/100)</f>
        <v>11077.83108432</v>
      </c>
      <c r="I6" s="0" t="n">
        <f aca="false">H6*(1+I5/100)</f>
        <v>11465.5551722712</v>
      </c>
      <c r="J6" s="0" t="n">
        <f aca="false">I6*(1+J5/100)</f>
        <v>11866.8496033007</v>
      </c>
      <c r="K6" s="0" t="n">
        <f aca="false">J6*(1+K5/100)</f>
        <v>12222.8550913997</v>
      </c>
      <c r="L6" s="0" t="n">
        <f aca="false">K6*(1+L5/100)</f>
        <v>12589.5407441417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38.1</v>
      </c>
      <c r="D7" s="4" t="n">
        <f aca="false">Assumptions!D42</f>
        <v>39.1</v>
      </c>
      <c r="E7" s="4" t="n">
        <f aca="false">Assumptions!E42</f>
        <v>40.1</v>
      </c>
      <c r="F7" s="4" t="n">
        <f aca="false">Assumptions!F42</f>
        <v>40.6</v>
      </c>
      <c r="G7" s="4" t="n">
        <f aca="false">Assumptions!G42</f>
        <v>40.6</v>
      </c>
      <c r="H7" s="4" t="n">
        <f aca="false">Assumptions!H42</f>
        <v>40.6</v>
      </c>
      <c r="I7" s="4" t="n">
        <f aca="false">Assumptions!I42</f>
        <v>40.6</v>
      </c>
      <c r="J7" s="4" t="n">
        <f aca="false">Assumptions!J42</f>
        <v>40.6</v>
      </c>
      <c r="K7" s="4" t="n">
        <f aca="false">Assumptions!K42</f>
        <v>40.6</v>
      </c>
      <c r="L7" s="4" t="n">
        <f aca="false">Assumptions!L42</f>
        <v>40.6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3291.84</v>
      </c>
      <c r="D8" s="0" t="n">
        <f aca="false">D6*D7/100</f>
        <v>3597.8256</v>
      </c>
      <c r="E8" s="0" t="n">
        <f aca="false">E6*E7/100</f>
        <v>3892.782888</v>
      </c>
      <c r="F8" s="0" t="n">
        <f aca="false">F6*F7/100</f>
        <v>4138.3873944</v>
      </c>
      <c r="G8" s="0" t="n">
        <f aca="false">G6*G7/100</f>
        <v>4324.614827148</v>
      </c>
      <c r="H8" s="0" t="n">
        <f aca="false">H6*H7/100</f>
        <v>4497.59942023392</v>
      </c>
      <c r="I8" s="0" t="n">
        <f aca="false">I6*I7/100</f>
        <v>4655.01539994211</v>
      </c>
      <c r="J8" s="0" t="n">
        <f aca="false">J6*J7/100</f>
        <v>4817.94093894008</v>
      </c>
      <c r="K8" s="0" t="n">
        <f aca="false">K6*K7/100</f>
        <v>4962.47916710828</v>
      </c>
      <c r="L8" s="0" t="n">
        <f aca="false">L6*L7/100</f>
        <v>5111.35354212153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1.6</v>
      </c>
      <c r="D9" s="4" t="n">
        <f aca="false">Assumptions!D43</f>
        <v>1.6</v>
      </c>
      <c r="E9" s="4" t="n">
        <f aca="false">Assumptions!E43</f>
        <v>1.6</v>
      </c>
      <c r="F9" s="4" t="n">
        <f aca="false">Assumptions!F43</f>
        <v>1.6</v>
      </c>
      <c r="G9" s="4" t="n">
        <f aca="false">Assumptions!G43</f>
        <v>1.6</v>
      </c>
      <c r="H9" s="4" t="n">
        <f aca="false">Assumptions!H43</f>
        <v>1.6</v>
      </c>
      <c r="I9" s="4" t="n">
        <f aca="false">Assumptions!I43</f>
        <v>1.6</v>
      </c>
      <c r="J9" s="4" t="n">
        <f aca="false">Assumptions!J43</f>
        <v>1.6</v>
      </c>
      <c r="K9" s="4" t="n">
        <f aca="false">Assumptions!K43</f>
        <v>1.6</v>
      </c>
      <c r="L9" s="4" t="n">
        <f aca="false">Assumptions!L43</f>
        <v>1.6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-138.24</v>
      </c>
      <c r="D10" s="0" t="n">
        <f aca="false">-D6*D9/100</f>
        <v>-147.2256</v>
      </c>
      <c r="E10" s="0" t="n">
        <f aca="false">-E6*E9/100</f>
        <v>-155.323008</v>
      </c>
      <c r="F10" s="0" t="n">
        <f aca="false">-F6*F9/100</f>
        <v>-163.0891584</v>
      </c>
      <c r="G10" s="0" t="n">
        <f aca="false">-G6*G9/100</f>
        <v>-170.428170528</v>
      </c>
      <c r="H10" s="0" t="n">
        <f aca="false">-H6*H9/100</f>
        <v>-177.24529734912</v>
      </c>
      <c r="I10" s="0" t="n">
        <f aca="false">-I6*I9/100</f>
        <v>-183.448882756339</v>
      </c>
      <c r="J10" s="0" t="n">
        <f aca="false">-J6*J9/100</f>
        <v>-189.869593652811</v>
      </c>
      <c r="K10" s="0" t="n">
        <f aca="false">-K6*K9/100</f>
        <v>-195.565681462395</v>
      </c>
      <c r="L10" s="0" t="n">
        <f aca="false">-L6*L9/100</f>
        <v>-201.432651906267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3153.6</v>
      </c>
      <c r="D11" s="0" t="n">
        <f aca="false">D8+D10+D24</f>
        <v>3450.6</v>
      </c>
      <c r="E11" s="0" t="n">
        <f aca="false">E8+E10+E24</f>
        <v>3737.45988</v>
      </c>
      <c r="F11" s="0" t="n">
        <f aca="false">F8+F10+F24</f>
        <v>3975.298236</v>
      </c>
      <c r="G11" s="0" t="n">
        <f aca="false">G8+G10+G24</f>
        <v>4154.18665662</v>
      </c>
      <c r="H11" s="0" t="n">
        <f aca="false">H8+H10+H24</f>
        <v>4320.3541228848</v>
      </c>
      <c r="I11" s="0" t="n">
        <f aca="false">I8+I10+I24</f>
        <v>4471.56651718577</v>
      </c>
      <c r="J11" s="0" t="n">
        <f aca="false">J8+J10+J24</f>
        <v>4628.07134528727</v>
      </c>
      <c r="K11" s="0" t="n">
        <f aca="false">K8+K10+K24</f>
        <v>4766.91348564589</v>
      </c>
      <c r="L11" s="0" t="n">
        <f aca="false">L8+L10+L24</f>
        <v>4909.92089021527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3153.6</v>
      </c>
      <c r="D13" s="0" t="n">
        <f aca="false">D11+D12</f>
        <v>3450.6</v>
      </c>
      <c r="E13" s="0" t="n">
        <f aca="false">E11+E12</f>
        <v>3737.45988</v>
      </c>
      <c r="F13" s="0" t="n">
        <f aca="false">F11+F12</f>
        <v>3975.298236</v>
      </c>
      <c r="G13" s="0" t="n">
        <f aca="false">G11+G12</f>
        <v>4154.18665662</v>
      </c>
      <c r="H13" s="0" t="n">
        <f aca="false">H11+H12</f>
        <v>4320.3541228848</v>
      </c>
      <c r="I13" s="0" t="n">
        <f aca="false">I11+I12</f>
        <v>4471.56651718577</v>
      </c>
      <c r="J13" s="0" t="n">
        <f aca="false">J11+J12</f>
        <v>4628.07134528727</v>
      </c>
      <c r="K13" s="0" t="n">
        <f aca="false">K11+K12</f>
        <v>4766.91348564589</v>
      </c>
      <c r="L13" s="0" t="n">
        <f aca="false">L11+L12</f>
        <v>4909.92089021527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2491.344</v>
      </c>
      <c r="D15" s="0" t="n">
        <f aca="false">D13-MAX(0,D13)*D14/100</f>
        <v>2725.974</v>
      </c>
      <c r="E15" s="0" t="n">
        <f aca="false">E13-MAX(0,E13)*E14/100</f>
        <v>2952.5933052</v>
      </c>
      <c r="F15" s="0" t="n">
        <f aca="false">F13-MAX(0,F13)*F14/100</f>
        <v>3140.48560644</v>
      </c>
      <c r="G15" s="0" t="n">
        <f aca="false">G13-MAX(0,G13)*G14/100</f>
        <v>3281.8074587298</v>
      </c>
      <c r="H15" s="0" t="n">
        <f aca="false">H13-MAX(0,H13)*H14/100</f>
        <v>3413.07975707899</v>
      </c>
      <c r="I15" s="0" t="n">
        <f aca="false">I13-MAX(0,I13)*I14/100</f>
        <v>3532.53754857676</v>
      </c>
      <c r="J15" s="0" t="n">
        <f aca="false">J13-MAX(0,J13)*J14/100</f>
        <v>3656.17636277694</v>
      </c>
      <c r="K15" s="0" t="n">
        <f aca="false">K13-MAX(0,K13)*K14/100</f>
        <v>3765.86165366025</v>
      </c>
      <c r="L15" s="0" t="n">
        <f aca="false">L13-MAX(0,L13)*L14/100</f>
        <v>3878.83750327006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-1002.24</v>
      </c>
      <c r="D17" s="4" t="n">
        <f aca="false">-D6*Assumptions!D46/100</f>
        <v>-1067.3856</v>
      </c>
      <c r="E17" s="4" t="n">
        <f aca="false">-E6*Assumptions!E46/100</f>
        <v>-941.645736</v>
      </c>
      <c r="F17" s="4" t="n">
        <f aca="false">-F6*Assumptions!F46/100</f>
        <v>-988.7280228</v>
      </c>
      <c r="G17" s="4" t="n">
        <f aca="false">-G6*Assumptions!G46/100</f>
        <v>-926.703177246</v>
      </c>
      <c r="H17" s="4" t="n">
        <f aca="false">-H6*Assumptions!H46/100</f>
        <v>-864.07082457696</v>
      </c>
      <c r="I17" s="4" t="n">
        <f aca="false">-I6*Assumptions!I46/100</f>
        <v>-779.657751714442</v>
      </c>
      <c r="J17" s="4" t="n">
        <f aca="false">-J6*Assumptions!J46/100</f>
        <v>-806.945773024447</v>
      </c>
      <c r="K17" s="4" t="n">
        <f aca="false">-K6*Assumptions!K46/100</f>
        <v>-708.925595301183</v>
      </c>
      <c r="L17" s="4" t="n">
        <f aca="false">-L6*Assumptions!L46/100</f>
        <v>-730.193363160219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1489.104</v>
      </c>
      <c r="D19" s="0" t="n">
        <f aca="false">D15+D16+D17+D18</f>
        <v>1658.5884</v>
      </c>
      <c r="E19" s="0" t="n">
        <f aca="false">E15+E16+E17+E18</f>
        <v>2010.9475692</v>
      </c>
      <c r="F19" s="0" t="n">
        <f aca="false">F15+F16+F17+F18</f>
        <v>2151.75758364</v>
      </c>
      <c r="G19" s="0" t="n">
        <f aca="false">G15+G16+G17+G18</f>
        <v>2355.1042814838</v>
      </c>
      <c r="H19" s="0" t="n">
        <f aca="false">H15+H16+H17+H18</f>
        <v>2549.00893250203</v>
      </c>
      <c r="I19" s="0" t="n">
        <f aca="false">I15+I16+I17+I18</f>
        <v>2752.87979686232</v>
      </c>
      <c r="J19" s="0" t="n">
        <f aca="false">J15+J16+J17+J18</f>
        <v>2849.2305897525</v>
      </c>
      <c r="K19" s="0" t="n">
        <f aca="false">K15+K16+K17+K18</f>
        <v>3056.93605835907</v>
      </c>
      <c r="L19" s="0" t="n">
        <f aca="false">L15+L16+L17+L18</f>
        <v>3148.64414010984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1347.60542986425</v>
      </c>
      <c r="D21" s="0" t="n">
        <f aca="false">D19*D20</f>
        <v>1358.35744558875</v>
      </c>
      <c r="E21" s="0" t="n">
        <f aca="false">E19*E20</f>
        <v>1490.43799559768</v>
      </c>
      <c r="F21" s="0" t="n">
        <f aca="false">F19*F20</f>
        <v>1443.25885308023</v>
      </c>
      <c r="G21" s="0" t="n">
        <f aca="false">G19*G20</f>
        <v>1429.54803164103</v>
      </c>
      <c r="H21" s="0" t="n">
        <f aca="false">H19*H20</f>
        <v>1400.22455457728</v>
      </c>
      <c r="I21" s="0" t="n">
        <f aca="false">I19*I20</f>
        <v>1368.52048430014</v>
      </c>
      <c r="J21" s="0" t="n">
        <f aca="false">J19*J20</f>
        <v>1281.82687895986</v>
      </c>
      <c r="K21" s="0" t="n">
        <f aca="false">K19*K20</f>
        <v>1244.58869701989</v>
      </c>
      <c r="L21" s="0" t="n">
        <f aca="false">L19*L20</f>
        <v>1160.11435106831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13524.4827216974</v>
      </c>
    </row>
    <row r="31" customFormat="false" ht="15" hidden="false" customHeight="false" outlineLevel="0" collapsed="false">
      <c r="A31" s="0" t="s">
        <v>137</v>
      </c>
      <c r="B31" s="0" t="n">
        <f aca="false">L19</f>
        <v>3148.64414010984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43241.3795241751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47229.6621016476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43241.3795241751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15932.2370880048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29456.7198097023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26956.7198097023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25.3352629790435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0.241924655835465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1001.45876041235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1019.25547144373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27.2344304901864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27025.8622026095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14.256010985026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14.9329045498616</v>
      </c>
      <c r="C4" s="0" t="n">
        <f aca="false">B4/Assumptions!$B$2-1</f>
        <v>-0.267994875006783</v>
      </c>
      <c r="D4" s="4" t="n">
        <f aca="false">Assumptions!$B$24</f>
        <v>0.2</v>
      </c>
      <c r="E4" s="4" t="n">
        <f aca="false">DCF_Bear!$B$43</f>
        <v>16.3558651155906</v>
      </c>
      <c r="F4" s="4" t="n">
        <f aca="false">DCF_Bear!$B$47</f>
        <v>8.70654271670766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21.4484434554952</v>
      </c>
      <c r="C5" s="0" t="n">
        <f aca="false">B5/Assumptions!$B$2-1</f>
        <v>0.0513942870340789</v>
      </c>
      <c r="D5" s="4" t="n">
        <f aca="false">Assumptions!$B$38</f>
        <v>0.5</v>
      </c>
      <c r="E5" s="4" t="n">
        <f aca="false">DCF_Base!$B$43</f>
        <v>23.1446457050781</v>
      </c>
      <c r="F5" s="4" t="n">
        <f aca="false">DCF_Base!$B$47</f>
        <v>12.4354186813686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25.3352629790435</v>
      </c>
      <c r="C6" s="0" t="n">
        <f aca="false">B6/Assumptions!$B$2-1</f>
        <v>0.241924655835465</v>
      </c>
      <c r="D6" s="4" t="n">
        <f aca="false">Assumptions!$B$52</f>
        <v>0.3</v>
      </c>
      <c r="E6" s="4" t="n">
        <f aca="false">DCF_Bull!$B$43</f>
        <v>27.2344304901864</v>
      </c>
      <c r="F6" s="4" t="n">
        <f aca="false">DCF_Bull!$B$47</f>
        <v>14.256010985026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21.311381531433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23.0138250227131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0.0427650140883049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-53.5337317274287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12.2358211795336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26.4449806986038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23.1289489825215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21.4484434554952</v>
      </c>
      <c r="C17" s="3" t="n">
        <v>10.5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19.9678522287134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17.4798782489956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12.4354186813686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26.9534479558632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27.5181162594183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27.5181162594183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27.5181162594183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27.5181162594183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23.0376269724648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23.9778101346504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25.0523051771484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25.4202829314285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25.4202829314285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20.0045744655871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20.6840422255439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21.4484434554952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22.3147648494401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23.3048464425199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17.5886489692418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18.0931863872285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18.6537835183248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19.2803332530796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19.9852017046787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15.620867799651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16.0038125372208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16.4250517485476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16.8906319294877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17.4079432416434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2026-09-28T22:24:02Z</dcterms:created>
  <dc:creator>openpyxl</dc:creator>
  <dc:description/>
  <dc:language>en-NZ</dc:language>
  <cp:lastModifiedBy/>
  <dcterms:modified xsi:type="dcterms:W3CDTF">2026-09-28T22:24:02Z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