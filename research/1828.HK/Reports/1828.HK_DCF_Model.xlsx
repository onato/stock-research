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<sst xmlns="http://schemas.openxmlformats.org/spreadsheetml/2006/main" count="342" uniqueCount="164">
  <si>
    <t xml:space="preserve">Ticker</t>
  </si>
  <si>
    <t xml:space="preserve">1828.HK</t>
  </si>
  <si>
    <t xml:space="preserve">Company</t>
  </si>
  <si>
    <t xml:space="preserve">FWD Group Holdings Limited</t>
  </si>
  <si>
    <t xml:space="preserve">Valuation date</t>
  </si>
  <si>
    <t xml:space="preserve">2026-10-17</t>
  </si>
  <si>
    <t xml:space="preserve">Current price</t>
  </si>
  <si>
    <t xml:space="preserve">Price as of</t>
  </si>
  <si>
    <t xml:space="preserve">2026-10-16T08:08:14Z HKEX regular close; 52-week range 26.80-42.14 (IPO price HK$38, July 2025). Price to be refreshed by refresh_price.py.</t>
  </si>
  <si>
    <t xml:space="preserve">Balance sheet date</t>
  </si>
  <si>
    <t xml:space="preserve">2026-06-30</t>
  </si>
  <si>
    <t xml:space="preserve">Model</t>
  </si>
  <si>
    <t xml:space="preserve">Life insurer BVPS compounding x justified exit P/B at cost of equity, net debt held at zero (engine route)</t>
  </si>
  <si>
    <t xml:space="preserve">Currency (model)</t>
  </si>
  <si>
    <t xml:space="preserve">USD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</si>
  <si>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</si>
  <si>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</si>
  <si>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</si>
  <si>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</si>
  <si>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</si>
  <si>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</si>
  <si>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</si>
  <si>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2026-10-16T20:08:35Z</t>
  </si>
  <si>
    <t xml:space="preserve">Drivers file</t>
  </si>
  <si>
    <t xml:space="preserve">1828.HK_Drivers.json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</si>
  <si>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</si>
  <si>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</si>
  <si>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</si>
  <si>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FWD as a compounder of IFRS book at a 10.5% USD cost of equity: retained underlying earnings build book for a decade, distributions start only in FY2028, and the exit is book times the P/B its ROE justifies. On these paths FWD earns roughly its cost of equity on IFRS book (which carries US$3.1bn of goodwill), so the base case is worth about book -- near the market price -- and the upside case requires ROE well into double digits. The embedded-value view (EV HK$42.6/share, EV Equity HK$61.8) is higher because it capitalises VIF and goodwill at FWD's own risk discount rates; that gap is the bull case the market is not paying for yet.
key_risks_to_valuation: Interest rates and credit spreads: FVOCI debt losses cut book 9% in H1 2026 alone; a 50bp rate fall cuts CSM by ~US$69m; New-business margin compression in Thailand, Japan and Emerging Markets (NBM -5.1pp in FY2025) slowing CSM growth; Holdco financing (~US$200m/yr) is the swing between operating profit and shareholder earnings; a refinancing at higher coupons or a missed leverage target hurts ROE directly; Capital: Japan ESR moved group LCSM 265% -&gt; 203%; ICS/IAIG standards could delay the payout ramp the model assumes from FY2028; Controlling shareholder (Pacific Century Group) governance, related-party and overhang risk; Exit P/B is justified from ROE; if the market keeps a pan-Asian challenger at 0.6x P/(ANW+CSM) the exit is lower than modelled</t>
  </si>
  <si>
    <t xml:space="preserve">Data sources</t>
  </si>
  <si>
    <t xml:space="preserve">price: Yahoo Finance chart API at inputs.price_as_of (HKD); 52-week range 26.80-42.14. FX bridge: USD financials to HKD quote at inputs.fx_rate (USDHKD=X, 2026-10-17), see inputs.fx_note. Price refresh is a separate step (refresh_price.py), which does not move fx_rate.
financials: 1828.HK_Metrics.csv (FY2024-H1 FY2026, USD millions); FY2025 Annual Report and H1 2026 Interim Report (operating profit reconciliation note 4.2, movement in total equity, EV disclosure, free surplus table).
qualitative: 1828.HK_Analysis.json (2026-10-17).</t>
  </si>
  <si>
    <t xml:space="preserve">Scenario narrative: bear</t>
  </si>
  <si>
    <t xml:space="preserve">Rate cuts and spread compression keep new-business margins falling (Thailand, Japan ESR capital, Pillar Two), insurance revenue grows ~4-5%, margin stalls at 19% pre-tax and ROE settles at ~6.5% -- well below a 10.5% cost of equity -- so book is worth ~0.5x at exit. Payout is also slower to start.</t>
  </si>
  <si>
    <t xml:space="preserve">Scenario narrative: base</t>
  </si>
  <si>
    <t xml:space="preserve">FWD keeps compounding: insurance revenue +7.5% in FY2026 (H1 +6.3%) accelerating to ~9% as the 25%-growing new-business CSM flows into CSM release, fading to 4.5% by FY2035. Underlying shareholder pre-tax margin (operating profit before tax less ~US$200m of holdco finance costs and perpetual distributions, after SBC) rises from ~19% (H1 2026 annualised 18.1%) to 24.5% as OPBT grows ~12%/yr against a fixed financing bill. No dividend before FY2028 (prospectus: no present plan), then a ramp to a mature 70% payout. Book compounds to ~US$9.9bn (ROE ~10.5%, i.e. roughly the 10.5% cost of equity), so the justified exit is ~1.0x book.</t>
  </si>
  <si>
    <t xml:space="preserve">Scenario narrative: bull</t>
  </si>
  <si>
    <t xml:space="preserve">HK HNW/Mainland-visitor and Emerging Markets growth hold double digits for five years; margins expand to 27.5% pre-tax as scale and AI-driven cost efficiency arrive; ROE reaches ~12.4% on IFRS book and the justified exit P/B is ~1.3x, still well below AIA.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</si>
  <si>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</si>
  <si>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</si>
  <si>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</si>
  <si>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</si>
  <si>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</si>
  <si>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</si>
  <si>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</si>
  <si>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</si>
  <si>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</si>
  <si>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</si>
  <si>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</si>
  <si>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</si>
  <si>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</si>
  <si>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</si>
  <si>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</si>
  <si>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</si>
  <si>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</si>
  <si>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</si>
  <si>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</si>
  <si>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</si>
  <si>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</si>
  <si>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</si>
  <si>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</si>
  <si>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</si>
  <si>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</si>
  <si>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</si>
  <si>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</si>
  <si>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CapexIntangibles</t>
  </si>
  <si>
    <t xml:space="preserve">CapexPPE</t>
  </si>
  <si>
    <t xml:space="preserve">InterestPaid</t>
  </si>
  <si>
    <t xml:space="preserve">InterestRevenueOnFinancialAssets</t>
  </si>
  <si>
    <t xml:space="preserve">PerpetualDistributionsPaid</t>
  </si>
  <si>
    <t xml:space="preserve">TotalEquity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</si>
  <si>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</si>
  <si>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</si>
  <si>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</si>
  <si>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</si>
  <si>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</si>
  <si>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</si>
  <si>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</si>
  <si>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</si>
  <si>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</si>
  <si>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</si>
  <si>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</si>
  <si>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</si>
  <si>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</si>
  <si>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</si>
  <si>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</si>
  <si>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</si>
  <si>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</si>
  <si>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</si>
  <si>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</si>
  <si>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</si>
  <si>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</si>
  <si>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</si>
  <si>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</si>
  <si>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</si>
  <si>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</si>
  <si>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</si>
  <si>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</si>
  <si>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</si>
  <si>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</si>
  <si>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</si>
  <si>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</si>
  <si>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</si>
  <si>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</si>
  <si>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</si>
  <si>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</si>
  <si>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</si>
  <si>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</si>
  <si>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</si>
  <si>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</si>
  <si>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1828.HK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</si>
  <si>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</si>
  <si>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</si>
  <si>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</si>
  <si>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</si>
  <si>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</si>
  <si>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</si>
  <si>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</si>
  <si>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</si>
  <si>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</si>
  <si>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</si>
  <si>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</si>
  <si>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</si>
  <si>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</si>
  <si>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</si>
  <si>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</si>
  <si>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</si>
  <si>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</si>
  <si>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</si>
  <si>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</si>
  <si>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</si>
  <si>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</si>
  <si>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</si>
  <si>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</si>
  <si>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</si>
  <si>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</si>
  <si>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</si>
  <si>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</si>
  <si>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</si>
  <si>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</si>
  <si>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</si>
  <si>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1828.HK owner-FCF component DCF: base case (millions, USD)</t>
  </si>
  <si>
    <t xml:space="preserve">1828.HK owner-FCF component DCF: bull case (millions, USD)</t>
  </si>
  <si>
    <t xml:space="preserve">1828.HK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</si>
  <si>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</si>
  <si>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</si>
  <si>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</si>
  <si>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</si>
  <si>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</si>
  <si>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</si>
  <si>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</si>
  <si>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</si>
  <si>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</si>
  <si>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</si>
  <si>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</si>
  <si>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</si>
  <si>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</si>
  <si>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</si>
  <si>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</si>
  <si>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</si>
  <si>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10.5%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</si>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</sst>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31.2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  <c r="AG1" s="2" t="s">
        <v>68</v>
      </c>
      <c r="AH1" s="2" t="s">
        <v>69</v>
      </c>
    </row>
    <row r="2" customFormat="false" ht="15" hidden="false" customHeight="false" outlineLevel="0" collapsed="false">
      <c r="A2" s="0" t="s">
        <v>70</v>
      </c>
      <c r="B2" s="0" t="n">
        <v>2724</v>
      </c>
      <c r="I2" s="0" t="n">
        <v>-78</v>
      </c>
      <c r="J2" s="0" t="n">
        <v>-2.9</v>
      </c>
      <c r="K2" s="0" t="n">
        <v>-0.0667</v>
      </c>
      <c r="L2" s="0" t="n">
        <v>526</v>
      </c>
      <c r="M2" s="0" t="n">
        <v>156</v>
      </c>
      <c r="N2" s="0" t="n">
        <v>370</v>
      </c>
      <c r="O2" s="0" t="n">
        <v>6012</v>
      </c>
      <c r="P2" s="0" t="n">
        <v>53712</v>
      </c>
      <c r="Q2" s="0" t="n">
        <v>46898</v>
      </c>
      <c r="R2" s="0" t="n">
        <v>2793</v>
      </c>
      <c r="S2" s="0" t="n">
        <v>1687</v>
      </c>
      <c r="T2" s="0" t="n">
        <v>1178.206</v>
      </c>
      <c r="U2" s="0" t="n">
        <v>19</v>
      </c>
      <c r="AA2" s="0" t="s">
        <v>18</v>
      </c>
      <c r="AB2" s="0" t="s">
        <v>14</v>
      </c>
      <c r="AC2" s="0" t="n">
        <v>131</v>
      </c>
      <c r="AD2" s="0" t="n">
        <v>25</v>
      </c>
      <c r="AE2" s="0" t="n">
        <v>197</v>
      </c>
      <c r="AF2" s="0" t="n">
        <v>1185</v>
      </c>
      <c r="AG2" s="0" t="n">
        <v>112</v>
      </c>
      <c r="AH2" s="0" t="n">
        <v>6814</v>
      </c>
    </row>
    <row r="3" customFormat="false" ht="15" hidden="false" customHeight="false" outlineLevel="0" collapsed="false">
      <c r="A3" s="0" t="s">
        <v>71</v>
      </c>
      <c r="B3" s="0" t="n">
        <v>2911</v>
      </c>
      <c r="I3" s="0" t="n">
        <v>104</v>
      </c>
      <c r="J3" s="0" t="n">
        <v>3.6</v>
      </c>
      <c r="K3" s="0" t="n">
        <v>0.0845</v>
      </c>
      <c r="L3" s="0" t="n">
        <v>247</v>
      </c>
      <c r="M3" s="0" t="n">
        <v>89</v>
      </c>
      <c r="N3" s="0" t="n">
        <v>158</v>
      </c>
      <c r="O3" s="0" t="n">
        <v>6614</v>
      </c>
      <c r="P3" s="0" t="n">
        <v>62363</v>
      </c>
      <c r="Q3" s="0" t="n">
        <v>55486</v>
      </c>
      <c r="R3" s="0" t="n">
        <v>3046</v>
      </c>
      <c r="S3" s="0" t="n">
        <v>1487</v>
      </c>
      <c r="T3" s="0" t="n">
        <v>1276.005</v>
      </c>
      <c r="U3" s="0" t="n">
        <v>36</v>
      </c>
      <c r="AA3" s="0" t="s">
        <v>18</v>
      </c>
      <c r="AB3" s="0" t="s">
        <v>14</v>
      </c>
      <c r="AC3" s="0" t="n">
        <v>77</v>
      </c>
      <c r="AD3" s="0" t="n">
        <v>12</v>
      </c>
      <c r="AE3" s="0" t="n">
        <v>204</v>
      </c>
      <c r="AF3" s="0" t="n">
        <v>1403</v>
      </c>
      <c r="AG3" s="0" t="n">
        <v>64</v>
      </c>
      <c r="AH3" s="0" t="n">
        <v>6877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72</v>
      </c>
      <c r="B1" s="2" t="s">
        <v>73</v>
      </c>
    </row>
    <row r="2" customFormat="false" ht="15" hidden="false" customHeight="false" outlineLevel="0" collapsed="false">
      <c r="A2" s="0" t="s">
        <v>74</v>
      </c>
      <c r="B2" s="3" t="n">
        <v>31.2</v>
      </c>
    </row>
    <row r="3" customFormat="false" ht="15" hidden="false" customHeight="false" outlineLevel="0" collapsed="false">
      <c r="A3" s="0" t="s">
        <v>75</v>
      </c>
      <c r="B3" s="3" t="n">
        <v>1279.622</v>
      </c>
    </row>
    <row r="4" customFormat="false" ht="15" hidden="false" customHeight="false" outlineLevel="0" collapsed="false">
      <c r="A4" s="0" t="s">
        <v>76</v>
      </c>
      <c r="B4" s="3" t="n">
        <v>0</v>
      </c>
    </row>
    <row r="5" customFormat="false" ht="15" hidden="false" customHeight="false" outlineLevel="0" collapsed="false">
      <c r="A5" s="0" t="s">
        <v>77</v>
      </c>
      <c r="B5" s="3" t="n">
        <v>0</v>
      </c>
    </row>
    <row r="6" customFormat="false" ht="15" hidden="false" customHeight="false" outlineLevel="0" collapsed="false">
      <c r="A6" s="0" t="s">
        <v>78</v>
      </c>
      <c r="B6" s="3" t="n">
        <v>15</v>
      </c>
    </row>
    <row r="7" customFormat="false" ht="15" hidden="false" customHeight="false" outlineLevel="0" collapsed="false">
      <c r="A7" s="0" t="s">
        <v>79</v>
      </c>
      <c r="B7" s="3" t="n">
        <v>2911</v>
      </c>
    </row>
    <row r="8" customFormat="false" ht="15" hidden="false" customHeight="false" outlineLevel="0" collapsed="false">
      <c r="A8" s="0" t="s">
        <v>80</v>
      </c>
      <c r="B8" s="3" t="s">
        <v>71</v>
      </c>
    </row>
    <row r="9" customFormat="false" ht="15" hidden="false" customHeight="false" outlineLevel="0" collapsed="false">
      <c r="A9" s="0" t="s">
        <v>81</v>
      </c>
      <c r="B9" s="3" t="s">
        <v>82</v>
      </c>
    </row>
    <row r="10" customFormat="false" ht="15" hidden="false" customHeight="false" outlineLevel="0" collapsed="false">
      <c r="A10" s="0" t="s">
        <v>83</v>
      </c>
      <c r="B10" s="3" t="n">
        <v>7.8477</v>
      </c>
    </row>
    <row r="12" customFormat="false" ht="15" hidden="false" customHeight="false" outlineLevel="0" collapsed="false">
      <c r="A12" s="2" t="s">
        <v>84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89</v>
      </c>
      <c r="H12" s="2" t="s">
        <v>90</v>
      </c>
      <c r="I12" s="2" t="s">
        <v>91</v>
      </c>
      <c r="J12" s="2" t="s">
        <v>92</v>
      </c>
      <c r="K12" s="2" t="s">
        <v>93</v>
      </c>
      <c r="L12" s="2" t="s">
        <v>94</v>
      </c>
    </row>
    <row r="13" customFormat="false" ht="15" hidden="false" customHeight="false" outlineLevel="0" collapsed="false">
      <c r="A13" s="0" t="s">
        <v>95</v>
      </c>
      <c r="C13" s="3" t="n">
        <v>5</v>
      </c>
      <c r="D13" s="3" t="n">
        <v>5</v>
      </c>
      <c r="E13" s="3" t="n">
        <v>5</v>
      </c>
      <c r="F13" s="3" t="n">
        <v>5</v>
      </c>
      <c r="G13" s="3" t="n">
        <v>4.5</v>
      </c>
      <c r="H13" s="3" t="n">
        <v>4.5</v>
      </c>
      <c r="I13" s="3" t="n">
        <v>4</v>
      </c>
      <c r="J13" s="3" t="n">
        <v>4</v>
      </c>
      <c r="K13" s="3" t="n">
        <v>3.5</v>
      </c>
      <c r="L13" s="3" t="n">
        <v>3</v>
      </c>
    </row>
    <row r="14" customFormat="false" ht="15" hidden="false" customHeight="false" outlineLevel="0" collapsed="false">
      <c r="A14" s="0" t="s">
        <v>96</v>
      </c>
      <c r="C14" s="3" t="n">
        <v>18.5</v>
      </c>
      <c r="D14" s="3" t="n">
        <v>19</v>
      </c>
      <c r="E14" s="3" t="n">
        <v>19.4</v>
      </c>
      <c r="F14" s="3" t="n">
        <v>19.9</v>
      </c>
      <c r="G14" s="3" t="n">
        <v>19.8</v>
      </c>
      <c r="H14" s="3" t="n">
        <v>19.8</v>
      </c>
      <c r="I14" s="3" t="n">
        <v>19.8</v>
      </c>
      <c r="J14" s="3" t="n">
        <v>19.8</v>
      </c>
      <c r="K14" s="3" t="n">
        <v>19.8</v>
      </c>
      <c r="L14" s="3" t="n">
        <v>19.8</v>
      </c>
    </row>
    <row r="15" customFormat="false" ht="15" hidden="false" customHeight="false" outlineLevel="0" collapsed="false">
      <c r="A15" s="0" t="s">
        <v>97</v>
      </c>
      <c r="C15" s="3" t="n">
        <v>1</v>
      </c>
      <c r="D15" s="3" t="n">
        <v>1</v>
      </c>
      <c r="E15" s="3" t="n">
        <v>0.9</v>
      </c>
      <c r="F15" s="3" t="n">
        <v>0.9</v>
      </c>
      <c r="G15" s="3" t="n">
        <v>0.8</v>
      </c>
      <c r="H15" s="3" t="n">
        <v>0.8</v>
      </c>
      <c r="I15" s="3" t="n">
        <v>0.8</v>
      </c>
      <c r="J15" s="3" t="n">
        <v>0.8</v>
      </c>
      <c r="K15" s="3" t="n">
        <v>0.8</v>
      </c>
      <c r="L15" s="3" t="n">
        <v>0.8</v>
      </c>
    </row>
    <row r="16" customFormat="false" ht="15" hidden="false" customHeight="false" outlineLevel="0" collapsed="false">
      <c r="A16" s="0" t="s">
        <v>98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99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100</v>
      </c>
      <c r="C18" s="3" t="n">
        <v>11.55</v>
      </c>
      <c r="D18" s="3" t="n">
        <v>12.06</v>
      </c>
      <c r="E18" s="3" t="n">
        <v>11.322</v>
      </c>
      <c r="F18" s="3" t="n">
        <v>10.488</v>
      </c>
      <c r="G18" s="3" t="n">
        <v>9.31</v>
      </c>
      <c r="H18" s="3" t="n">
        <v>7.98</v>
      </c>
      <c r="I18" s="3" t="n">
        <v>7.315</v>
      </c>
      <c r="J18" s="3" t="n">
        <v>6.65</v>
      </c>
      <c r="K18" s="3" t="n">
        <v>5.985</v>
      </c>
      <c r="L18" s="3" t="n">
        <v>5.32</v>
      </c>
    </row>
    <row r="19" customFormat="false" ht="15" hidden="false" customHeight="false" outlineLevel="0" collapsed="false">
      <c r="A19" s="0" t="s">
        <v>101</v>
      </c>
      <c r="C19" s="3" t="n">
        <v>34</v>
      </c>
      <c r="D19" s="3" t="n">
        <v>33</v>
      </c>
      <c r="E19" s="3" t="n">
        <v>32</v>
      </c>
      <c r="F19" s="3" t="n">
        <v>31</v>
      </c>
      <c r="G19" s="3" t="n">
        <v>30</v>
      </c>
      <c r="H19" s="3" t="n">
        <v>30</v>
      </c>
      <c r="I19" s="3" t="n">
        <v>30</v>
      </c>
      <c r="J19" s="3" t="n">
        <v>30</v>
      </c>
      <c r="K19" s="3" t="n">
        <v>30</v>
      </c>
      <c r="L19" s="3" t="n">
        <v>30</v>
      </c>
    </row>
    <row r="20" customFormat="false" ht="15" hidden="false" customHeight="false" outlineLevel="0" collapsed="false">
      <c r="A20" s="0" t="s">
        <v>102</v>
      </c>
      <c r="B20" s="3" t="n">
        <v>10.5</v>
      </c>
    </row>
    <row r="21" customFormat="false" ht="15" hidden="false" customHeight="false" outlineLevel="0" collapsed="false">
      <c r="A21" s="0" t="s">
        <v>103</v>
      </c>
      <c r="B21" s="3" t="n">
        <v>2.5</v>
      </c>
    </row>
    <row r="22" customFormat="false" ht="15" hidden="false" customHeight="false" outlineLevel="0" collapsed="false">
      <c r="A22" s="0" t="s">
        <v>104</v>
      </c>
      <c r="B22" s="3" t="n">
        <v>19</v>
      </c>
    </row>
    <row r="23" customFormat="false" ht="15" hidden="false" customHeight="false" outlineLevel="0" collapsed="false">
      <c r="A23" s="0" t="s">
        <v>105</v>
      </c>
      <c r="B23" s="3" t="n">
        <v>0</v>
      </c>
    </row>
    <row r="24" customFormat="false" ht="15" hidden="false" customHeight="false" outlineLevel="0" collapsed="false">
      <c r="A24" s="0" t="s">
        <v>106</v>
      </c>
      <c r="B24" s="3" t="n">
        <v>0.25</v>
      </c>
    </row>
    <row r="26" customFormat="false" ht="15" hidden="false" customHeight="false" outlineLevel="0" collapsed="false">
      <c r="A26" s="2" t="s">
        <v>107</v>
      </c>
      <c r="C26" s="2" t="s">
        <v>85</v>
      </c>
      <c r="D26" s="2" t="s">
        <v>86</v>
      </c>
      <c r="E26" s="2" t="s">
        <v>87</v>
      </c>
      <c r="F26" s="2" t="s">
        <v>88</v>
      </c>
      <c r="G26" s="2" t="s">
        <v>89</v>
      </c>
      <c r="H26" s="2" t="s">
        <v>90</v>
      </c>
      <c r="I26" s="2" t="s">
        <v>91</v>
      </c>
      <c r="J26" s="2" t="s">
        <v>92</v>
      </c>
      <c r="K26" s="2" t="s">
        <v>93</v>
      </c>
      <c r="L26" s="2" t="s">
        <v>94</v>
      </c>
    </row>
    <row r="27" customFormat="false" ht="15" hidden="false" customHeight="false" outlineLevel="0" collapsed="false">
      <c r="A27" s="0" t="s">
        <v>95</v>
      </c>
      <c r="C27" s="3" t="n">
        <v>7.5</v>
      </c>
      <c r="D27" s="3" t="n">
        <v>9</v>
      </c>
      <c r="E27" s="3" t="n">
        <v>9</v>
      </c>
      <c r="F27" s="3" t="n">
        <v>9</v>
      </c>
      <c r="G27" s="3" t="n">
        <v>8.5</v>
      </c>
      <c r="H27" s="3" t="n">
        <v>8</v>
      </c>
      <c r="I27" s="3" t="n">
        <v>7</v>
      </c>
      <c r="J27" s="3" t="n">
        <v>6</v>
      </c>
      <c r="K27" s="3" t="n">
        <v>5</v>
      </c>
      <c r="L27" s="3" t="n">
        <v>4.5</v>
      </c>
    </row>
    <row r="28" customFormat="false" ht="15" hidden="false" customHeight="false" outlineLevel="0" collapsed="false">
      <c r="A28" s="0" t="s">
        <v>96</v>
      </c>
      <c r="C28" s="3" t="n">
        <v>20</v>
      </c>
      <c r="D28" s="3" t="n">
        <v>21.5</v>
      </c>
      <c r="E28" s="3" t="n">
        <v>22.4</v>
      </c>
      <c r="F28" s="3" t="n">
        <v>23.4</v>
      </c>
      <c r="G28" s="3" t="n">
        <v>24.3</v>
      </c>
      <c r="H28" s="3" t="n">
        <v>24.8</v>
      </c>
      <c r="I28" s="3" t="n">
        <v>25.3</v>
      </c>
      <c r="J28" s="3" t="n">
        <v>25.3</v>
      </c>
      <c r="K28" s="3" t="n">
        <v>25.3</v>
      </c>
      <c r="L28" s="3" t="n">
        <v>25.3</v>
      </c>
    </row>
    <row r="29" customFormat="false" ht="15" hidden="false" customHeight="false" outlineLevel="0" collapsed="false">
      <c r="A29" s="0" t="s">
        <v>97</v>
      </c>
      <c r="C29" s="3" t="n">
        <v>1</v>
      </c>
      <c r="D29" s="3" t="n">
        <v>1</v>
      </c>
      <c r="E29" s="3" t="n">
        <v>0.9</v>
      </c>
      <c r="F29" s="3" t="n">
        <v>0.9</v>
      </c>
      <c r="G29" s="3" t="n">
        <v>0.8</v>
      </c>
      <c r="H29" s="3" t="n">
        <v>0.8</v>
      </c>
      <c r="I29" s="3" t="n">
        <v>0.8</v>
      </c>
      <c r="J29" s="3" t="n">
        <v>0.8</v>
      </c>
      <c r="K29" s="3" t="n">
        <v>0.8</v>
      </c>
      <c r="L29" s="3" t="n">
        <v>0.8</v>
      </c>
    </row>
    <row r="30" customFormat="false" ht="15" hidden="false" customHeight="false" outlineLevel="0" collapsed="false">
      <c r="A30" s="0" t="s">
        <v>98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99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100</v>
      </c>
      <c r="C32" s="3" t="n">
        <v>12.73</v>
      </c>
      <c r="D32" s="3" t="n">
        <v>13.94</v>
      </c>
      <c r="E32" s="3" t="n">
        <v>11.868</v>
      </c>
      <c r="F32" s="3" t="n">
        <v>11.025</v>
      </c>
      <c r="G32" s="3" t="n">
        <v>10.011</v>
      </c>
      <c r="H32" s="3" t="n">
        <v>8.58</v>
      </c>
      <c r="I32" s="3" t="n">
        <v>7.938</v>
      </c>
      <c r="J32" s="3" t="n">
        <v>7.056</v>
      </c>
      <c r="K32" s="3" t="n">
        <v>6.174</v>
      </c>
      <c r="L32" s="3" t="n">
        <v>5.292</v>
      </c>
    </row>
    <row r="33" customFormat="false" ht="15" hidden="false" customHeight="false" outlineLevel="0" collapsed="false">
      <c r="A33" s="0" t="s">
        <v>101</v>
      </c>
      <c r="C33" s="3" t="n">
        <v>33</v>
      </c>
      <c r="D33" s="3" t="n">
        <v>32</v>
      </c>
      <c r="E33" s="3" t="n">
        <v>31</v>
      </c>
      <c r="F33" s="3" t="n">
        <v>30</v>
      </c>
      <c r="G33" s="3" t="n">
        <v>29</v>
      </c>
      <c r="H33" s="3" t="n">
        <v>28.5</v>
      </c>
      <c r="I33" s="3" t="n">
        <v>28</v>
      </c>
      <c r="J33" s="3" t="n">
        <v>28</v>
      </c>
      <c r="K33" s="3" t="n">
        <v>28</v>
      </c>
      <c r="L33" s="3" t="n">
        <v>28</v>
      </c>
    </row>
    <row r="34" customFormat="false" ht="15" hidden="false" customHeight="false" outlineLevel="0" collapsed="false">
      <c r="A34" s="0" t="s">
        <v>102</v>
      </c>
      <c r="B34" s="3" t="n">
        <v>10.5</v>
      </c>
    </row>
    <row r="35" customFormat="false" ht="15" hidden="false" customHeight="false" outlineLevel="0" collapsed="false">
      <c r="A35" s="0" t="s">
        <v>103</v>
      </c>
      <c r="B35" s="3" t="n">
        <v>3</v>
      </c>
    </row>
    <row r="36" customFormat="false" ht="15" hidden="false" customHeight="false" outlineLevel="0" collapsed="false">
      <c r="A36" s="0" t="s">
        <v>104</v>
      </c>
      <c r="B36" s="3" t="n">
        <v>16</v>
      </c>
    </row>
    <row r="37" customFormat="false" ht="15" hidden="false" customHeight="false" outlineLevel="0" collapsed="false">
      <c r="A37" s="0" t="s">
        <v>105</v>
      </c>
      <c r="B37" s="3" t="n">
        <v>0</v>
      </c>
    </row>
    <row r="38" customFormat="false" ht="15" hidden="false" customHeight="false" outlineLevel="0" collapsed="false">
      <c r="A38" s="0" t="s">
        <v>106</v>
      </c>
      <c r="B38" s="3" t="n">
        <v>0.5</v>
      </c>
    </row>
    <row r="40" customFormat="false" ht="15" hidden="false" customHeight="false" outlineLevel="0" collapsed="false">
      <c r="A40" s="2" t="s">
        <v>108</v>
      </c>
      <c r="C40" s="2" t="s">
        <v>85</v>
      </c>
      <c r="D40" s="2" t="s">
        <v>86</v>
      </c>
      <c r="E40" s="2" t="s">
        <v>87</v>
      </c>
      <c r="F40" s="2" t="s">
        <v>88</v>
      </c>
      <c r="G40" s="2" t="s">
        <v>89</v>
      </c>
      <c r="H40" s="2" t="s">
        <v>90</v>
      </c>
      <c r="I40" s="2" t="s">
        <v>91</v>
      </c>
      <c r="J40" s="2" t="s">
        <v>92</v>
      </c>
      <c r="K40" s="2" t="s">
        <v>93</v>
      </c>
      <c r="L40" s="2" t="s">
        <v>94</v>
      </c>
    </row>
    <row r="41" customFormat="false" ht="15" hidden="false" customHeight="false" outlineLevel="0" collapsed="false">
      <c r="A41" s="0" t="s">
        <v>95</v>
      </c>
      <c r="C41" s="3" t="n">
        <v>9</v>
      </c>
      <c r="D41" s="3" t="n">
        <v>11</v>
      </c>
      <c r="E41" s="3" t="n">
        <v>11</v>
      </c>
      <c r="F41" s="3" t="n">
        <v>10.5</v>
      </c>
      <c r="G41" s="3" t="n">
        <v>10</v>
      </c>
      <c r="H41" s="3" t="n">
        <v>9</v>
      </c>
      <c r="I41" s="3" t="n">
        <v>8</v>
      </c>
      <c r="J41" s="3" t="n">
        <v>7</v>
      </c>
      <c r="K41" s="3" t="n">
        <v>6</v>
      </c>
      <c r="L41" s="3" t="n">
        <v>5</v>
      </c>
    </row>
    <row r="42" customFormat="false" ht="15" hidden="false" customHeight="false" outlineLevel="0" collapsed="false">
      <c r="A42" s="0" t="s">
        <v>96</v>
      </c>
      <c r="C42" s="3" t="n">
        <v>20.5</v>
      </c>
      <c r="D42" s="3" t="n">
        <v>22.5</v>
      </c>
      <c r="E42" s="3" t="n">
        <v>23.9</v>
      </c>
      <c r="F42" s="3" t="n">
        <v>25.4</v>
      </c>
      <c r="G42" s="3" t="n">
        <v>26.3</v>
      </c>
      <c r="H42" s="3" t="n">
        <v>27.3</v>
      </c>
      <c r="I42" s="3" t="n">
        <v>27.8</v>
      </c>
      <c r="J42" s="3" t="n">
        <v>28.3</v>
      </c>
      <c r="K42" s="3" t="n">
        <v>28.3</v>
      </c>
      <c r="L42" s="3" t="n">
        <v>28.3</v>
      </c>
    </row>
    <row r="43" customFormat="false" ht="15" hidden="false" customHeight="false" outlineLevel="0" collapsed="false">
      <c r="A43" s="0" t="s">
        <v>97</v>
      </c>
      <c r="C43" s="3" t="n">
        <v>1</v>
      </c>
      <c r="D43" s="3" t="n">
        <v>1</v>
      </c>
      <c r="E43" s="3" t="n">
        <v>0.9</v>
      </c>
      <c r="F43" s="3" t="n">
        <v>0.9</v>
      </c>
      <c r="G43" s="3" t="n">
        <v>0.8</v>
      </c>
      <c r="H43" s="3" t="n">
        <v>0.8</v>
      </c>
      <c r="I43" s="3" t="n">
        <v>0.8</v>
      </c>
      <c r="J43" s="3" t="n">
        <v>0.8</v>
      </c>
      <c r="K43" s="3" t="n">
        <v>0.8</v>
      </c>
      <c r="L43" s="3" t="n">
        <v>0.8</v>
      </c>
    </row>
    <row r="44" customFormat="false" ht="15" hidden="false" customHeight="false" outlineLevel="0" collapsed="false">
      <c r="A44" s="0" t="s">
        <v>98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99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100</v>
      </c>
      <c r="C46" s="3" t="n">
        <v>13.065</v>
      </c>
      <c r="D46" s="3" t="n">
        <v>14.62</v>
      </c>
      <c r="E46" s="3" t="n">
        <v>12.696</v>
      </c>
      <c r="F46" s="3" t="n">
        <v>12.005</v>
      </c>
      <c r="G46" s="3" t="n">
        <v>10.863</v>
      </c>
      <c r="H46" s="3" t="n">
        <v>9.474</v>
      </c>
      <c r="I46" s="3" t="n">
        <v>8.748</v>
      </c>
      <c r="J46" s="3" t="n">
        <v>7.92</v>
      </c>
      <c r="K46" s="3" t="n">
        <v>6.93</v>
      </c>
      <c r="L46" s="3" t="n">
        <v>5.94</v>
      </c>
    </row>
    <row r="47" customFormat="false" ht="15" hidden="false" customHeight="false" outlineLevel="0" collapsed="false">
      <c r="A47" s="0" t="s">
        <v>101</v>
      </c>
      <c r="C47" s="3" t="n">
        <v>33</v>
      </c>
      <c r="D47" s="3" t="n">
        <v>32</v>
      </c>
      <c r="E47" s="3" t="n">
        <v>31</v>
      </c>
      <c r="F47" s="3" t="n">
        <v>30</v>
      </c>
      <c r="G47" s="3" t="n">
        <v>29</v>
      </c>
      <c r="H47" s="3" t="n">
        <v>28.5</v>
      </c>
      <c r="I47" s="3" t="n">
        <v>28</v>
      </c>
      <c r="J47" s="3" t="n">
        <v>28</v>
      </c>
      <c r="K47" s="3" t="n">
        <v>28</v>
      </c>
      <c r="L47" s="3" t="n">
        <v>28</v>
      </c>
    </row>
    <row r="48" customFormat="false" ht="15" hidden="false" customHeight="false" outlineLevel="0" collapsed="false">
      <c r="A48" s="0" t="s">
        <v>102</v>
      </c>
      <c r="B48" s="3" t="n">
        <v>10.5</v>
      </c>
    </row>
    <row r="49" customFormat="false" ht="15" hidden="false" customHeight="false" outlineLevel="0" collapsed="false">
      <c r="A49" s="0" t="s">
        <v>103</v>
      </c>
      <c r="B49" s="3" t="n">
        <v>3.5</v>
      </c>
    </row>
    <row r="50" customFormat="false" ht="15" hidden="false" customHeight="false" outlineLevel="0" collapsed="false">
      <c r="A50" s="0" t="s">
        <v>104</v>
      </c>
      <c r="B50" s="3" t="n">
        <v>18</v>
      </c>
    </row>
    <row r="51" customFormat="false" ht="15" hidden="false" customHeight="false" outlineLevel="0" collapsed="false">
      <c r="A51" s="0" t="s">
        <v>105</v>
      </c>
      <c r="B51" s="3" t="n">
        <v>0</v>
      </c>
    </row>
    <row r="52" customFormat="false" ht="15" hidden="false" customHeight="false" outlineLevel="0" collapsed="false">
      <c r="A52" s="0" t="s">
        <v>106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109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Assumptions!C13</f>
        <v>5</v>
      </c>
      <c r="D5" s="4" t="n">
        <f aca="false">Assumptions!D13</f>
        <v>5</v>
      </c>
      <c r="E5" s="4" t="n">
        <f aca="false">Assumptions!E13</f>
        <v>5</v>
      </c>
      <c r="F5" s="4" t="n">
        <f aca="false">Assumptions!F13</f>
        <v>5</v>
      </c>
      <c r="G5" s="4" t="n">
        <f aca="false">Assumptions!G13</f>
        <v>4.5</v>
      </c>
      <c r="H5" s="4" t="n">
        <f aca="false">Assumptions!H13</f>
        <v>4.5</v>
      </c>
      <c r="I5" s="4" t="n">
        <f aca="false">Assumptions!I13</f>
        <v>4</v>
      </c>
      <c r="J5" s="4" t="n">
        <f aca="false">Assumptions!J13</f>
        <v>4</v>
      </c>
      <c r="K5" s="4" t="n">
        <f aca="false">Assumptions!K13</f>
        <v>3.5</v>
      </c>
      <c r="L5" s="4" t="n">
        <f aca="false">Assumptions!L13</f>
        <v>3</v>
      </c>
    </row>
    <row r="6" customFormat="false" ht="15" hidden="false" customHeight="false" outlineLevel="0" collapsed="false">
      <c r="A6" s="0" t="s">
        <v>38</v>
      </c>
      <c r="B6" s="3" t="n">
        <v>2911</v>
      </c>
      <c r="C6" s="0" t="n">
        <f aca="false">B6*(1+C5/100)</f>
        <v>3056.55</v>
      </c>
      <c r="D6" s="0" t="n">
        <f aca="false">C6*(1+D5/100)</f>
        <v>3209.3775</v>
      </c>
      <c r="E6" s="0" t="n">
        <f aca="false">D6*(1+E5/100)</f>
        <v>3369.846375</v>
      </c>
      <c r="F6" s="0" t="n">
        <f aca="false">E6*(1+F5/100)</f>
        <v>3538.33869375</v>
      </c>
      <c r="G6" s="0" t="n">
        <f aca="false">F6*(1+G5/100)</f>
        <v>3697.56393496875</v>
      </c>
      <c r="H6" s="0" t="n">
        <f aca="false">G6*(1+H5/100)</f>
        <v>3863.95431204234</v>
      </c>
      <c r="I6" s="0" t="n">
        <f aca="false">H6*(1+I5/100)</f>
        <v>4018.51248452404</v>
      </c>
      <c r="J6" s="0" t="n">
        <f aca="false">I6*(1+J5/100)</f>
        <v>4179.252983905</v>
      </c>
      <c r="K6" s="0" t="n">
        <f aca="false">J6*(1+K5/100)</f>
        <v>4325.52683834167</v>
      </c>
      <c r="L6" s="0" t="n">
        <f aca="false">K6*(1+L5/100)</f>
        <v>4455.29264349192</v>
      </c>
    </row>
    <row r="7" customFormat="false" ht="15" hidden="false" customHeight="false" outlineLevel="0" collapsed="false">
      <c r="A7" s="0" t="s">
        <v>96</v>
      </c>
      <c r="C7" s="4" t="n">
        <f aca="false">Assumptions!C14</f>
        <v>18.5</v>
      </c>
      <c r="D7" s="4" t="n">
        <f aca="false">Assumptions!D14</f>
        <v>19</v>
      </c>
      <c r="E7" s="4" t="n">
        <f aca="false">Assumptions!E14</f>
        <v>19.4</v>
      </c>
      <c r="F7" s="4" t="n">
        <f aca="false">Assumptions!F14</f>
        <v>19.9</v>
      </c>
      <c r="G7" s="4" t="n">
        <f aca="false">Assumptions!G14</f>
        <v>19.8</v>
      </c>
      <c r="H7" s="4" t="n">
        <f aca="false">Assumptions!H14</f>
        <v>19.8</v>
      </c>
      <c r="I7" s="4" t="n">
        <f aca="false">Assumptions!I14</f>
        <v>19.8</v>
      </c>
      <c r="J7" s="4" t="n">
        <f aca="false">Assumptions!J14</f>
        <v>19.8</v>
      </c>
      <c r="K7" s="4" t="n">
        <f aca="false">Assumptions!K14</f>
        <v>19.8</v>
      </c>
      <c r="L7" s="4" t="n">
        <f aca="false">Assumptions!L14</f>
        <v>19.8</v>
      </c>
    </row>
    <row r="8" customFormat="false" ht="15" hidden="false" customHeight="false" outlineLevel="0" collapsed="false">
      <c r="A8" s="0" t="s">
        <v>44</v>
      </c>
      <c r="C8" s="0" t="n">
        <f aca="false">C6*C7/100</f>
        <v>565.46175</v>
      </c>
      <c r="D8" s="0" t="n">
        <f aca="false">D6*D7/100</f>
        <v>609.781725</v>
      </c>
      <c r="E8" s="0" t="n">
        <f aca="false">E6*E7/100</f>
        <v>653.75019675</v>
      </c>
      <c r="F8" s="0" t="n">
        <f aca="false">F6*F7/100</f>
        <v>704.12940005625</v>
      </c>
      <c r="G8" s="0" t="n">
        <f aca="false">G6*G7/100</f>
        <v>732.117659123813</v>
      </c>
      <c r="H8" s="0" t="n">
        <f aca="false">H6*H7/100</f>
        <v>765.062953784384</v>
      </c>
      <c r="I8" s="0" t="n">
        <f aca="false">I6*I7/100</f>
        <v>795.66547193576</v>
      </c>
      <c r="J8" s="0" t="n">
        <f aca="false">J6*J7/100</f>
        <v>827.49209081319</v>
      </c>
      <c r="K8" s="0" t="n">
        <f aca="false">K6*K7/100</f>
        <v>856.454313991652</v>
      </c>
      <c r="L8" s="0" t="n">
        <f aca="false">L6*L7/100</f>
        <v>882.147943411401</v>
      </c>
    </row>
    <row r="9" customFormat="false" ht="15" hidden="false" customHeight="false" outlineLevel="0" collapsed="false">
      <c r="A9" s="0" t="s">
        <v>97</v>
      </c>
      <c r="C9" s="4" t="n">
        <f aca="false">Assumptions!C15</f>
        <v>1</v>
      </c>
      <c r="D9" s="4" t="n">
        <f aca="false">Assumptions!D15</f>
        <v>1</v>
      </c>
      <c r="E9" s="4" t="n">
        <f aca="false">Assumptions!E15</f>
        <v>0.9</v>
      </c>
      <c r="F9" s="4" t="n">
        <f aca="false">Assumptions!F15</f>
        <v>0.9</v>
      </c>
      <c r="G9" s="4" t="n">
        <f aca="false">Assumptions!G15</f>
        <v>0.8</v>
      </c>
      <c r="H9" s="4" t="n">
        <f aca="false">Assumptions!H15</f>
        <v>0.8</v>
      </c>
      <c r="I9" s="4" t="n">
        <f aca="false">Assumptions!I15</f>
        <v>0.8</v>
      </c>
      <c r="J9" s="4" t="n">
        <f aca="false">Assumptions!J15</f>
        <v>0.8</v>
      </c>
      <c r="K9" s="4" t="n">
        <f aca="false">Assumptions!K15</f>
        <v>0.8</v>
      </c>
      <c r="L9" s="4" t="n">
        <f aca="false">Assumptions!L15</f>
        <v>0.8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-30.5655</v>
      </c>
      <c r="D10" s="0" t="n">
        <f aca="false">-D6*D9/100</f>
        <v>-32.093775</v>
      </c>
      <c r="E10" s="0" t="n">
        <f aca="false">-E6*E9/100</f>
        <v>-30.328617375</v>
      </c>
      <c r="F10" s="0" t="n">
        <f aca="false">-F6*F9/100</f>
        <v>-31.84504824375</v>
      </c>
      <c r="G10" s="0" t="n">
        <f aca="false">-G6*G9/100</f>
        <v>-29.58051147975</v>
      </c>
      <c r="H10" s="0" t="n">
        <f aca="false">-H6*H9/100</f>
        <v>-30.9116344963388</v>
      </c>
      <c r="I10" s="0" t="n">
        <f aca="false">-I6*I9/100</f>
        <v>-32.1480998761923</v>
      </c>
      <c r="J10" s="0" t="n">
        <f aca="false">-J6*J9/100</f>
        <v>-33.43402387124</v>
      </c>
      <c r="K10" s="0" t="n">
        <f aca="false">-K6*K9/100</f>
        <v>-34.6042147067334</v>
      </c>
      <c r="L10" s="0" t="n">
        <f aca="false">-L6*L9/100</f>
        <v>-35.6423411479354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534.89625</v>
      </c>
      <c r="D11" s="0" t="n">
        <f aca="false">D8+D10+D24</f>
        <v>577.68795</v>
      </c>
      <c r="E11" s="0" t="n">
        <f aca="false">E8+E10+E24</f>
        <v>623.421579375</v>
      </c>
      <c r="F11" s="0" t="n">
        <f aca="false">F8+F10+F24</f>
        <v>672.2843518125</v>
      </c>
      <c r="G11" s="0" t="n">
        <f aca="false">G8+G10+G24</f>
        <v>702.537147644063</v>
      </c>
      <c r="H11" s="0" t="n">
        <f aca="false">H8+H10+H24</f>
        <v>734.151319288045</v>
      </c>
      <c r="I11" s="0" t="n">
        <f aca="false">I8+I10+I24</f>
        <v>763.517372059567</v>
      </c>
      <c r="J11" s="0" t="n">
        <f aca="false">J8+J10+J24</f>
        <v>794.05806694195</v>
      </c>
      <c r="K11" s="0" t="n">
        <f aca="false">K8+K10+K24</f>
        <v>821.850099284918</v>
      </c>
      <c r="L11" s="0" t="n">
        <f aca="false">L8+L10+L24</f>
        <v>846.505602263466</v>
      </c>
    </row>
    <row r="12" customFormat="false" ht="15" hidden="false" customHeight="false" outlineLevel="0" collapsed="false">
      <c r="A12" s="0" t="s">
        <v>114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534.89625</v>
      </c>
      <c r="D13" s="0" t="n">
        <f aca="false">D11+D12</f>
        <v>577.68795</v>
      </c>
      <c r="E13" s="0" t="n">
        <f aca="false">E11+E12</f>
        <v>623.421579375</v>
      </c>
      <c r="F13" s="0" t="n">
        <f aca="false">F11+F12</f>
        <v>672.2843518125</v>
      </c>
      <c r="G13" s="0" t="n">
        <f aca="false">G11+G12</f>
        <v>702.537147644063</v>
      </c>
      <c r="H13" s="0" t="n">
        <f aca="false">H11+H12</f>
        <v>734.151319288045</v>
      </c>
      <c r="I13" s="0" t="n">
        <f aca="false">I11+I12</f>
        <v>763.517372059567</v>
      </c>
      <c r="J13" s="0" t="n">
        <f aca="false">J11+J12</f>
        <v>794.05806694195</v>
      </c>
      <c r="K13" s="0" t="n">
        <f aca="false">K11+K12</f>
        <v>821.850099284918</v>
      </c>
      <c r="L13" s="0" t="n">
        <f aca="false">L11+L12</f>
        <v>846.505602263466</v>
      </c>
    </row>
    <row r="14" customFormat="false" ht="15" hidden="false" customHeight="false" outlineLevel="0" collapsed="false">
      <c r="A14" s="0" t="s">
        <v>101</v>
      </c>
      <c r="C14" s="4" t="n">
        <f aca="false">Assumptions!C19</f>
        <v>34</v>
      </c>
      <c r="D14" s="4" t="n">
        <f aca="false">Assumptions!D19</f>
        <v>33</v>
      </c>
      <c r="E14" s="4" t="n">
        <f aca="false">Assumptions!E19</f>
        <v>32</v>
      </c>
      <c r="F14" s="4" t="n">
        <f aca="false">Assumptions!F19</f>
        <v>31</v>
      </c>
      <c r="G14" s="4" t="n">
        <f aca="false">Assumptions!G19</f>
        <v>30</v>
      </c>
      <c r="H14" s="4" t="n">
        <f aca="false">Assumptions!H19</f>
        <v>30</v>
      </c>
      <c r="I14" s="4" t="n">
        <f aca="false">Assumptions!I19</f>
        <v>30</v>
      </c>
      <c r="J14" s="4" t="n">
        <f aca="false">Assumptions!J19</f>
        <v>30</v>
      </c>
      <c r="K14" s="4" t="n">
        <f aca="false">Assumptions!K19</f>
        <v>30</v>
      </c>
      <c r="L14" s="4" t="n">
        <f aca="false">Assumptions!L19</f>
        <v>30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353.031525</v>
      </c>
      <c r="D15" s="0" t="n">
        <f aca="false">D13-MAX(0,D13)*D14/100</f>
        <v>387.0509265</v>
      </c>
      <c r="E15" s="0" t="n">
        <f aca="false">E13-MAX(0,E13)*E14/100</f>
        <v>423.926673975</v>
      </c>
      <c r="F15" s="0" t="n">
        <f aca="false">F13-MAX(0,F13)*F14/100</f>
        <v>463.876202750625</v>
      </c>
      <c r="G15" s="0" t="n">
        <f aca="false">G13-MAX(0,G13)*G14/100</f>
        <v>491.776003350844</v>
      </c>
      <c r="H15" s="0" t="n">
        <f aca="false">H13-MAX(0,H13)*H14/100</f>
        <v>513.905923501632</v>
      </c>
      <c r="I15" s="0" t="n">
        <f aca="false">I13-MAX(0,I13)*I14/100</f>
        <v>534.462160441697</v>
      </c>
      <c r="J15" s="0" t="n">
        <f aca="false">J13-MAX(0,J13)*J14/100</f>
        <v>555.840646859365</v>
      </c>
      <c r="K15" s="0" t="n">
        <f aca="false">K13-MAX(0,K13)*K14/100</f>
        <v>575.295069499443</v>
      </c>
      <c r="L15" s="0" t="n">
        <f aca="false">L13-MAX(0,L13)*L14/100</f>
        <v>592.553921584426</v>
      </c>
    </row>
    <row r="16" customFormat="false" ht="15" hidden="false" customHeight="false" outlineLevel="0" collapsed="false">
      <c r="A16" s="0" t="s">
        <v>117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118</v>
      </c>
      <c r="C17" s="4" t="n">
        <f aca="false">-C6*Assumptions!C18/100</f>
        <v>-353.031525</v>
      </c>
      <c r="D17" s="4" t="n">
        <f aca="false">-D6*Assumptions!D18/100</f>
        <v>-387.0509265</v>
      </c>
      <c r="E17" s="4" t="n">
        <f aca="false">-E6*Assumptions!E18/100</f>
        <v>-381.5340065775</v>
      </c>
      <c r="F17" s="4" t="n">
        <f aca="false">-F6*Assumptions!F18/100</f>
        <v>-371.1009622005</v>
      </c>
      <c r="G17" s="4" t="n">
        <f aca="false">-G6*Assumptions!G18/100</f>
        <v>-344.243202345591</v>
      </c>
      <c r="H17" s="4" t="n">
        <f aca="false">-H6*Assumptions!H18/100</f>
        <v>-308.343554100979</v>
      </c>
      <c r="I17" s="4" t="n">
        <f aca="false">-I6*Assumptions!I18/100</f>
        <v>-293.954188242933</v>
      </c>
      <c r="J17" s="4" t="n">
        <f aca="false">-J6*Assumptions!J18/100</f>
        <v>-277.920323429682</v>
      </c>
      <c r="K17" s="4" t="n">
        <f aca="false">-K6*Assumptions!K18/100</f>
        <v>-258.882781274749</v>
      </c>
      <c r="L17" s="4" t="n">
        <f aca="false">-L6*Assumptions!L18/100</f>
        <v>-237.02156863377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0</v>
      </c>
      <c r="D19" s="0" t="n">
        <f aca="false">D15+D16+D17+D18</f>
        <v>0</v>
      </c>
      <c r="E19" s="0" t="n">
        <f aca="false">E15+E16+E17+E18</f>
        <v>42.3926673974999</v>
      </c>
      <c r="F19" s="0" t="n">
        <f aca="false">F15+F16+F17+F18</f>
        <v>92.775240550125</v>
      </c>
      <c r="G19" s="0" t="n">
        <f aca="false">G15+G16+G17+G18</f>
        <v>147.532801005253</v>
      </c>
      <c r="H19" s="0" t="n">
        <f aca="false">H15+H16+H17+H18</f>
        <v>205.562369400653</v>
      </c>
      <c r="I19" s="0" t="n">
        <f aca="false">I15+I16+I17+I18</f>
        <v>240.507972198764</v>
      </c>
      <c r="J19" s="0" t="n">
        <f aca="false">J15+J16+J17+J18</f>
        <v>277.920323429682</v>
      </c>
      <c r="K19" s="0" t="n">
        <f aca="false">K15+K16+K17+K18</f>
        <v>316.412288224694</v>
      </c>
      <c r="L19" s="0" t="n">
        <f aca="false">L15+L16+L17+L18</f>
        <v>355.532352950656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0</v>
      </c>
      <c r="D21" s="0" t="n">
        <f aca="false">D19*D20</f>
        <v>0</v>
      </c>
      <c r="E21" s="0" t="n">
        <f aca="false">E19*E20</f>
        <v>31.4198356991997</v>
      </c>
      <c r="F21" s="0" t="n">
        <f aca="false">F19*F20</f>
        <v>62.2275893384362</v>
      </c>
      <c r="G21" s="0" t="n">
        <f aca="false">G19*G20</f>
        <v>89.5523934705216</v>
      </c>
      <c r="H21" s="0" t="n">
        <f aca="false">H19*H20</f>
        <v>112.919760092543</v>
      </c>
      <c r="I21" s="0" t="n">
        <f aca="false">I19*I20</f>
        <v>119.562098921516</v>
      </c>
      <c r="J21" s="0" t="n">
        <f aca="false">J19*J20</f>
        <v>125.032260310082</v>
      </c>
      <c r="K21" s="0" t="n">
        <f aca="false">K19*K20</f>
        <v>128.822831097764</v>
      </c>
      <c r="L21" s="0" t="n">
        <f aca="false">L19*L20</f>
        <v>130.995490939396</v>
      </c>
    </row>
    <row r="23" customFormat="false" ht="15" hidden="false" customHeight="false" outlineLevel="0" collapsed="false">
      <c r="A23" s="0" t="s">
        <v>98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Assumptions!$B$20</f>
        <v>10.5</v>
      </c>
    </row>
    <row r="28" customFormat="false" ht="15" hidden="false" customHeight="false" outlineLevel="0" collapsed="false">
      <c r="A28" s="0" t="s">
        <v>103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104</v>
      </c>
      <c r="B29" s="4" t="n">
        <f aca="false">Assumptions!$B$22</f>
        <v>19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800.532259869459</v>
      </c>
    </row>
    <row r="31" customFormat="false" ht="15" hidden="false" customHeight="false" outlineLevel="0" collapsed="false">
      <c r="A31" s="0" t="s">
        <v>126</v>
      </c>
      <c r="B31" s="0" t="n">
        <f aca="false">L19</f>
        <v>355.532352950656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4555.25827218028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6755.11470606246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4555.25827218028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1678.37972766101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2478.91198753047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2478.91198753047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15.2027376870223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-0.512732766441593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190.963205617677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168.258619314387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17.4057828953099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2915.36529419538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8.11291451459178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Assumptions!C27</f>
        <v>7.5</v>
      </c>
      <c r="D5" s="4" t="n">
        <f aca="false">Assumptions!D27</f>
        <v>9</v>
      </c>
      <c r="E5" s="4" t="n">
        <f aca="false">Assumptions!E27</f>
        <v>9</v>
      </c>
      <c r="F5" s="4" t="n">
        <f aca="false">Assumptions!F27</f>
        <v>9</v>
      </c>
      <c r="G5" s="4" t="n">
        <f aca="false">Assumptions!G27</f>
        <v>8.5</v>
      </c>
      <c r="H5" s="4" t="n">
        <f aca="false">Assumptions!H27</f>
        <v>8</v>
      </c>
      <c r="I5" s="4" t="n">
        <f aca="false">Assumptions!I27</f>
        <v>7</v>
      </c>
      <c r="J5" s="4" t="n">
        <f aca="false">Assumptions!J27</f>
        <v>6</v>
      </c>
      <c r="K5" s="4" t="n">
        <f aca="false">Assumptions!K27</f>
        <v>5</v>
      </c>
      <c r="L5" s="4" t="n">
        <f aca="false">Assumptions!L27</f>
        <v>4.5</v>
      </c>
    </row>
    <row r="6" customFormat="false" ht="15" hidden="false" customHeight="false" outlineLevel="0" collapsed="false">
      <c r="A6" s="0" t="s">
        <v>38</v>
      </c>
      <c r="B6" s="3" t="n">
        <v>2911</v>
      </c>
      <c r="C6" s="0" t="n">
        <f aca="false">B6*(1+C5/100)</f>
        <v>3129.325</v>
      </c>
      <c r="D6" s="0" t="n">
        <f aca="false">C6*(1+D5/100)</f>
        <v>3410.96425</v>
      </c>
      <c r="E6" s="0" t="n">
        <f aca="false">D6*(1+E5/100)</f>
        <v>3717.9510325</v>
      </c>
      <c r="F6" s="0" t="n">
        <f aca="false">E6*(1+F5/100)</f>
        <v>4052.566625425</v>
      </c>
      <c r="G6" s="0" t="n">
        <f aca="false">F6*(1+G5/100)</f>
        <v>4397.03478858613</v>
      </c>
      <c r="H6" s="0" t="n">
        <f aca="false">G6*(1+H5/100)</f>
        <v>4748.79757167302</v>
      </c>
      <c r="I6" s="0" t="n">
        <f aca="false">H6*(1+I5/100)</f>
        <v>5081.21340169013</v>
      </c>
      <c r="J6" s="0" t="n">
        <f aca="false">I6*(1+J5/100)</f>
        <v>5386.08620579154</v>
      </c>
      <c r="K6" s="0" t="n">
        <f aca="false">J6*(1+K5/100)</f>
        <v>5655.39051608111</v>
      </c>
      <c r="L6" s="0" t="n">
        <f aca="false">K6*(1+L5/100)</f>
        <v>5909.88308930476</v>
      </c>
    </row>
    <row r="7" customFormat="false" ht="15" hidden="false" customHeight="false" outlineLevel="0" collapsed="false">
      <c r="A7" s="0" t="s">
        <v>96</v>
      </c>
      <c r="C7" s="4" t="n">
        <f aca="false">Assumptions!C28</f>
        <v>20</v>
      </c>
      <c r="D7" s="4" t="n">
        <f aca="false">Assumptions!D28</f>
        <v>21.5</v>
      </c>
      <c r="E7" s="4" t="n">
        <f aca="false">Assumptions!E28</f>
        <v>22.4</v>
      </c>
      <c r="F7" s="4" t="n">
        <f aca="false">Assumptions!F28</f>
        <v>23.4</v>
      </c>
      <c r="G7" s="4" t="n">
        <f aca="false">Assumptions!G28</f>
        <v>24.3</v>
      </c>
      <c r="H7" s="4" t="n">
        <f aca="false">Assumptions!H28</f>
        <v>24.8</v>
      </c>
      <c r="I7" s="4" t="n">
        <f aca="false">Assumptions!I28</f>
        <v>25.3</v>
      </c>
      <c r="J7" s="4" t="n">
        <f aca="false">Assumptions!J28</f>
        <v>25.3</v>
      </c>
      <c r="K7" s="4" t="n">
        <f aca="false">Assumptions!K28</f>
        <v>25.3</v>
      </c>
      <c r="L7" s="4" t="n">
        <f aca="false">Assumptions!L28</f>
        <v>25.3</v>
      </c>
    </row>
    <row r="8" customFormat="false" ht="15" hidden="false" customHeight="false" outlineLevel="0" collapsed="false">
      <c r="A8" s="0" t="s">
        <v>44</v>
      </c>
      <c r="C8" s="0" t="n">
        <f aca="false">C6*C7/100</f>
        <v>625.865</v>
      </c>
      <c r="D8" s="0" t="n">
        <f aca="false">D6*D7/100</f>
        <v>733.35731375</v>
      </c>
      <c r="E8" s="0" t="n">
        <f aca="false">E6*E7/100</f>
        <v>832.82103128</v>
      </c>
      <c r="F8" s="0" t="n">
        <f aca="false">F6*F7/100</f>
        <v>948.30059034945</v>
      </c>
      <c r="G8" s="0" t="n">
        <f aca="false">G6*G7/100</f>
        <v>1068.47945362643</v>
      </c>
      <c r="H8" s="0" t="n">
        <f aca="false">H6*H7/100</f>
        <v>1177.70179777491</v>
      </c>
      <c r="I8" s="0" t="n">
        <f aca="false">I6*I7/100</f>
        <v>1285.5469906276</v>
      </c>
      <c r="J8" s="0" t="n">
        <f aca="false">J6*J7/100</f>
        <v>1362.67981006526</v>
      </c>
      <c r="K8" s="0" t="n">
        <f aca="false">K6*K7/100</f>
        <v>1430.81380056852</v>
      </c>
      <c r="L8" s="0" t="n">
        <f aca="false">L6*L7/100</f>
        <v>1495.20042159411</v>
      </c>
    </row>
    <row r="9" customFormat="false" ht="15" hidden="false" customHeight="false" outlineLevel="0" collapsed="false">
      <c r="A9" s="0" t="s">
        <v>97</v>
      </c>
      <c r="C9" s="4" t="n">
        <f aca="false">Assumptions!C29</f>
        <v>1</v>
      </c>
      <c r="D9" s="4" t="n">
        <f aca="false">Assumptions!D29</f>
        <v>1</v>
      </c>
      <c r="E9" s="4" t="n">
        <f aca="false">Assumptions!E29</f>
        <v>0.9</v>
      </c>
      <c r="F9" s="4" t="n">
        <f aca="false">Assumptions!F29</f>
        <v>0.9</v>
      </c>
      <c r="G9" s="4" t="n">
        <f aca="false">Assumptions!G29</f>
        <v>0.8</v>
      </c>
      <c r="H9" s="4" t="n">
        <f aca="false">Assumptions!H29</f>
        <v>0.8</v>
      </c>
      <c r="I9" s="4" t="n">
        <f aca="false">Assumptions!I29</f>
        <v>0.8</v>
      </c>
      <c r="J9" s="4" t="n">
        <f aca="false">Assumptions!J29</f>
        <v>0.8</v>
      </c>
      <c r="K9" s="4" t="n">
        <f aca="false">Assumptions!K29</f>
        <v>0.8</v>
      </c>
      <c r="L9" s="4" t="n">
        <f aca="false">Assumptions!L29</f>
        <v>0.8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-31.29325</v>
      </c>
      <c r="D10" s="0" t="n">
        <f aca="false">-D6*D9/100</f>
        <v>-34.1096425</v>
      </c>
      <c r="E10" s="0" t="n">
        <f aca="false">-E6*E9/100</f>
        <v>-33.4615592925</v>
      </c>
      <c r="F10" s="0" t="n">
        <f aca="false">-F6*F9/100</f>
        <v>-36.473099628825</v>
      </c>
      <c r="G10" s="0" t="n">
        <f aca="false">-G6*G9/100</f>
        <v>-35.176278308689</v>
      </c>
      <c r="H10" s="0" t="n">
        <f aca="false">-H6*H9/100</f>
        <v>-37.9903805733841</v>
      </c>
      <c r="I10" s="0" t="n">
        <f aca="false">-I6*I9/100</f>
        <v>-40.649707213521</v>
      </c>
      <c r="J10" s="0" t="n">
        <f aca="false">-J6*J9/100</f>
        <v>-43.0886896463323</v>
      </c>
      <c r="K10" s="0" t="n">
        <f aca="false">-K6*K9/100</f>
        <v>-45.2431241286489</v>
      </c>
      <c r="L10" s="0" t="n">
        <f aca="false">-L6*L9/100</f>
        <v>-47.2790647144381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594.57175</v>
      </c>
      <c r="D11" s="0" t="n">
        <f aca="false">D8+D10+D24</f>
        <v>699.24767125</v>
      </c>
      <c r="E11" s="0" t="n">
        <f aca="false">E8+E10+E24</f>
        <v>799.3594719875</v>
      </c>
      <c r="F11" s="0" t="n">
        <f aca="false">F8+F10+F24</f>
        <v>911.827490720625</v>
      </c>
      <c r="G11" s="0" t="n">
        <f aca="false">G8+G10+G24</f>
        <v>1033.30317531774</v>
      </c>
      <c r="H11" s="0" t="n">
        <f aca="false">H8+H10+H24</f>
        <v>1139.71141720152</v>
      </c>
      <c r="I11" s="0" t="n">
        <f aca="false">I8+I10+I24</f>
        <v>1244.89728341408</v>
      </c>
      <c r="J11" s="0" t="n">
        <f aca="false">J8+J10+J24</f>
        <v>1319.59112041893</v>
      </c>
      <c r="K11" s="0" t="n">
        <f aca="false">K8+K10+K24</f>
        <v>1385.57067643987</v>
      </c>
      <c r="L11" s="0" t="n">
        <f aca="false">L8+L10+L24</f>
        <v>1447.92135687967</v>
      </c>
    </row>
    <row r="12" customFormat="false" ht="15" hidden="false" customHeight="false" outlineLevel="0" collapsed="false">
      <c r="A12" s="0" t="s">
        <v>114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594.57175</v>
      </c>
      <c r="D13" s="0" t="n">
        <f aca="false">D11+D12</f>
        <v>699.24767125</v>
      </c>
      <c r="E13" s="0" t="n">
        <f aca="false">E11+E12</f>
        <v>799.3594719875</v>
      </c>
      <c r="F13" s="0" t="n">
        <f aca="false">F11+F12</f>
        <v>911.827490720625</v>
      </c>
      <c r="G13" s="0" t="n">
        <f aca="false">G11+G12</f>
        <v>1033.30317531774</v>
      </c>
      <c r="H13" s="0" t="n">
        <f aca="false">H11+H12</f>
        <v>1139.71141720152</v>
      </c>
      <c r="I13" s="0" t="n">
        <f aca="false">I11+I12</f>
        <v>1244.89728341408</v>
      </c>
      <c r="J13" s="0" t="n">
        <f aca="false">J11+J12</f>
        <v>1319.59112041893</v>
      </c>
      <c r="K13" s="0" t="n">
        <f aca="false">K11+K12</f>
        <v>1385.57067643987</v>
      </c>
      <c r="L13" s="0" t="n">
        <f aca="false">L11+L12</f>
        <v>1447.92135687967</v>
      </c>
    </row>
    <row r="14" customFormat="false" ht="15" hidden="false" customHeight="false" outlineLevel="0" collapsed="false">
      <c r="A14" s="0" t="s">
        <v>101</v>
      </c>
      <c r="C14" s="4" t="n">
        <f aca="false">Assumptions!C33</f>
        <v>33</v>
      </c>
      <c r="D14" s="4" t="n">
        <f aca="false">Assumptions!D33</f>
        <v>32</v>
      </c>
      <c r="E14" s="4" t="n">
        <f aca="false">Assumptions!E33</f>
        <v>31</v>
      </c>
      <c r="F14" s="4" t="n">
        <f aca="false">Assumptions!F33</f>
        <v>30</v>
      </c>
      <c r="G14" s="4" t="n">
        <f aca="false">Assumptions!G33</f>
        <v>29</v>
      </c>
      <c r="H14" s="4" t="n">
        <f aca="false">Assumptions!H33</f>
        <v>28.5</v>
      </c>
      <c r="I14" s="4" t="n">
        <f aca="false">Assumptions!I33</f>
        <v>28</v>
      </c>
      <c r="J14" s="4" t="n">
        <f aca="false">Assumptions!J33</f>
        <v>28</v>
      </c>
      <c r="K14" s="4" t="n">
        <f aca="false">Assumptions!K33</f>
        <v>28</v>
      </c>
      <c r="L14" s="4" t="n">
        <f aca="false">Assumptions!L33</f>
        <v>28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398.3630725</v>
      </c>
      <c r="D15" s="0" t="n">
        <f aca="false">D13-MAX(0,D13)*D14/100</f>
        <v>475.48841645</v>
      </c>
      <c r="E15" s="0" t="n">
        <f aca="false">E13-MAX(0,E13)*E14/100</f>
        <v>551.558035671375</v>
      </c>
      <c r="F15" s="0" t="n">
        <f aca="false">F13-MAX(0,F13)*F14/100</f>
        <v>638.279243504438</v>
      </c>
      <c r="G15" s="0" t="n">
        <f aca="false">G13-MAX(0,G13)*G14/100</f>
        <v>733.645254475595</v>
      </c>
      <c r="H15" s="0" t="n">
        <f aca="false">H13-MAX(0,H13)*H14/100</f>
        <v>814.89366329909</v>
      </c>
      <c r="I15" s="0" t="n">
        <f aca="false">I13-MAX(0,I13)*I14/100</f>
        <v>896.326044058139</v>
      </c>
      <c r="J15" s="0" t="n">
        <f aca="false">J13-MAX(0,J13)*J14/100</f>
        <v>950.105606701627</v>
      </c>
      <c r="K15" s="0" t="n">
        <f aca="false">K13-MAX(0,K13)*K14/100</f>
        <v>997.610887036708</v>
      </c>
      <c r="L15" s="0" t="n">
        <f aca="false">L13-MAX(0,L13)*L14/100</f>
        <v>1042.50337695336</v>
      </c>
    </row>
    <row r="16" customFormat="false" ht="15" hidden="false" customHeight="false" outlineLevel="0" collapsed="false">
      <c r="A16" s="0" t="s">
        <v>117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118</v>
      </c>
      <c r="C17" s="4" t="n">
        <f aca="false">-C6*Assumptions!C32/100</f>
        <v>-398.3630725</v>
      </c>
      <c r="D17" s="4" t="n">
        <f aca="false">-D6*Assumptions!D32/100</f>
        <v>-475.48841645</v>
      </c>
      <c r="E17" s="4" t="n">
        <f aca="false">-E6*Assumptions!E32/100</f>
        <v>-441.2464285371</v>
      </c>
      <c r="F17" s="4" t="n">
        <f aca="false">-F6*Assumptions!F32/100</f>
        <v>-446.795470453106</v>
      </c>
      <c r="G17" s="4" t="n">
        <f aca="false">-G6*Assumptions!G32/100</f>
        <v>-440.187152685357</v>
      </c>
      <c r="H17" s="4" t="n">
        <f aca="false">-H6*Assumptions!H32/100</f>
        <v>-407.446831649545</v>
      </c>
      <c r="I17" s="4" t="n">
        <f aca="false">-I6*Assumptions!I32/100</f>
        <v>-403.346719826162</v>
      </c>
      <c r="J17" s="4" t="n">
        <f aca="false">-J6*Assumptions!J32/100</f>
        <v>-380.042242680651</v>
      </c>
      <c r="K17" s="4" t="n">
        <f aca="false">-K6*Assumptions!K32/100</f>
        <v>-349.163810462848</v>
      </c>
      <c r="L17" s="4" t="n">
        <f aca="false">-L6*Assumptions!L32/100</f>
        <v>-312.751013086008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0</v>
      </c>
      <c r="D19" s="0" t="n">
        <f aca="false">D15+D16+D17+D18</f>
        <v>0</v>
      </c>
      <c r="E19" s="0" t="n">
        <f aca="false">E15+E16+E17+E18</f>
        <v>110.311607134275</v>
      </c>
      <c r="F19" s="0" t="n">
        <f aca="false">F15+F16+F17+F18</f>
        <v>191.483773051331</v>
      </c>
      <c r="G19" s="0" t="n">
        <f aca="false">G15+G16+G17+G18</f>
        <v>293.458101790238</v>
      </c>
      <c r="H19" s="0" t="n">
        <f aca="false">H15+H16+H17+H18</f>
        <v>407.446831649545</v>
      </c>
      <c r="I19" s="0" t="n">
        <f aca="false">I15+I16+I17+I18</f>
        <v>492.979324231976</v>
      </c>
      <c r="J19" s="0" t="n">
        <f aca="false">J15+J16+J17+J18</f>
        <v>570.063364020976</v>
      </c>
      <c r="K19" s="0" t="n">
        <f aca="false">K15+K16+K17+K18</f>
        <v>648.44707657386</v>
      </c>
      <c r="L19" s="0" t="n">
        <f aca="false">L15+L16+L17+L18</f>
        <v>729.752363867352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0</v>
      </c>
      <c r="D21" s="0" t="n">
        <f aca="false">D19*D20</f>
        <v>0</v>
      </c>
      <c r="E21" s="0" t="n">
        <f aca="false">E19*E20</f>
        <v>81.7587753885473</v>
      </c>
      <c r="F21" s="0" t="n">
        <f aca="false">F19*F20</f>
        <v>128.434844509778</v>
      </c>
      <c r="G21" s="0" t="n">
        <f aca="false">G19*G20</f>
        <v>178.129034489734</v>
      </c>
      <c r="H21" s="0" t="n">
        <f aca="false">H19*H20</f>
        <v>223.819167946346</v>
      </c>
      <c r="I21" s="0" t="n">
        <f aca="false">I19*I20</f>
        <v>245.071471815389</v>
      </c>
      <c r="J21" s="0" t="n">
        <f aca="false">J19*J20</f>
        <v>256.463111599486</v>
      </c>
      <c r="K21" s="0" t="n">
        <f aca="false">K19*K20</f>
        <v>264.006144293589</v>
      </c>
      <c r="L21" s="0" t="n">
        <f aca="false">L19*L20</f>
        <v>268.876428194584</v>
      </c>
    </row>
    <row r="23" customFormat="false" ht="15" hidden="false" customHeight="false" outlineLevel="0" collapsed="false">
      <c r="A23" s="0" t="s">
        <v>98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Assumptions!$B$34</f>
        <v>10.5</v>
      </c>
    </row>
    <row r="28" customFormat="false" ht="15" hidden="false" customHeight="false" outlineLevel="0" collapsed="false">
      <c r="A28" s="0" t="s">
        <v>103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104</v>
      </c>
      <c r="B29" s="4" t="n">
        <f aca="false">Assumptions!$B$36</f>
        <v>16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1646.55897823745</v>
      </c>
    </row>
    <row r="31" customFormat="false" ht="15" hidden="false" customHeight="false" outlineLevel="0" collapsed="false">
      <c r="A31" s="0" t="s">
        <v>126</v>
      </c>
      <c r="B31" s="0" t="n">
        <f aca="false">L19</f>
        <v>729.752363867352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10021.9324637783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11676.0378218776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10021.9324637783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3692.56961387229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5339.12859210974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5339.12859210974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32.743950519997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0.0494855935896474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223.17297308599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239.23353507433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35.579809511238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6263.70778986144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17.1029427739588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Assumptions!C41</f>
        <v>9</v>
      </c>
      <c r="D5" s="4" t="n">
        <f aca="false">Assumptions!D41</f>
        <v>11</v>
      </c>
      <c r="E5" s="4" t="n">
        <f aca="false">Assumptions!E41</f>
        <v>11</v>
      </c>
      <c r="F5" s="4" t="n">
        <f aca="false">Assumptions!F41</f>
        <v>10.5</v>
      </c>
      <c r="G5" s="4" t="n">
        <f aca="false">Assumptions!G41</f>
        <v>10</v>
      </c>
      <c r="H5" s="4" t="n">
        <f aca="false">Assumptions!H41</f>
        <v>9</v>
      </c>
      <c r="I5" s="4" t="n">
        <f aca="false">Assumptions!I41</f>
        <v>8</v>
      </c>
      <c r="J5" s="4" t="n">
        <f aca="false">Assumptions!J41</f>
        <v>7</v>
      </c>
      <c r="K5" s="4" t="n">
        <f aca="false">Assumptions!K41</f>
        <v>6</v>
      </c>
      <c r="L5" s="4" t="n">
        <f aca="false">Assumptions!L41</f>
        <v>5</v>
      </c>
    </row>
    <row r="6" customFormat="false" ht="15" hidden="false" customHeight="false" outlineLevel="0" collapsed="false">
      <c r="A6" s="0" t="s">
        <v>38</v>
      </c>
      <c r="B6" s="3" t="n">
        <v>2911</v>
      </c>
      <c r="C6" s="0" t="n">
        <f aca="false">B6*(1+C5/100)</f>
        <v>3172.99</v>
      </c>
      <c r="D6" s="0" t="n">
        <f aca="false">C6*(1+D5/100)</f>
        <v>3522.0189</v>
      </c>
      <c r="E6" s="0" t="n">
        <f aca="false">D6*(1+E5/100)</f>
        <v>3909.440979</v>
      </c>
      <c r="F6" s="0" t="n">
        <f aca="false">E6*(1+F5/100)</f>
        <v>4319.932281795</v>
      </c>
      <c r="G6" s="0" t="n">
        <f aca="false">F6*(1+G5/100)</f>
        <v>4751.9255099745</v>
      </c>
      <c r="H6" s="0" t="n">
        <f aca="false">G6*(1+H5/100)</f>
        <v>5179.59880587221</v>
      </c>
      <c r="I6" s="0" t="n">
        <f aca="false">H6*(1+I5/100)</f>
        <v>5593.96671034198</v>
      </c>
      <c r="J6" s="0" t="n">
        <f aca="false">I6*(1+J5/100)</f>
        <v>5985.54438006592</v>
      </c>
      <c r="K6" s="0" t="n">
        <f aca="false">J6*(1+K5/100)</f>
        <v>6344.67704286988</v>
      </c>
      <c r="L6" s="0" t="n">
        <f aca="false">K6*(1+L5/100)</f>
        <v>6661.91089501337</v>
      </c>
    </row>
    <row r="7" customFormat="false" ht="15" hidden="false" customHeight="false" outlineLevel="0" collapsed="false">
      <c r="A7" s="0" t="s">
        <v>96</v>
      </c>
      <c r="C7" s="4" t="n">
        <f aca="false">Assumptions!C42</f>
        <v>20.5</v>
      </c>
      <c r="D7" s="4" t="n">
        <f aca="false">Assumptions!D42</f>
        <v>22.5</v>
      </c>
      <c r="E7" s="4" t="n">
        <f aca="false">Assumptions!E42</f>
        <v>23.9</v>
      </c>
      <c r="F7" s="4" t="n">
        <f aca="false">Assumptions!F42</f>
        <v>25.4</v>
      </c>
      <c r="G7" s="4" t="n">
        <f aca="false">Assumptions!G42</f>
        <v>26.3</v>
      </c>
      <c r="H7" s="4" t="n">
        <f aca="false">Assumptions!H42</f>
        <v>27.3</v>
      </c>
      <c r="I7" s="4" t="n">
        <f aca="false">Assumptions!I42</f>
        <v>27.8</v>
      </c>
      <c r="J7" s="4" t="n">
        <f aca="false">Assumptions!J42</f>
        <v>28.3</v>
      </c>
      <c r="K7" s="4" t="n">
        <f aca="false">Assumptions!K42</f>
        <v>28.3</v>
      </c>
      <c r="L7" s="4" t="n">
        <f aca="false">Assumptions!L42</f>
        <v>28.3</v>
      </c>
    </row>
    <row r="8" customFormat="false" ht="15" hidden="false" customHeight="false" outlineLevel="0" collapsed="false">
      <c r="A8" s="0" t="s">
        <v>44</v>
      </c>
      <c r="C8" s="0" t="n">
        <f aca="false">C6*C7/100</f>
        <v>650.46295</v>
      </c>
      <c r="D8" s="0" t="n">
        <f aca="false">D6*D7/100</f>
        <v>792.4542525</v>
      </c>
      <c r="E8" s="0" t="n">
        <f aca="false">E6*E7/100</f>
        <v>934.356393981</v>
      </c>
      <c r="F8" s="0" t="n">
        <f aca="false">F6*F7/100</f>
        <v>1097.26279957593</v>
      </c>
      <c r="G8" s="0" t="n">
        <f aca="false">G6*G7/100</f>
        <v>1249.75640912329</v>
      </c>
      <c r="H8" s="0" t="n">
        <f aca="false">H6*H7/100</f>
        <v>1414.03047400311</v>
      </c>
      <c r="I8" s="0" t="n">
        <f aca="false">I6*I7/100</f>
        <v>1555.12274547507</v>
      </c>
      <c r="J8" s="0" t="n">
        <f aca="false">J6*J7/100</f>
        <v>1693.90905955866</v>
      </c>
      <c r="K8" s="0" t="n">
        <f aca="false">K6*K7/100</f>
        <v>1795.54360313218</v>
      </c>
      <c r="L8" s="0" t="n">
        <f aca="false">L6*L7/100</f>
        <v>1885.32078328878</v>
      </c>
    </row>
    <row r="9" customFormat="false" ht="15" hidden="false" customHeight="false" outlineLevel="0" collapsed="false">
      <c r="A9" s="0" t="s">
        <v>97</v>
      </c>
      <c r="C9" s="4" t="n">
        <f aca="false">Assumptions!C43</f>
        <v>1</v>
      </c>
      <c r="D9" s="4" t="n">
        <f aca="false">Assumptions!D43</f>
        <v>1</v>
      </c>
      <c r="E9" s="4" t="n">
        <f aca="false">Assumptions!E43</f>
        <v>0.9</v>
      </c>
      <c r="F9" s="4" t="n">
        <f aca="false">Assumptions!F43</f>
        <v>0.9</v>
      </c>
      <c r="G9" s="4" t="n">
        <f aca="false">Assumptions!G43</f>
        <v>0.8</v>
      </c>
      <c r="H9" s="4" t="n">
        <f aca="false">Assumptions!H43</f>
        <v>0.8</v>
      </c>
      <c r="I9" s="4" t="n">
        <f aca="false">Assumptions!I43</f>
        <v>0.8</v>
      </c>
      <c r="J9" s="4" t="n">
        <f aca="false">Assumptions!J43</f>
        <v>0.8</v>
      </c>
      <c r="K9" s="4" t="n">
        <f aca="false">Assumptions!K43</f>
        <v>0.8</v>
      </c>
      <c r="L9" s="4" t="n">
        <f aca="false">Assumptions!L43</f>
        <v>0.8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-31.7299</v>
      </c>
      <c r="D10" s="0" t="n">
        <f aca="false">-D6*D9/100</f>
        <v>-35.220189</v>
      </c>
      <c r="E10" s="0" t="n">
        <f aca="false">-E6*E9/100</f>
        <v>-35.184968811</v>
      </c>
      <c r="F10" s="0" t="n">
        <f aca="false">-F6*F9/100</f>
        <v>-38.879390536155</v>
      </c>
      <c r="G10" s="0" t="n">
        <f aca="false">-G6*G9/100</f>
        <v>-38.015404079796</v>
      </c>
      <c r="H10" s="0" t="n">
        <f aca="false">-H6*H9/100</f>
        <v>-41.4367904469777</v>
      </c>
      <c r="I10" s="0" t="n">
        <f aca="false">-I6*I9/100</f>
        <v>-44.7517336827359</v>
      </c>
      <c r="J10" s="0" t="n">
        <f aca="false">-J6*J9/100</f>
        <v>-47.8843550405274</v>
      </c>
      <c r="K10" s="0" t="n">
        <f aca="false">-K6*K9/100</f>
        <v>-50.757416342959</v>
      </c>
      <c r="L10" s="0" t="n">
        <f aca="false">-L6*L9/100</f>
        <v>-53.295287160107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618.73305</v>
      </c>
      <c r="D11" s="0" t="n">
        <f aca="false">D8+D10+D24</f>
        <v>757.2340635</v>
      </c>
      <c r="E11" s="0" t="n">
        <f aca="false">E8+E10+E24</f>
        <v>899.17142517</v>
      </c>
      <c r="F11" s="0" t="n">
        <f aca="false">F8+F10+F24</f>
        <v>1058.38340903978</v>
      </c>
      <c r="G11" s="0" t="n">
        <f aca="false">G8+G10+G24</f>
        <v>1211.7410050435</v>
      </c>
      <c r="H11" s="0" t="n">
        <f aca="false">H8+H10+H24</f>
        <v>1372.59368355613</v>
      </c>
      <c r="I11" s="0" t="n">
        <f aca="false">I8+I10+I24</f>
        <v>1510.37101179234</v>
      </c>
      <c r="J11" s="0" t="n">
        <f aca="false">J8+J10+J24</f>
        <v>1646.02470451813</v>
      </c>
      <c r="K11" s="0" t="n">
        <f aca="false">K8+K10+K24</f>
        <v>1744.78618678922</v>
      </c>
      <c r="L11" s="0" t="n">
        <f aca="false">L8+L10+L24</f>
        <v>1832.02549612868</v>
      </c>
    </row>
    <row r="12" customFormat="false" ht="15" hidden="false" customHeight="false" outlineLevel="0" collapsed="false">
      <c r="A12" s="0" t="s">
        <v>114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618.73305</v>
      </c>
      <c r="D13" s="0" t="n">
        <f aca="false">D11+D12</f>
        <v>757.2340635</v>
      </c>
      <c r="E13" s="0" t="n">
        <f aca="false">E11+E12</f>
        <v>899.17142517</v>
      </c>
      <c r="F13" s="0" t="n">
        <f aca="false">F11+F12</f>
        <v>1058.38340903978</v>
      </c>
      <c r="G13" s="0" t="n">
        <f aca="false">G11+G12</f>
        <v>1211.7410050435</v>
      </c>
      <c r="H13" s="0" t="n">
        <f aca="false">H11+H12</f>
        <v>1372.59368355613</v>
      </c>
      <c r="I13" s="0" t="n">
        <f aca="false">I11+I12</f>
        <v>1510.37101179234</v>
      </c>
      <c r="J13" s="0" t="n">
        <f aca="false">J11+J12</f>
        <v>1646.02470451813</v>
      </c>
      <c r="K13" s="0" t="n">
        <f aca="false">K11+K12</f>
        <v>1744.78618678922</v>
      </c>
      <c r="L13" s="0" t="n">
        <f aca="false">L11+L12</f>
        <v>1832.02549612868</v>
      </c>
    </row>
    <row r="14" customFormat="false" ht="15" hidden="false" customHeight="false" outlineLevel="0" collapsed="false">
      <c r="A14" s="0" t="s">
        <v>101</v>
      </c>
      <c r="C14" s="4" t="n">
        <f aca="false">Assumptions!C47</f>
        <v>33</v>
      </c>
      <c r="D14" s="4" t="n">
        <f aca="false">Assumptions!D47</f>
        <v>32</v>
      </c>
      <c r="E14" s="4" t="n">
        <f aca="false">Assumptions!E47</f>
        <v>31</v>
      </c>
      <c r="F14" s="4" t="n">
        <f aca="false">Assumptions!F47</f>
        <v>30</v>
      </c>
      <c r="G14" s="4" t="n">
        <f aca="false">Assumptions!G47</f>
        <v>29</v>
      </c>
      <c r="H14" s="4" t="n">
        <f aca="false">Assumptions!H47</f>
        <v>28.5</v>
      </c>
      <c r="I14" s="4" t="n">
        <f aca="false">Assumptions!I47</f>
        <v>28</v>
      </c>
      <c r="J14" s="4" t="n">
        <f aca="false">Assumptions!J47</f>
        <v>28</v>
      </c>
      <c r="K14" s="4" t="n">
        <f aca="false">Assumptions!K47</f>
        <v>28</v>
      </c>
      <c r="L14" s="4" t="n">
        <f aca="false">Assumptions!L47</f>
        <v>28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414.5511435</v>
      </c>
      <c r="D15" s="0" t="n">
        <f aca="false">D13-MAX(0,D13)*D14/100</f>
        <v>514.91916318</v>
      </c>
      <c r="E15" s="0" t="n">
        <f aca="false">E13-MAX(0,E13)*E14/100</f>
        <v>620.4282833673</v>
      </c>
      <c r="F15" s="0" t="n">
        <f aca="false">F13-MAX(0,F13)*F14/100</f>
        <v>740.868386327843</v>
      </c>
      <c r="G15" s="0" t="n">
        <f aca="false">G13-MAX(0,G13)*G14/100</f>
        <v>860.336113580883</v>
      </c>
      <c r="H15" s="0" t="n">
        <f aca="false">H13-MAX(0,H13)*H14/100</f>
        <v>981.404483742636</v>
      </c>
      <c r="I15" s="0" t="n">
        <f aca="false">I13-MAX(0,I13)*I14/100</f>
        <v>1087.46712849048</v>
      </c>
      <c r="J15" s="0" t="n">
        <f aca="false">J13-MAX(0,J13)*J14/100</f>
        <v>1185.13778725305</v>
      </c>
      <c r="K15" s="0" t="n">
        <f aca="false">K13-MAX(0,K13)*K14/100</f>
        <v>1256.24605448824</v>
      </c>
      <c r="L15" s="0" t="n">
        <f aca="false">L13-MAX(0,L13)*L14/100</f>
        <v>1319.05835721265</v>
      </c>
    </row>
    <row r="16" customFormat="false" ht="15" hidden="false" customHeight="false" outlineLevel="0" collapsed="false">
      <c r="A16" s="0" t="s">
        <v>117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118</v>
      </c>
      <c r="C17" s="4" t="n">
        <f aca="false">-C6*Assumptions!C46/100</f>
        <v>-414.5511435</v>
      </c>
      <c r="D17" s="4" t="n">
        <f aca="false">-D6*Assumptions!D46/100</f>
        <v>-514.91916318</v>
      </c>
      <c r="E17" s="4" t="n">
        <f aca="false">-E6*Assumptions!E46/100</f>
        <v>-496.34262669384</v>
      </c>
      <c r="F17" s="4" t="n">
        <f aca="false">-F6*Assumptions!F46/100</f>
        <v>-518.60787042949</v>
      </c>
      <c r="G17" s="4" t="n">
        <f aca="false">-G6*Assumptions!G46/100</f>
        <v>-516.20166814853</v>
      </c>
      <c r="H17" s="4" t="n">
        <f aca="false">-H6*Assumptions!H46/100</f>
        <v>-490.715190868333</v>
      </c>
      <c r="I17" s="4" t="n">
        <f aca="false">-I6*Assumptions!I46/100</f>
        <v>-489.360207820717</v>
      </c>
      <c r="J17" s="4" t="n">
        <f aca="false">-J6*Assumptions!J46/100</f>
        <v>-474.055114901221</v>
      </c>
      <c r="K17" s="4" t="n">
        <f aca="false">-K6*Assumptions!K46/100</f>
        <v>-439.686119070883</v>
      </c>
      <c r="L17" s="4" t="n">
        <f aca="false">-L6*Assumptions!L46/100</f>
        <v>-395.717507163794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0</v>
      </c>
      <c r="D19" s="0" t="n">
        <f aca="false">D15+D16+D17+D18</f>
        <v>0</v>
      </c>
      <c r="E19" s="0" t="n">
        <f aca="false">E15+E16+E17+E18</f>
        <v>124.08565667346</v>
      </c>
      <c r="F19" s="0" t="n">
        <f aca="false">F15+F16+F17+F18</f>
        <v>222.260515898353</v>
      </c>
      <c r="G19" s="0" t="n">
        <f aca="false">G15+G16+G17+G18</f>
        <v>344.134445432353</v>
      </c>
      <c r="H19" s="0" t="n">
        <f aca="false">H15+H16+H17+H18</f>
        <v>490.689292874304</v>
      </c>
      <c r="I19" s="0" t="n">
        <f aca="false">I15+I16+I17+I18</f>
        <v>598.106920669765</v>
      </c>
      <c r="J19" s="0" t="n">
        <f aca="false">J15+J16+J17+J18</f>
        <v>711.082672351831</v>
      </c>
      <c r="K19" s="0" t="n">
        <f aca="false">K15+K16+K17+K18</f>
        <v>816.559935417354</v>
      </c>
      <c r="L19" s="0" t="n">
        <f aca="false">L15+L16+L17+L18</f>
        <v>923.340850048854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0</v>
      </c>
      <c r="D21" s="0" t="n">
        <f aca="false">D19*D20</f>
        <v>0</v>
      </c>
      <c r="E21" s="0" t="n">
        <f aca="false">E19*E20</f>
        <v>91.9675779952771</v>
      </c>
      <c r="F21" s="0" t="n">
        <f aca="false">F19*F20</f>
        <v>149.077879264556</v>
      </c>
      <c r="G21" s="0" t="n">
        <f aca="false">G19*G20</f>
        <v>208.889569330555</v>
      </c>
      <c r="H21" s="0" t="n">
        <f aca="false">H19*H20</f>
        <v>269.546013664357</v>
      </c>
      <c r="I21" s="0" t="n">
        <f aca="false">I19*I20</f>
        <v>297.332841655922</v>
      </c>
      <c r="J21" s="0" t="n">
        <f aca="false">J19*J20</f>
        <v>319.905621490032</v>
      </c>
      <c r="K21" s="0" t="n">
        <f aca="false">K19*K20</f>
        <v>332.450939979837</v>
      </c>
      <c r="L21" s="0" t="n">
        <f aca="false">L19*L20</f>
        <v>340.203885673763</v>
      </c>
    </row>
    <row r="23" customFormat="false" ht="15" hidden="false" customHeight="false" outlineLevel="0" collapsed="false">
      <c r="A23" s="0" t="s">
        <v>98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Assumptions!$B$48</f>
        <v>10.5</v>
      </c>
    </row>
    <row r="28" customFormat="false" ht="15" hidden="false" customHeight="false" outlineLevel="0" collapsed="false">
      <c r="A28" s="0" t="s">
        <v>103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104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2009.3743290543</v>
      </c>
    </row>
    <row r="31" customFormat="false" ht="15" hidden="false" customHeight="false" outlineLevel="0" collapsed="false">
      <c r="A31" s="0" t="s">
        <v>126</v>
      </c>
      <c r="B31" s="0" t="n">
        <f aca="false">L19</f>
        <v>923.340850048854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13652.2539971509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16620.1353008794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13652.2539971509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5030.15745246206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7039.53178151636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7039.53178151636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43.1722286439323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0.383725277049112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239.64394418205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290.340978497089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46.4225343417939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8310.06765043968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21.8554323310478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2" t="s">
        <v>143</v>
      </c>
      <c r="B3" s="2" t="s">
        <v>144</v>
      </c>
      <c r="C3" s="2" t="s">
        <v>134</v>
      </c>
      <c r="D3" s="2" t="s">
        <v>145</v>
      </c>
      <c r="E3" s="2" t="s">
        <v>137</v>
      </c>
      <c r="F3" s="2" t="s">
        <v>146</v>
      </c>
    </row>
    <row r="4" customFormat="false" ht="15" hidden="false" customHeight="false" outlineLevel="0" collapsed="false">
      <c r="A4" s="0" t="s">
        <v>147</v>
      </c>
      <c r="B4" s="4" t="n">
        <f aca="false">DCF_Bear!$B$38</f>
        <v>15.2027376870223</v>
      </c>
      <c r="C4" s="0" t="n">
        <f aca="false">B4/Assumptions!$B$2-1</f>
        <v>-0.512732766441593</v>
      </c>
      <c r="D4" s="4" t="n">
        <f aca="false">Assumptions!$B$24</f>
        <v>0.25</v>
      </c>
      <c r="E4" s="4" t="n">
        <f aca="false">DCF_Bear!$B$43</f>
        <v>17.4057828953099</v>
      </c>
      <c r="F4" s="4" t="n">
        <f aca="false">DCF_Bear!$B$47</f>
        <v>8.11291451459178</v>
      </c>
    </row>
    <row r="5" customFormat="false" ht="15" hidden="false" customHeight="false" outlineLevel="0" collapsed="false">
      <c r="A5" s="0" t="s">
        <v>148</v>
      </c>
      <c r="B5" s="4" t="n">
        <f aca="false">DCF_Base!$B$38</f>
        <v>32.743950519997</v>
      </c>
      <c r="C5" s="0" t="n">
        <f aca="false">B5/Assumptions!$B$2-1</f>
        <v>0.0494855935896474</v>
      </c>
      <c r="D5" s="4" t="n">
        <f aca="false">Assumptions!$B$38</f>
        <v>0.5</v>
      </c>
      <c r="E5" s="4" t="n">
        <f aca="false">DCF_Base!$B$43</f>
        <v>35.579809511238</v>
      </c>
      <c r="F5" s="4" t="n">
        <f aca="false">DCF_Base!$B$47</f>
        <v>17.1029427739588</v>
      </c>
    </row>
    <row r="6" customFormat="false" ht="15" hidden="false" customHeight="false" outlineLevel="0" collapsed="false">
      <c r="A6" s="0" t="s">
        <v>149</v>
      </c>
      <c r="B6" s="4" t="n">
        <f aca="false">DCF_Bull!$B$38</f>
        <v>43.1722286439323</v>
      </c>
      <c r="C6" s="0" t="n">
        <f aca="false">B6/Assumptions!$B$2-1</f>
        <v>0.383725277049112</v>
      </c>
      <c r="D6" s="4" t="n">
        <f aca="false">Assumptions!$B$52</f>
        <v>0.25</v>
      </c>
      <c r="E6" s="4" t="n">
        <f aca="false">DCF_Bull!$B$43</f>
        <v>46.4225343417939</v>
      </c>
      <c r="F6" s="4" t="n">
        <f aca="false">DCF_Bull!$B$47</f>
        <v>21.8554323310478</v>
      </c>
    </row>
    <row r="8" customFormat="false" ht="15" hidden="false" customHeight="false" outlineLevel="0" collapsed="false">
      <c r="A8" s="0" t="s">
        <v>150</v>
      </c>
      <c r="B8" s="0" t="n">
        <f aca="false">SUMPRODUCT(B4:B6,D4:D6)</f>
        <v>30.9657168427372</v>
      </c>
    </row>
    <row r="9" customFormat="false" ht="15" hidden="false" customHeight="false" outlineLevel="0" collapsed="false">
      <c r="A9" s="0" t="s">
        <v>151</v>
      </c>
      <c r="B9" s="0" t="n">
        <f aca="false">SUMPRODUCT(E4:E6,D4:D6)</f>
        <v>33.7469840648949</v>
      </c>
    </row>
    <row r="10" customFormat="false" ht="15" hidden="false" customHeight="false" outlineLevel="0" collapsed="false">
      <c r="A10" s="0" t="s">
        <v>152</v>
      </c>
      <c r="B10" s="0" t="n">
        <f aca="false">1-Assumptions!$B$2/B8</f>
        <v>-0.00756588838077543</v>
      </c>
    </row>
    <row r="11" customFormat="false" ht="15" hidden="false" customHeight="false" outlineLevel="0" collapsed="false">
      <c r="A11" s="0" t="s">
        <v>153</v>
      </c>
      <c r="B11" s="0" t="n">
        <f aca="false">IF(ABS(B9-B8)&gt;0.01*ABS(B8),(Assumptions!$B$2-B8)/(B9-B8)*100,"n/a")</f>
        <v>8.42361192036356</v>
      </c>
    </row>
    <row r="12" customFormat="false" ht="15" hidden="false" customHeight="false" outlineLevel="0" collapsed="false">
      <c r="A12" s="0" t="s">
        <v>154</v>
      </c>
      <c r="B12" s="0" t="n">
        <f aca="false">SUMPRODUCT(F4:F6,D4:D6)</f>
        <v>16.0435580983893</v>
      </c>
    </row>
    <row r="14" customFormat="false" ht="15" hidden="false" customHeight="false" outlineLevel="0" collapsed="false">
      <c r="A14" s="2" t="s">
        <v>155</v>
      </c>
      <c r="C14" s="0" t="s">
        <v>156</v>
      </c>
    </row>
    <row r="15" customFormat="false" ht="15" hidden="false" customHeight="false" outlineLevel="0" collapsed="false">
      <c r="A15" s="0" t="s">
        <v>157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41.3915676646756</v>
      </c>
      <c r="C15" s="3" t="n">
        <v>9</v>
      </c>
    </row>
    <row r="16" customFormat="false" ht="15" hidden="false" customHeight="false" outlineLevel="0" collapsed="false">
      <c r="A16" s="0" t="s">
        <v>158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35.8219893578053</v>
      </c>
      <c r="C16" s="3" t="n">
        <v>10</v>
      </c>
    </row>
    <row r="17" customFormat="false" ht="15" hidden="false" customHeight="false" outlineLevel="0" collapsed="false">
      <c r="A17" s="0" t="s">
        <v>159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32.743950519997</v>
      </c>
      <c r="C17" s="3" t="n">
        <v>10.5</v>
      </c>
    </row>
    <row r="18" customFormat="false" ht="15" hidden="false" customHeight="false" outlineLevel="0" collapsed="false">
      <c r="A18" s="0" t="s">
        <v>160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30.0696892545926</v>
      </c>
      <c r="C18" s="3" t="n">
        <v>11</v>
      </c>
    </row>
    <row r="19" customFormat="false" ht="15" hidden="false" customHeight="false" outlineLevel="0" collapsed="false">
      <c r="A19" s="0" t="s">
        <v>161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25.6608533298022</v>
      </c>
      <c r="C19" s="3" t="n">
        <v>12</v>
      </c>
    </row>
    <row r="20" customFormat="false" ht="15" hidden="false" customHeight="false" outlineLevel="0" collapsed="false">
      <c r="A20" s="0" t="s">
        <v>162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17.1029427739588</v>
      </c>
      <c r="C20" s="3" t="n">
        <v>15</v>
      </c>
    </row>
    <row r="22" customFormat="false" ht="15" hidden="false" customHeight="false" outlineLevel="0" collapsed="false">
      <c r="A22" s="2" t="s">
        <v>163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8.5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42.5833862128138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43.192439739233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43.192439739233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43.192439739233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43.192439739233</v>
      </c>
    </row>
    <row r="25" customFormat="false" ht="15" hidden="false" customHeight="false" outlineLevel="0" collapsed="false">
      <c r="A25" s="3" t="n">
        <v>9.5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35.3415440128077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37.2248454302571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39.3978855273139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39.6757171378966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39.6757171378966</v>
      </c>
    </row>
    <row r="26" customFormat="false" ht="15" hidden="false" customHeight="false" outlineLevel="0" collapsed="false">
      <c r="A26" s="3" t="n">
        <v>10.5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29.8857314425867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31.2255216351228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32.743950519997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34.4792978169961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36.4816216212258</v>
      </c>
    </row>
    <row r="27" customFormat="false" ht="15" hidden="false" customHeight="false" outlineLevel="0" collapsed="false">
      <c r="A27" s="3" t="n">
        <v>11.5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25.6465422997685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26.6291186075729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27.7272921280602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28.9627373386084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30.3629085772297</v>
      </c>
    </row>
    <row r="28" customFormat="false" ht="15" hidden="false" customHeight="false" outlineLevel="0" collapsed="false">
      <c r="A28" s="3" t="n">
        <v>12.5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22.2719045203356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23.0102237981358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23.8262608946518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24.7329687796696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25.7463481805719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2026-10-16T20:08:35Z</dcterms:created>
  <dc:creator>openpyxl</dc:creator>
  <dc:description/>
  <dc:language>en-NZ</dc:language>
  <cp:lastModifiedBy/>
  <dcterms:modified xsi:type="dcterms:W3CDTF">2026-10-16T20:08:35Z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