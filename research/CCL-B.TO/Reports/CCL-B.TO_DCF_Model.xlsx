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<sst xmlns="http://schemas.openxmlformats.org/spreadsheetml/2006/main" count="360" uniqueCount="165">
  <si>
    <t xml:space="preserve">Ticker</t>
  </si>
  <si>
    <t xml:space="preserve">CCL-B.TO</t>
  </si>
  <si>
    <t xml:space="preserve">Company</t>
  </si>
  <si>
    <t xml:space="preserve">CCL Industries Inc.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</si>
  <si>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</si>
  <si>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</si>
  <si>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</si>
  <si>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</si>
  <si>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2026-10-09T20:00:00Z regular close (TSX). CCL-A.TO (voting) closed 94.89 the same session, 0.5% above the B shares -- normal dual-class parity.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</si>
  <si>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</si>
  <si>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</si>
  <si>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</si>
  <si>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</si>
  <si>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</si>
  <si>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CAD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</si>
  <si>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</si>
  <si>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</si>
  <si>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</si>
  <si>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</si>
  <si>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</si>
  <si>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</si>
  <si>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2026-10-10T07:36:46Z</t>
  </si>
  <si>
    <t xml:space="preserve">Drivers file</t>
  </si>
  <si>
    <t xml:space="preserve">CCL-B.TO_Drivers.json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</si>
  <si>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</si>
  <si>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</si>
  <si>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</si>
  <si>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CCL is valued as a mature, high-quality global packaging compounder: owner FCF (after the small SBC charge) built from a ~21% adjusted-EBITDA margin, 6% D&amp;A, capex converging to D&amp;A, 26% cash tax and working capital that consumes 8% of incremental revenue, discounted at an 8.5% CAD WACC with a 2.5% terminal growth rate. Leases are treated as debt (CCL's own definition) and renewal is charged through capex. No acquisition growth is credited beyond the already-paid-for FY2026 deals, because acquisition cash is likewise excluded from the flows. Buybacks are value-neutral in this model (they fund the flat count); CCL's actual count shrinkage is upside the model does not price.
key_risks_to_valuation: Terminal value carries most of the EV at an 8.5% WACC / 2.5% g; a 1pp WACC move shifts value by roughly 12-15%.; Margin ceiling: CCL already sits at the top of peer margins; the base case assumes they hold, the bear case a reversion to the FY2022 trough.; Checkpoint structural decline (MAS/apparel labelling) outrunning RFID growth; Checkpoint is ~13% of sales.; Energy and resin costs (Innovia, European operations) and the Middle East conflict named in the Q2 FY2026 outlook.; US tariffs and USMCA changes affecting CCL Container and Innovia cross-border flows.; FX translation: 98% of sales outside Canada; a stronger CAD reduces translated revenue, EBITDA and the net-debt-covering cash flows.; Acquisition discipline: M&amp;A is excluded from the flows here, but a large overpaid deal would destroy value the model does not see.; US$500m 3.25% notes due October 2026 refinance at roughly 5%, lifting net finance cost (not in the unlevered flows, but in the WACC's debt leg).; CCL-Kontur: 50% stake in Russian label plants (~C$63.9m carrying value) carried at book in the bridge; sanctions or nationalisation would write it to zero (C$0.37/share).; Roll-up dependence: ~C$3.1bn of goodwill and indefinite-life intangibles; a CGU slowdown triggers non-cash impairments, and growth beyond organic requires continued deal flow the model does not credit.</t>
  </si>
  <si>
    <t xml:space="preserve">Data sources</t>
  </si>
  <si>
    <t xml:space="preserve">price: Yahoo Finance chart API, CCL-B.TO regular close at inputs.price_as_of; 52-week range 74.69-98.59 CAD; CCL-A.TO parity check same session.
financials: CCL-B.TO_Metrics.csv (core_metrics, FY2016-Q2 FY2026, CAD millions); CCL-B.TO_Annual_FY2025.txt (adjusted EBITDA history, tax rate, D&amp;A split incl. ROU depreciation, lease lines, dilutive securities, outlook, 2026 capex guidance); CCL-B.TO_Quarterly_Q2-2026.txt (30 June 2026 balance sheet, net debt table, issued shares, ALT/Sleever acquisitions, Section 13 Outlook).
qualitative: CCL-B.TO_Analysis.json (2026-10-10): business model, moat, bull/bear axes, Russian JV and pension-deficit disclosures; company MD&amp;A outlook sections (FY2025 annual, Q2 FY2026 interim). The Analysis landed after the driver paths were set; it confirmed the narratives (RFID, Avery DTC, Secure wins, Innovia ramp, tariffs, start-up overruns, Checkpoint lumpiness) and added the two bridge items.</t>
  </si>
  <si>
    <t xml:space="preserve">Scenario narrative: bear</t>
  </si>
  <si>
    <t xml:space="preserve">A European/Middle East energy shock and renewed US tariff friction hit volumes in FY2027: organic growth stalls (+0.5%), Innovia cannot pass through resin and energy costs and the German start-up losses persist, Checkpoint's MAS/apparel labelling continues its structural decline faster than RFID replaces it, and CCL Design loses automotive/electronics volume to the memory-chip shortage. Adjusted EBITDA margin compresses to 19.5% (the FY2022 trough level) and does not recover; growth settles at 2%. Leverage stays comfortable (1.0-1.3x), so this is a margin-and-growth bear, not a solvency one; the model does not touch the zero floor.</t>
  </si>
  <si>
    <t xml:space="preserve">Scenario narrative: base</t>
  </si>
  <si>
    <t xml:space="preserve">CCL keeps doing what it has done for a decade: 3-4% organic growth in labels and packaging, bolt-on acquisitions funded from cash (not credited here), margins held at the top of the peer range around 21-21.5% adjusted EBITDA. FY2026 lands around +7% with Sleever/ALT and easing comparatives; Avery DTC and CCL Secure banknote/passport wins offset a soft Checkpoint MAS year and memory-chip constraints at CCL Design; the Innovia German thin-gauge line reaches profitability by end-2026 as guided. Capex normalises from the 2024-26 growth programme toward D&amp;A. Terminal growth 2.5% at a Gordon multiple of ~17x owner FCF (below the 18x cap).</t>
  </si>
  <si>
    <t xml:space="preserve">Scenario narrative: bull</t>
  </si>
  <si>
    <t xml:space="preserve">The 2024-26 capex cycle (RFID inlay Mexico, Bangladesh/Vietnam apparel labelling, EcoFloat shrink film in Poland, coating lines in Mexico/UK, German thin-gauge line) fills faster than planned, lifting organic growth to 5-6% for three years and adjusted EBITDA margin to 22.5% as fixed-cost leverage and the Sleever/Innovia integrations land. Checkpoint RFID expands beyond apparel into non-retail categories, Avery DTC keeps compounding at double digits, and polymer banknote/passport substrate becomes a multi-year volume driver. CAD stays weak, flattering translated results. Terminal growth 3.0%, Gordon capped at 18x.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</si>
  <si>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</si>
  <si>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</si>
  <si>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</si>
  <si>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</si>
  <si>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</si>
  <si>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</si>
  <si>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</si>
  <si>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</si>
  <si>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</si>
  <si>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</si>
  <si>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</si>
  <si>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</si>
  <si>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</si>
  <si>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</si>
  <si>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</si>
  <si>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</si>
  <si>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</si>
  <si>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</si>
  <si>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</si>
  <si>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</si>
  <si>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</si>
  <si>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</si>
  <si>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</si>
  <si>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</si>
  <si>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</si>
  <si>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</si>
  <si>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</si>
  <si>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</si>
  <si>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</si>
  <si>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</si>
  <si>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</si>
  <si>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</si>
  <si>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</si>
  <si>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</si>
  <si>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</si>
  <si>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</si>
  <si>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</si>
  <si>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</si>
  <si>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</si>
  <si>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</si>
  <si>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</si>
  <si>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</si>
  <si>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</si>
  <si>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</si>
  <si>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</si>
  <si>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</si>
  <si>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</si>
  <si>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</si>
  <si>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</si>
  <si>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</si>
  <si>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</si>
  <si>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</si>
  <si>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</si>
  <si>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</si>
  <si>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</si>
  <si>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</si>
  <si>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</si>
  <si>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</si>
  <si>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</si>
  <si>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</si>
  <si>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</si>
  <si>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</si>
  <si>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</si>
  <si>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</si>
  <si>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</si>
  <si>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</si>
  <si>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</si>
  <si>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</si>
  <si>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</si>
  <si>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</si>
  <si>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</si>
  <si>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</si>
  <si>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</si>
  <si>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</si>
  <si>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CCL-B.TO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</si>
  <si>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</si>
  <si>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</si>
  <si>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</si>
  <si>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</si>
  <si>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</si>
  <si>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</si>
  <si>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</si>
  <si>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</si>
  <si>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</si>
  <si>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</si>
  <si>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</si>
  <si>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</si>
  <si>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</si>
  <si>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</si>
  <si>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</si>
  <si>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</si>
  <si>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</si>
  <si>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</si>
  <si>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</si>
  <si>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</si>
  <si>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</si>
  <si>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</si>
  <si>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</si>
  <si>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</si>
  <si>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</si>
  <si>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</si>
  <si>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</si>
  <si>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</si>
  <si>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</si>
  <si>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</si>
  <si>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CCL-B.TO owner-FCF component DCF: base case (millions, CAD)</t>
  </si>
  <si>
    <t xml:space="preserve">CCL-B.TO owner-FCF component DCF: bull case (millions, CAD)</t>
  </si>
  <si>
    <t xml:space="preserve">CCL-B.TO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</si>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</sst>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94.46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3974.7</v>
      </c>
      <c r="C2" s="0" t="n">
        <v>2806.8</v>
      </c>
      <c r="D2" s="0" t="n">
        <v>1167.9</v>
      </c>
      <c r="E2" s="0" t="n">
        <v>29.4</v>
      </c>
      <c r="F2" s="0" t="n">
        <v>525</v>
      </c>
      <c r="G2" s="0" t="n">
        <v>13.2</v>
      </c>
      <c r="H2" s="0" t="n">
        <v>728.7</v>
      </c>
      <c r="I2" s="0" t="n">
        <v>346.3</v>
      </c>
      <c r="J2" s="0" t="n">
        <v>8.7</v>
      </c>
      <c r="K2" s="0" t="n">
        <v>1.95</v>
      </c>
      <c r="L2" s="0" t="n">
        <v>564</v>
      </c>
      <c r="M2" s="0" t="n">
        <v>234.7</v>
      </c>
      <c r="N2" s="0" t="n">
        <v>329.3</v>
      </c>
      <c r="O2" s="0" t="n">
        <v>1775.2</v>
      </c>
      <c r="P2" s="0" t="n">
        <v>4678.8</v>
      </c>
      <c r="Q2" s="0" t="n">
        <v>2903.6</v>
      </c>
      <c r="R2" s="0" t="n">
        <v>1601.3</v>
      </c>
      <c r="S2" s="0" t="n">
        <v>585.1</v>
      </c>
      <c r="T2" s="0" t="n">
        <v>177.6</v>
      </c>
      <c r="U2" s="0" t="n">
        <v>15.4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4755.7</v>
      </c>
      <c r="C3" s="0" t="n">
        <v>3319.4</v>
      </c>
      <c r="D3" s="0" t="n">
        <v>1436.3</v>
      </c>
      <c r="E3" s="0" t="n">
        <v>30.2</v>
      </c>
      <c r="F3" s="0" t="n">
        <v>677.2</v>
      </c>
      <c r="G3" s="0" t="n">
        <v>14.2</v>
      </c>
      <c r="H3" s="0" t="n">
        <v>936.4</v>
      </c>
      <c r="I3" s="0" t="n">
        <v>474.1</v>
      </c>
      <c r="J3" s="0" t="n">
        <v>10</v>
      </c>
      <c r="K3" s="0" t="n">
        <v>2.66</v>
      </c>
      <c r="L3" s="0" t="n">
        <v>711.2</v>
      </c>
      <c r="M3" s="0" t="n">
        <v>285.7</v>
      </c>
      <c r="N3" s="0" t="n">
        <v>425.5</v>
      </c>
      <c r="O3" s="0" t="n">
        <v>2157.9</v>
      </c>
      <c r="P3" s="0" t="n">
        <v>6144</v>
      </c>
      <c r="Q3" s="0" t="n">
        <v>3986.1</v>
      </c>
      <c r="R3" s="0" t="n">
        <v>2331.4</v>
      </c>
      <c r="S3" s="0" t="n">
        <v>557.5</v>
      </c>
      <c r="T3" s="0" t="n">
        <v>178.2</v>
      </c>
      <c r="U3" s="0" t="n">
        <v>19.7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5161.5</v>
      </c>
      <c r="C4" s="0" t="n">
        <v>3662.7</v>
      </c>
      <c r="D4" s="0" t="n">
        <v>1498.8</v>
      </c>
      <c r="E4" s="0" t="n">
        <v>29</v>
      </c>
      <c r="F4" s="0" t="n">
        <v>703.5</v>
      </c>
      <c r="G4" s="0" t="n">
        <v>13.6</v>
      </c>
      <c r="H4" s="0" t="n">
        <v>981.5</v>
      </c>
      <c r="I4" s="0" t="n">
        <v>466.8</v>
      </c>
      <c r="J4" s="0" t="n">
        <v>9</v>
      </c>
      <c r="K4" s="0" t="n">
        <v>2.61</v>
      </c>
      <c r="L4" s="0" t="n">
        <v>772.7</v>
      </c>
      <c r="M4" s="0" t="n">
        <v>352.9</v>
      </c>
      <c r="N4" s="0" t="n">
        <v>419.8</v>
      </c>
      <c r="O4" s="0" t="n">
        <v>2673.1</v>
      </c>
      <c r="P4" s="0" t="n">
        <v>7027.6</v>
      </c>
      <c r="Q4" s="0" t="n">
        <v>4354.5</v>
      </c>
      <c r="R4" s="0" t="n">
        <v>2491.6</v>
      </c>
      <c r="S4" s="0" t="n">
        <v>589.1</v>
      </c>
      <c r="T4" s="0" t="n">
        <v>178.9</v>
      </c>
      <c r="U4" s="0" t="n">
        <v>22.9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5321.3</v>
      </c>
      <c r="C5" s="0" t="n">
        <v>3809.1</v>
      </c>
      <c r="D5" s="0" t="n">
        <v>1512.2</v>
      </c>
      <c r="E5" s="0" t="n">
        <v>28.4</v>
      </c>
      <c r="F5" s="0" t="n">
        <v>718</v>
      </c>
      <c r="G5" s="0" t="n">
        <v>13.5</v>
      </c>
      <c r="H5" s="0" t="n">
        <v>1047.6</v>
      </c>
      <c r="I5" s="0" t="n">
        <v>477.1</v>
      </c>
      <c r="J5" s="0" t="n">
        <v>9</v>
      </c>
      <c r="K5" s="0" t="n">
        <v>2.66</v>
      </c>
      <c r="L5" s="0" t="n">
        <v>779.5</v>
      </c>
      <c r="M5" s="0" t="n">
        <v>345.6</v>
      </c>
      <c r="N5" s="0" t="n">
        <v>433.9</v>
      </c>
      <c r="O5" s="0" t="n">
        <v>2897.7</v>
      </c>
      <c r="P5" s="0" t="n">
        <v>7038</v>
      </c>
      <c r="Q5" s="0" t="n">
        <v>4140.3</v>
      </c>
      <c r="R5" s="0" t="n">
        <v>2419.8</v>
      </c>
      <c r="S5" s="0" t="n">
        <v>703.6</v>
      </c>
      <c r="T5" s="0" t="n">
        <v>179.4</v>
      </c>
      <c r="U5" s="0" t="n">
        <v>26.3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5242.3</v>
      </c>
      <c r="C6" s="0" t="n">
        <v>3740.1</v>
      </c>
      <c r="D6" s="0" t="n">
        <v>1502.2</v>
      </c>
      <c r="E6" s="0" t="n">
        <v>28.7</v>
      </c>
      <c r="F6" s="0" t="n">
        <v>758.7</v>
      </c>
      <c r="G6" s="0" t="n">
        <v>14.5</v>
      </c>
      <c r="H6" s="0" t="n">
        <v>1105.1</v>
      </c>
      <c r="I6" s="0" t="n">
        <v>529.7</v>
      </c>
      <c r="J6" s="0" t="n">
        <v>10.1</v>
      </c>
      <c r="K6" s="0" t="n">
        <v>2.94</v>
      </c>
      <c r="L6" s="0" t="n">
        <v>882.9</v>
      </c>
      <c r="M6" s="0" t="n">
        <v>282.8</v>
      </c>
      <c r="N6" s="0" t="n">
        <v>600.1</v>
      </c>
      <c r="O6" s="0" t="n">
        <v>3282.2</v>
      </c>
      <c r="P6" s="0" t="n">
        <v>7336.7</v>
      </c>
      <c r="Q6" s="0" t="n">
        <v>4054.5</v>
      </c>
      <c r="R6" s="0" t="n">
        <v>2094.6</v>
      </c>
      <c r="S6" s="0" t="n">
        <v>703.7</v>
      </c>
      <c r="T6" s="0" t="n">
        <v>180.2</v>
      </c>
      <c r="U6" s="0" t="n">
        <v>14.1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5732.8</v>
      </c>
      <c r="C7" s="0" t="n">
        <v>4140.7</v>
      </c>
      <c r="D7" s="0" t="n">
        <v>1592.1</v>
      </c>
      <c r="E7" s="0" t="n">
        <v>27.8</v>
      </c>
      <c r="F7" s="0" t="n">
        <v>837.5</v>
      </c>
      <c r="G7" s="0" t="n">
        <v>14.6</v>
      </c>
      <c r="H7" s="0" t="n">
        <v>1179.9</v>
      </c>
      <c r="I7" s="0" t="n">
        <v>599.1</v>
      </c>
      <c r="J7" s="0" t="n">
        <v>10.5</v>
      </c>
      <c r="K7" s="0" t="n">
        <v>3.31</v>
      </c>
      <c r="L7" s="0" t="n">
        <v>838.7</v>
      </c>
      <c r="M7" s="0" t="n">
        <v>323.8</v>
      </c>
      <c r="N7" s="0" t="n">
        <v>514.9</v>
      </c>
      <c r="O7" s="0" t="n">
        <v>3747</v>
      </c>
      <c r="P7" s="0" t="n">
        <v>7627.8</v>
      </c>
      <c r="Q7" s="0" t="n">
        <v>3880.8</v>
      </c>
      <c r="R7" s="0" t="n">
        <v>1851.3</v>
      </c>
      <c r="S7" s="0" t="n">
        <v>602.1</v>
      </c>
      <c r="T7" s="0" t="n">
        <v>181</v>
      </c>
      <c r="U7" s="0" t="n">
        <v>28.3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6382.2</v>
      </c>
      <c r="C8" s="0" t="n">
        <v>4667</v>
      </c>
      <c r="D8" s="0" t="n">
        <v>1715.2</v>
      </c>
      <c r="E8" s="0" t="n">
        <v>26.9</v>
      </c>
      <c r="F8" s="0" t="n">
        <v>870.8</v>
      </c>
      <c r="G8" s="0" t="n">
        <v>13.6</v>
      </c>
      <c r="H8" s="0" t="n">
        <v>1236.1</v>
      </c>
      <c r="I8" s="0" t="n">
        <v>622.7</v>
      </c>
      <c r="J8" s="0" t="n">
        <v>9.8</v>
      </c>
      <c r="K8" s="0" t="n">
        <v>3.48</v>
      </c>
      <c r="L8" s="0" t="n">
        <v>992.8</v>
      </c>
      <c r="M8" s="0" t="n">
        <v>447.2</v>
      </c>
      <c r="N8" s="0" t="n">
        <v>545.6</v>
      </c>
      <c r="O8" s="0" t="n">
        <v>4265.2</v>
      </c>
      <c r="P8" s="0" t="n">
        <v>8664.4</v>
      </c>
      <c r="Q8" s="0" t="n">
        <v>4399.2</v>
      </c>
      <c r="R8" s="0" t="n">
        <v>2361.8</v>
      </c>
      <c r="S8" s="0" t="n">
        <v>839.5</v>
      </c>
      <c r="T8" s="0" t="n">
        <v>178.9</v>
      </c>
      <c r="U8" s="0" t="n">
        <v>38.6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6649.6</v>
      </c>
      <c r="C9" s="0" t="n">
        <v>4735.2</v>
      </c>
      <c r="D9" s="0" t="n">
        <v>1914.4</v>
      </c>
      <c r="E9" s="0" t="n">
        <v>28.8</v>
      </c>
      <c r="F9" s="0" t="n">
        <v>808.9</v>
      </c>
      <c r="G9" s="0" t="n">
        <v>12.2</v>
      </c>
      <c r="H9" s="0" t="n">
        <v>1212.2</v>
      </c>
      <c r="I9" s="0" t="n">
        <v>530.2</v>
      </c>
      <c r="J9" s="0" t="n">
        <v>8</v>
      </c>
      <c r="K9" s="0" t="n">
        <v>2.95</v>
      </c>
      <c r="L9" s="0" t="n">
        <v>1003.3</v>
      </c>
      <c r="M9" s="0" t="n">
        <v>461.6</v>
      </c>
      <c r="N9" s="0" t="n">
        <v>541.7</v>
      </c>
      <c r="O9" s="0" t="n">
        <v>4623.2</v>
      </c>
      <c r="P9" s="0" t="n">
        <v>8924.2</v>
      </c>
      <c r="Q9" s="0" t="n">
        <v>4301</v>
      </c>
      <c r="R9" s="0" t="n">
        <v>2282.4</v>
      </c>
      <c r="S9" s="0" t="n">
        <v>774.2</v>
      </c>
      <c r="T9" s="0" t="n">
        <v>179.7</v>
      </c>
      <c r="U9" s="0" t="n">
        <v>49.7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7245</v>
      </c>
      <c r="C10" s="0" t="n">
        <v>5107.3</v>
      </c>
      <c r="D10" s="0" t="n">
        <v>2137.7</v>
      </c>
      <c r="E10" s="0" t="n">
        <v>29.5</v>
      </c>
      <c r="F10" s="0" t="n">
        <v>1156.2</v>
      </c>
      <c r="G10" s="0" t="n">
        <v>16</v>
      </c>
      <c r="H10" s="0" t="n">
        <v>1588.6</v>
      </c>
      <c r="I10" s="0" t="n">
        <v>843.1</v>
      </c>
      <c r="J10" s="0" t="n">
        <v>11.6</v>
      </c>
      <c r="K10" s="0" t="n">
        <v>4.7</v>
      </c>
      <c r="L10" s="0" t="n">
        <v>1063.9</v>
      </c>
      <c r="M10" s="0" t="n">
        <v>462</v>
      </c>
      <c r="N10" s="0" t="n">
        <v>601.9</v>
      </c>
      <c r="O10" s="0" t="n">
        <v>5280.7</v>
      </c>
      <c r="P10" s="0" t="n">
        <v>9859.1</v>
      </c>
      <c r="Q10" s="0" t="n">
        <v>4578.4</v>
      </c>
      <c r="R10" s="0" t="n">
        <v>2447.6</v>
      </c>
      <c r="S10" s="0" t="n">
        <v>828.7</v>
      </c>
      <c r="T10" s="0" t="n">
        <v>179.4</v>
      </c>
      <c r="U10" s="0" t="n">
        <v>33.7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7663.8</v>
      </c>
      <c r="C11" s="0" t="n">
        <v>5367.6</v>
      </c>
      <c r="D11" s="0" t="n">
        <v>2296.2</v>
      </c>
      <c r="E11" s="0" t="n">
        <v>30</v>
      </c>
      <c r="F11" s="0" t="n">
        <v>1152.4</v>
      </c>
      <c r="G11" s="0" t="n">
        <v>15</v>
      </c>
      <c r="H11" s="0" t="n">
        <v>1617.6</v>
      </c>
      <c r="I11" s="0" t="n">
        <v>802.4</v>
      </c>
      <c r="J11" s="0" t="n">
        <v>10.5</v>
      </c>
      <c r="K11" s="0" t="n">
        <v>4.57</v>
      </c>
      <c r="L11" s="0" t="n">
        <v>1304.4</v>
      </c>
      <c r="M11" s="0" t="n">
        <v>441.2</v>
      </c>
      <c r="N11" s="0" t="n">
        <v>863.2</v>
      </c>
      <c r="O11" s="0" t="n">
        <v>5640.4</v>
      </c>
      <c r="P11" s="0" t="n">
        <v>10101.5</v>
      </c>
      <c r="Q11" s="0" t="n">
        <v>4461.1</v>
      </c>
      <c r="R11" s="0" t="n">
        <v>2260.2</v>
      </c>
      <c r="S11" s="0" t="n">
        <v>998.2</v>
      </c>
      <c r="T11" s="0" t="n">
        <v>175.6</v>
      </c>
      <c r="U11" s="0" t="n">
        <v>40.7</v>
      </c>
      <c r="AA11" s="0" t="s">
        <v>17</v>
      </c>
      <c r="AB1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94.46</v>
      </c>
    </row>
    <row r="3" customFormat="false" ht="15" hidden="false" customHeight="false" outlineLevel="0" collapsed="false">
      <c r="A3" s="0" t="s">
        <v>76</v>
      </c>
      <c r="B3" s="3" t="n">
        <v>170.6</v>
      </c>
    </row>
    <row r="4" customFormat="false" ht="15" hidden="false" customHeight="false" outlineLevel="0" collapsed="false">
      <c r="A4" s="0" t="s">
        <v>77</v>
      </c>
      <c r="B4" s="3" t="n">
        <v>1741.6</v>
      </c>
    </row>
    <row r="5" customFormat="false" ht="15" hidden="false" customHeight="false" outlineLevel="0" collapsed="false">
      <c r="A5" s="0" t="s">
        <v>78</v>
      </c>
      <c r="B5" s="3" t="n">
        <v>-147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7663.8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5.5</v>
      </c>
      <c r="D13" s="3" t="n">
        <v>0.5</v>
      </c>
      <c r="E13" s="3" t="n">
        <v>1.5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97</v>
      </c>
      <c r="C14" s="3" t="n">
        <v>20.8</v>
      </c>
      <c r="D14" s="3" t="n">
        <v>20</v>
      </c>
      <c r="E14" s="3" t="n">
        <v>19.6</v>
      </c>
      <c r="F14" s="3" t="n">
        <v>19.5</v>
      </c>
      <c r="G14" s="3" t="n">
        <v>19.5</v>
      </c>
      <c r="H14" s="3" t="n">
        <v>19.5</v>
      </c>
      <c r="I14" s="3" t="n">
        <v>19.5</v>
      </c>
      <c r="J14" s="3" t="n">
        <v>19.5</v>
      </c>
      <c r="K14" s="3" t="n">
        <v>19.5</v>
      </c>
      <c r="L14" s="3" t="n">
        <v>19.5</v>
      </c>
    </row>
    <row r="15" customFormat="false" ht="15" hidden="false" customHeight="false" outlineLevel="0" collapsed="false">
      <c r="A15" s="0" t="s">
        <v>98</v>
      </c>
      <c r="C15" s="3" t="n">
        <v>0.55</v>
      </c>
      <c r="D15" s="3" t="n">
        <v>0.55</v>
      </c>
      <c r="E15" s="3" t="n">
        <v>0.55</v>
      </c>
      <c r="F15" s="3" t="n">
        <v>0.55</v>
      </c>
      <c r="G15" s="3" t="n">
        <v>0.55</v>
      </c>
      <c r="H15" s="3" t="n">
        <v>0.55</v>
      </c>
      <c r="I15" s="3" t="n">
        <v>0.55</v>
      </c>
      <c r="J15" s="3" t="n">
        <v>0.55</v>
      </c>
      <c r="K15" s="3" t="n">
        <v>0.55</v>
      </c>
      <c r="L15" s="3" t="n">
        <v>0.55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6</v>
      </c>
      <c r="D17" s="3" t="n">
        <v>6</v>
      </c>
      <c r="E17" s="3" t="n">
        <v>6</v>
      </c>
      <c r="F17" s="3" t="n">
        <v>6</v>
      </c>
      <c r="G17" s="3" t="n">
        <v>6</v>
      </c>
      <c r="H17" s="3" t="n">
        <v>6</v>
      </c>
      <c r="I17" s="3" t="n">
        <v>6</v>
      </c>
      <c r="J17" s="3" t="n">
        <v>6</v>
      </c>
      <c r="K17" s="3" t="n">
        <v>6</v>
      </c>
      <c r="L17" s="3" t="n">
        <v>6</v>
      </c>
    </row>
    <row r="18" customFormat="false" ht="15" hidden="false" customHeight="false" outlineLevel="0" collapsed="false">
      <c r="A18" s="0" t="s">
        <v>101</v>
      </c>
      <c r="C18" s="3" t="n">
        <v>6.3</v>
      </c>
      <c r="D18" s="3" t="n">
        <v>6</v>
      </c>
      <c r="E18" s="3" t="n">
        <v>5.9</v>
      </c>
      <c r="F18" s="3" t="n">
        <v>5.9</v>
      </c>
      <c r="G18" s="3" t="n">
        <v>5.9</v>
      </c>
      <c r="H18" s="3" t="n">
        <v>5.9</v>
      </c>
      <c r="I18" s="3" t="n">
        <v>5.9</v>
      </c>
      <c r="J18" s="3" t="n">
        <v>5.9</v>
      </c>
      <c r="K18" s="3" t="n">
        <v>5.9</v>
      </c>
      <c r="L18" s="3" t="n">
        <v>5.9</v>
      </c>
    </row>
    <row r="19" customFormat="false" ht="15" hidden="false" customHeight="false" outlineLevel="0" collapsed="false">
      <c r="A19" s="0" t="s">
        <v>102</v>
      </c>
      <c r="C19" s="3" t="n">
        <v>26</v>
      </c>
      <c r="D19" s="3" t="n">
        <v>26</v>
      </c>
      <c r="E19" s="3" t="n">
        <v>26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103</v>
      </c>
      <c r="B20" s="3" t="n">
        <v>8.5</v>
      </c>
    </row>
    <row r="21" customFormat="false" ht="15" hidden="false" customHeight="false" outlineLevel="0" collapsed="false">
      <c r="A21" s="0" t="s">
        <v>104</v>
      </c>
      <c r="B21" s="3" t="n">
        <v>2</v>
      </c>
    </row>
    <row r="22" customFormat="false" ht="15" hidden="false" customHeight="false" outlineLevel="0" collapsed="false">
      <c r="A22" s="0" t="s">
        <v>105</v>
      </c>
      <c r="B22" s="3" t="n">
        <v>18</v>
      </c>
    </row>
    <row r="23" customFormat="false" ht="15" hidden="false" customHeight="false" outlineLevel="0" collapsed="false">
      <c r="A23" s="0" t="s">
        <v>106</v>
      </c>
      <c r="B23" s="3" t="n">
        <v>-8</v>
      </c>
    </row>
    <row r="24" customFormat="false" ht="15" hidden="false" customHeight="false" outlineLevel="0" collapsed="false">
      <c r="A24" s="0" t="s">
        <v>107</v>
      </c>
      <c r="B24" s="3" t="n">
        <v>0.25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7</v>
      </c>
      <c r="D27" s="3" t="n">
        <v>4.5</v>
      </c>
      <c r="E27" s="3" t="n">
        <v>4</v>
      </c>
      <c r="F27" s="3" t="n">
        <v>3.5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97</v>
      </c>
      <c r="C28" s="3" t="n">
        <v>21.2</v>
      </c>
      <c r="D28" s="3" t="n">
        <v>21.3</v>
      </c>
      <c r="E28" s="3" t="n">
        <v>21.4</v>
      </c>
      <c r="F28" s="3" t="n">
        <v>21.4</v>
      </c>
      <c r="G28" s="3" t="n">
        <v>21.5</v>
      </c>
      <c r="H28" s="3" t="n">
        <v>21.5</v>
      </c>
      <c r="I28" s="3" t="n">
        <v>21.5</v>
      </c>
      <c r="J28" s="3" t="n">
        <v>21.5</v>
      </c>
      <c r="K28" s="3" t="n">
        <v>21.5</v>
      </c>
      <c r="L28" s="3" t="n">
        <v>21.5</v>
      </c>
    </row>
    <row r="29" customFormat="false" ht="15" hidden="false" customHeight="false" outlineLevel="0" collapsed="false">
      <c r="A29" s="0" t="s">
        <v>98</v>
      </c>
      <c r="C29" s="3" t="n">
        <v>0.55</v>
      </c>
      <c r="D29" s="3" t="n">
        <v>0.55</v>
      </c>
      <c r="E29" s="3" t="n">
        <v>0.55</v>
      </c>
      <c r="F29" s="3" t="n">
        <v>0.55</v>
      </c>
      <c r="G29" s="3" t="n">
        <v>0.55</v>
      </c>
      <c r="H29" s="3" t="n">
        <v>0.55</v>
      </c>
      <c r="I29" s="3" t="n">
        <v>0.55</v>
      </c>
      <c r="J29" s="3" t="n">
        <v>0.55</v>
      </c>
      <c r="K29" s="3" t="n">
        <v>0.55</v>
      </c>
      <c r="L29" s="3" t="n">
        <v>0.55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6</v>
      </c>
      <c r="D31" s="3" t="n">
        <v>6</v>
      </c>
      <c r="E31" s="3" t="n">
        <v>6</v>
      </c>
      <c r="F31" s="3" t="n">
        <v>6</v>
      </c>
      <c r="G31" s="3" t="n">
        <v>6</v>
      </c>
      <c r="H31" s="3" t="n">
        <v>6</v>
      </c>
      <c r="I31" s="3" t="n">
        <v>6</v>
      </c>
      <c r="J31" s="3" t="n">
        <v>6</v>
      </c>
      <c r="K31" s="3" t="n">
        <v>6</v>
      </c>
      <c r="L31" s="3" t="n">
        <v>6</v>
      </c>
    </row>
    <row r="32" customFormat="false" ht="15" hidden="false" customHeight="false" outlineLevel="0" collapsed="false">
      <c r="A32" s="0" t="s">
        <v>101</v>
      </c>
      <c r="C32" s="3" t="n">
        <v>6.4</v>
      </c>
      <c r="D32" s="3" t="n">
        <v>6.3</v>
      </c>
      <c r="E32" s="3" t="n">
        <v>6.2</v>
      </c>
      <c r="F32" s="3" t="n">
        <v>6.1</v>
      </c>
      <c r="G32" s="3" t="n">
        <v>6</v>
      </c>
      <c r="H32" s="3" t="n">
        <v>6</v>
      </c>
      <c r="I32" s="3" t="n">
        <v>6</v>
      </c>
      <c r="J32" s="3" t="n">
        <v>6</v>
      </c>
      <c r="K32" s="3" t="n">
        <v>6</v>
      </c>
      <c r="L32" s="3" t="n">
        <v>6</v>
      </c>
    </row>
    <row r="33" customFormat="false" ht="15" hidden="false" customHeight="false" outlineLevel="0" collapsed="false">
      <c r="A33" s="0" t="s">
        <v>102</v>
      </c>
      <c r="C33" s="3" t="n">
        <v>26</v>
      </c>
      <c r="D33" s="3" t="n">
        <v>26</v>
      </c>
      <c r="E33" s="3" t="n">
        <v>26</v>
      </c>
      <c r="F33" s="3" t="n">
        <v>26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103</v>
      </c>
      <c r="B34" s="3" t="n">
        <v>8.5</v>
      </c>
    </row>
    <row r="35" customFormat="false" ht="15" hidden="false" customHeight="false" outlineLevel="0" collapsed="false">
      <c r="A35" s="0" t="s">
        <v>104</v>
      </c>
      <c r="B35" s="3" t="n">
        <v>2.5</v>
      </c>
    </row>
    <row r="36" customFormat="false" ht="15" hidden="false" customHeight="false" outlineLevel="0" collapsed="false">
      <c r="A36" s="0" t="s">
        <v>105</v>
      </c>
      <c r="B36" s="3" t="n">
        <v>18</v>
      </c>
    </row>
    <row r="37" customFormat="false" ht="15" hidden="false" customHeight="false" outlineLevel="0" collapsed="false">
      <c r="A37" s="0" t="s">
        <v>106</v>
      </c>
      <c r="B37" s="3" t="n">
        <v>-8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8.5</v>
      </c>
      <c r="D41" s="3" t="n">
        <v>6</v>
      </c>
      <c r="E41" s="3" t="n">
        <v>5.5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97</v>
      </c>
      <c r="C42" s="3" t="n">
        <v>21.4</v>
      </c>
      <c r="D42" s="3" t="n">
        <v>21.7</v>
      </c>
      <c r="E42" s="3" t="n">
        <v>22</v>
      </c>
      <c r="F42" s="3" t="n">
        <v>22.2</v>
      </c>
      <c r="G42" s="3" t="n">
        <v>22.4</v>
      </c>
      <c r="H42" s="3" t="n">
        <v>22.5</v>
      </c>
      <c r="I42" s="3" t="n">
        <v>22.5</v>
      </c>
      <c r="J42" s="3" t="n">
        <v>22.5</v>
      </c>
      <c r="K42" s="3" t="n">
        <v>22.5</v>
      </c>
      <c r="L42" s="3" t="n">
        <v>22.5</v>
      </c>
    </row>
    <row r="43" customFormat="false" ht="15" hidden="false" customHeight="false" outlineLevel="0" collapsed="false">
      <c r="A43" s="0" t="s">
        <v>98</v>
      </c>
      <c r="C43" s="3" t="n">
        <v>0.55</v>
      </c>
      <c r="D43" s="3" t="n">
        <v>0.55</v>
      </c>
      <c r="E43" s="3" t="n">
        <v>0.55</v>
      </c>
      <c r="F43" s="3" t="n">
        <v>0.55</v>
      </c>
      <c r="G43" s="3" t="n">
        <v>0.55</v>
      </c>
      <c r="H43" s="3" t="n">
        <v>0.55</v>
      </c>
      <c r="I43" s="3" t="n">
        <v>0.55</v>
      </c>
      <c r="J43" s="3" t="n">
        <v>0.55</v>
      </c>
      <c r="K43" s="3" t="n">
        <v>0.55</v>
      </c>
      <c r="L43" s="3" t="n">
        <v>0.55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6</v>
      </c>
      <c r="D45" s="3" t="n">
        <v>6</v>
      </c>
      <c r="E45" s="3" t="n">
        <v>6</v>
      </c>
      <c r="F45" s="3" t="n">
        <v>6</v>
      </c>
      <c r="G45" s="3" t="n">
        <v>6</v>
      </c>
      <c r="H45" s="3" t="n">
        <v>6</v>
      </c>
      <c r="I45" s="3" t="n">
        <v>6</v>
      </c>
      <c r="J45" s="3" t="n">
        <v>6</v>
      </c>
      <c r="K45" s="3" t="n">
        <v>6</v>
      </c>
      <c r="L45" s="3" t="n">
        <v>6</v>
      </c>
    </row>
    <row r="46" customFormat="false" ht="15" hidden="false" customHeight="false" outlineLevel="0" collapsed="false">
      <c r="A46" s="0" t="s">
        <v>101</v>
      </c>
      <c r="C46" s="3" t="n">
        <v>6.5</v>
      </c>
      <c r="D46" s="3" t="n">
        <v>6.4</v>
      </c>
      <c r="E46" s="3" t="n">
        <v>6.3</v>
      </c>
      <c r="F46" s="3" t="n">
        <v>6.2</v>
      </c>
      <c r="G46" s="3" t="n">
        <v>6.2</v>
      </c>
      <c r="H46" s="3" t="n">
        <v>6.1</v>
      </c>
      <c r="I46" s="3" t="n">
        <v>6.1</v>
      </c>
      <c r="J46" s="3" t="n">
        <v>6</v>
      </c>
      <c r="K46" s="3" t="n">
        <v>6</v>
      </c>
      <c r="L46" s="3" t="n">
        <v>6</v>
      </c>
    </row>
    <row r="47" customFormat="false" ht="15" hidden="false" customHeight="false" outlineLevel="0" collapsed="false">
      <c r="A47" s="0" t="s">
        <v>102</v>
      </c>
      <c r="C47" s="3" t="n">
        <v>26</v>
      </c>
      <c r="D47" s="3" t="n">
        <v>26</v>
      </c>
      <c r="E47" s="3" t="n">
        <v>26</v>
      </c>
      <c r="F47" s="3" t="n">
        <v>26</v>
      </c>
      <c r="G47" s="3" t="n">
        <v>26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103</v>
      </c>
      <c r="B48" s="3" t="n">
        <v>8.5</v>
      </c>
    </row>
    <row r="49" customFormat="false" ht="15" hidden="false" customHeight="false" outlineLevel="0" collapsed="false">
      <c r="A49" s="0" t="s">
        <v>104</v>
      </c>
      <c r="B49" s="3" t="n">
        <v>3</v>
      </c>
    </row>
    <row r="50" customFormat="false" ht="15" hidden="false" customHeight="false" outlineLevel="0" collapsed="false">
      <c r="A50" s="0" t="s">
        <v>105</v>
      </c>
      <c r="B50" s="3" t="n">
        <v>18</v>
      </c>
    </row>
    <row r="51" customFormat="false" ht="15" hidden="false" customHeight="false" outlineLevel="0" collapsed="false">
      <c r="A51" s="0" t="s">
        <v>106</v>
      </c>
      <c r="B51" s="3" t="n">
        <v>-8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5.5</v>
      </c>
      <c r="D5" s="4" t="n">
        <f aca="false">Assumptions!D13</f>
        <v>0.5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7663.8</v>
      </c>
      <c r="C6" s="0" t="n">
        <f aca="false">B6*(1+C5/100)</f>
        <v>8085.309</v>
      </c>
      <c r="D6" s="0" t="n">
        <f aca="false">C6*(1+D5/100)</f>
        <v>8125.735545</v>
      </c>
      <c r="E6" s="0" t="n">
        <f aca="false">D6*(1+E5/100)</f>
        <v>8247.621578175</v>
      </c>
      <c r="F6" s="0" t="n">
        <f aca="false">E6*(1+F5/100)</f>
        <v>8412.5740097385</v>
      </c>
      <c r="G6" s="0" t="n">
        <f aca="false">F6*(1+G5/100)</f>
        <v>8580.82548993327</v>
      </c>
      <c r="H6" s="0" t="n">
        <f aca="false">G6*(1+H5/100)</f>
        <v>8752.44199973194</v>
      </c>
      <c r="I6" s="0" t="n">
        <f aca="false">H6*(1+I5/100)</f>
        <v>8927.49083972657</v>
      </c>
      <c r="J6" s="0" t="n">
        <f aca="false">I6*(1+J5/100)</f>
        <v>9106.04065652111</v>
      </c>
      <c r="K6" s="0" t="n">
        <f aca="false">J6*(1+K5/100)</f>
        <v>9288.16146965153</v>
      </c>
      <c r="L6" s="0" t="n">
        <f aca="false">K6*(1+L5/100)</f>
        <v>9473.92469904456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20.8</v>
      </c>
      <c r="D7" s="4" t="n">
        <f aca="false">Assumptions!D14</f>
        <v>20</v>
      </c>
      <c r="E7" s="4" t="n">
        <f aca="false">Assumptions!E14</f>
        <v>19.6</v>
      </c>
      <c r="F7" s="4" t="n">
        <f aca="false">Assumptions!F14</f>
        <v>19.5</v>
      </c>
      <c r="G7" s="4" t="n">
        <f aca="false">Assumptions!G14</f>
        <v>19.5</v>
      </c>
      <c r="H7" s="4" t="n">
        <f aca="false">Assumptions!H14</f>
        <v>19.5</v>
      </c>
      <c r="I7" s="4" t="n">
        <f aca="false">Assumptions!I14</f>
        <v>19.5</v>
      </c>
      <c r="J7" s="4" t="n">
        <f aca="false">Assumptions!J14</f>
        <v>19.5</v>
      </c>
      <c r="K7" s="4" t="n">
        <f aca="false">Assumptions!K14</f>
        <v>19.5</v>
      </c>
      <c r="L7" s="4" t="n">
        <f aca="false">Assumptions!L14</f>
        <v>19.5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1681.744272</v>
      </c>
      <c r="D8" s="0" t="n">
        <f aca="false">D6*D7/100</f>
        <v>1625.147109</v>
      </c>
      <c r="E8" s="0" t="n">
        <f aca="false">E6*E7/100</f>
        <v>1616.5338293223</v>
      </c>
      <c r="F8" s="0" t="n">
        <f aca="false">F6*F7/100</f>
        <v>1640.45193189901</v>
      </c>
      <c r="G8" s="0" t="n">
        <f aca="false">G6*G7/100</f>
        <v>1673.26097053699</v>
      </c>
      <c r="H8" s="0" t="n">
        <f aca="false">H6*H7/100</f>
        <v>1706.72618994773</v>
      </c>
      <c r="I8" s="0" t="n">
        <f aca="false">I6*I7/100</f>
        <v>1740.86071374668</v>
      </c>
      <c r="J8" s="0" t="n">
        <f aca="false">J6*J7/100</f>
        <v>1775.67792802162</v>
      </c>
      <c r="K8" s="0" t="n">
        <f aca="false">K6*K7/100</f>
        <v>1811.19148658205</v>
      </c>
      <c r="L8" s="0" t="n">
        <f aca="false">L6*L7/100</f>
        <v>1847.41531631369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0.55</v>
      </c>
      <c r="D9" s="4" t="n">
        <f aca="false">Assumptions!D15</f>
        <v>0.55</v>
      </c>
      <c r="E9" s="4" t="n">
        <f aca="false">Assumptions!E15</f>
        <v>0.55</v>
      </c>
      <c r="F9" s="4" t="n">
        <f aca="false">Assumptions!F15</f>
        <v>0.55</v>
      </c>
      <c r="G9" s="4" t="n">
        <f aca="false">Assumptions!G15</f>
        <v>0.55</v>
      </c>
      <c r="H9" s="4" t="n">
        <f aca="false">Assumptions!H15</f>
        <v>0.55</v>
      </c>
      <c r="I9" s="4" t="n">
        <f aca="false">Assumptions!I15</f>
        <v>0.55</v>
      </c>
      <c r="J9" s="4" t="n">
        <f aca="false">Assumptions!J15</f>
        <v>0.55</v>
      </c>
      <c r="K9" s="4" t="n">
        <f aca="false">Assumptions!K15</f>
        <v>0.55</v>
      </c>
      <c r="L9" s="4" t="n">
        <f aca="false">Assumptions!L15</f>
        <v>0.55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-44.4691995</v>
      </c>
      <c r="D10" s="0" t="n">
        <f aca="false">-D6*D9/100</f>
        <v>-44.6915454975</v>
      </c>
      <c r="E10" s="0" t="n">
        <f aca="false">-E6*E9/100</f>
        <v>-45.3619186799625</v>
      </c>
      <c r="F10" s="0" t="n">
        <f aca="false">-F6*F9/100</f>
        <v>-46.2691570535618</v>
      </c>
      <c r="G10" s="0" t="n">
        <f aca="false">-G6*G9/100</f>
        <v>-47.194540194633</v>
      </c>
      <c r="H10" s="0" t="n">
        <f aca="false">-H6*H9/100</f>
        <v>-48.1384309985257</v>
      </c>
      <c r="I10" s="0" t="n">
        <f aca="false">-I6*I9/100</f>
        <v>-49.1011996184962</v>
      </c>
      <c r="J10" s="0" t="n">
        <f aca="false">-J6*J9/100</f>
        <v>-50.0832236108661</v>
      </c>
      <c r="K10" s="0" t="n">
        <f aca="false">-K6*K9/100</f>
        <v>-51.0848880830834</v>
      </c>
      <c r="L10" s="0" t="n">
        <f aca="false">-L6*L9/100</f>
        <v>-52.1065858447451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1637.2750725</v>
      </c>
      <c r="D11" s="0" t="n">
        <f aca="false">D8+D10+D24</f>
        <v>1580.4555635025</v>
      </c>
      <c r="E11" s="0" t="n">
        <f aca="false">E8+E10+E24</f>
        <v>1571.17191064234</v>
      </c>
      <c r="F11" s="0" t="n">
        <f aca="false">F8+F10+F24</f>
        <v>1594.18277484545</v>
      </c>
      <c r="G11" s="0" t="n">
        <f aca="false">G8+G10+G24</f>
        <v>1626.06643034235</v>
      </c>
      <c r="H11" s="0" t="n">
        <f aca="false">H8+H10+H24</f>
        <v>1658.5877589492</v>
      </c>
      <c r="I11" s="0" t="n">
        <f aca="false">I8+I10+I24</f>
        <v>1691.75951412819</v>
      </c>
      <c r="J11" s="0" t="n">
        <f aca="false">J8+J10+J24</f>
        <v>1725.59470441075</v>
      </c>
      <c r="K11" s="0" t="n">
        <f aca="false">K8+K10+K24</f>
        <v>1760.10659849896</v>
      </c>
      <c r="L11" s="0" t="n">
        <f aca="false">L8+L10+L24</f>
        <v>1795.30873046894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-485.11854</v>
      </c>
      <c r="D12" s="4" t="n">
        <f aca="false">-D6*Assumptions!D17/100</f>
        <v>-487.5441327</v>
      </c>
      <c r="E12" s="4" t="n">
        <f aca="false">-E6*Assumptions!E17/100</f>
        <v>-494.8572946905</v>
      </c>
      <c r="F12" s="4" t="n">
        <f aca="false">-F6*Assumptions!F17/100</f>
        <v>-504.75444058431</v>
      </c>
      <c r="G12" s="4" t="n">
        <f aca="false">-G6*Assumptions!G17/100</f>
        <v>-514.849529395996</v>
      </c>
      <c r="H12" s="4" t="n">
        <f aca="false">-H6*Assumptions!H17/100</f>
        <v>-525.146519983916</v>
      </c>
      <c r="I12" s="4" t="n">
        <f aca="false">-I6*Assumptions!I17/100</f>
        <v>-535.649450383594</v>
      </c>
      <c r="J12" s="4" t="n">
        <f aca="false">-J6*Assumptions!J17/100</f>
        <v>-546.362439391266</v>
      </c>
      <c r="K12" s="4" t="n">
        <f aca="false">-K6*Assumptions!K17/100</f>
        <v>-557.289688179092</v>
      </c>
      <c r="L12" s="4" t="n">
        <f aca="false">-L6*Assumptions!L17/100</f>
        <v>-568.435481942674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1152.1565325</v>
      </c>
      <c r="D13" s="0" t="n">
        <f aca="false">D11+D12</f>
        <v>1092.9114308025</v>
      </c>
      <c r="E13" s="0" t="n">
        <f aca="false">E11+E12</f>
        <v>1076.31461595184</v>
      </c>
      <c r="F13" s="0" t="n">
        <f aca="false">F11+F12</f>
        <v>1089.42833426114</v>
      </c>
      <c r="G13" s="0" t="n">
        <f aca="false">G11+G12</f>
        <v>1111.21690094636</v>
      </c>
      <c r="H13" s="0" t="n">
        <f aca="false">H11+H12</f>
        <v>1133.44123896529</v>
      </c>
      <c r="I13" s="0" t="n">
        <f aca="false">I11+I12</f>
        <v>1156.11006374459</v>
      </c>
      <c r="J13" s="0" t="n">
        <f aca="false">J11+J12</f>
        <v>1179.23226501948</v>
      </c>
      <c r="K13" s="0" t="n">
        <f aca="false">K11+K12</f>
        <v>1202.81691031987</v>
      </c>
      <c r="L13" s="0" t="n">
        <f aca="false">L11+L12</f>
        <v>1226.87324852627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852.59583405</v>
      </c>
      <c r="D15" s="0" t="n">
        <f aca="false">D13-MAX(0,D13)*D14/100</f>
        <v>808.75445879385</v>
      </c>
      <c r="E15" s="0" t="n">
        <f aca="false">E13-MAX(0,E13)*E14/100</f>
        <v>796.47281580436</v>
      </c>
      <c r="F15" s="0" t="n">
        <f aca="false">F13-MAX(0,F13)*F14/100</f>
        <v>806.17696735324</v>
      </c>
      <c r="G15" s="0" t="n">
        <f aca="false">G13-MAX(0,G13)*G14/100</f>
        <v>822.300506700305</v>
      </c>
      <c r="H15" s="0" t="n">
        <f aca="false">H13-MAX(0,H13)*H14/100</f>
        <v>838.746516834312</v>
      </c>
      <c r="I15" s="0" t="n">
        <f aca="false">I13-MAX(0,I13)*I14/100</f>
        <v>855.521447170997</v>
      </c>
      <c r="J15" s="0" t="n">
        <f aca="false">J13-MAX(0,J13)*J14/100</f>
        <v>872.631876114417</v>
      </c>
      <c r="K15" s="0" t="n">
        <f aca="false">K13-MAX(0,K13)*K14/100</f>
        <v>890.084513636706</v>
      </c>
      <c r="L15" s="0" t="n">
        <f aca="false">L13-MAX(0,L13)*L14/100</f>
        <v>907.88620390944</v>
      </c>
    </row>
    <row r="16" customFormat="false" ht="15" hidden="false" customHeight="false" outlineLevel="0" collapsed="false">
      <c r="A16" s="0" t="s">
        <v>118</v>
      </c>
      <c r="C16" s="0" t="n">
        <f aca="false">-C12</f>
        <v>485.11854</v>
      </c>
      <c r="D16" s="0" t="n">
        <f aca="false">-D12</f>
        <v>487.5441327</v>
      </c>
      <c r="E16" s="0" t="n">
        <f aca="false">-E12</f>
        <v>494.8572946905</v>
      </c>
      <c r="F16" s="0" t="n">
        <f aca="false">-F12</f>
        <v>504.75444058431</v>
      </c>
      <c r="G16" s="0" t="n">
        <f aca="false">-G12</f>
        <v>514.849529395996</v>
      </c>
      <c r="H16" s="0" t="n">
        <f aca="false">-H12</f>
        <v>525.146519983916</v>
      </c>
      <c r="I16" s="0" t="n">
        <f aca="false">-I12</f>
        <v>535.649450383594</v>
      </c>
      <c r="J16" s="0" t="n">
        <f aca="false">-J12</f>
        <v>546.362439391266</v>
      </c>
      <c r="K16" s="0" t="n">
        <f aca="false">-K12</f>
        <v>557.289688179092</v>
      </c>
      <c r="L16" s="0" t="n">
        <f aca="false">-L12</f>
        <v>568.435481942674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-509.374467</v>
      </c>
      <c r="D17" s="4" t="n">
        <f aca="false">-D6*Assumptions!D18/100</f>
        <v>-487.5441327</v>
      </c>
      <c r="E17" s="4" t="n">
        <f aca="false">-E6*Assumptions!E18/100</f>
        <v>-486.609673112325</v>
      </c>
      <c r="F17" s="4" t="n">
        <f aca="false">-F6*Assumptions!F18/100</f>
        <v>-496.341866574571</v>
      </c>
      <c r="G17" s="4" t="n">
        <f aca="false">-G6*Assumptions!G18/100</f>
        <v>-506.268703906063</v>
      </c>
      <c r="H17" s="4" t="n">
        <f aca="false">-H6*Assumptions!H18/100</f>
        <v>-516.394077984184</v>
      </c>
      <c r="I17" s="4" t="n">
        <f aca="false">-I6*Assumptions!I18/100</f>
        <v>-526.721959543868</v>
      </c>
      <c r="J17" s="4" t="n">
        <f aca="false">-J6*Assumptions!J18/100</f>
        <v>-537.256398734745</v>
      </c>
      <c r="K17" s="4" t="n">
        <f aca="false">-K6*Assumptions!K18/100</f>
        <v>-548.00152670944</v>
      </c>
      <c r="L17" s="4" t="n">
        <f aca="false">-L6*Assumptions!L18/100</f>
        <v>-558.961557243629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-33.7207199999999</v>
      </c>
      <c r="D18" s="4" t="n">
        <f aca="false">(D6-C6)*Assumptions!$B$23/100</f>
        <v>-3.23412359999995</v>
      </c>
      <c r="E18" s="4" t="n">
        <f aca="false">(E6-D6)*Assumptions!$B$23/100</f>
        <v>-9.75088265399994</v>
      </c>
      <c r="F18" s="4" t="n">
        <f aca="false">(F6-E6)*Assumptions!$B$23/100</f>
        <v>-13.1961945250801</v>
      </c>
      <c r="G18" s="4" t="n">
        <f aca="false">(G6-F6)*Assumptions!$B$23/100</f>
        <v>-13.4601184155817</v>
      </c>
      <c r="H18" s="4" t="n">
        <f aca="false">(H6-G6)*Assumptions!$B$23/100</f>
        <v>-13.7293207838932</v>
      </c>
      <c r="I18" s="4" t="n">
        <f aca="false">(I6-H6)*Assumptions!$B$23/100</f>
        <v>-14.0039071995711</v>
      </c>
      <c r="J18" s="4" t="n">
        <f aca="false">(J6-I6)*Assumptions!$B$23/100</f>
        <v>-14.2839853435625</v>
      </c>
      <c r="K18" s="4" t="n">
        <f aca="false">(K6-J6)*Assumptions!$B$23/100</f>
        <v>-14.5696650504338</v>
      </c>
      <c r="L18" s="4" t="n">
        <f aca="false">(L6-K6)*Assumptions!$B$23/100</f>
        <v>-14.8610583514425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794.61918705</v>
      </c>
      <c r="D19" s="0" t="n">
        <f aca="false">D15+D16+D17+D18</f>
        <v>805.52033519385</v>
      </c>
      <c r="E19" s="0" t="n">
        <f aca="false">E15+E16+E17+E18</f>
        <v>794.969554728535</v>
      </c>
      <c r="F19" s="0" t="n">
        <f aca="false">F15+F16+F17+F18</f>
        <v>801.393346837899</v>
      </c>
      <c r="G19" s="0" t="n">
        <f aca="false">G15+G16+G17+G18</f>
        <v>817.421213774657</v>
      </c>
      <c r="H19" s="0" t="n">
        <f aca="false">H15+H16+H17+H18</f>
        <v>833.76963805015</v>
      </c>
      <c r="I19" s="0" t="n">
        <f aca="false">I15+I16+I17+I18</f>
        <v>850.445030811153</v>
      </c>
      <c r="J19" s="0" t="n">
        <f aca="false">J15+J16+J17+J18</f>
        <v>867.453931427376</v>
      </c>
      <c r="K19" s="0" t="n">
        <f aca="false">K15+K16+K17+K18</f>
        <v>884.803010055924</v>
      </c>
      <c r="L19" s="0" t="n">
        <f aca="false">L15+L16+L17+L18</f>
        <v>902.499070257042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732.367914331797</v>
      </c>
      <c r="D21" s="0" t="n">
        <f aca="false">D19*D20</f>
        <v>684.253507353182</v>
      </c>
      <c r="E21" s="0" t="n">
        <f aca="false">E19*E20</f>
        <v>622.388102402841</v>
      </c>
      <c r="F21" s="0" t="n">
        <f aca="false">F19*F20</f>
        <v>578.264830661657</v>
      </c>
      <c r="G21" s="0" t="n">
        <f aca="false">G19*G20</f>
        <v>543.622237119714</v>
      </c>
      <c r="H21" s="0" t="n">
        <f aca="false">H19*H20</f>
        <v>511.055006324524</v>
      </c>
      <c r="I21" s="0" t="n">
        <f aca="false">I19*I20</f>
        <v>480.438807788953</v>
      </c>
      <c r="J21" s="0" t="n">
        <f aca="false">J19*J20</f>
        <v>451.656759396066</v>
      </c>
      <c r="K21" s="0" t="n">
        <f aca="false">K19*K20</f>
        <v>424.598981183399</v>
      </c>
      <c r="L21" s="0" t="n">
        <f aca="false">L19*L20</f>
        <v>399.162175859048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5427.80832242118</v>
      </c>
    </row>
    <row r="31" customFormat="false" ht="15" hidden="false" customHeight="false" outlineLevel="0" collapsed="false">
      <c r="A31" s="0" t="s">
        <v>127</v>
      </c>
      <c r="B31" s="0" t="n">
        <f aca="false">L19</f>
        <v>902.499070257042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14162.2931024951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16244.9832646268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14162.2931024951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6263.77568271122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11691.5840051324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9802.9840051324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57.4618054228159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-0.391681077463308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310.118430564208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361.644655468133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61.3994553995589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7081.14655124756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23.373204716274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7</v>
      </c>
      <c r="D5" s="4" t="n">
        <f aca="false">Assumptions!D27</f>
        <v>4.5</v>
      </c>
      <c r="E5" s="4" t="n">
        <f aca="false">Assumptions!E27</f>
        <v>4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7663.8</v>
      </c>
      <c r="C6" s="0" t="n">
        <f aca="false">B6*(1+C5/100)</f>
        <v>8200.266</v>
      </c>
      <c r="D6" s="0" t="n">
        <f aca="false">C6*(1+D5/100)</f>
        <v>8569.27797</v>
      </c>
      <c r="E6" s="0" t="n">
        <f aca="false">D6*(1+E5/100)</f>
        <v>8912.0490888</v>
      </c>
      <c r="F6" s="0" t="n">
        <f aca="false">E6*(1+F5/100)</f>
        <v>9223.970806908</v>
      </c>
      <c r="G6" s="0" t="n">
        <f aca="false">F6*(1+G5/100)</f>
        <v>9546.80978514978</v>
      </c>
      <c r="H6" s="0" t="n">
        <f aca="false">G6*(1+H5/100)</f>
        <v>9833.21407870427</v>
      </c>
      <c r="I6" s="0" t="n">
        <f aca="false">H6*(1+I5/100)</f>
        <v>10128.2105010654</v>
      </c>
      <c r="J6" s="0" t="n">
        <f aca="false">I6*(1+J5/100)</f>
        <v>10381.415763592</v>
      </c>
      <c r="K6" s="0" t="n">
        <f aca="false">J6*(1+K5/100)</f>
        <v>10640.9511576818</v>
      </c>
      <c r="L6" s="0" t="n">
        <f aca="false">K6*(1+L5/100)</f>
        <v>10906.9749366239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21.2</v>
      </c>
      <c r="D7" s="4" t="n">
        <f aca="false">Assumptions!D28</f>
        <v>21.3</v>
      </c>
      <c r="E7" s="4" t="n">
        <f aca="false">Assumptions!E28</f>
        <v>21.4</v>
      </c>
      <c r="F7" s="4" t="n">
        <f aca="false">Assumptions!F28</f>
        <v>21.4</v>
      </c>
      <c r="G7" s="4" t="n">
        <f aca="false">Assumptions!G28</f>
        <v>21.5</v>
      </c>
      <c r="H7" s="4" t="n">
        <f aca="false">Assumptions!H28</f>
        <v>21.5</v>
      </c>
      <c r="I7" s="4" t="n">
        <f aca="false">Assumptions!I28</f>
        <v>21.5</v>
      </c>
      <c r="J7" s="4" t="n">
        <f aca="false">Assumptions!J28</f>
        <v>21.5</v>
      </c>
      <c r="K7" s="4" t="n">
        <f aca="false">Assumptions!K28</f>
        <v>21.5</v>
      </c>
      <c r="L7" s="4" t="n">
        <f aca="false">Assumptions!L28</f>
        <v>21.5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1738.456392</v>
      </c>
      <c r="D8" s="0" t="n">
        <f aca="false">D6*D7/100</f>
        <v>1825.25620761</v>
      </c>
      <c r="E8" s="0" t="n">
        <f aca="false">E6*E7/100</f>
        <v>1907.1785050032</v>
      </c>
      <c r="F8" s="0" t="n">
        <f aca="false">F6*F7/100</f>
        <v>1973.92975267831</v>
      </c>
      <c r="G8" s="0" t="n">
        <f aca="false">G6*G7/100</f>
        <v>2052.5641038072</v>
      </c>
      <c r="H8" s="0" t="n">
        <f aca="false">H6*H7/100</f>
        <v>2114.14102692142</v>
      </c>
      <c r="I8" s="0" t="n">
        <f aca="false">I6*I7/100</f>
        <v>2177.56525772906</v>
      </c>
      <c r="J8" s="0" t="n">
        <f aca="false">J6*J7/100</f>
        <v>2232.00438917229</v>
      </c>
      <c r="K8" s="0" t="n">
        <f aca="false">K6*K7/100</f>
        <v>2287.80449890159</v>
      </c>
      <c r="L8" s="0" t="n">
        <f aca="false">L6*L7/100</f>
        <v>2344.99961137413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0.55</v>
      </c>
      <c r="D9" s="4" t="n">
        <f aca="false">Assumptions!D29</f>
        <v>0.55</v>
      </c>
      <c r="E9" s="4" t="n">
        <f aca="false">Assumptions!E29</f>
        <v>0.55</v>
      </c>
      <c r="F9" s="4" t="n">
        <f aca="false">Assumptions!F29</f>
        <v>0.55</v>
      </c>
      <c r="G9" s="4" t="n">
        <f aca="false">Assumptions!G29</f>
        <v>0.55</v>
      </c>
      <c r="H9" s="4" t="n">
        <f aca="false">Assumptions!H29</f>
        <v>0.55</v>
      </c>
      <c r="I9" s="4" t="n">
        <f aca="false">Assumptions!I29</f>
        <v>0.55</v>
      </c>
      <c r="J9" s="4" t="n">
        <f aca="false">Assumptions!J29</f>
        <v>0.55</v>
      </c>
      <c r="K9" s="4" t="n">
        <f aca="false">Assumptions!K29</f>
        <v>0.55</v>
      </c>
      <c r="L9" s="4" t="n">
        <f aca="false">Assumptions!L29</f>
        <v>0.55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-45.101463</v>
      </c>
      <c r="D10" s="0" t="n">
        <f aca="false">-D6*D9/100</f>
        <v>-47.131028835</v>
      </c>
      <c r="E10" s="0" t="n">
        <f aca="false">-E6*E9/100</f>
        <v>-49.0162699884</v>
      </c>
      <c r="F10" s="0" t="n">
        <f aca="false">-F6*F9/100</f>
        <v>-50.731839437994</v>
      </c>
      <c r="G10" s="0" t="n">
        <f aca="false">-G6*G9/100</f>
        <v>-52.5074538183238</v>
      </c>
      <c r="H10" s="0" t="n">
        <f aca="false">-H6*H9/100</f>
        <v>-54.0826774328735</v>
      </c>
      <c r="I10" s="0" t="n">
        <f aca="false">-I6*I9/100</f>
        <v>-55.7051577558597</v>
      </c>
      <c r="J10" s="0" t="n">
        <f aca="false">-J6*J9/100</f>
        <v>-57.0977866997562</v>
      </c>
      <c r="K10" s="0" t="n">
        <f aca="false">-K6*K9/100</f>
        <v>-58.5252313672501</v>
      </c>
      <c r="L10" s="0" t="n">
        <f aca="false">-L6*L9/100</f>
        <v>-59.9883621514313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1693.354929</v>
      </c>
      <c r="D11" s="0" t="n">
        <f aca="false">D8+D10+D24</f>
        <v>1778.125178775</v>
      </c>
      <c r="E11" s="0" t="n">
        <f aca="false">E8+E10+E24</f>
        <v>1858.1622350148</v>
      </c>
      <c r="F11" s="0" t="n">
        <f aca="false">F8+F10+F24</f>
        <v>1923.19791324032</v>
      </c>
      <c r="G11" s="0" t="n">
        <f aca="false">G8+G10+G24</f>
        <v>2000.05664998888</v>
      </c>
      <c r="H11" s="0" t="n">
        <f aca="false">H8+H10+H24</f>
        <v>2060.05834948855</v>
      </c>
      <c r="I11" s="0" t="n">
        <f aca="false">I8+I10+I24</f>
        <v>2121.8600999732</v>
      </c>
      <c r="J11" s="0" t="n">
        <f aca="false">J8+J10+J24</f>
        <v>2174.90660247253</v>
      </c>
      <c r="K11" s="0" t="n">
        <f aca="false">K8+K10+K24</f>
        <v>2229.27926753434</v>
      </c>
      <c r="L11" s="0" t="n">
        <f aca="false">L8+L10+L24</f>
        <v>2285.0112492227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-492.01596</v>
      </c>
      <c r="D12" s="4" t="n">
        <f aca="false">-D6*Assumptions!D31/100</f>
        <v>-514.1566782</v>
      </c>
      <c r="E12" s="4" t="n">
        <f aca="false">-E6*Assumptions!E31/100</f>
        <v>-534.722945328</v>
      </c>
      <c r="F12" s="4" t="n">
        <f aca="false">-F6*Assumptions!F31/100</f>
        <v>-553.43824841448</v>
      </c>
      <c r="G12" s="4" t="n">
        <f aca="false">-G6*Assumptions!G31/100</f>
        <v>-572.808587108987</v>
      </c>
      <c r="H12" s="4" t="n">
        <f aca="false">-H6*Assumptions!H31/100</f>
        <v>-589.992844722257</v>
      </c>
      <c r="I12" s="4" t="n">
        <f aca="false">-I6*Assumptions!I31/100</f>
        <v>-607.692630063924</v>
      </c>
      <c r="J12" s="4" t="n">
        <f aca="false">-J6*Assumptions!J31/100</f>
        <v>-622.884945815522</v>
      </c>
      <c r="K12" s="4" t="n">
        <f aca="false">-K6*Assumptions!K31/100</f>
        <v>-638.45706946091</v>
      </c>
      <c r="L12" s="4" t="n">
        <f aca="false">-L6*Assumptions!L31/100</f>
        <v>-654.418496197433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1201.338969</v>
      </c>
      <c r="D13" s="0" t="n">
        <f aca="false">D11+D12</f>
        <v>1263.968500575</v>
      </c>
      <c r="E13" s="0" t="n">
        <f aca="false">E11+E12</f>
        <v>1323.4392896868</v>
      </c>
      <c r="F13" s="0" t="n">
        <f aca="false">F11+F12</f>
        <v>1369.75966482584</v>
      </c>
      <c r="G13" s="0" t="n">
        <f aca="false">G11+G12</f>
        <v>1427.24806287989</v>
      </c>
      <c r="H13" s="0" t="n">
        <f aca="false">H11+H12</f>
        <v>1470.06550476629</v>
      </c>
      <c r="I13" s="0" t="n">
        <f aca="false">I11+I12</f>
        <v>1514.16746990928</v>
      </c>
      <c r="J13" s="0" t="n">
        <f aca="false">J11+J12</f>
        <v>1552.02165665701</v>
      </c>
      <c r="K13" s="0" t="n">
        <f aca="false">K11+K12</f>
        <v>1590.82219807343</v>
      </c>
      <c r="L13" s="0" t="n">
        <f aca="false">L11+L12</f>
        <v>1630.59275302527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26</v>
      </c>
      <c r="D14" s="4" t="n">
        <f aca="false">Assumptions!D33</f>
        <v>26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888.99083706</v>
      </c>
      <c r="D15" s="0" t="n">
        <f aca="false">D13-MAX(0,D13)*D14/100</f>
        <v>935.3366904255</v>
      </c>
      <c r="E15" s="0" t="n">
        <f aca="false">E13-MAX(0,E13)*E14/100</f>
        <v>979.345074368232</v>
      </c>
      <c r="F15" s="0" t="n">
        <f aca="false">F13-MAX(0,F13)*F14/100</f>
        <v>1013.62215197112</v>
      </c>
      <c r="G15" s="0" t="n">
        <f aca="false">G13-MAX(0,G13)*G14/100</f>
        <v>1056.16356653112</v>
      </c>
      <c r="H15" s="0" t="n">
        <f aca="false">H13-MAX(0,H13)*H14/100</f>
        <v>1087.84847352705</v>
      </c>
      <c r="I15" s="0" t="n">
        <f aca="false">I13-MAX(0,I13)*I14/100</f>
        <v>1120.48392773287</v>
      </c>
      <c r="J15" s="0" t="n">
        <f aca="false">J13-MAX(0,J13)*J14/100</f>
        <v>1148.49602592619</v>
      </c>
      <c r="K15" s="0" t="n">
        <f aca="false">K13-MAX(0,K13)*K14/100</f>
        <v>1177.20842657434</v>
      </c>
      <c r="L15" s="0" t="n">
        <f aca="false">L13-MAX(0,L13)*L14/100</f>
        <v>1206.6386372387</v>
      </c>
    </row>
    <row r="16" customFormat="false" ht="15" hidden="false" customHeight="false" outlineLevel="0" collapsed="false">
      <c r="A16" s="0" t="s">
        <v>118</v>
      </c>
      <c r="C16" s="0" t="n">
        <f aca="false">-C12</f>
        <v>492.01596</v>
      </c>
      <c r="D16" s="0" t="n">
        <f aca="false">-D12</f>
        <v>514.1566782</v>
      </c>
      <c r="E16" s="0" t="n">
        <f aca="false">-E12</f>
        <v>534.722945328</v>
      </c>
      <c r="F16" s="0" t="n">
        <f aca="false">-F12</f>
        <v>553.43824841448</v>
      </c>
      <c r="G16" s="0" t="n">
        <f aca="false">-G12</f>
        <v>572.808587108987</v>
      </c>
      <c r="H16" s="0" t="n">
        <f aca="false">-H12</f>
        <v>589.992844722257</v>
      </c>
      <c r="I16" s="0" t="n">
        <f aca="false">-I12</f>
        <v>607.692630063924</v>
      </c>
      <c r="J16" s="0" t="n">
        <f aca="false">-J12</f>
        <v>622.884945815522</v>
      </c>
      <c r="K16" s="0" t="n">
        <f aca="false">-K12</f>
        <v>638.45706946091</v>
      </c>
      <c r="L16" s="0" t="n">
        <f aca="false">-L12</f>
        <v>654.418496197433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-524.817024</v>
      </c>
      <c r="D17" s="4" t="n">
        <f aca="false">-D6*Assumptions!D32/100</f>
        <v>-539.86451211</v>
      </c>
      <c r="E17" s="4" t="n">
        <f aca="false">-E6*Assumptions!E32/100</f>
        <v>-552.5470435056</v>
      </c>
      <c r="F17" s="4" t="n">
        <f aca="false">-F6*Assumptions!F32/100</f>
        <v>-562.662219221388</v>
      </c>
      <c r="G17" s="4" t="n">
        <f aca="false">-G6*Assumptions!G32/100</f>
        <v>-572.808587108987</v>
      </c>
      <c r="H17" s="4" t="n">
        <f aca="false">-H6*Assumptions!H32/100</f>
        <v>-589.992844722257</v>
      </c>
      <c r="I17" s="4" t="n">
        <f aca="false">-I6*Assumptions!I32/100</f>
        <v>-607.692630063924</v>
      </c>
      <c r="J17" s="4" t="n">
        <f aca="false">-J6*Assumptions!J32/100</f>
        <v>-622.884945815522</v>
      </c>
      <c r="K17" s="4" t="n">
        <f aca="false">-K6*Assumptions!K32/100</f>
        <v>-638.45706946091</v>
      </c>
      <c r="L17" s="4" t="n">
        <f aca="false">-L6*Assumptions!L32/100</f>
        <v>-654.418496197433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-42.9172800000001</v>
      </c>
      <c r="D18" s="4" t="n">
        <f aca="false">(D6-C6)*Assumptions!$B$37/100</f>
        <v>-29.5209576</v>
      </c>
      <c r="E18" s="4" t="n">
        <f aca="false">(E6-D6)*Assumptions!$B$37/100</f>
        <v>-27.4216895040001</v>
      </c>
      <c r="F18" s="4" t="n">
        <f aca="false">(F6-E6)*Assumptions!$B$37/100</f>
        <v>-24.9537374486399</v>
      </c>
      <c r="G18" s="4" t="n">
        <f aca="false">(G6-F6)*Assumptions!$B$37/100</f>
        <v>-25.8271182593424</v>
      </c>
      <c r="H18" s="4" t="n">
        <f aca="false">(H6-G6)*Assumptions!$B$37/100</f>
        <v>-22.9123434843594</v>
      </c>
      <c r="I18" s="4" t="n">
        <f aca="false">(I6-H6)*Assumptions!$B$37/100</f>
        <v>-23.5997137888902</v>
      </c>
      <c r="J18" s="4" t="n">
        <f aca="false">(J6-I6)*Assumptions!$B$37/100</f>
        <v>-20.2564210021307</v>
      </c>
      <c r="K18" s="4" t="n">
        <f aca="false">(K6-J6)*Assumptions!$B$37/100</f>
        <v>-20.762831527184</v>
      </c>
      <c r="L18" s="4" t="n">
        <f aca="false">(L6-K6)*Assumptions!$B$37/100</f>
        <v>-21.2819023153636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813.27249306</v>
      </c>
      <c r="D19" s="0" t="n">
        <f aca="false">D15+D16+D17+D18</f>
        <v>880.1078989155</v>
      </c>
      <c r="E19" s="0" t="n">
        <f aca="false">E15+E16+E17+E18</f>
        <v>934.099286686632</v>
      </c>
      <c r="F19" s="0" t="n">
        <f aca="false">F15+F16+F17+F18</f>
        <v>979.444443715572</v>
      </c>
      <c r="G19" s="0" t="n">
        <f aca="false">G15+G16+G17+G18</f>
        <v>1030.33644827178</v>
      </c>
      <c r="H19" s="0" t="n">
        <f aca="false">H15+H16+H17+H18</f>
        <v>1064.93613004269</v>
      </c>
      <c r="I19" s="0" t="n">
        <f aca="false">I15+I16+I17+I18</f>
        <v>1096.88421394398</v>
      </c>
      <c r="J19" s="0" t="n">
        <f aca="false">J15+J16+J17+J18</f>
        <v>1128.23960492406</v>
      </c>
      <c r="K19" s="0" t="n">
        <f aca="false">K15+K16+K17+K18</f>
        <v>1156.44559504716</v>
      </c>
      <c r="L19" s="0" t="n">
        <f aca="false">L15+L16+L17+L18</f>
        <v>1185.35673492334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749.559901437788</v>
      </c>
      <c r="D21" s="0" t="n">
        <f aca="false">D19*D20</f>
        <v>747.612307685872</v>
      </c>
      <c r="E21" s="0" t="n">
        <f aca="false">E19*E20</f>
        <v>731.313896285332</v>
      </c>
      <c r="F21" s="0" t="n">
        <f aca="false">F19*F20</f>
        <v>706.741923454288</v>
      </c>
      <c r="G21" s="0" t="n">
        <f aca="false">G19*G20</f>
        <v>685.220539370408</v>
      </c>
      <c r="H21" s="0" t="n">
        <f aca="false">H19*H20</f>
        <v>652.747372699901</v>
      </c>
      <c r="I21" s="0" t="n">
        <f aca="false">I19*I20</f>
        <v>619.658796203593</v>
      </c>
      <c r="J21" s="0" t="n">
        <f aca="false">J19*J20</f>
        <v>587.439891988039</v>
      </c>
      <c r="K21" s="0" t="n">
        <f aca="false">K19*K20</f>
        <v>554.954736670728</v>
      </c>
      <c r="L21" s="0" t="n">
        <f aca="false">L19*L20</f>
        <v>524.265995472347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6559.5153612683</v>
      </c>
    </row>
    <row r="31" customFormat="false" ht="15" hidden="false" customHeight="false" outlineLevel="0" collapsed="false">
      <c r="A31" s="0" t="s">
        <v>127</v>
      </c>
      <c r="B31" s="0" t="n">
        <f aca="false">L19</f>
        <v>1185.35673492334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20249.844221607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21336.4212286201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20249.844221607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8956.21075598593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15515.7261172542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13627.1261172542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79.8776442980904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-0.154375986681237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340.470880444132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453.254618213627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84.530197045205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9719.92522637136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31.8667287340794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8.5</v>
      </c>
      <c r="D5" s="4" t="n">
        <f aca="false">Assumptions!D41</f>
        <v>6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7663.8</v>
      </c>
      <c r="C6" s="0" t="n">
        <f aca="false">B6*(1+C5/100)</f>
        <v>8315.223</v>
      </c>
      <c r="D6" s="0" t="n">
        <f aca="false">C6*(1+D5/100)</f>
        <v>8814.13638</v>
      </c>
      <c r="E6" s="0" t="n">
        <f aca="false">D6*(1+E5/100)</f>
        <v>9298.9138809</v>
      </c>
      <c r="F6" s="0" t="n">
        <f aca="false">E6*(1+F5/100)</f>
        <v>9763.859574945</v>
      </c>
      <c r="G6" s="0" t="n">
        <f aca="false">F6*(1+G5/100)</f>
        <v>10203.2332558175</v>
      </c>
      <c r="H6" s="0" t="n">
        <f aca="false">G6*(1+H5/100)</f>
        <v>10611.3625860502</v>
      </c>
      <c r="I6" s="0" t="n">
        <f aca="false">H6*(1+I5/100)</f>
        <v>10982.760276562</v>
      </c>
      <c r="J6" s="0" t="n">
        <f aca="false">I6*(1+J5/100)</f>
        <v>11312.2430848588</v>
      </c>
      <c r="K6" s="0" t="n">
        <f aca="false">J6*(1+K5/100)</f>
        <v>11651.6103774046</v>
      </c>
      <c r="L6" s="0" t="n">
        <f aca="false">K6*(1+L5/100)</f>
        <v>12001.1586887267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21.4</v>
      </c>
      <c r="D7" s="4" t="n">
        <f aca="false">Assumptions!D42</f>
        <v>21.7</v>
      </c>
      <c r="E7" s="4" t="n">
        <f aca="false">Assumptions!E42</f>
        <v>22</v>
      </c>
      <c r="F7" s="4" t="n">
        <f aca="false">Assumptions!F42</f>
        <v>22.2</v>
      </c>
      <c r="G7" s="4" t="n">
        <f aca="false">Assumptions!G42</f>
        <v>22.4</v>
      </c>
      <c r="H7" s="4" t="n">
        <f aca="false">Assumptions!H42</f>
        <v>22.5</v>
      </c>
      <c r="I7" s="4" t="n">
        <f aca="false">Assumptions!I42</f>
        <v>22.5</v>
      </c>
      <c r="J7" s="4" t="n">
        <f aca="false">Assumptions!J42</f>
        <v>22.5</v>
      </c>
      <c r="K7" s="4" t="n">
        <f aca="false">Assumptions!K42</f>
        <v>22.5</v>
      </c>
      <c r="L7" s="4" t="n">
        <f aca="false">Assumptions!L42</f>
        <v>22.5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1779.457722</v>
      </c>
      <c r="D8" s="0" t="n">
        <f aca="false">D6*D7/100</f>
        <v>1912.66759446</v>
      </c>
      <c r="E8" s="0" t="n">
        <f aca="false">E6*E7/100</f>
        <v>2045.761053798</v>
      </c>
      <c r="F8" s="0" t="n">
        <f aca="false">F6*F7/100</f>
        <v>2167.57682563779</v>
      </c>
      <c r="G8" s="0" t="n">
        <f aca="false">G6*G7/100</f>
        <v>2285.52424930313</v>
      </c>
      <c r="H8" s="0" t="n">
        <f aca="false">H6*H7/100</f>
        <v>2387.5565818613</v>
      </c>
      <c r="I8" s="0" t="n">
        <f aca="false">I6*I7/100</f>
        <v>2471.12106222645</v>
      </c>
      <c r="J8" s="0" t="n">
        <f aca="false">J6*J7/100</f>
        <v>2545.25469409324</v>
      </c>
      <c r="K8" s="0" t="n">
        <f aca="false">K6*K7/100</f>
        <v>2621.61233491604</v>
      </c>
      <c r="L8" s="0" t="n">
        <f aca="false">L6*L7/100</f>
        <v>2700.26070496352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0.55</v>
      </c>
      <c r="D9" s="4" t="n">
        <f aca="false">Assumptions!D43</f>
        <v>0.55</v>
      </c>
      <c r="E9" s="4" t="n">
        <f aca="false">Assumptions!E43</f>
        <v>0.55</v>
      </c>
      <c r="F9" s="4" t="n">
        <f aca="false">Assumptions!F43</f>
        <v>0.55</v>
      </c>
      <c r="G9" s="4" t="n">
        <f aca="false">Assumptions!G43</f>
        <v>0.55</v>
      </c>
      <c r="H9" s="4" t="n">
        <f aca="false">Assumptions!H43</f>
        <v>0.55</v>
      </c>
      <c r="I9" s="4" t="n">
        <f aca="false">Assumptions!I43</f>
        <v>0.55</v>
      </c>
      <c r="J9" s="4" t="n">
        <f aca="false">Assumptions!J43</f>
        <v>0.55</v>
      </c>
      <c r="K9" s="4" t="n">
        <f aca="false">Assumptions!K43</f>
        <v>0.55</v>
      </c>
      <c r="L9" s="4" t="n">
        <f aca="false">Assumptions!L43</f>
        <v>0.55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-45.7337265</v>
      </c>
      <c r="D10" s="0" t="n">
        <f aca="false">-D6*D9/100</f>
        <v>-48.47775009</v>
      </c>
      <c r="E10" s="0" t="n">
        <f aca="false">-E6*E9/100</f>
        <v>-51.14402634495</v>
      </c>
      <c r="F10" s="0" t="n">
        <f aca="false">-F6*F9/100</f>
        <v>-53.7012276621975</v>
      </c>
      <c r="G10" s="0" t="n">
        <f aca="false">-G6*G9/100</f>
        <v>-56.1177829069964</v>
      </c>
      <c r="H10" s="0" t="n">
        <f aca="false">-H6*H9/100</f>
        <v>-58.3624942232762</v>
      </c>
      <c r="I10" s="0" t="n">
        <f aca="false">-I6*I9/100</f>
        <v>-60.4051815210909</v>
      </c>
      <c r="J10" s="0" t="n">
        <f aca="false">-J6*J9/100</f>
        <v>-62.2173369667236</v>
      </c>
      <c r="K10" s="0" t="n">
        <f aca="false">-K6*K9/100</f>
        <v>-64.0838570757254</v>
      </c>
      <c r="L10" s="0" t="n">
        <f aca="false">-L6*L9/100</f>
        <v>-66.0063727879971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1733.7239955</v>
      </c>
      <c r="D11" s="0" t="n">
        <f aca="false">D8+D10+D24</f>
        <v>1864.18984437</v>
      </c>
      <c r="E11" s="0" t="n">
        <f aca="false">E8+E10+E24</f>
        <v>1994.61702745305</v>
      </c>
      <c r="F11" s="0" t="n">
        <f aca="false">F8+F10+F24</f>
        <v>2113.87559797559</v>
      </c>
      <c r="G11" s="0" t="n">
        <f aca="false">G8+G10+G24</f>
        <v>2229.40646639613</v>
      </c>
      <c r="H11" s="0" t="n">
        <f aca="false">H8+H10+H24</f>
        <v>2329.19408763802</v>
      </c>
      <c r="I11" s="0" t="n">
        <f aca="false">I8+I10+I24</f>
        <v>2410.71588070536</v>
      </c>
      <c r="J11" s="0" t="n">
        <f aca="false">J8+J10+J24</f>
        <v>2483.03735712652</v>
      </c>
      <c r="K11" s="0" t="n">
        <f aca="false">K8+K10+K24</f>
        <v>2557.52847784031</v>
      </c>
      <c r="L11" s="0" t="n">
        <f aca="false">L8+L10+L24</f>
        <v>2634.25433217552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-498.91338</v>
      </c>
      <c r="D12" s="4" t="n">
        <f aca="false">-D6*Assumptions!D45/100</f>
        <v>-528.8481828</v>
      </c>
      <c r="E12" s="4" t="n">
        <f aca="false">-E6*Assumptions!E45/100</f>
        <v>-557.934832854</v>
      </c>
      <c r="F12" s="4" t="n">
        <f aca="false">-F6*Assumptions!F45/100</f>
        <v>-585.8315744967</v>
      </c>
      <c r="G12" s="4" t="n">
        <f aca="false">-G6*Assumptions!G45/100</f>
        <v>-612.193995349051</v>
      </c>
      <c r="H12" s="4" t="n">
        <f aca="false">-H6*Assumptions!H45/100</f>
        <v>-636.681755163014</v>
      </c>
      <c r="I12" s="4" t="n">
        <f aca="false">-I6*Assumptions!I45/100</f>
        <v>-658.965616593719</v>
      </c>
      <c r="J12" s="4" t="n">
        <f aca="false">-J6*Assumptions!J45/100</f>
        <v>-678.734585091531</v>
      </c>
      <c r="K12" s="4" t="n">
        <f aca="false">-K6*Assumptions!K45/100</f>
        <v>-699.096622644277</v>
      </c>
      <c r="L12" s="4" t="n">
        <f aca="false">-L6*Assumptions!L45/100</f>
        <v>-720.069521323605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1234.8106155</v>
      </c>
      <c r="D13" s="0" t="n">
        <f aca="false">D11+D12</f>
        <v>1335.34166157</v>
      </c>
      <c r="E13" s="0" t="n">
        <f aca="false">E11+E12</f>
        <v>1436.68219459905</v>
      </c>
      <c r="F13" s="0" t="n">
        <f aca="false">F11+F12</f>
        <v>1528.04402347889</v>
      </c>
      <c r="G13" s="0" t="n">
        <f aca="false">G11+G12</f>
        <v>1617.21247104708</v>
      </c>
      <c r="H13" s="0" t="n">
        <f aca="false">H11+H12</f>
        <v>1692.51233247501</v>
      </c>
      <c r="I13" s="0" t="n">
        <f aca="false">I11+I12</f>
        <v>1751.75026411164</v>
      </c>
      <c r="J13" s="0" t="n">
        <f aca="false">J11+J12</f>
        <v>1804.30277203499</v>
      </c>
      <c r="K13" s="0" t="n">
        <f aca="false">K11+K12</f>
        <v>1858.43185519604</v>
      </c>
      <c r="L13" s="0" t="n">
        <f aca="false">L11+L12</f>
        <v>1914.18481085192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26</v>
      </c>
      <c r="D14" s="4" t="n">
        <f aca="false">Assumptions!D47</f>
        <v>26</v>
      </c>
      <c r="E14" s="4" t="n">
        <f aca="false">Assumptions!E47</f>
        <v>26</v>
      </c>
      <c r="F14" s="4" t="n">
        <f aca="false">Assumptions!F47</f>
        <v>26</v>
      </c>
      <c r="G14" s="4" t="n">
        <f aca="false">Assumptions!G47</f>
        <v>26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913.75985547</v>
      </c>
      <c r="D15" s="0" t="n">
        <f aca="false">D13-MAX(0,D13)*D14/100</f>
        <v>988.1528295618</v>
      </c>
      <c r="E15" s="0" t="n">
        <f aca="false">E13-MAX(0,E13)*E14/100</f>
        <v>1063.1448240033</v>
      </c>
      <c r="F15" s="0" t="n">
        <f aca="false">F13-MAX(0,F13)*F14/100</f>
        <v>1130.75257737438</v>
      </c>
      <c r="G15" s="0" t="n">
        <f aca="false">G13-MAX(0,G13)*G14/100</f>
        <v>1196.73722857484</v>
      </c>
      <c r="H15" s="0" t="n">
        <f aca="false">H13-MAX(0,H13)*H14/100</f>
        <v>1252.45912603151</v>
      </c>
      <c r="I15" s="0" t="n">
        <f aca="false">I13-MAX(0,I13)*I14/100</f>
        <v>1296.29519544261</v>
      </c>
      <c r="J15" s="0" t="n">
        <f aca="false">J13-MAX(0,J13)*J14/100</f>
        <v>1335.18405130589</v>
      </c>
      <c r="K15" s="0" t="n">
        <f aca="false">K13-MAX(0,K13)*K14/100</f>
        <v>1375.23957284507</v>
      </c>
      <c r="L15" s="0" t="n">
        <f aca="false">L13-MAX(0,L13)*L14/100</f>
        <v>1416.49676003042</v>
      </c>
    </row>
    <row r="16" customFormat="false" ht="15" hidden="false" customHeight="false" outlineLevel="0" collapsed="false">
      <c r="A16" s="0" t="s">
        <v>118</v>
      </c>
      <c r="C16" s="0" t="n">
        <f aca="false">-C12</f>
        <v>498.91338</v>
      </c>
      <c r="D16" s="0" t="n">
        <f aca="false">-D12</f>
        <v>528.8481828</v>
      </c>
      <c r="E16" s="0" t="n">
        <f aca="false">-E12</f>
        <v>557.934832854</v>
      </c>
      <c r="F16" s="0" t="n">
        <f aca="false">-F12</f>
        <v>585.8315744967</v>
      </c>
      <c r="G16" s="0" t="n">
        <f aca="false">-G12</f>
        <v>612.193995349051</v>
      </c>
      <c r="H16" s="0" t="n">
        <f aca="false">-H12</f>
        <v>636.681755163014</v>
      </c>
      <c r="I16" s="0" t="n">
        <f aca="false">-I12</f>
        <v>658.965616593719</v>
      </c>
      <c r="J16" s="0" t="n">
        <f aca="false">-J12</f>
        <v>678.734585091531</v>
      </c>
      <c r="K16" s="0" t="n">
        <f aca="false">-K12</f>
        <v>699.096622644277</v>
      </c>
      <c r="L16" s="0" t="n">
        <f aca="false">-L12</f>
        <v>720.069521323605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-540.489495</v>
      </c>
      <c r="D17" s="4" t="n">
        <f aca="false">-D6*Assumptions!D46/100</f>
        <v>-564.10472832</v>
      </c>
      <c r="E17" s="4" t="n">
        <f aca="false">-E6*Assumptions!E46/100</f>
        <v>-585.8315744967</v>
      </c>
      <c r="F17" s="4" t="n">
        <f aca="false">-F6*Assumptions!F46/100</f>
        <v>-605.35929364659</v>
      </c>
      <c r="G17" s="4" t="n">
        <f aca="false">-G6*Assumptions!G46/100</f>
        <v>-632.600461860686</v>
      </c>
      <c r="H17" s="4" t="n">
        <f aca="false">-H6*Assumptions!H46/100</f>
        <v>-647.293117749064</v>
      </c>
      <c r="I17" s="4" t="n">
        <f aca="false">-I6*Assumptions!I46/100</f>
        <v>-669.948376870281</v>
      </c>
      <c r="J17" s="4" t="n">
        <f aca="false">-J6*Assumptions!J46/100</f>
        <v>-678.734585091531</v>
      </c>
      <c r="K17" s="4" t="n">
        <f aca="false">-K6*Assumptions!K46/100</f>
        <v>-699.096622644277</v>
      </c>
      <c r="L17" s="4" t="n">
        <f aca="false">-L6*Assumptions!L46/100</f>
        <v>-720.069521323605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-52.11384</v>
      </c>
      <c r="D18" s="4" t="n">
        <f aca="false">(D6-C6)*Assumptions!$B$51/100</f>
        <v>-39.9130704</v>
      </c>
      <c r="E18" s="4" t="n">
        <f aca="false">(E6-D6)*Assumptions!$B$51/100</f>
        <v>-38.782200072</v>
      </c>
      <c r="F18" s="4" t="n">
        <f aca="false">(F6-E6)*Assumptions!$B$51/100</f>
        <v>-37.1956555236</v>
      </c>
      <c r="G18" s="4" t="n">
        <f aca="false">(G6-F6)*Assumptions!$B$51/100</f>
        <v>-35.149894469802</v>
      </c>
      <c r="H18" s="4" t="n">
        <f aca="false">(H6-G6)*Assumptions!$B$51/100</f>
        <v>-32.6503464186161</v>
      </c>
      <c r="I18" s="4" t="n">
        <f aca="false">(I6-H6)*Assumptions!$B$51/100</f>
        <v>-29.7118152409406</v>
      </c>
      <c r="J18" s="4" t="n">
        <f aca="false">(J6-I6)*Assumptions!$B$51/100</f>
        <v>-26.3586246637488</v>
      </c>
      <c r="K18" s="4" t="n">
        <f aca="false">(K6-J6)*Assumptions!$B$51/100</f>
        <v>-27.1493834036612</v>
      </c>
      <c r="L18" s="4" t="n">
        <f aca="false">(L6-K6)*Assumptions!$B$51/100</f>
        <v>-27.963864905771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820.06990047</v>
      </c>
      <c r="D19" s="0" t="n">
        <f aca="false">D15+D16+D17+D18</f>
        <v>912.9832136418</v>
      </c>
      <c r="E19" s="0" t="n">
        <f aca="false">E15+E16+E17+E18</f>
        <v>996.465882288597</v>
      </c>
      <c r="F19" s="0" t="n">
        <f aca="false">F15+F16+F17+F18</f>
        <v>1074.02920270089</v>
      </c>
      <c r="G19" s="0" t="n">
        <f aca="false">G15+G16+G17+G18</f>
        <v>1141.1808675934</v>
      </c>
      <c r="H19" s="0" t="n">
        <f aca="false">H15+H16+H17+H18</f>
        <v>1209.19741702684</v>
      </c>
      <c r="I19" s="0" t="n">
        <f aca="false">I15+I16+I17+I18</f>
        <v>1255.60061992511</v>
      </c>
      <c r="J19" s="0" t="n">
        <f aca="false">J15+J16+J17+J18</f>
        <v>1308.82542664214</v>
      </c>
      <c r="K19" s="0" t="n">
        <f aca="false">K15+K16+K17+K18</f>
        <v>1348.0901894414</v>
      </c>
      <c r="L19" s="0" t="n">
        <f aca="false">L15+L16+L17+L18</f>
        <v>1388.53289512465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755.824793059908</v>
      </c>
      <c r="D21" s="0" t="n">
        <f aca="false">D19*D20</f>
        <v>775.538417585253</v>
      </c>
      <c r="E21" s="0" t="n">
        <f aca="false">E19*E20</f>
        <v>780.141209053665</v>
      </c>
      <c r="F21" s="0" t="n">
        <f aca="false">F19*F20</f>
        <v>774.991853221775</v>
      </c>
      <c r="G21" s="0" t="n">
        <f aca="false">G19*G20</f>
        <v>758.937113137318</v>
      </c>
      <c r="H21" s="0" t="n">
        <f aca="false">H19*H20</f>
        <v>741.171620318802</v>
      </c>
      <c r="I21" s="0" t="n">
        <f aca="false">I19*I20</f>
        <v>709.321876242279</v>
      </c>
      <c r="J21" s="0" t="n">
        <f aca="false">J19*J20</f>
        <v>681.46541204748</v>
      </c>
      <c r="K21" s="0" t="n">
        <f aca="false">K19*K20</f>
        <v>646.921082404521</v>
      </c>
      <c r="L21" s="0" t="n">
        <f aca="false">L19*L20</f>
        <v>614.127847812587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7238.44122488359</v>
      </c>
    </row>
    <row r="31" customFormat="false" ht="15" hidden="false" customHeight="false" outlineLevel="0" collapsed="false">
      <c r="A31" s="0" t="s">
        <v>127</v>
      </c>
      <c r="B31" s="0" t="n">
        <f aca="false">L19</f>
        <v>1388.53289512465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26003.4342177889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24993.5921122437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24993.5921122437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11054.3012606266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18292.7424855101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16404.1424855101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96.1555831507043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0.0179502768442119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361.680299179914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546.717557511417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101.480306812435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11918.2406831532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37.787733420266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57.4618054228159</v>
      </c>
      <c r="C4" s="0" t="n">
        <f aca="false">B4/Assumptions!$B$2-1</f>
        <v>-0.391681077463308</v>
      </c>
      <c r="D4" s="4" t="n">
        <f aca="false">Assumptions!$B$24</f>
        <v>0.25</v>
      </c>
      <c r="E4" s="4" t="n">
        <f aca="false">DCF_Bear!$B$43</f>
        <v>61.3994553995589</v>
      </c>
      <c r="F4" s="4" t="n">
        <f aca="false">DCF_Bear!$B$47</f>
        <v>23.373204716274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79.8776442980904</v>
      </c>
      <c r="C5" s="0" t="n">
        <f aca="false">B5/Assumptions!$B$2-1</f>
        <v>-0.154375986681237</v>
      </c>
      <c r="D5" s="4" t="n">
        <f aca="false">Assumptions!$B$38</f>
        <v>0.5</v>
      </c>
      <c r="E5" s="4" t="n">
        <f aca="false">DCF_Base!$B$43</f>
        <v>84.530197045205</v>
      </c>
      <c r="F5" s="4" t="n">
        <f aca="false">DCF_Base!$B$47</f>
        <v>31.8667287340794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96.1555831507043</v>
      </c>
      <c r="C6" s="0" t="n">
        <f aca="false">B6/Assumptions!$B$2-1</f>
        <v>0.0179502768442119</v>
      </c>
      <c r="D6" s="4" t="n">
        <f aca="false">Assumptions!$B$52</f>
        <v>0.25</v>
      </c>
      <c r="E6" s="4" t="n">
        <f aca="false">DCF_Bull!$B$43</f>
        <v>101.480306812435</v>
      </c>
      <c r="F6" s="4" t="n">
        <f aca="false">DCF_Bull!$B$47</f>
        <v>37.787733420266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78.3431692924252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82.9850390756011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-0.205720943550506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347.205575778734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31.2235989011747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79.8776442980904</v>
      </c>
      <c r="C15" s="3" t="n">
        <v>8.5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72.7624994226001</v>
      </c>
      <c r="C16" s="3" t="n">
        <v>9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61.3843843893491</v>
      </c>
      <c r="C17" s="3" t="n">
        <v>10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52.6903489991089</v>
      </c>
      <c r="C18" s="3" t="n">
        <v>11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45.832465166698</v>
      </c>
      <c r="C19" s="3" t="n">
        <v>12</v>
      </c>
    </row>
    <row r="20" customFormat="false" ht="15" hidden="false" customHeight="false" outlineLevel="0" collapsed="false">
      <c r="A20" s="0" t="s">
        <v>163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31.8667287340794</v>
      </c>
      <c r="C20" s="3" t="n">
        <v>15</v>
      </c>
    </row>
    <row r="22" customFormat="false" ht="15" hidden="false" customHeight="false" outlineLevel="0" collapsed="false">
      <c r="A22" s="2" t="s">
        <v>164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97.9431967042631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97.9431967042631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97.9431967042631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97.9431967042631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97.9431967042631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86.3064714503893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89.9586122175487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89.9586122175487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89.9586122175487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89.9586122175487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71.9388762931848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75.6029230646797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79.8776442980904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82.6946264933795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82.6946264933795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61.1838074231661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63.7421678348657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66.6660083053796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70.0396703867417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73.9756094816641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52.8358345849737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54.6847545486735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56.7647895078358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59.1221624615531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61.8163029800871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2026-10-10T07:36:46Z</dcterms:created>
  <dc:creator>openpyxl</dc:creator>
  <dc:description/>
  <dc:language>en-NZ</dc:language>
  <cp:lastModifiedBy/>
  <dcterms:modified xsi:type="dcterms:W3CDTF">2026-10-10T07:36:46Z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