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<sst xmlns="http://schemas.openxmlformats.org/spreadsheetml/2006/main" count="371" uniqueCount="171">
  <si>
    <t xml:space="preserve">Ticker</t>
  </si>
  <si>
    <t xml:space="preserve">ENGH.TO</t>
  </si>
  <si>
    <t xml:space="preserve">Company</t>
  </si>
  <si>
    <t xml:space="preserve">Enghouse Systems Limited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</si>
  <si>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</si>
  <si>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</si>
  <si>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</si>
  <si>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</si>
  <si>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2026-10-09T20:00:00Z regular TSX close</t>
  </si>
  <si>
    <t xml:space="preserve">Balance sheet date</t>
  </si>
  <si>
    <t xml:space="preserve">2025-10-31</t>
  </si>
  <si>
    <t xml:space="preserve">Model</t>
  </si>
  <si>
    <t xml:space="preserve">owner_fcf_dcf_component</t>
  </si>
  <si>
    <t xml:space="preserve">Currency (model)</t>
  </si>
  <si>
    <t xml:space="preserve">CAD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</si>
  <si>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</si>
  <si>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</si>
  <si>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</si>
  <si>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</si>
  <si>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</si>
  <si>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</si>
  <si>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2026-10-10T09:05:04Z</t>
  </si>
  <si>
    <t xml:space="preserve">Drivers file</t>
  </si>
  <si>
    <t xml:space="preserve">ENGH.TO_Drivers.json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</si>
  <si>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</si>
  <si>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</si>
  <si>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</si>
  <si>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Enghouse as what it is now -- a debt-free, ~25%-margin software business whose organic revenue is shrinking and whose growth is bought with cash -- rather than as the acquisition compounder of FY2013-2020. Three choices carry the valuation: acquisitions are treated as capex so the revenue path is paid for; the EBITDA margin anchors on management's own 'mid-20s' guidance after restructuring charges, not the FY2023-24 peak; and the probability weights lean to the bear because the decline is already in the reported numbers. The ~$270m cash pile is added once (interest income is stripped from the flows) and reduced for the dividends paid since the stale October-2025 balance sheet. Leases are charged as an operating cost and excluded from net debt. Risk is charged once, in the scenario flows and weights, at a single CAD-built 8.5% cost of equity.
key_risks_to_valuation: The organic decline does not moderate: the base case assumes constant-currency churn eases from ~-5% to ~-2% by FY2029; if FY2026's pace persists the bear case is the base case; Acquisition capex productivity: the base assumes ~6% of revenue buys ~4% of revenue growth at ~1-1.5x sales; dearer deals or integration churn (the Lifesize pattern) mean the same cash buys less; Margin: 'mid-20s' after recurring restructuring charges may prove optimistic if restructuring becomes a permanent annual cost -- FY2025 $5.1m, Q3 FY2026 $4.6m; Stale anchors: cash, share count and the dividends-paid bridge are estimates from the 2025-10-31 balance sheet; the Q1-Q3 FY2026 interims were not extracted; FX: 85-90% of revenue is non-CAD and unhedged; a stronger CAD lowers reported revenue, margin and the CAD value of foreign cash; Capital allocation change: management has flagged that a larger deal could be debt- or equity-funded, which would break the flat-count, debt-free model; Key-person: Chairman/CEO Stephen Sadler is the acquisition engine; no succession is disclosed</t>
  </si>
  <si>
    <t xml:space="preserve">Data sources</t>
  </si>
  <si>
    <t xml:space="preserve">price: Yahoo Finance chart API, regular TSX close at inputs.price_as_of; 52-week range 14.80-21.81 CAD
financials: ENGH.TO_Annual_FY2025.txt (audited consolidated statements, year ended 2025-10-31: income statement lines 1555-1595, cash flow 1638-1680, equity statement 1602-1628, tax note 2739-2752, EPS note 2858-2889, lease note 3002-3014); ENGH.TO_Metrics.csv / metrics_normalized history FY2013-FY2025; Q3 FY2026 figures (2026-09-10 release) as summarised in ENGH.TO_Analysis.json -- not in the Extracted folder
qualitative: ENGH.TO_Analysis.json (2026-10-10): business model, Lifesize churn, Q3 FY2026 'mid-20s' margin guidance, restructuring programme, sell-side sentiment</t>
  </si>
  <si>
    <t xml:space="preserve">Scenario narrative: bear</t>
  </si>
  <si>
    <t xml:space="preserve">AI-native contact-centre entrants and the hyperscalers (Amazon Connect, Microsoft, NICE, Genesys, Five9) take the renewals Enghouse's legacy and acquired customers would otherwise have signed; organic decline runs -5% to -7% and recurring revenue, the core of the thesis, keeps falling as it did in FY2025 and the first nine months of FY2026. Tuck-ins continue but buy shrinking assets, so the net top line is still falling in FY2035; fixed costs and leases delever and the margin holds at 22% only through repeated restructuring charges. The disciplined-compounder premium is gone and the stock is a melting ice cube with a dividend. The balance sheet means this is a value, not a survival, question.</t>
  </si>
  <si>
    <t xml:space="preserve">Scenario narrative: base</t>
  </si>
  <si>
    <t xml:space="preserve">Enghouse is a no-growth cash generator, not a compounder. The ~70% recurring base keeps shrinking organically at a moderating rate (-4% to -5% in FY2026-27 constant currency, easing to -2% by FY2029) while ~$30m/yr of debt-free tuck-ins -- the Aculab/Margento/Trafi/Sixbell pattern -- fill most of the hole; reported revenue bottoms around $450m in FY2028-29 and grows 2% nominal thereafter. The axes are (1) whether churn in the Lifesize and legacy on-premise bases moderates once the acquired cohorts have reset, (2) whether $2-2.5m/quarter of restructuring savings hold the margin at 25% against deleverage, and (3) whether the acquisition pipeline keeps delivering at ~1-1.5x revenue. Margins settle at management's 'mid-20s', not the high-20s of FY2023-24. Acquisition spend is charged as capex so the growth is paid for.</t>
  </si>
  <si>
    <t xml:space="preserve">Scenario narrative: bull</t>
  </si>
  <si>
    <t xml:space="preserve">Demand stabilises in FY2027 as enterprise IT budgets reopen and tariff uncertainty fades; the AMG segment (transit e-ticketing/MaaS, 5G OSS/BSS, public safety) keeps growing double digits and comes to dominate the mix; Enghouse uses its ~$270m of cash and the down-cycle in small-software valuations to buy more, cheaper, converting 7.5% of revenue of M&amp;A into 3-3.5% net growth. Restructuring plus a higher-margin mix lifts adjusted EBITDA to 27%. Margin recovery, demand stabilisation and accretive M&amp;A all have to happen together, which is why this case carries the lowest weight.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</si>
  <si>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</si>
  <si>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</si>
  <si>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</si>
  <si>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</si>
  <si>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</si>
  <si>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</si>
  <si>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</si>
  <si>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</si>
  <si>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</si>
  <si>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</si>
  <si>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</si>
  <si>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</si>
  <si>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</si>
  <si>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</si>
  <si>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</si>
  <si>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</si>
  <si>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</si>
  <si>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</si>
  <si>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</si>
  <si>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</si>
  <si>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</si>
  <si>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</si>
  <si>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</si>
  <si>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</si>
  <si>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</si>
  <si>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</si>
  <si>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</si>
  <si>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Amortisation</t>
  </si>
  <si>
    <t xml:space="preserve">RecurringRevenue</t>
  </si>
  <si>
    <t xml:space="preserve">FY2013</t>
  </si>
  <si>
    <t xml:space="preserve">thousands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</si>
  <si>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</si>
  <si>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</si>
  <si>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</si>
  <si>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</si>
  <si>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</si>
  <si>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</si>
  <si>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</si>
  <si>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</si>
  <si>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</si>
  <si>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</si>
  <si>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</si>
  <si>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</si>
  <si>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</si>
  <si>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</si>
  <si>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</si>
  <si>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</si>
  <si>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</si>
  <si>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</si>
  <si>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</si>
  <si>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</si>
  <si>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</si>
  <si>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</si>
  <si>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CAD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</si>
  <si>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</si>
  <si>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</si>
  <si>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</si>
  <si>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</si>
  <si>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</si>
  <si>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</si>
  <si>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</si>
  <si>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</si>
  <si>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</si>
  <si>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</si>
  <si>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</si>
  <si>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</si>
  <si>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</si>
  <si>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</si>
  <si>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</si>
  <si>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</si>
  <si>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</si>
  <si>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</si>
  <si>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</si>
  <si>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</si>
  <si>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</si>
  <si>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</si>
  <si>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</si>
  <si>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</si>
  <si>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</si>
  <si>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</si>
  <si>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ENGH.TO owner-FCF component DCF: bear case (millions, CAD)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</si>
  <si>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</si>
  <si>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</si>
  <si>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</si>
  <si>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</si>
  <si>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</si>
  <si>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</si>
  <si>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</si>
  <si>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</si>
  <si>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</si>
  <si>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</si>
  <si>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</si>
  <si>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</si>
  <si>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</si>
  <si>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</si>
  <si>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</si>
  <si>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</si>
  <si>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</si>
  <si>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</si>
  <si>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</si>
  <si>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</si>
  <si>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</si>
  <si>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</si>
  <si>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</si>
  <si>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</si>
  <si>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</si>
  <si>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</si>
  <si>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</si>
  <si>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</si>
  <si>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</si>
  <si>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</si>
  <si>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ENGH.TO owner-FCF component DCF: base case (millions, CAD)</t>
  </si>
  <si>
    <t xml:space="preserve">ENGH.TO owner-FCF component DCF: bull case (millions, CAD)</t>
  </si>
  <si>
    <t xml:space="preserve">ENGH.TO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</si>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</sst>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</row>
    <row r="2" customFormat="false" ht="15" hidden="false" customHeight="false" outlineLevel="0" collapsed="false">
      <c r="A2" s="0" t="s">
        <v>65</v>
      </c>
      <c r="B2" s="0" t="n">
        <v>179886</v>
      </c>
      <c r="C2" s="0" t="n">
        <v>51118</v>
      </c>
      <c r="D2" s="0" t="n">
        <v>128768</v>
      </c>
      <c r="E2" s="0" t="n">
        <v>71.6</v>
      </c>
      <c r="F2" s="0" t="n">
        <v>25137</v>
      </c>
      <c r="G2" s="0" t="n">
        <v>14</v>
      </c>
      <c r="H2" s="0" t="n">
        <v>42448</v>
      </c>
      <c r="I2" s="0" t="n">
        <v>24347</v>
      </c>
      <c r="J2" s="0" t="n">
        <v>13.5</v>
      </c>
      <c r="K2" s="0" t="n">
        <v>0.92</v>
      </c>
      <c r="L2" s="0" t="n">
        <v>32357</v>
      </c>
      <c r="M2" s="0" t="n">
        <v>1403</v>
      </c>
      <c r="N2" s="0" t="n">
        <v>30954</v>
      </c>
      <c r="O2" s="0" t="n">
        <v>182628</v>
      </c>
      <c r="P2" s="0" t="n">
        <v>277956</v>
      </c>
      <c r="Q2" s="0" t="n">
        <v>95328</v>
      </c>
      <c r="R2" s="0" t="n">
        <v>0</v>
      </c>
      <c r="S2" s="0" t="n">
        <v>90297</v>
      </c>
      <c r="T2" s="0" t="n">
        <v>26042.962</v>
      </c>
      <c r="U2" s="0" t="n">
        <v>1016</v>
      </c>
      <c r="AA2" s="0" t="s">
        <v>66</v>
      </c>
      <c r="AB2" s="0" t="s">
        <v>14</v>
      </c>
      <c r="AC2" s="0" t="n">
        <v>15568</v>
      </c>
      <c r="AD2" s="0" t="n">
        <v>91762</v>
      </c>
    </row>
    <row r="3" customFormat="false" ht="15" hidden="false" customHeight="false" outlineLevel="0" collapsed="false">
      <c r="A3" s="0" t="s">
        <v>67</v>
      </c>
      <c r="B3" s="0" t="n">
        <v>219987</v>
      </c>
      <c r="C3" s="0" t="n">
        <v>65304</v>
      </c>
      <c r="D3" s="0" t="n">
        <v>154683</v>
      </c>
      <c r="E3" s="0" t="n">
        <v>70.3</v>
      </c>
      <c r="F3" s="0" t="n">
        <v>34455</v>
      </c>
      <c r="G3" s="0" t="n">
        <v>15.7</v>
      </c>
      <c r="H3" s="0" t="n">
        <v>54379</v>
      </c>
      <c r="I3" s="0" t="n">
        <v>29684</v>
      </c>
      <c r="J3" s="0" t="n">
        <v>13.5</v>
      </c>
      <c r="K3" s="0" t="n">
        <v>1.11</v>
      </c>
      <c r="L3" s="0" t="n">
        <v>47641</v>
      </c>
      <c r="M3" s="0" t="n">
        <v>1324</v>
      </c>
      <c r="N3" s="0" t="n">
        <v>46317</v>
      </c>
      <c r="O3" s="0" t="n">
        <v>208255</v>
      </c>
      <c r="P3" s="0" t="n">
        <v>327771</v>
      </c>
      <c r="Q3" s="0" t="n">
        <v>119516</v>
      </c>
      <c r="R3" s="0" t="n">
        <v>0</v>
      </c>
      <c r="S3" s="0" t="n">
        <v>84864</v>
      </c>
      <c r="T3" s="0" t="n">
        <v>26163.962</v>
      </c>
      <c r="U3" s="0" t="n">
        <v>877</v>
      </c>
      <c r="AA3" s="0" t="s">
        <v>66</v>
      </c>
      <c r="AB3" s="0" t="s">
        <v>14</v>
      </c>
      <c r="AC3" s="0" t="n">
        <v>17609</v>
      </c>
      <c r="AD3" s="0" t="n">
        <v>115004</v>
      </c>
    </row>
    <row r="4" customFormat="false" ht="15" hidden="false" customHeight="false" outlineLevel="0" collapsed="false">
      <c r="A4" s="0" t="s">
        <v>68</v>
      </c>
      <c r="B4" s="0" t="n">
        <v>279313</v>
      </c>
      <c r="C4" s="0" t="n">
        <v>88704</v>
      </c>
      <c r="D4" s="0" t="n">
        <v>190609</v>
      </c>
      <c r="E4" s="0" t="n">
        <v>68.2</v>
      </c>
      <c r="F4" s="0" t="n">
        <v>44394</v>
      </c>
      <c r="G4" s="0" t="n">
        <v>15.9</v>
      </c>
      <c r="H4" s="0" t="n">
        <v>69951</v>
      </c>
      <c r="I4" s="0" t="n">
        <v>31430</v>
      </c>
      <c r="J4" s="0" t="n">
        <v>11.3</v>
      </c>
      <c r="K4" s="0" t="n">
        <v>1.17</v>
      </c>
      <c r="L4" s="0" t="n">
        <v>50489</v>
      </c>
      <c r="M4" s="0" t="n">
        <v>2902</v>
      </c>
      <c r="N4" s="0" t="n">
        <v>47587</v>
      </c>
      <c r="O4" s="0" t="n">
        <v>243352</v>
      </c>
      <c r="P4" s="0" t="n">
        <v>376015</v>
      </c>
      <c r="Q4" s="0" t="n">
        <v>132663</v>
      </c>
      <c r="R4" s="0" t="n">
        <v>0</v>
      </c>
      <c r="S4" s="0" t="n">
        <v>98437</v>
      </c>
      <c r="T4" s="0" t="n">
        <v>26587.262</v>
      </c>
      <c r="U4" s="0" t="n">
        <v>1187</v>
      </c>
      <c r="AA4" s="0" t="s">
        <v>66</v>
      </c>
      <c r="AB4" s="0" t="s">
        <v>14</v>
      </c>
      <c r="AC4" s="0" t="n">
        <v>22869</v>
      </c>
      <c r="AD4" s="0" t="n">
        <v>135768</v>
      </c>
    </row>
    <row r="5" customFormat="false" ht="15" hidden="false" customHeight="false" outlineLevel="0" collapsed="false">
      <c r="A5" s="0" t="s">
        <v>69</v>
      </c>
      <c r="B5" s="0" t="n">
        <v>307983</v>
      </c>
      <c r="C5" s="0" t="n">
        <v>96867</v>
      </c>
      <c r="D5" s="0" t="n">
        <v>211116</v>
      </c>
      <c r="E5" s="0" t="n">
        <v>68.5</v>
      </c>
      <c r="F5" s="0" t="n">
        <v>53896</v>
      </c>
      <c r="G5" s="0" t="n">
        <v>17.5</v>
      </c>
      <c r="H5" s="0" t="n">
        <v>85376</v>
      </c>
      <c r="I5" s="0" t="n">
        <v>47276</v>
      </c>
      <c r="J5" s="0" t="n">
        <v>15.4</v>
      </c>
      <c r="K5" s="0" t="n">
        <v>1.74</v>
      </c>
      <c r="L5" s="0" t="n">
        <v>59735</v>
      </c>
      <c r="M5" s="0" t="n">
        <v>3372</v>
      </c>
      <c r="N5" s="0" t="n">
        <v>56363</v>
      </c>
      <c r="O5" s="0" t="n">
        <v>268548</v>
      </c>
      <c r="P5" s="0" t="n">
        <v>419195</v>
      </c>
      <c r="Q5" s="0" t="n">
        <v>150647</v>
      </c>
      <c r="R5" s="0" t="n">
        <v>4049</v>
      </c>
      <c r="S5" s="0" t="n">
        <v>85859</v>
      </c>
      <c r="T5" s="0" t="n">
        <v>26906.962</v>
      </c>
      <c r="U5" s="0" t="n">
        <v>892</v>
      </c>
      <c r="AA5" s="0" t="s">
        <v>66</v>
      </c>
      <c r="AB5" s="0" t="s">
        <v>14</v>
      </c>
      <c r="AC5" s="0" t="n">
        <v>28042</v>
      </c>
      <c r="AD5" s="0" t="n">
        <v>152368</v>
      </c>
    </row>
    <row r="6" customFormat="false" ht="15" hidden="false" customHeight="false" outlineLevel="0" collapsed="false">
      <c r="A6" s="0" t="s">
        <v>70</v>
      </c>
      <c r="B6" s="0" t="n">
        <v>325368</v>
      </c>
      <c r="C6" s="0" t="n">
        <v>100347</v>
      </c>
      <c r="D6" s="0" t="n">
        <v>225021</v>
      </c>
      <c r="E6" s="0" t="n">
        <v>69.2</v>
      </c>
      <c r="F6" s="0" t="n">
        <v>57968</v>
      </c>
      <c r="G6" s="0" t="n">
        <v>17.8</v>
      </c>
      <c r="H6" s="0" t="n">
        <v>89810</v>
      </c>
      <c r="I6" s="0" t="n">
        <v>50842</v>
      </c>
      <c r="J6" s="0" t="n">
        <v>15.6</v>
      </c>
      <c r="K6" s="0" t="n">
        <v>1.87</v>
      </c>
      <c r="L6" s="0" t="n">
        <v>83242</v>
      </c>
      <c r="M6" s="0" t="n">
        <v>1689</v>
      </c>
      <c r="N6" s="0" t="n">
        <v>81553</v>
      </c>
      <c r="O6" s="0" t="n">
        <v>306399</v>
      </c>
      <c r="P6" s="0" t="n">
        <v>461837</v>
      </c>
      <c r="Q6" s="0" t="n">
        <v>155438</v>
      </c>
      <c r="R6" s="0" t="n">
        <v>2706</v>
      </c>
      <c r="S6" s="0" t="n">
        <v>130345</v>
      </c>
      <c r="T6" s="0" t="n">
        <v>26993.212</v>
      </c>
      <c r="U6" s="0" t="n">
        <v>1148</v>
      </c>
      <c r="AA6" s="0" t="s">
        <v>66</v>
      </c>
      <c r="AB6" s="0" t="s">
        <v>14</v>
      </c>
      <c r="AC6" s="0" t="n">
        <v>29405</v>
      </c>
      <c r="AD6" s="0" t="n">
        <v>165802</v>
      </c>
    </row>
    <row r="7" customFormat="false" ht="15" hidden="false" customHeight="false" outlineLevel="0" collapsed="false">
      <c r="A7" s="0" t="s">
        <v>71</v>
      </c>
      <c r="B7" s="0" t="n">
        <v>342845</v>
      </c>
      <c r="C7" s="0" t="n">
        <v>103422</v>
      </c>
      <c r="D7" s="0" t="n">
        <v>239423</v>
      </c>
      <c r="E7" s="0" t="n">
        <v>69.8</v>
      </c>
      <c r="F7" s="0" t="n">
        <v>75096</v>
      </c>
      <c r="G7" s="0" t="n">
        <v>21.9</v>
      </c>
      <c r="H7" s="0" t="n">
        <v>105656</v>
      </c>
      <c r="I7" s="0" t="n">
        <v>57745</v>
      </c>
      <c r="J7" s="0" t="n">
        <v>16.8</v>
      </c>
      <c r="K7" s="0" t="n">
        <v>2.11</v>
      </c>
      <c r="L7" s="0" t="n">
        <v>98255</v>
      </c>
      <c r="M7" s="0" t="n">
        <v>2244</v>
      </c>
      <c r="N7" s="0" t="n">
        <v>96011</v>
      </c>
      <c r="O7" s="0" t="n">
        <v>350124</v>
      </c>
      <c r="P7" s="0" t="n">
        <v>495200</v>
      </c>
      <c r="Q7" s="0" t="n">
        <v>145076</v>
      </c>
      <c r="R7" s="0" t="n">
        <v>1597</v>
      </c>
      <c r="S7" s="0" t="n">
        <v>193937</v>
      </c>
      <c r="T7" s="0" t="n">
        <v>27290.012</v>
      </c>
      <c r="U7" s="0" t="n">
        <v>1545</v>
      </c>
      <c r="AA7" s="0" t="s">
        <v>66</v>
      </c>
      <c r="AB7" s="0" t="s">
        <v>14</v>
      </c>
      <c r="AC7" s="0" t="n">
        <v>28149</v>
      </c>
      <c r="AD7" s="0" t="n">
        <v>176373</v>
      </c>
    </row>
    <row r="8" customFormat="false" ht="15" hidden="false" customHeight="false" outlineLevel="0" collapsed="false">
      <c r="A8" s="0" t="s">
        <v>72</v>
      </c>
      <c r="B8" s="0" t="n">
        <v>385853</v>
      </c>
      <c r="C8" s="0" t="n">
        <v>118803</v>
      </c>
      <c r="D8" s="0" t="n">
        <v>267050</v>
      </c>
      <c r="E8" s="0" t="n">
        <v>69.2</v>
      </c>
      <c r="F8" s="0" t="n">
        <v>80277</v>
      </c>
      <c r="G8" s="0" t="n">
        <v>20.8</v>
      </c>
      <c r="H8" s="0" t="n">
        <v>114377</v>
      </c>
      <c r="I8" s="0" t="n">
        <v>70849</v>
      </c>
      <c r="J8" s="0" t="n">
        <v>18.4</v>
      </c>
      <c r="K8" s="0" t="n">
        <v>1.29</v>
      </c>
      <c r="L8" s="0" t="n">
        <v>81375</v>
      </c>
      <c r="M8" s="0" t="n">
        <v>2155</v>
      </c>
      <c r="N8" s="0" t="n">
        <v>79220</v>
      </c>
      <c r="O8" s="0" t="n">
        <v>402073</v>
      </c>
      <c r="P8" s="0" t="n">
        <v>590600</v>
      </c>
      <c r="Q8" s="0" t="n">
        <v>188527</v>
      </c>
      <c r="R8" s="0" t="n">
        <v>1123</v>
      </c>
      <c r="S8" s="0" t="n">
        <v>150269</v>
      </c>
      <c r="T8" s="0" t="n">
        <v>54737.424</v>
      </c>
      <c r="U8" s="0" t="n">
        <v>2268</v>
      </c>
      <c r="AA8" s="0" t="s">
        <v>66</v>
      </c>
      <c r="AB8" s="0" t="s">
        <v>14</v>
      </c>
      <c r="AC8" s="0" t="n">
        <v>31697</v>
      </c>
      <c r="AD8" s="0" t="n">
        <v>219630</v>
      </c>
    </row>
    <row r="9" customFormat="false" ht="15" hidden="false" customHeight="false" outlineLevel="0" collapsed="false">
      <c r="A9" s="0" t="s">
        <v>73</v>
      </c>
      <c r="B9" s="0" t="n">
        <v>503778</v>
      </c>
      <c r="C9" s="0" t="n">
        <v>145177</v>
      </c>
      <c r="D9" s="0" t="n">
        <v>358601</v>
      </c>
      <c r="E9" s="0" t="n">
        <v>71.2</v>
      </c>
      <c r="F9" s="0" t="n">
        <v>117874</v>
      </c>
      <c r="G9" s="0" t="n">
        <v>23.4</v>
      </c>
      <c r="H9" s="0" t="n">
        <v>165259</v>
      </c>
      <c r="I9" s="0" t="n">
        <v>98590</v>
      </c>
      <c r="J9" s="0" t="n">
        <v>19.6</v>
      </c>
      <c r="K9" s="0" t="n">
        <v>1.77</v>
      </c>
      <c r="L9" s="0" t="n">
        <v>168145</v>
      </c>
      <c r="M9" s="0" t="n">
        <v>2540</v>
      </c>
      <c r="N9" s="0" t="n">
        <v>165605</v>
      </c>
      <c r="O9" s="0" t="n">
        <v>496323</v>
      </c>
      <c r="P9" s="0" t="n">
        <v>763646</v>
      </c>
      <c r="Q9" s="0" t="n">
        <v>267323</v>
      </c>
      <c r="R9" s="0" t="n">
        <v>0</v>
      </c>
      <c r="S9" s="0" t="n">
        <v>244792</v>
      </c>
      <c r="T9" s="0" t="n">
        <v>55348.924</v>
      </c>
      <c r="U9" s="0" t="n">
        <v>2744</v>
      </c>
      <c r="AA9" s="0" t="s">
        <v>66</v>
      </c>
      <c r="AB9" s="0" t="s">
        <v>14</v>
      </c>
      <c r="AC9" s="0" t="n">
        <v>44140</v>
      </c>
      <c r="AD9" s="0" t="n">
        <v>286770</v>
      </c>
    </row>
    <row r="10" customFormat="false" ht="15" hidden="false" customHeight="false" outlineLevel="0" collapsed="false">
      <c r="A10" s="0" t="s">
        <v>74</v>
      </c>
      <c r="B10" s="0" t="n">
        <v>467177</v>
      </c>
      <c r="C10" s="0" t="n">
        <v>129627</v>
      </c>
      <c r="D10" s="0" t="n">
        <v>337550</v>
      </c>
      <c r="E10" s="0" t="n">
        <v>72.3</v>
      </c>
      <c r="F10" s="0" t="n">
        <v>112812</v>
      </c>
      <c r="G10" s="0" t="n">
        <v>24.1</v>
      </c>
      <c r="H10" s="0" t="n">
        <v>167605</v>
      </c>
      <c r="I10" s="0" t="n">
        <v>92794</v>
      </c>
      <c r="J10" s="0" t="n">
        <v>19.9</v>
      </c>
      <c r="K10" s="0" t="n">
        <v>1.66</v>
      </c>
      <c r="L10" s="0" t="n">
        <v>118460</v>
      </c>
      <c r="M10" s="0" t="n">
        <v>3333</v>
      </c>
      <c r="N10" s="0" t="n">
        <v>115127</v>
      </c>
      <c r="O10" s="0" t="n">
        <v>454311</v>
      </c>
      <c r="P10" s="0" t="n">
        <v>674624</v>
      </c>
      <c r="Q10" s="0" t="n">
        <v>220313</v>
      </c>
      <c r="R10" s="0" t="n">
        <v>0</v>
      </c>
      <c r="S10" s="0" t="n">
        <v>198834</v>
      </c>
      <c r="T10" s="0" t="n">
        <v>55553.424</v>
      </c>
      <c r="U10" s="0" t="n">
        <v>2026</v>
      </c>
      <c r="AA10" s="0" t="s">
        <v>66</v>
      </c>
      <c r="AB10" s="0" t="s">
        <v>14</v>
      </c>
      <c r="AC10" s="0" t="n">
        <v>42421</v>
      </c>
      <c r="AD10" s="0" t="n">
        <v>278981</v>
      </c>
    </row>
    <row r="11" customFormat="false" ht="15" hidden="false" customHeight="false" outlineLevel="0" collapsed="false">
      <c r="A11" s="0" t="s">
        <v>75</v>
      </c>
      <c r="B11" s="0" t="n">
        <v>427585</v>
      </c>
      <c r="C11" s="0" t="n">
        <v>130097</v>
      </c>
      <c r="D11" s="0" t="n">
        <v>297488</v>
      </c>
      <c r="E11" s="0" t="n">
        <v>69.6</v>
      </c>
      <c r="F11" s="0" t="n">
        <v>93493</v>
      </c>
      <c r="G11" s="0" t="n">
        <v>21.9</v>
      </c>
      <c r="H11" s="0" t="n">
        <v>140220</v>
      </c>
      <c r="I11" s="0" t="n">
        <v>94498</v>
      </c>
      <c r="J11" s="0" t="n">
        <v>22.1</v>
      </c>
      <c r="K11" s="0" t="n">
        <v>1.7</v>
      </c>
      <c r="L11" s="0" t="n">
        <v>103181</v>
      </c>
      <c r="M11" s="0" t="n">
        <v>919</v>
      </c>
      <c r="N11" s="0" t="n">
        <v>102262</v>
      </c>
      <c r="O11" s="0" t="n">
        <v>508165</v>
      </c>
      <c r="P11" s="0" t="n">
        <v>704998</v>
      </c>
      <c r="Q11" s="0" t="n">
        <v>196833</v>
      </c>
      <c r="R11" s="0" t="n">
        <v>0</v>
      </c>
      <c r="S11" s="0" t="n">
        <v>228054</v>
      </c>
      <c r="T11" s="0" t="n">
        <v>55250.239</v>
      </c>
      <c r="U11" s="0" t="n">
        <v>1708</v>
      </c>
      <c r="AA11" s="0" t="s">
        <v>66</v>
      </c>
      <c r="AB11" s="0" t="s">
        <v>14</v>
      </c>
      <c r="AC11" s="0" t="n">
        <v>36174</v>
      </c>
      <c r="AD11" s="0" t="n">
        <v>258277</v>
      </c>
    </row>
    <row r="12" customFormat="false" ht="15" hidden="false" customHeight="false" outlineLevel="0" collapsed="false">
      <c r="A12" s="0" t="s">
        <v>76</v>
      </c>
      <c r="B12" s="0" t="n">
        <v>454022</v>
      </c>
      <c r="C12" s="0" t="n">
        <v>149999</v>
      </c>
      <c r="D12" s="0" t="n">
        <v>304023</v>
      </c>
      <c r="E12" s="0" t="n">
        <v>67</v>
      </c>
      <c r="F12" s="0" t="n">
        <v>82503</v>
      </c>
      <c r="G12" s="0" t="n">
        <v>18.2</v>
      </c>
      <c r="H12" s="0" t="n">
        <v>131323</v>
      </c>
      <c r="I12" s="0" t="n">
        <v>72248</v>
      </c>
      <c r="J12" s="0" t="n">
        <v>15.9</v>
      </c>
      <c r="K12" s="0" t="n">
        <v>1.31</v>
      </c>
      <c r="L12" s="0" t="n">
        <v>115298</v>
      </c>
      <c r="M12" s="0" t="n">
        <v>1060</v>
      </c>
      <c r="N12" s="0" t="n">
        <v>114238</v>
      </c>
      <c r="O12" s="0" t="n">
        <v>555331</v>
      </c>
      <c r="P12" s="0" t="n">
        <v>783670</v>
      </c>
      <c r="Q12" s="0" t="n">
        <v>228339</v>
      </c>
      <c r="R12" s="0" t="n">
        <v>0</v>
      </c>
      <c r="S12" s="0" t="n">
        <v>240359</v>
      </c>
      <c r="T12" s="0" t="n">
        <v>55256.617</v>
      </c>
      <c r="U12" s="0" t="n">
        <v>1639</v>
      </c>
      <c r="AA12" s="0" t="s">
        <v>66</v>
      </c>
      <c r="AB12" s="0" t="s">
        <v>14</v>
      </c>
      <c r="AC12" s="0" t="n">
        <v>39605</v>
      </c>
      <c r="AD12" s="0" t="n">
        <v>297635</v>
      </c>
    </row>
    <row r="13" customFormat="false" ht="15" hidden="false" customHeight="false" outlineLevel="0" collapsed="false">
      <c r="A13" s="0" t="s">
        <v>77</v>
      </c>
      <c r="B13" s="0" t="n">
        <v>502505</v>
      </c>
      <c r="C13" s="0" t="n">
        <v>175586</v>
      </c>
      <c r="D13" s="0" t="n">
        <v>326919</v>
      </c>
      <c r="E13" s="0" t="n">
        <v>65.1</v>
      </c>
      <c r="F13" s="0" t="n">
        <v>93341</v>
      </c>
      <c r="G13" s="0" t="n">
        <v>18.6</v>
      </c>
      <c r="H13" s="0" t="n">
        <v>142174</v>
      </c>
      <c r="I13" s="0" t="n">
        <v>81328</v>
      </c>
      <c r="J13" s="0" t="n">
        <v>16.2</v>
      </c>
      <c r="K13" s="0" t="n">
        <v>1.47</v>
      </c>
      <c r="L13" s="0" t="n">
        <v>132071</v>
      </c>
      <c r="M13" s="0" t="n">
        <v>1977</v>
      </c>
      <c r="N13" s="0" t="n">
        <v>130094</v>
      </c>
      <c r="O13" s="0" t="n">
        <v>595807</v>
      </c>
      <c r="P13" s="0" t="n">
        <v>833493</v>
      </c>
      <c r="Q13" s="0" t="n">
        <v>237686</v>
      </c>
      <c r="R13" s="0" t="n">
        <v>0</v>
      </c>
      <c r="S13" s="0" t="n">
        <v>274727</v>
      </c>
      <c r="T13" s="0" t="n">
        <v>55374.201</v>
      </c>
      <c r="U13" s="0" t="n">
        <v>1188</v>
      </c>
      <c r="AA13" s="0" t="s">
        <v>66</v>
      </c>
      <c r="AB13" s="0" t="s">
        <v>14</v>
      </c>
      <c r="AC13" s="0" t="n">
        <v>40505</v>
      </c>
      <c r="AD13" s="0" t="n">
        <v>346579</v>
      </c>
    </row>
    <row r="14" customFormat="false" ht="15" hidden="false" customHeight="false" outlineLevel="0" collapsed="false">
      <c r="A14" s="0" t="s">
        <v>78</v>
      </c>
      <c r="B14" s="0" t="n">
        <v>498878</v>
      </c>
      <c r="C14" s="0" t="n">
        <v>181585</v>
      </c>
      <c r="D14" s="0" t="n">
        <v>317293</v>
      </c>
      <c r="E14" s="0" t="n">
        <v>63.6</v>
      </c>
      <c r="F14" s="0" t="n">
        <v>84862</v>
      </c>
      <c r="G14" s="0" t="n">
        <v>17</v>
      </c>
      <c r="H14" s="0" t="n">
        <v>122516</v>
      </c>
      <c r="I14" s="0" t="n">
        <v>73666</v>
      </c>
      <c r="J14" s="0" t="n">
        <v>14.8</v>
      </c>
      <c r="K14" s="0" t="n">
        <v>1.34</v>
      </c>
      <c r="L14" s="0" t="n">
        <v>104634</v>
      </c>
      <c r="M14" s="0" t="n">
        <v>1479</v>
      </c>
      <c r="N14" s="0" t="n">
        <v>103155</v>
      </c>
      <c r="O14" s="0" t="n">
        <v>609469</v>
      </c>
      <c r="P14" s="0" t="n">
        <v>856818</v>
      </c>
      <c r="Q14" s="0" t="n">
        <v>247349</v>
      </c>
      <c r="R14" s="0" t="n">
        <v>0</v>
      </c>
      <c r="S14" s="0" t="n">
        <v>269086</v>
      </c>
      <c r="T14" s="0" t="n">
        <v>54754.683</v>
      </c>
      <c r="U14" s="0" t="n">
        <v>1324</v>
      </c>
      <c r="AA14" s="0" t="s">
        <v>66</v>
      </c>
      <c r="AB14" s="0" t="s">
        <v>14</v>
      </c>
      <c r="AC14" s="0" t="n">
        <v>29492</v>
      </c>
      <c r="AD14" s="0" t="n">
        <v>347995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79</v>
      </c>
      <c r="B1" s="2" t="s">
        <v>80</v>
      </c>
    </row>
    <row r="2" customFormat="false" ht="15" hidden="false" customHeight="false" outlineLevel="0" collapsed="false">
      <c r="A2" s="0" t="s">
        <v>81</v>
      </c>
      <c r="B2" s="3" t="n">
        <v>17</v>
      </c>
    </row>
    <row r="3" customFormat="false" ht="15" hidden="false" customHeight="false" outlineLevel="0" collapsed="false">
      <c r="A3" s="0" t="s">
        <v>82</v>
      </c>
      <c r="B3" s="3" t="n">
        <v>54.76</v>
      </c>
    </row>
    <row r="4" customFormat="false" ht="15" hidden="false" customHeight="false" outlineLevel="0" collapsed="false">
      <c r="A4" s="0" t="s">
        <v>83</v>
      </c>
      <c r="B4" s="3" t="n">
        <v>-269.086</v>
      </c>
    </row>
    <row r="5" customFormat="false" ht="15" hidden="false" customHeight="false" outlineLevel="0" collapsed="false">
      <c r="A5" s="0" t="s">
        <v>84</v>
      </c>
      <c r="B5" s="3" t="n">
        <v>-66</v>
      </c>
    </row>
    <row r="6" customFormat="false" ht="15" hidden="false" customHeight="false" outlineLevel="0" collapsed="false">
      <c r="A6" s="0" t="s">
        <v>85</v>
      </c>
      <c r="B6" s="3" t="n">
        <v>15</v>
      </c>
    </row>
    <row r="7" customFormat="false" ht="15" hidden="false" customHeight="false" outlineLevel="0" collapsed="false">
      <c r="A7" s="0" t="s">
        <v>86</v>
      </c>
      <c r="B7" s="3" t="n">
        <v>498.878</v>
      </c>
    </row>
    <row r="8" customFormat="false" ht="15" hidden="false" customHeight="false" outlineLevel="0" collapsed="false">
      <c r="A8" s="0" t="s">
        <v>87</v>
      </c>
      <c r="B8" s="3" t="s">
        <v>78</v>
      </c>
    </row>
    <row r="9" customFormat="false" ht="15" hidden="false" customHeight="false" outlineLevel="0" collapsed="false">
      <c r="A9" s="0" t="s">
        <v>88</v>
      </c>
      <c r="B9" s="3" t="s">
        <v>89</v>
      </c>
    </row>
    <row r="10" customFormat="false" ht="15" hidden="false" customHeight="false" outlineLevel="0" collapsed="false">
      <c r="A10" s="0" t="s">
        <v>90</v>
      </c>
      <c r="B10" s="3" t="n">
        <v>1</v>
      </c>
    </row>
    <row r="12" customFormat="false" ht="15" hidden="false" customHeight="false" outlineLevel="0" collapsed="false">
      <c r="A12" s="2" t="s">
        <v>91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97</v>
      </c>
      <c r="I12" s="2" t="s">
        <v>98</v>
      </c>
      <c r="J12" s="2" t="s">
        <v>99</v>
      </c>
      <c r="K12" s="2" t="s">
        <v>100</v>
      </c>
      <c r="L12" s="2" t="s">
        <v>101</v>
      </c>
    </row>
    <row r="13" customFormat="false" ht="15" hidden="false" customHeight="false" outlineLevel="0" collapsed="false">
      <c r="A13" s="0" t="s">
        <v>102</v>
      </c>
      <c r="C13" s="3" t="n">
        <v>-7</v>
      </c>
      <c r="D13" s="3" t="n">
        <v>-5</v>
      </c>
      <c r="E13" s="3" t="n">
        <v>-4</v>
      </c>
      <c r="F13" s="3" t="n">
        <v>-3</v>
      </c>
      <c r="G13" s="3" t="n">
        <v>-3</v>
      </c>
      <c r="H13" s="3" t="n">
        <v>-2</v>
      </c>
      <c r="I13" s="3" t="n">
        <v>-2</v>
      </c>
      <c r="J13" s="3" t="n">
        <v>-2</v>
      </c>
      <c r="K13" s="3" t="n">
        <v>-1</v>
      </c>
      <c r="L13" s="3" t="n">
        <v>-1</v>
      </c>
    </row>
    <row r="14" customFormat="false" ht="15" hidden="false" customHeight="false" outlineLevel="0" collapsed="false">
      <c r="A14" s="0" t="s">
        <v>103</v>
      </c>
      <c r="C14" s="3" t="n">
        <v>22.5</v>
      </c>
      <c r="D14" s="3" t="n">
        <v>22</v>
      </c>
      <c r="E14" s="3" t="n">
        <v>22</v>
      </c>
      <c r="F14" s="3" t="n">
        <v>22</v>
      </c>
      <c r="G14" s="3" t="n">
        <v>22</v>
      </c>
      <c r="H14" s="3" t="n">
        <v>22</v>
      </c>
      <c r="I14" s="3" t="n">
        <v>22</v>
      </c>
      <c r="J14" s="3" t="n">
        <v>22</v>
      </c>
      <c r="K14" s="3" t="n">
        <v>22</v>
      </c>
      <c r="L14" s="3" t="n">
        <v>22</v>
      </c>
    </row>
    <row r="15" customFormat="false" ht="15" hidden="false" customHeight="false" outlineLevel="0" collapsed="false">
      <c r="A15" s="0" t="s">
        <v>104</v>
      </c>
      <c r="C15" s="3" t="n">
        <v>0.3</v>
      </c>
      <c r="D15" s="3" t="n">
        <v>0.3</v>
      </c>
      <c r="E15" s="3" t="n">
        <v>0.3</v>
      </c>
      <c r="F15" s="3" t="n">
        <v>0.3</v>
      </c>
      <c r="G15" s="3" t="n">
        <v>0.3</v>
      </c>
      <c r="H15" s="3" t="n">
        <v>0.3</v>
      </c>
      <c r="I15" s="3" t="n">
        <v>0.3</v>
      </c>
      <c r="J15" s="3" t="n">
        <v>0.3</v>
      </c>
      <c r="K15" s="3" t="n">
        <v>0.3</v>
      </c>
      <c r="L15" s="3" t="n">
        <v>0.3</v>
      </c>
    </row>
    <row r="16" customFormat="false" ht="15" hidden="false" customHeight="false" outlineLevel="0" collapsed="false">
      <c r="A16" s="0" t="s">
        <v>105</v>
      </c>
      <c r="C16" s="3" t="n">
        <v>1.2</v>
      </c>
      <c r="D16" s="3" t="n">
        <v>1.3</v>
      </c>
      <c r="E16" s="3" t="n">
        <v>1.3</v>
      </c>
      <c r="F16" s="3" t="n">
        <v>1.3</v>
      </c>
      <c r="G16" s="3" t="n">
        <v>1.3</v>
      </c>
      <c r="H16" s="3" t="n">
        <v>1.3</v>
      </c>
      <c r="I16" s="3" t="n">
        <v>1.3</v>
      </c>
      <c r="J16" s="3" t="n">
        <v>1.3</v>
      </c>
      <c r="K16" s="3" t="n">
        <v>1.3</v>
      </c>
      <c r="L16" s="3" t="n">
        <v>1.3</v>
      </c>
    </row>
    <row r="17" customFormat="false" ht="15" hidden="false" customHeight="false" outlineLevel="0" collapsed="false">
      <c r="A17" s="0" t="s">
        <v>106</v>
      </c>
      <c r="C17" s="3" t="n">
        <v>6.3</v>
      </c>
      <c r="D17" s="3" t="n">
        <v>5.7</v>
      </c>
      <c r="E17" s="3" t="n">
        <v>5.1</v>
      </c>
      <c r="F17" s="3" t="n">
        <v>4.6</v>
      </c>
      <c r="G17" s="3" t="n">
        <v>4.3</v>
      </c>
      <c r="H17" s="3" t="n">
        <v>4.1</v>
      </c>
      <c r="I17" s="3" t="n">
        <v>4</v>
      </c>
      <c r="J17" s="3" t="n">
        <v>4</v>
      </c>
      <c r="K17" s="3" t="n">
        <v>4</v>
      </c>
      <c r="L17" s="3" t="n">
        <v>4</v>
      </c>
    </row>
    <row r="18" customFormat="false" ht="15" hidden="false" customHeight="false" outlineLevel="0" collapsed="false">
      <c r="A18" s="0" t="s">
        <v>107</v>
      </c>
      <c r="C18" s="3" t="n">
        <v>6.3</v>
      </c>
      <c r="D18" s="3" t="n">
        <v>6</v>
      </c>
      <c r="E18" s="3" t="n">
        <v>6</v>
      </c>
      <c r="F18" s="3" t="n">
        <v>5.5</v>
      </c>
      <c r="G18" s="3" t="n">
        <v>5.5</v>
      </c>
      <c r="H18" s="3" t="n">
        <v>5</v>
      </c>
      <c r="I18" s="3" t="n">
        <v>5</v>
      </c>
      <c r="J18" s="3" t="n">
        <v>5</v>
      </c>
      <c r="K18" s="3" t="n">
        <v>5</v>
      </c>
      <c r="L18" s="3" t="n">
        <v>5</v>
      </c>
    </row>
    <row r="19" customFormat="false" ht="15" hidden="false" customHeight="false" outlineLevel="0" collapsed="false">
      <c r="A19" s="0" t="s">
        <v>108</v>
      </c>
      <c r="C19" s="3" t="n">
        <v>21</v>
      </c>
      <c r="D19" s="3" t="n">
        <v>21</v>
      </c>
      <c r="E19" s="3" t="n">
        <v>21</v>
      </c>
      <c r="F19" s="3" t="n">
        <v>21</v>
      </c>
      <c r="G19" s="3" t="n">
        <v>21</v>
      </c>
      <c r="H19" s="3" t="n">
        <v>21</v>
      </c>
      <c r="I19" s="3" t="n">
        <v>21</v>
      </c>
      <c r="J19" s="3" t="n">
        <v>21</v>
      </c>
      <c r="K19" s="3" t="n">
        <v>21</v>
      </c>
      <c r="L19" s="3" t="n">
        <v>21</v>
      </c>
    </row>
    <row r="20" customFormat="false" ht="15" hidden="false" customHeight="false" outlineLevel="0" collapsed="false">
      <c r="A20" s="0" t="s">
        <v>109</v>
      </c>
      <c r="B20" s="3" t="n">
        <v>8.5</v>
      </c>
    </row>
    <row r="21" customFormat="false" ht="15" hidden="false" customHeight="false" outlineLevel="0" collapsed="false">
      <c r="A21" s="0" t="s">
        <v>110</v>
      </c>
      <c r="B21" s="3" t="n">
        <v>0</v>
      </c>
    </row>
    <row r="22" customFormat="false" ht="15" hidden="false" customHeight="false" outlineLevel="0" collapsed="false">
      <c r="A22" s="0" t="s">
        <v>111</v>
      </c>
      <c r="B22" s="3" t="n">
        <v>12</v>
      </c>
    </row>
    <row r="23" customFormat="false" ht="15" hidden="false" customHeight="false" outlineLevel="0" collapsed="false">
      <c r="A23" s="0" t="s">
        <v>112</v>
      </c>
      <c r="B23" s="3" t="n">
        <v>20</v>
      </c>
    </row>
    <row r="24" customFormat="false" ht="15" hidden="false" customHeight="false" outlineLevel="0" collapsed="false">
      <c r="A24" s="0" t="s">
        <v>113</v>
      </c>
      <c r="B24" s="3" t="n">
        <v>0.3</v>
      </c>
    </row>
    <row r="26" customFormat="false" ht="15" hidden="false" customHeight="false" outlineLevel="0" collapsed="false">
      <c r="A26" s="2" t="s">
        <v>114</v>
      </c>
      <c r="C26" s="2" t="s">
        <v>92</v>
      </c>
      <c r="D26" s="2" t="s">
        <v>93</v>
      </c>
      <c r="E26" s="2" t="s">
        <v>94</v>
      </c>
      <c r="F26" s="2" t="s">
        <v>95</v>
      </c>
      <c r="G26" s="2" t="s">
        <v>96</v>
      </c>
      <c r="H26" s="2" t="s">
        <v>97</v>
      </c>
      <c r="I26" s="2" t="s">
        <v>98</v>
      </c>
      <c r="J26" s="2" t="s">
        <v>99</v>
      </c>
      <c r="K26" s="2" t="s">
        <v>100</v>
      </c>
      <c r="L26" s="2" t="s">
        <v>101</v>
      </c>
    </row>
    <row r="27" customFormat="false" ht="15" hidden="false" customHeight="false" outlineLevel="0" collapsed="false">
      <c r="A27" s="0" t="s">
        <v>102</v>
      </c>
      <c r="C27" s="3" t="n">
        <v>-6</v>
      </c>
      <c r="D27" s="3" t="n">
        <v>-3</v>
      </c>
      <c r="E27" s="3" t="n">
        <v>-1</v>
      </c>
      <c r="F27" s="3" t="n">
        <v>0</v>
      </c>
      <c r="G27" s="3" t="n">
        <v>1</v>
      </c>
      <c r="H27" s="3" t="n">
        <v>1.5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103</v>
      </c>
      <c r="C28" s="3" t="n">
        <v>23.5</v>
      </c>
      <c r="D28" s="3" t="n">
        <v>24</v>
      </c>
      <c r="E28" s="3" t="n">
        <v>24.5</v>
      </c>
      <c r="F28" s="3" t="n">
        <v>25</v>
      </c>
      <c r="G28" s="3" t="n">
        <v>25</v>
      </c>
      <c r="H28" s="3" t="n">
        <v>25</v>
      </c>
      <c r="I28" s="3" t="n">
        <v>25</v>
      </c>
      <c r="J28" s="3" t="n">
        <v>25</v>
      </c>
      <c r="K28" s="3" t="n">
        <v>25</v>
      </c>
      <c r="L28" s="3" t="n">
        <v>25</v>
      </c>
    </row>
    <row r="29" customFormat="false" ht="15" hidden="false" customHeight="false" outlineLevel="0" collapsed="false">
      <c r="A29" s="0" t="s">
        <v>104</v>
      </c>
      <c r="C29" s="3" t="n">
        <v>0.3</v>
      </c>
      <c r="D29" s="3" t="n">
        <v>0.3</v>
      </c>
      <c r="E29" s="3" t="n">
        <v>0.3</v>
      </c>
      <c r="F29" s="3" t="n">
        <v>0.3</v>
      </c>
      <c r="G29" s="3" t="n">
        <v>0.3</v>
      </c>
      <c r="H29" s="3" t="n">
        <v>0.3</v>
      </c>
      <c r="I29" s="3" t="n">
        <v>0.3</v>
      </c>
      <c r="J29" s="3" t="n">
        <v>0.3</v>
      </c>
      <c r="K29" s="3" t="n">
        <v>0.3</v>
      </c>
      <c r="L29" s="3" t="n">
        <v>0.3</v>
      </c>
    </row>
    <row r="30" customFormat="false" ht="15" hidden="false" customHeight="false" outlineLevel="0" collapsed="false">
      <c r="A30" s="0" t="s">
        <v>105</v>
      </c>
      <c r="C30" s="3" t="n">
        <v>1.2</v>
      </c>
      <c r="D30" s="3" t="n">
        <v>1.2</v>
      </c>
      <c r="E30" s="3" t="n">
        <v>1.2</v>
      </c>
      <c r="F30" s="3" t="n">
        <v>1.1</v>
      </c>
      <c r="G30" s="3" t="n">
        <v>1.1</v>
      </c>
      <c r="H30" s="3" t="n">
        <v>1.1</v>
      </c>
      <c r="I30" s="3" t="n">
        <v>1.1</v>
      </c>
      <c r="J30" s="3" t="n">
        <v>1.1</v>
      </c>
      <c r="K30" s="3" t="n">
        <v>1.1</v>
      </c>
      <c r="L30" s="3" t="n">
        <v>1.1</v>
      </c>
    </row>
    <row r="31" customFormat="false" ht="15" hidden="false" customHeight="false" outlineLevel="0" collapsed="false">
      <c r="A31" s="0" t="s">
        <v>106</v>
      </c>
      <c r="C31" s="3" t="n">
        <v>6.3</v>
      </c>
      <c r="D31" s="3" t="n">
        <v>5.8</v>
      </c>
      <c r="E31" s="3" t="n">
        <v>5.3</v>
      </c>
      <c r="F31" s="3" t="n">
        <v>4.8</v>
      </c>
      <c r="G31" s="3" t="n">
        <v>4.5</v>
      </c>
      <c r="H31" s="3" t="n">
        <v>4.3</v>
      </c>
      <c r="I31" s="3" t="n">
        <v>4.2</v>
      </c>
      <c r="J31" s="3" t="n">
        <v>4.1</v>
      </c>
      <c r="K31" s="3" t="n">
        <v>4</v>
      </c>
      <c r="L31" s="3" t="n">
        <v>4</v>
      </c>
    </row>
    <row r="32" customFormat="false" ht="15" hidden="false" customHeight="false" outlineLevel="0" collapsed="false">
      <c r="A32" s="0" t="s">
        <v>107</v>
      </c>
      <c r="C32" s="3" t="n">
        <v>6.3</v>
      </c>
      <c r="D32" s="3" t="n">
        <v>6.3</v>
      </c>
      <c r="E32" s="3" t="n">
        <v>6.3</v>
      </c>
      <c r="F32" s="3" t="n">
        <v>6.3</v>
      </c>
      <c r="G32" s="3" t="n">
        <v>6.3</v>
      </c>
      <c r="H32" s="3" t="n">
        <v>6.3</v>
      </c>
      <c r="I32" s="3" t="n">
        <v>6.3</v>
      </c>
      <c r="J32" s="3" t="n">
        <v>6.3</v>
      </c>
      <c r="K32" s="3" t="n">
        <v>6.3</v>
      </c>
      <c r="L32" s="3" t="n">
        <v>6.3</v>
      </c>
    </row>
    <row r="33" customFormat="false" ht="15" hidden="false" customHeight="false" outlineLevel="0" collapsed="false">
      <c r="A33" s="0" t="s">
        <v>108</v>
      </c>
      <c r="C33" s="3" t="n">
        <v>20</v>
      </c>
      <c r="D33" s="3" t="n">
        <v>20</v>
      </c>
      <c r="E33" s="3" t="n">
        <v>20</v>
      </c>
      <c r="F33" s="3" t="n">
        <v>20</v>
      </c>
      <c r="G33" s="3" t="n">
        <v>20</v>
      </c>
      <c r="H33" s="3" t="n">
        <v>20</v>
      </c>
      <c r="I33" s="3" t="n">
        <v>20</v>
      </c>
      <c r="J33" s="3" t="n">
        <v>20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109</v>
      </c>
      <c r="B34" s="3" t="n">
        <v>8.5</v>
      </c>
    </row>
    <row r="35" customFormat="false" ht="15" hidden="false" customHeight="false" outlineLevel="0" collapsed="false">
      <c r="A35" s="0" t="s">
        <v>110</v>
      </c>
      <c r="B35" s="3" t="n">
        <v>2</v>
      </c>
    </row>
    <row r="36" customFormat="false" ht="15" hidden="false" customHeight="false" outlineLevel="0" collapsed="false">
      <c r="A36" s="0" t="s">
        <v>111</v>
      </c>
      <c r="B36" s="3" t="n">
        <v>14</v>
      </c>
    </row>
    <row r="37" customFormat="false" ht="15" hidden="false" customHeight="false" outlineLevel="0" collapsed="false">
      <c r="A37" s="0" t="s">
        <v>112</v>
      </c>
      <c r="B37" s="3" t="n">
        <v>20</v>
      </c>
    </row>
    <row r="38" customFormat="false" ht="15" hidden="false" customHeight="false" outlineLevel="0" collapsed="false">
      <c r="A38" s="0" t="s">
        <v>113</v>
      </c>
      <c r="B38" s="3" t="n">
        <v>0.5</v>
      </c>
    </row>
    <row r="40" customFormat="false" ht="15" hidden="false" customHeight="false" outlineLevel="0" collapsed="false">
      <c r="A40" s="2" t="s">
        <v>115</v>
      </c>
      <c r="C40" s="2" t="s">
        <v>92</v>
      </c>
      <c r="D40" s="2" t="s">
        <v>93</v>
      </c>
      <c r="E40" s="2" t="s">
        <v>94</v>
      </c>
      <c r="F40" s="2" t="s">
        <v>95</v>
      </c>
      <c r="G40" s="2" t="s">
        <v>96</v>
      </c>
      <c r="H40" s="2" t="s">
        <v>97</v>
      </c>
      <c r="I40" s="2" t="s">
        <v>98</v>
      </c>
      <c r="J40" s="2" t="s">
        <v>99</v>
      </c>
      <c r="K40" s="2" t="s">
        <v>100</v>
      </c>
      <c r="L40" s="2" t="s">
        <v>101</v>
      </c>
    </row>
    <row r="41" customFormat="false" ht="15" hidden="false" customHeight="false" outlineLevel="0" collapsed="false">
      <c r="A41" s="0" t="s">
        <v>102</v>
      </c>
      <c r="C41" s="3" t="n">
        <v>-5.5</v>
      </c>
      <c r="D41" s="3" t="n">
        <v>0</v>
      </c>
      <c r="E41" s="3" t="n">
        <v>2</v>
      </c>
      <c r="F41" s="3" t="n">
        <v>3</v>
      </c>
      <c r="G41" s="3" t="n">
        <v>3.5</v>
      </c>
      <c r="H41" s="3" t="n">
        <v>3.5</v>
      </c>
      <c r="I41" s="3" t="n">
        <v>3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103</v>
      </c>
      <c r="C42" s="3" t="n">
        <v>24</v>
      </c>
      <c r="D42" s="3" t="n">
        <v>25</v>
      </c>
      <c r="E42" s="3" t="n">
        <v>26</v>
      </c>
      <c r="F42" s="3" t="n">
        <v>26.5</v>
      </c>
      <c r="G42" s="3" t="n">
        <v>27</v>
      </c>
      <c r="H42" s="3" t="n">
        <v>27</v>
      </c>
      <c r="I42" s="3" t="n">
        <v>27</v>
      </c>
      <c r="J42" s="3" t="n">
        <v>27</v>
      </c>
      <c r="K42" s="3" t="n">
        <v>27</v>
      </c>
      <c r="L42" s="3" t="n">
        <v>27</v>
      </c>
    </row>
    <row r="43" customFormat="false" ht="15" hidden="false" customHeight="false" outlineLevel="0" collapsed="false">
      <c r="A43" s="0" t="s">
        <v>104</v>
      </c>
      <c r="C43" s="3" t="n">
        <v>0.3</v>
      </c>
      <c r="D43" s="3" t="n">
        <v>0.3</v>
      </c>
      <c r="E43" s="3" t="n">
        <v>0.3</v>
      </c>
      <c r="F43" s="3" t="n">
        <v>0.3</v>
      </c>
      <c r="G43" s="3" t="n">
        <v>0.3</v>
      </c>
      <c r="H43" s="3" t="n">
        <v>0.3</v>
      </c>
      <c r="I43" s="3" t="n">
        <v>0.3</v>
      </c>
      <c r="J43" s="3" t="n">
        <v>0.3</v>
      </c>
      <c r="K43" s="3" t="n">
        <v>0.3</v>
      </c>
      <c r="L43" s="3" t="n">
        <v>0.3</v>
      </c>
    </row>
    <row r="44" customFormat="false" ht="15" hidden="false" customHeight="false" outlineLevel="0" collapsed="false">
      <c r="A44" s="0" t="s">
        <v>105</v>
      </c>
      <c r="C44" s="3" t="n">
        <v>1.2</v>
      </c>
      <c r="D44" s="3" t="n">
        <v>1.2</v>
      </c>
      <c r="E44" s="3" t="n">
        <v>1.1</v>
      </c>
      <c r="F44" s="3" t="n">
        <v>1.1</v>
      </c>
      <c r="G44" s="3" t="n">
        <v>1.1</v>
      </c>
      <c r="H44" s="3" t="n">
        <v>1.1</v>
      </c>
      <c r="I44" s="3" t="n">
        <v>1.1</v>
      </c>
      <c r="J44" s="3" t="n">
        <v>1.1</v>
      </c>
      <c r="K44" s="3" t="n">
        <v>1.1</v>
      </c>
      <c r="L44" s="3" t="n">
        <v>1.1</v>
      </c>
    </row>
    <row r="45" customFormat="false" ht="15" hidden="false" customHeight="false" outlineLevel="0" collapsed="false">
      <c r="A45" s="0" t="s">
        <v>106</v>
      </c>
      <c r="C45" s="3" t="n">
        <v>6.3</v>
      </c>
      <c r="D45" s="3" t="n">
        <v>5.8</v>
      </c>
      <c r="E45" s="3" t="n">
        <v>5.4</v>
      </c>
      <c r="F45" s="3" t="n">
        <v>5</v>
      </c>
      <c r="G45" s="3" t="n">
        <v>4.7</v>
      </c>
      <c r="H45" s="3" t="n">
        <v>4.5</v>
      </c>
      <c r="I45" s="3" t="n">
        <v>4.4</v>
      </c>
      <c r="J45" s="3" t="n">
        <v>4.3</v>
      </c>
      <c r="K45" s="3" t="n">
        <v>4.2</v>
      </c>
      <c r="L45" s="3" t="n">
        <v>4.2</v>
      </c>
    </row>
    <row r="46" customFormat="false" ht="15" hidden="false" customHeight="false" outlineLevel="0" collapsed="false">
      <c r="A46" s="0" t="s">
        <v>107</v>
      </c>
      <c r="C46" s="3" t="n">
        <v>7.5</v>
      </c>
      <c r="D46" s="3" t="n">
        <v>7.5</v>
      </c>
      <c r="E46" s="3" t="n">
        <v>7.5</v>
      </c>
      <c r="F46" s="3" t="n">
        <v>7.5</v>
      </c>
      <c r="G46" s="3" t="n">
        <v>7.5</v>
      </c>
      <c r="H46" s="3" t="n">
        <v>7.5</v>
      </c>
      <c r="I46" s="3" t="n">
        <v>7.5</v>
      </c>
      <c r="J46" s="3" t="n">
        <v>7.5</v>
      </c>
      <c r="K46" s="3" t="n">
        <v>7.5</v>
      </c>
      <c r="L46" s="3" t="n">
        <v>7.5</v>
      </c>
    </row>
    <row r="47" customFormat="false" ht="15" hidden="false" customHeight="false" outlineLevel="0" collapsed="false">
      <c r="A47" s="0" t="s">
        <v>108</v>
      </c>
      <c r="C47" s="3" t="n">
        <v>20</v>
      </c>
      <c r="D47" s="3" t="n">
        <v>20</v>
      </c>
      <c r="E47" s="3" t="n">
        <v>20</v>
      </c>
      <c r="F47" s="3" t="n">
        <v>20</v>
      </c>
      <c r="G47" s="3" t="n">
        <v>20</v>
      </c>
      <c r="H47" s="3" t="n">
        <v>20</v>
      </c>
      <c r="I47" s="3" t="n">
        <v>20</v>
      </c>
      <c r="J47" s="3" t="n">
        <v>20</v>
      </c>
      <c r="K47" s="3" t="n">
        <v>20</v>
      </c>
      <c r="L47" s="3" t="n">
        <v>20</v>
      </c>
    </row>
    <row r="48" customFormat="false" ht="15" hidden="false" customHeight="false" outlineLevel="0" collapsed="false">
      <c r="A48" s="0" t="s">
        <v>109</v>
      </c>
      <c r="B48" s="3" t="n">
        <v>8.5</v>
      </c>
    </row>
    <row r="49" customFormat="false" ht="15" hidden="false" customHeight="false" outlineLevel="0" collapsed="false">
      <c r="A49" s="0" t="s">
        <v>110</v>
      </c>
      <c r="B49" s="3" t="n">
        <v>2.5</v>
      </c>
    </row>
    <row r="50" customFormat="false" ht="15" hidden="false" customHeight="false" outlineLevel="0" collapsed="false">
      <c r="A50" s="0" t="s">
        <v>111</v>
      </c>
      <c r="B50" s="3" t="n">
        <v>15</v>
      </c>
    </row>
    <row r="51" customFormat="false" ht="15" hidden="false" customHeight="false" outlineLevel="0" collapsed="false">
      <c r="A51" s="0" t="s">
        <v>112</v>
      </c>
      <c r="B51" s="3" t="n">
        <v>20</v>
      </c>
    </row>
    <row r="52" customFormat="false" ht="15" hidden="false" customHeight="false" outlineLevel="0" collapsed="false">
      <c r="A52" s="0" t="s">
        <v>113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116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Assumptions!C13</f>
        <v>-7</v>
      </c>
      <c r="D5" s="4" t="n">
        <f aca="false">Assumptions!D13</f>
        <v>-5</v>
      </c>
      <c r="E5" s="4" t="n">
        <f aca="false">Assumptions!E13</f>
        <v>-4</v>
      </c>
      <c r="F5" s="4" t="n">
        <f aca="false">Assumptions!F13</f>
        <v>-3</v>
      </c>
      <c r="G5" s="4" t="n">
        <f aca="false">Assumptions!G13</f>
        <v>-3</v>
      </c>
      <c r="H5" s="4" t="n">
        <f aca="false">Assumptions!H13</f>
        <v>-2</v>
      </c>
      <c r="I5" s="4" t="n">
        <f aca="false">Assumptions!I13</f>
        <v>-2</v>
      </c>
      <c r="J5" s="4" t="n">
        <f aca="false">Assumptions!J13</f>
        <v>-2</v>
      </c>
      <c r="K5" s="4" t="n">
        <f aca="false">Assumptions!K13</f>
        <v>-1</v>
      </c>
      <c r="L5" s="4" t="n">
        <f aca="false">Assumptions!L13</f>
        <v>-1</v>
      </c>
    </row>
    <row r="6" customFormat="false" ht="15" hidden="false" customHeight="false" outlineLevel="0" collapsed="false">
      <c r="A6" s="0" t="s">
        <v>37</v>
      </c>
      <c r="B6" s="3" t="n">
        <v>498.878</v>
      </c>
      <c r="C6" s="0" t="n">
        <f aca="false">B6*(1+C5/100)</f>
        <v>463.95654</v>
      </c>
      <c r="D6" s="0" t="n">
        <f aca="false">C6*(1+D5/100)</f>
        <v>440.758713</v>
      </c>
      <c r="E6" s="0" t="n">
        <f aca="false">D6*(1+E5/100)</f>
        <v>423.12836448</v>
      </c>
      <c r="F6" s="0" t="n">
        <f aca="false">E6*(1+F5/100)</f>
        <v>410.4345135456</v>
      </c>
      <c r="G6" s="0" t="n">
        <f aca="false">F6*(1+G5/100)</f>
        <v>398.121478139232</v>
      </c>
      <c r="H6" s="0" t="n">
        <f aca="false">G6*(1+H5/100)</f>
        <v>390.159048576447</v>
      </c>
      <c r="I6" s="0" t="n">
        <f aca="false">H6*(1+I5/100)</f>
        <v>382.355867604918</v>
      </c>
      <c r="J6" s="0" t="n">
        <f aca="false">I6*(1+J5/100)</f>
        <v>374.70875025282</v>
      </c>
      <c r="K6" s="0" t="n">
        <f aca="false">J6*(1+K5/100)</f>
        <v>370.961662750292</v>
      </c>
      <c r="L6" s="0" t="n">
        <f aca="false">K6*(1+L5/100)</f>
        <v>367.252046122789</v>
      </c>
    </row>
    <row r="7" customFormat="false" ht="15" hidden="false" customHeight="false" outlineLevel="0" collapsed="false">
      <c r="A7" s="0" t="s">
        <v>103</v>
      </c>
      <c r="C7" s="4" t="n">
        <f aca="false">Assumptions!C14</f>
        <v>22.5</v>
      </c>
      <c r="D7" s="4" t="n">
        <f aca="false">Assumptions!D14</f>
        <v>22</v>
      </c>
      <c r="E7" s="4" t="n">
        <f aca="false">Assumptions!E14</f>
        <v>22</v>
      </c>
      <c r="F7" s="4" t="n">
        <f aca="false">Assumptions!F14</f>
        <v>22</v>
      </c>
      <c r="G7" s="4" t="n">
        <f aca="false">Assumptions!G14</f>
        <v>22</v>
      </c>
      <c r="H7" s="4" t="n">
        <f aca="false">Assumptions!H14</f>
        <v>22</v>
      </c>
      <c r="I7" s="4" t="n">
        <f aca="false">Assumptions!I14</f>
        <v>22</v>
      </c>
      <c r="J7" s="4" t="n">
        <f aca="false">Assumptions!J14</f>
        <v>22</v>
      </c>
      <c r="K7" s="4" t="n">
        <f aca="false">Assumptions!K14</f>
        <v>22</v>
      </c>
      <c r="L7" s="4" t="n">
        <f aca="false">Assumptions!L14</f>
        <v>22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104.3902215</v>
      </c>
      <c r="D8" s="0" t="n">
        <f aca="false">D6*D7/100</f>
        <v>96.96691686</v>
      </c>
      <c r="E8" s="0" t="n">
        <f aca="false">E6*E7/100</f>
        <v>93.0882401856</v>
      </c>
      <c r="F8" s="0" t="n">
        <f aca="false">F6*F7/100</f>
        <v>90.295592980032</v>
      </c>
      <c r="G8" s="0" t="n">
        <f aca="false">G6*G7/100</f>
        <v>87.586725190631</v>
      </c>
      <c r="H8" s="0" t="n">
        <f aca="false">H6*H7/100</f>
        <v>85.8349906868184</v>
      </c>
      <c r="I8" s="0" t="n">
        <f aca="false">I6*I7/100</f>
        <v>84.1182908730821</v>
      </c>
      <c r="J8" s="0" t="n">
        <f aca="false">J6*J7/100</f>
        <v>82.4359250556204</v>
      </c>
      <c r="K8" s="0" t="n">
        <f aca="false">K6*K7/100</f>
        <v>81.6115658050642</v>
      </c>
      <c r="L8" s="0" t="n">
        <f aca="false">L6*L7/100</f>
        <v>80.7954501470136</v>
      </c>
    </row>
    <row r="9" customFormat="false" ht="15" hidden="false" customHeight="false" outlineLevel="0" collapsed="false">
      <c r="A9" s="0" t="s">
        <v>104</v>
      </c>
      <c r="C9" s="4" t="n">
        <f aca="false">Assumptions!C15</f>
        <v>0.3</v>
      </c>
      <c r="D9" s="4" t="n">
        <f aca="false">Assumptions!D15</f>
        <v>0.3</v>
      </c>
      <c r="E9" s="4" t="n">
        <f aca="false">Assumptions!E15</f>
        <v>0.3</v>
      </c>
      <c r="F9" s="4" t="n">
        <f aca="false">Assumptions!F15</f>
        <v>0.3</v>
      </c>
      <c r="G9" s="4" t="n">
        <f aca="false">Assumptions!G15</f>
        <v>0.3</v>
      </c>
      <c r="H9" s="4" t="n">
        <f aca="false">Assumptions!H15</f>
        <v>0.3</v>
      </c>
      <c r="I9" s="4" t="n">
        <f aca="false">Assumptions!I15</f>
        <v>0.3</v>
      </c>
      <c r="J9" s="4" t="n">
        <f aca="false">Assumptions!J15</f>
        <v>0.3</v>
      </c>
      <c r="K9" s="4" t="n">
        <f aca="false">Assumptions!K15</f>
        <v>0.3</v>
      </c>
      <c r="L9" s="4" t="n">
        <f aca="false">Assumptions!L15</f>
        <v>0.3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-1.39186962</v>
      </c>
      <c r="D10" s="0" t="n">
        <f aca="false">-D6*D9/100</f>
        <v>-1.322276139</v>
      </c>
      <c r="E10" s="0" t="n">
        <f aca="false">-E6*E9/100</f>
        <v>-1.26938509344</v>
      </c>
      <c r="F10" s="0" t="n">
        <f aca="false">-F6*F9/100</f>
        <v>-1.2313035406368</v>
      </c>
      <c r="G10" s="0" t="n">
        <f aca="false">-G6*G9/100</f>
        <v>-1.1943644344177</v>
      </c>
      <c r="H10" s="0" t="n">
        <f aca="false">-H6*H9/100</f>
        <v>-1.17047714572934</v>
      </c>
      <c r="I10" s="0" t="n">
        <f aca="false">-I6*I9/100</f>
        <v>-1.14706760281476</v>
      </c>
      <c r="J10" s="0" t="n">
        <f aca="false">-J6*J9/100</f>
        <v>-1.12412625075846</v>
      </c>
      <c r="K10" s="0" t="n">
        <f aca="false">-K6*K9/100</f>
        <v>-1.11288498825088</v>
      </c>
      <c r="L10" s="0" t="n">
        <f aca="false">-L6*L9/100</f>
        <v>-1.10175613836837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97.4308734</v>
      </c>
      <c r="D11" s="0" t="n">
        <f aca="false">D8+D10+D24</f>
        <v>89.914777452</v>
      </c>
      <c r="E11" s="0" t="n">
        <f aca="false">E8+E10+E24</f>
        <v>86.31818635392</v>
      </c>
      <c r="F11" s="0" t="n">
        <f aca="false">F8+F10+F24</f>
        <v>83.7286407633024</v>
      </c>
      <c r="G11" s="0" t="n">
        <f aca="false">G8+G10+G24</f>
        <v>81.2167815404033</v>
      </c>
      <c r="H11" s="0" t="n">
        <f aca="false">H8+H10+H24</f>
        <v>79.5924459095953</v>
      </c>
      <c r="I11" s="0" t="n">
        <f aca="false">I8+I10+I24</f>
        <v>78.0005969914034</v>
      </c>
      <c r="J11" s="0" t="n">
        <f aca="false">J8+J10+J24</f>
        <v>76.4405850515753</v>
      </c>
      <c r="K11" s="0" t="n">
        <f aca="false">K8+K10+K24</f>
        <v>75.6761792010595</v>
      </c>
      <c r="L11" s="0" t="n">
        <f aca="false">L8+L10+L24</f>
        <v>74.919417409049</v>
      </c>
    </row>
    <row r="12" customFormat="false" ht="15" hidden="false" customHeight="false" outlineLevel="0" collapsed="false">
      <c r="A12" s="0" t="s">
        <v>121</v>
      </c>
      <c r="C12" s="4" t="n">
        <f aca="false">-C6*Assumptions!C17/100</f>
        <v>-29.22926202</v>
      </c>
      <c r="D12" s="4" t="n">
        <f aca="false">-D6*Assumptions!D17/100</f>
        <v>-25.123246641</v>
      </c>
      <c r="E12" s="4" t="n">
        <f aca="false">-E6*Assumptions!E17/100</f>
        <v>-21.57954658848</v>
      </c>
      <c r="F12" s="4" t="n">
        <f aca="false">-F6*Assumptions!F17/100</f>
        <v>-18.8799876230976</v>
      </c>
      <c r="G12" s="4" t="n">
        <f aca="false">-G6*Assumptions!G17/100</f>
        <v>-17.119223559987</v>
      </c>
      <c r="H12" s="4" t="n">
        <f aca="false">-H6*Assumptions!H17/100</f>
        <v>-15.9965209916343</v>
      </c>
      <c r="I12" s="4" t="n">
        <f aca="false">-I6*Assumptions!I17/100</f>
        <v>-15.2942347041967</v>
      </c>
      <c r="J12" s="4" t="n">
        <f aca="false">-J6*Assumptions!J17/100</f>
        <v>-14.9883500101128</v>
      </c>
      <c r="K12" s="4" t="n">
        <f aca="false">-K6*Assumptions!K17/100</f>
        <v>-14.8384665100117</v>
      </c>
      <c r="L12" s="4" t="n">
        <f aca="false">-L6*Assumptions!L17/100</f>
        <v>-14.6900818449116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68.20161138</v>
      </c>
      <c r="D13" s="0" t="n">
        <f aca="false">D11+D12</f>
        <v>64.791530811</v>
      </c>
      <c r="E13" s="0" t="n">
        <f aca="false">E11+E12</f>
        <v>64.73863976544</v>
      </c>
      <c r="F13" s="0" t="n">
        <f aca="false">F11+F12</f>
        <v>64.8486531402048</v>
      </c>
      <c r="G13" s="0" t="n">
        <f aca="false">G11+G12</f>
        <v>64.0975579804164</v>
      </c>
      <c r="H13" s="0" t="n">
        <f aca="false">H11+H12</f>
        <v>63.5959249179609</v>
      </c>
      <c r="I13" s="0" t="n">
        <f aca="false">I11+I12</f>
        <v>62.7063622872066</v>
      </c>
      <c r="J13" s="0" t="n">
        <f aca="false">J11+J12</f>
        <v>61.4522350414625</v>
      </c>
      <c r="K13" s="0" t="n">
        <f aca="false">K11+K12</f>
        <v>60.8377126910479</v>
      </c>
      <c r="L13" s="0" t="n">
        <f aca="false">L11+L12</f>
        <v>60.2293355641374</v>
      </c>
    </row>
    <row r="14" customFormat="false" ht="15" hidden="false" customHeight="false" outlineLevel="0" collapsed="false">
      <c r="A14" s="0" t="s">
        <v>108</v>
      </c>
      <c r="C14" s="4" t="n">
        <f aca="false">Assumptions!C19</f>
        <v>21</v>
      </c>
      <c r="D14" s="4" t="n">
        <f aca="false">Assumptions!D19</f>
        <v>21</v>
      </c>
      <c r="E14" s="4" t="n">
        <f aca="false">Assumptions!E19</f>
        <v>21</v>
      </c>
      <c r="F14" s="4" t="n">
        <f aca="false">Assumptions!F19</f>
        <v>21</v>
      </c>
      <c r="G14" s="4" t="n">
        <f aca="false">Assumptions!G19</f>
        <v>21</v>
      </c>
      <c r="H14" s="4" t="n">
        <f aca="false">Assumptions!H19</f>
        <v>21</v>
      </c>
      <c r="I14" s="4" t="n">
        <f aca="false">Assumptions!I19</f>
        <v>21</v>
      </c>
      <c r="J14" s="4" t="n">
        <f aca="false">Assumptions!J19</f>
        <v>21</v>
      </c>
      <c r="K14" s="4" t="n">
        <f aca="false">Assumptions!K19</f>
        <v>21</v>
      </c>
      <c r="L14" s="4" t="n">
        <f aca="false">Assumptions!L19</f>
        <v>21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53.8792729902</v>
      </c>
      <c r="D15" s="0" t="n">
        <f aca="false">D13-MAX(0,D13)*D14/100</f>
        <v>51.18530934069</v>
      </c>
      <c r="E15" s="0" t="n">
        <f aca="false">E13-MAX(0,E13)*E14/100</f>
        <v>51.1435254146976</v>
      </c>
      <c r="F15" s="0" t="n">
        <f aca="false">F13-MAX(0,F13)*F14/100</f>
        <v>51.2304359807618</v>
      </c>
      <c r="G15" s="0" t="n">
        <f aca="false">G13-MAX(0,G13)*G14/100</f>
        <v>50.6370708045289</v>
      </c>
      <c r="H15" s="0" t="n">
        <f aca="false">H13-MAX(0,H13)*H14/100</f>
        <v>50.2407806851891</v>
      </c>
      <c r="I15" s="0" t="n">
        <f aca="false">I13-MAX(0,I13)*I14/100</f>
        <v>49.5380262068932</v>
      </c>
      <c r="J15" s="0" t="n">
        <f aca="false">J13-MAX(0,J13)*J14/100</f>
        <v>48.5472656827554</v>
      </c>
      <c r="K15" s="0" t="n">
        <f aca="false">K13-MAX(0,K13)*K14/100</f>
        <v>48.0617930259278</v>
      </c>
      <c r="L15" s="0" t="n">
        <f aca="false">L13-MAX(0,L13)*L14/100</f>
        <v>47.5811750956685</v>
      </c>
    </row>
    <row r="16" customFormat="false" ht="15" hidden="false" customHeight="false" outlineLevel="0" collapsed="false">
      <c r="A16" s="0" t="s">
        <v>124</v>
      </c>
      <c r="C16" s="0" t="n">
        <f aca="false">-C12</f>
        <v>29.22926202</v>
      </c>
      <c r="D16" s="0" t="n">
        <f aca="false">-D12</f>
        <v>25.123246641</v>
      </c>
      <c r="E16" s="0" t="n">
        <f aca="false">-E12</f>
        <v>21.57954658848</v>
      </c>
      <c r="F16" s="0" t="n">
        <f aca="false">-F12</f>
        <v>18.8799876230976</v>
      </c>
      <c r="G16" s="0" t="n">
        <f aca="false">-G12</f>
        <v>17.119223559987</v>
      </c>
      <c r="H16" s="0" t="n">
        <f aca="false">-H12</f>
        <v>15.9965209916343</v>
      </c>
      <c r="I16" s="0" t="n">
        <f aca="false">-I12</f>
        <v>15.2942347041967</v>
      </c>
      <c r="J16" s="0" t="n">
        <f aca="false">-J12</f>
        <v>14.9883500101128</v>
      </c>
      <c r="K16" s="0" t="n">
        <f aca="false">-K12</f>
        <v>14.8384665100117</v>
      </c>
      <c r="L16" s="0" t="n">
        <f aca="false">-L12</f>
        <v>14.6900818449116</v>
      </c>
    </row>
    <row r="17" customFormat="false" ht="15" hidden="false" customHeight="false" outlineLevel="0" collapsed="false">
      <c r="A17" s="0" t="s">
        <v>125</v>
      </c>
      <c r="C17" s="4" t="n">
        <f aca="false">-C6*Assumptions!C18/100</f>
        <v>-29.22926202</v>
      </c>
      <c r="D17" s="4" t="n">
        <f aca="false">-D6*Assumptions!D18/100</f>
        <v>-26.44552278</v>
      </c>
      <c r="E17" s="4" t="n">
        <f aca="false">-E6*Assumptions!E18/100</f>
        <v>-25.3877018688</v>
      </c>
      <c r="F17" s="4" t="n">
        <f aca="false">-F6*Assumptions!F18/100</f>
        <v>-22.573898245008</v>
      </c>
      <c r="G17" s="4" t="n">
        <f aca="false">-G6*Assumptions!G18/100</f>
        <v>-21.8966812976578</v>
      </c>
      <c r="H17" s="4" t="n">
        <f aca="false">-H6*Assumptions!H18/100</f>
        <v>-19.5079524288224</v>
      </c>
      <c r="I17" s="4" t="n">
        <f aca="false">-I6*Assumptions!I18/100</f>
        <v>-19.1177933802459</v>
      </c>
      <c r="J17" s="4" t="n">
        <f aca="false">-J6*Assumptions!J18/100</f>
        <v>-18.735437512641</v>
      </c>
      <c r="K17" s="4" t="n">
        <f aca="false">-K6*Assumptions!K18/100</f>
        <v>-18.5480831375146</v>
      </c>
      <c r="L17" s="4" t="n">
        <f aca="false">-L6*Assumptions!L18/100</f>
        <v>-18.3626023061394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(C6-B6)*Assumptions!$B$23/100</f>
        <v>-6.98429200000001</v>
      </c>
      <c r="D18" s="4" t="n">
        <f aca="false">(D6-C6)*Assumptions!$B$23/100</f>
        <v>-4.6395654</v>
      </c>
      <c r="E18" s="4" t="n">
        <f aca="false">(E6-D6)*Assumptions!$B$23/100</f>
        <v>-3.52606970400001</v>
      </c>
      <c r="F18" s="4" t="n">
        <f aca="false">(F6-E6)*Assumptions!$B$23/100</f>
        <v>-2.53877018688</v>
      </c>
      <c r="G18" s="4" t="n">
        <f aca="false">(G6-F6)*Assumptions!$B$23/100</f>
        <v>-2.4626070812736</v>
      </c>
      <c r="H18" s="4" t="n">
        <f aca="false">(H6-G6)*Assumptions!$B$23/100</f>
        <v>-1.59248591255692</v>
      </c>
      <c r="I18" s="4" t="n">
        <f aca="false">(I6-H6)*Assumptions!$B$23/100</f>
        <v>-1.56063619430579</v>
      </c>
      <c r="J18" s="4" t="n">
        <f aca="false">(J6-I6)*Assumptions!$B$23/100</f>
        <v>-1.52942347041967</v>
      </c>
      <c r="K18" s="4" t="n">
        <f aca="false">(K6-J6)*Assumptions!$B$23/100</f>
        <v>-0.749417500505638</v>
      </c>
      <c r="L18" s="4" t="n">
        <f aca="false">(L6-K6)*Assumptions!$B$23/100</f>
        <v>-0.741923325500579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46.8949809902</v>
      </c>
      <c r="D19" s="0" t="n">
        <f aca="false">D15+D16+D17+D18</f>
        <v>45.22346780169</v>
      </c>
      <c r="E19" s="0" t="n">
        <f aca="false">E15+E16+E17+E18</f>
        <v>43.8093004303776</v>
      </c>
      <c r="F19" s="0" t="n">
        <f aca="false">F15+F16+F17+F18</f>
        <v>44.9977551719714</v>
      </c>
      <c r="G19" s="0" t="n">
        <f aca="false">G15+G16+G17+G18</f>
        <v>43.3970059855845</v>
      </c>
      <c r="H19" s="0" t="n">
        <f aca="false">H15+H16+H17+H18</f>
        <v>45.1368633354442</v>
      </c>
      <c r="I19" s="0" t="n">
        <f aca="false">I15+I16+I17+I18</f>
        <v>44.1538313365383</v>
      </c>
      <c r="J19" s="0" t="n">
        <f aca="false">J15+J16+J17+J18</f>
        <v>43.2707547098075</v>
      </c>
      <c r="K19" s="0" t="n">
        <f aca="false">K15+K16+K17+K18</f>
        <v>43.6027588979193</v>
      </c>
      <c r="L19" s="0" t="n">
        <f aca="false">L15+L16+L17+L18</f>
        <v>43.1667313089401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43.221180636129</v>
      </c>
      <c r="D21" s="0" t="n">
        <f aca="false">D19*D20</f>
        <v>38.4153138114549</v>
      </c>
      <c r="E21" s="0" t="n">
        <f aca="false">E19*E20</f>
        <v>34.2986560935274</v>
      </c>
      <c r="F21" s="0" t="n">
        <f aca="false">F19*F20</f>
        <v>32.4692229818798</v>
      </c>
      <c r="G21" s="0" t="n">
        <f aca="false">G19*G20</f>
        <v>28.8609802151339</v>
      </c>
      <c r="H21" s="0" t="n">
        <f aca="false">H19*H20</f>
        <v>27.666418786021</v>
      </c>
      <c r="I21" s="0" t="n">
        <f aca="false">I19*I20</f>
        <v>24.9436628095855</v>
      </c>
      <c r="J21" s="0" t="n">
        <f aca="false">J19*J20</f>
        <v>22.529759957045</v>
      </c>
      <c r="K21" s="0" t="n">
        <f aca="false">K19*K20</f>
        <v>20.9240777827731</v>
      </c>
      <c r="L21" s="0" t="n">
        <f aca="false">L19*L20</f>
        <v>19.0920156727607</v>
      </c>
    </row>
    <row r="23" customFormat="false" ht="15" hidden="false" customHeight="false" outlineLevel="0" collapsed="false">
      <c r="A23" s="0" t="s">
        <v>105</v>
      </c>
      <c r="C23" s="4" t="n">
        <f aca="false">Assumptions!C16</f>
        <v>1.2</v>
      </c>
      <c r="D23" s="4" t="n">
        <f aca="false">Assumptions!D16</f>
        <v>1.3</v>
      </c>
      <c r="E23" s="4" t="n">
        <f aca="false">Assumptions!E16</f>
        <v>1.3</v>
      </c>
      <c r="F23" s="4" t="n">
        <f aca="false">Assumptions!F16</f>
        <v>1.3</v>
      </c>
      <c r="G23" s="4" t="n">
        <f aca="false">Assumptions!G16</f>
        <v>1.3</v>
      </c>
      <c r="H23" s="4" t="n">
        <f aca="false">Assumptions!H16</f>
        <v>1.3</v>
      </c>
      <c r="I23" s="4" t="n">
        <f aca="false">Assumptions!I16</f>
        <v>1.3</v>
      </c>
      <c r="J23" s="4" t="n">
        <f aca="false">Assumptions!J16</f>
        <v>1.3</v>
      </c>
      <c r="K23" s="4" t="n">
        <f aca="false">Assumptions!K16</f>
        <v>1.3</v>
      </c>
      <c r="L23" s="4" t="n">
        <f aca="false">Assumptions!L16</f>
        <v>1.3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-5.56747848</v>
      </c>
      <c r="D24" s="0" t="n">
        <f aca="false">-D6*D23/100</f>
        <v>-5.729863269</v>
      </c>
      <c r="E24" s="0" t="n">
        <f aca="false">-E6*E23/100</f>
        <v>-5.50066873824</v>
      </c>
      <c r="F24" s="0" t="n">
        <f aca="false">-F6*F23/100</f>
        <v>-5.3356486760928</v>
      </c>
      <c r="G24" s="0" t="n">
        <f aca="false">-G6*G23/100</f>
        <v>-5.17557921581001</v>
      </c>
      <c r="H24" s="0" t="n">
        <f aca="false">-H6*H23/100</f>
        <v>-5.07206763149381</v>
      </c>
      <c r="I24" s="0" t="n">
        <f aca="false">-I6*I23/100</f>
        <v>-4.97062627886394</v>
      </c>
      <c r="J24" s="0" t="n">
        <f aca="false">-J6*J23/100</f>
        <v>-4.87121375328666</v>
      </c>
      <c r="K24" s="0" t="n">
        <f aca="false">-K6*K23/100</f>
        <v>-4.82250161575379</v>
      </c>
      <c r="L24" s="0" t="n">
        <f aca="false">-L6*L23/100</f>
        <v>-4.77427659959626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110</v>
      </c>
      <c r="B28" s="4" t="n">
        <f aca="false">Assumptions!$B$21</f>
        <v>0</v>
      </c>
    </row>
    <row r="29" customFormat="false" ht="15" hidden="false" customHeight="false" outlineLevel="0" collapsed="false">
      <c r="A29" s="0" t="s">
        <v>111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292.42128874631</v>
      </c>
    </row>
    <row r="31" customFormat="false" ht="15" hidden="false" customHeight="false" outlineLevel="0" collapsed="false">
      <c r="A31" s="0" t="s">
        <v>133</v>
      </c>
      <c r="B31" s="0" t="n">
        <f aca="false">L19</f>
        <v>43.1667313089401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507.843897752236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518.000775707281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507.843897752236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224.611949091302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517.033237837613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720.119237837613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13.1504608808914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-0.226443477594624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8.05472572828506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5.73283142267882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13.4022424212669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287.778208726267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9.10566134979719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Assumptions!C27</f>
        <v>-6</v>
      </c>
      <c r="D5" s="4" t="n">
        <f aca="false">Assumptions!D27</f>
        <v>-3</v>
      </c>
      <c r="E5" s="4" t="n">
        <f aca="false">Assumptions!E27</f>
        <v>-1</v>
      </c>
      <c r="F5" s="4" t="n">
        <f aca="false">Assumptions!F27</f>
        <v>0</v>
      </c>
      <c r="G5" s="4" t="n">
        <f aca="false">Assumptions!G27</f>
        <v>1</v>
      </c>
      <c r="H5" s="4" t="n">
        <f aca="false">Assumptions!H27</f>
        <v>1.5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498.878</v>
      </c>
      <c r="C6" s="0" t="n">
        <f aca="false">B6*(1+C5/100)</f>
        <v>468.94532</v>
      </c>
      <c r="D6" s="0" t="n">
        <f aca="false">C6*(1+D5/100)</f>
        <v>454.8769604</v>
      </c>
      <c r="E6" s="0" t="n">
        <f aca="false">D6*(1+E5/100)</f>
        <v>450.328190796</v>
      </c>
      <c r="F6" s="0" t="n">
        <f aca="false">E6*(1+F5/100)</f>
        <v>450.328190796</v>
      </c>
      <c r="G6" s="0" t="n">
        <f aca="false">F6*(1+G5/100)</f>
        <v>454.83147270396</v>
      </c>
      <c r="H6" s="0" t="n">
        <f aca="false">G6*(1+H5/100)</f>
        <v>461.653944794519</v>
      </c>
      <c r="I6" s="0" t="n">
        <f aca="false">H6*(1+I5/100)</f>
        <v>470.88702369041</v>
      </c>
      <c r="J6" s="0" t="n">
        <f aca="false">I6*(1+J5/100)</f>
        <v>480.304764164218</v>
      </c>
      <c r="K6" s="0" t="n">
        <f aca="false">J6*(1+K5/100)</f>
        <v>489.910859447502</v>
      </c>
      <c r="L6" s="0" t="n">
        <f aca="false">K6*(1+L5/100)</f>
        <v>499.709076636452</v>
      </c>
    </row>
    <row r="7" customFormat="false" ht="15" hidden="false" customHeight="false" outlineLevel="0" collapsed="false">
      <c r="A7" s="0" t="s">
        <v>103</v>
      </c>
      <c r="C7" s="4" t="n">
        <f aca="false">Assumptions!C28</f>
        <v>23.5</v>
      </c>
      <c r="D7" s="4" t="n">
        <f aca="false">Assumptions!D28</f>
        <v>24</v>
      </c>
      <c r="E7" s="4" t="n">
        <f aca="false">Assumptions!E28</f>
        <v>24.5</v>
      </c>
      <c r="F7" s="4" t="n">
        <f aca="false">Assumptions!F28</f>
        <v>25</v>
      </c>
      <c r="G7" s="4" t="n">
        <f aca="false">Assumptions!G28</f>
        <v>25</v>
      </c>
      <c r="H7" s="4" t="n">
        <f aca="false">Assumptions!H28</f>
        <v>25</v>
      </c>
      <c r="I7" s="4" t="n">
        <f aca="false">Assumptions!I28</f>
        <v>25</v>
      </c>
      <c r="J7" s="4" t="n">
        <f aca="false">Assumptions!J28</f>
        <v>25</v>
      </c>
      <c r="K7" s="4" t="n">
        <f aca="false">Assumptions!K28</f>
        <v>25</v>
      </c>
      <c r="L7" s="4" t="n">
        <f aca="false">Assumptions!L28</f>
        <v>25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110.2021502</v>
      </c>
      <c r="D8" s="0" t="n">
        <f aca="false">D6*D7/100</f>
        <v>109.170470496</v>
      </c>
      <c r="E8" s="0" t="n">
        <f aca="false">E6*E7/100</f>
        <v>110.33040674502</v>
      </c>
      <c r="F8" s="0" t="n">
        <f aca="false">F6*F7/100</f>
        <v>112.582047699</v>
      </c>
      <c r="G8" s="0" t="n">
        <f aca="false">G6*G7/100</f>
        <v>113.70786817599</v>
      </c>
      <c r="H8" s="0" t="n">
        <f aca="false">H6*H7/100</f>
        <v>115.41348619863</v>
      </c>
      <c r="I8" s="0" t="n">
        <f aca="false">I6*I7/100</f>
        <v>117.721755922602</v>
      </c>
      <c r="J8" s="0" t="n">
        <f aca="false">J6*J7/100</f>
        <v>120.076191041054</v>
      </c>
      <c r="K8" s="0" t="n">
        <f aca="false">K6*K7/100</f>
        <v>122.477714861876</v>
      </c>
      <c r="L8" s="0" t="n">
        <f aca="false">L6*L7/100</f>
        <v>124.927269159113</v>
      </c>
    </row>
    <row r="9" customFormat="false" ht="15" hidden="false" customHeight="false" outlineLevel="0" collapsed="false">
      <c r="A9" s="0" t="s">
        <v>104</v>
      </c>
      <c r="C9" s="4" t="n">
        <f aca="false">Assumptions!C29</f>
        <v>0.3</v>
      </c>
      <c r="D9" s="4" t="n">
        <f aca="false">Assumptions!D29</f>
        <v>0.3</v>
      </c>
      <c r="E9" s="4" t="n">
        <f aca="false">Assumptions!E29</f>
        <v>0.3</v>
      </c>
      <c r="F9" s="4" t="n">
        <f aca="false">Assumptions!F29</f>
        <v>0.3</v>
      </c>
      <c r="G9" s="4" t="n">
        <f aca="false">Assumptions!G29</f>
        <v>0.3</v>
      </c>
      <c r="H9" s="4" t="n">
        <f aca="false">Assumptions!H29</f>
        <v>0.3</v>
      </c>
      <c r="I9" s="4" t="n">
        <f aca="false">Assumptions!I29</f>
        <v>0.3</v>
      </c>
      <c r="J9" s="4" t="n">
        <f aca="false">Assumptions!J29</f>
        <v>0.3</v>
      </c>
      <c r="K9" s="4" t="n">
        <f aca="false">Assumptions!K29</f>
        <v>0.3</v>
      </c>
      <c r="L9" s="4" t="n">
        <f aca="false">Assumptions!L29</f>
        <v>0.3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-1.40683596</v>
      </c>
      <c r="D10" s="0" t="n">
        <f aca="false">-D6*D9/100</f>
        <v>-1.3646308812</v>
      </c>
      <c r="E10" s="0" t="n">
        <f aca="false">-E6*E9/100</f>
        <v>-1.350984572388</v>
      </c>
      <c r="F10" s="0" t="n">
        <f aca="false">-F6*F9/100</f>
        <v>-1.350984572388</v>
      </c>
      <c r="G10" s="0" t="n">
        <f aca="false">-G6*G9/100</f>
        <v>-1.36449441811188</v>
      </c>
      <c r="H10" s="0" t="n">
        <f aca="false">-H6*H9/100</f>
        <v>-1.38496183438356</v>
      </c>
      <c r="I10" s="0" t="n">
        <f aca="false">-I6*I9/100</f>
        <v>-1.41266107107123</v>
      </c>
      <c r="J10" s="0" t="n">
        <f aca="false">-J6*J9/100</f>
        <v>-1.44091429249265</v>
      </c>
      <c r="K10" s="0" t="n">
        <f aca="false">-K6*K9/100</f>
        <v>-1.46973257834251</v>
      </c>
      <c r="L10" s="0" t="n">
        <f aca="false">-L6*L9/100</f>
        <v>-1.49912722990936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103.1679704</v>
      </c>
      <c r="D11" s="0" t="n">
        <f aca="false">D8+D10+D24</f>
        <v>102.34731609</v>
      </c>
      <c r="E11" s="0" t="n">
        <f aca="false">E8+E10+E24</f>
        <v>103.57548388308</v>
      </c>
      <c r="F11" s="0" t="n">
        <f aca="false">F8+F10+F24</f>
        <v>106.277453027856</v>
      </c>
      <c r="G11" s="0" t="n">
        <f aca="false">G8+G10+G24</f>
        <v>107.340227558135</v>
      </c>
      <c r="H11" s="0" t="n">
        <f aca="false">H8+H10+H24</f>
        <v>108.950330971507</v>
      </c>
      <c r="I11" s="0" t="n">
        <f aca="false">I8+I10+I24</f>
        <v>111.129337590937</v>
      </c>
      <c r="J11" s="0" t="n">
        <f aca="false">J8+J10+J24</f>
        <v>113.351924342755</v>
      </c>
      <c r="K11" s="0" t="n">
        <f aca="false">K8+K10+K24</f>
        <v>115.618962829611</v>
      </c>
      <c r="L11" s="0" t="n">
        <f aca="false">L8+L10+L24</f>
        <v>117.931342086203</v>
      </c>
    </row>
    <row r="12" customFormat="false" ht="15" hidden="false" customHeight="false" outlineLevel="0" collapsed="false">
      <c r="A12" s="0" t="s">
        <v>121</v>
      </c>
      <c r="C12" s="4" t="n">
        <f aca="false">-C6*Assumptions!C31/100</f>
        <v>-29.54355516</v>
      </c>
      <c r="D12" s="4" t="n">
        <f aca="false">-D6*Assumptions!D31/100</f>
        <v>-26.3828637032</v>
      </c>
      <c r="E12" s="4" t="n">
        <f aca="false">-E6*Assumptions!E31/100</f>
        <v>-23.867394112188</v>
      </c>
      <c r="F12" s="4" t="n">
        <f aca="false">-F6*Assumptions!F31/100</f>
        <v>-21.615753158208</v>
      </c>
      <c r="G12" s="4" t="n">
        <f aca="false">-G6*Assumptions!G31/100</f>
        <v>-20.4674162716782</v>
      </c>
      <c r="H12" s="4" t="n">
        <f aca="false">-H6*Assumptions!H31/100</f>
        <v>-19.8511196261643</v>
      </c>
      <c r="I12" s="4" t="n">
        <f aca="false">-I6*Assumptions!I31/100</f>
        <v>-19.7772549949972</v>
      </c>
      <c r="J12" s="4" t="n">
        <f aca="false">-J6*Assumptions!J31/100</f>
        <v>-19.6924953307329</v>
      </c>
      <c r="K12" s="4" t="n">
        <f aca="false">-K6*Assumptions!K31/100</f>
        <v>-19.5964343779001</v>
      </c>
      <c r="L12" s="4" t="n">
        <f aca="false">-L6*Assumptions!L31/100</f>
        <v>-19.9883630654581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73.62441524</v>
      </c>
      <c r="D13" s="0" t="n">
        <f aca="false">D11+D12</f>
        <v>75.9644523868</v>
      </c>
      <c r="E13" s="0" t="n">
        <f aca="false">E11+E12</f>
        <v>79.708089770892</v>
      </c>
      <c r="F13" s="0" t="n">
        <f aca="false">F11+F12</f>
        <v>84.661699869648</v>
      </c>
      <c r="G13" s="0" t="n">
        <f aca="false">G11+G12</f>
        <v>86.8728112864564</v>
      </c>
      <c r="H13" s="0" t="n">
        <f aca="false">H11+H12</f>
        <v>89.0992113453422</v>
      </c>
      <c r="I13" s="0" t="n">
        <f aca="false">I11+I12</f>
        <v>91.3520825959395</v>
      </c>
      <c r="J13" s="0" t="n">
        <f aca="false">J11+J12</f>
        <v>93.6594290120225</v>
      </c>
      <c r="K13" s="0" t="n">
        <f aca="false">K11+K12</f>
        <v>96.0225284517104</v>
      </c>
      <c r="L13" s="0" t="n">
        <f aca="false">L11+L12</f>
        <v>97.9429790207447</v>
      </c>
    </row>
    <row r="14" customFormat="false" ht="15" hidden="false" customHeight="false" outlineLevel="0" collapsed="false">
      <c r="A14" s="0" t="s">
        <v>108</v>
      </c>
      <c r="C14" s="4" t="n">
        <f aca="false">Assumptions!C33</f>
        <v>20</v>
      </c>
      <c r="D14" s="4" t="n">
        <f aca="false">Assumptions!D33</f>
        <v>20</v>
      </c>
      <c r="E14" s="4" t="n">
        <f aca="false">Assumptions!E33</f>
        <v>20</v>
      </c>
      <c r="F14" s="4" t="n">
        <f aca="false">Assumptions!F33</f>
        <v>20</v>
      </c>
      <c r="G14" s="4" t="n">
        <f aca="false">Assumptions!G33</f>
        <v>20</v>
      </c>
      <c r="H14" s="4" t="n">
        <f aca="false">Assumptions!H33</f>
        <v>20</v>
      </c>
      <c r="I14" s="4" t="n">
        <f aca="false">Assumptions!I33</f>
        <v>20</v>
      </c>
      <c r="J14" s="4" t="n">
        <f aca="false">Assumptions!J33</f>
        <v>20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58.899532192</v>
      </c>
      <c r="D15" s="0" t="n">
        <f aca="false">D13-MAX(0,D13)*D14/100</f>
        <v>60.77156190944</v>
      </c>
      <c r="E15" s="0" t="n">
        <f aca="false">E13-MAX(0,E13)*E14/100</f>
        <v>63.7664718167136</v>
      </c>
      <c r="F15" s="0" t="n">
        <f aca="false">F13-MAX(0,F13)*F14/100</f>
        <v>67.7293598957184</v>
      </c>
      <c r="G15" s="0" t="n">
        <f aca="false">G13-MAX(0,G13)*G14/100</f>
        <v>69.4982490291651</v>
      </c>
      <c r="H15" s="0" t="n">
        <f aca="false">H13-MAX(0,H13)*H14/100</f>
        <v>71.2793690762738</v>
      </c>
      <c r="I15" s="0" t="n">
        <f aca="false">I13-MAX(0,I13)*I14/100</f>
        <v>73.0816660767516</v>
      </c>
      <c r="J15" s="0" t="n">
        <f aca="false">J13-MAX(0,J13)*J14/100</f>
        <v>74.927543209618</v>
      </c>
      <c r="K15" s="0" t="n">
        <f aca="false">K13-MAX(0,K13)*K14/100</f>
        <v>76.8180227613684</v>
      </c>
      <c r="L15" s="0" t="n">
        <f aca="false">L13-MAX(0,L13)*L14/100</f>
        <v>78.3543832165957</v>
      </c>
    </row>
    <row r="16" customFormat="false" ht="15" hidden="false" customHeight="false" outlineLevel="0" collapsed="false">
      <c r="A16" s="0" t="s">
        <v>124</v>
      </c>
      <c r="C16" s="0" t="n">
        <f aca="false">-C12</f>
        <v>29.54355516</v>
      </c>
      <c r="D16" s="0" t="n">
        <f aca="false">-D12</f>
        <v>26.3828637032</v>
      </c>
      <c r="E16" s="0" t="n">
        <f aca="false">-E12</f>
        <v>23.867394112188</v>
      </c>
      <c r="F16" s="0" t="n">
        <f aca="false">-F12</f>
        <v>21.615753158208</v>
      </c>
      <c r="G16" s="0" t="n">
        <f aca="false">-G12</f>
        <v>20.4674162716782</v>
      </c>
      <c r="H16" s="0" t="n">
        <f aca="false">-H12</f>
        <v>19.8511196261643</v>
      </c>
      <c r="I16" s="0" t="n">
        <f aca="false">-I12</f>
        <v>19.7772549949972</v>
      </c>
      <c r="J16" s="0" t="n">
        <f aca="false">-J12</f>
        <v>19.6924953307329</v>
      </c>
      <c r="K16" s="0" t="n">
        <f aca="false">-K12</f>
        <v>19.5964343779001</v>
      </c>
      <c r="L16" s="0" t="n">
        <f aca="false">-L12</f>
        <v>19.9883630654581</v>
      </c>
    </row>
    <row r="17" customFormat="false" ht="15" hidden="false" customHeight="false" outlineLevel="0" collapsed="false">
      <c r="A17" s="0" t="s">
        <v>125</v>
      </c>
      <c r="C17" s="4" t="n">
        <f aca="false">-C6*Assumptions!C32/100</f>
        <v>-29.54355516</v>
      </c>
      <c r="D17" s="4" t="n">
        <f aca="false">-D6*Assumptions!D32/100</f>
        <v>-28.6572485052</v>
      </c>
      <c r="E17" s="4" t="n">
        <f aca="false">-E6*Assumptions!E32/100</f>
        <v>-28.370676020148</v>
      </c>
      <c r="F17" s="4" t="n">
        <f aca="false">-F6*Assumptions!F32/100</f>
        <v>-28.370676020148</v>
      </c>
      <c r="G17" s="4" t="n">
        <f aca="false">-G6*Assumptions!G32/100</f>
        <v>-28.6543827803495</v>
      </c>
      <c r="H17" s="4" t="n">
        <f aca="false">-H6*Assumptions!H32/100</f>
        <v>-29.0841985220547</v>
      </c>
      <c r="I17" s="4" t="n">
        <f aca="false">-I6*Assumptions!I32/100</f>
        <v>-29.6658824924958</v>
      </c>
      <c r="J17" s="4" t="n">
        <f aca="false">-J6*Assumptions!J32/100</f>
        <v>-30.2592001423457</v>
      </c>
      <c r="K17" s="4" t="n">
        <f aca="false">-K6*Assumptions!K32/100</f>
        <v>-30.8643841451926</v>
      </c>
      <c r="L17" s="4" t="n">
        <f aca="false">-L6*Assumptions!L32/100</f>
        <v>-31.4816718280965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(C6-B6)*Assumptions!$B$37/100</f>
        <v>-5.986536</v>
      </c>
      <c r="D18" s="4" t="n">
        <f aca="false">(D6-C6)*Assumptions!$B$37/100</f>
        <v>-2.81367192</v>
      </c>
      <c r="E18" s="4" t="n">
        <f aca="false">(E6-D6)*Assumptions!$B$37/100</f>
        <v>-0.909753920800006</v>
      </c>
      <c r="F18" s="4" t="n">
        <f aca="false">(F6-E6)*Assumptions!$B$37/100</f>
        <v>0</v>
      </c>
      <c r="G18" s="4" t="n">
        <f aca="false">(G6-F6)*Assumptions!$B$37/100</f>
        <v>0.900656381592</v>
      </c>
      <c r="H18" s="4" t="n">
        <f aca="false">(H6-G6)*Assumptions!$B$37/100</f>
        <v>1.36449441811187</v>
      </c>
      <c r="I18" s="4" t="n">
        <f aca="false">(I6-H6)*Assumptions!$B$37/100</f>
        <v>1.84661577917808</v>
      </c>
      <c r="J18" s="4" t="n">
        <f aca="false">(J6-I6)*Assumptions!$B$37/100</f>
        <v>1.88354809476164</v>
      </c>
      <c r="K18" s="4" t="n">
        <f aca="false">(K6-J6)*Assumptions!$B$37/100</f>
        <v>1.92121905665688</v>
      </c>
      <c r="L18" s="4" t="n">
        <f aca="false">(L6-K6)*Assumptions!$B$37/100</f>
        <v>1.95964343779001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52.912996192</v>
      </c>
      <c r="D19" s="0" t="n">
        <f aca="false">D15+D16+D17+D18</f>
        <v>55.68350518744</v>
      </c>
      <c r="E19" s="0" t="n">
        <f aca="false">E15+E16+E17+E18</f>
        <v>58.3534359879536</v>
      </c>
      <c r="F19" s="0" t="n">
        <f aca="false">F15+F16+F17+F18</f>
        <v>60.9744370337784</v>
      </c>
      <c r="G19" s="0" t="n">
        <f aca="false">G15+G16+G17+G18</f>
        <v>62.2119389020858</v>
      </c>
      <c r="H19" s="0" t="n">
        <f aca="false">H15+H16+H17+H18</f>
        <v>63.4107845984953</v>
      </c>
      <c r="I19" s="0" t="n">
        <f aca="false">I15+I16+I17+I18</f>
        <v>65.0396543584311</v>
      </c>
      <c r="J19" s="0" t="n">
        <f aca="false">J15+J16+J17+J18</f>
        <v>66.2443864927669</v>
      </c>
      <c r="K19" s="0" t="n">
        <f aca="false">K15+K16+K17+K18</f>
        <v>67.4712920507327</v>
      </c>
      <c r="L19" s="0" t="n">
        <f aca="false">L15+L16+L17+L18</f>
        <v>68.8207178917473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48.7677384258065</v>
      </c>
      <c r="D21" s="0" t="n">
        <f aca="false">D19*D20</f>
        <v>47.3006478688781</v>
      </c>
      <c r="E21" s="0" t="n">
        <f aca="false">E19*E20</f>
        <v>45.685377606228</v>
      </c>
      <c r="F21" s="0" t="n">
        <f aca="false">F19*F20</f>
        <v>43.99758576129</v>
      </c>
      <c r="G21" s="0" t="n">
        <f aca="false">G19*G20</f>
        <v>41.373765240732</v>
      </c>
      <c r="H21" s="0" t="n">
        <f aca="false">H19*H20</f>
        <v>38.8673291100075</v>
      </c>
      <c r="I21" s="0" t="n">
        <f aca="false">I19*I20</f>
        <v>36.7426145922287</v>
      </c>
      <c r="J21" s="0" t="n">
        <f aca="false">J19*J20</f>
        <v>34.4914281295278</v>
      </c>
      <c r="K21" s="0" t="n">
        <f aca="false">K19*K20</f>
        <v>32.3781017223913</v>
      </c>
      <c r="L21" s="0" t="n">
        <f aca="false">L19*L20</f>
        <v>30.4383997758886</v>
      </c>
    </row>
    <row r="23" customFormat="false" ht="15" hidden="false" customHeight="false" outlineLevel="0" collapsed="false">
      <c r="A23" s="0" t="s">
        <v>105</v>
      </c>
      <c r="C23" s="4" t="n">
        <f aca="false">Assumptions!C30</f>
        <v>1.2</v>
      </c>
      <c r="D23" s="4" t="n">
        <f aca="false">Assumptions!D30</f>
        <v>1.2</v>
      </c>
      <c r="E23" s="4" t="n">
        <f aca="false">Assumptions!E30</f>
        <v>1.2</v>
      </c>
      <c r="F23" s="4" t="n">
        <f aca="false">Assumptions!F30</f>
        <v>1.1</v>
      </c>
      <c r="G23" s="4" t="n">
        <f aca="false">Assumptions!G30</f>
        <v>1.1</v>
      </c>
      <c r="H23" s="4" t="n">
        <f aca="false">Assumptions!H30</f>
        <v>1.1</v>
      </c>
      <c r="I23" s="4" t="n">
        <f aca="false">Assumptions!I30</f>
        <v>1.1</v>
      </c>
      <c r="J23" s="4" t="n">
        <f aca="false">Assumptions!J30</f>
        <v>1.1</v>
      </c>
      <c r="K23" s="4" t="n">
        <f aca="false">Assumptions!K30</f>
        <v>1.1</v>
      </c>
      <c r="L23" s="4" t="n">
        <f aca="false">Assumptions!L30</f>
        <v>1.1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-5.62734384</v>
      </c>
      <c r="D24" s="0" t="n">
        <f aca="false">-D6*D23/100</f>
        <v>-5.4585235248</v>
      </c>
      <c r="E24" s="0" t="n">
        <f aca="false">-E6*E23/100</f>
        <v>-5.403938289552</v>
      </c>
      <c r="F24" s="0" t="n">
        <f aca="false">-F6*F23/100</f>
        <v>-4.953610098756</v>
      </c>
      <c r="G24" s="0" t="n">
        <f aca="false">-G6*G23/100</f>
        <v>-5.00314619974356</v>
      </c>
      <c r="H24" s="0" t="n">
        <f aca="false">-H6*H23/100</f>
        <v>-5.07819339273971</v>
      </c>
      <c r="I24" s="0" t="n">
        <f aca="false">-I6*I23/100</f>
        <v>-5.17975726059451</v>
      </c>
      <c r="J24" s="0" t="n">
        <f aca="false">-J6*J23/100</f>
        <v>-5.2833524058064</v>
      </c>
      <c r="K24" s="0" t="n">
        <f aca="false">-K6*K23/100</f>
        <v>-5.38901945392253</v>
      </c>
      <c r="L24" s="0" t="n">
        <f aca="false">-L6*L23/100</f>
        <v>-5.49679984300098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110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111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400.042988232978</v>
      </c>
    </row>
    <row r="31" customFormat="false" ht="15" hidden="false" customHeight="false" outlineLevel="0" collapsed="false">
      <c r="A31" s="0" t="s">
        <v>133</v>
      </c>
      <c r="B31" s="0" t="n">
        <f aca="false">L19</f>
        <v>68.8207178917473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1079.9558807628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963.490050484463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963.490050484463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426.13759686244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826.180585095418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1029.26658509542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18.7959566306687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0.105644507686394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9.16133114873855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10.4046607885391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19.1532610853305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539.977940381402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11.6608609841687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Assumptions!C41</f>
        <v>-5.5</v>
      </c>
      <c r="D5" s="4" t="n">
        <f aca="false">Assumptions!D41</f>
        <v>0</v>
      </c>
      <c r="E5" s="4" t="n">
        <f aca="false">Assumptions!E41</f>
        <v>2</v>
      </c>
      <c r="F5" s="4" t="n">
        <f aca="false">Assumptions!F41</f>
        <v>3</v>
      </c>
      <c r="G5" s="4" t="n">
        <f aca="false">Assumptions!G41</f>
        <v>3.5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498.878</v>
      </c>
      <c r="C6" s="0" t="n">
        <f aca="false">B6*(1+C5/100)</f>
        <v>471.43971</v>
      </c>
      <c r="D6" s="0" t="n">
        <f aca="false">C6*(1+D5/100)</f>
        <v>471.43971</v>
      </c>
      <c r="E6" s="0" t="n">
        <f aca="false">D6*(1+E5/100)</f>
        <v>480.8685042</v>
      </c>
      <c r="F6" s="0" t="n">
        <f aca="false">E6*(1+F5/100)</f>
        <v>495.294559326</v>
      </c>
      <c r="G6" s="0" t="n">
        <f aca="false">F6*(1+G5/100)</f>
        <v>512.62986890241</v>
      </c>
      <c r="H6" s="0" t="n">
        <f aca="false">G6*(1+H5/100)</f>
        <v>530.571914313994</v>
      </c>
      <c r="I6" s="0" t="n">
        <f aca="false">H6*(1+I5/100)</f>
        <v>546.489071743414</v>
      </c>
      <c r="J6" s="0" t="n">
        <f aca="false">I6*(1+J5/100)</f>
        <v>562.883743895717</v>
      </c>
      <c r="K6" s="0" t="n">
        <f aca="false">J6*(1+K5/100)</f>
        <v>579.770256212588</v>
      </c>
      <c r="L6" s="0" t="n">
        <f aca="false">K6*(1+L5/100)</f>
        <v>597.163363898966</v>
      </c>
    </row>
    <row r="7" customFormat="false" ht="15" hidden="false" customHeight="false" outlineLevel="0" collapsed="false">
      <c r="A7" s="0" t="s">
        <v>103</v>
      </c>
      <c r="C7" s="4" t="n">
        <f aca="false">Assumptions!C42</f>
        <v>24</v>
      </c>
      <c r="D7" s="4" t="n">
        <f aca="false">Assumptions!D42</f>
        <v>25</v>
      </c>
      <c r="E7" s="4" t="n">
        <f aca="false">Assumptions!E42</f>
        <v>26</v>
      </c>
      <c r="F7" s="4" t="n">
        <f aca="false">Assumptions!F42</f>
        <v>26.5</v>
      </c>
      <c r="G7" s="4" t="n">
        <f aca="false">Assumptions!G42</f>
        <v>27</v>
      </c>
      <c r="H7" s="4" t="n">
        <f aca="false">Assumptions!H42</f>
        <v>27</v>
      </c>
      <c r="I7" s="4" t="n">
        <f aca="false">Assumptions!I42</f>
        <v>27</v>
      </c>
      <c r="J7" s="4" t="n">
        <f aca="false">Assumptions!J42</f>
        <v>27</v>
      </c>
      <c r="K7" s="4" t="n">
        <f aca="false">Assumptions!K42</f>
        <v>27</v>
      </c>
      <c r="L7" s="4" t="n">
        <f aca="false">Assumptions!L42</f>
        <v>27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113.1455304</v>
      </c>
      <c r="D8" s="0" t="n">
        <f aca="false">D6*D7/100</f>
        <v>117.8599275</v>
      </c>
      <c r="E8" s="0" t="n">
        <f aca="false">E6*E7/100</f>
        <v>125.025811092</v>
      </c>
      <c r="F8" s="0" t="n">
        <f aca="false">F6*F7/100</f>
        <v>131.25305822139</v>
      </c>
      <c r="G8" s="0" t="n">
        <f aca="false">G6*G7/100</f>
        <v>138.410064603651</v>
      </c>
      <c r="H8" s="0" t="n">
        <f aca="false">H6*H7/100</f>
        <v>143.254416864778</v>
      </c>
      <c r="I8" s="0" t="n">
        <f aca="false">I6*I7/100</f>
        <v>147.552049370722</v>
      </c>
      <c r="J8" s="0" t="n">
        <f aca="false">J6*J7/100</f>
        <v>151.978610851843</v>
      </c>
      <c r="K8" s="0" t="n">
        <f aca="false">K6*K7/100</f>
        <v>156.537969177399</v>
      </c>
      <c r="L8" s="0" t="n">
        <f aca="false">L6*L7/100</f>
        <v>161.234108252721</v>
      </c>
    </row>
    <row r="9" customFormat="false" ht="15" hidden="false" customHeight="false" outlineLevel="0" collapsed="false">
      <c r="A9" s="0" t="s">
        <v>104</v>
      </c>
      <c r="C9" s="4" t="n">
        <f aca="false">Assumptions!C43</f>
        <v>0.3</v>
      </c>
      <c r="D9" s="4" t="n">
        <f aca="false">Assumptions!D43</f>
        <v>0.3</v>
      </c>
      <c r="E9" s="4" t="n">
        <f aca="false">Assumptions!E43</f>
        <v>0.3</v>
      </c>
      <c r="F9" s="4" t="n">
        <f aca="false">Assumptions!F43</f>
        <v>0.3</v>
      </c>
      <c r="G9" s="4" t="n">
        <f aca="false">Assumptions!G43</f>
        <v>0.3</v>
      </c>
      <c r="H9" s="4" t="n">
        <f aca="false">Assumptions!H43</f>
        <v>0.3</v>
      </c>
      <c r="I9" s="4" t="n">
        <f aca="false">Assumptions!I43</f>
        <v>0.3</v>
      </c>
      <c r="J9" s="4" t="n">
        <f aca="false">Assumptions!J43</f>
        <v>0.3</v>
      </c>
      <c r="K9" s="4" t="n">
        <f aca="false">Assumptions!K43</f>
        <v>0.3</v>
      </c>
      <c r="L9" s="4" t="n">
        <f aca="false">Assumptions!L43</f>
        <v>0.3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-1.41431913</v>
      </c>
      <c r="D10" s="0" t="n">
        <f aca="false">-D6*D9/100</f>
        <v>-1.41431913</v>
      </c>
      <c r="E10" s="0" t="n">
        <f aca="false">-E6*E9/100</f>
        <v>-1.4426055126</v>
      </c>
      <c r="F10" s="0" t="n">
        <f aca="false">-F6*F9/100</f>
        <v>-1.485883677978</v>
      </c>
      <c r="G10" s="0" t="n">
        <f aca="false">-G6*G9/100</f>
        <v>-1.53788960670723</v>
      </c>
      <c r="H10" s="0" t="n">
        <f aca="false">-H6*H9/100</f>
        <v>-1.59171574294198</v>
      </c>
      <c r="I10" s="0" t="n">
        <f aca="false">-I6*I9/100</f>
        <v>-1.63946721523024</v>
      </c>
      <c r="J10" s="0" t="n">
        <f aca="false">-J6*J9/100</f>
        <v>-1.68865123168715</v>
      </c>
      <c r="K10" s="0" t="n">
        <f aca="false">-K6*K9/100</f>
        <v>-1.73931076863776</v>
      </c>
      <c r="L10" s="0" t="n">
        <f aca="false">-L6*L9/100</f>
        <v>-1.7914900916969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106.07393475</v>
      </c>
      <c r="D11" s="0" t="n">
        <f aca="false">D8+D10+D24</f>
        <v>110.78833185</v>
      </c>
      <c r="E11" s="0" t="n">
        <f aca="false">E8+E10+E24</f>
        <v>118.2936520332</v>
      </c>
      <c r="F11" s="0" t="n">
        <f aca="false">F8+F10+F24</f>
        <v>124.318934390826</v>
      </c>
      <c r="G11" s="0" t="n">
        <f aca="false">G8+G10+G24</f>
        <v>131.233246439017</v>
      </c>
      <c r="H11" s="0" t="n">
        <f aca="false">H8+H10+H24</f>
        <v>135.826410064383</v>
      </c>
      <c r="I11" s="0" t="n">
        <f aca="false">I8+I10+I24</f>
        <v>139.901202366314</v>
      </c>
      <c r="J11" s="0" t="n">
        <f aca="false">J8+J10+J24</f>
        <v>144.098238437303</v>
      </c>
      <c r="K11" s="0" t="n">
        <f aca="false">K8+K10+K24</f>
        <v>148.421185590423</v>
      </c>
      <c r="L11" s="0" t="n">
        <f aca="false">L8+L10+L24</f>
        <v>152.873821158135</v>
      </c>
    </row>
    <row r="12" customFormat="false" ht="15" hidden="false" customHeight="false" outlineLevel="0" collapsed="false">
      <c r="A12" s="0" t="s">
        <v>121</v>
      </c>
      <c r="C12" s="4" t="n">
        <f aca="false">-C6*Assumptions!C45/100</f>
        <v>-29.70070173</v>
      </c>
      <c r="D12" s="4" t="n">
        <f aca="false">-D6*Assumptions!D45/100</f>
        <v>-27.34350318</v>
      </c>
      <c r="E12" s="4" t="n">
        <f aca="false">-E6*Assumptions!E45/100</f>
        <v>-25.9668992268</v>
      </c>
      <c r="F12" s="4" t="n">
        <f aca="false">-F6*Assumptions!F45/100</f>
        <v>-24.7647279663</v>
      </c>
      <c r="G12" s="4" t="n">
        <f aca="false">-G6*Assumptions!G45/100</f>
        <v>-24.0936038384133</v>
      </c>
      <c r="H12" s="4" t="n">
        <f aca="false">-H6*Assumptions!H45/100</f>
        <v>-23.8757361441297</v>
      </c>
      <c r="I12" s="4" t="n">
        <f aca="false">-I6*Assumptions!I45/100</f>
        <v>-24.0455191567102</v>
      </c>
      <c r="J12" s="4" t="n">
        <f aca="false">-J6*Assumptions!J45/100</f>
        <v>-24.2040009875158</v>
      </c>
      <c r="K12" s="4" t="n">
        <f aca="false">-K6*Assumptions!K45/100</f>
        <v>-24.3503507609287</v>
      </c>
      <c r="L12" s="4" t="n">
        <f aca="false">-L6*Assumptions!L45/100</f>
        <v>-25.0808612837566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76.37323302</v>
      </c>
      <c r="D13" s="0" t="n">
        <f aca="false">D11+D12</f>
        <v>83.44482867</v>
      </c>
      <c r="E13" s="0" t="n">
        <f aca="false">E11+E12</f>
        <v>92.3267528064</v>
      </c>
      <c r="F13" s="0" t="n">
        <f aca="false">F11+F12</f>
        <v>99.554206424526</v>
      </c>
      <c r="G13" s="0" t="n">
        <f aca="false">G11+G12</f>
        <v>107.139642600604</v>
      </c>
      <c r="H13" s="0" t="n">
        <f aca="false">H11+H12</f>
        <v>111.950673920253</v>
      </c>
      <c r="I13" s="0" t="n">
        <f aca="false">I11+I12</f>
        <v>115.855683209604</v>
      </c>
      <c r="J13" s="0" t="n">
        <f aca="false">J11+J12</f>
        <v>119.894237449788</v>
      </c>
      <c r="K13" s="0" t="n">
        <f aca="false">K11+K12</f>
        <v>124.070834829494</v>
      </c>
      <c r="L13" s="0" t="n">
        <f aca="false">L11+L12</f>
        <v>127.792959874379</v>
      </c>
    </row>
    <row r="14" customFormat="false" ht="15" hidden="false" customHeight="false" outlineLevel="0" collapsed="false">
      <c r="A14" s="0" t="s">
        <v>108</v>
      </c>
      <c r="C14" s="4" t="n">
        <f aca="false">Assumptions!C47</f>
        <v>20</v>
      </c>
      <c r="D14" s="4" t="n">
        <f aca="false">Assumptions!D47</f>
        <v>20</v>
      </c>
      <c r="E14" s="4" t="n">
        <f aca="false">Assumptions!E47</f>
        <v>20</v>
      </c>
      <c r="F14" s="4" t="n">
        <f aca="false">Assumptions!F47</f>
        <v>20</v>
      </c>
      <c r="G14" s="4" t="n">
        <f aca="false">Assumptions!G47</f>
        <v>20</v>
      </c>
      <c r="H14" s="4" t="n">
        <f aca="false">Assumptions!H47</f>
        <v>20</v>
      </c>
      <c r="I14" s="4" t="n">
        <f aca="false">Assumptions!I47</f>
        <v>20</v>
      </c>
      <c r="J14" s="4" t="n">
        <f aca="false">Assumptions!J47</f>
        <v>20</v>
      </c>
      <c r="K14" s="4" t="n">
        <f aca="false">Assumptions!K47</f>
        <v>20</v>
      </c>
      <c r="L14" s="4" t="n">
        <f aca="false">Assumptions!L47</f>
        <v>20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61.098586416</v>
      </c>
      <c r="D15" s="0" t="n">
        <f aca="false">D13-MAX(0,D13)*D14/100</f>
        <v>66.755862936</v>
      </c>
      <c r="E15" s="0" t="n">
        <f aca="false">E13-MAX(0,E13)*E14/100</f>
        <v>73.86140224512</v>
      </c>
      <c r="F15" s="0" t="n">
        <f aca="false">F13-MAX(0,F13)*F14/100</f>
        <v>79.6433651396208</v>
      </c>
      <c r="G15" s="0" t="n">
        <f aca="false">G13-MAX(0,G13)*G14/100</f>
        <v>85.7117140804829</v>
      </c>
      <c r="H15" s="0" t="n">
        <f aca="false">H13-MAX(0,H13)*H14/100</f>
        <v>89.5605391362022</v>
      </c>
      <c r="I15" s="0" t="n">
        <f aca="false">I13-MAX(0,I13)*I14/100</f>
        <v>92.684546567683</v>
      </c>
      <c r="J15" s="0" t="n">
        <f aca="false">J13-MAX(0,J13)*J14/100</f>
        <v>95.9153899598301</v>
      </c>
      <c r="K15" s="0" t="n">
        <f aca="false">K13-MAX(0,K13)*K14/100</f>
        <v>99.2566678635951</v>
      </c>
      <c r="L15" s="0" t="n">
        <f aca="false">L13-MAX(0,L13)*L14/100</f>
        <v>102.234367899503</v>
      </c>
    </row>
    <row r="16" customFormat="false" ht="15" hidden="false" customHeight="false" outlineLevel="0" collapsed="false">
      <c r="A16" s="0" t="s">
        <v>124</v>
      </c>
      <c r="C16" s="0" t="n">
        <f aca="false">-C12</f>
        <v>29.70070173</v>
      </c>
      <c r="D16" s="0" t="n">
        <f aca="false">-D12</f>
        <v>27.34350318</v>
      </c>
      <c r="E16" s="0" t="n">
        <f aca="false">-E12</f>
        <v>25.9668992268</v>
      </c>
      <c r="F16" s="0" t="n">
        <f aca="false">-F12</f>
        <v>24.7647279663</v>
      </c>
      <c r="G16" s="0" t="n">
        <f aca="false">-G12</f>
        <v>24.0936038384133</v>
      </c>
      <c r="H16" s="0" t="n">
        <f aca="false">-H12</f>
        <v>23.8757361441297</v>
      </c>
      <c r="I16" s="0" t="n">
        <f aca="false">-I12</f>
        <v>24.0455191567102</v>
      </c>
      <c r="J16" s="0" t="n">
        <f aca="false">-J12</f>
        <v>24.2040009875158</v>
      </c>
      <c r="K16" s="0" t="n">
        <f aca="false">-K12</f>
        <v>24.3503507609287</v>
      </c>
      <c r="L16" s="0" t="n">
        <f aca="false">-L12</f>
        <v>25.0808612837566</v>
      </c>
    </row>
    <row r="17" customFormat="false" ht="15" hidden="false" customHeight="false" outlineLevel="0" collapsed="false">
      <c r="A17" s="0" t="s">
        <v>125</v>
      </c>
      <c r="C17" s="4" t="n">
        <f aca="false">-C6*Assumptions!C46/100</f>
        <v>-35.35797825</v>
      </c>
      <c r="D17" s="4" t="n">
        <f aca="false">-D6*Assumptions!D46/100</f>
        <v>-35.35797825</v>
      </c>
      <c r="E17" s="4" t="n">
        <f aca="false">-E6*Assumptions!E46/100</f>
        <v>-36.065137815</v>
      </c>
      <c r="F17" s="4" t="n">
        <f aca="false">-F6*Assumptions!F46/100</f>
        <v>-37.14709194945</v>
      </c>
      <c r="G17" s="4" t="n">
        <f aca="false">-G6*Assumptions!G46/100</f>
        <v>-38.4472401676808</v>
      </c>
      <c r="H17" s="4" t="n">
        <f aca="false">-H6*Assumptions!H46/100</f>
        <v>-39.7928935735496</v>
      </c>
      <c r="I17" s="4" t="n">
        <f aca="false">-I6*Assumptions!I46/100</f>
        <v>-40.9866803807561</v>
      </c>
      <c r="J17" s="4" t="n">
        <f aca="false">-J6*Assumptions!J46/100</f>
        <v>-42.2162807921787</v>
      </c>
      <c r="K17" s="4" t="n">
        <f aca="false">-K6*Assumptions!K46/100</f>
        <v>-43.4827692159441</v>
      </c>
      <c r="L17" s="4" t="n">
        <f aca="false">-L6*Assumptions!L46/100</f>
        <v>-44.7872522924224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(C6-B6)*Assumptions!$B$51/100</f>
        <v>-5.48765800000001</v>
      </c>
      <c r="D18" s="4" t="n">
        <f aca="false">(D6-C6)*Assumptions!$B$51/100</f>
        <v>0</v>
      </c>
      <c r="E18" s="4" t="n">
        <f aca="false">(E6-D6)*Assumptions!$B$51/100</f>
        <v>1.88575884000001</v>
      </c>
      <c r="F18" s="4" t="n">
        <f aca="false">(F6-E6)*Assumptions!$B$51/100</f>
        <v>2.8852110252</v>
      </c>
      <c r="G18" s="4" t="n">
        <f aca="false">(G6-F6)*Assumptions!$B$51/100</f>
        <v>3.467061915282</v>
      </c>
      <c r="H18" s="4" t="n">
        <f aca="false">(H6-G6)*Assumptions!$B$51/100</f>
        <v>3.58840908231687</v>
      </c>
      <c r="I18" s="4" t="n">
        <f aca="false">(I6-H6)*Assumptions!$B$51/100</f>
        <v>3.18343148588397</v>
      </c>
      <c r="J18" s="4" t="n">
        <f aca="false">(J6-I6)*Assumptions!$B$51/100</f>
        <v>3.27893443046048</v>
      </c>
      <c r="K18" s="4" t="n">
        <f aca="false">(K6-J6)*Assumptions!$B$51/100</f>
        <v>3.3773024633743</v>
      </c>
      <c r="L18" s="4" t="n">
        <f aca="false">(L6-K6)*Assumptions!$B$51/100</f>
        <v>3.47862153727554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49.953651896</v>
      </c>
      <c r="D19" s="0" t="n">
        <f aca="false">D15+D16+D17+D18</f>
        <v>58.741387866</v>
      </c>
      <c r="E19" s="0" t="n">
        <f aca="false">E15+E16+E17+E18</f>
        <v>65.64892249692</v>
      </c>
      <c r="F19" s="0" t="n">
        <f aca="false">F15+F16+F17+F18</f>
        <v>70.1462121816708</v>
      </c>
      <c r="G19" s="0" t="n">
        <f aca="false">G15+G16+G17+G18</f>
        <v>74.8251396664975</v>
      </c>
      <c r="H19" s="0" t="n">
        <f aca="false">H15+H16+H17+H18</f>
        <v>77.2317907890993</v>
      </c>
      <c r="I19" s="0" t="n">
        <f aca="false">I15+I16+I17+I18</f>
        <v>78.9268168295212</v>
      </c>
      <c r="J19" s="0" t="n">
        <f aca="false">J15+J16+J17+J18</f>
        <v>81.1820445856276</v>
      </c>
      <c r="K19" s="0" t="n">
        <f aca="false">K15+K16+K17+K18</f>
        <v>83.501551871954</v>
      </c>
      <c r="L19" s="0" t="n">
        <f aca="false">L15+L16+L17+L18</f>
        <v>86.0065984281126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46.040232162212</v>
      </c>
      <c r="D21" s="0" t="n">
        <f aca="false">D19*D20</f>
        <v>49.8981824765869</v>
      </c>
      <c r="E21" s="0" t="n">
        <f aca="false">E19*E20</f>
        <v>51.39707307609</v>
      </c>
      <c r="F21" s="0" t="n">
        <f aca="false">F19*F20</f>
        <v>50.6157028490971</v>
      </c>
      <c r="G21" s="0" t="n">
        <f aca="false">G19*G20</f>
        <v>49.7621166821222</v>
      </c>
      <c r="H21" s="0" t="n">
        <f aca="false">H19*H20</f>
        <v>47.3388470015304</v>
      </c>
      <c r="I21" s="0" t="n">
        <f aca="false">I19*I20</f>
        <v>44.5878386096097</v>
      </c>
      <c r="J21" s="0" t="n">
        <f aca="false">J19*J20</f>
        <v>42.2690103189201</v>
      </c>
      <c r="K21" s="0" t="n">
        <f aca="false">K19*K20</f>
        <v>40.0706976006145</v>
      </c>
      <c r="L21" s="0" t="n">
        <f aca="false">L19*L20</f>
        <v>38.0394640816894</v>
      </c>
    </row>
    <row r="23" customFormat="false" ht="15" hidden="false" customHeight="false" outlineLevel="0" collapsed="false">
      <c r="A23" s="0" t="s">
        <v>105</v>
      </c>
      <c r="C23" s="4" t="n">
        <f aca="false">Assumptions!C44</f>
        <v>1.2</v>
      </c>
      <c r="D23" s="4" t="n">
        <f aca="false">Assumptions!D44</f>
        <v>1.2</v>
      </c>
      <c r="E23" s="4" t="n">
        <f aca="false">Assumptions!E44</f>
        <v>1.1</v>
      </c>
      <c r="F23" s="4" t="n">
        <f aca="false">Assumptions!F44</f>
        <v>1.1</v>
      </c>
      <c r="G23" s="4" t="n">
        <f aca="false">Assumptions!G44</f>
        <v>1.1</v>
      </c>
      <c r="H23" s="4" t="n">
        <f aca="false">Assumptions!H44</f>
        <v>1.1</v>
      </c>
      <c r="I23" s="4" t="n">
        <f aca="false">Assumptions!I44</f>
        <v>1.1</v>
      </c>
      <c r="J23" s="4" t="n">
        <f aca="false">Assumptions!J44</f>
        <v>1.1</v>
      </c>
      <c r="K23" s="4" t="n">
        <f aca="false">Assumptions!K44</f>
        <v>1.1</v>
      </c>
      <c r="L23" s="4" t="n">
        <f aca="false">Assumptions!L44</f>
        <v>1.1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-5.65727652</v>
      </c>
      <c r="D24" s="0" t="n">
        <f aca="false">-D6*D23/100</f>
        <v>-5.65727652</v>
      </c>
      <c r="E24" s="0" t="n">
        <f aca="false">-E6*E23/100</f>
        <v>-5.2895535462</v>
      </c>
      <c r="F24" s="0" t="n">
        <f aca="false">-F6*F23/100</f>
        <v>-5.448240152586</v>
      </c>
      <c r="G24" s="0" t="n">
        <f aca="false">-G6*G23/100</f>
        <v>-5.63892855792651</v>
      </c>
      <c r="H24" s="0" t="n">
        <f aca="false">-H6*H23/100</f>
        <v>-5.83629105745394</v>
      </c>
      <c r="I24" s="0" t="n">
        <f aca="false">-I6*I23/100</f>
        <v>-6.01137978917756</v>
      </c>
      <c r="J24" s="0" t="n">
        <f aca="false">-J6*J23/100</f>
        <v>-6.19172118285288</v>
      </c>
      <c r="K24" s="0" t="n">
        <f aca="false">-K6*K23/100</f>
        <v>-6.37747281833847</v>
      </c>
      <c r="L24" s="0" t="n">
        <f aca="false">-L6*L23/100</f>
        <v>-6.56879700288862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110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111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460.019164858472</v>
      </c>
    </row>
    <row r="31" customFormat="false" ht="15" hidden="false" customHeight="false" outlineLevel="0" collapsed="false">
      <c r="A31" s="0" t="s">
        <v>133</v>
      </c>
      <c r="B31" s="0" t="n">
        <f aca="false">L19</f>
        <v>86.0065984281126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1469.27938981359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1290.09897642169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1290.09897642169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570.591961225341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1030.61112608381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1233.69712608381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22.5291659255627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0.325245054444864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10.1373417434577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13.5359781201527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22.9614763686527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705.254107110523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13.1544405068077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2" t="s">
        <v>150</v>
      </c>
      <c r="B3" s="2" t="s">
        <v>151</v>
      </c>
      <c r="C3" s="2" t="s">
        <v>141</v>
      </c>
      <c r="D3" s="2" t="s">
        <v>152</v>
      </c>
      <c r="E3" s="2" t="s">
        <v>144</v>
      </c>
      <c r="F3" s="2" t="s">
        <v>153</v>
      </c>
    </row>
    <row r="4" customFormat="false" ht="15" hidden="false" customHeight="false" outlineLevel="0" collapsed="false">
      <c r="A4" s="0" t="s">
        <v>154</v>
      </c>
      <c r="B4" s="4" t="n">
        <f aca="false">DCF_Bear!$B$38</f>
        <v>13.1504608808914</v>
      </c>
      <c r="C4" s="0" t="n">
        <f aca="false">B4/Assumptions!$B$2-1</f>
        <v>-0.226443477594624</v>
      </c>
      <c r="D4" s="4" t="n">
        <f aca="false">Assumptions!$B$24</f>
        <v>0.3</v>
      </c>
      <c r="E4" s="4" t="n">
        <f aca="false">DCF_Bear!$B$43</f>
        <v>13.4022424212669</v>
      </c>
      <c r="F4" s="4" t="n">
        <f aca="false">DCF_Bear!$B$47</f>
        <v>9.10566134979719</v>
      </c>
    </row>
    <row r="5" customFormat="false" ht="15" hidden="false" customHeight="false" outlineLevel="0" collapsed="false">
      <c r="A5" s="0" t="s">
        <v>155</v>
      </c>
      <c r="B5" s="4" t="n">
        <f aca="false">DCF_Base!$B$38</f>
        <v>18.7959566306687</v>
      </c>
      <c r="C5" s="0" t="n">
        <f aca="false">B5/Assumptions!$B$2-1</f>
        <v>0.105644507686394</v>
      </c>
      <c r="D5" s="4" t="n">
        <f aca="false">Assumptions!$B$38</f>
        <v>0.5</v>
      </c>
      <c r="E5" s="4" t="n">
        <f aca="false">DCF_Base!$B$43</f>
        <v>19.1532610853305</v>
      </c>
      <c r="F5" s="4" t="n">
        <f aca="false">DCF_Base!$B$47</f>
        <v>11.6608609841687</v>
      </c>
    </row>
    <row r="6" customFormat="false" ht="15" hidden="false" customHeight="false" outlineLevel="0" collapsed="false">
      <c r="A6" s="0" t="s">
        <v>156</v>
      </c>
      <c r="B6" s="4" t="n">
        <f aca="false">DCF_Bull!$B$38</f>
        <v>22.5291659255627</v>
      </c>
      <c r="C6" s="0" t="n">
        <f aca="false">B6/Assumptions!$B$2-1</f>
        <v>0.325245054444864</v>
      </c>
      <c r="D6" s="4" t="n">
        <f aca="false">Assumptions!$B$52</f>
        <v>0.2</v>
      </c>
      <c r="E6" s="4" t="n">
        <f aca="false">DCF_Bull!$B$43</f>
        <v>22.9614763686527</v>
      </c>
      <c r="F6" s="4" t="n">
        <f aca="false">DCF_Bull!$B$47</f>
        <v>13.1544405068077</v>
      </c>
    </row>
    <row r="8" customFormat="false" ht="15" hidden="false" customHeight="false" outlineLevel="0" collapsed="false">
      <c r="A8" s="0" t="s">
        <v>157</v>
      </c>
      <c r="B8" s="0" t="n">
        <f aca="false">SUMPRODUCT(B4:B6,D4:D6)</f>
        <v>17.8489497647143</v>
      </c>
    </row>
    <row r="9" customFormat="false" ht="15" hidden="false" customHeight="false" outlineLevel="0" collapsed="false">
      <c r="A9" s="0" t="s">
        <v>158</v>
      </c>
      <c r="B9" s="0" t="n">
        <f aca="false">SUMPRODUCT(E4:E6,D4:D6)</f>
        <v>18.1895985427758</v>
      </c>
    </row>
    <row r="10" customFormat="false" ht="15" hidden="false" customHeight="false" outlineLevel="0" collapsed="false">
      <c r="A10" s="0" t="s">
        <v>159</v>
      </c>
      <c r="B10" s="0" t="n">
        <f aca="false">1-Assumptions!$B$2/B8</f>
        <v>0.0475630093593854</v>
      </c>
    </row>
    <row r="11" customFormat="false" ht="15" hidden="false" customHeight="false" outlineLevel="0" collapsed="false">
      <c r="A11" s="0" t="s">
        <v>160</v>
      </c>
      <c r="B11" s="0" t="n">
        <f aca="false">IF(ABS(B9-B8)&gt;0.01*ABS(B8),(Assumptions!$B$2-B8)/(B9-B8)*100,"n/a")</f>
        <v>-249.215561419373</v>
      </c>
    </row>
    <row r="12" customFormat="false" ht="15" hidden="false" customHeight="false" outlineLevel="0" collapsed="false">
      <c r="A12" s="0" t="s">
        <v>161</v>
      </c>
      <c r="B12" s="0" t="n">
        <f aca="false">SUMPRODUCT(F4:F6,D4:D6)</f>
        <v>11.1930169983851</v>
      </c>
    </row>
    <row r="14" customFormat="false" ht="15" hidden="false" customHeight="false" outlineLevel="0" collapsed="false">
      <c r="A14" s="2" t="s">
        <v>162</v>
      </c>
      <c r="C14" s="0" t="s">
        <v>163</v>
      </c>
    </row>
    <row r="15" customFormat="false" ht="15" hidden="false" customHeight="false" outlineLevel="0" collapsed="false">
      <c r="A15" s="0" t="s">
        <v>164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18.7959566306687</v>
      </c>
      <c r="C15" s="3" t="n">
        <v>8.5</v>
      </c>
    </row>
    <row r="16" customFormat="false" ht="15" hidden="false" customHeight="false" outlineLevel="0" collapsed="false">
      <c r="A16" s="0" t="s">
        <v>165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18.2787802724563</v>
      </c>
      <c r="C16" s="3" t="n">
        <v>9</v>
      </c>
    </row>
    <row r="17" customFormat="false" ht="15" hidden="false" customHeight="false" outlineLevel="0" collapsed="false">
      <c r="A17" s="0" t="s">
        <v>166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16.7064660859973</v>
      </c>
      <c r="C17" s="3" t="n">
        <v>10</v>
      </c>
    </row>
    <row r="18" customFormat="false" ht="15" hidden="false" customHeight="false" outlineLevel="0" collapsed="false">
      <c r="A18" s="0" t="s">
        <v>167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15.2480447587426</v>
      </c>
      <c r="C18" s="3" t="n">
        <v>11</v>
      </c>
    </row>
    <row r="19" customFormat="false" ht="15" hidden="false" customHeight="false" outlineLevel="0" collapsed="false">
      <c r="A19" s="0" t="s">
        <v>168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14.0816826796193</v>
      </c>
      <c r="C19" s="3" t="n">
        <v>12</v>
      </c>
    </row>
    <row r="20" customFormat="false" ht="15" hidden="false" customHeight="false" outlineLevel="0" collapsed="false">
      <c r="A20" s="0" t="s">
        <v>169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11.6608609841687</v>
      </c>
      <c r="C20" s="3" t="n">
        <v>15</v>
      </c>
    </row>
    <row r="22" customFormat="false" ht="15" hidden="false" customHeight="false" outlineLevel="0" collapsed="false">
      <c r="A22" s="2" t="s">
        <v>170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21.1200186503463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21.1200186503463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21.1200186503463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21.1200186503463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21.1200186503463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19.9041861873788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19.9041861873788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19.9041861873788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19.9041861873788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19.9041861873788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18.4995027735868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18.7959566306687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18.7959566306687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18.7959566306687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18.7959566306687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16.7106517422543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17.118961518228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17.5817125976647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17.784562385911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17.784562385911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15.3006496515009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15.5998755271291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15.9343044469488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16.310536981746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16.7369338545162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2026-10-10T09:05:04Z</dcterms:created>
  <dc:creator>openpyxl</dc:creator>
  <dc:description/>
  <dc:language>en-NZ</dc:language>
  <cp:lastModifiedBy/>
  <dcterms:modified xsi:type="dcterms:W3CDTF">2026-10-10T09:05:04Z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