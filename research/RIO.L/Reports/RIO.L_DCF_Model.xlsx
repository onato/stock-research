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<sst xmlns="http://schemas.openxmlformats.org/spreadsheetml/2006/main" count="359" uniqueCount="165">
  <si>
    <t xml:space="preserve">Ticker</t>
  </si>
  <si>
    <t xml:space="preserve">RIO.L</t>
  </si>
  <si>
    <t xml:space="preserve">Company</t>
  </si>
  <si>
    <t xml:space="preserve">Rio Tinto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</si>
  <si>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</si>
  <si>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</si>
  <si>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</si>
  <si>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</si>
  <si>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2026-10-09T18:03:55Z LSE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</si>
  <si>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</si>
  <si>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</si>
  <si>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</si>
  <si>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</si>
  <si>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</si>
  <si>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</si>
  <si>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</si>
  <si>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</si>
  <si>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</si>
  <si>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</si>
  <si>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</si>
  <si>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</si>
  <si>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</si>
  <si>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2026-10-10T01:14:21Z</t>
  </si>
  <si>
    <t xml:space="preserve">Drivers file</t>
  </si>
  <si>
    <t xml:space="preserve">RIO.L_Drivers.json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</si>
  <si>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</si>
  <si>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</si>
  <si>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</si>
  <si>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Rio Tinto on mid-cycle, not spot, cash flows: a 44-45% underlying EBITDA margin on ~US$60bn of revenue, capex normalising to management's post-2028 guidance, and a terminal multiple capped at 11-15x owner FCF because a price-taking miner's exit multiple is set by the commodity cycle, not by Gordon growth. The current price embeds FY2026's price tailwind (copper, gold, aluminium at or near highs); the valuation question is what the business earns across a cycle. Reported in USD, converted to GBp at the dated GBPUSD rate with the NYSE ADR as the parity check.
key_risks_to_valuation: Iron ore price path: 10% = ~US$2.3bn EBITDA; a structural step down below US$80/t with Simandou and non-major supply is the bear case; Copper price and gold by-product credits: the 30-50c/lb C1 guidance assumes gold at ~US$4,000/oz; normalisation lifts unit costs and compresses the 71% copper margin; Capex overrun or extension of the US$11bn/yr program (Simandou rail/port, OT Panel transfers, lithium plants) delays the capex-to-16% normalisation the FCF path depends on; NCI leakage understated: as Oyu Tolgoi reaches 500ktpa the 34% Mongolian share plus Simandou partners could exceed the 3.5pp folded into the tax line; the Mongolian tax dispute (US$443m paid under protest) is sovereign risk on the same asset; FX: a 10% AUD move is ~US$1.2bn EBITDA; and the GBp quote means a GBPUSD move changes the pence value without any change in the USD business; Closure provision (US$18.9bn) and decarbonisation spend could run above the ~US$1bn/yr charged; Renewed M&amp;A (Glencore talks collapsed Feb 2026; six-month standstill expired Aug 2026) could change the share count and asset mix</t>
  </si>
  <si>
    <t xml:space="preserve">Data sources</t>
  </si>
  <si>
    <t xml:space="preserve">price: Yahoo Finance chart API, LSE regular close at inputs.price_as_of; 52-week range 4970.5-9117.0 GBp. GBPUSD=X and RIO (NYSE ADR) from the same API for the FX bridge and parity check.
financials: RIO.L_Metrics.csv (core_metrics, FY2016-FY2025 annual plus H1 FY2025 / H1 FY2026, USD millions, attributable basis, EBITDA = underlying EBITDA); FY2025 Annual Report (cash flow statement, Note 20 net debt, Note 21 leases, share-based payments); H1 2026 interim report (net debt US$14,061m, NCI equity US$6,239m, diluted shares 1,640.2m, closure provision US$18.9bn); H1 2026 results slides (capex guidance 2026/27 up to US$11bn, 2028+ up to US$10bn).
qualitative: RIO.L_Analysis.json (2026-10-10): commodity cyclicality, Pilbara/China dependency, Simandou and Oyu Tolgoi ramp, Trott strategy reset and US$5-10bn cash release, collapsed Glencore talks, Mongolian tax dispute.</t>
  </si>
  <si>
    <t xml:space="preserve">Scenario narrative: bear</t>
  </si>
  <si>
    <t xml:space="preserve">China steel and supply glut. Chinese property-driven steel demand keeps sliding, Simandou (Rio's own and the rival WCS blocks) and non-major supply push seaborne iron ore to US$75-80/t in FY2027 while copper retraces to ~US$4/lb and gold credits normalise. Underlying margins fall to the high-30s, revenue drops 14% and does not recover in real terms; the Mongolian tax dispute and Resolution injunction stay unresolved, and the US$11bn capex program cannot be cut quickly, so owner FCF troughs near US$5bn before recovering to ~US$6-7bn. Terminal 11x, 2% growth.</t>
  </si>
  <si>
    <t xml:space="preserve">Scenario narrative: base</t>
  </si>
  <si>
    <t xml:space="preserve">Mid-cycle Rio. FY2026 is a price-tailwind year (H1 underlying EBITDA +28% YoY, US$3.6bn of it price) and the model takes it as such, then reverts in FY2027 to a 44% underlying margin and ~US$60bn revenue -- roughly the FY2022-25 average, with iron ore around US$90-100/t and copper below the 2026 spike. From there the business grows at management's ~3% copper-equivalent volume CAGR (Simandou to 60Mtpa, Oyu Tolgoi ~500ktpa from 2028, lithium ~200ktpa LCE by 2028) at flat real prices, with the Trott productivity program holding the margin against Pilbara grade decline. Capex follows guidance down from US$11bn to US$10bn and settles near 16% of revenue, so mid-cycle owner FCF is ~US$9.5-10bn (15-16% of revenue, versus 22% in 2017-20 before the capex super-cycle and 7% in FY2025 at its peak). The cap at 13x terminal FCF binds -- the model does not pay a Gordon multiple for a price-taker.</t>
  </si>
  <si>
    <t xml:space="preserve">Scenario narrative: bull</t>
  </si>
  <si>
    <t xml:space="preserve">Electrification super-cycle. Copper and aluminium stay structurally tight (AI/data-centre and grid demand, 2026 TC/RC at zero), gold by-product credits hold C1 copper costs at 30-50c/lb, and iron ore holds ~US$100/t as Simandou's high-grade product earns a premium rather than a discount. The productivity program exceeds US$1.8bn, the US$5-10bn portfolio cash release funds growth without stretching the balance sheet, and underlying margins hold ~46-47% through the decade with 4% growth. Terminal 15x, 3%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</si>
  <si>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</si>
  <si>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</si>
  <si>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</si>
  <si>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</si>
  <si>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</si>
  <si>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</si>
  <si>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</si>
  <si>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</si>
  <si>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</si>
  <si>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</si>
  <si>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</si>
  <si>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</si>
  <si>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</si>
  <si>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</si>
  <si>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</si>
  <si>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</si>
  <si>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</si>
  <si>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</si>
  <si>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</si>
  <si>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</si>
  <si>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</si>
  <si>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</si>
  <si>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</si>
  <si>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</si>
  <si>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</si>
  <si>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</si>
  <si>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</si>
  <si>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</si>
  <si>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</si>
  <si>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</si>
  <si>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</si>
  <si>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</si>
  <si>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</si>
  <si>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</si>
  <si>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</si>
  <si>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</si>
  <si>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</si>
  <si>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</si>
  <si>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</si>
  <si>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</si>
  <si>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</si>
  <si>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</si>
  <si>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</si>
  <si>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</si>
  <si>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</si>
  <si>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</si>
  <si>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</si>
  <si>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</si>
  <si>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</si>
  <si>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</si>
  <si>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</si>
  <si>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</si>
  <si>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</si>
  <si>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</si>
  <si>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</si>
  <si>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</si>
  <si>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</si>
  <si>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</si>
  <si>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</si>
  <si>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</si>
  <si>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</si>
  <si>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</si>
  <si>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</si>
  <si>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</si>
  <si>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</si>
  <si>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</si>
  <si>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</si>
  <si>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</si>
  <si>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</si>
  <si>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</si>
  <si>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</si>
  <si>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</si>
  <si>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</si>
  <si>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</si>
  <si>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RIO.L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</si>
  <si>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</si>
  <si>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</si>
  <si>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</si>
  <si>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</si>
  <si>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</si>
  <si>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</si>
  <si>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</si>
  <si>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</si>
  <si>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</si>
  <si>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</si>
  <si>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</si>
  <si>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</si>
  <si>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</si>
  <si>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</si>
  <si>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</si>
  <si>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</si>
  <si>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</si>
  <si>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</si>
  <si>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</si>
  <si>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</si>
  <si>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</si>
  <si>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</si>
  <si>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</si>
  <si>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</si>
  <si>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</si>
  <si>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</si>
  <si>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</si>
  <si>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</si>
  <si>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</si>
  <si>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</si>
  <si>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RIO.L owner-FCF component DCF: base case (millions, USD)</t>
  </si>
  <si>
    <t xml:space="preserve">RIO.L owner-FCF component DCF: bull case (millions, USD)</t>
  </si>
  <si>
    <t xml:space="preserve">RIO.L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</si>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</sst>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7126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33781</v>
      </c>
      <c r="F2" s="0" t="n">
        <v>6795</v>
      </c>
      <c r="G2" s="0" t="n">
        <v>20.1</v>
      </c>
      <c r="H2" s="0" t="n">
        <v>13510</v>
      </c>
      <c r="I2" s="0" t="n">
        <v>4617</v>
      </c>
      <c r="J2" s="0" t="n">
        <v>13.7</v>
      </c>
      <c r="K2" s="0" t="n">
        <v>2.553</v>
      </c>
      <c r="L2" s="0" t="n">
        <v>8465</v>
      </c>
      <c r="M2" s="0" t="n">
        <v>3012</v>
      </c>
      <c r="N2" s="0" t="n">
        <v>5453</v>
      </c>
      <c r="O2" s="0" t="n">
        <v>39290</v>
      </c>
      <c r="P2" s="0" t="n">
        <v>89263</v>
      </c>
      <c r="Q2" s="0" t="n">
        <v>43533</v>
      </c>
      <c r="R2" s="0" t="n">
        <v>18392</v>
      </c>
      <c r="S2" s="0" t="n">
        <v>8201</v>
      </c>
      <c r="T2" s="0" t="n">
        <v>1808.5</v>
      </c>
      <c r="U2" s="0" t="n">
        <v>125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40030</v>
      </c>
      <c r="F3" s="0" t="n">
        <v>14135</v>
      </c>
      <c r="G3" s="0" t="n">
        <v>35.3</v>
      </c>
      <c r="H3" s="0" t="n">
        <v>18580</v>
      </c>
      <c r="I3" s="0" t="n">
        <v>8762</v>
      </c>
      <c r="J3" s="0" t="n">
        <v>21.9</v>
      </c>
      <c r="K3" s="0" t="n">
        <v>4.869</v>
      </c>
      <c r="L3" s="0" t="n">
        <v>13884</v>
      </c>
      <c r="M3" s="0" t="n">
        <v>4482</v>
      </c>
      <c r="N3" s="0" t="n">
        <v>9402</v>
      </c>
      <c r="O3" s="0" t="n">
        <v>44711</v>
      </c>
      <c r="P3" s="0" t="n">
        <v>95726</v>
      </c>
      <c r="Q3" s="0" t="n">
        <v>44611</v>
      </c>
      <c r="R3" s="0" t="n">
        <v>16052</v>
      </c>
      <c r="S3" s="0" t="n">
        <v>10550</v>
      </c>
      <c r="T3" s="0" t="n">
        <v>1799.6</v>
      </c>
      <c r="U3" s="0" t="n">
        <v>98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40522</v>
      </c>
      <c r="F4" s="0" t="n">
        <v>17687</v>
      </c>
      <c r="G4" s="0" t="n">
        <v>43.6</v>
      </c>
      <c r="H4" s="0" t="n">
        <v>18136</v>
      </c>
      <c r="I4" s="0" t="n">
        <v>13638</v>
      </c>
      <c r="J4" s="0" t="n">
        <v>33.7</v>
      </c>
      <c r="K4" s="0" t="n">
        <v>7.876</v>
      </c>
      <c r="L4" s="0" t="n">
        <v>11821</v>
      </c>
      <c r="M4" s="0" t="n">
        <v>5430</v>
      </c>
      <c r="N4" s="0" t="n">
        <v>6391</v>
      </c>
      <c r="O4" s="0" t="n">
        <v>43686</v>
      </c>
      <c r="P4" s="0" t="n">
        <v>90949</v>
      </c>
      <c r="Q4" s="0" t="n">
        <v>41126</v>
      </c>
      <c r="R4" s="0" t="n">
        <v>13920</v>
      </c>
      <c r="S4" s="0" t="n">
        <v>10773</v>
      </c>
      <c r="T4" s="0" t="n">
        <v>1731.7</v>
      </c>
      <c r="U4" s="0" t="n">
        <v>111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43165</v>
      </c>
      <c r="F5" s="0" t="n">
        <v>11466</v>
      </c>
      <c r="G5" s="0" t="n">
        <v>26.6</v>
      </c>
      <c r="H5" s="0" t="n">
        <v>21197</v>
      </c>
      <c r="I5" s="0" t="n">
        <v>8010</v>
      </c>
      <c r="J5" s="0" t="n">
        <v>18.6</v>
      </c>
      <c r="K5" s="0" t="n">
        <v>4.878</v>
      </c>
      <c r="L5" s="0" t="n">
        <v>14912</v>
      </c>
      <c r="M5" s="0" t="n">
        <v>5488</v>
      </c>
      <c r="N5" s="0" t="n">
        <v>9424</v>
      </c>
      <c r="O5" s="0" t="n">
        <v>40532</v>
      </c>
      <c r="P5" s="0" t="n">
        <v>87802</v>
      </c>
      <c r="Q5" s="0" t="n">
        <v>42560</v>
      </c>
      <c r="R5" s="0" t="n">
        <v>14713</v>
      </c>
      <c r="S5" s="0" t="n">
        <v>8027</v>
      </c>
      <c r="T5" s="0" t="n">
        <v>1642.1</v>
      </c>
      <c r="U5" s="0" t="n">
        <v>126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44611</v>
      </c>
      <c r="F6" s="0" t="n">
        <v>16829</v>
      </c>
      <c r="G6" s="0" t="n">
        <v>37.7</v>
      </c>
      <c r="H6" s="0" t="n">
        <v>23902</v>
      </c>
      <c r="I6" s="0" t="n">
        <v>9769</v>
      </c>
      <c r="J6" s="0" t="n">
        <v>21.9</v>
      </c>
      <c r="K6" s="0" t="n">
        <v>5.998</v>
      </c>
      <c r="L6" s="0" t="n">
        <v>15875</v>
      </c>
      <c r="M6" s="0" t="n">
        <v>6189</v>
      </c>
      <c r="N6" s="0" t="n">
        <v>9686</v>
      </c>
      <c r="O6" s="0" t="n">
        <v>47054</v>
      </c>
      <c r="P6" s="0" t="n">
        <v>97390</v>
      </c>
      <c r="Q6" s="0" t="n">
        <v>45487</v>
      </c>
      <c r="R6" s="0" t="n">
        <v>14015</v>
      </c>
      <c r="S6" s="0" t="n">
        <v>10381</v>
      </c>
      <c r="T6" s="0" t="n">
        <v>1628.6</v>
      </c>
      <c r="U6" s="0" t="n">
        <v>143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63495</v>
      </c>
      <c r="F7" s="0" t="n">
        <v>29817</v>
      </c>
      <c r="G7" s="0" t="n">
        <v>47</v>
      </c>
      <c r="H7" s="0" t="n">
        <v>37720</v>
      </c>
      <c r="I7" s="0" t="n">
        <v>21094</v>
      </c>
      <c r="J7" s="0" t="n">
        <v>33.2</v>
      </c>
      <c r="K7" s="0" t="n">
        <v>12.95</v>
      </c>
      <c r="L7" s="0" t="n">
        <v>25345</v>
      </c>
      <c r="M7" s="0" t="n">
        <v>7384</v>
      </c>
      <c r="N7" s="0" t="n">
        <v>17961</v>
      </c>
      <c r="O7" s="0" t="n">
        <v>51432</v>
      </c>
      <c r="P7" s="0" t="n">
        <v>102896</v>
      </c>
      <c r="Q7" s="0" t="n">
        <v>46306</v>
      </c>
      <c r="R7" s="0" t="n">
        <v>13531</v>
      </c>
      <c r="S7" s="0" t="n">
        <v>12807</v>
      </c>
      <c r="T7" s="0" t="n">
        <v>1628.9</v>
      </c>
      <c r="U7" s="0" t="n">
        <v>109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55554</v>
      </c>
      <c r="F8" s="0" t="n">
        <v>19933</v>
      </c>
      <c r="G8" s="0" t="n">
        <v>35.9</v>
      </c>
      <c r="H8" s="0" t="n">
        <v>26272</v>
      </c>
      <c r="I8" s="0" t="n">
        <v>12420</v>
      </c>
      <c r="J8" s="0" t="n">
        <v>22.4</v>
      </c>
      <c r="K8" s="0" t="n">
        <v>7.621</v>
      </c>
      <c r="L8" s="0" t="n">
        <v>16134</v>
      </c>
      <c r="M8" s="0" t="n">
        <v>6750</v>
      </c>
      <c r="N8" s="0" t="n">
        <v>9384</v>
      </c>
      <c r="O8" s="0" t="n">
        <v>50175</v>
      </c>
      <c r="P8" s="0" t="n">
        <v>96744</v>
      </c>
      <c r="Q8" s="0" t="n">
        <v>44470</v>
      </c>
      <c r="R8" s="0" t="n">
        <v>12271</v>
      </c>
      <c r="S8" s="0" t="n">
        <v>6775</v>
      </c>
      <c r="T8" s="0" t="n">
        <v>1629.6</v>
      </c>
      <c r="U8" s="0" t="n">
        <v>119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54041</v>
      </c>
      <c r="F9" s="0" t="n">
        <v>14823</v>
      </c>
      <c r="G9" s="0" t="n">
        <v>27.4</v>
      </c>
      <c r="H9" s="0" t="n">
        <v>23892</v>
      </c>
      <c r="I9" s="0" t="n">
        <v>10058</v>
      </c>
      <c r="J9" s="0" t="n">
        <v>18.6</v>
      </c>
      <c r="K9" s="0" t="n">
        <v>6.165</v>
      </c>
      <c r="L9" s="0" t="n">
        <v>15160</v>
      </c>
      <c r="M9" s="0" t="n">
        <v>7086</v>
      </c>
      <c r="N9" s="0" t="n">
        <v>8074</v>
      </c>
      <c r="O9" s="0" t="n">
        <v>54586</v>
      </c>
      <c r="P9" s="0" t="n">
        <v>103549</v>
      </c>
      <c r="Q9" s="0" t="n">
        <v>47208</v>
      </c>
      <c r="R9" s="0" t="n">
        <v>14352</v>
      </c>
      <c r="S9" s="0" t="n">
        <v>9673</v>
      </c>
      <c r="T9" s="0" t="n">
        <v>1631.5</v>
      </c>
      <c r="U9" s="0" t="n">
        <v>142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53658</v>
      </c>
      <c r="F10" s="0" t="n">
        <v>15653</v>
      </c>
      <c r="G10" s="0" t="n">
        <v>29.2</v>
      </c>
      <c r="H10" s="0" t="n">
        <v>23314</v>
      </c>
      <c r="I10" s="0" t="n">
        <v>11552</v>
      </c>
      <c r="J10" s="0" t="n">
        <v>21.5</v>
      </c>
      <c r="K10" s="0" t="n">
        <v>7.072</v>
      </c>
      <c r="L10" s="0" t="n">
        <v>15599</v>
      </c>
      <c r="M10" s="0" t="n">
        <v>9621</v>
      </c>
      <c r="N10" s="0" t="n">
        <v>5978</v>
      </c>
      <c r="O10" s="0" t="n">
        <v>55246</v>
      </c>
      <c r="P10" s="0" t="n">
        <v>102786</v>
      </c>
      <c r="Q10" s="0" t="n">
        <v>44821</v>
      </c>
      <c r="R10" s="0" t="n">
        <v>13855</v>
      </c>
      <c r="S10" s="0" t="n">
        <v>8495</v>
      </c>
      <c r="T10" s="0" t="n">
        <v>1633.4</v>
      </c>
      <c r="U10" s="0" t="n">
        <v>150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57638</v>
      </c>
      <c r="F11" s="0" t="n">
        <v>14936</v>
      </c>
      <c r="G11" s="0" t="n">
        <v>25.9</v>
      </c>
      <c r="H11" s="0" t="n">
        <v>25363</v>
      </c>
      <c r="I11" s="0" t="n">
        <v>9966</v>
      </c>
      <c r="J11" s="0" t="n">
        <v>17.3</v>
      </c>
      <c r="K11" s="0" t="n">
        <v>6.084</v>
      </c>
      <c r="L11" s="0" t="n">
        <v>16832</v>
      </c>
      <c r="M11" s="0" t="n">
        <v>12335</v>
      </c>
      <c r="N11" s="0" t="n">
        <v>4497</v>
      </c>
      <c r="O11" s="0" t="n">
        <v>62203</v>
      </c>
      <c r="P11" s="0" t="n">
        <v>128102</v>
      </c>
      <c r="Q11" s="0" t="n">
        <v>61078</v>
      </c>
      <c r="R11" s="0" t="n">
        <v>23517</v>
      </c>
      <c r="S11" s="0" t="n">
        <v>8872</v>
      </c>
      <c r="T11" s="0" t="n">
        <v>1638</v>
      </c>
      <c r="U11" s="0" t="n">
        <v>249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7126</v>
      </c>
    </row>
    <row r="3" customFormat="false" ht="15" hidden="false" customHeight="false" outlineLevel="0" collapsed="false">
      <c r="A3" s="0" t="s">
        <v>77</v>
      </c>
      <c r="B3" s="3" t="n">
        <v>1640.2</v>
      </c>
    </row>
    <row r="4" customFormat="false" ht="15" hidden="false" customHeight="false" outlineLevel="0" collapsed="false">
      <c r="A4" s="0" t="s">
        <v>78</v>
      </c>
      <c r="B4" s="3" t="n">
        <v>14061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57638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75.57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6</v>
      </c>
      <c r="D13" s="3" t="n">
        <v>-14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44.3</v>
      </c>
      <c r="D14" s="3" t="n">
        <v>36.5</v>
      </c>
      <c r="E14" s="3" t="n">
        <v>37.5</v>
      </c>
      <c r="F14" s="3" t="n">
        <v>38</v>
      </c>
      <c r="G14" s="3" t="n">
        <v>38.5</v>
      </c>
      <c r="H14" s="3" t="n">
        <v>38.5</v>
      </c>
      <c r="I14" s="3" t="n">
        <v>38.5</v>
      </c>
      <c r="J14" s="3" t="n">
        <v>38.5</v>
      </c>
      <c r="K14" s="3" t="n">
        <v>38.5</v>
      </c>
      <c r="L14" s="3" t="n">
        <v>38.5</v>
      </c>
    </row>
    <row r="15" customFormat="false" ht="15" hidden="false" customHeight="false" outlineLevel="0" collapsed="false">
      <c r="A15" s="0" t="s">
        <v>99</v>
      </c>
      <c r="C15" s="3" t="n">
        <v>0.45</v>
      </c>
      <c r="D15" s="3" t="n">
        <v>0.45</v>
      </c>
      <c r="E15" s="3" t="n">
        <v>0.45</v>
      </c>
      <c r="F15" s="3" t="n">
        <v>0.45</v>
      </c>
      <c r="G15" s="3" t="n">
        <v>0.45</v>
      </c>
      <c r="H15" s="3" t="n">
        <v>0.45</v>
      </c>
      <c r="I15" s="3" t="n">
        <v>0.45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11.6</v>
      </c>
      <c r="D17" s="3" t="n">
        <v>12.5</v>
      </c>
      <c r="E17" s="3" t="n">
        <v>12.5</v>
      </c>
      <c r="F17" s="3" t="n">
        <v>12.5</v>
      </c>
      <c r="G17" s="3" t="n">
        <v>12.5</v>
      </c>
      <c r="H17" s="3" t="n">
        <v>12.5</v>
      </c>
      <c r="I17" s="3" t="n">
        <v>12.5</v>
      </c>
      <c r="J17" s="3" t="n">
        <v>12.5</v>
      </c>
      <c r="K17" s="3" t="n">
        <v>12.5</v>
      </c>
      <c r="L17" s="3" t="n">
        <v>12.5</v>
      </c>
    </row>
    <row r="18" customFormat="false" ht="15" hidden="false" customHeight="false" outlineLevel="0" collapsed="false">
      <c r="A18" s="0" t="s">
        <v>102</v>
      </c>
      <c r="C18" s="3" t="n">
        <v>18.5</v>
      </c>
      <c r="D18" s="3" t="n">
        <v>18.5</v>
      </c>
      <c r="E18" s="3" t="n">
        <v>17.5</v>
      </c>
      <c r="F18" s="3" t="n">
        <v>17</v>
      </c>
      <c r="G18" s="3" t="n">
        <v>16.5</v>
      </c>
      <c r="H18" s="3" t="n">
        <v>16.5</v>
      </c>
      <c r="I18" s="3" t="n">
        <v>16.5</v>
      </c>
      <c r="J18" s="3" t="n">
        <v>16.5</v>
      </c>
      <c r="K18" s="3" t="n">
        <v>16.5</v>
      </c>
      <c r="L18" s="3" t="n">
        <v>16.5</v>
      </c>
    </row>
    <row r="19" customFormat="false" ht="15" hidden="false" customHeight="false" outlineLevel="0" collapsed="false">
      <c r="A19" s="0" t="s">
        <v>103</v>
      </c>
      <c r="C19" s="3" t="n">
        <v>27.5</v>
      </c>
      <c r="D19" s="3" t="n">
        <v>32.5</v>
      </c>
      <c r="E19" s="3" t="n">
        <v>32.5</v>
      </c>
      <c r="F19" s="3" t="n">
        <v>33</v>
      </c>
      <c r="G19" s="3" t="n">
        <v>33</v>
      </c>
      <c r="H19" s="3" t="n">
        <v>33.5</v>
      </c>
      <c r="I19" s="3" t="n">
        <v>33.5</v>
      </c>
      <c r="J19" s="3" t="n">
        <v>33.5</v>
      </c>
      <c r="K19" s="3" t="n">
        <v>33.5</v>
      </c>
      <c r="L19" s="3" t="n">
        <v>33.5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11</v>
      </c>
    </row>
    <row r="23" customFormat="false" ht="15" hidden="false" customHeight="false" outlineLevel="0" collapsed="false">
      <c r="A23" s="0" t="s">
        <v>107</v>
      </c>
      <c r="B23" s="3" t="n">
        <v>-5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9</v>
      </c>
      <c r="D27" s="3" t="n">
        <v>-5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45.3</v>
      </c>
      <c r="D28" s="3" t="n">
        <v>42.3</v>
      </c>
      <c r="E28" s="3" t="n">
        <v>42.5</v>
      </c>
      <c r="F28" s="3" t="n">
        <v>42.5</v>
      </c>
      <c r="G28" s="3" t="n">
        <v>42.8</v>
      </c>
      <c r="H28" s="3" t="n">
        <v>43</v>
      </c>
      <c r="I28" s="3" t="n">
        <v>43</v>
      </c>
      <c r="J28" s="3" t="n">
        <v>43</v>
      </c>
      <c r="K28" s="3" t="n">
        <v>43</v>
      </c>
      <c r="L28" s="3" t="n">
        <v>43</v>
      </c>
    </row>
    <row r="29" customFormat="false" ht="15" hidden="false" customHeight="false" outlineLevel="0" collapsed="false">
      <c r="A29" s="0" t="s">
        <v>99</v>
      </c>
      <c r="C29" s="3" t="n">
        <v>0.45</v>
      </c>
      <c r="D29" s="3" t="n">
        <v>0.45</v>
      </c>
      <c r="E29" s="3" t="n">
        <v>0.45</v>
      </c>
      <c r="F29" s="3" t="n">
        <v>0.45</v>
      </c>
      <c r="G29" s="3" t="n">
        <v>0.45</v>
      </c>
      <c r="H29" s="3" t="n">
        <v>0.45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11.6</v>
      </c>
      <c r="D31" s="3" t="n">
        <v>12</v>
      </c>
      <c r="E31" s="3" t="n">
        <v>12</v>
      </c>
      <c r="F31" s="3" t="n">
        <v>12</v>
      </c>
      <c r="G31" s="3" t="n">
        <v>12</v>
      </c>
      <c r="H31" s="3" t="n">
        <v>12</v>
      </c>
      <c r="I31" s="3" t="n">
        <v>12</v>
      </c>
      <c r="J31" s="3" t="n">
        <v>12</v>
      </c>
      <c r="K31" s="3" t="n">
        <v>12</v>
      </c>
      <c r="L31" s="3" t="n">
        <v>12</v>
      </c>
    </row>
    <row r="32" customFormat="false" ht="15" hidden="false" customHeight="false" outlineLevel="0" collapsed="false">
      <c r="A32" s="0" t="s">
        <v>102</v>
      </c>
      <c r="C32" s="3" t="n">
        <v>18</v>
      </c>
      <c r="D32" s="3" t="n">
        <v>18</v>
      </c>
      <c r="E32" s="3" t="n">
        <v>16.5</v>
      </c>
      <c r="F32" s="3" t="n">
        <v>16.5</v>
      </c>
      <c r="G32" s="3" t="n">
        <v>16</v>
      </c>
      <c r="H32" s="3" t="n">
        <v>16</v>
      </c>
      <c r="I32" s="3" t="n">
        <v>16</v>
      </c>
      <c r="J32" s="3" t="n">
        <v>16</v>
      </c>
      <c r="K32" s="3" t="n">
        <v>16</v>
      </c>
      <c r="L32" s="3" t="n">
        <v>16</v>
      </c>
    </row>
    <row r="33" customFormat="false" ht="15" hidden="false" customHeight="false" outlineLevel="0" collapsed="false">
      <c r="A33" s="0" t="s">
        <v>103</v>
      </c>
      <c r="C33" s="3" t="n">
        <v>27.5</v>
      </c>
      <c r="D33" s="3" t="n">
        <v>32.5</v>
      </c>
      <c r="E33" s="3" t="n">
        <v>32.5</v>
      </c>
      <c r="F33" s="3" t="n">
        <v>33</v>
      </c>
      <c r="G33" s="3" t="n">
        <v>33</v>
      </c>
      <c r="H33" s="3" t="n">
        <v>33.5</v>
      </c>
      <c r="I33" s="3" t="n">
        <v>33.5</v>
      </c>
      <c r="J33" s="3" t="n">
        <v>33.5</v>
      </c>
      <c r="K33" s="3" t="n">
        <v>33.5</v>
      </c>
      <c r="L33" s="3" t="n">
        <v>33.5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13</v>
      </c>
    </row>
    <row r="37" customFormat="false" ht="15" hidden="false" customHeight="false" outlineLevel="0" collapsed="false">
      <c r="A37" s="0" t="s">
        <v>107</v>
      </c>
      <c r="B37" s="3" t="n">
        <v>-5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11</v>
      </c>
      <c r="D41" s="3" t="n">
        <v>-1</v>
      </c>
      <c r="E41" s="3" t="n">
        <v>4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46.3</v>
      </c>
      <c r="D42" s="3" t="n">
        <v>44.5</v>
      </c>
      <c r="E42" s="3" t="n">
        <v>44.8</v>
      </c>
      <c r="F42" s="3" t="n">
        <v>45</v>
      </c>
      <c r="G42" s="3" t="n">
        <v>45</v>
      </c>
      <c r="H42" s="3" t="n">
        <v>45</v>
      </c>
      <c r="I42" s="3" t="n">
        <v>45</v>
      </c>
      <c r="J42" s="3" t="n">
        <v>45</v>
      </c>
      <c r="K42" s="3" t="n">
        <v>45</v>
      </c>
      <c r="L42" s="3" t="n">
        <v>45</v>
      </c>
    </row>
    <row r="43" customFormat="false" ht="15" hidden="false" customHeight="false" outlineLevel="0" collapsed="false">
      <c r="A43" s="0" t="s">
        <v>99</v>
      </c>
      <c r="C43" s="3" t="n">
        <v>0.45</v>
      </c>
      <c r="D43" s="3" t="n">
        <v>0.45</v>
      </c>
      <c r="E43" s="3" t="n">
        <v>0.45</v>
      </c>
      <c r="F43" s="3" t="n">
        <v>0.45</v>
      </c>
      <c r="G43" s="3" t="n">
        <v>0.45</v>
      </c>
      <c r="H43" s="3" t="n">
        <v>0.45</v>
      </c>
      <c r="I43" s="3" t="n">
        <v>0.45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11.6</v>
      </c>
      <c r="D45" s="3" t="n">
        <v>12</v>
      </c>
      <c r="E45" s="3" t="n">
        <v>12</v>
      </c>
      <c r="F45" s="3" t="n">
        <v>12</v>
      </c>
      <c r="G45" s="3" t="n">
        <v>12</v>
      </c>
      <c r="H45" s="3" t="n">
        <v>12</v>
      </c>
      <c r="I45" s="3" t="n">
        <v>12</v>
      </c>
      <c r="J45" s="3" t="n">
        <v>12</v>
      </c>
      <c r="K45" s="3" t="n">
        <v>12</v>
      </c>
      <c r="L45" s="3" t="n">
        <v>12</v>
      </c>
    </row>
    <row r="46" customFormat="false" ht="15" hidden="false" customHeight="false" outlineLevel="0" collapsed="false">
      <c r="A46" s="0" t="s">
        <v>102</v>
      </c>
      <c r="C46" s="3" t="n">
        <v>18</v>
      </c>
      <c r="D46" s="3" t="n">
        <v>18</v>
      </c>
      <c r="E46" s="3" t="n">
        <v>16.5</v>
      </c>
      <c r="F46" s="3" t="n">
        <v>16.5</v>
      </c>
      <c r="G46" s="3" t="n">
        <v>16</v>
      </c>
      <c r="H46" s="3" t="n">
        <v>16</v>
      </c>
      <c r="I46" s="3" t="n">
        <v>16</v>
      </c>
      <c r="J46" s="3" t="n">
        <v>16</v>
      </c>
      <c r="K46" s="3" t="n">
        <v>16</v>
      </c>
      <c r="L46" s="3" t="n">
        <v>16</v>
      </c>
    </row>
    <row r="47" customFormat="false" ht="15" hidden="false" customHeight="false" outlineLevel="0" collapsed="false">
      <c r="A47" s="0" t="s">
        <v>103</v>
      </c>
      <c r="C47" s="3" t="n">
        <v>27.5</v>
      </c>
      <c r="D47" s="3" t="n">
        <v>32</v>
      </c>
      <c r="E47" s="3" t="n">
        <v>32</v>
      </c>
      <c r="F47" s="3" t="n">
        <v>32.5</v>
      </c>
      <c r="G47" s="3" t="n">
        <v>32.5</v>
      </c>
      <c r="H47" s="3" t="n">
        <v>33</v>
      </c>
      <c r="I47" s="3" t="n">
        <v>33</v>
      </c>
      <c r="J47" s="3" t="n">
        <v>33</v>
      </c>
      <c r="K47" s="3" t="n">
        <v>33</v>
      </c>
      <c r="L47" s="3" t="n">
        <v>33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6</v>
      </c>
      <c r="D5" s="4" t="n">
        <f aca="false">Assumptions!D13</f>
        <v>-14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57638</v>
      </c>
      <c r="C6" s="0" t="n">
        <f aca="false">B6*(1+C5/100)</f>
        <v>61096.28</v>
      </c>
      <c r="D6" s="0" t="n">
        <f aca="false">C6*(1+D5/100)</f>
        <v>52542.8008</v>
      </c>
      <c r="E6" s="0" t="n">
        <f aca="false">D6*(1+E5/100)</f>
        <v>52542.8008</v>
      </c>
      <c r="F6" s="0" t="n">
        <f aca="false">E6*(1+F5/100)</f>
        <v>53593.656816</v>
      </c>
      <c r="G6" s="0" t="n">
        <f aca="false">F6*(1+G5/100)</f>
        <v>54665.52995232</v>
      </c>
      <c r="H6" s="0" t="n">
        <f aca="false">G6*(1+H5/100)</f>
        <v>55758.8405513664</v>
      </c>
      <c r="I6" s="0" t="n">
        <f aca="false">H6*(1+I5/100)</f>
        <v>56874.0173623937</v>
      </c>
      <c r="J6" s="0" t="n">
        <f aca="false">I6*(1+J5/100)</f>
        <v>58011.4977096416</v>
      </c>
      <c r="K6" s="0" t="n">
        <f aca="false">J6*(1+K5/100)</f>
        <v>59171.7276638344</v>
      </c>
      <c r="L6" s="0" t="n">
        <f aca="false">K6*(1+L5/100)</f>
        <v>60355.1622171111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44.3</v>
      </c>
      <c r="D7" s="4" t="n">
        <f aca="false">Assumptions!D14</f>
        <v>36.5</v>
      </c>
      <c r="E7" s="4" t="n">
        <f aca="false">Assumptions!E14</f>
        <v>37.5</v>
      </c>
      <c r="F7" s="4" t="n">
        <f aca="false">Assumptions!F14</f>
        <v>38</v>
      </c>
      <c r="G7" s="4" t="n">
        <f aca="false">Assumptions!G14</f>
        <v>38.5</v>
      </c>
      <c r="H7" s="4" t="n">
        <f aca="false">Assumptions!H14</f>
        <v>38.5</v>
      </c>
      <c r="I7" s="4" t="n">
        <f aca="false">Assumptions!I14</f>
        <v>38.5</v>
      </c>
      <c r="J7" s="4" t="n">
        <f aca="false">Assumptions!J14</f>
        <v>38.5</v>
      </c>
      <c r="K7" s="4" t="n">
        <f aca="false">Assumptions!K14</f>
        <v>38.5</v>
      </c>
      <c r="L7" s="4" t="n">
        <f aca="false">Assumptions!L14</f>
        <v>38.5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27065.65204</v>
      </c>
      <c r="D8" s="0" t="n">
        <f aca="false">D6*D7/100</f>
        <v>19178.122292</v>
      </c>
      <c r="E8" s="0" t="n">
        <f aca="false">E6*E7/100</f>
        <v>19703.5503</v>
      </c>
      <c r="F8" s="0" t="n">
        <f aca="false">F6*F7/100</f>
        <v>20365.58959008</v>
      </c>
      <c r="G8" s="0" t="n">
        <f aca="false">G6*G7/100</f>
        <v>21046.2290316432</v>
      </c>
      <c r="H8" s="0" t="n">
        <f aca="false">H6*H7/100</f>
        <v>21467.1536122761</v>
      </c>
      <c r="I8" s="0" t="n">
        <f aca="false">I6*I7/100</f>
        <v>21896.4966845216</v>
      </c>
      <c r="J8" s="0" t="n">
        <f aca="false">J6*J7/100</f>
        <v>22334.426618212</v>
      </c>
      <c r="K8" s="0" t="n">
        <f aca="false">K6*K7/100</f>
        <v>22781.1151505763</v>
      </c>
      <c r="L8" s="0" t="n">
        <f aca="false">L6*L7/100</f>
        <v>23236.7374535878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0.45</v>
      </c>
      <c r="D9" s="4" t="n">
        <f aca="false">Assumptions!D15</f>
        <v>0.45</v>
      </c>
      <c r="E9" s="4" t="n">
        <f aca="false">Assumptions!E15</f>
        <v>0.45</v>
      </c>
      <c r="F9" s="4" t="n">
        <f aca="false">Assumptions!F15</f>
        <v>0.45</v>
      </c>
      <c r="G9" s="4" t="n">
        <f aca="false">Assumptions!G15</f>
        <v>0.45</v>
      </c>
      <c r="H9" s="4" t="n">
        <f aca="false">Assumptions!H15</f>
        <v>0.45</v>
      </c>
      <c r="I9" s="4" t="n">
        <f aca="false">Assumptions!I15</f>
        <v>0.45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-274.93326</v>
      </c>
      <c r="D10" s="0" t="n">
        <f aca="false">-D6*D9/100</f>
        <v>-236.4426036</v>
      </c>
      <c r="E10" s="0" t="n">
        <f aca="false">-E6*E9/100</f>
        <v>-236.4426036</v>
      </c>
      <c r="F10" s="0" t="n">
        <f aca="false">-F6*F9/100</f>
        <v>-241.171455672</v>
      </c>
      <c r="G10" s="0" t="n">
        <f aca="false">-G6*G9/100</f>
        <v>-245.99488478544</v>
      </c>
      <c r="H10" s="0" t="n">
        <f aca="false">-H6*H9/100</f>
        <v>-250.914782481149</v>
      </c>
      <c r="I10" s="0" t="n">
        <f aca="false">-I6*I9/100</f>
        <v>-255.933078130772</v>
      </c>
      <c r="J10" s="0" t="n">
        <f aca="false">-J6*J9/100</f>
        <v>-261.051739693387</v>
      </c>
      <c r="K10" s="0" t="n">
        <f aca="false">-K6*K9/100</f>
        <v>-266.272774487255</v>
      </c>
      <c r="L10" s="0" t="n">
        <f aca="false">-L6*L9/100</f>
        <v>-271.598229977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26790.71878</v>
      </c>
      <c r="D11" s="0" t="n">
        <f aca="false">D8+D10+D24</f>
        <v>18941.6796884</v>
      </c>
      <c r="E11" s="0" t="n">
        <f aca="false">E8+E10+E24</f>
        <v>19467.1076964</v>
      </c>
      <c r="F11" s="0" t="n">
        <f aca="false">F8+F10+F24</f>
        <v>20124.418134408</v>
      </c>
      <c r="G11" s="0" t="n">
        <f aca="false">G8+G10+G24</f>
        <v>20800.2341468578</v>
      </c>
      <c r="H11" s="0" t="n">
        <f aca="false">H8+H10+H24</f>
        <v>21216.2388297949</v>
      </c>
      <c r="I11" s="0" t="n">
        <f aca="false">I8+I10+I24</f>
        <v>21640.5636063908</v>
      </c>
      <c r="J11" s="0" t="n">
        <f aca="false">J8+J10+J24</f>
        <v>22073.3748785186</v>
      </c>
      <c r="K11" s="0" t="n">
        <f aca="false">K8+K10+K24</f>
        <v>22514.842376089</v>
      </c>
      <c r="L11" s="0" t="n">
        <f aca="false">L8+L10+L24</f>
        <v>22965.1392236108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-7087.16848</v>
      </c>
      <c r="D12" s="4" t="n">
        <f aca="false">-D6*Assumptions!D17/100</f>
        <v>-6567.8501</v>
      </c>
      <c r="E12" s="4" t="n">
        <f aca="false">-E6*Assumptions!E17/100</f>
        <v>-6567.8501</v>
      </c>
      <c r="F12" s="4" t="n">
        <f aca="false">-F6*Assumptions!F17/100</f>
        <v>-6699.207102</v>
      </c>
      <c r="G12" s="4" t="n">
        <f aca="false">-G6*Assumptions!G17/100</f>
        <v>-6833.19124404</v>
      </c>
      <c r="H12" s="4" t="n">
        <f aca="false">-H6*Assumptions!H17/100</f>
        <v>-6969.8550689208</v>
      </c>
      <c r="I12" s="4" t="n">
        <f aca="false">-I6*Assumptions!I17/100</f>
        <v>-7109.25217029922</v>
      </c>
      <c r="J12" s="4" t="n">
        <f aca="false">-J6*Assumptions!J17/100</f>
        <v>-7251.4372137052</v>
      </c>
      <c r="K12" s="4" t="n">
        <f aca="false">-K6*Assumptions!K17/100</f>
        <v>-7396.4659579793</v>
      </c>
      <c r="L12" s="4" t="n">
        <f aca="false">-L6*Assumptions!L17/100</f>
        <v>-7544.39527713889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19703.5503</v>
      </c>
      <c r="D13" s="0" t="n">
        <f aca="false">D11+D12</f>
        <v>12373.8295884</v>
      </c>
      <c r="E13" s="0" t="n">
        <f aca="false">E11+E12</f>
        <v>12899.2575964</v>
      </c>
      <c r="F13" s="0" t="n">
        <f aca="false">F11+F12</f>
        <v>13425.211032408</v>
      </c>
      <c r="G13" s="0" t="n">
        <f aca="false">G11+G12</f>
        <v>13967.0429028178</v>
      </c>
      <c r="H13" s="0" t="n">
        <f aca="false">H11+H12</f>
        <v>14246.3837608741</v>
      </c>
      <c r="I13" s="0" t="n">
        <f aca="false">I11+I12</f>
        <v>14531.3114360916</v>
      </c>
      <c r="J13" s="0" t="n">
        <f aca="false">J11+J12</f>
        <v>14821.9376648134</v>
      </c>
      <c r="K13" s="0" t="n">
        <f aca="false">K11+K12</f>
        <v>15118.3764181097</v>
      </c>
      <c r="L13" s="0" t="n">
        <f aca="false">L11+L12</f>
        <v>15420.7439464719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27.5</v>
      </c>
      <c r="D14" s="4" t="n">
        <f aca="false">Assumptions!D19</f>
        <v>32.5</v>
      </c>
      <c r="E14" s="4" t="n">
        <f aca="false">Assumptions!E19</f>
        <v>32.5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33.5</v>
      </c>
      <c r="I14" s="4" t="n">
        <f aca="false">Assumptions!I19</f>
        <v>33.5</v>
      </c>
      <c r="J14" s="4" t="n">
        <f aca="false">Assumptions!J19</f>
        <v>33.5</v>
      </c>
      <c r="K14" s="4" t="n">
        <f aca="false">Assumptions!K19</f>
        <v>33.5</v>
      </c>
      <c r="L14" s="4" t="n">
        <f aca="false">Assumptions!L19</f>
        <v>33.5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14285.0739675</v>
      </c>
      <c r="D15" s="0" t="n">
        <f aca="false">D13-MAX(0,D13)*D14/100</f>
        <v>8352.33497217</v>
      </c>
      <c r="E15" s="0" t="n">
        <f aca="false">E13-MAX(0,E13)*E14/100</f>
        <v>8706.99887757</v>
      </c>
      <c r="F15" s="0" t="n">
        <f aca="false">F13-MAX(0,F13)*F14/100</f>
        <v>8994.89139171336</v>
      </c>
      <c r="G15" s="0" t="n">
        <f aca="false">G13-MAX(0,G13)*G14/100</f>
        <v>9357.9187448879</v>
      </c>
      <c r="H15" s="0" t="n">
        <f aca="false">H13-MAX(0,H13)*H14/100</f>
        <v>9473.84520098129</v>
      </c>
      <c r="I15" s="0" t="n">
        <f aca="false">I13-MAX(0,I13)*I14/100</f>
        <v>9663.32210500091</v>
      </c>
      <c r="J15" s="0" t="n">
        <f aca="false">J13-MAX(0,J13)*J14/100</f>
        <v>9856.58854710093</v>
      </c>
      <c r="K15" s="0" t="n">
        <f aca="false">K13-MAX(0,K13)*K14/100</f>
        <v>10053.720318043</v>
      </c>
      <c r="L15" s="0" t="n">
        <f aca="false">L13-MAX(0,L13)*L14/100</f>
        <v>10254.7947244038</v>
      </c>
    </row>
    <row r="16" customFormat="false" ht="15" hidden="false" customHeight="false" outlineLevel="0" collapsed="false">
      <c r="A16" s="0" t="s">
        <v>119</v>
      </c>
      <c r="C16" s="0" t="n">
        <f aca="false">-C12</f>
        <v>7087.16848</v>
      </c>
      <c r="D16" s="0" t="n">
        <f aca="false">-D12</f>
        <v>6567.8501</v>
      </c>
      <c r="E16" s="0" t="n">
        <f aca="false">-E12</f>
        <v>6567.8501</v>
      </c>
      <c r="F16" s="0" t="n">
        <f aca="false">-F12</f>
        <v>6699.207102</v>
      </c>
      <c r="G16" s="0" t="n">
        <f aca="false">-G12</f>
        <v>6833.19124404</v>
      </c>
      <c r="H16" s="0" t="n">
        <f aca="false">-H12</f>
        <v>6969.8550689208</v>
      </c>
      <c r="I16" s="0" t="n">
        <f aca="false">-I12</f>
        <v>7109.25217029922</v>
      </c>
      <c r="J16" s="0" t="n">
        <f aca="false">-J12</f>
        <v>7251.4372137052</v>
      </c>
      <c r="K16" s="0" t="n">
        <f aca="false">-K12</f>
        <v>7396.4659579793</v>
      </c>
      <c r="L16" s="0" t="n">
        <f aca="false">-L12</f>
        <v>7544.39527713889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-11302.8118</v>
      </c>
      <c r="D17" s="4" t="n">
        <f aca="false">-D6*Assumptions!D18/100</f>
        <v>-9720.418148</v>
      </c>
      <c r="E17" s="4" t="n">
        <f aca="false">-E6*Assumptions!E18/100</f>
        <v>-9194.99014</v>
      </c>
      <c r="F17" s="4" t="n">
        <f aca="false">-F6*Assumptions!F18/100</f>
        <v>-9110.92165872</v>
      </c>
      <c r="G17" s="4" t="n">
        <f aca="false">-G6*Assumptions!G18/100</f>
        <v>-9019.8124421328</v>
      </c>
      <c r="H17" s="4" t="n">
        <f aca="false">-H6*Assumptions!H18/100</f>
        <v>-9200.20869097546</v>
      </c>
      <c r="I17" s="4" t="n">
        <f aca="false">-I6*Assumptions!I18/100</f>
        <v>-9384.21286479497</v>
      </c>
      <c r="J17" s="4" t="n">
        <f aca="false">-J6*Assumptions!J18/100</f>
        <v>-9571.89712209086</v>
      </c>
      <c r="K17" s="4" t="n">
        <f aca="false">-K6*Assumptions!K18/100</f>
        <v>-9763.33506453268</v>
      </c>
      <c r="L17" s="4" t="n">
        <f aca="false">-L6*Assumptions!L18/100</f>
        <v>-9958.60176582334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-172.914</v>
      </c>
      <c r="D18" s="4" t="n">
        <f aca="false">(D6-C6)*Assumptions!$B$23/100</f>
        <v>427.67396</v>
      </c>
      <c r="E18" s="4" t="n">
        <f aca="false">(E6-D6)*Assumptions!$B$23/100</f>
        <v>-0</v>
      </c>
      <c r="F18" s="4" t="n">
        <f aca="false">(F6-E6)*Assumptions!$B$23/100</f>
        <v>-52.5428007999999</v>
      </c>
      <c r="G18" s="4" t="n">
        <f aca="false">(G6-F6)*Assumptions!$B$23/100</f>
        <v>-53.5936568159999</v>
      </c>
      <c r="H18" s="4" t="n">
        <f aca="false">(H6-G6)*Assumptions!$B$23/100</f>
        <v>-54.6655299523201</v>
      </c>
      <c r="I18" s="4" t="n">
        <f aca="false">(I6-H6)*Assumptions!$B$23/100</f>
        <v>-55.7588405513663</v>
      </c>
      <c r="J18" s="4" t="n">
        <f aca="false">(J6-I6)*Assumptions!$B$23/100</f>
        <v>-56.8740173623937</v>
      </c>
      <c r="K18" s="4" t="n">
        <f aca="false">(K6-J6)*Assumptions!$B$23/100</f>
        <v>-58.0114977096415</v>
      </c>
      <c r="L18" s="4" t="n">
        <f aca="false">(L6-K6)*Assumptions!$B$23/100</f>
        <v>-59.1717276638345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9896.5166475</v>
      </c>
      <c r="D19" s="0" t="n">
        <f aca="false">D15+D16+D17+D18</f>
        <v>5627.44088417</v>
      </c>
      <c r="E19" s="0" t="n">
        <f aca="false">E15+E16+E17+E18</f>
        <v>6079.85883757</v>
      </c>
      <c r="F19" s="0" t="n">
        <f aca="false">F15+F16+F17+F18</f>
        <v>6530.63403419336</v>
      </c>
      <c r="G19" s="0" t="n">
        <f aca="false">G15+G16+G17+G18</f>
        <v>7117.7038899791</v>
      </c>
      <c r="H19" s="0" t="n">
        <f aca="false">H15+H16+H17+H18</f>
        <v>7188.82604897431</v>
      </c>
      <c r="I19" s="0" t="n">
        <f aca="false">I15+I16+I17+I18</f>
        <v>7332.6025699538</v>
      </c>
      <c r="J19" s="0" t="n">
        <f aca="false">J15+J16+J17+J18</f>
        <v>7479.25462135288</v>
      </c>
      <c r="K19" s="0" t="n">
        <f aca="false">K15+K16+K17+K18</f>
        <v>7628.83971377993</v>
      </c>
      <c r="L19" s="0" t="n">
        <f aca="false">L15+L16+L17+L18</f>
        <v>7781.41650805553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9079.37307110092</v>
      </c>
      <c r="D21" s="0" t="n">
        <f aca="false">D19*D20</f>
        <v>4736.50440549617</v>
      </c>
      <c r="E21" s="0" t="n">
        <f aca="false">E19*E20</f>
        <v>4694.76655547482</v>
      </c>
      <c r="F21" s="0" t="n">
        <f aca="false">F19*F20</f>
        <v>4626.46579406299</v>
      </c>
      <c r="G21" s="0" t="n">
        <f aca="false">G19*G20</f>
        <v>4626.01915647524</v>
      </c>
      <c r="H21" s="0" t="n">
        <f aca="false">H19*H20</f>
        <v>4286.46209162159</v>
      </c>
      <c r="I21" s="0" t="n">
        <f aca="false">I19*I20</f>
        <v>4011.18470959084</v>
      </c>
      <c r="J21" s="0" t="n">
        <f aca="false">J19*J20</f>
        <v>3753.58569154372</v>
      </c>
      <c r="K21" s="0" t="n">
        <f aca="false">K19*K20</f>
        <v>3512.52972970147</v>
      </c>
      <c r="L21" s="0" t="n">
        <f aca="false">L19*L20</f>
        <v>3286.95442595917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46613.8456310269</v>
      </c>
    </row>
    <row r="31" customFormat="false" ht="15" hidden="false" customHeight="false" outlineLevel="0" collapsed="false">
      <c r="A31" s="0" t="s">
        <v>128</v>
      </c>
      <c r="B31" s="0" t="n">
        <f aca="false">L19</f>
        <v>7781.41650805553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113386.354831666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85595.5815886108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85595.5815886108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36156.4986855509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82770.3443165778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68709.3443165778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3165.69025119119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-0.555754946506991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1622.50508592168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1671.72211465066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3317.46732078468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61054.1910632049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1730.67843547757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9</v>
      </c>
      <c r="D5" s="4" t="n">
        <f aca="false">Assumptions!D27</f>
        <v>-5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57638</v>
      </c>
      <c r="C6" s="0" t="n">
        <f aca="false">B6*(1+C5/100)</f>
        <v>62825.42</v>
      </c>
      <c r="D6" s="0" t="n">
        <f aca="false">C6*(1+D5/100)</f>
        <v>59684.149</v>
      </c>
      <c r="E6" s="0" t="n">
        <f aca="false">D6*(1+E5/100)</f>
        <v>61474.67347</v>
      </c>
      <c r="F6" s="0" t="n">
        <f aca="false">E6*(1+F5/100)</f>
        <v>63318.9136741</v>
      </c>
      <c r="G6" s="0" t="n">
        <f aca="false">F6*(1+G5/100)</f>
        <v>65218.481084323</v>
      </c>
      <c r="H6" s="0" t="n">
        <f aca="false">G6*(1+H5/100)</f>
        <v>66848.9431114311</v>
      </c>
      <c r="I6" s="0" t="n">
        <f aca="false">H6*(1+I5/100)</f>
        <v>68520.1666892169</v>
      </c>
      <c r="J6" s="0" t="n">
        <f aca="false">I6*(1+J5/100)</f>
        <v>70233.1708564473</v>
      </c>
      <c r="K6" s="0" t="n">
        <f aca="false">J6*(1+K5/100)</f>
        <v>71989.0001278585</v>
      </c>
      <c r="L6" s="0" t="n">
        <f aca="false">K6*(1+L5/100)</f>
        <v>73788.7251310549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45.3</v>
      </c>
      <c r="D7" s="4" t="n">
        <f aca="false">Assumptions!D28</f>
        <v>42.3</v>
      </c>
      <c r="E7" s="4" t="n">
        <f aca="false">Assumptions!E28</f>
        <v>42.5</v>
      </c>
      <c r="F7" s="4" t="n">
        <f aca="false">Assumptions!F28</f>
        <v>42.5</v>
      </c>
      <c r="G7" s="4" t="n">
        <f aca="false">Assumptions!G28</f>
        <v>42.8</v>
      </c>
      <c r="H7" s="4" t="n">
        <f aca="false">Assumptions!H28</f>
        <v>43</v>
      </c>
      <c r="I7" s="4" t="n">
        <f aca="false">Assumptions!I28</f>
        <v>43</v>
      </c>
      <c r="J7" s="4" t="n">
        <f aca="false">Assumptions!J28</f>
        <v>43</v>
      </c>
      <c r="K7" s="4" t="n">
        <f aca="false">Assumptions!K28</f>
        <v>43</v>
      </c>
      <c r="L7" s="4" t="n">
        <f aca="false">Assumptions!L28</f>
        <v>43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28459.91526</v>
      </c>
      <c r="D8" s="0" t="n">
        <f aca="false">D6*D7/100</f>
        <v>25246.395027</v>
      </c>
      <c r="E8" s="0" t="n">
        <f aca="false">E6*E7/100</f>
        <v>26126.73622475</v>
      </c>
      <c r="F8" s="0" t="n">
        <f aca="false">F6*F7/100</f>
        <v>26910.5383114925</v>
      </c>
      <c r="G8" s="0" t="n">
        <f aca="false">G6*G7/100</f>
        <v>27913.5099040903</v>
      </c>
      <c r="H8" s="0" t="n">
        <f aca="false">H6*H7/100</f>
        <v>28745.0455379154</v>
      </c>
      <c r="I8" s="0" t="n">
        <f aca="false">I6*I7/100</f>
        <v>29463.6716763632</v>
      </c>
      <c r="J8" s="0" t="n">
        <f aca="false">J6*J7/100</f>
        <v>30200.2634682723</v>
      </c>
      <c r="K8" s="0" t="n">
        <f aca="false">K6*K7/100</f>
        <v>30955.2700549791</v>
      </c>
      <c r="L8" s="0" t="n">
        <f aca="false">L6*L7/100</f>
        <v>31729.1518063536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0.45</v>
      </c>
      <c r="D9" s="4" t="n">
        <f aca="false">Assumptions!D29</f>
        <v>0.45</v>
      </c>
      <c r="E9" s="4" t="n">
        <f aca="false">Assumptions!E29</f>
        <v>0.45</v>
      </c>
      <c r="F9" s="4" t="n">
        <f aca="false">Assumptions!F29</f>
        <v>0.45</v>
      </c>
      <c r="G9" s="4" t="n">
        <f aca="false">Assumptions!G29</f>
        <v>0.45</v>
      </c>
      <c r="H9" s="4" t="n">
        <f aca="false">Assumptions!H29</f>
        <v>0.45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-282.71439</v>
      </c>
      <c r="D10" s="0" t="n">
        <f aca="false">-D6*D9/100</f>
        <v>-268.5786705</v>
      </c>
      <c r="E10" s="0" t="n">
        <f aca="false">-E6*E9/100</f>
        <v>-276.636030615</v>
      </c>
      <c r="F10" s="0" t="n">
        <f aca="false">-F6*F9/100</f>
        <v>-284.93511153345</v>
      </c>
      <c r="G10" s="0" t="n">
        <f aca="false">-G6*G9/100</f>
        <v>-293.483164879454</v>
      </c>
      <c r="H10" s="0" t="n">
        <f aca="false">-H6*H9/100</f>
        <v>-300.82024400144</v>
      </c>
      <c r="I10" s="0" t="n">
        <f aca="false">-I6*I9/100</f>
        <v>-308.340750101476</v>
      </c>
      <c r="J10" s="0" t="n">
        <f aca="false">-J6*J9/100</f>
        <v>-316.049268854013</v>
      </c>
      <c r="K10" s="0" t="n">
        <f aca="false">-K6*K9/100</f>
        <v>-323.950500575363</v>
      </c>
      <c r="L10" s="0" t="n">
        <f aca="false">-L6*L9/100</f>
        <v>-332.049263089747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28177.20087</v>
      </c>
      <c r="D11" s="0" t="n">
        <f aca="false">D8+D10+D24</f>
        <v>24977.8163565</v>
      </c>
      <c r="E11" s="0" t="n">
        <f aca="false">E8+E10+E24</f>
        <v>25850.100194135</v>
      </c>
      <c r="F11" s="0" t="n">
        <f aca="false">F8+F10+F24</f>
        <v>26625.6031999591</v>
      </c>
      <c r="G11" s="0" t="n">
        <f aca="false">G8+G10+G24</f>
        <v>27620.0267392108</v>
      </c>
      <c r="H11" s="0" t="n">
        <f aca="false">H8+H10+H24</f>
        <v>28444.2252939139</v>
      </c>
      <c r="I11" s="0" t="n">
        <f aca="false">I8+I10+I24</f>
        <v>29155.3309262618</v>
      </c>
      <c r="J11" s="0" t="n">
        <f aca="false">J8+J10+J24</f>
        <v>29884.2141994183</v>
      </c>
      <c r="K11" s="0" t="n">
        <f aca="false">K8+K10+K24</f>
        <v>30631.3195544038</v>
      </c>
      <c r="L11" s="0" t="n">
        <f aca="false">L8+L10+L24</f>
        <v>31397.1025432639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-7287.74872</v>
      </c>
      <c r="D12" s="4" t="n">
        <f aca="false">-D6*Assumptions!D31/100</f>
        <v>-7162.09788</v>
      </c>
      <c r="E12" s="4" t="n">
        <f aca="false">-E6*Assumptions!E31/100</f>
        <v>-7376.9608164</v>
      </c>
      <c r="F12" s="4" t="n">
        <f aca="false">-F6*Assumptions!F31/100</f>
        <v>-7598.269640892</v>
      </c>
      <c r="G12" s="4" t="n">
        <f aca="false">-G6*Assumptions!G31/100</f>
        <v>-7826.21773011876</v>
      </c>
      <c r="H12" s="4" t="n">
        <f aca="false">-H6*Assumptions!H31/100</f>
        <v>-8021.87317337173</v>
      </c>
      <c r="I12" s="4" t="n">
        <f aca="false">-I6*Assumptions!I31/100</f>
        <v>-8222.42000270602</v>
      </c>
      <c r="J12" s="4" t="n">
        <f aca="false">-J6*Assumptions!J31/100</f>
        <v>-8427.98050277367</v>
      </c>
      <c r="K12" s="4" t="n">
        <f aca="false">-K6*Assumptions!K31/100</f>
        <v>-8638.68001534301</v>
      </c>
      <c r="L12" s="4" t="n">
        <f aca="false">-L6*Assumptions!L31/100</f>
        <v>-8854.64701572659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20889.45215</v>
      </c>
      <c r="D13" s="0" t="n">
        <f aca="false">D11+D12</f>
        <v>17815.7184765</v>
      </c>
      <c r="E13" s="0" t="n">
        <f aca="false">E11+E12</f>
        <v>18473.139377735</v>
      </c>
      <c r="F13" s="0" t="n">
        <f aca="false">F11+F12</f>
        <v>19027.3335590671</v>
      </c>
      <c r="G13" s="0" t="n">
        <f aca="false">G11+G12</f>
        <v>19793.809009092</v>
      </c>
      <c r="H13" s="0" t="n">
        <f aca="false">H11+H12</f>
        <v>20422.3521205422</v>
      </c>
      <c r="I13" s="0" t="n">
        <f aca="false">I11+I12</f>
        <v>20932.9109235557</v>
      </c>
      <c r="J13" s="0" t="n">
        <f aca="false">J11+J12</f>
        <v>21456.2336966446</v>
      </c>
      <c r="K13" s="0" t="n">
        <f aca="false">K11+K12</f>
        <v>21992.6395390608</v>
      </c>
      <c r="L13" s="0" t="n">
        <f aca="false">L11+L12</f>
        <v>22542.4555275373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27.5</v>
      </c>
      <c r="D14" s="4" t="n">
        <f aca="false">Assumptions!D33</f>
        <v>32.5</v>
      </c>
      <c r="E14" s="4" t="n">
        <f aca="false">Assumptions!E33</f>
        <v>32.5</v>
      </c>
      <c r="F14" s="4" t="n">
        <f aca="false">Assumptions!F33</f>
        <v>33</v>
      </c>
      <c r="G14" s="4" t="n">
        <f aca="false">Assumptions!G33</f>
        <v>33</v>
      </c>
      <c r="H14" s="4" t="n">
        <f aca="false">Assumptions!H33</f>
        <v>33.5</v>
      </c>
      <c r="I14" s="4" t="n">
        <f aca="false">Assumptions!I33</f>
        <v>33.5</v>
      </c>
      <c r="J14" s="4" t="n">
        <f aca="false">Assumptions!J33</f>
        <v>33.5</v>
      </c>
      <c r="K14" s="4" t="n">
        <f aca="false">Assumptions!K33</f>
        <v>33.5</v>
      </c>
      <c r="L14" s="4" t="n">
        <f aca="false">Assumptions!L33</f>
        <v>33.5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15144.85280875</v>
      </c>
      <c r="D15" s="0" t="n">
        <f aca="false">D13-MAX(0,D13)*D14/100</f>
        <v>12025.6099716375</v>
      </c>
      <c r="E15" s="0" t="n">
        <f aca="false">E13-MAX(0,E13)*E14/100</f>
        <v>12469.3690799711</v>
      </c>
      <c r="F15" s="0" t="n">
        <f aca="false">F13-MAX(0,F13)*F14/100</f>
        <v>12748.3134845749</v>
      </c>
      <c r="G15" s="0" t="n">
        <f aca="false">G13-MAX(0,G13)*G14/100</f>
        <v>13261.8520360917</v>
      </c>
      <c r="H15" s="0" t="n">
        <f aca="false">H13-MAX(0,H13)*H14/100</f>
        <v>13580.8641601606</v>
      </c>
      <c r="I15" s="0" t="n">
        <f aca="false">I13-MAX(0,I13)*I14/100</f>
        <v>13920.3857641646</v>
      </c>
      <c r="J15" s="0" t="n">
        <f aca="false">J13-MAX(0,J13)*J14/100</f>
        <v>14268.3954082687</v>
      </c>
      <c r="K15" s="0" t="n">
        <f aca="false">K13-MAX(0,K13)*K14/100</f>
        <v>14625.1052934754</v>
      </c>
      <c r="L15" s="0" t="n">
        <f aca="false">L13-MAX(0,L13)*L14/100</f>
        <v>14990.7329258123</v>
      </c>
    </row>
    <row r="16" customFormat="false" ht="15" hidden="false" customHeight="false" outlineLevel="0" collapsed="false">
      <c r="A16" s="0" t="s">
        <v>119</v>
      </c>
      <c r="C16" s="0" t="n">
        <f aca="false">-C12</f>
        <v>7287.74872</v>
      </c>
      <c r="D16" s="0" t="n">
        <f aca="false">-D12</f>
        <v>7162.09788</v>
      </c>
      <c r="E16" s="0" t="n">
        <f aca="false">-E12</f>
        <v>7376.9608164</v>
      </c>
      <c r="F16" s="0" t="n">
        <f aca="false">-F12</f>
        <v>7598.269640892</v>
      </c>
      <c r="G16" s="0" t="n">
        <f aca="false">-G12</f>
        <v>7826.21773011876</v>
      </c>
      <c r="H16" s="0" t="n">
        <f aca="false">-H12</f>
        <v>8021.87317337173</v>
      </c>
      <c r="I16" s="0" t="n">
        <f aca="false">-I12</f>
        <v>8222.42000270602</v>
      </c>
      <c r="J16" s="0" t="n">
        <f aca="false">-J12</f>
        <v>8427.98050277367</v>
      </c>
      <c r="K16" s="0" t="n">
        <f aca="false">-K12</f>
        <v>8638.68001534301</v>
      </c>
      <c r="L16" s="0" t="n">
        <f aca="false">-L12</f>
        <v>8854.64701572659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-11308.5756</v>
      </c>
      <c r="D17" s="4" t="n">
        <f aca="false">-D6*Assumptions!D32/100</f>
        <v>-10743.14682</v>
      </c>
      <c r="E17" s="4" t="n">
        <f aca="false">-E6*Assumptions!E32/100</f>
        <v>-10143.32112255</v>
      </c>
      <c r="F17" s="4" t="n">
        <f aca="false">-F6*Assumptions!F32/100</f>
        <v>-10447.6207562265</v>
      </c>
      <c r="G17" s="4" t="n">
        <f aca="false">-G6*Assumptions!G32/100</f>
        <v>-10434.9569734917</v>
      </c>
      <c r="H17" s="4" t="n">
        <f aca="false">-H6*Assumptions!H32/100</f>
        <v>-10695.830897829</v>
      </c>
      <c r="I17" s="4" t="n">
        <f aca="false">-I6*Assumptions!I32/100</f>
        <v>-10963.2266702747</v>
      </c>
      <c r="J17" s="4" t="n">
        <f aca="false">-J6*Assumptions!J32/100</f>
        <v>-11237.3073370316</v>
      </c>
      <c r="K17" s="4" t="n">
        <f aca="false">-K6*Assumptions!K32/100</f>
        <v>-11518.2400204574</v>
      </c>
      <c r="L17" s="4" t="n">
        <f aca="false">-L6*Assumptions!L32/100</f>
        <v>-11806.1960209688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-259.371</v>
      </c>
      <c r="D18" s="4" t="n">
        <f aca="false">(D6-C6)*Assumptions!$B$37/100</f>
        <v>157.06355</v>
      </c>
      <c r="E18" s="4" t="n">
        <f aca="false">(E6-D6)*Assumptions!$B$37/100</f>
        <v>-89.5262235000002</v>
      </c>
      <c r="F18" s="4" t="n">
        <f aca="false">(F6-E6)*Assumptions!$B$37/100</f>
        <v>-92.2120102050001</v>
      </c>
      <c r="G18" s="4" t="n">
        <f aca="false">(G6-F6)*Assumptions!$B$37/100</f>
        <v>-94.9783705111502</v>
      </c>
      <c r="H18" s="4" t="n">
        <f aca="false">(H6-G6)*Assumptions!$B$37/100</f>
        <v>-81.5231013554036</v>
      </c>
      <c r="I18" s="4" t="n">
        <f aca="false">(I6-H6)*Assumptions!$B$37/100</f>
        <v>-83.5611788892886</v>
      </c>
      <c r="J18" s="4" t="n">
        <f aca="false">(J6-I6)*Assumptions!$B$37/100</f>
        <v>-85.6502083615211</v>
      </c>
      <c r="K18" s="4" t="n">
        <f aca="false">(K6-J6)*Assumptions!$B$37/100</f>
        <v>-87.7914635705587</v>
      </c>
      <c r="L18" s="4" t="n">
        <f aca="false">(L6-K6)*Assumptions!$B$37/100</f>
        <v>-89.9862501598225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10864.65492875</v>
      </c>
      <c r="D19" s="0" t="n">
        <f aca="false">D15+D16+D17+D18</f>
        <v>8601.62458163751</v>
      </c>
      <c r="E19" s="0" t="n">
        <f aca="false">E15+E16+E17+E18</f>
        <v>9613.48255032113</v>
      </c>
      <c r="F19" s="0" t="n">
        <f aca="false">F15+F16+F17+F18</f>
        <v>9806.75035903542</v>
      </c>
      <c r="G19" s="0" t="n">
        <f aca="false">G15+G16+G17+G18</f>
        <v>10558.1344222076</v>
      </c>
      <c r="H19" s="0" t="n">
        <f aca="false">H15+H16+H17+H18</f>
        <v>10825.3833343479</v>
      </c>
      <c r="I19" s="0" t="n">
        <f aca="false">I15+I16+I17+I18</f>
        <v>11096.0179177066</v>
      </c>
      <c r="J19" s="0" t="n">
        <f aca="false">J15+J16+J17+J18</f>
        <v>11373.4183656493</v>
      </c>
      <c r="K19" s="0" t="n">
        <f aca="false">K15+K16+K17+K18</f>
        <v>11657.7538247905</v>
      </c>
      <c r="L19" s="0" t="n">
        <f aca="false">L15+L16+L17+L18</f>
        <v>11949.1976704103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9967.57332912844</v>
      </c>
      <c r="D21" s="0" t="n">
        <f aca="false">D19*D20</f>
        <v>7239.81531995413</v>
      </c>
      <c r="E21" s="0" t="n">
        <f aca="false">E19*E20</f>
        <v>7423.37241121328</v>
      </c>
      <c r="F21" s="0" t="n">
        <f aca="false">F19*F20</f>
        <v>6947.34919296336</v>
      </c>
      <c r="G21" s="0" t="n">
        <f aca="false">G19*G20</f>
        <v>6862.06294174966</v>
      </c>
      <c r="H21" s="0" t="n">
        <f aca="false">H19*H20</f>
        <v>6454.82238321444</v>
      </c>
      <c r="I21" s="0" t="n">
        <f aca="false">I19*I20</f>
        <v>6069.90178238055</v>
      </c>
      <c r="J21" s="0" t="n">
        <f aca="false">J19*J20</f>
        <v>5707.93516233034</v>
      </c>
      <c r="K21" s="0" t="n">
        <f aca="false">K19*K20</f>
        <v>5367.55370769596</v>
      </c>
      <c r="L21" s="0" t="n">
        <f aca="false">L19*L20</f>
        <v>5047.47022971409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67087.8564603443</v>
      </c>
    </row>
    <row r="31" customFormat="false" ht="15" hidden="false" customHeight="false" outlineLevel="0" collapsed="false">
      <c r="A31" s="0" t="s">
        <v>128</v>
      </c>
      <c r="B31" s="0" t="n">
        <f aca="false">L19</f>
        <v>11949.1976704103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188429.655571854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155339.569715334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155339.569715334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65617.1129862832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132704.969446627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118643.969446627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5466.36067009001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-0.232899148177097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1887.71491284695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2211.81118584047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5655.24079890223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97983.4208973642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2862.32275626805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11</v>
      </c>
      <c r="D5" s="4" t="n">
        <f aca="false">Assumptions!D41</f>
        <v>-1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57638</v>
      </c>
      <c r="C6" s="0" t="n">
        <f aca="false">B6*(1+C5/100)</f>
        <v>63978.18</v>
      </c>
      <c r="D6" s="0" t="n">
        <f aca="false">C6*(1+D5/100)</f>
        <v>63338.3982</v>
      </c>
      <c r="E6" s="0" t="n">
        <f aca="false">D6*(1+E5/100)</f>
        <v>65871.934128</v>
      </c>
      <c r="F6" s="0" t="n">
        <f aca="false">E6*(1+F5/100)</f>
        <v>68506.81149312</v>
      </c>
      <c r="G6" s="0" t="n">
        <f aca="false">F6*(1+G5/100)</f>
        <v>71247.0839528448</v>
      </c>
      <c r="H6" s="0" t="n">
        <f aca="false">G6*(1+H5/100)</f>
        <v>73740.7318911944</v>
      </c>
      <c r="I6" s="0" t="n">
        <f aca="false">H6*(1+I5/100)</f>
        <v>75952.9538479302</v>
      </c>
      <c r="J6" s="0" t="n">
        <f aca="false">I6*(1+J5/100)</f>
        <v>78231.5424633681</v>
      </c>
      <c r="K6" s="0" t="n">
        <f aca="false">J6*(1+K5/100)</f>
        <v>80578.4887372692</v>
      </c>
      <c r="L6" s="0" t="n">
        <f aca="false">K6*(1+L5/100)</f>
        <v>82995.8433993872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46.3</v>
      </c>
      <c r="D7" s="4" t="n">
        <f aca="false">Assumptions!D42</f>
        <v>44.5</v>
      </c>
      <c r="E7" s="4" t="n">
        <f aca="false">Assumptions!E42</f>
        <v>44.8</v>
      </c>
      <c r="F7" s="4" t="n">
        <f aca="false">Assumptions!F42</f>
        <v>45</v>
      </c>
      <c r="G7" s="4" t="n">
        <f aca="false">Assumptions!G42</f>
        <v>45</v>
      </c>
      <c r="H7" s="4" t="n">
        <f aca="false">Assumptions!H42</f>
        <v>45</v>
      </c>
      <c r="I7" s="4" t="n">
        <f aca="false">Assumptions!I42</f>
        <v>45</v>
      </c>
      <c r="J7" s="4" t="n">
        <f aca="false">Assumptions!J42</f>
        <v>45</v>
      </c>
      <c r="K7" s="4" t="n">
        <f aca="false">Assumptions!K42</f>
        <v>45</v>
      </c>
      <c r="L7" s="4" t="n">
        <f aca="false">Assumptions!L42</f>
        <v>45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29621.89734</v>
      </c>
      <c r="D8" s="0" t="n">
        <f aca="false">D6*D7/100</f>
        <v>28185.587199</v>
      </c>
      <c r="E8" s="0" t="n">
        <f aca="false">E6*E7/100</f>
        <v>29510.626489344</v>
      </c>
      <c r="F8" s="0" t="n">
        <f aca="false">F6*F7/100</f>
        <v>30828.065171904</v>
      </c>
      <c r="G8" s="0" t="n">
        <f aca="false">G6*G7/100</f>
        <v>32061.1877787802</v>
      </c>
      <c r="H8" s="0" t="n">
        <f aca="false">H6*H7/100</f>
        <v>33183.3293510375</v>
      </c>
      <c r="I8" s="0" t="n">
        <f aca="false">I6*I7/100</f>
        <v>34178.8292315686</v>
      </c>
      <c r="J8" s="0" t="n">
        <f aca="false">J6*J7/100</f>
        <v>35204.1941085157</v>
      </c>
      <c r="K8" s="0" t="n">
        <f aca="false">K6*K7/100</f>
        <v>36260.3199317711</v>
      </c>
      <c r="L8" s="0" t="n">
        <f aca="false">L6*L7/100</f>
        <v>37348.1295297243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0.45</v>
      </c>
      <c r="D9" s="4" t="n">
        <f aca="false">Assumptions!D43</f>
        <v>0.45</v>
      </c>
      <c r="E9" s="4" t="n">
        <f aca="false">Assumptions!E43</f>
        <v>0.45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0.45</v>
      </c>
      <c r="I9" s="4" t="n">
        <f aca="false">Assumptions!I43</f>
        <v>0.45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-287.90181</v>
      </c>
      <c r="D10" s="0" t="n">
        <f aca="false">-D6*D9/100</f>
        <v>-285.0227919</v>
      </c>
      <c r="E10" s="0" t="n">
        <f aca="false">-E6*E9/100</f>
        <v>-296.423703576</v>
      </c>
      <c r="F10" s="0" t="n">
        <f aca="false">-F6*F9/100</f>
        <v>-308.28065171904</v>
      </c>
      <c r="G10" s="0" t="n">
        <f aca="false">-G6*G9/100</f>
        <v>-320.611877787802</v>
      </c>
      <c r="H10" s="0" t="n">
        <f aca="false">-H6*H9/100</f>
        <v>-331.833293510375</v>
      </c>
      <c r="I10" s="0" t="n">
        <f aca="false">-I6*I9/100</f>
        <v>-341.788292315686</v>
      </c>
      <c r="J10" s="0" t="n">
        <f aca="false">-J6*J9/100</f>
        <v>-352.041941085157</v>
      </c>
      <c r="K10" s="0" t="n">
        <f aca="false">-K6*K9/100</f>
        <v>-362.603199317711</v>
      </c>
      <c r="L10" s="0" t="n">
        <f aca="false">-L6*L9/100</f>
        <v>-373.481295297243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29333.99553</v>
      </c>
      <c r="D11" s="0" t="n">
        <f aca="false">D8+D10+D24</f>
        <v>27900.5644071</v>
      </c>
      <c r="E11" s="0" t="n">
        <f aca="false">E8+E10+E24</f>
        <v>29214.202785768</v>
      </c>
      <c r="F11" s="0" t="n">
        <f aca="false">F8+F10+F24</f>
        <v>30519.784520185</v>
      </c>
      <c r="G11" s="0" t="n">
        <f aca="false">G8+G10+G24</f>
        <v>31740.5759009924</v>
      </c>
      <c r="H11" s="0" t="n">
        <f aca="false">H8+H10+H24</f>
        <v>32851.4960575271</v>
      </c>
      <c r="I11" s="0" t="n">
        <f aca="false">I8+I10+I24</f>
        <v>33837.0409392529</v>
      </c>
      <c r="J11" s="0" t="n">
        <f aca="false">J8+J10+J24</f>
        <v>34852.1521674305</v>
      </c>
      <c r="K11" s="0" t="n">
        <f aca="false">K8+K10+K24</f>
        <v>35897.7167324534</v>
      </c>
      <c r="L11" s="0" t="n">
        <f aca="false">L8+L10+L24</f>
        <v>36974.648234427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-7421.46888</v>
      </c>
      <c r="D12" s="4" t="n">
        <f aca="false">-D6*Assumptions!D45/100</f>
        <v>-7600.607784</v>
      </c>
      <c r="E12" s="4" t="n">
        <f aca="false">-E6*Assumptions!E45/100</f>
        <v>-7904.63209536</v>
      </c>
      <c r="F12" s="4" t="n">
        <f aca="false">-F6*Assumptions!F45/100</f>
        <v>-8220.8173791744</v>
      </c>
      <c r="G12" s="4" t="n">
        <f aca="false">-G6*Assumptions!G45/100</f>
        <v>-8549.65007434138</v>
      </c>
      <c r="H12" s="4" t="n">
        <f aca="false">-H6*Assumptions!H45/100</f>
        <v>-8848.88782694333</v>
      </c>
      <c r="I12" s="4" t="n">
        <f aca="false">-I6*Assumptions!I45/100</f>
        <v>-9114.35446175162</v>
      </c>
      <c r="J12" s="4" t="n">
        <f aca="false">-J6*Assumptions!J45/100</f>
        <v>-9387.78509560417</v>
      </c>
      <c r="K12" s="4" t="n">
        <f aca="false">-K6*Assumptions!K45/100</f>
        <v>-9669.4186484723</v>
      </c>
      <c r="L12" s="4" t="n">
        <f aca="false">-L6*Assumptions!L45/100</f>
        <v>-9959.50120792647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21912.52665</v>
      </c>
      <c r="D13" s="0" t="n">
        <f aca="false">D11+D12</f>
        <v>20299.9566231</v>
      </c>
      <c r="E13" s="0" t="n">
        <f aca="false">E11+E12</f>
        <v>21309.570690408</v>
      </c>
      <c r="F13" s="0" t="n">
        <f aca="false">F11+F12</f>
        <v>22298.9671410106</v>
      </c>
      <c r="G13" s="0" t="n">
        <f aca="false">G11+G12</f>
        <v>23190.925826651</v>
      </c>
      <c r="H13" s="0" t="n">
        <f aca="false">H11+H12</f>
        <v>24002.6082305838</v>
      </c>
      <c r="I13" s="0" t="n">
        <f aca="false">I11+I12</f>
        <v>24722.6864775013</v>
      </c>
      <c r="J13" s="0" t="n">
        <f aca="false">J11+J12</f>
        <v>25464.3670718263</v>
      </c>
      <c r="K13" s="0" t="n">
        <f aca="false">K11+K12</f>
        <v>26228.2980839811</v>
      </c>
      <c r="L13" s="0" t="n">
        <f aca="false">L11+L12</f>
        <v>27015.1470265005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27.5</v>
      </c>
      <c r="D14" s="4" t="n">
        <f aca="false">Assumptions!D47</f>
        <v>32</v>
      </c>
      <c r="E14" s="4" t="n">
        <f aca="false">Assumptions!E47</f>
        <v>32</v>
      </c>
      <c r="F14" s="4" t="n">
        <f aca="false">Assumptions!F47</f>
        <v>32.5</v>
      </c>
      <c r="G14" s="4" t="n">
        <f aca="false">Assumptions!G47</f>
        <v>32.5</v>
      </c>
      <c r="H14" s="4" t="n">
        <f aca="false">Assumptions!H47</f>
        <v>33</v>
      </c>
      <c r="I14" s="4" t="n">
        <f aca="false">Assumptions!I47</f>
        <v>33</v>
      </c>
      <c r="J14" s="4" t="n">
        <f aca="false">Assumptions!J47</f>
        <v>33</v>
      </c>
      <c r="K14" s="4" t="n">
        <f aca="false">Assumptions!K47</f>
        <v>33</v>
      </c>
      <c r="L14" s="4" t="n">
        <f aca="false">Assumptions!L47</f>
        <v>33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15886.58182125</v>
      </c>
      <c r="D15" s="0" t="n">
        <f aca="false">D13-MAX(0,D13)*D14/100</f>
        <v>13803.970503708</v>
      </c>
      <c r="E15" s="0" t="n">
        <f aca="false">E13-MAX(0,E13)*E14/100</f>
        <v>14490.5080694774</v>
      </c>
      <c r="F15" s="0" t="n">
        <f aca="false">F13-MAX(0,F13)*F14/100</f>
        <v>15051.8028201821</v>
      </c>
      <c r="G15" s="0" t="n">
        <f aca="false">G13-MAX(0,G13)*G14/100</f>
        <v>15653.8749329894</v>
      </c>
      <c r="H15" s="0" t="n">
        <f aca="false">H13-MAX(0,H13)*H14/100</f>
        <v>16081.7475144911</v>
      </c>
      <c r="I15" s="0" t="n">
        <f aca="false">I13-MAX(0,I13)*I14/100</f>
        <v>16564.1999399259</v>
      </c>
      <c r="J15" s="0" t="n">
        <f aca="false">J13-MAX(0,J13)*J14/100</f>
        <v>17061.1259381236</v>
      </c>
      <c r="K15" s="0" t="n">
        <f aca="false">K13-MAX(0,K13)*K14/100</f>
        <v>17572.9597162673</v>
      </c>
      <c r="L15" s="0" t="n">
        <f aca="false">L13-MAX(0,L13)*L14/100</f>
        <v>18100.1485077554</v>
      </c>
    </row>
    <row r="16" customFormat="false" ht="15" hidden="false" customHeight="false" outlineLevel="0" collapsed="false">
      <c r="A16" s="0" t="s">
        <v>119</v>
      </c>
      <c r="C16" s="0" t="n">
        <f aca="false">-C12</f>
        <v>7421.46888</v>
      </c>
      <c r="D16" s="0" t="n">
        <f aca="false">-D12</f>
        <v>7600.607784</v>
      </c>
      <c r="E16" s="0" t="n">
        <f aca="false">-E12</f>
        <v>7904.63209536</v>
      </c>
      <c r="F16" s="0" t="n">
        <f aca="false">-F12</f>
        <v>8220.8173791744</v>
      </c>
      <c r="G16" s="0" t="n">
        <f aca="false">-G12</f>
        <v>8549.65007434138</v>
      </c>
      <c r="H16" s="0" t="n">
        <f aca="false">-H12</f>
        <v>8848.88782694333</v>
      </c>
      <c r="I16" s="0" t="n">
        <f aca="false">-I12</f>
        <v>9114.35446175162</v>
      </c>
      <c r="J16" s="0" t="n">
        <f aca="false">-J12</f>
        <v>9387.78509560417</v>
      </c>
      <c r="K16" s="0" t="n">
        <f aca="false">-K12</f>
        <v>9669.4186484723</v>
      </c>
      <c r="L16" s="0" t="n">
        <f aca="false">-L12</f>
        <v>9959.50120792647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-11516.0724</v>
      </c>
      <c r="D17" s="4" t="n">
        <f aca="false">-D6*Assumptions!D46/100</f>
        <v>-11400.911676</v>
      </c>
      <c r="E17" s="4" t="n">
        <f aca="false">-E6*Assumptions!E46/100</f>
        <v>-10868.86913112</v>
      </c>
      <c r="F17" s="4" t="n">
        <f aca="false">-F6*Assumptions!F46/100</f>
        <v>-11303.6238963648</v>
      </c>
      <c r="G17" s="4" t="n">
        <f aca="false">-G6*Assumptions!G46/100</f>
        <v>-11399.5334324552</v>
      </c>
      <c r="H17" s="4" t="n">
        <f aca="false">-H6*Assumptions!H46/100</f>
        <v>-11798.5171025911</v>
      </c>
      <c r="I17" s="4" t="n">
        <f aca="false">-I6*Assumptions!I46/100</f>
        <v>-12152.4726156688</v>
      </c>
      <c r="J17" s="4" t="n">
        <f aca="false">-J6*Assumptions!J46/100</f>
        <v>-12517.0467941389</v>
      </c>
      <c r="K17" s="4" t="n">
        <f aca="false">-K6*Assumptions!K46/100</f>
        <v>-12892.5581979631</v>
      </c>
      <c r="L17" s="4" t="n">
        <f aca="false">-L6*Assumptions!L46/100</f>
        <v>-13279.334943902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-317.009</v>
      </c>
      <c r="D18" s="4" t="n">
        <f aca="false">(D6-C6)*Assumptions!$B$51/100</f>
        <v>31.9890899999999</v>
      </c>
      <c r="E18" s="4" t="n">
        <f aca="false">(E6-D6)*Assumptions!$B$51/100</f>
        <v>-126.6767964</v>
      </c>
      <c r="F18" s="4" t="n">
        <f aca="false">(F6-E6)*Assumptions!$B$51/100</f>
        <v>-131.743868256</v>
      </c>
      <c r="G18" s="4" t="n">
        <f aca="false">(G6-F6)*Assumptions!$B$51/100</f>
        <v>-137.01362298624</v>
      </c>
      <c r="H18" s="4" t="n">
        <f aca="false">(H6-G6)*Assumptions!$B$51/100</f>
        <v>-124.682396917478</v>
      </c>
      <c r="I18" s="4" t="n">
        <f aca="false">(I6-H6)*Assumptions!$B$51/100</f>
        <v>-110.611097836791</v>
      </c>
      <c r="J18" s="4" t="n">
        <f aca="false">(J6-I6)*Assumptions!$B$51/100</f>
        <v>-113.929430771896</v>
      </c>
      <c r="K18" s="4" t="n">
        <f aca="false">(K6-J6)*Assumptions!$B$51/100</f>
        <v>-117.347313695052</v>
      </c>
      <c r="L18" s="4" t="n">
        <f aca="false">(L6-K6)*Assumptions!$B$51/100</f>
        <v>-120.867733105904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11474.96930125</v>
      </c>
      <c r="D19" s="0" t="n">
        <f aca="false">D15+D16+D17+D18</f>
        <v>10035.655701708</v>
      </c>
      <c r="E19" s="0" t="n">
        <f aca="false">E15+E16+E17+E18</f>
        <v>11399.5942373174</v>
      </c>
      <c r="F19" s="0" t="n">
        <f aca="false">F15+F16+F17+F18</f>
        <v>11837.2524347357</v>
      </c>
      <c r="G19" s="0" t="n">
        <f aca="false">G15+G16+G17+G18</f>
        <v>12666.9779518894</v>
      </c>
      <c r="H19" s="0" t="n">
        <f aca="false">H15+H16+H17+H18</f>
        <v>13007.4358419259</v>
      </c>
      <c r="I19" s="0" t="n">
        <f aca="false">I15+I16+I17+I18</f>
        <v>13415.4706881719</v>
      </c>
      <c r="J19" s="0" t="n">
        <f aca="false">J15+J16+J17+J18</f>
        <v>13817.934808817</v>
      </c>
      <c r="K19" s="0" t="n">
        <f aca="false">K15+K16+K17+K18</f>
        <v>14232.4728530815</v>
      </c>
      <c r="L19" s="0" t="n">
        <f aca="false">L15+L16+L17+L18</f>
        <v>14659.447038674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10527.494771789</v>
      </c>
      <c r="D21" s="0" t="n">
        <f aca="false">D19*D20</f>
        <v>8446.81062343911</v>
      </c>
      <c r="E21" s="0" t="n">
        <f aca="false">E19*E20</f>
        <v>8802.57834945584</v>
      </c>
      <c r="F21" s="0" t="n">
        <f aca="false">F19*F20</f>
        <v>8385.80805450967</v>
      </c>
      <c r="G21" s="0" t="n">
        <f aca="false">G19*G20</f>
        <v>8232.66654048204</v>
      </c>
      <c r="H21" s="0" t="n">
        <f aca="false">H19*H20</f>
        <v>7755.90899901804</v>
      </c>
      <c r="I21" s="0" t="n">
        <f aca="false">I19*I20</f>
        <v>7338.72187712175</v>
      </c>
      <c r="J21" s="0" t="n">
        <f aca="false">J19*J20</f>
        <v>6934.75553526184</v>
      </c>
      <c r="K21" s="0" t="n">
        <f aca="false">K19*K20</f>
        <v>6553.02587277036</v>
      </c>
      <c r="L21" s="0" t="n">
        <f aca="false">L19*L20</f>
        <v>6192.30885225089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79170.0794760985</v>
      </c>
    </row>
    <row r="31" customFormat="false" ht="15" hidden="false" customHeight="false" outlineLevel="0" collapsed="false">
      <c r="A31" s="0" t="s">
        <v>128</v>
      </c>
      <c r="B31" s="0" t="n">
        <f aca="false">L19</f>
        <v>14659.447038674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251653.84083057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219891.70558011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219891.70558011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92884.6327837633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172054.712259862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157993.712259862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7279.34693054369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0.021519355956173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2045.91542918992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2708.25685610273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7498.38899834003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125826.920415285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3594.78389790349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3165.69025119119</v>
      </c>
      <c r="C4" s="0" t="n">
        <f aca="false">B4/Assumptions!$B$2-1</f>
        <v>-0.555754946506991</v>
      </c>
      <c r="D4" s="4" t="n">
        <f aca="false">Assumptions!$B$24</f>
        <v>0.25</v>
      </c>
      <c r="E4" s="4" t="n">
        <f aca="false">DCF_Bear!$B$43</f>
        <v>3317.46732078468</v>
      </c>
      <c r="F4" s="4" t="n">
        <f aca="false">DCF_Bear!$B$47</f>
        <v>1730.67843547757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5466.36067009001</v>
      </c>
      <c r="C5" s="0" t="n">
        <f aca="false">B5/Assumptions!$B$2-1</f>
        <v>-0.232899148177097</v>
      </c>
      <c r="D5" s="4" t="n">
        <f aca="false">Assumptions!$B$38</f>
        <v>0.5</v>
      </c>
      <c r="E5" s="4" t="n">
        <f aca="false">DCF_Base!$B$43</f>
        <v>5655.24079890223</v>
      </c>
      <c r="F5" s="4" t="n">
        <f aca="false">DCF_Base!$B$47</f>
        <v>2862.32275626805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7279.34693054369</v>
      </c>
      <c r="C6" s="0" t="n">
        <f aca="false">B6/Assumptions!$B$2-1</f>
        <v>0.021519355956173</v>
      </c>
      <c r="D6" s="4" t="n">
        <f aca="false">Assumptions!$B$52</f>
        <v>0.25</v>
      </c>
      <c r="E6" s="4" t="n">
        <f aca="false">DCF_Bull!$B$43</f>
        <v>7498.38899834003</v>
      </c>
      <c r="F6" s="4" t="n">
        <f aca="false">DCF_Bull!$B$47</f>
        <v>3594.78389790349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5344.43963047872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5531.5844792323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-0.333348394350129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951.968692372183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2762.52696147929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5466.36067009001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5065.9329437703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4517.23301054295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3972.55562192306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2862.32275626805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6385.24226731777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6385.24226731777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6385.24226731777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6385.24226731777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6385.24226731777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5904.73472789991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5904.73472789991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5904.73472789991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5904.73472789991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5904.73472789991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5466.36067009001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5466.36067009001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5466.36067009001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5466.36067009001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5466.36067009001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4841.18895093625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5012.86838990671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5065.9329437703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5065.9329437703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5065.9329437703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4250.7055139609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4376.5657206802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4517.23301054295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4675.48371163854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4699.72030550003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2026-10-10T01:14:21Z</dcterms:created>
  <dc:creator>openpyxl</dc:creator>
  <dc:description/>
  <dc:language>en-NZ</dc:language>
  <cp:lastModifiedBy/>
  <dcterms:modified xsi:type="dcterms:W3CDTF">2026-10-10T01:14:21Z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