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<sst xmlns="http://schemas.openxmlformats.org/spreadsheetml/2006/main" count="363" uniqueCount="166">
  <si>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</si>
  <si>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DXS.AX</t>
  </si>
  <si>
    <t xml:space="preserve">Company</t>
  </si>
  <si>
    <t xml:space="preserve">Dexus</t>
  </si>
  <si>
    <t xml:space="preserve">Valuation date</t>
  </si>
  <si>
    <t xml:space="preserve">2026-09-22</t>
  </si>
  <si>
    <t xml:space="preserve">Current price</t>
  </si>
  <si>
    <t xml:space="preserve">Price as of</t>
  </si>
  <si>
    <t xml:space="preserve">2026-09-22T06:11:49Z (ASX regular close 22-Sep-2026; 52w range 5.30-7.73)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</si>
  <si>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</si>
  <si>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</si>
  <si>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</si>
  <si>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</si>
  <si>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</si>
  <si>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</si>
  <si>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</si>
  <si>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</si>
  <si>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</si>
  <si>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</si>
  <si>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</si>
  <si>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</si>
  <si>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2026-09-22T09:53:24Z</t>
  </si>
  <si>
    <t xml:space="preserve">Drivers file</t>
  </si>
  <si>
    <t xml:space="preserve">DXS.AX_Drivers.json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</si>
  <si>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</si>
  <si>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</si>
  <si>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</si>
  <si>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Dexus is valued on what it can distribute -- AFFO under the Property Council definition, after maintenance capex and leasing incentives -- capitalised at an AUD cost of equity with no further debt deduction. Net tangible assets (A$8.92/security) are a cross-check, not the anchor: book cap rates of ~6.1% imply a ~4.3% AFFO yield on NTA at FY27 guidance, below any reasonable cost of equity, which is why the securities have traded at a 30-40% discount to book for years and why the base IV sits below NTA. The value case rests on whether the FY27 reset is a floor (base/bull) or the first leg of a funds-management unwind (bear).
key_risks_to_valuation: APAC / Melbourne Airport litigation: appeal outcome, adverse costs, forced sale of the ~$4.5bn Dexus Bloc stake and the reputational cost to third-party capital raising; Infrastructure FUM strategic review ($7.3bn, ~$35m fees) and Healthcare fund redemption queue -- funds-management FFO already -17% in FY26; Office demand: 54-57% of FFO from office with national CBD vacancy 14-16% and Melbourne ~20%; incentives at ~30% of face rent absorb 28-30% of FFO; Cost of debt rising as hedges roll (4.2% -&gt; 4.7% in one half); each 50bp on $5.1bn look-through borrowings is ~5% of AFFO; Cap-rate direction: a reversal of the FY26 stabilisation would hit NTA, gearing and the buyback capacity simultaneously; Exchangeable Notes (63.4m securities, ~A$7.9 exchange) become dilutive only above the bull IV; treated as debt here</t>
  </si>
  <si>
    <t xml:space="preserve">Data sources</t>
  </si>
  <si>
    <t xml:space="preserve">price: Yahoo Finance chart API, DXS.AX regularMarketPrice 5.57 at 2026-09-22T06:11:49Z
financials: DXS.AX_Annual_FY2026.txt (FFO/AFFO composition p36, statutory-to-AFFO reconciliation p37, look-through NTA and securities on issue p37, FY27 guidance p40, EPS note for diluted count, equity statement for buyback and SBC); DXS.AX_Metrics.csv / metrics_normalized for the history
qualitative: DXS.AX_Analysis.json (2026-09-22)</t>
  </si>
  <si>
    <t xml:space="preserve">Scenario narrative: bear</t>
  </si>
  <si>
    <t xml:space="preserve">The APAC 'material irremediable breach' judgment stands, the infrastructure-FUM review ends in redemptions, the Healthcare fund queue grows and the funds-management annuity shrinks; higher debt costs as hedges roll and 30% incentive leakage push AFFO down to ~31 cps by FY29 before a 1.5% recovery. 10.5% cost of equity, 1.0% terminal growth, 12x cap. Distribution of 37 cps would be uncovered and cut.</t>
  </si>
  <si>
    <t xml:space="preserve">Scenario narrative: base</t>
  </si>
  <si>
    <t xml:space="preserve">AFFO resets to the FY27 guidance midpoint (38.5 cps) as trading profits and performance fees drop out and finance costs rise, then grows 2.5-3% p.a. from FY29 on prime-CBD leasing momentum and completed developments, with maintenance capex and incentives absorbing ~28% of FFO. Capitalised at a 9.5% AUD cost of equity with 2.0% terminal growth (13.6x terminal AFFO). The funds-management franchise stabilises but does not re-rate; the buyback is executed and roughly per-security neutral.</t>
  </si>
  <si>
    <t xml:space="preserve">Scenario narrative: bull</t>
  </si>
  <si>
    <t xml:space="preserve">FY27 lands at the top of guidance and FFO grows 4-5% p.a. through FY30 as cap rates compress, DWPF performance fees and trading profits return, third-party capital raising (~$2bn in FY26) and the Boral logistics estate rebuild the management-operations line, and incentives normalise to 26% of FFO. The governance overhang clears on appeal and the discount to NTA narrows: 8.75% cost of equity, 2.5% terminal growth, 16x cap. Value still sits below the A$8.92 NTA.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</si>
  <si>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</si>
  <si>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</si>
  <si>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</si>
  <si>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</si>
  <si>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</si>
  <si>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</si>
  <si>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</si>
  <si>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</si>
  <si>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</si>
  <si>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</si>
  <si>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</si>
  <si>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</si>
  <si>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</si>
  <si>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</si>
  <si>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</si>
  <si>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</si>
  <si>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</si>
  <si>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</si>
  <si>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</si>
  <si>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</si>
  <si>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</si>
  <si>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</si>
  <si>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</si>
  <si>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</si>
  <si>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</si>
  <si>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</si>
  <si>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</si>
  <si>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</si>
  <si>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</si>
  <si>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</si>
  <si>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</si>
  <si>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</si>
  <si>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</si>
  <si>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</si>
  <si>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</si>
  <si>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</si>
  <si>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</si>
  <si>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</si>
  <si>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</si>
  <si>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</si>
  <si>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</si>
  <si>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</si>
  <si>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</si>
  <si>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</si>
  <si>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</si>
  <si>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</si>
  <si>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</si>
  <si>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</si>
  <si>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</si>
  <si>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</si>
  <si>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</si>
  <si>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</si>
  <si>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</si>
  <si>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</si>
  <si>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</si>
  <si>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</si>
  <si>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</si>
  <si>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</si>
  <si>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</si>
  <si>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</si>
  <si>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</si>
  <si>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</si>
  <si>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</si>
  <si>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</si>
  <si>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</si>
  <si>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</si>
  <si>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</si>
  <si>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</si>
  <si>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</si>
  <si>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</si>
  <si>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</si>
  <si>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</si>
  <si>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</si>
  <si>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</si>
  <si>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</si>
  <si>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DXS.AX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</si>
  <si>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</si>
  <si>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</si>
  <si>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</si>
  <si>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</si>
  <si>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</si>
  <si>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</si>
  <si>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</si>
  <si>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</si>
  <si>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</si>
  <si>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</si>
  <si>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</si>
  <si>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</si>
  <si>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</si>
  <si>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</si>
  <si>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</si>
  <si>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</si>
  <si>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</si>
  <si>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</si>
  <si>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</si>
  <si>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</si>
  <si>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</si>
  <si>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</si>
  <si>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</si>
  <si>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</si>
  <si>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</si>
  <si>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</si>
  <si>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</si>
  <si>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</si>
  <si>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</si>
  <si>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</si>
  <si>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DXS.AX owner-FCF component DCF: base case (millions, AUD)</t>
  </si>
  <si>
    <t xml:space="preserve">DXS.AX owner-FCF component DCF: bull case (millions, AUD)</t>
  </si>
  <si>
    <t xml:space="preserve">DXS.AX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</si>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</sst>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5.57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865.5</v>
      </c>
      <c r="I2" s="0" t="n">
        <v>1259.8</v>
      </c>
      <c r="J2" s="0" t="n">
        <v>145.6</v>
      </c>
      <c r="K2" s="0" t="n">
        <v>1.3006</v>
      </c>
      <c r="L2" s="0" t="n">
        <v>663.7</v>
      </c>
      <c r="M2" s="0" t="n">
        <v>174.7</v>
      </c>
      <c r="N2" s="0" t="n">
        <v>489</v>
      </c>
      <c r="O2" s="0" t="n">
        <v>7596.3</v>
      </c>
      <c r="P2" s="0" t="n">
        <v>11782.8</v>
      </c>
      <c r="Q2" s="0" t="n">
        <v>4186.5</v>
      </c>
      <c r="R2" s="0" t="n">
        <v>3686.8</v>
      </c>
      <c r="S2" s="0" t="n">
        <v>18.1</v>
      </c>
      <c r="T2" s="0" t="n">
        <v>968.6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881.7</v>
      </c>
      <c r="I3" s="0" t="n">
        <v>1264.2</v>
      </c>
      <c r="J3" s="0" t="n">
        <v>143.4</v>
      </c>
      <c r="K3" s="0" t="n">
        <v>1.3053</v>
      </c>
      <c r="L3" s="0" t="n">
        <v>657.1</v>
      </c>
      <c r="M3" s="0" t="n">
        <v>149.2</v>
      </c>
      <c r="N3" s="0" t="n">
        <v>507.9</v>
      </c>
      <c r="O3" s="0" t="n">
        <v>8824.5</v>
      </c>
      <c r="P3" s="0" t="n">
        <v>12270.1</v>
      </c>
      <c r="Q3" s="0" t="n">
        <v>3445.6</v>
      </c>
      <c r="R3" s="0" t="n">
        <v>2697.8</v>
      </c>
      <c r="S3" s="0" t="n">
        <v>21.2</v>
      </c>
      <c r="T3" s="0" t="n">
        <v>968.5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840.6</v>
      </c>
      <c r="I4" s="0" t="n">
        <v>1728.9</v>
      </c>
      <c r="J4" s="0" t="n">
        <v>205.7</v>
      </c>
      <c r="K4" s="0" t="n">
        <v>1.6995</v>
      </c>
      <c r="L4" s="0" t="n">
        <v>609.7</v>
      </c>
      <c r="M4" s="0" t="n">
        <v>206.9</v>
      </c>
      <c r="N4" s="0" t="n">
        <v>402.8</v>
      </c>
      <c r="O4" s="0" t="n">
        <v>10047.4</v>
      </c>
      <c r="P4" s="0" t="n">
        <v>14017.3</v>
      </c>
      <c r="Q4" s="0" t="n">
        <v>3969.9</v>
      </c>
      <c r="R4" s="0" t="n">
        <v>3359.6</v>
      </c>
      <c r="S4" s="0" t="n">
        <v>33.3</v>
      </c>
      <c r="T4" s="0" t="n">
        <v>1017.3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795.1</v>
      </c>
      <c r="I5" s="0" t="n">
        <v>1281</v>
      </c>
      <c r="J5" s="0" t="n">
        <v>161.1</v>
      </c>
      <c r="K5" s="0" t="n">
        <v>1.2236</v>
      </c>
      <c r="L5" s="0" t="n">
        <v>493.1</v>
      </c>
      <c r="M5" s="0" t="n">
        <v>268</v>
      </c>
      <c r="N5" s="0" t="n">
        <v>225.1</v>
      </c>
      <c r="O5" s="0" t="n">
        <v>11743.3</v>
      </c>
      <c r="P5" s="0" t="n">
        <v>16521.3</v>
      </c>
      <c r="Q5" s="0" t="n">
        <v>4778</v>
      </c>
      <c r="R5" s="0" t="n">
        <v>4066.6</v>
      </c>
      <c r="S5" s="0" t="n">
        <v>29.8</v>
      </c>
      <c r="T5" s="0" t="n">
        <v>1046.9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991.9</v>
      </c>
      <c r="I6" s="0" t="n">
        <v>983</v>
      </c>
      <c r="J6" s="0" t="n">
        <v>99.1</v>
      </c>
      <c r="K6" s="0" t="n">
        <v>0.8863</v>
      </c>
      <c r="L6" s="0" t="n">
        <v>729.9</v>
      </c>
      <c r="M6" s="0" t="n">
        <v>262.4</v>
      </c>
      <c r="N6" s="0" t="n">
        <v>467.5</v>
      </c>
      <c r="O6" s="0" t="n">
        <v>12110.3</v>
      </c>
      <c r="P6" s="0" t="n">
        <v>17622.1</v>
      </c>
      <c r="Q6" s="0" t="n">
        <v>5511.8</v>
      </c>
      <c r="R6" s="0" t="n">
        <v>4838</v>
      </c>
      <c r="S6" s="0" t="n">
        <v>31.8</v>
      </c>
      <c r="T6" s="0" t="n">
        <v>1109.1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1015.9</v>
      </c>
      <c r="I7" s="0" t="n">
        <v>1138.4</v>
      </c>
      <c r="J7" s="0" t="n">
        <v>112.1</v>
      </c>
      <c r="K7" s="0" t="n">
        <v>1.0473</v>
      </c>
      <c r="L7" s="0" t="n">
        <v>999.3</v>
      </c>
      <c r="M7" s="0" t="n">
        <v>127.1</v>
      </c>
      <c r="N7" s="0" t="n">
        <v>872.2</v>
      </c>
      <c r="O7" s="0" t="n">
        <v>12509</v>
      </c>
      <c r="P7" s="0" t="n">
        <v>18099.6</v>
      </c>
      <c r="Q7" s="0" t="n">
        <v>5590.6</v>
      </c>
      <c r="R7" s="0" t="n">
        <v>4924.7</v>
      </c>
      <c r="S7" s="0" t="n">
        <v>43.5</v>
      </c>
      <c r="T7" s="0" t="n">
        <v>1087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874.3</v>
      </c>
      <c r="I8" s="0" t="n">
        <v>1615.9</v>
      </c>
      <c r="J8" s="0" t="n">
        <v>184.8</v>
      </c>
      <c r="K8" s="0" t="n">
        <v>1.4836</v>
      </c>
      <c r="L8" s="0" t="n">
        <v>560.1</v>
      </c>
      <c r="M8" s="0" t="n">
        <v>104.9</v>
      </c>
      <c r="N8" s="0" t="n">
        <v>455.2</v>
      </c>
      <c r="O8" s="0" t="n">
        <v>13567.2</v>
      </c>
      <c r="P8" s="0" t="n">
        <v>19192.1</v>
      </c>
      <c r="Q8" s="0" t="n">
        <v>5624.9</v>
      </c>
      <c r="R8" s="0" t="n">
        <v>4882.3</v>
      </c>
      <c r="S8" s="0" t="n">
        <v>75.3</v>
      </c>
      <c r="T8" s="0" t="n">
        <v>1089.2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848.4</v>
      </c>
      <c r="I9" s="0" t="n">
        <v>-752.7</v>
      </c>
      <c r="J9" s="0" t="n">
        <v>-88.7</v>
      </c>
      <c r="K9" s="0" t="n">
        <v>-0.6998</v>
      </c>
      <c r="L9" s="0" t="n">
        <v>770.9</v>
      </c>
      <c r="M9" s="0" t="n">
        <v>226.8</v>
      </c>
      <c r="N9" s="0" t="n">
        <v>544.1</v>
      </c>
      <c r="O9" s="0" t="n">
        <v>12264.3</v>
      </c>
      <c r="P9" s="0" t="n">
        <v>18480.2</v>
      </c>
      <c r="Q9" s="0" t="n">
        <v>6215.9</v>
      </c>
      <c r="R9" s="0" t="n">
        <v>5309.7</v>
      </c>
      <c r="S9" s="0" t="n">
        <v>123.9</v>
      </c>
      <c r="T9" s="0" t="n">
        <v>1075.6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902.2</v>
      </c>
      <c r="I10" s="0" t="n">
        <v>-1583.8</v>
      </c>
      <c r="J10" s="0" t="n">
        <v>-175.5</v>
      </c>
      <c r="K10" s="0" t="n">
        <v>-1.4725</v>
      </c>
      <c r="L10" s="0" t="n">
        <v>613.5</v>
      </c>
      <c r="M10" s="0" t="n">
        <v>148.1</v>
      </c>
      <c r="N10" s="0" t="n">
        <v>465.4</v>
      </c>
      <c r="O10" s="0" t="n">
        <v>10164.8</v>
      </c>
      <c r="P10" s="0" t="n">
        <v>15822.4</v>
      </c>
      <c r="Q10" s="0" t="n">
        <v>5657.6</v>
      </c>
      <c r="R10" s="0" t="n">
        <v>4909.6</v>
      </c>
      <c r="S10" s="0" t="n">
        <v>54</v>
      </c>
      <c r="T10" s="0" t="n">
        <v>1075.6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951.2</v>
      </c>
      <c r="I11" s="0" t="n">
        <v>136.1</v>
      </c>
      <c r="J11" s="0" t="n">
        <v>14.3</v>
      </c>
      <c r="K11" s="0" t="n">
        <v>0.1268</v>
      </c>
      <c r="L11" s="0" t="n">
        <v>811.3</v>
      </c>
      <c r="M11" s="0" t="n">
        <v>85.8</v>
      </c>
      <c r="N11" s="0" t="n">
        <v>725.5</v>
      </c>
      <c r="O11" s="0" t="n">
        <v>9913.1</v>
      </c>
      <c r="P11" s="0" t="n">
        <v>15388.6</v>
      </c>
      <c r="Q11" s="0" t="n">
        <v>5475.5</v>
      </c>
      <c r="R11" s="0" t="n">
        <v>4720.1</v>
      </c>
      <c r="S11" s="0" t="n">
        <v>65.3</v>
      </c>
      <c r="T11" s="0" t="n">
        <v>1073.3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710</v>
      </c>
      <c r="I12" s="0" t="n">
        <v>482.2</v>
      </c>
      <c r="J12" s="0" t="n">
        <v>67.9</v>
      </c>
      <c r="K12" s="0" t="n">
        <v>0.4334</v>
      </c>
      <c r="L12" s="0" t="n">
        <v>545.5</v>
      </c>
      <c r="M12" s="0" t="n">
        <v>73.8</v>
      </c>
      <c r="N12" s="0" t="n">
        <v>471.7</v>
      </c>
      <c r="O12" s="0" t="n">
        <v>9969.4</v>
      </c>
      <c r="P12" s="0" t="n">
        <v>15218.5</v>
      </c>
      <c r="Q12" s="0" t="n">
        <v>5249.1</v>
      </c>
      <c r="R12" s="0" t="n">
        <v>4574</v>
      </c>
      <c r="S12" s="0" t="n">
        <v>57.8</v>
      </c>
      <c r="T12" s="0" t="n">
        <v>1112.6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5.57</v>
      </c>
    </row>
    <row r="3" customFormat="false" ht="15" hidden="false" customHeight="false" outlineLevel="0" collapsed="false">
      <c r="A3" s="0" t="s">
        <v>77</v>
      </c>
      <c r="B3" s="3" t="n">
        <v>1072.59</v>
      </c>
    </row>
    <row r="4" customFormat="false" ht="15" hidden="false" customHeight="false" outlineLevel="0" collapsed="false">
      <c r="A4" s="0" t="s">
        <v>78</v>
      </c>
      <c r="B4" s="3" t="n">
        <v>0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669.3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-13.5</v>
      </c>
      <c r="D13" s="3" t="n">
        <v>-6</v>
      </c>
      <c r="E13" s="3" t="n">
        <v>-2</v>
      </c>
      <c r="F13" s="3" t="n">
        <v>0.5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102</v>
      </c>
      <c r="C18" s="3" t="n">
        <v>31</v>
      </c>
      <c r="D18" s="3" t="n">
        <v>31</v>
      </c>
      <c r="E18" s="3" t="n">
        <v>30.5</v>
      </c>
      <c r="F18" s="3" t="n">
        <v>30</v>
      </c>
      <c r="G18" s="3" t="n">
        <v>30</v>
      </c>
      <c r="H18" s="3" t="n">
        <v>30</v>
      </c>
      <c r="I18" s="3" t="n">
        <v>30</v>
      </c>
      <c r="J18" s="3" t="n">
        <v>30</v>
      </c>
      <c r="K18" s="3" t="n">
        <v>30</v>
      </c>
      <c r="L18" s="3" t="n">
        <v>30</v>
      </c>
    </row>
    <row r="19" customFormat="false" ht="15" hidden="false" customHeight="false" outlineLevel="0" collapsed="false">
      <c r="A19" s="0" t="s">
        <v>103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104</v>
      </c>
      <c r="B20" s="3" t="n">
        <v>10.5</v>
      </c>
    </row>
    <row r="21" customFormat="false" ht="15" hidden="false" customHeight="false" outlineLevel="0" collapsed="false">
      <c r="A21" s="0" t="s">
        <v>105</v>
      </c>
      <c r="B21" s="3" t="n">
        <v>1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-11.8</v>
      </c>
      <c r="D27" s="3" t="n">
        <v>1</v>
      </c>
      <c r="E27" s="3" t="n">
        <v>2.5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102</v>
      </c>
      <c r="C32" s="3" t="n">
        <v>30</v>
      </c>
      <c r="D32" s="3" t="n">
        <v>29.5</v>
      </c>
      <c r="E32" s="3" t="n">
        <v>29</v>
      </c>
      <c r="F32" s="3" t="n">
        <v>28.5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</row>
    <row r="33" customFormat="false" ht="15" hidden="false" customHeight="false" outlineLevel="0" collapsed="false">
      <c r="A33" s="0" t="s">
        <v>103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14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-10.5</v>
      </c>
      <c r="D41" s="3" t="n">
        <v>4</v>
      </c>
      <c r="E41" s="3" t="n">
        <v>5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102</v>
      </c>
      <c r="C46" s="3" t="n">
        <v>29</v>
      </c>
      <c r="D46" s="3" t="n">
        <v>28.5</v>
      </c>
      <c r="E46" s="3" t="n">
        <v>28</v>
      </c>
      <c r="F46" s="3" t="n">
        <v>27.5</v>
      </c>
      <c r="G46" s="3" t="n">
        <v>27</v>
      </c>
      <c r="H46" s="3" t="n">
        <v>26.5</v>
      </c>
      <c r="I46" s="3" t="n">
        <v>26</v>
      </c>
      <c r="J46" s="3" t="n">
        <v>26</v>
      </c>
      <c r="K46" s="3" t="n">
        <v>26</v>
      </c>
      <c r="L46" s="3" t="n">
        <v>26</v>
      </c>
    </row>
    <row r="47" customFormat="false" ht="15" hidden="false" customHeight="false" outlineLevel="0" collapsed="false">
      <c r="A47" s="0" t="s">
        <v>103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104</v>
      </c>
      <c r="B48" s="3" t="n">
        <v>8.75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16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-13.5</v>
      </c>
      <c r="D5" s="4" t="n">
        <f aca="false">Assumptions!D13</f>
        <v>-6</v>
      </c>
      <c r="E5" s="4" t="n">
        <f aca="false">Assumptions!E13</f>
        <v>-2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669.3</v>
      </c>
      <c r="C6" s="0" t="n">
        <f aca="false">B6*(1+C5/100)</f>
        <v>578.9445</v>
      </c>
      <c r="D6" s="0" t="n">
        <f aca="false">C6*(1+D5/100)</f>
        <v>544.20783</v>
      </c>
      <c r="E6" s="0" t="n">
        <f aca="false">D6*(1+E5/100)</f>
        <v>533.3236734</v>
      </c>
      <c r="F6" s="0" t="n">
        <f aca="false">E6*(1+F5/100)</f>
        <v>535.990291767</v>
      </c>
      <c r="G6" s="0" t="n">
        <f aca="false">F6*(1+G5/100)</f>
        <v>541.35019468467</v>
      </c>
      <c r="H6" s="0" t="n">
        <f aca="false">G6*(1+H5/100)</f>
        <v>549.47044760494</v>
      </c>
      <c r="I6" s="0" t="n">
        <f aca="false">H6*(1+I5/100)</f>
        <v>557.712504319014</v>
      </c>
      <c r="J6" s="0" t="n">
        <f aca="false">I6*(1+J5/100)</f>
        <v>566.078191883799</v>
      </c>
      <c r="K6" s="0" t="n">
        <f aca="false">J6*(1+K5/100)</f>
        <v>574.569364762056</v>
      </c>
      <c r="L6" s="0" t="n">
        <f aca="false">K6*(1+L5/100)</f>
        <v>583.187905233487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578.9445</v>
      </c>
      <c r="D8" s="0" t="n">
        <f aca="false">D6*D7/100</f>
        <v>544.20783</v>
      </c>
      <c r="E8" s="0" t="n">
        <f aca="false">E6*E7/100</f>
        <v>533.3236734</v>
      </c>
      <c r="F8" s="0" t="n">
        <f aca="false">F6*F7/100</f>
        <v>535.990291767</v>
      </c>
      <c r="G8" s="0" t="n">
        <f aca="false">G6*G7/100</f>
        <v>541.35019468467</v>
      </c>
      <c r="H8" s="0" t="n">
        <f aca="false">H6*H7/100</f>
        <v>549.47044760494</v>
      </c>
      <c r="I8" s="0" t="n">
        <f aca="false">I6*I7/100</f>
        <v>557.712504319014</v>
      </c>
      <c r="J8" s="0" t="n">
        <f aca="false">J6*J7/100</f>
        <v>566.078191883799</v>
      </c>
      <c r="K8" s="0" t="n">
        <f aca="false">K6*K7/100</f>
        <v>574.569364762056</v>
      </c>
      <c r="L8" s="0" t="n">
        <f aca="false">L6*L7/100</f>
        <v>583.187905233487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578.9445</v>
      </c>
      <c r="D11" s="0" t="n">
        <f aca="false">D8+D10+D24</f>
        <v>544.20783</v>
      </c>
      <c r="E11" s="0" t="n">
        <f aca="false">E8+E10+E24</f>
        <v>533.3236734</v>
      </c>
      <c r="F11" s="0" t="n">
        <f aca="false">F8+F10+F24</f>
        <v>535.990291767</v>
      </c>
      <c r="G11" s="0" t="n">
        <f aca="false">G8+G10+G24</f>
        <v>541.35019468467</v>
      </c>
      <c r="H11" s="0" t="n">
        <f aca="false">H8+H10+H24</f>
        <v>549.47044760494</v>
      </c>
      <c r="I11" s="0" t="n">
        <f aca="false">I8+I10+I24</f>
        <v>557.712504319014</v>
      </c>
      <c r="J11" s="0" t="n">
        <f aca="false">J8+J10+J24</f>
        <v>566.078191883799</v>
      </c>
      <c r="K11" s="0" t="n">
        <f aca="false">K8+K10+K24</f>
        <v>574.569364762056</v>
      </c>
      <c r="L11" s="0" t="n">
        <f aca="false">L8+L10+L24</f>
        <v>583.187905233487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578.9445</v>
      </c>
      <c r="D13" s="0" t="n">
        <f aca="false">D11+D12</f>
        <v>544.20783</v>
      </c>
      <c r="E13" s="0" t="n">
        <f aca="false">E11+E12</f>
        <v>533.3236734</v>
      </c>
      <c r="F13" s="0" t="n">
        <f aca="false">F11+F12</f>
        <v>535.990291767</v>
      </c>
      <c r="G13" s="0" t="n">
        <f aca="false">G11+G12</f>
        <v>541.35019468467</v>
      </c>
      <c r="H13" s="0" t="n">
        <f aca="false">H11+H12</f>
        <v>549.47044760494</v>
      </c>
      <c r="I13" s="0" t="n">
        <f aca="false">I11+I12</f>
        <v>557.712504319014</v>
      </c>
      <c r="J13" s="0" t="n">
        <f aca="false">J11+J12</f>
        <v>566.078191883799</v>
      </c>
      <c r="K13" s="0" t="n">
        <f aca="false">K11+K12</f>
        <v>574.569364762056</v>
      </c>
      <c r="L13" s="0" t="n">
        <f aca="false">L11+L12</f>
        <v>583.187905233487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578.9445</v>
      </c>
      <c r="D15" s="0" t="n">
        <f aca="false">D13-MAX(0,D13)*D14/100</f>
        <v>544.20783</v>
      </c>
      <c r="E15" s="0" t="n">
        <f aca="false">E13-MAX(0,E13)*E14/100</f>
        <v>533.3236734</v>
      </c>
      <c r="F15" s="0" t="n">
        <f aca="false">F13-MAX(0,F13)*F14/100</f>
        <v>535.990291767</v>
      </c>
      <c r="G15" s="0" t="n">
        <f aca="false">G13-MAX(0,G13)*G14/100</f>
        <v>541.35019468467</v>
      </c>
      <c r="H15" s="0" t="n">
        <f aca="false">H13-MAX(0,H13)*H14/100</f>
        <v>549.47044760494</v>
      </c>
      <c r="I15" s="0" t="n">
        <f aca="false">I13-MAX(0,I13)*I14/100</f>
        <v>557.712504319014</v>
      </c>
      <c r="J15" s="0" t="n">
        <f aca="false">J13-MAX(0,J13)*J14/100</f>
        <v>566.078191883799</v>
      </c>
      <c r="K15" s="0" t="n">
        <f aca="false">K13-MAX(0,K13)*K14/100</f>
        <v>574.569364762056</v>
      </c>
      <c r="L15" s="0" t="n">
        <f aca="false">L13-MAX(0,L13)*L14/100</f>
        <v>583.187905233487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-179.472795</v>
      </c>
      <c r="D17" s="4" t="n">
        <f aca="false">-D6*Assumptions!D18/100</f>
        <v>-168.7044273</v>
      </c>
      <c r="E17" s="4" t="n">
        <f aca="false">-E6*Assumptions!E18/100</f>
        <v>-162.663720387</v>
      </c>
      <c r="F17" s="4" t="n">
        <f aca="false">-F6*Assumptions!F18/100</f>
        <v>-160.7970875301</v>
      </c>
      <c r="G17" s="4" t="n">
        <f aca="false">-G6*Assumptions!G18/100</f>
        <v>-162.405058405401</v>
      </c>
      <c r="H17" s="4" t="n">
        <f aca="false">-H6*Assumptions!H18/100</f>
        <v>-164.841134281482</v>
      </c>
      <c r="I17" s="4" t="n">
        <f aca="false">-I6*Assumptions!I18/100</f>
        <v>-167.313751295704</v>
      </c>
      <c r="J17" s="4" t="n">
        <f aca="false">-J6*Assumptions!J18/100</f>
        <v>-169.82345756514</v>
      </c>
      <c r="K17" s="4" t="n">
        <f aca="false">-K6*Assumptions!K18/100</f>
        <v>-172.370809428617</v>
      </c>
      <c r="L17" s="4" t="n">
        <f aca="false">-L6*Assumptions!L18/100</f>
        <v>-174.956371570046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399.471705</v>
      </c>
      <c r="D19" s="0" t="n">
        <f aca="false">D15+D16+D17+D18</f>
        <v>375.5034027</v>
      </c>
      <c r="E19" s="0" t="n">
        <f aca="false">E15+E16+E17+E18</f>
        <v>370.659953013</v>
      </c>
      <c r="F19" s="0" t="n">
        <f aca="false">F15+F16+F17+F18</f>
        <v>375.1932042369</v>
      </c>
      <c r="G19" s="0" t="n">
        <f aca="false">G15+G16+G17+G18</f>
        <v>378.945136279269</v>
      </c>
      <c r="H19" s="0" t="n">
        <f aca="false">H15+H16+H17+H18</f>
        <v>384.629313323458</v>
      </c>
      <c r="I19" s="0" t="n">
        <f aca="false">I15+I16+I17+I18</f>
        <v>390.39875302331</v>
      </c>
      <c r="J19" s="0" t="n">
        <f aca="false">J15+J16+J17+J18</f>
        <v>396.254734318659</v>
      </c>
      <c r="K19" s="0" t="n">
        <f aca="false">K15+K16+K17+K18</f>
        <v>402.198555333439</v>
      </c>
      <c r="L19" s="0" t="n">
        <f aca="false">L15+L16+L17+L18</f>
        <v>408.231533663441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361.51285520362</v>
      </c>
      <c r="D21" s="0" t="n">
        <f aca="false">D19*D20</f>
        <v>307.531297639278</v>
      </c>
      <c r="E21" s="0" t="n">
        <f aca="false">E19*E20</f>
        <v>274.719085608384</v>
      </c>
      <c r="F21" s="0" t="n">
        <f aca="false">F19*F20</f>
        <v>251.655166802954</v>
      </c>
      <c r="G21" s="0" t="n">
        <f aca="false">G19*G20</f>
        <v>230.019654724872</v>
      </c>
      <c r="H21" s="0" t="n">
        <f aca="false">H19*H20</f>
        <v>211.285022213344</v>
      </c>
      <c r="I21" s="0" t="n">
        <f aca="false">I19*I20</f>
        <v>194.076287372438</v>
      </c>
      <c r="J21" s="0" t="n">
        <f aca="false">J19*J20</f>
        <v>178.269168943913</v>
      </c>
      <c r="K21" s="0" t="n">
        <f aca="false">K19*K20</f>
        <v>163.749508124952</v>
      </c>
      <c r="L21" s="0" t="n">
        <f aca="false">L19*L20</f>
        <v>150.412444114775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2323.23049074853</v>
      </c>
    </row>
    <row r="31" customFormat="false" ht="15" hidden="false" customHeight="false" outlineLevel="0" collapsed="false">
      <c r="A31" s="0" t="s">
        <v>128</v>
      </c>
      <c r="B31" s="0" t="n">
        <f aca="false">L19</f>
        <v>408.231533663441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4340.14577894816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4898.77840396129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4340.14577894816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1599.12177427287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3922.3522650214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3922.3522650214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3.65689803654836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-0.343465343528123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3.65689803654836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2945.09892142911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2.48347115095127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-11.8</v>
      </c>
      <c r="D5" s="4" t="n">
        <f aca="false">Assumptions!D27</f>
        <v>1</v>
      </c>
      <c r="E5" s="4" t="n">
        <f aca="false">Assumptions!E27</f>
        <v>2.5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669.3</v>
      </c>
      <c r="C6" s="0" t="n">
        <f aca="false">B6*(1+C5/100)</f>
        <v>590.3226</v>
      </c>
      <c r="D6" s="0" t="n">
        <f aca="false">C6*(1+D5/100)</f>
        <v>596.225826</v>
      </c>
      <c r="E6" s="0" t="n">
        <f aca="false">D6*(1+E5/100)</f>
        <v>611.13147165</v>
      </c>
      <c r="F6" s="0" t="n">
        <f aca="false">E6*(1+F5/100)</f>
        <v>629.4654157995</v>
      </c>
      <c r="G6" s="0" t="n">
        <f aca="false">F6*(1+G5/100)</f>
        <v>648.349378273485</v>
      </c>
      <c r="H6" s="0" t="n">
        <f aca="false">G6*(1+H5/100)</f>
        <v>667.79985962169</v>
      </c>
      <c r="I6" s="0" t="n">
        <f aca="false">H6*(1+I5/100)</f>
        <v>684.494856112232</v>
      </c>
      <c r="J6" s="0" t="n">
        <f aca="false">I6*(1+J5/100)</f>
        <v>701.607227515037</v>
      </c>
      <c r="K6" s="0" t="n">
        <f aca="false">J6*(1+K5/100)</f>
        <v>719.147408202913</v>
      </c>
      <c r="L6" s="0" t="n">
        <f aca="false">K6*(1+L5/100)</f>
        <v>737.126093407986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590.3226</v>
      </c>
      <c r="D8" s="0" t="n">
        <f aca="false">D6*D7/100</f>
        <v>596.225826</v>
      </c>
      <c r="E8" s="0" t="n">
        <f aca="false">E6*E7/100</f>
        <v>611.13147165</v>
      </c>
      <c r="F8" s="0" t="n">
        <f aca="false">F6*F7/100</f>
        <v>629.4654157995</v>
      </c>
      <c r="G8" s="0" t="n">
        <f aca="false">G6*G7/100</f>
        <v>648.349378273485</v>
      </c>
      <c r="H8" s="0" t="n">
        <f aca="false">H6*H7/100</f>
        <v>667.79985962169</v>
      </c>
      <c r="I8" s="0" t="n">
        <f aca="false">I6*I7/100</f>
        <v>684.494856112232</v>
      </c>
      <c r="J8" s="0" t="n">
        <f aca="false">J6*J7/100</f>
        <v>701.607227515037</v>
      </c>
      <c r="K8" s="0" t="n">
        <f aca="false">K6*K7/100</f>
        <v>719.147408202913</v>
      </c>
      <c r="L8" s="0" t="n">
        <f aca="false">L6*L7/100</f>
        <v>737.126093407986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590.3226</v>
      </c>
      <c r="D11" s="0" t="n">
        <f aca="false">D8+D10+D24</f>
        <v>596.225826</v>
      </c>
      <c r="E11" s="0" t="n">
        <f aca="false">E8+E10+E24</f>
        <v>611.13147165</v>
      </c>
      <c r="F11" s="0" t="n">
        <f aca="false">F8+F10+F24</f>
        <v>629.4654157995</v>
      </c>
      <c r="G11" s="0" t="n">
        <f aca="false">G8+G10+G24</f>
        <v>648.349378273485</v>
      </c>
      <c r="H11" s="0" t="n">
        <f aca="false">H8+H10+H24</f>
        <v>667.79985962169</v>
      </c>
      <c r="I11" s="0" t="n">
        <f aca="false">I8+I10+I24</f>
        <v>684.494856112232</v>
      </c>
      <c r="J11" s="0" t="n">
        <f aca="false">J8+J10+J24</f>
        <v>701.607227515037</v>
      </c>
      <c r="K11" s="0" t="n">
        <f aca="false">K8+K10+K24</f>
        <v>719.147408202913</v>
      </c>
      <c r="L11" s="0" t="n">
        <f aca="false">L8+L10+L24</f>
        <v>737.126093407986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590.3226</v>
      </c>
      <c r="D13" s="0" t="n">
        <f aca="false">D11+D12</f>
        <v>596.225826</v>
      </c>
      <c r="E13" s="0" t="n">
        <f aca="false">E11+E12</f>
        <v>611.13147165</v>
      </c>
      <c r="F13" s="0" t="n">
        <f aca="false">F11+F12</f>
        <v>629.4654157995</v>
      </c>
      <c r="G13" s="0" t="n">
        <f aca="false">G11+G12</f>
        <v>648.349378273485</v>
      </c>
      <c r="H13" s="0" t="n">
        <f aca="false">H11+H12</f>
        <v>667.79985962169</v>
      </c>
      <c r="I13" s="0" t="n">
        <f aca="false">I11+I12</f>
        <v>684.494856112232</v>
      </c>
      <c r="J13" s="0" t="n">
        <f aca="false">J11+J12</f>
        <v>701.607227515037</v>
      </c>
      <c r="K13" s="0" t="n">
        <f aca="false">K11+K12</f>
        <v>719.147408202913</v>
      </c>
      <c r="L13" s="0" t="n">
        <f aca="false">L11+L12</f>
        <v>737.126093407986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590.3226</v>
      </c>
      <c r="D15" s="0" t="n">
        <f aca="false">D13-MAX(0,D13)*D14/100</f>
        <v>596.225826</v>
      </c>
      <c r="E15" s="0" t="n">
        <f aca="false">E13-MAX(0,E13)*E14/100</f>
        <v>611.13147165</v>
      </c>
      <c r="F15" s="0" t="n">
        <f aca="false">F13-MAX(0,F13)*F14/100</f>
        <v>629.4654157995</v>
      </c>
      <c r="G15" s="0" t="n">
        <f aca="false">G13-MAX(0,G13)*G14/100</f>
        <v>648.349378273485</v>
      </c>
      <c r="H15" s="0" t="n">
        <f aca="false">H13-MAX(0,H13)*H14/100</f>
        <v>667.79985962169</v>
      </c>
      <c r="I15" s="0" t="n">
        <f aca="false">I13-MAX(0,I13)*I14/100</f>
        <v>684.494856112232</v>
      </c>
      <c r="J15" s="0" t="n">
        <f aca="false">J13-MAX(0,J13)*J14/100</f>
        <v>701.607227515037</v>
      </c>
      <c r="K15" s="0" t="n">
        <f aca="false">K13-MAX(0,K13)*K14/100</f>
        <v>719.147408202913</v>
      </c>
      <c r="L15" s="0" t="n">
        <f aca="false">L13-MAX(0,L13)*L14/100</f>
        <v>737.126093407986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-177.09678</v>
      </c>
      <c r="D17" s="4" t="n">
        <f aca="false">-D6*Assumptions!D32/100</f>
        <v>-175.88661867</v>
      </c>
      <c r="E17" s="4" t="n">
        <f aca="false">-E6*Assumptions!E32/100</f>
        <v>-177.2281267785</v>
      </c>
      <c r="F17" s="4" t="n">
        <f aca="false">-F6*Assumptions!F32/100</f>
        <v>-179.397643502858</v>
      </c>
      <c r="G17" s="4" t="n">
        <f aca="false">-G6*Assumptions!G32/100</f>
        <v>-181.537825916576</v>
      </c>
      <c r="H17" s="4" t="n">
        <f aca="false">-H6*Assumptions!H32/100</f>
        <v>-186.983960694073</v>
      </c>
      <c r="I17" s="4" t="n">
        <f aca="false">-I6*Assumptions!I32/100</f>
        <v>-191.658559711425</v>
      </c>
      <c r="J17" s="4" t="n">
        <f aca="false">-J6*Assumptions!J32/100</f>
        <v>-196.45002370421</v>
      </c>
      <c r="K17" s="4" t="n">
        <f aca="false">-K6*Assumptions!K32/100</f>
        <v>-201.361274296816</v>
      </c>
      <c r="L17" s="4" t="n">
        <f aca="false">-L6*Assumptions!L32/100</f>
        <v>-206.395306154236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413.22582</v>
      </c>
      <c r="D19" s="0" t="n">
        <f aca="false">D15+D16+D17+D18</f>
        <v>420.33920733</v>
      </c>
      <c r="E19" s="0" t="n">
        <f aca="false">E15+E16+E17+E18</f>
        <v>433.9033448715</v>
      </c>
      <c r="F19" s="0" t="n">
        <f aca="false">F15+F16+F17+F18</f>
        <v>450.067772296643</v>
      </c>
      <c r="G19" s="0" t="n">
        <f aca="false">G15+G16+G17+G18</f>
        <v>466.811552356909</v>
      </c>
      <c r="H19" s="0" t="n">
        <f aca="false">H15+H16+H17+H18</f>
        <v>480.815898927616</v>
      </c>
      <c r="I19" s="0" t="n">
        <f aca="false">I15+I16+I17+I18</f>
        <v>492.836296400807</v>
      </c>
      <c r="J19" s="0" t="n">
        <f aca="false">J15+J16+J17+J18</f>
        <v>505.157203810827</v>
      </c>
      <c r="K19" s="0" t="n">
        <f aca="false">K15+K16+K17+K18</f>
        <v>517.786133906098</v>
      </c>
      <c r="L19" s="0" t="n">
        <f aca="false">L15+L16+L17+L18</f>
        <v>530.73078725375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377.375178082192</v>
      </c>
      <c r="D21" s="0" t="n">
        <f aca="false">D19*D20</f>
        <v>350.567508875962</v>
      </c>
      <c r="E21" s="0" t="n">
        <f aca="false">E19*E20</f>
        <v>330.484153741353</v>
      </c>
      <c r="F21" s="0" t="n">
        <f aca="false">F19*F20</f>
        <v>313.055572734992</v>
      </c>
      <c r="G21" s="0" t="n">
        <f aca="false">G19*G20</f>
        <v>296.531612530281</v>
      </c>
      <c r="H21" s="0" t="n">
        <f aca="false">H19*H20</f>
        <v>278.929279366383</v>
      </c>
      <c r="I21" s="0" t="n">
        <f aca="false">I19*I20</f>
        <v>261.098183881774</v>
      </c>
      <c r="J21" s="0" t="n">
        <f aca="false">J19*J20</f>
        <v>244.406975779743</v>
      </c>
      <c r="K21" s="0" t="n">
        <f aca="false">K19*K20</f>
        <v>228.782785547248</v>
      </c>
      <c r="L21" s="0" t="n">
        <f aca="false">L19*L20</f>
        <v>214.157401996282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2895.38865253621</v>
      </c>
    </row>
    <row r="31" customFormat="false" ht="15" hidden="false" customHeight="false" outlineLevel="0" collapsed="false">
      <c r="A31" s="0" t="s">
        <v>128</v>
      </c>
      <c r="B31" s="0" t="n">
        <f aca="false">L19</f>
        <v>530.73078725375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7217.938706651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7430.2310215525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7217.938706651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2912.54066714944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5807.92931968565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5807.92931968565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5.41486431878504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-0.0278520073994543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5.41486431878504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4164.19540768327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3.09331706303697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-10.5</v>
      </c>
      <c r="D5" s="4" t="n">
        <f aca="false">Assumptions!D41</f>
        <v>4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669.3</v>
      </c>
      <c r="C6" s="0" t="n">
        <f aca="false">B6*(1+C5/100)</f>
        <v>599.0235</v>
      </c>
      <c r="D6" s="0" t="n">
        <f aca="false">C6*(1+D5/100)</f>
        <v>622.98444</v>
      </c>
      <c r="E6" s="0" t="n">
        <f aca="false">D6*(1+E5/100)</f>
        <v>654.133662</v>
      </c>
      <c r="F6" s="0" t="n">
        <f aca="false">E6*(1+F5/100)</f>
        <v>686.8403451</v>
      </c>
      <c r="G6" s="0" t="n">
        <f aca="false">F6*(1+G5/100)</f>
        <v>714.313958904</v>
      </c>
      <c r="H6" s="0" t="n">
        <f aca="false">G6*(1+H5/100)</f>
        <v>739.31494746564</v>
      </c>
      <c r="I6" s="0" t="n">
        <f aca="false">H6*(1+I5/100)</f>
        <v>761.494395889609</v>
      </c>
      <c r="J6" s="0" t="n">
        <f aca="false">I6*(1+J5/100)</f>
        <v>784.339227766298</v>
      </c>
      <c r="K6" s="0" t="n">
        <f aca="false">J6*(1+K5/100)</f>
        <v>807.869404599287</v>
      </c>
      <c r="L6" s="0" t="n">
        <f aca="false">K6*(1+L5/100)</f>
        <v>832.105486737265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599.0235</v>
      </c>
      <c r="D8" s="0" t="n">
        <f aca="false">D6*D7/100</f>
        <v>622.98444</v>
      </c>
      <c r="E8" s="0" t="n">
        <f aca="false">E6*E7/100</f>
        <v>654.133662</v>
      </c>
      <c r="F8" s="0" t="n">
        <f aca="false">F6*F7/100</f>
        <v>686.8403451</v>
      </c>
      <c r="G8" s="0" t="n">
        <f aca="false">G6*G7/100</f>
        <v>714.313958904</v>
      </c>
      <c r="H8" s="0" t="n">
        <f aca="false">H6*H7/100</f>
        <v>739.31494746564</v>
      </c>
      <c r="I8" s="0" t="n">
        <f aca="false">I6*I7/100</f>
        <v>761.494395889609</v>
      </c>
      <c r="J8" s="0" t="n">
        <f aca="false">J6*J7/100</f>
        <v>784.339227766298</v>
      </c>
      <c r="K8" s="0" t="n">
        <f aca="false">K6*K7/100</f>
        <v>807.869404599287</v>
      </c>
      <c r="L8" s="0" t="n">
        <f aca="false">L6*L7/100</f>
        <v>832.105486737265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599.0235</v>
      </c>
      <c r="D11" s="0" t="n">
        <f aca="false">D8+D10+D24</f>
        <v>622.98444</v>
      </c>
      <c r="E11" s="0" t="n">
        <f aca="false">E8+E10+E24</f>
        <v>654.133662</v>
      </c>
      <c r="F11" s="0" t="n">
        <f aca="false">F8+F10+F24</f>
        <v>686.8403451</v>
      </c>
      <c r="G11" s="0" t="n">
        <f aca="false">G8+G10+G24</f>
        <v>714.313958904</v>
      </c>
      <c r="H11" s="0" t="n">
        <f aca="false">H8+H10+H24</f>
        <v>739.31494746564</v>
      </c>
      <c r="I11" s="0" t="n">
        <f aca="false">I8+I10+I24</f>
        <v>761.494395889609</v>
      </c>
      <c r="J11" s="0" t="n">
        <f aca="false">J8+J10+J24</f>
        <v>784.339227766298</v>
      </c>
      <c r="K11" s="0" t="n">
        <f aca="false">K8+K10+K24</f>
        <v>807.869404599287</v>
      </c>
      <c r="L11" s="0" t="n">
        <f aca="false">L8+L10+L24</f>
        <v>832.105486737265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599.0235</v>
      </c>
      <c r="D13" s="0" t="n">
        <f aca="false">D11+D12</f>
        <v>622.98444</v>
      </c>
      <c r="E13" s="0" t="n">
        <f aca="false">E11+E12</f>
        <v>654.133662</v>
      </c>
      <c r="F13" s="0" t="n">
        <f aca="false">F11+F12</f>
        <v>686.8403451</v>
      </c>
      <c r="G13" s="0" t="n">
        <f aca="false">G11+G12</f>
        <v>714.313958904</v>
      </c>
      <c r="H13" s="0" t="n">
        <f aca="false">H11+H12</f>
        <v>739.31494746564</v>
      </c>
      <c r="I13" s="0" t="n">
        <f aca="false">I11+I12</f>
        <v>761.494395889609</v>
      </c>
      <c r="J13" s="0" t="n">
        <f aca="false">J11+J12</f>
        <v>784.339227766298</v>
      </c>
      <c r="K13" s="0" t="n">
        <f aca="false">K11+K12</f>
        <v>807.869404599287</v>
      </c>
      <c r="L13" s="0" t="n">
        <f aca="false">L11+L12</f>
        <v>832.105486737265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599.0235</v>
      </c>
      <c r="D15" s="0" t="n">
        <f aca="false">D13-MAX(0,D13)*D14/100</f>
        <v>622.98444</v>
      </c>
      <c r="E15" s="0" t="n">
        <f aca="false">E13-MAX(0,E13)*E14/100</f>
        <v>654.133662</v>
      </c>
      <c r="F15" s="0" t="n">
        <f aca="false">F13-MAX(0,F13)*F14/100</f>
        <v>686.8403451</v>
      </c>
      <c r="G15" s="0" t="n">
        <f aca="false">G13-MAX(0,G13)*G14/100</f>
        <v>714.313958904</v>
      </c>
      <c r="H15" s="0" t="n">
        <f aca="false">H13-MAX(0,H13)*H14/100</f>
        <v>739.31494746564</v>
      </c>
      <c r="I15" s="0" t="n">
        <f aca="false">I13-MAX(0,I13)*I14/100</f>
        <v>761.494395889609</v>
      </c>
      <c r="J15" s="0" t="n">
        <f aca="false">J13-MAX(0,J13)*J14/100</f>
        <v>784.339227766298</v>
      </c>
      <c r="K15" s="0" t="n">
        <f aca="false">K13-MAX(0,K13)*K14/100</f>
        <v>807.869404599287</v>
      </c>
      <c r="L15" s="0" t="n">
        <f aca="false">L13-MAX(0,L13)*L14/100</f>
        <v>832.105486737265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-173.716815</v>
      </c>
      <c r="D17" s="4" t="n">
        <f aca="false">-D6*Assumptions!D46/100</f>
        <v>-177.5505654</v>
      </c>
      <c r="E17" s="4" t="n">
        <f aca="false">-E6*Assumptions!E46/100</f>
        <v>-183.15742536</v>
      </c>
      <c r="F17" s="4" t="n">
        <f aca="false">-F6*Assumptions!F46/100</f>
        <v>-188.8810949025</v>
      </c>
      <c r="G17" s="4" t="n">
        <f aca="false">-G6*Assumptions!G46/100</f>
        <v>-192.86476890408</v>
      </c>
      <c r="H17" s="4" t="n">
        <f aca="false">-H6*Assumptions!H46/100</f>
        <v>-195.918461078395</v>
      </c>
      <c r="I17" s="4" t="n">
        <f aca="false">-I6*Assumptions!I46/100</f>
        <v>-197.988542931298</v>
      </c>
      <c r="J17" s="4" t="n">
        <f aca="false">-J6*Assumptions!J46/100</f>
        <v>-203.928199219237</v>
      </c>
      <c r="K17" s="4" t="n">
        <f aca="false">-K6*Assumptions!K46/100</f>
        <v>-210.046045195815</v>
      </c>
      <c r="L17" s="4" t="n">
        <f aca="false">-L6*Assumptions!L46/100</f>
        <v>-216.347426551689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425.306685</v>
      </c>
      <c r="D19" s="0" t="n">
        <f aca="false">D15+D16+D17+D18</f>
        <v>445.4338746</v>
      </c>
      <c r="E19" s="0" t="n">
        <f aca="false">E15+E16+E17+E18</f>
        <v>470.97623664</v>
      </c>
      <c r="F19" s="0" t="n">
        <f aca="false">F15+F16+F17+F18</f>
        <v>497.9592501975</v>
      </c>
      <c r="G19" s="0" t="n">
        <f aca="false">G15+G16+G17+G18</f>
        <v>521.44918999992</v>
      </c>
      <c r="H19" s="0" t="n">
        <f aca="false">H15+H16+H17+H18</f>
        <v>543.396486387245</v>
      </c>
      <c r="I19" s="0" t="n">
        <f aca="false">I15+I16+I17+I18</f>
        <v>563.505852958311</v>
      </c>
      <c r="J19" s="0" t="n">
        <f aca="false">J15+J16+J17+J18</f>
        <v>580.41102854706</v>
      </c>
      <c r="K19" s="0" t="n">
        <f aca="false">K15+K16+K17+K18</f>
        <v>597.823359403472</v>
      </c>
      <c r="L19" s="0" t="n">
        <f aca="false">L15+L16+L17+L18</f>
        <v>615.758060185576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391.086606896552</v>
      </c>
      <c r="D21" s="0" t="n">
        <f aca="false">D19*D20</f>
        <v>376.638498803012</v>
      </c>
      <c r="E21" s="0" t="n">
        <f aca="false">E19*E20</f>
        <v>366.193978098323</v>
      </c>
      <c r="F21" s="0" t="n">
        <f aca="false">F19*F20</f>
        <v>356.021923151148</v>
      </c>
      <c r="G21" s="0" t="n">
        <f aca="false">G19*G20</f>
        <v>342.819619889149</v>
      </c>
      <c r="H21" s="0" t="n">
        <f aca="false">H19*H20</f>
        <v>328.504431226797</v>
      </c>
      <c r="I21" s="0" t="n">
        <f aca="false">I19*I20</f>
        <v>313.251797614906</v>
      </c>
      <c r="J21" s="0" t="n">
        <f aca="false">J19*J20</f>
        <v>296.68905889044</v>
      </c>
      <c r="K21" s="0" t="n">
        <f aca="false">K19*K20</f>
        <v>281.002051178991</v>
      </c>
      <c r="L21" s="0" t="n">
        <f aca="false">L19*L20</f>
        <v>266.144471461481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8.75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3318.3524372108</v>
      </c>
    </row>
    <row r="31" customFormat="false" ht="15" hidden="false" customHeight="false" outlineLevel="0" collapsed="false">
      <c r="A31" s="0" t="s">
        <v>128</v>
      </c>
      <c r="B31" s="0" t="n">
        <f aca="false">L19</f>
        <v>615.758060185576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10098.4321870435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9852.12896296922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9852.12896296922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4258.3115433837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7576.6639805945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7576.6639805945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7.06389578552336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0.268203911225019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7.06389578552336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5049.21609352173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3.51207800068008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3.65689803654836</v>
      </c>
      <c r="C4" s="0" t="n">
        <f aca="false">B4/Assumptions!$B$2-1</f>
        <v>-0.343465343528123</v>
      </c>
      <c r="D4" s="4" t="n">
        <f aca="false">Assumptions!$B$24</f>
        <v>0.3</v>
      </c>
      <c r="E4" s="4" t="n">
        <f aca="false">DCF_Bear!$B$43</f>
        <v>3.65689803654836</v>
      </c>
      <c r="F4" s="4" t="n">
        <f aca="false">DCF_Bear!$B$47</f>
        <v>2.48347115095127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5.41486431878504</v>
      </c>
      <c r="C5" s="0" t="n">
        <f aca="false">B5/Assumptions!$B$2-1</f>
        <v>-0.0278520073994543</v>
      </c>
      <c r="D5" s="4" t="n">
        <f aca="false">Assumptions!$B$38</f>
        <v>0.5</v>
      </c>
      <c r="E5" s="4" t="n">
        <f aca="false">DCF_Base!$B$43</f>
        <v>5.41486431878504</v>
      </c>
      <c r="F5" s="4" t="n">
        <f aca="false">DCF_Base!$B$47</f>
        <v>3.09331706303697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7.06389578552336</v>
      </c>
      <c r="C6" s="0" t="n">
        <f aca="false">B6/Assumptions!$B$2-1</f>
        <v>0.268203911225019</v>
      </c>
      <c r="D6" s="4" t="n">
        <f aca="false">Assumptions!$B$52</f>
        <v>0.2</v>
      </c>
      <c r="E6" s="4" t="n">
        <f aca="false">DCF_Bull!$B$43</f>
        <v>7.06389578552336</v>
      </c>
      <c r="F6" s="4" t="n">
        <f aca="false">DCF_Bull!$B$47</f>
        <v>3.51207800068008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5.2172807274617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5.2172807274617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-0.0676059600706795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2.99411547693988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5.68828640825626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5.41486431878504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5.07126153478978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4.49896794437945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4.04156028147063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3.09331706303697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6.32497833349033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6.32497833349033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6.32497833349033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6.32497833349033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6.32497833349033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5.77413345532981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5.89085254290332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5.89085254290332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5.89085254290332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5.89085254290332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5.07191236914519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5.23267109553887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5.41486431878504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5.49472984130391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5.49472984130391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4.51873648468254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4.63654696461856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4.76821750101764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4.91634685446661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5.08422678837543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4.07194103343227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4.1604011355972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4.25817282746371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4.36680804064872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4.48822386714961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2026-09-22T09:53:24Z</dcterms:created>
  <dc:creator>openpyxl</dc:creator>
  <dc:description/>
  <dc:language>en-NZ</dc:language>
  <cp:lastModifiedBy/>
  <dcterms:modified xsi:type="dcterms:W3CDTF">2026-09-22T09:53:24Z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