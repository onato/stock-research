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<sst xmlns="http://schemas.openxmlformats.org/spreadsheetml/2006/main" count="377" uniqueCount="170">
  <si>
    <t xml:space="preserve">Ticker</t>
  </si>
  <si>
    <t xml:space="preserve">NWS</t>
  </si>
  <si>
    <t xml:space="preserve">Company</t>
  </si>
  <si>
    <t xml:space="preserve">News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</si>
  <si>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</si>
  <si>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</si>
  <si>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</si>
  <si>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</si>
  <si>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 (Nasdaq, Class B NWS)</t>
  </si>
  <si>
    <t xml:space="preserve">Balance sheet date</t>
  </si>
  <si>
    <t xml:space="preserve">2026-06-30</t>
  </si>
  <si>
    <t xml:space="preserve">Model</t>
  </si>
  <si>
    <t xml:space="preserve">Sum-of-parts: owner-FCF DCF on ex-REA operations plus 62% REA Group stake at market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</si>
  <si>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</si>
  <si>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</si>
  <si>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</si>
  <si>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</si>
  <si>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</si>
  <si>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</si>
  <si>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</si>
  <si>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</si>
  <si>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2026-10-02T03:02:54Z</t>
  </si>
  <si>
    <t xml:space="preserve">Drivers file</t>
  </si>
  <si>
    <t xml:space="preserve">NWS_Drivers.json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</si>
  <si>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</si>
  <si>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</si>
  <si>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</si>
  <si>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Sum-of-parts. The 62% REA Group stake is a liquid, separately listed asset worth ~US$8.7bn at market (half of News Corp's own market cap), so it is taken at its ASX price rather than re-modelled inside a consolidated DCF where it would be charged at 100% of its cash flows against a book NCI worth a tenth of its market value. The remaining operations (Dow Jones, HarperCollins, News Media, Move, corporate) are valued on a strict owner-FCF basis: SBC expensed, the share count held flat, operating leases charged in the margin, recurring restructuring cash charged in the margin, terminal value the lower of Gordon at 2.5% and 15x FCF. The implied question for the buyer is what the market is paying for the ex-REA stub: at the NWS price the stub trades at roughly 8-9x Segment EBITDA, which is cheap for Dow Jones alone and about right once News Media's melting ice-cube and Move's losses are blended in.
key_risks_to_valuation: REA Group share price: the stake is marked at A$154.63 (33% below its 52-week high); each A$10 move is ~US$1.03 per NWS share, and REA's own exposure to Australian listing volumes and mortgage rates is not scenario-flexed here; AI disintermediation of search referral traffic to WSJ and the mastheads versus the durability of AI content-licensing fees (OpenAI, Meta, Bloomberg); Google litigation and subpoenas on licensing records; Secular print decline at News Media; restructuring cash is charged at ~1.1pp of revenue a year and could run higher; Move/realtor.com remains loss-making or near breakeven against Zillow and CoStar; the bridge assumes a ~$900m value for REA's 20% deduction; DAZN stake carrying value (~6% of a private, loss-making sports streamer) is taken at a ~30% haircut to book; it could be worth zero; Dual-class control (LGC Holdco / Lachlan Murdoch at ~34.5% of Class B) and the ~10% Class B voting premium over NWSA: the per-share value is the same for both classes, so the NWS line carries a premium the model does not value; AUD and GBP translation: a one-cent AUDUSD move is ~$37m of revenue and ~$12m of Segment EBITDA (10-K), largely REA</t>
  </si>
  <si>
    <t xml:space="preserve">Data sources</t>
  </si>
  <si>
    <t xml:space="preserve">price: Yahoo Finance chart API, Nasdaq regular close at inputs.price_as_of (Class B NWS; Class A NWSA same session); 52-week range 25.49-35.76. REA.AX from the same API, ASX close same day; AUDUSD=X 0.6929 same day.
financials: News Corp Form 10-K FY2026 (filed 2026-08-07, period 2026-06-30): segment table, DRES REA/Move revenue split, cash-flow statement, Notes 6, 9, 13, 14; SEC XBRL companyfacts for FY2024-26 cross-checks; NWS_Metrics.csv (82 periods, XBRL-derived). REA Group FY2026 A$ figures (OCF, capex, capitalised development, SBC, FCF/share, operating income) from stockanalysis.com ASX:REA statements, translated at ~0.67 FY2026 average AUDUSD.
qualitative: NWS_Analysis.json (2026-10-02): segment outlook, Dow Jones $1bn EBITDA target, FY2027 margin-expansion and mortgage-rate commentary from the Q4 FY2026 release; 10-K risk factors.</t>
  </si>
  <si>
    <t xml:space="preserve">Scenario narrative: bear</t>
  </si>
  <si>
    <t xml:space="preserve">AI disintermediation of news traffic outruns licensing income, Dow Jones slows to low-single-digit growth with a flat margin, print declines accelerate, Move keeps losing share and money, and HarperCollins is a flat backlist annuity. Ex-REA revenue is roughly flat for a decade and adjusted margin slips to 9.5%.</t>
  </si>
  <si>
    <t xml:space="preserve">Scenario narrative: base</t>
  </si>
  <si>
    <t xml:space="preserve">The ex-REA group grows ~3% a year, led by Dow Jones (digital subscriptions, Risk &amp; Compliance data, AI content licensing) with HarperCollins steady and News Media shrinking slowly in print while adding UK digital subscribers and licensing income. Segment margin expands from 11.6% toward ~14% by FY31-32 as management has signalled, with ~1pp a year of restructuring cash charged against it as a recurring cost of running down print. Move stays around breakeven, improving slowly. The REA stake is carried at its 2026-10-01 market value; its own cyclicality (Australian listings and mortgage rates) is marked by the ASX, not re-modelled here.</t>
  </si>
  <si>
    <t xml:space="preserve">Scenario narrative: bull</t>
  </si>
  <si>
    <t xml:space="preserve">Dow Jones reaches its $1bn EBITDA target by FY31 with Risk &amp; Compliance compounding mid-teens and AI licensing scaling as a near-pure-margin line; Move becomes solidly profitable on premium agent products; News Media's restructuring completes and the segment stabilises. Ex-REA adjusted margin reaches 15.5%.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</si>
  <si>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</si>
  <si>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</si>
  <si>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</si>
  <si>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</si>
  <si>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</si>
  <si>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</si>
  <si>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</si>
  <si>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</si>
  <si>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</si>
  <si>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</si>
  <si>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</si>
  <si>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</si>
  <si>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</si>
  <si>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</si>
  <si>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</si>
  <si>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</si>
  <si>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</si>
  <si>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</si>
  <si>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</si>
  <si>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</si>
  <si>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</si>
  <si>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</si>
  <si>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</si>
  <si>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</si>
  <si>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</si>
  <si>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</si>
  <si>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</si>
  <si>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</si>
  <si>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</si>
  <si>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</si>
  <si>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</si>
  <si>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</si>
  <si>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</si>
  <si>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</si>
  <si>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</si>
  <si>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</si>
  <si>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</si>
  <si>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</si>
  <si>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</si>
  <si>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</si>
  <si>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</si>
  <si>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</si>
  <si>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</si>
  <si>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</si>
  <si>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</si>
  <si>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</si>
  <si>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</si>
  <si>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</si>
  <si>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</si>
  <si>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</si>
  <si>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</si>
  <si>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</si>
  <si>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</si>
  <si>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</si>
  <si>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</si>
  <si>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</si>
  <si>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</si>
  <si>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</si>
  <si>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</si>
  <si>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</si>
  <si>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</si>
  <si>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</si>
  <si>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</si>
  <si>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</si>
  <si>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</si>
  <si>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</si>
  <si>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</si>
  <si>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</si>
  <si>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</si>
  <si>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</si>
  <si>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</si>
  <si>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</si>
  <si>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</si>
  <si>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</si>
  <si>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</si>
  <si>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</si>
  <si>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</si>
  <si>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</si>
  <si>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</si>
  <si>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</si>
  <si>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NWS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</si>
  <si>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</si>
  <si>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</si>
  <si>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</si>
  <si>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</si>
  <si>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</si>
  <si>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</si>
  <si>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</si>
  <si>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</si>
  <si>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</si>
  <si>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</si>
  <si>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</si>
  <si>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</si>
  <si>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</si>
  <si>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</si>
  <si>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</si>
  <si>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</si>
  <si>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</si>
  <si>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</si>
  <si>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</si>
  <si>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</si>
  <si>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</si>
  <si>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</si>
  <si>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</si>
  <si>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</si>
  <si>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</si>
  <si>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</si>
  <si>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</si>
  <si>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</si>
  <si>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</si>
  <si>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</si>
  <si>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NWS owner-FCF component DCF: base case (millions, USD)</t>
  </si>
  <si>
    <t xml:space="preserve">NWS owner-FCF component DCF: bull case (millions, USD)</t>
  </si>
  <si>
    <t xml:space="preserve">NWS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</si>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</sst>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12429</v>
      </c>
      <c r="S2" s="0" t="n">
        <v>2022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8654</v>
      </c>
      <c r="I3" s="0" t="n">
        <v>-2075</v>
      </c>
      <c r="J3" s="0" t="n">
        <v>-23.9773515137509</v>
      </c>
      <c r="K3" s="0" t="n">
        <v>-3.58</v>
      </c>
      <c r="M3" s="0" t="n">
        <v>375</v>
      </c>
      <c r="O3" s="0" t="n">
        <v>8919</v>
      </c>
      <c r="S3" s="0" t="n">
        <v>1133</v>
      </c>
      <c r="T3" s="0" t="n">
        <v>578.8</v>
      </c>
      <c r="U3" s="0" t="n">
        <v>44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8891</v>
      </c>
      <c r="I4" s="0" t="n">
        <v>547</v>
      </c>
      <c r="J4" s="0" t="n">
        <v>6.15228883140254</v>
      </c>
      <c r="K4" s="0" t="n">
        <v>0.87</v>
      </c>
      <c r="M4" s="0" t="n">
        <v>332</v>
      </c>
      <c r="O4" s="0" t="n">
        <v>12676</v>
      </c>
      <c r="P4" s="0" t="n">
        <v>15643</v>
      </c>
      <c r="S4" s="0" t="n">
        <v>2381</v>
      </c>
      <c r="T4" s="0" t="n">
        <v>579.4</v>
      </c>
      <c r="U4" s="0" t="n">
        <v>49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8486</v>
      </c>
      <c r="I5" s="0" t="n">
        <v>294</v>
      </c>
      <c r="J5" s="0" t="n">
        <v>3.46452981381098</v>
      </c>
      <c r="K5" s="0" t="n">
        <v>0.41</v>
      </c>
      <c r="M5" s="0" t="n">
        <v>358</v>
      </c>
      <c r="O5" s="0" t="n">
        <v>13399</v>
      </c>
      <c r="P5" s="0" t="n">
        <v>16489</v>
      </c>
      <c r="S5" s="0" t="n">
        <v>3145</v>
      </c>
      <c r="T5" s="0" t="n">
        <v>579.7</v>
      </c>
      <c r="U5" s="0" t="n">
        <v>32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8524</v>
      </c>
      <c r="I6" s="0" t="n">
        <v>-147</v>
      </c>
      <c r="J6" s="0" t="n">
        <v>-1.72454246832473</v>
      </c>
      <c r="K6" s="0" t="n">
        <v>-0.26</v>
      </c>
      <c r="L6" s="0" t="n">
        <v>831</v>
      </c>
      <c r="M6" s="0" t="n">
        <v>308</v>
      </c>
      <c r="N6" s="0" t="n">
        <v>523</v>
      </c>
      <c r="O6" s="0" t="n">
        <v>12116</v>
      </c>
      <c r="P6" s="0" t="n">
        <v>15035</v>
      </c>
      <c r="R6" s="0" t="n">
        <v>0</v>
      </c>
      <c r="S6" s="0" t="n">
        <v>1951</v>
      </c>
      <c r="T6" s="0" t="n">
        <v>582.6</v>
      </c>
      <c r="U6" s="0" t="n">
        <v>53</v>
      </c>
      <c r="V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8292</v>
      </c>
      <c r="I7" s="0" t="n">
        <v>250</v>
      </c>
      <c r="J7" s="0" t="n">
        <v>3.01495417269658</v>
      </c>
      <c r="L7" s="0" t="n">
        <v>878</v>
      </c>
      <c r="M7" s="0" t="n">
        <v>256</v>
      </c>
      <c r="N7" s="0" t="n">
        <v>622</v>
      </c>
      <c r="O7" s="0" t="n">
        <v>11782</v>
      </c>
      <c r="P7" s="0" t="n">
        <v>15483</v>
      </c>
      <c r="R7" s="0" t="n">
        <v>375</v>
      </c>
      <c r="S7" s="0" t="n">
        <v>1832</v>
      </c>
      <c r="T7" s="0" t="n">
        <v>582.5</v>
      </c>
      <c r="U7" s="0" t="n">
        <v>55</v>
      </c>
      <c r="V7" s="0" t="n">
        <v>0.2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8139</v>
      </c>
      <c r="I8" s="0" t="n">
        <v>-738</v>
      </c>
      <c r="J8" s="0" t="n">
        <v>-9.06745300405455</v>
      </c>
      <c r="K8" s="0" t="n">
        <v>-1.27</v>
      </c>
      <c r="L8" s="0" t="n">
        <v>494</v>
      </c>
      <c r="M8" s="0" t="n">
        <v>256</v>
      </c>
      <c r="N8" s="0" t="n">
        <v>238</v>
      </c>
      <c r="O8" s="0" t="n">
        <v>11073</v>
      </c>
      <c r="P8" s="0" t="n">
        <v>14552</v>
      </c>
      <c r="R8" s="0" t="n">
        <v>482</v>
      </c>
      <c r="S8" s="0" t="n">
        <v>2016</v>
      </c>
      <c r="T8" s="0" t="n">
        <v>581.4</v>
      </c>
      <c r="U8" s="0" t="n">
        <v>38</v>
      </c>
      <c r="V8" s="0" t="n">
        <v>0.2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9024</v>
      </c>
      <c r="I9" s="0" t="n">
        <v>-1514</v>
      </c>
      <c r="J9" s="0" t="n">
        <v>-16.7774822695036</v>
      </c>
      <c r="K9" s="0" t="n">
        <v>-2.6</v>
      </c>
      <c r="L9" s="0" t="n">
        <v>757</v>
      </c>
      <c r="M9" s="0" t="n">
        <v>364</v>
      </c>
      <c r="N9" s="0" t="n">
        <v>393</v>
      </c>
      <c r="O9" s="0" t="n">
        <v>10477</v>
      </c>
      <c r="P9" s="0" t="n">
        <v>16346</v>
      </c>
      <c r="R9" s="0" t="n">
        <v>2414</v>
      </c>
      <c r="S9" s="0" t="n">
        <v>2034</v>
      </c>
      <c r="T9" s="0" t="n">
        <v>582.7</v>
      </c>
      <c r="U9" s="0" t="n">
        <v>76</v>
      </c>
      <c r="V9" s="0" t="n">
        <v>0.2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10074</v>
      </c>
      <c r="I10" s="0" t="n">
        <v>228</v>
      </c>
      <c r="J10" s="0" t="n">
        <v>2.263251935676</v>
      </c>
      <c r="K10" s="0" t="n">
        <v>0.27</v>
      </c>
      <c r="L10" s="0" t="n">
        <v>928</v>
      </c>
      <c r="M10" s="0" t="n">
        <v>572</v>
      </c>
      <c r="N10" s="0" t="n">
        <v>356</v>
      </c>
      <c r="O10" s="0" t="n">
        <v>10311</v>
      </c>
      <c r="P10" s="0" t="n">
        <v>15711</v>
      </c>
      <c r="R10" s="0" t="n">
        <v>1902</v>
      </c>
      <c r="S10" s="0" t="n">
        <v>1643</v>
      </c>
      <c r="T10" s="0" t="n">
        <v>587.9</v>
      </c>
      <c r="U10" s="0" t="n">
        <v>73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9008</v>
      </c>
      <c r="I11" s="0" t="n">
        <v>-1545</v>
      </c>
      <c r="J11" s="0" t="n">
        <v>-17.1514209591474</v>
      </c>
      <c r="K11" s="0" t="n">
        <v>-2.16</v>
      </c>
      <c r="L11" s="0" t="n">
        <v>780</v>
      </c>
      <c r="M11" s="0" t="n">
        <v>438</v>
      </c>
      <c r="N11" s="0" t="n">
        <v>342</v>
      </c>
      <c r="O11" s="0" t="n">
        <v>8389</v>
      </c>
      <c r="P11" s="0" t="n">
        <v>14261</v>
      </c>
      <c r="R11" s="0" t="n">
        <v>1335</v>
      </c>
      <c r="S11" s="0" t="n">
        <v>1517</v>
      </c>
      <c r="T11" s="0" t="n">
        <v>587.9</v>
      </c>
      <c r="U11" s="0" t="n">
        <v>69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9358</v>
      </c>
      <c r="I12" s="0" t="n">
        <v>389</v>
      </c>
      <c r="J12" s="0" t="n">
        <v>4.15687112630904</v>
      </c>
      <c r="K12" s="0" t="n">
        <v>0.56</v>
      </c>
      <c r="L12" s="0" t="n">
        <v>1237</v>
      </c>
      <c r="M12" s="0" t="n">
        <v>390</v>
      </c>
      <c r="N12" s="0" t="n">
        <v>847</v>
      </c>
      <c r="O12" s="0" t="n">
        <v>9146</v>
      </c>
      <c r="P12" s="0" t="n">
        <v>16771</v>
      </c>
      <c r="R12" s="0" t="n">
        <v>2341</v>
      </c>
      <c r="S12" s="0" t="n">
        <v>2236</v>
      </c>
      <c r="T12" s="0" t="n">
        <v>593.4</v>
      </c>
      <c r="U12" s="0" t="n">
        <v>128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10385</v>
      </c>
      <c r="I13" s="0" t="n">
        <v>760</v>
      </c>
      <c r="J13" s="0" t="n">
        <v>7.31824747231584</v>
      </c>
      <c r="K13" s="0" t="n">
        <v>1.06</v>
      </c>
      <c r="L13" s="0" t="n">
        <v>1354</v>
      </c>
      <c r="M13" s="0" t="n">
        <v>499</v>
      </c>
      <c r="N13" s="0" t="n">
        <v>855</v>
      </c>
      <c r="O13" s="0" t="n">
        <v>9143</v>
      </c>
      <c r="P13" s="0" t="n">
        <v>17221</v>
      </c>
      <c r="R13" s="0" t="n">
        <v>3362</v>
      </c>
      <c r="S13" s="0" t="n">
        <v>1822</v>
      </c>
      <c r="T13" s="0" t="n">
        <v>592.5</v>
      </c>
      <c r="U13" s="0" t="n">
        <v>59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8012</v>
      </c>
      <c r="I14" s="0" t="n">
        <v>187</v>
      </c>
      <c r="J14" s="0" t="n">
        <v>2.33399900149775</v>
      </c>
      <c r="K14" s="0" t="n">
        <v>0.26</v>
      </c>
      <c r="L14" s="0" t="n">
        <v>1092</v>
      </c>
      <c r="M14" s="0" t="n">
        <v>347</v>
      </c>
      <c r="N14" s="0" t="n">
        <v>745</v>
      </c>
      <c r="O14" s="0" t="n">
        <v>8945</v>
      </c>
      <c r="P14" s="0" t="n">
        <v>16921</v>
      </c>
      <c r="R14" s="0" t="n">
        <v>2994</v>
      </c>
      <c r="S14" s="0" t="n">
        <v>1761</v>
      </c>
      <c r="T14" s="0" t="n">
        <v>578.8</v>
      </c>
      <c r="U14" s="0" t="n">
        <v>87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8252</v>
      </c>
      <c r="I15" s="0" t="n">
        <v>354</v>
      </c>
      <c r="J15" s="0" t="n">
        <v>4.28986912263694</v>
      </c>
      <c r="K15" s="0" t="n">
        <v>0.47</v>
      </c>
      <c r="L15" s="0" t="n">
        <v>1098</v>
      </c>
      <c r="M15" s="0" t="n">
        <v>357</v>
      </c>
      <c r="N15" s="0" t="n">
        <v>741</v>
      </c>
      <c r="O15" s="0" t="n">
        <v>9011</v>
      </c>
      <c r="P15" s="0" t="n">
        <v>16684</v>
      </c>
      <c r="R15" s="0" t="n">
        <v>2111</v>
      </c>
      <c r="S15" s="0" t="n">
        <v>1872</v>
      </c>
      <c r="T15" s="0" t="n">
        <v>573.5</v>
      </c>
      <c r="U15" s="0" t="n">
        <v>91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8452</v>
      </c>
      <c r="I16" s="0" t="n">
        <v>1340</v>
      </c>
      <c r="J16" s="0" t="n">
        <v>15.8542356838618</v>
      </c>
      <c r="K16" s="0" t="n">
        <v>2.08</v>
      </c>
      <c r="M16" s="0" t="n">
        <v>407</v>
      </c>
      <c r="O16" s="0" t="n">
        <v>9389</v>
      </c>
      <c r="P16" s="0" t="n">
        <v>15504</v>
      </c>
      <c r="R16" s="0" t="n">
        <v>1987</v>
      </c>
      <c r="S16" s="0" t="n">
        <v>2403</v>
      </c>
      <c r="T16" s="0" t="n">
        <v>569.9</v>
      </c>
      <c r="U16" s="0" t="n">
        <v>84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9028</v>
      </c>
      <c r="I17" s="0" t="n">
        <v>743</v>
      </c>
      <c r="J17" s="0" t="n">
        <v>8.22995126273815</v>
      </c>
      <c r="K17" s="0" t="n">
        <v>1.03</v>
      </c>
      <c r="M17" s="0" t="n">
        <v>426</v>
      </c>
      <c r="O17" s="0" t="n">
        <v>9236</v>
      </c>
      <c r="P17" s="0" t="n">
        <v>15544</v>
      </c>
      <c r="R17" s="0" t="n">
        <v>1989</v>
      </c>
      <c r="S17" s="0" t="n">
        <v>2095</v>
      </c>
      <c r="T17" s="0" t="n">
        <v>558.4</v>
      </c>
      <c r="U17" s="0" t="n">
        <v>77</v>
      </c>
      <c r="AA17" s="0" t="s">
        <v>17</v>
      </c>
      <c r="AB17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31.45</v>
      </c>
    </row>
    <row r="3" customFormat="false" ht="15" hidden="false" customHeight="false" outlineLevel="0" collapsed="false">
      <c r="A3" s="0" t="s">
        <v>82</v>
      </c>
      <c r="B3" s="3" t="n">
        <v>543</v>
      </c>
    </row>
    <row r="4" customFormat="false" ht="15" hidden="false" customHeight="false" outlineLevel="0" collapsed="false">
      <c r="A4" s="0" t="s">
        <v>83</v>
      </c>
      <c r="B4" s="3" t="n">
        <v>149</v>
      </c>
    </row>
    <row r="5" customFormat="false" ht="15" hidden="false" customHeight="false" outlineLevel="0" collapsed="false">
      <c r="A5" s="0" t="s">
        <v>84</v>
      </c>
      <c r="B5" s="3" t="n">
        <v>9110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7622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1.5</v>
      </c>
      <c r="D13" s="3" t="n">
        <v>1</v>
      </c>
      <c r="E13" s="3" t="n">
        <v>0.8</v>
      </c>
      <c r="F13" s="3" t="n">
        <v>0.8</v>
      </c>
      <c r="G13" s="3" t="n">
        <v>0.8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103</v>
      </c>
      <c r="C14" s="3" t="n">
        <v>10</v>
      </c>
      <c r="D14" s="3" t="n">
        <v>9.8</v>
      </c>
      <c r="E14" s="3" t="n">
        <v>9.6</v>
      </c>
      <c r="F14" s="3" t="n">
        <v>9.5</v>
      </c>
      <c r="G14" s="3" t="n">
        <v>9.5</v>
      </c>
      <c r="H14" s="3" t="n">
        <v>9.5</v>
      </c>
      <c r="I14" s="3" t="n">
        <v>9.5</v>
      </c>
      <c r="J14" s="3" t="n">
        <v>9.5</v>
      </c>
      <c r="K14" s="3" t="n">
        <v>9.5</v>
      </c>
      <c r="L14" s="3" t="n">
        <v>9.5</v>
      </c>
    </row>
    <row r="15" customFormat="false" ht="15" hidden="false" customHeight="false" outlineLevel="0" collapsed="false">
      <c r="A15" s="0" t="s">
        <v>104</v>
      </c>
      <c r="C15" s="3" t="n">
        <v>0.85</v>
      </c>
      <c r="D15" s="3" t="n">
        <v>0.85</v>
      </c>
      <c r="E15" s="3" t="n">
        <v>0.85</v>
      </c>
      <c r="F15" s="3" t="n">
        <v>0.8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5.2</v>
      </c>
      <c r="D17" s="3" t="n">
        <v>5.1</v>
      </c>
      <c r="E17" s="3" t="n">
        <v>5</v>
      </c>
      <c r="F17" s="3" t="n">
        <v>4.9</v>
      </c>
      <c r="G17" s="3" t="n">
        <v>4.8</v>
      </c>
      <c r="H17" s="3" t="n">
        <v>4.7</v>
      </c>
      <c r="I17" s="3" t="n">
        <v>4.6</v>
      </c>
      <c r="J17" s="3" t="n">
        <v>4.6</v>
      </c>
      <c r="K17" s="3" t="n">
        <v>4.6</v>
      </c>
      <c r="L17" s="3" t="n">
        <v>4.6</v>
      </c>
    </row>
    <row r="18" customFormat="false" ht="15" hidden="false" customHeight="false" outlineLevel="0" collapsed="false">
      <c r="A18" s="0" t="s">
        <v>107</v>
      </c>
      <c r="C18" s="3" t="n">
        <v>4.4</v>
      </c>
      <c r="D18" s="3" t="n">
        <v>4.4</v>
      </c>
      <c r="E18" s="3" t="n">
        <v>4.4</v>
      </c>
      <c r="F18" s="3" t="n">
        <v>4.4</v>
      </c>
      <c r="G18" s="3" t="n">
        <v>4.4</v>
      </c>
      <c r="H18" s="3" t="n">
        <v>4.4</v>
      </c>
      <c r="I18" s="3" t="n">
        <v>4.4</v>
      </c>
      <c r="J18" s="3" t="n">
        <v>4.4</v>
      </c>
      <c r="K18" s="3" t="n">
        <v>4.4</v>
      </c>
      <c r="L18" s="3" t="n">
        <v>4.4</v>
      </c>
    </row>
    <row r="19" customFormat="false" ht="15" hidden="false" customHeight="false" outlineLevel="0" collapsed="false">
      <c r="A19" s="0" t="s">
        <v>108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109</v>
      </c>
      <c r="B20" s="3" t="n">
        <v>9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15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3.6</v>
      </c>
      <c r="D27" s="3" t="n">
        <v>3.3</v>
      </c>
      <c r="E27" s="3" t="n">
        <v>3</v>
      </c>
      <c r="F27" s="3" t="n">
        <v>2.8</v>
      </c>
      <c r="G27" s="3" t="n">
        <v>2.6</v>
      </c>
      <c r="H27" s="3" t="n">
        <v>2.5</v>
      </c>
      <c r="I27" s="3" t="n">
        <v>2.4</v>
      </c>
      <c r="J27" s="3" t="n">
        <v>2.3</v>
      </c>
      <c r="K27" s="3" t="n">
        <v>2.2</v>
      </c>
      <c r="L27" s="3" t="n">
        <v>2.2</v>
      </c>
    </row>
    <row r="28" customFormat="false" ht="15" hidden="false" customHeight="false" outlineLevel="0" collapsed="false">
      <c r="A28" s="0" t="s">
        <v>103</v>
      </c>
      <c r="C28" s="3" t="n">
        <v>10.9</v>
      </c>
      <c r="D28" s="3" t="n">
        <v>11.4</v>
      </c>
      <c r="E28" s="3" t="n">
        <v>11.9</v>
      </c>
      <c r="F28" s="3" t="n">
        <v>12.3</v>
      </c>
      <c r="G28" s="3" t="n">
        <v>12.7</v>
      </c>
      <c r="H28" s="3" t="n">
        <v>13</v>
      </c>
      <c r="I28" s="3" t="n">
        <v>13</v>
      </c>
      <c r="J28" s="3" t="n">
        <v>13</v>
      </c>
      <c r="K28" s="3" t="n">
        <v>13</v>
      </c>
      <c r="L28" s="3" t="n">
        <v>13</v>
      </c>
    </row>
    <row r="29" customFormat="false" ht="15" hidden="false" customHeight="false" outlineLevel="0" collapsed="false">
      <c r="A29" s="0" t="s">
        <v>104</v>
      </c>
      <c r="C29" s="3" t="n">
        <v>0.85</v>
      </c>
      <c r="D29" s="3" t="n">
        <v>0.85</v>
      </c>
      <c r="E29" s="3" t="n">
        <v>0.85</v>
      </c>
      <c r="F29" s="3" t="n">
        <v>0.8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5.2</v>
      </c>
      <c r="D31" s="3" t="n">
        <v>5.1</v>
      </c>
      <c r="E31" s="3" t="n">
        <v>5</v>
      </c>
      <c r="F31" s="3" t="n">
        <v>4.9</v>
      </c>
      <c r="G31" s="3" t="n">
        <v>4.8</v>
      </c>
      <c r="H31" s="3" t="n">
        <v>4.7</v>
      </c>
      <c r="I31" s="3" t="n">
        <v>4.6</v>
      </c>
      <c r="J31" s="3" t="n">
        <v>4.6</v>
      </c>
      <c r="K31" s="3" t="n">
        <v>4.6</v>
      </c>
      <c r="L31" s="3" t="n">
        <v>4.6</v>
      </c>
    </row>
    <row r="32" customFormat="false" ht="15" hidden="false" customHeight="false" outlineLevel="0" collapsed="false">
      <c r="A32" s="0" t="s">
        <v>107</v>
      </c>
      <c r="C32" s="3" t="n">
        <v>4.4</v>
      </c>
      <c r="D32" s="3" t="n">
        <v>4.4</v>
      </c>
      <c r="E32" s="3" t="n">
        <v>4.4</v>
      </c>
      <c r="F32" s="3" t="n">
        <v>4.4</v>
      </c>
      <c r="G32" s="3" t="n">
        <v>4.4</v>
      </c>
      <c r="H32" s="3" t="n">
        <v>4.4</v>
      </c>
      <c r="I32" s="3" t="n">
        <v>4.4</v>
      </c>
      <c r="J32" s="3" t="n">
        <v>4.4</v>
      </c>
      <c r="K32" s="3" t="n">
        <v>4.4</v>
      </c>
      <c r="L32" s="3" t="n">
        <v>4.4</v>
      </c>
    </row>
    <row r="33" customFormat="false" ht="15" hidden="false" customHeight="false" outlineLevel="0" collapsed="false">
      <c r="A33" s="0" t="s">
        <v>108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109</v>
      </c>
      <c r="B34" s="3" t="n">
        <v>9</v>
      </c>
    </row>
    <row r="35" customFormat="false" ht="15" hidden="false" customHeight="false" outlineLevel="0" collapsed="false">
      <c r="A35" s="0" t="s">
        <v>110</v>
      </c>
      <c r="B35" s="3" t="n">
        <v>2.5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5</v>
      </c>
      <c r="D41" s="3" t="n">
        <v>4.8</v>
      </c>
      <c r="E41" s="3" t="n">
        <v>4.5</v>
      </c>
      <c r="F41" s="3" t="n">
        <v>4.2</v>
      </c>
      <c r="G41" s="3" t="n">
        <v>4</v>
      </c>
      <c r="H41" s="3" t="n">
        <v>3.5</v>
      </c>
      <c r="I41" s="3" t="n">
        <v>3.2</v>
      </c>
      <c r="J41" s="3" t="n">
        <v>3</v>
      </c>
      <c r="K41" s="3" t="n">
        <v>2.8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11.3</v>
      </c>
      <c r="D42" s="3" t="n">
        <v>12.2</v>
      </c>
      <c r="E42" s="3" t="n">
        <v>13</v>
      </c>
      <c r="F42" s="3" t="n">
        <v>13.8</v>
      </c>
      <c r="G42" s="3" t="n">
        <v>14.5</v>
      </c>
      <c r="H42" s="3" t="n">
        <v>15</v>
      </c>
      <c r="I42" s="3" t="n">
        <v>15.3</v>
      </c>
      <c r="J42" s="3" t="n">
        <v>15.5</v>
      </c>
      <c r="K42" s="3" t="n">
        <v>15.5</v>
      </c>
      <c r="L42" s="3" t="n">
        <v>15.5</v>
      </c>
    </row>
    <row r="43" customFormat="false" ht="15" hidden="false" customHeight="false" outlineLevel="0" collapsed="false">
      <c r="A43" s="0" t="s">
        <v>104</v>
      </c>
      <c r="C43" s="3" t="n">
        <v>0.85</v>
      </c>
      <c r="D43" s="3" t="n">
        <v>0.85</v>
      </c>
      <c r="E43" s="3" t="n">
        <v>0.85</v>
      </c>
      <c r="F43" s="3" t="n">
        <v>0.8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5.2</v>
      </c>
      <c r="D45" s="3" t="n">
        <v>5.1</v>
      </c>
      <c r="E45" s="3" t="n">
        <v>5</v>
      </c>
      <c r="F45" s="3" t="n">
        <v>4.9</v>
      </c>
      <c r="G45" s="3" t="n">
        <v>4.8</v>
      </c>
      <c r="H45" s="3" t="n">
        <v>4.7</v>
      </c>
      <c r="I45" s="3" t="n">
        <v>4.6</v>
      </c>
      <c r="J45" s="3" t="n">
        <v>4.6</v>
      </c>
      <c r="K45" s="3" t="n">
        <v>4.6</v>
      </c>
      <c r="L45" s="3" t="n">
        <v>4.6</v>
      </c>
    </row>
    <row r="46" customFormat="false" ht="15" hidden="false" customHeight="false" outlineLevel="0" collapsed="false">
      <c r="A46" s="0" t="s">
        <v>107</v>
      </c>
      <c r="C46" s="3" t="n">
        <v>4.4</v>
      </c>
      <c r="D46" s="3" t="n">
        <v>4.4</v>
      </c>
      <c r="E46" s="3" t="n">
        <v>4.4</v>
      </c>
      <c r="F46" s="3" t="n">
        <v>4.4</v>
      </c>
      <c r="G46" s="3" t="n">
        <v>4.4</v>
      </c>
      <c r="H46" s="3" t="n">
        <v>4.4</v>
      </c>
      <c r="I46" s="3" t="n">
        <v>4.4</v>
      </c>
      <c r="J46" s="3" t="n">
        <v>4.4</v>
      </c>
      <c r="K46" s="3" t="n">
        <v>4.4</v>
      </c>
      <c r="L46" s="3" t="n">
        <v>4.4</v>
      </c>
    </row>
    <row r="47" customFormat="false" ht="15" hidden="false" customHeight="false" outlineLevel="0" collapsed="false">
      <c r="A47" s="0" t="s">
        <v>108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109</v>
      </c>
      <c r="B48" s="3" t="n">
        <v>9</v>
      </c>
    </row>
    <row r="49" customFormat="false" ht="15" hidden="false" customHeight="false" outlineLevel="0" collapsed="false">
      <c r="A49" s="0" t="s">
        <v>110</v>
      </c>
      <c r="B49" s="3" t="n">
        <v>2.5</v>
      </c>
    </row>
    <row r="50" customFormat="false" ht="15" hidden="false" customHeight="false" outlineLevel="0" collapsed="false">
      <c r="A50" s="0" t="s">
        <v>111</v>
      </c>
      <c r="B50" s="3" t="n">
        <v>15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1.5</v>
      </c>
      <c r="D5" s="4" t="n">
        <f aca="false">Assumptions!D13</f>
        <v>1</v>
      </c>
      <c r="E5" s="4" t="n">
        <f aca="false">Assumptions!E13</f>
        <v>0.8</v>
      </c>
      <c r="F5" s="4" t="n">
        <f aca="false">Assumptions!F13</f>
        <v>0.8</v>
      </c>
      <c r="G5" s="4" t="n">
        <f aca="false">Assumptions!G13</f>
        <v>0.8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7622</v>
      </c>
      <c r="C6" s="0" t="n">
        <f aca="false">B6*(1+C5/100)</f>
        <v>7736.33</v>
      </c>
      <c r="D6" s="0" t="n">
        <f aca="false">C6*(1+D5/100)</f>
        <v>7813.6933</v>
      </c>
      <c r="E6" s="0" t="n">
        <f aca="false">D6*(1+E5/100)</f>
        <v>7876.2028464</v>
      </c>
      <c r="F6" s="0" t="n">
        <f aca="false">E6*(1+F5/100)</f>
        <v>7939.2124691712</v>
      </c>
      <c r="G6" s="0" t="n">
        <f aca="false">F6*(1+G5/100)</f>
        <v>8002.72616892457</v>
      </c>
      <c r="H6" s="0" t="n">
        <f aca="false">G6*(1+H5/100)</f>
        <v>8082.75343061382</v>
      </c>
      <c r="I6" s="0" t="n">
        <f aca="false">H6*(1+I5/100)</f>
        <v>8163.58096491995</v>
      </c>
      <c r="J6" s="0" t="n">
        <f aca="false">I6*(1+J5/100)</f>
        <v>8245.21677456915</v>
      </c>
      <c r="K6" s="0" t="n">
        <f aca="false">J6*(1+K5/100)</f>
        <v>8327.66894231485</v>
      </c>
      <c r="L6" s="0" t="n">
        <f aca="false">K6*(1+L5/100)</f>
        <v>8410.94563173799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10</v>
      </c>
      <c r="D7" s="4" t="n">
        <f aca="false">Assumptions!D14</f>
        <v>9.8</v>
      </c>
      <c r="E7" s="4" t="n">
        <f aca="false">Assumptions!E14</f>
        <v>9.6</v>
      </c>
      <c r="F7" s="4" t="n">
        <f aca="false">Assumptions!F14</f>
        <v>9.5</v>
      </c>
      <c r="G7" s="4" t="n">
        <f aca="false">Assumptions!G14</f>
        <v>9.5</v>
      </c>
      <c r="H7" s="4" t="n">
        <f aca="false">Assumptions!H14</f>
        <v>9.5</v>
      </c>
      <c r="I7" s="4" t="n">
        <f aca="false">Assumptions!I14</f>
        <v>9.5</v>
      </c>
      <c r="J7" s="4" t="n">
        <f aca="false">Assumptions!J14</f>
        <v>9.5</v>
      </c>
      <c r="K7" s="4" t="n">
        <f aca="false">Assumptions!K14</f>
        <v>9.5</v>
      </c>
      <c r="L7" s="4" t="n">
        <f aca="false">Assumptions!L14</f>
        <v>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773.633</v>
      </c>
      <c r="D8" s="0" t="n">
        <f aca="false">D6*D7/100</f>
        <v>765.7419434</v>
      </c>
      <c r="E8" s="0" t="n">
        <f aca="false">E6*E7/100</f>
        <v>756.1154732544</v>
      </c>
      <c r="F8" s="0" t="n">
        <f aca="false">F6*F7/100</f>
        <v>754.225184571264</v>
      </c>
      <c r="G8" s="0" t="n">
        <f aca="false">G6*G7/100</f>
        <v>760.258986047834</v>
      </c>
      <c r="H8" s="0" t="n">
        <f aca="false">H6*H7/100</f>
        <v>767.861575908312</v>
      </c>
      <c r="I8" s="0" t="n">
        <f aca="false">I6*I7/100</f>
        <v>775.540191667396</v>
      </c>
      <c r="J8" s="0" t="n">
        <f aca="false">J6*J7/100</f>
        <v>783.29559358407</v>
      </c>
      <c r="K8" s="0" t="n">
        <f aca="false">K6*K7/100</f>
        <v>791.12854951991</v>
      </c>
      <c r="L8" s="0" t="n">
        <f aca="false">L6*L7/100</f>
        <v>799.03983501511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0.85</v>
      </c>
      <c r="D9" s="4" t="n">
        <f aca="false">Assumptions!D15</f>
        <v>0.85</v>
      </c>
      <c r="E9" s="4" t="n">
        <f aca="false">Assumptions!E15</f>
        <v>0.85</v>
      </c>
      <c r="F9" s="4" t="n">
        <f aca="false">Assumptions!F15</f>
        <v>0.8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-65.758805</v>
      </c>
      <c r="D10" s="0" t="n">
        <f aca="false">-D6*D9/100</f>
        <v>-66.41639305</v>
      </c>
      <c r="E10" s="0" t="n">
        <f aca="false">-E6*E9/100</f>
        <v>-66.9477241944</v>
      </c>
      <c r="F10" s="0" t="n">
        <f aca="false">-F6*F9/100</f>
        <v>-63.5136997533696</v>
      </c>
      <c r="G10" s="0" t="n">
        <f aca="false">-G6*G9/100</f>
        <v>-64.0218093513966</v>
      </c>
      <c r="H10" s="0" t="n">
        <f aca="false">-H6*H9/100</f>
        <v>-64.6620274449105</v>
      </c>
      <c r="I10" s="0" t="n">
        <f aca="false">-I6*I9/100</f>
        <v>-65.3086477193596</v>
      </c>
      <c r="J10" s="0" t="n">
        <f aca="false">-J6*J9/100</f>
        <v>-65.9617341965532</v>
      </c>
      <c r="K10" s="0" t="n">
        <f aca="false">-K6*K9/100</f>
        <v>-66.6213515385188</v>
      </c>
      <c r="L10" s="0" t="n">
        <f aca="false">-L6*L9/100</f>
        <v>-67.287565053904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707.874195</v>
      </c>
      <c r="D11" s="0" t="n">
        <f aca="false">D8+D10+D24</f>
        <v>699.32555035</v>
      </c>
      <c r="E11" s="0" t="n">
        <f aca="false">E8+E10+E24</f>
        <v>689.16774906</v>
      </c>
      <c r="F11" s="0" t="n">
        <f aca="false">F8+F10+F24</f>
        <v>690.711484817894</v>
      </c>
      <c r="G11" s="0" t="n">
        <f aca="false">G8+G10+G24</f>
        <v>696.237176696438</v>
      </c>
      <c r="H11" s="0" t="n">
        <f aca="false">H8+H10+H24</f>
        <v>703.199548463402</v>
      </c>
      <c r="I11" s="0" t="n">
        <f aca="false">I8+I10+I24</f>
        <v>710.231543948036</v>
      </c>
      <c r="J11" s="0" t="n">
        <f aca="false">J8+J10+J24</f>
        <v>717.333859387516</v>
      </c>
      <c r="K11" s="0" t="n">
        <f aca="false">K8+K10+K24</f>
        <v>724.507197981392</v>
      </c>
      <c r="L11" s="0" t="n">
        <f aca="false">L8+L10+L24</f>
        <v>731.752269961206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-402.28916</v>
      </c>
      <c r="D12" s="4" t="n">
        <f aca="false">-D6*Assumptions!D17/100</f>
        <v>-398.4983583</v>
      </c>
      <c r="E12" s="4" t="n">
        <f aca="false">-E6*Assumptions!E17/100</f>
        <v>-393.81014232</v>
      </c>
      <c r="F12" s="4" t="n">
        <f aca="false">-F6*Assumptions!F17/100</f>
        <v>-389.021410989389</v>
      </c>
      <c r="G12" s="4" t="n">
        <f aca="false">-G6*Assumptions!G17/100</f>
        <v>-384.130856108379</v>
      </c>
      <c r="H12" s="4" t="n">
        <f aca="false">-H6*Assumptions!H17/100</f>
        <v>-379.889411238849</v>
      </c>
      <c r="I12" s="4" t="n">
        <f aca="false">-I6*Assumptions!I17/100</f>
        <v>-375.524724386318</v>
      </c>
      <c r="J12" s="4" t="n">
        <f aca="false">-J6*Assumptions!J17/100</f>
        <v>-379.279971630181</v>
      </c>
      <c r="K12" s="4" t="n">
        <f aca="false">-K6*Assumptions!K17/100</f>
        <v>-383.072771346483</v>
      </c>
      <c r="L12" s="4" t="n">
        <f aca="false">-L6*Assumptions!L17/100</f>
        <v>-386.903499059948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305.585035</v>
      </c>
      <c r="D13" s="0" t="n">
        <f aca="false">D11+D12</f>
        <v>300.82719205</v>
      </c>
      <c r="E13" s="0" t="n">
        <f aca="false">E11+E12</f>
        <v>295.35760674</v>
      </c>
      <c r="F13" s="0" t="n">
        <f aca="false">F11+F12</f>
        <v>301.690073828506</v>
      </c>
      <c r="G13" s="0" t="n">
        <f aca="false">G11+G12</f>
        <v>312.106320588058</v>
      </c>
      <c r="H13" s="0" t="n">
        <f aca="false">H11+H12</f>
        <v>323.310137224553</v>
      </c>
      <c r="I13" s="0" t="n">
        <f aca="false">I11+I12</f>
        <v>334.706819561718</v>
      </c>
      <c r="J13" s="0" t="n">
        <f aca="false">J11+J12</f>
        <v>338.053887757335</v>
      </c>
      <c r="K13" s="0" t="n">
        <f aca="false">K11+K12</f>
        <v>341.434426634909</v>
      </c>
      <c r="L13" s="0" t="n">
        <f aca="false">L11+L12</f>
        <v>344.848770901258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229.18877625</v>
      </c>
      <c r="D15" s="0" t="n">
        <f aca="false">D13-MAX(0,D13)*D14/100</f>
        <v>225.6203940375</v>
      </c>
      <c r="E15" s="0" t="n">
        <f aca="false">E13-MAX(0,E13)*E14/100</f>
        <v>221.518205055</v>
      </c>
      <c r="F15" s="0" t="n">
        <f aca="false">F13-MAX(0,F13)*F14/100</f>
        <v>226.267555371379</v>
      </c>
      <c r="G15" s="0" t="n">
        <f aca="false">G13-MAX(0,G13)*G14/100</f>
        <v>234.079740441044</v>
      </c>
      <c r="H15" s="0" t="n">
        <f aca="false">H13-MAX(0,H13)*H14/100</f>
        <v>242.482602918414</v>
      </c>
      <c r="I15" s="0" t="n">
        <f aca="false">I13-MAX(0,I13)*I14/100</f>
        <v>251.030114671289</v>
      </c>
      <c r="J15" s="0" t="n">
        <f aca="false">J13-MAX(0,J13)*J14/100</f>
        <v>253.540415818001</v>
      </c>
      <c r="K15" s="0" t="n">
        <f aca="false">K13-MAX(0,K13)*K14/100</f>
        <v>256.075819976182</v>
      </c>
      <c r="L15" s="0" t="n">
        <f aca="false">L13-MAX(0,L13)*L14/100</f>
        <v>258.636578175943</v>
      </c>
    </row>
    <row r="16" customFormat="false" ht="15" hidden="false" customHeight="false" outlineLevel="0" collapsed="false">
      <c r="A16" s="0" t="s">
        <v>124</v>
      </c>
      <c r="C16" s="0" t="n">
        <f aca="false">-C12</f>
        <v>402.28916</v>
      </c>
      <c r="D16" s="0" t="n">
        <f aca="false">-D12</f>
        <v>398.4983583</v>
      </c>
      <c r="E16" s="0" t="n">
        <f aca="false">-E12</f>
        <v>393.81014232</v>
      </c>
      <c r="F16" s="0" t="n">
        <f aca="false">-F12</f>
        <v>389.021410989389</v>
      </c>
      <c r="G16" s="0" t="n">
        <f aca="false">-G12</f>
        <v>384.130856108379</v>
      </c>
      <c r="H16" s="0" t="n">
        <f aca="false">-H12</f>
        <v>379.889411238849</v>
      </c>
      <c r="I16" s="0" t="n">
        <f aca="false">-I12</f>
        <v>375.524724386318</v>
      </c>
      <c r="J16" s="0" t="n">
        <f aca="false">-J12</f>
        <v>379.279971630181</v>
      </c>
      <c r="K16" s="0" t="n">
        <f aca="false">-K12</f>
        <v>383.072771346483</v>
      </c>
      <c r="L16" s="0" t="n">
        <f aca="false">-L12</f>
        <v>386.903499059948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-340.39852</v>
      </c>
      <c r="D17" s="4" t="n">
        <f aca="false">-D6*Assumptions!D18/100</f>
        <v>-343.8025052</v>
      </c>
      <c r="E17" s="4" t="n">
        <f aca="false">-E6*Assumptions!E18/100</f>
        <v>-346.5529252416</v>
      </c>
      <c r="F17" s="4" t="n">
        <f aca="false">-F6*Assumptions!F18/100</f>
        <v>-349.325348643533</v>
      </c>
      <c r="G17" s="4" t="n">
        <f aca="false">-G6*Assumptions!G18/100</f>
        <v>-352.119951432681</v>
      </c>
      <c r="H17" s="4" t="n">
        <f aca="false">-H6*Assumptions!H18/100</f>
        <v>-355.641150947008</v>
      </c>
      <c r="I17" s="4" t="n">
        <f aca="false">-I6*Assumptions!I18/100</f>
        <v>-359.197562456478</v>
      </c>
      <c r="J17" s="4" t="n">
        <f aca="false">-J6*Assumptions!J18/100</f>
        <v>-362.789538081043</v>
      </c>
      <c r="K17" s="4" t="n">
        <f aca="false">-K6*Assumptions!K18/100</f>
        <v>-366.417433461853</v>
      </c>
      <c r="L17" s="4" t="n">
        <f aca="false">-L6*Assumptions!L18/100</f>
        <v>-370.081607796472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291.07941625</v>
      </c>
      <c r="D19" s="0" t="n">
        <f aca="false">D15+D16+D17+D18</f>
        <v>280.3162471375</v>
      </c>
      <c r="E19" s="0" t="n">
        <f aca="false">E15+E16+E17+E18</f>
        <v>268.7754221334</v>
      </c>
      <c r="F19" s="0" t="n">
        <f aca="false">F15+F16+F17+F18</f>
        <v>265.963617717235</v>
      </c>
      <c r="G19" s="0" t="n">
        <f aca="false">G15+G16+G17+G18</f>
        <v>266.090645116742</v>
      </c>
      <c r="H19" s="0" t="n">
        <f aca="false">H15+H16+H17+H18</f>
        <v>266.730863210256</v>
      </c>
      <c r="I19" s="0" t="n">
        <f aca="false">I15+I16+I17+I18</f>
        <v>267.357276601128</v>
      </c>
      <c r="J19" s="0" t="n">
        <f aca="false">J15+J16+J17+J18</f>
        <v>270.03084936714</v>
      </c>
      <c r="K19" s="0" t="n">
        <f aca="false">K15+K16+K17+K18</f>
        <v>272.731157860811</v>
      </c>
      <c r="L19" s="0" t="n">
        <f aca="false">L15+L16+L17+L18</f>
        <v>275.458469439419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267.045336009174</v>
      </c>
      <c r="D21" s="0" t="n">
        <f aca="false">D19*D20</f>
        <v>235.936577003198</v>
      </c>
      <c r="E21" s="0" t="n">
        <f aca="false">E19*E20</f>
        <v>207.54394081785</v>
      </c>
      <c r="F21" s="0" t="n">
        <f aca="false">F19*F20</f>
        <v>188.415332016996</v>
      </c>
      <c r="G21" s="0" t="n">
        <f aca="false">G19*G20</f>
        <v>172.940661861745</v>
      </c>
      <c r="H21" s="0" t="n">
        <f aca="false">H19*H20</f>
        <v>159.042898802565</v>
      </c>
      <c r="I21" s="0" t="n">
        <f aca="false">I19*I20</f>
        <v>146.253585908864</v>
      </c>
      <c r="J21" s="0" t="n">
        <f aca="false">J19*J20</f>
        <v>135.519377768764</v>
      </c>
      <c r="K21" s="0" t="n">
        <f aca="false">K19*K20</f>
        <v>125.573001418763</v>
      </c>
      <c r="L21" s="0" t="n">
        <f aca="false">L19*L20</f>
        <v>116.356634342157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1754.62734595008</v>
      </c>
    </row>
    <row r="31" customFormat="false" ht="15" hidden="false" customHeight="false" outlineLevel="0" collapsed="false">
      <c r="A31" s="0" t="s">
        <v>133</v>
      </c>
      <c r="B31" s="0" t="n">
        <f aca="false">L19</f>
        <v>275.458469439419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3727.87128641347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4131.87704159129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3727.87128641347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1574.69311809719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3329.32046404726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12290.3204640473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22.6341076685953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-0.280314541539099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421.014151052964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384.657860909236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24.1178498637375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2071.03960356304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19.9793730512245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3.6</v>
      </c>
      <c r="D5" s="4" t="n">
        <f aca="false">Assumptions!D27</f>
        <v>3.3</v>
      </c>
      <c r="E5" s="4" t="n">
        <f aca="false">Assumptions!E27</f>
        <v>3</v>
      </c>
      <c r="F5" s="4" t="n">
        <f aca="false">Assumptions!F27</f>
        <v>2.8</v>
      </c>
      <c r="G5" s="4" t="n">
        <f aca="false">Assumptions!G27</f>
        <v>2.6</v>
      </c>
      <c r="H5" s="4" t="n">
        <f aca="false">Assumptions!H27</f>
        <v>2.5</v>
      </c>
      <c r="I5" s="4" t="n">
        <f aca="false">Assumptions!I27</f>
        <v>2.4</v>
      </c>
      <c r="J5" s="4" t="n">
        <f aca="false">Assumptions!J27</f>
        <v>2.3</v>
      </c>
      <c r="K5" s="4" t="n">
        <f aca="false">Assumptions!K27</f>
        <v>2.2</v>
      </c>
      <c r="L5" s="4" t="n">
        <f aca="false">Assumptions!L27</f>
        <v>2.2</v>
      </c>
    </row>
    <row r="6" customFormat="false" ht="15" hidden="false" customHeight="false" outlineLevel="0" collapsed="false">
      <c r="A6" s="0" t="s">
        <v>37</v>
      </c>
      <c r="B6" s="3" t="n">
        <v>7622</v>
      </c>
      <c r="C6" s="0" t="n">
        <f aca="false">B6*(1+C5/100)</f>
        <v>7896.392</v>
      </c>
      <c r="D6" s="0" t="n">
        <f aca="false">C6*(1+D5/100)</f>
        <v>8156.972936</v>
      </c>
      <c r="E6" s="0" t="n">
        <f aca="false">D6*(1+E5/100)</f>
        <v>8401.68212408</v>
      </c>
      <c r="F6" s="0" t="n">
        <f aca="false">E6*(1+F5/100)</f>
        <v>8636.92922355424</v>
      </c>
      <c r="G6" s="0" t="n">
        <f aca="false">F6*(1+G5/100)</f>
        <v>8861.48938336665</v>
      </c>
      <c r="H6" s="0" t="n">
        <f aca="false">G6*(1+H5/100)</f>
        <v>9083.02661795082</v>
      </c>
      <c r="I6" s="0" t="n">
        <f aca="false">H6*(1+I5/100)</f>
        <v>9301.01925678164</v>
      </c>
      <c r="J6" s="0" t="n">
        <f aca="false">I6*(1+J5/100)</f>
        <v>9514.94269968761</v>
      </c>
      <c r="K6" s="0" t="n">
        <f aca="false">J6*(1+K5/100)</f>
        <v>9724.27143908074</v>
      </c>
      <c r="L6" s="0" t="n">
        <f aca="false">K6*(1+L5/100)</f>
        <v>9938.20541074052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10.9</v>
      </c>
      <c r="D7" s="4" t="n">
        <f aca="false">Assumptions!D28</f>
        <v>11.4</v>
      </c>
      <c r="E7" s="4" t="n">
        <f aca="false">Assumptions!E28</f>
        <v>11.9</v>
      </c>
      <c r="F7" s="4" t="n">
        <f aca="false">Assumptions!F28</f>
        <v>12.3</v>
      </c>
      <c r="G7" s="4" t="n">
        <f aca="false">Assumptions!G28</f>
        <v>12.7</v>
      </c>
      <c r="H7" s="4" t="n">
        <f aca="false">Assumptions!H28</f>
        <v>13</v>
      </c>
      <c r="I7" s="4" t="n">
        <f aca="false">Assumptions!I28</f>
        <v>13</v>
      </c>
      <c r="J7" s="4" t="n">
        <f aca="false">Assumptions!J28</f>
        <v>13</v>
      </c>
      <c r="K7" s="4" t="n">
        <f aca="false">Assumptions!K28</f>
        <v>13</v>
      </c>
      <c r="L7" s="4" t="n">
        <f aca="false">Assumptions!L28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860.706728</v>
      </c>
      <c r="D8" s="0" t="n">
        <f aca="false">D6*D7/100</f>
        <v>929.894914704</v>
      </c>
      <c r="E8" s="0" t="n">
        <f aca="false">E6*E7/100</f>
        <v>999.80017276552</v>
      </c>
      <c r="F8" s="0" t="n">
        <f aca="false">F6*F7/100</f>
        <v>1062.34229449717</v>
      </c>
      <c r="G8" s="0" t="n">
        <f aca="false">G6*G7/100</f>
        <v>1125.40915168756</v>
      </c>
      <c r="H8" s="0" t="n">
        <f aca="false">H6*H7/100</f>
        <v>1180.79346033361</v>
      </c>
      <c r="I8" s="0" t="n">
        <f aca="false">I6*I7/100</f>
        <v>1209.13250338161</v>
      </c>
      <c r="J8" s="0" t="n">
        <f aca="false">J6*J7/100</f>
        <v>1236.94255095939</v>
      </c>
      <c r="K8" s="0" t="n">
        <f aca="false">K6*K7/100</f>
        <v>1264.1552870805</v>
      </c>
      <c r="L8" s="0" t="n">
        <f aca="false">L6*L7/100</f>
        <v>1291.96670339627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0.85</v>
      </c>
      <c r="D9" s="4" t="n">
        <f aca="false">Assumptions!D29</f>
        <v>0.85</v>
      </c>
      <c r="E9" s="4" t="n">
        <f aca="false">Assumptions!E29</f>
        <v>0.85</v>
      </c>
      <c r="F9" s="4" t="n">
        <f aca="false">Assumptions!F29</f>
        <v>0.8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-67.119332</v>
      </c>
      <c r="D10" s="0" t="n">
        <f aca="false">-D6*D9/100</f>
        <v>-69.334269956</v>
      </c>
      <c r="E10" s="0" t="n">
        <f aca="false">-E6*E9/100</f>
        <v>-71.41429805468</v>
      </c>
      <c r="F10" s="0" t="n">
        <f aca="false">-F6*F9/100</f>
        <v>-69.0954337884339</v>
      </c>
      <c r="G10" s="0" t="n">
        <f aca="false">-G6*G9/100</f>
        <v>-70.8919150669332</v>
      </c>
      <c r="H10" s="0" t="n">
        <f aca="false">-H6*H9/100</f>
        <v>-72.6642129436065</v>
      </c>
      <c r="I10" s="0" t="n">
        <f aca="false">-I6*I9/100</f>
        <v>-74.4081540542531</v>
      </c>
      <c r="J10" s="0" t="n">
        <f aca="false">-J6*J9/100</f>
        <v>-76.1195415975009</v>
      </c>
      <c r="K10" s="0" t="n">
        <f aca="false">-K6*K9/100</f>
        <v>-77.7941715126459</v>
      </c>
      <c r="L10" s="0" t="n">
        <f aca="false">-L6*L9/100</f>
        <v>-79.5056432859241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793.587396</v>
      </c>
      <c r="D11" s="0" t="n">
        <f aca="false">D8+D10+D24</f>
        <v>860.560644748</v>
      </c>
      <c r="E11" s="0" t="n">
        <f aca="false">E8+E10+E24</f>
        <v>928.38587471084</v>
      </c>
      <c r="F11" s="0" t="n">
        <f aca="false">F8+F10+F24</f>
        <v>993.246860708738</v>
      </c>
      <c r="G11" s="0" t="n">
        <f aca="false">G8+G10+G24</f>
        <v>1054.51723662063</v>
      </c>
      <c r="H11" s="0" t="n">
        <f aca="false">H8+H10+H24</f>
        <v>1108.12924739</v>
      </c>
      <c r="I11" s="0" t="n">
        <f aca="false">I8+I10+I24</f>
        <v>1134.72434932736</v>
      </c>
      <c r="J11" s="0" t="n">
        <f aca="false">J8+J10+J24</f>
        <v>1160.82300936189</v>
      </c>
      <c r="K11" s="0" t="n">
        <f aca="false">K8+K10+K24</f>
        <v>1186.36111556785</v>
      </c>
      <c r="L11" s="0" t="n">
        <f aca="false">L8+L10+L24</f>
        <v>1212.46106011034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-410.612384</v>
      </c>
      <c r="D12" s="4" t="n">
        <f aca="false">-D6*Assumptions!D31/100</f>
        <v>-416.005619736</v>
      </c>
      <c r="E12" s="4" t="n">
        <f aca="false">-E6*Assumptions!E31/100</f>
        <v>-420.084106204</v>
      </c>
      <c r="F12" s="4" t="n">
        <f aca="false">-F6*Assumptions!F31/100</f>
        <v>-423.209531954158</v>
      </c>
      <c r="G12" s="4" t="n">
        <f aca="false">-G6*Assumptions!G31/100</f>
        <v>-425.351490401599</v>
      </c>
      <c r="H12" s="4" t="n">
        <f aca="false">-H6*Assumptions!H31/100</f>
        <v>-426.902251043688</v>
      </c>
      <c r="I12" s="4" t="n">
        <f aca="false">-I6*Assumptions!I31/100</f>
        <v>-427.846885811955</v>
      </c>
      <c r="J12" s="4" t="n">
        <f aca="false">-J6*Assumptions!J31/100</f>
        <v>-437.68736418563</v>
      </c>
      <c r="K12" s="4" t="n">
        <f aca="false">-K6*Assumptions!K31/100</f>
        <v>-447.316486197714</v>
      </c>
      <c r="L12" s="4" t="n">
        <f aca="false">-L6*Assumptions!L31/100</f>
        <v>-457.157448894064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382.975012</v>
      </c>
      <c r="D13" s="0" t="n">
        <f aca="false">D11+D12</f>
        <v>444.555025012</v>
      </c>
      <c r="E13" s="0" t="n">
        <f aca="false">E11+E12</f>
        <v>508.30176850684</v>
      </c>
      <c r="F13" s="0" t="n">
        <f aca="false">F11+F12</f>
        <v>570.03732875458</v>
      </c>
      <c r="G13" s="0" t="n">
        <f aca="false">G11+G12</f>
        <v>629.165746219032</v>
      </c>
      <c r="H13" s="0" t="n">
        <f aca="false">H11+H12</f>
        <v>681.226996346311</v>
      </c>
      <c r="I13" s="0" t="n">
        <f aca="false">I11+I12</f>
        <v>706.877463515404</v>
      </c>
      <c r="J13" s="0" t="n">
        <f aca="false">J11+J12</f>
        <v>723.135645176258</v>
      </c>
      <c r="K13" s="0" t="n">
        <f aca="false">K11+K12</f>
        <v>739.044629370136</v>
      </c>
      <c r="L13" s="0" t="n">
        <f aca="false">L11+L12</f>
        <v>755.303611216279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287.231259</v>
      </c>
      <c r="D15" s="0" t="n">
        <f aca="false">D13-MAX(0,D13)*D14/100</f>
        <v>333.416268759</v>
      </c>
      <c r="E15" s="0" t="n">
        <f aca="false">E13-MAX(0,E13)*E14/100</f>
        <v>381.22632638013</v>
      </c>
      <c r="F15" s="0" t="n">
        <f aca="false">F13-MAX(0,F13)*F14/100</f>
        <v>427.527996565935</v>
      </c>
      <c r="G15" s="0" t="n">
        <f aca="false">G13-MAX(0,G13)*G14/100</f>
        <v>471.874309664274</v>
      </c>
      <c r="H15" s="0" t="n">
        <f aca="false">H13-MAX(0,H13)*H14/100</f>
        <v>510.920247259733</v>
      </c>
      <c r="I15" s="0" t="n">
        <f aca="false">I13-MAX(0,I13)*I14/100</f>
        <v>530.158097636553</v>
      </c>
      <c r="J15" s="0" t="n">
        <f aca="false">J13-MAX(0,J13)*J14/100</f>
        <v>542.351733882194</v>
      </c>
      <c r="K15" s="0" t="n">
        <f aca="false">K13-MAX(0,K13)*K14/100</f>
        <v>554.283472027602</v>
      </c>
      <c r="L15" s="0" t="n">
        <f aca="false">L13-MAX(0,L13)*L14/100</f>
        <v>566.47770841221</v>
      </c>
    </row>
    <row r="16" customFormat="false" ht="15" hidden="false" customHeight="false" outlineLevel="0" collapsed="false">
      <c r="A16" s="0" t="s">
        <v>124</v>
      </c>
      <c r="C16" s="0" t="n">
        <f aca="false">-C12</f>
        <v>410.612384</v>
      </c>
      <c r="D16" s="0" t="n">
        <f aca="false">-D12</f>
        <v>416.005619736</v>
      </c>
      <c r="E16" s="0" t="n">
        <f aca="false">-E12</f>
        <v>420.084106204</v>
      </c>
      <c r="F16" s="0" t="n">
        <f aca="false">-F12</f>
        <v>423.209531954158</v>
      </c>
      <c r="G16" s="0" t="n">
        <f aca="false">-G12</f>
        <v>425.351490401599</v>
      </c>
      <c r="H16" s="0" t="n">
        <f aca="false">-H12</f>
        <v>426.902251043688</v>
      </c>
      <c r="I16" s="0" t="n">
        <f aca="false">-I12</f>
        <v>427.846885811955</v>
      </c>
      <c r="J16" s="0" t="n">
        <f aca="false">-J12</f>
        <v>437.68736418563</v>
      </c>
      <c r="K16" s="0" t="n">
        <f aca="false">-K12</f>
        <v>447.316486197714</v>
      </c>
      <c r="L16" s="0" t="n">
        <f aca="false">-L12</f>
        <v>457.157448894064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-347.441248</v>
      </c>
      <c r="D17" s="4" t="n">
        <f aca="false">-D6*Assumptions!D32/100</f>
        <v>-358.906809184</v>
      </c>
      <c r="E17" s="4" t="n">
        <f aca="false">-E6*Assumptions!E32/100</f>
        <v>-369.67401345952</v>
      </c>
      <c r="F17" s="4" t="n">
        <f aca="false">-F6*Assumptions!F32/100</f>
        <v>-380.024885836387</v>
      </c>
      <c r="G17" s="4" t="n">
        <f aca="false">-G6*Assumptions!G32/100</f>
        <v>-389.905532868133</v>
      </c>
      <c r="H17" s="4" t="n">
        <f aca="false">-H6*Assumptions!H32/100</f>
        <v>-399.653171189836</v>
      </c>
      <c r="I17" s="4" t="n">
        <f aca="false">-I6*Assumptions!I32/100</f>
        <v>-409.244847298392</v>
      </c>
      <c r="J17" s="4" t="n">
        <f aca="false">-J6*Assumptions!J32/100</f>
        <v>-418.657478786255</v>
      </c>
      <c r="K17" s="4" t="n">
        <f aca="false">-K6*Assumptions!K32/100</f>
        <v>-427.867943319553</v>
      </c>
      <c r="L17" s="4" t="n">
        <f aca="false">-L6*Assumptions!L32/100</f>
        <v>-437.281038072583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350.402395</v>
      </c>
      <c r="D19" s="0" t="n">
        <f aca="false">D15+D16+D17+D18</f>
        <v>390.515079311</v>
      </c>
      <c r="E19" s="0" t="n">
        <f aca="false">E15+E16+E17+E18</f>
        <v>431.63641912461</v>
      </c>
      <c r="F19" s="0" t="n">
        <f aca="false">F15+F16+F17+F18</f>
        <v>470.712642683706</v>
      </c>
      <c r="G19" s="0" t="n">
        <f aca="false">G15+G16+G17+G18</f>
        <v>507.320267197741</v>
      </c>
      <c r="H19" s="0" t="n">
        <f aca="false">H15+H16+H17+H18</f>
        <v>538.169327113586</v>
      </c>
      <c r="I19" s="0" t="n">
        <f aca="false">I15+I16+I17+I18</f>
        <v>548.760136150116</v>
      </c>
      <c r="J19" s="0" t="n">
        <f aca="false">J15+J16+J17+J18</f>
        <v>561.381619281569</v>
      </c>
      <c r="K19" s="0" t="n">
        <f aca="false">K15+K16+K17+K18</f>
        <v>573.732014905764</v>
      </c>
      <c r="L19" s="0" t="n">
        <f aca="false">L15+L16+L17+L18</f>
        <v>586.35411923369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321.470087155963</v>
      </c>
      <c r="D21" s="0" t="n">
        <f aca="false">D19*D20</f>
        <v>328.688729324973</v>
      </c>
      <c r="E21" s="0" t="n">
        <f aca="false">E19*E20</f>
        <v>333.302512240737</v>
      </c>
      <c r="F21" s="0" t="n">
        <f aca="false">F19*F20</f>
        <v>333.464703244261</v>
      </c>
      <c r="G21" s="0" t="n">
        <f aca="false">G19*G20</f>
        <v>329.723364557074</v>
      </c>
      <c r="H21" s="0" t="n">
        <f aca="false">H19*H20</f>
        <v>320.892786086404</v>
      </c>
      <c r="I21" s="0" t="n">
        <f aca="false">I19*I20</f>
        <v>300.190586678995</v>
      </c>
      <c r="J21" s="0" t="n">
        <f aca="false">J19*J20</f>
        <v>281.738504745515</v>
      </c>
      <c r="K21" s="0" t="n">
        <f aca="false">K19*K20</f>
        <v>264.162157660474</v>
      </c>
      <c r="L21" s="0" t="n">
        <f aca="false">L19*L20</f>
        <v>247.682316632114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3061.31574832651</v>
      </c>
    </row>
    <row r="31" customFormat="false" ht="15" hidden="false" customHeight="false" outlineLevel="0" collapsed="false">
      <c r="A31" s="0" t="s">
        <v>133</v>
      </c>
      <c r="B31" s="0" t="n">
        <f aca="false">L19</f>
        <v>586.35411923369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9246.35341868512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8795.31178850536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8795.31178850536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3715.23474948171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6776.55049780822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15737.5504978082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28.9825976018568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-0.0784547662366688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461.738981885937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529.59452317688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30.808257832175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4808.10377771626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22.9929093970041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5</v>
      </c>
      <c r="D5" s="4" t="n">
        <f aca="false">Assumptions!D41</f>
        <v>4.8</v>
      </c>
      <c r="E5" s="4" t="n">
        <f aca="false">Assumptions!E41</f>
        <v>4.5</v>
      </c>
      <c r="F5" s="4" t="n">
        <f aca="false">Assumptions!F41</f>
        <v>4.2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3.2</v>
      </c>
      <c r="J5" s="4" t="n">
        <f aca="false">Assumptions!J41</f>
        <v>3</v>
      </c>
      <c r="K5" s="4" t="n">
        <f aca="false">Assumptions!K41</f>
        <v>2.8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7622</v>
      </c>
      <c r="C6" s="0" t="n">
        <f aca="false">B6*(1+C5/100)</f>
        <v>8003.1</v>
      </c>
      <c r="D6" s="0" t="n">
        <f aca="false">C6*(1+D5/100)</f>
        <v>8387.2488</v>
      </c>
      <c r="E6" s="0" t="n">
        <f aca="false">D6*(1+E5/100)</f>
        <v>8764.674996</v>
      </c>
      <c r="F6" s="0" t="n">
        <f aca="false">E6*(1+F5/100)</f>
        <v>9132.791345832</v>
      </c>
      <c r="G6" s="0" t="n">
        <f aca="false">F6*(1+G5/100)</f>
        <v>9498.10299966528</v>
      </c>
      <c r="H6" s="0" t="n">
        <f aca="false">G6*(1+H5/100)</f>
        <v>9830.53660465357</v>
      </c>
      <c r="I6" s="0" t="n">
        <f aca="false">H6*(1+I5/100)</f>
        <v>10145.1137760025</v>
      </c>
      <c r="J6" s="0" t="n">
        <f aca="false">I6*(1+J5/100)</f>
        <v>10449.4671892826</v>
      </c>
      <c r="K6" s="0" t="n">
        <f aca="false">J6*(1+K5/100)</f>
        <v>10742.0522705825</v>
      </c>
      <c r="L6" s="0" t="n">
        <f aca="false">K6*(1+L5/100)</f>
        <v>11010.603577347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11.3</v>
      </c>
      <c r="D7" s="4" t="n">
        <f aca="false">Assumptions!D42</f>
        <v>12.2</v>
      </c>
      <c r="E7" s="4" t="n">
        <f aca="false">Assumptions!E42</f>
        <v>13</v>
      </c>
      <c r="F7" s="4" t="n">
        <f aca="false">Assumptions!F42</f>
        <v>13.8</v>
      </c>
      <c r="G7" s="4" t="n">
        <f aca="false">Assumptions!G42</f>
        <v>14.5</v>
      </c>
      <c r="H7" s="4" t="n">
        <f aca="false">Assumptions!H42</f>
        <v>15</v>
      </c>
      <c r="I7" s="4" t="n">
        <f aca="false">Assumptions!I42</f>
        <v>15.3</v>
      </c>
      <c r="J7" s="4" t="n">
        <f aca="false">Assumptions!J42</f>
        <v>15.5</v>
      </c>
      <c r="K7" s="4" t="n">
        <f aca="false">Assumptions!K42</f>
        <v>15.5</v>
      </c>
      <c r="L7" s="4" t="n">
        <f aca="false">Assumptions!L42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904.3503</v>
      </c>
      <c r="D8" s="0" t="n">
        <f aca="false">D6*D7/100</f>
        <v>1023.2443536</v>
      </c>
      <c r="E8" s="0" t="n">
        <f aca="false">E6*E7/100</f>
        <v>1139.40774948</v>
      </c>
      <c r="F8" s="0" t="n">
        <f aca="false">F6*F7/100</f>
        <v>1260.32520572482</v>
      </c>
      <c r="G8" s="0" t="n">
        <f aca="false">G6*G7/100</f>
        <v>1377.22493495147</v>
      </c>
      <c r="H8" s="0" t="n">
        <f aca="false">H6*H7/100</f>
        <v>1474.58049069803</v>
      </c>
      <c r="I8" s="0" t="n">
        <f aca="false">I6*I7/100</f>
        <v>1552.20240772838</v>
      </c>
      <c r="J8" s="0" t="n">
        <f aca="false">J6*J7/100</f>
        <v>1619.6674143388</v>
      </c>
      <c r="K8" s="0" t="n">
        <f aca="false">K6*K7/100</f>
        <v>1665.01810194028</v>
      </c>
      <c r="L8" s="0" t="n">
        <f aca="false">L6*L7/100</f>
        <v>1706.64355448879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0.85</v>
      </c>
      <c r="D9" s="4" t="n">
        <f aca="false">Assumptions!D43</f>
        <v>0.85</v>
      </c>
      <c r="E9" s="4" t="n">
        <f aca="false">Assumptions!E43</f>
        <v>0.85</v>
      </c>
      <c r="F9" s="4" t="n">
        <f aca="false">Assumptions!F43</f>
        <v>0.8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-68.02635</v>
      </c>
      <c r="D10" s="0" t="n">
        <f aca="false">-D6*D9/100</f>
        <v>-71.2916148</v>
      </c>
      <c r="E10" s="0" t="n">
        <f aca="false">-E6*E9/100</f>
        <v>-74.499737466</v>
      </c>
      <c r="F10" s="0" t="n">
        <f aca="false">-F6*F9/100</f>
        <v>-73.062330766656</v>
      </c>
      <c r="G10" s="0" t="n">
        <f aca="false">-G6*G9/100</f>
        <v>-75.9848239973223</v>
      </c>
      <c r="H10" s="0" t="n">
        <f aca="false">-H6*H9/100</f>
        <v>-78.6442928372285</v>
      </c>
      <c r="I10" s="0" t="n">
        <f aca="false">-I6*I9/100</f>
        <v>-81.1609102080198</v>
      </c>
      <c r="J10" s="0" t="n">
        <f aca="false">-J6*J9/100</f>
        <v>-83.5957375142604</v>
      </c>
      <c r="K10" s="0" t="n">
        <f aca="false">-K6*K9/100</f>
        <v>-85.9364181646597</v>
      </c>
      <c r="L10" s="0" t="n">
        <f aca="false">-L6*L9/100</f>
        <v>-88.0848286187762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836.32395</v>
      </c>
      <c r="D11" s="0" t="n">
        <f aca="false">D8+D10+D24</f>
        <v>951.9527388</v>
      </c>
      <c r="E11" s="0" t="n">
        <f aca="false">E8+E10+E24</f>
        <v>1064.908012014</v>
      </c>
      <c r="F11" s="0" t="n">
        <f aca="false">F8+F10+F24</f>
        <v>1187.26287495816</v>
      </c>
      <c r="G11" s="0" t="n">
        <f aca="false">G8+G10+G24</f>
        <v>1301.24011095414</v>
      </c>
      <c r="H11" s="0" t="n">
        <f aca="false">H8+H10+H24</f>
        <v>1395.93619786081</v>
      </c>
      <c r="I11" s="0" t="n">
        <f aca="false">I8+I10+I24</f>
        <v>1471.04149752036</v>
      </c>
      <c r="J11" s="0" t="n">
        <f aca="false">J8+J10+J24</f>
        <v>1536.07167682454</v>
      </c>
      <c r="K11" s="0" t="n">
        <f aca="false">K8+K10+K24</f>
        <v>1579.08168377562</v>
      </c>
      <c r="L11" s="0" t="n">
        <f aca="false">L8+L10+L24</f>
        <v>1618.55872587001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-416.1612</v>
      </c>
      <c r="D12" s="4" t="n">
        <f aca="false">-D6*Assumptions!D45/100</f>
        <v>-427.7496888</v>
      </c>
      <c r="E12" s="4" t="n">
        <f aca="false">-E6*Assumptions!E45/100</f>
        <v>-438.2337498</v>
      </c>
      <c r="F12" s="4" t="n">
        <f aca="false">-F6*Assumptions!F45/100</f>
        <v>-447.506775945768</v>
      </c>
      <c r="G12" s="4" t="n">
        <f aca="false">-G6*Assumptions!G45/100</f>
        <v>-455.908943983934</v>
      </c>
      <c r="H12" s="4" t="n">
        <f aca="false">-H6*Assumptions!H45/100</f>
        <v>-462.035220418718</v>
      </c>
      <c r="I12" s="4" t="n">
        <f aca="false">-I6*Assumptions!I45/100</f>
        <v>-466.675233696114</v>
      </c>
      <c r="J12" s="4" t="n">
        <f aca="false">-J6*Assumptions!J45/100</f>
        <v>-480.675490706997</v>
      </c>
      <c r="K12" s="4" t="n">
        <f aca="false">-K6*Assumptions!K45/100</f>
        <v>-494.134404446793</v>
      </c>
      <c r="L12" s="4" t="n">
        <f aca="false">-L6*Assumptions!L45/100</f>
        <v>-506.487764557963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420.16275</v>
      </c>
      <c r="D13" s="0" t="n">
        <f aca="false">D11+D12</f>
        <v>524.20305</v>
      </c>
      <c r="E13" s="0" t="n">
        <f aca="false">E11+E12</f>
        <v>626.674262214</v>
      </c>
      <c r="F13" s="0" t="n">
        <f aca="false">F11+F12</f>
        <v>739.756099012392</v>
      </c>
      <c r="G13" s="0" t="n">
        <f aca="false">G11+G12</f>
        <v>845.33116697021</v>
      </c>
      <c r="H13" s="0" t="n">
        <f aca="false">H11+H12</f>
        <v>933.900977442089</v>
      </c>
      <c r="I13" s="0" t="n">
        <f aca="false">I11+I12</f>
        <v>1004.36626382425</v>
      </c>
      <c r="J13" s="0" t="n">
        <f aca="false">J11+J12</f>
        <v>1055.39618611754</v>
      </c>
      <c r="K13" s="0" t="n">
        <f aca="false">K11+K12</f>
        <v>1084.94727932883</v>
      </c>
      <c r="L13" s="0" t="n">
        <f aca="false">L11+L12</f>
        <v>1112.07096131205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315.1220625</v>
      </c>
      <c r="D15" s="0" t="n">
        <f aca="false">D13-MAX(0,D13)*D14/100</f>
        <v>393.1522875</v>
      </c>
      <c r="E15" s="0" t="n">
        <f aca="false">E13-MAX(0,E13)*E14/100</f>
        <v>470.0056966605</v>
      </c>
      <c r="F15" s="0" t="n">
        <f aca="false">F13-MAX(0,F13)*F14/100</f>
        <v>554.817074259294</v>
      </c>
      <c r="G15" s="0" t="n">
        <f aca="false">G13-MAX(0,G13)*G14/100</f>
        <v>633.998375227657</v>
      </c>
      <c r="H15" s="0" t="n">
        <f aca="false">H13-MAX(0,H13)*H14/100</f>
        <v>700.425733081567</v>
      </c>
      <c r="I15" s="0" t="n">
        <f aca="false">I13-MAX(0,I13)*I14/100</f>
        <v>753.274697868184</v>
      </c>
      <c r="J15" s="0" t="n">
        <f aca="false">J13-MAX(0,J13)*J14/100</f>
        <v>791.547139588154</v>
      </c>
      <c r="K15" s="0" t="n">
        <f aca="false">K13-MAX(0,K13)*K14/100</f>
        <v>813.710459496622</v>
      </c>
      <c r="L15" s="0" t="n">
        <f aca="false">L13-MAX(0,L13)*L14/100</f>
        <v>834.053220984037</v>
      </c>
    </row>
    <row r="16" customFormat="false" ht="15" hidden="false" customHeight="false" outlineLevel="0" collapsed="false">
      <c r="A16" s="0" t="s">
        <v>124</v>
      </c>
      <c r="C16" s="0" t="n">
        <f aca="false">-C12</f>
        <v>416.1612</v>
      </c>
      <c r="D16" s="0" t="n">
        <f aca="false">-D12</f>
        <v>427.7496888</v>
      </c>
      <c r="E16" s="0" t="n">
        <f aca="false">-E12</f>
        <v>438.2337498</v>
      </c>
      <c r="F16" s="0" t="n">
        <f aca="false">-F12</f>
        <v>447.506775945768</v>
      </c>
      <c r="G16" s="0" t="n">
        <f aca="false">-G12</f>
        <v>455.908943983934</v>
      </c>
      <c r="H16" s="0" t="n">
        <f aca="false">-H12</f>
        <v>462.035220418718</v>
      </c>
      <c r="I16" s="0" t="n">
        <f aca="false">-I12</f>
        <v>466.675233696114</v>
      </c>
      <c r="J16" s="0" t="n">
        <f aca="false">-J12</f>
        <v>480.675490706997</v>
      </c>
      <c r="K16" s="0" t="n">
        <f aca="false">-K12</f>
        <v>494.134404446793</v>
      </c>
      <c r="L16" s="0" t="n">
        <f aca="false">-L12</f>
        <v>506.487764557963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-352.1364</v>
      </c>
      <c r="D17" s="4" t="n">
        <f aca="false">-D6*Assumptions!D46/100</f>
        <v>-369.0389472</v>
      </c>
      <c r="E17" s="4" t="n">
        <f aca="false">-E6*Assumptions!E46/100</f>
        <v>-385.645699824</v>
      </c>
      <c r="F17" s="4" t="n">
        <f aca="false">-F6*Assumptions!F46/100</f>
        <v>-401.842819216608</v>
      </c>
      <c r="G17" s="4" t="n">
        <f aca="false">-G6*Assumptions!G46/100</f>
        <v>-417.916531985272</v>
      </c>
      <c r="H17" s="4" t="n">
        <f aca="false">-H6*Assumptions!H46/100</f>
        <v>-432.543610604757</v>
      </c>
      <c r="I17" s="4" t="n">
        <f aca="false">-I6*Assumptions!I46/100</f>
        <v>-446.385006144109</v>
      </c>
      <c r="J17" s="4" t="n">
        <f aca="false">-J6*Assumptions!J46/100</f>
        <v>-459.776556328432</v>
      </c>
      <c r="K17" s="4" t="n">
        <f aca="false">-K6*Assumptions!K46/100</f>
        <v>-472.650299905629</v>
      </c>
      <c r="L17" s="4" t="n">
        <f aca="false">-L6*Assumptions!L46/100</f>
        <v>-484.466557403269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379.1468625</v>
      </c>
      <c r="D19" s="0" t="n">
        <f aca="false">D15+D16+D17+D18</f>
        <v>451.8630291</v>
      </c>
      <c r="E19" s="0" t="n">
        <f aca="false">E15+E16+E17+E18</f>
        <v>522.5937466365</v>
      </c>
      <c r="F19" s="0" t="n">
        <f aca="false">F15+F16+F17+F18</f>
        <v>600.481030988454</v>
      </c>
      <c r="G19" s="0" t="n">
        <f aca="false">G15+G16+G17+G18</f>
        <v>671.990787226318</v>
      </c>
      <c r="H19" s="0" t="n">
        <f aca="false">H15+H16+H17+H18</f>
        <v>729.917342895527</v>
      </c>
      <c r="I19" s="0" t="n">
        <f aca="false">I15+I16+I17+I18</f>
        <v>773.564925420189</v>
      </c>
      <c r="J19" s="0" t="n">
        <f aca="false">J15+J16+J17+J18</f>
        <v>812.446073966719</v>
      </c>
      <c r="K19" s="0" t="n">
        <f aca="false">K15+K16+K17+K18</f>
        <v>835.194564037787</v>
      </c>
      <c r="L19" s="0" t="n">
        <f aca="false">L15+L16+L17+L18</f>
        <v>856.074428138731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347.841158256881</v>
      </c>
      <c r="D21" s="0" t="n">
        <f aca="false">D19*D20</f>
        <v>380.324071290295</v>
      </c>
      <c r="E21" s="0" t="n">
        <f aca="false">E19*E20</f>
        <v>403.538257935923</v>
      </c>
      <c r="F21" s="0" t="n">
        <f aca="false">F19*F20</f>
        <v>425.395901118642</v>
      </c>
      <c r="G21" s="0" t="n">
        <f aca="false">G19*G20</f>
        <v>436.747903921717</v>
      </c>
      <c r="H21" s="0" t="n">
        <f aca="false">H19*H20</f>
        <v>435.225862891096</v>
      </c>
      <c r="I21" s="0" t="n">
        <f aca="false">I19*I20</f>
        <v>423.16650481451</v>
      </c>
      <c r="J21" s="0" t="n">
        <f aca="false">J19*J20</f>
        <v>407.739288576424</v>
      </c>
      <c r="K21" s="0" t="n">
        <f aca="false">K19*K20</f>
        <v>384.546778584003</v>
      </c>
      <c r="L21" s="0" t="n">
        <f aca="false">L19*L20</f>
        <v>361.615089952847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4006.14081734234</v>
      </c>
    </row>
    <row r="31" customFormat="false" ht="15" hidden="false" customHeight="false" outlineLevel="0" collapsed="false">
      <c r="A31" s="0" t="s">
        <v>133</v>
      </c>
      <c r="B31" s="0" t="n">
        <f aca="false">L19</f>
        <v>856.074428138731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13499.6352129569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12841.116422081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12841.116422081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5424.2263492927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9430.36716663504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18391.367166635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33.8699211171916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0.0769450275736601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491.106005911149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586.741278775829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35.854906908512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7019.8103107376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25.2478511682136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22.6341076685953</v>
      </c>
      <c r="C4" s="0" t="n">
        <f aca="false">B4/Assumptions!$B$2-1</f>
        <v>-0.280314541539099</v>
      </c>
      <c r="D4" s="4" t="n">
        <f aca="false">Assumptions!$B$24</f>
        <v>0.25</v>
      </c>
      <c r="E4" s="4" t="n">
        <f aca="false">DCF_Bear!$B$43</f>
        <v>24.1178498637375</v>
      </c>
      <c r="F4" s="4" t="n">
        <f aca="false">DCF_Bear!$B$47</f>
        <v>19.9793730512245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28.9825976018568</v>
      </c>
      <c r="C5" s="0" t="n">
        <f aca="false">B5/Assumptions!$B$2-1</f>
        <v>-0.0784547662366688</v>
      </c>
      <c r="D5" s="4" t="n">
        <f aca="false">Assumptions!$B$38</f>
        <v>0.5</v>
      </c>
      <c r="E5" s="4" t="n">
        <f aca="false">DCF_Base!$B$43</f>
        <v>30.808257832175</v>
      </c>
      <c r="F5" s="4" t="n">
        <f aca="false">DCF_Base!$B$47</f>
        <v>22.9929093970041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33.8699211171916</v>
      </c>
      <c r="C6" s="0" t="n">
        <f aca="false">B6/Assumptions!$B$2-1</f>
        <v>0.0769450275736601</v>
      </c>
      <c r="D6" s="4" t="n">
        <f aca="false">Assumptions!$B$52</f>
        <v>0.25</v>
      </c>
      <c r="E6" s="4" t="n">
        <f aca="false">DCF_Bull!$B$43</f>
        <v>35.854906908512</v>
      </c>
      <c r="F6" s="4" t="n">
        <f aca="false">DCF_Bull!$B$47</f>
        <v>25.2478511682136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28.6173059973751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30.3973181091499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-0.0989853483372862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159.139029666519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22.8032607533616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28.9825976018568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27.5677717015088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26.2191841552802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25.155927587102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22.9929093970041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30.9595586359229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30.9595586359229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30.9595586359229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30.9595586359229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30.9595586359229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29.9250929225307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29.9250929225307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29.9250929225307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29.9250929225307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29.9250929225307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28.3135968693943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28.7871103748385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28.9825976018568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28.9825976018568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28.9825976018568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26.8494056581335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27.1861397409656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27.5677717015088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28.0039225135581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28.122872735026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25.6964139700482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25.9432776686299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26.2191841552802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26.5295789527616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26.8813597232407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2026-10-02T03:02:54Z</dcterms:created>
  <dc:creator>openpyxl</dc:creator>
  <dc:description/>
  <dc:language>en-NZ</dc:language>
  <cp:lastModifiedBy/>
  <dcterms:modified xsi:type="dcterms:W3CDTF">2026-10-02T03:02:54Z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