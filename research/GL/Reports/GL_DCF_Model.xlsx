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<sst xmlns="http://schemas.openxmlformats.org/spreadsheetml/2006/main" count="389" uniqueCount="174">
  <si>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</si>
  <si>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GL</t>
  </si>
  <si>
    <t xml:space="preserve">Company</t>
  </si>
  <si>
    <t xml:space="preserve">Globe Life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</si>
  <si>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</si>
  <si>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</si>
  <si>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</si>
  <si>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</si>
  <si>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2026-09-25T20:00:02Z regular close (Yahoo Finance chart API; no newer print on 2026-09-28)</t>
  </si>
  <si>
    <t xml:space="preserve">Balance sheet date</t>
  </si>
  <si>
    <t xml:space="preserve">2026-06-30</t>
  </si>
  <si>
    <t xml:space="preserve">Model</t>
  </si>
  <si>
    <t xml:space="preserve">Life insurer FCFE at cost of equity, net debt held at zero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</si>
  <si>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</si>
  <si>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</si>
  <si>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</si>
  <si>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</si>
  <si>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</si>
  <si>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</si>
  <si>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</si>
  <si>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</si>
  <si>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2026-09-28T08:49:33Z</t>
  </si>
  <si>
    <t xml:space="preserve">Drivers file</t>
  </si>
  <si>
    <t xml:space="preserve">GL_Drivers.json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</si>
  <si>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</si>
  <si>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</si>
  <si>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</si>
  <si>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Globe Life is valued as the present value of the free cash flow to equity its holding company can actually extract -- dividends from the insurance subsidiaries after statutory capital retention, parent interest and expenses -- discounted at a 9% cost of equity, with no separate net-debt deduction because the holdco debt is serviced inside the flows. GAAP book value was rejected as the compounding base (LDTI/AOCI distortions) but serves as a cross-check: book value per share ex-AOCI was $100.04 at 30 June 2026 growing ~11%/yr; at a 1.5x exit P/B on year-5 BVPS-ex-AOCI (~$168) discounted at 9%, plus dividends, the cross-check lands around $170, above the FCFE base case, which tells the reader the market price (~1.67x BVPS ex-AOCI, ~10.6x FY2026 guided NOI of $15.55-15.95) is capitalising the leverage-funded and option-proceeds-funded portion of GL's buybacks, which this model deliberately does not credit. The terminal is capped at 15x FCFE in base (12x bear, 16x bull).
key_risks_to_valuation: Capital-retention assumption (capex_pct 10% -&gt; 7.5% of revenue) is the single most important driver: every 1pp of revenue retained permanently is ~$9-10/share; it is calibrated to FY2023-25 organic excess cash flow, which ranged 6.1-9.6% of revenue; Securities class action (E.D. Texas, 4:24-cv-00376) and derivative suit: a large settlement is a bear-case cost, not modelled in base beyond ongoing legal expense inside the margin; Cash tax rate ramps from 14% to 20%; if the DAC/reserve timing shelter persists (taxes paid were 9.8% of pre-tax in FY2025) the base case is ~$8-10/share too low; Pre-tax margin path excludes the Q3 annual assumption-update remeasurement gains that lifted FY2024-25 to 23.7-24.9%; if those recur the base is conservative by ~1pp of margin; Rates: a lower-for-longer cycle would compress the net-investment-income tailwind assumed in the margin drift; the $1.6bn AOCI unrealised loss does not affect the FCFE stream unless bonds are sold; Recession sensitivity of the middle/lower-income policyholder base (lapse rates) and health-claim inflation at United American drive the bear-case margin and growth paths</t>
  </si>
  <si>
    <t xml:space="preserve">Data sources</t>
  </si>
  <si>
    <t xml:space="preserve">price: Yahoo Finance chart API at inputs.price_as_of; 52-week range 127.85-191.55
financials: GL_Metrics.csv (SEC XBRL, FY2006-Q2 2026); Q2 2026 10-Q (gl-20260630.htm, filed 2026-08-05) for cover share count, dilutive options, H1-2026 pre-tax income, interest expense, debt issuance, repurchases and BVPS ex-AOCI; FY2025 10-K (gl-20251231.htm, filed 2026-02-25) for pre-tax income, income taxes paid, interest expense, dividends from subsidiaries, extraordinary dividends and RBC ratio
qualitative: GL_Analysis.json (2026-09-28): guidance FY2026 NOI $15.55-15.95/diluted share, premium growth 6.5-7%, life underwriting margin 42-44%, RBC target 300-320%, $2.5bn repurchase authorisation Aug-2026</t>
  </si>
  <si>
    <t xml:space="preserve">Scenario narrative: bear</t>
  </si>
  <si>
    <t xml:space="preserve">The 2024 short-seller allegations were a preview of the model's structural weakness -- an independent-contractor sales force selling to an economically fragile demographic. A recession lifts lapses, a settlement and market-conduct scrutiny slow recruiting, health claims keep inflating, and premium growth fades to 2% with margins compressing toward 21.5%. Capital is trapped in the subsidiaries; buybacks slow; the stock de-rates to a low-teens FCFE multiple.</t>
  </si>
  <si>
    <t xml:space="preserve">Scenario narrative: base</t>
  </si>
  <si>
    <t xml:space="preserve">GL keeps doing what it has done for a decade: mid-single-digit premium growth from captive agencies and Medicare Supplement, a pre-tax margin in the mid-20s lifted slowly by reinvestment yields, roughly half of net operating income converted to excess cash at the parent and returned through repurchases. The class action is a cost, not a solvency event. Value is the FCFE stream at a 9% cost of equity; the stream, not GAAP book value, is what shareholders own.</t>
  </si>
  <si>
    <t xml:space="preserve">Scenario narrative: bull</t>
  </si>
  <si>
    <t xml:space="preserve">Agent-count growth and Medicare Supplement push premium growth to 7-7.5% for several years, net investment income re-rates the margin toward 26%, the litigation overhang clears cheaply, and statutory capital generation lets the parent take a larger share of earnings. Even here the model caps the exit at 16x FCFE: GL is a mature insurer, not a growth compounder.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</si>
  <si>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</si>
  <si>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</si>
  <si>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</si>
  <si>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</si>
  <si>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</si>
  <si>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</si>
  <si>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</si>
  <si>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</si>
  <si>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</si>
  <si>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</si>
  <si>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</si>
  <si>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</si>
  <si>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</si>
  <si>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</si>
  <si>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</si>
  <si>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</si>
  <si>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</si>
  <si>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</si>
  <si>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</si>
  <si>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</si>
  <si>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</si>
  <si>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</si>
  <si>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</si>
  <si>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</si>
  <si>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</si>
  <si>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</si>
  <si>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</si>
  <si>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</si>
  <si>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</si>
  <si>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</si>
  <si>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</si>
  <si>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</si>
  <si>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</si>
  <si>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</si>
  <si>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</si>
  <si>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</si>
  <si>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</si>
  <si>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</si>
  <si>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</si>
  <si>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</si>
  <si>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</si>
  <si>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</si>
  <si>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</si>
  <si>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</si>
  <si>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</si>
  <si>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</si>
  <si>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</si>
  <si>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</si>
  <si>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</si>
  <si>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</si>
  <si>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</si>
  <si>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</si>
  <si>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</si>
  <si>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</si>
  <si>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</si>
  <si>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</si>
  <si>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</si>
  <si>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</si>
  <si>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</si>
  <si>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</si>
  <si>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</si>
  <si>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</si>
  <si>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</si>
  <si>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</si>
  <si>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</si>
  <si>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</si>
  <si>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</si>
  <si>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</si>
  <si>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</si>
  <si>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</si>
  <si>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</si>
  <si>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</si>
  <si>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</si>
  <si>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</si>
  <si>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</si>
  <si>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</si>
  <si>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</si>
  <si>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</si>
  <si>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</si>
  <si>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</si>
  <si>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</si>
  <si>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</si>
  <si>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</si>
  <si>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</si>
  <si>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</si>
  <si>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</si>
  <si>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</si>
  <si>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</si>
  <si>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</si>
  <si>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</si>
  <si>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</si>
  <si>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</si>
  <si>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</si>
  <si>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</si>
  <si>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</si>
  <si>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</si>
  <si>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</si>
  <si>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</si>
  <si>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</si>
  <si>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</si>
  <si>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</si>
  <si>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</si>
  <si>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</si>
  <si>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</si>
  <si>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</si>
  <si>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</si>
  <si>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</si>
  <si>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</si>
  <si>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</si>
  <si>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</si>
  <si>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</si>
  <si>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</si>
  <si>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</si>
  <si>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</si>
  <si>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</si>
  <si>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GL owner-FCF component DCF: base case (millions, USD)</t>
  </si>
  <si>
    <t xml:space="preserve">GL owner-FCF component DCF: bull case (millions, USD)</t>
  </si>
  <si>
    <t xml:space="preserve">GL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</si>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</sst>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167.04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3459.193</v>
      </c>
      <c r="S2" s="0" t="n">
        <v>16.716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3486.697</v>
      </c>
      <c r="I3" s="0" t="n">
        <v>527.535</v>
      </c>
      <c r="J3" s="0" t="n">
        <v>15.129935294062</v>
      </c>
      <c r="K3" s="0" t="n">
        <v>5.59</v>
      </c>
      <c r="L3" s="0" t="n">
        <v>849.997</v>
      </c>
      <c r="M3" s="0" t="n">
        <v>24.162</v>
      </c>
      <c r="N3" s="0" t="n">
        <v>825.835</v>
      </c>
      <c r="O3" s="0" t="n">
        <v>3324.627</v>
      </c>
      <c r="S3" s="0" t="n">
        <v>20.098</v>
      </c>
      <c r="V3" s="0" t="n">
        <v>0.52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3196.236</v>
      </c>
      <c r="I4" s="0" t="n">
        <v>452.259</v>
      </c>
      <c r="J4" s="0" t="n">
        <v>14.1497373785916</v>
      </c>
      <c r="K4" s="0" t="n">
        <v>5.14</v>
      </c>
      <c r="L4" s="0" t="n">
        <v>730.611</v>
      </c>
      <c r="M4" s="0" t="n">
        <v>9.8</v>
      </c>
      <c r="N4" s="0" t="n">
        <v>720.811</v>
      </c>
      <c r="O4" s="0" t="n">
        <v>2222.907</v>
      </c>
      <c r="P4" s="0" t="n">
        <v>13529.05</v>
      </c>
      <c r="Q4" s="0" t="n">
        <v>11306.143</v>
      </c>
      <c r="R4" s="0" t="n">
        <v>499.049</v>
      </c>
      <c r="S4" s="0" t="n">
        <v>46.4</v>
      </c>
      <c r="V4" s="0" t="n">
        <v>0.56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3115.073</v>
      </c>
      <c r="D5" s="0" t="n">
        <v>706.568</v>
      </c>
      <c r="E5" s="0" t="n">
        <v>22.6822292768099</v>
      </c>
      <c r="F5" s="0" t="n">
        <v>706.923</v>
      </c>
      <c r="G5" s="0" t="n">
        <v>22.6936254784398</v>
      </c>
      <c r="I5" s="0" t="n">
        <v>404.953</v>
      </c>
      <c r="J5" s="0" t="n">
        <v>12.999791658173</v>
      </c>
      <c r="K5" s="0" t="n">
        <v>3.25</v>
      </c>
      <c r="L5" s="0" t="n">
        <v>976.113</v>
      </c>
      <c r="M5" s="0" t="n">
        <v>6.499</v>
      </c>
      <c r="N5" s="0" t="n">
        <v>969.614</v>
      </c>
      <c r="O5" s="0" t="n">
        <v>3068.043</v>
      </c>
      <c r="P5" s="0" t="n">
        <v>16023.759</v>
      </c>
      <c r="Q5" s="0" t="n">
        <v>12624.868</v>
      </c>
      <c r="R5" s="0" t="n">
        <v>796.05</v>
      </c>
      <c r="S5" s="0" t="n">
        <v>231.918</v>
      </c>
      <c r="T5" s="0" t="n">
        <v>124.550384</v>
      </c>
      <c r="U5" s="0" t="n">
        <v>9.86</v>
      </c>
      <c r="V5" s="0" t="n">
        <v>0.38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3367.632</v>
      </c>
      <c r="D6" s="0" t="n">
        <v>713.23</v>
      </c>
      <c r="E6" s="0" t="n">
        <v>21.1789768003155</v>
      </c>
      <c r="F6" s="0" t="n">
        <v>722.383</v>
      </c>
      <c r="G6" s="0" t="n">
        <v>21.4507701554089</v>
      </c>
      <c r="I6" s="0" t="n">
        <v>498.866</v>
      </c>
      <c r="J6" s="0" t="n">
        <v>14.8135544501299</v>
      </c>
      <c r="K6" s="0" t="n">
        <v>4.09</v>
      </c>
      <c r="L6" s="0" t="n">
        <v>1028.593</v>
      </c>
      <c r="M6" s="0" t="n">
        <v>9.181</v>
      </c>
      <c r="N6" s="0" t="n">
        <v>1019.412</v>
      </c>
      <c r="O6" s="0" t="n">
        <v>3667.329</v>
      </c>
      <c r="P6" s="0" t="n">
        <v>16159.762</v>
      </c>
      <c r="Q6" s="0" t="n">
        <v>12143.521</v>
      </c>
      <c r="R6" s="0" t="n">
        <v>789.643</v>
      </c>
      <c r="S6" s="0" t="n">
        <v>365.679</v>
      </c>
      <c r="T6" s="0" t="n">
        <v>123.123338</v>
      </c>
      <c r="U6" s="0" t="n">
        <v>11.848</v>
      </c>
      <c r="V6" s="0" t="n">
        <v>0.41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3377.401</v>
      </c>
      <c r="D7" s="0" t="n">
        <v>697.878</v>
      </c>
      <c r="E7" s="0" t="n">
        <v>20.6631667367896</v>
      </c>
      <c r="F7" s="0" t="n">
        <v>732.035</v>
      </c>
      <c r="G7" s="0" t="n">
        <v>21.6745065214347</v>
      </c>
      <c r="I7" s="0" t="n">
        <v>497.161</v>
      </c>
      <c r="J7" s="0" t="n">
        <v>14.7202242197477</v>
      </c>
      <c r="K7" s="0" t="n">
        <v>4.59</v>
      </c>
      <c r="L7" s="0" t="n">
        <v>859.464</v>
      </c>
      <c r="M7" s="0" t="n">
        <v>5.386</v>
      </c>
      <c r="N7" s="0" t="n">
        <v>854.078</v>
      </c>
      <c r="O7" s="0" t="n">
        <v>3859.631</v>
      </c>
      <c r="P7" s="0" t="n">
        <v>16588.272</v>
      </c>
      <c r="Q7" s="0" t="n">
        <v>12728.641</v>
      </c>
      <c r="R7" s="0" t="n">
        <v>914.282</v>
      </c>
      <c r="S7" s="0" t="n">
        <v>84.113</v>
      </c>
      <c r="T7" s="0" t="n">
        <v>109.81539</v>
      </c>
      <c r="U7" s="0" t="n">
        <v>14.954</v>
      </c>
      <c r="V7" s="0" t="n">
        <v>0.46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3589.516</v>
      </c>
      <c r="D8" s="0" t="n">
        <v>728.16</v>
      </c>
      <c r="E8" s="0" t="n">
        <v>20.2857432589798</v>
      </c>
      <c r="F8" s="0" t="n">
        <v>753.592</v>
      </c>
      <c r="G8" s="0" t="n">
        <v>20.9942510355157</v>
      </c>
      <c r="I8" s="0" t="n">
        <v>529.324</v>
      </c>
      <c r="J8" s="0" t="n">
        <v>14.74638920679</v>
      </c>
      <c r="K8" s="0" t="n">
        <v>3.65</v>
      </c>
      <c r="L8" s="0" t="n">
        <v>942.839</v>
      </c>
      <c r="M8" s="0" t="n">
        <v>4.667</v>
      </c>
      <c r="N8" s="0" t="n">
        <v>938.172</v>
      </c>
      <c r="O8" s="0" t="n">
        <v>4361.786</v>
      </c>
      <c r="P8" s="0" t="n">
        <v>18776.91</v>
      </c>
      <c r="Q8" s="0" t="n">
        <v>14415.124</v>
      </c>
      <c r="R8" s="0" t="n">
        <v>1083.642</v>
      </c>
      <c r="S8" s="0" t="n">
        <v>61.71</v>
      </c>
      <c r="T8" s="0" t="n">
        <v>146.847582</v>
      </c>
      <c r="U8" s="0" t="n">
        <v>21.605</v>
      </c>
      <c r="V8" s="0" t="n">
        <v>0.4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3494.253</v>
      </c>
      <c r="D9" s="0" t="n">
        <v>747.325</v>
      </c>
      <c r="E9" s="0" t="n">
        <v>21.3872607392768</v>
      </c>
      <c r="F9" s="0" t="n">
        <v>756.086</v>
      </c>
      <c r="G9" s="0" t="n">
        <v>21.6379867170465</v>
      </c>
      <c r="I9" s="0" t="n">
        <v>528.472</v>
      </c>
      <c r="J9" s="0" t="n">
        <v>15.1240336632751</v>
      </c>
      <c r="K9" s="0" t="n">
        <v>3.84</v>
      </c>
      <c r="L9" s="0" t="n">
        <v>1119.28</v>
      </c>
      <c r="M9" s="0" t="n">
        <v>11.168</v>
      </c>
      <c r="N9" s="0" t="n">
        <v>1108.112</v>
      </c>
      <c r="O9" s="0" t="n">
        <v>3776.342</v>
      </c>
      <c r="P9" s="0" t="n">
        <v>18191.744</v>
      </c>
      <c r="Q9" s="0" t="n">
        <v>14415.402</v>
      </c>
      <c r="R9" s="0" t="n">
        <v>990.865</v>
      </c>
      <c r="T9" s="0" t="n">
        <v>139.563785</v>
      </c>
      <c r="U9" s="0" t="n">
        <v>25.642</v>
      </c>
      <c r="V9" s="0" t="n">
        <v>0.45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3620.095</v>
      </c>
      <c r="D10" s="0" t="n">
        <v>761.129</v>
      </c>
      <c r="E10" s="0" t="n">
        <v>21.025111219457</v>
      </c>
      <c r="F10" s="0" t="n">
        <v>771.644</v>
      </c>
      <c r="G10" s="0" t="n">
        <v>21.3155732100953</v>
      </c>
      <c r="I10" s="0" t="n">
        <v>542.939</v>
      </c>
      <c r="J10" s="0" t="n">
        <v>14.9979213252691</v>
      </c>
      <c r="K10" s="0" t="n">
        <v>4.15</v>
      </c>
      <c r="L10" s="0" t="n">
        <v>864.708</v>
      </c>
      <c r="M10" s="0" t="n">
        <v>19.367</v>
      </c>
      <c r="N10" s="0" t="n">
        <v>845.341</v>
      </c>
      <c r="O10" s="0" t="n">
        <v>4697.466</v>
      </c>
      <c r="P10" s="0" t="n">
        <v>20272.259</v>
      </c>
      <c r="Q10" s="0" t="n">
        <v>15574.793</v>
      </c>
      <c r="R10" s="0" t="n">
        <v>992.13</v>
      </c>
      <c r="T10" s="0" t="n">
        <v>132.640244</v>
      </c>
      <c r="U10" s="0" t="n">
        <v>32.203</v>
      </c>
      <c r="V10" s="0" t="n">
        <v>0.51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3766.065</v>
      </c>
      <c r="D11" s="0" t="n">
        <v>774.978</v>
      </c>
      <c r="E11" s="0" t="n">
        <v>20.5779241728435</v>
      </c>
      <c r="F11" s="0" t="n">
        <v>776.372</v>
      </c>
      <c r="G11" s="0" t="n">
        <v>20.6149389349361</v>
      </c>
      <c r="I11" s="0" t="n">
        <v>527.1</v>
      </c>
      <c r="J11" s="0" t="n">
        <v>13.9960409605251</v>
      </c>
      <c r="K11" s="0" t="n">
        <v>4.21</v>
      </c>
      <c r="L11" s="0" t="n">
        <v>1120.05</v>
      </c>
      <c r="M11" s="0" t="n">
        <v>36.957</v>
      </c>
      <c r="N11" s="0" t="n">
        <v>1083.093</v>
      </c>
      <c r="O11" s="0" t="n">
        <v>4055.552</v>
      </c>
      <c r="P11" s="0" t="n">
        <v>19853.213</v>
      </c>
      <c r="Q11" s="0" t="n">
        <v>15797.661</v>
      </c>
      <c r="R11" s="0" t="n">
        <v>743.733</v>
      </c>
      <c r="T11" s="0" t="n">
        <v>126.757235</v>
      </c>
      <c r="U11" s="0" t="n">
        <v>28.664</v>
      </c>
      <c r="V11" s="0" t="n">
        <v>0.54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3934.629</v>
      </c>
      <c r="D12" s="0" t="n">
        <v>782.918</v>
      </c>
      <c r="E12" s="0" t="n">
        <v>19.8981403329259</v>
      </c>
      <c r="F12" s="0" t="n">
        <v>787.266</v>
      </c>
      <c r="G12" s="0" t="n">
        <v>20.0086463043911</v>
      </c>
      <c r="I12" s="0" t="n">
        <v>549.779</v>
      </c>
      <c r="J12" s="0" t="n">
        <v>13.9728294586351</v>
      </c>
      <c r="K12" s="0" t="n">
        <v>4.58</v>
      </c>
      <c r="L12" s="0" t="n">
        <v>1398.708</v>
      </c>
      <c r="M12" s="0" t="n">
        <v>25.162</v>
      </c>
      <c r="N12" s="0" t="n">
        <v>1373.546</v>
      </c>
      <c r="O12" s="0" t="n">
        <v>4566.861</v>
      </c>
      <c r="P12" s="0" t="n">
        <v>21436.087</v>
      </c>
      <c r="Q12" s="0" t="n">
        <v>16869.226</v>
      </c>
      <c r="R12" s="0" t="n">
        <v>1136.915</v>
      </c>
      <c r="T12" s="0" t="n">
        <v>122.367785</v>
      </c>
      <c r="U12" s="0" t="n">
        <v>26.326</v>
      </c>
      <c r="V12" s="0" t="n">
        <v>0.56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4155.573</v>
      </c>
      <c r="D13" s="0" t="n">
        <v>807.037</v>
      </c>
      <c r="E13" s="0" t="n">
        <v>19.4205949456308</v>
      </c>
      <c r="F13" s="0" t="n">
        <v>821.165</v>
      </c>
      <c r="G13" s="0" t="n">
        <v>19.7605721280796</v>
      </c>
      <c r="I13" s="0" t="n">
        <v>1454.494</v>
      </c>
      <c r="J13" s="0" t="n">
        <v>35.0010455838461</v>
      </c>
      <c r="K13" s="0" t="n">
        <v>12.5</v>
      </c>
      <c r="L13" s="0" t="n">
        <v>1429.058</v>
      </c>
      <c r="M13" s="0" t="n">
        <v>20.285</v>
      </c>
      <c r="N13" s="0" t="n">
        <v>1408.773</v>
      </c>
      <c r="O13" s="0" t="n">
        <v>6231.421</v>
      </c>
      <c r="P13" s="0" t="n">
        <v>23474.985</v>
      </c>
      <c r="Q13" s="0" t="n">
        <v>17243.564</v>
      </c>
      <c r="R13" s="0" t="n">
        <v>1140.951</v>
      </c>
      <c r="T13" s="0" t="n">
        <v>118.983494</v>
      </c>
      <c r="U13" s="0" t="n">
        <v>37.034</v>
      </c>
      <c r="V13" s="0" t="n">
        <v>0.6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4303.751</v>
      </c>
      <c r="D14" s="0" t="n">
        <v>865.475</v>
      </c>
      <c r="E14" s="0" t="n">
        <v>20.1097833029838</v>
      </c>
      <c r="F14" s="0" t="n">
        <v>870.643</v>
      </c>
      <c r="G14" s="0" t="n">
        <v>20.2298645995087</v>
      </c>
      <c r="I14" s="0" t="n">
        <v>701.466</v>
      </c>
      <c r="J14" s="0" t="n">
        <v>16.2989448041952</v>
      </c>
      <c r="K14" s="0" t="n">
        <v>6.22</v>
      </c>
      <c r="L14" s="0" t="n">
        <v>1277.647</v>
      </c>
      <c r="M14" s="0" t="n">
        <v>45.092</v>
      </c>
      <c r="N14" s="0" t="n">
        <v>1232.555</v>
      </c>
      <c r="O14" s="0" t="n">
        <v>5415.177</v>
      </c>
      <c r="P14" s="0" t="n">
        <v>23095.722</v>
      </c>
      <c r="Q14" s="0" t="n">
        <v>17680.545</v>
      </c>
      <c r="R14" s="0" t="n">
        <v>1370.935</v>
      </c>
      <c r="T14" s="0" t="n">
        <v>121.218183</v>
      </c>
      <c r="U14" s="0" t="n">
        <v>39.792</v>
      </c>
      <c r="V14" s="0" t="n">
        <v>0.64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4527.532</v>
      </c>
      <c r="D15" s="0" t="n">
        <v>910.658</v>
      </c>
      <c r="E15" s="0" t="n">
        <v>20.1137838451501</v>
      </c>
      <c r="F15" s="0" t="n">
        <v>920.059</v>
      </c>
      <c r="G15" s="0" t="n">
        <v>20.3214245641997</v>
      </c>
      <c r="I15" s="0" t="n">
        <v>760.79</v>
      </c>
      <c r="J15" s="0" t="n">
        <v>16.8036360648583</v>
      </c>
      <c r="K15" s="0" t="n">
        <v>6.97</v>
      </c>
      <c r="L15" s="0" t="n">
        <v>1363.874</v>
      </c>
      <c r="M15" s="0" t="n">
        <v>42.203</v>
      </c>
      <c r="N15" s="0" t="n">
        <v>1321.671</v>
      </c>
      <c r="O15" s="0" t="n">
        <v>7294.307</v>
      </c>
      <c r="P15" s="0" t="n">
        <v>25977.46</v>
      </c>
      <c r="Q15" s="0" t="n">
        <v>18683.153</v>
      </c>
      <c r="R15" s="0" t="n">
        <v>1367.738</v>
      </c>
      <c r="T15" s="0" t="n">
        <v>117.218183</v>
      </c>
      <c r="U15" s="0" t="n">
        <v>44.843</v>
      </c>
      <c r="V15" s="0" t="n">
        <v>0.69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4737.921</v>
      </c>
      <c r="D16" s="0" t="n">
        <v>901.055</v>
      </c>
      <c r="E16" s="0" t="n">
        <v>19.0179405692919</v>
      </c>
      <c r="F16" s="0" t="n">
        <v>905.363</v>
      </c>
      <c r="G16" s="0" t="n">
        <v>19.1088665260565</v>
      </c>
      <c r="I16" s="0" t="n">
        <v>731.773</v>
      </c>
      <c r="J16" s="0" t="n">
        <v>15.445023249649</v>
      </c>
      <c r="K16" s="0" t="n">
        <v>6.9</v>
      </c>
      <c r="L16" s="0" t="n">
        <v>1476.434</v>
      </c>
      <c r="M16" s="0" t="n">
        <v>41.756</v>
      </c>
      <c r="N16" s="0" t="n">
        <v>1434.678</v>
      </c>
      <c r="O16" s="0" t="n">
        <v>8771.092</v>
      </c>
      <c r="P16" s="0" t="n">
        <v>29046.731</v>
      </c>
      <c r="Q16" s="0" t="n">
        <v>20275.639</v>
      </c>
      <c r="R16" s="0" t="n">
        <v>1667.886</v>
      </c>
      <c r="T16" s="0" t="n">
        <v>113.218183</v>
      </c>
      <c r="U16" s="0" t="n">
        <v>35.892</v>
      </c>
      <c r="V16" s="0" t="n">
        <v>0.75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5112.038</v>
      </c>
      <c r="D17" s="0" t="n">
        <v>1215.292</v>
      </c>
      <c r="E17" s="0" t="n">
        <v>23.7731409664795</v>
      </c>
      <c r="F17" s="0" t="n">
        <v>1227.19</v>
      </c>
      <c r="G17" s="0" t="n">
        <v>24.005885715247</v>
      </c>
      <c r="I17" s="0" t="n">
        <v>1031.114</v>
      </c>
      <c r="J17" s="0" t="n">
        <v>20.1703117230349</v>
      </c>
      <c r="K17" s="0" t="n">
        <v>10.1</v>
      </c>
      <c r="L17" s="0" t="n">
        <v>1437.68</v>
      </c>
      <c r="M17" s="0" t="n">
        <v>38.244</v>
      </c>
      <c r="N17" s="0" t="n">
        <v>1399.436</v>
      </c>
      <c r="O17" s="0" t="n">
        <v>2003.808</v>
      </c>
      <c r="P17" s="0" t="n">
        <v>29768.048</v>
      </c>
      <c r="Q17" s="0" t="n">
        <v>21125.242</v>
      </c>
      <c r="R17" s="0" t="n">
        <v>1845.998</v>
      </c>
      <c r="T17" s="0" t="n">
        <v>109.218183</v>
      </c>
      <c r="U17" s="0" t="n">
        <v>30.272</v>
      </c>
      <c r="V17" s="0" t="n">
        <v>0.79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5226.74</v>
      </c>
      <c r="D18" s="0" t="n">
        <v>1178.659</v>
      </c>
      <c r="E18" s="0" t="n">
        <v>22.5505573263641</v>
      </c>
      <c r="F18" s="0" t="n">
        <v>1186.466</v>
      </c>
      <c r="G18" s="0" t="n">
        <v>22.6999238531092</v>
      </c>
      <c r="I18" s="0" t="n">
        <v>894.386</v>
      </c>
      <c r="J18" s="0" t="n">
        <v>17.1117369526703</v>
      </c>
      <c r="K18" s="0" t="n">
        <v>9.13</v>
      </c>
      <c r="L18" s="0" t="n">
        <v>1422.194</v>
      </c>
      <c r="M18" s="0" t="n">
        <v>27.929</v>
      </c>
      <c r="N18" s="0" t="n">
        <v>1394.265</v>
      </c>
      <c r="O18" s="0" t="n">
        <v>3949.577</v>
      </c>
      <c r="P18" s="0" t="n">
        <v>25986.797</v>
      </c>
      <c r="Q18" s="0" t="n">
        <v>22037.22</v>
      </c>
      <c r="R18" s="0" t="n">
        <v>1958.952</v>
      </c>
      <c r="T18" s="0" t="n">
        <v>105.218183</v>
      </c>
      <c r="U18" s="0" t="n">
        <v>35.65</v>
      </c>
      <c r="V18" s="0" t="n">
        <v>0.83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5447.533</v>
      </c>
      <c r="D19" s="0" t="n">
        <v>1259.942</v>
      </c>
      <c r="E19" s="0" t="n">
        <v>23.1286712719317</v>
      </c>
      <c r="F19" s="0" t="n">
        <v>1265.012</v>
      </c>
      <c r="G19" s="0" t="n">
        <v>23.2217409238274</v>
      </c>
      <c r="I19" s="0" t="n">
        <v>970.755</v>
      </c>
      <c r="J19" s="0" t="n">
        <v>17.8200847980177</v>
      </c>
      <c r="K19" s="0" t="n">
        <v>10.21</v>
      </c>
      <c r="L19" s="0" t="n">
        <v>1482.425</v>
      </c>
      <c r="M19" s="0" t="n">
        <v>49.553</v>
      </c>
      <c r="N19" s="0" t="n">
        <v>1432.872</v>
      </c>
      <c r="O19" s="0" t="n">
        <v>4486.803</v>
      </c>
      <c r="P19" s="0" t="n">
        <v>28051.499</v>
      </c>
      <c r="Q19" s="0" t="n">
        <v>23564.696</v>
      </c>
      <c r="R19" s="0" t="n">
        <v>1629.559</v>
      </c>
      <c r="T19" s="0" t="n">
        <v>102.218183</v>
      </c>
      <c r="U19" s="0" t="n">
        <v>30.736</v>
      </c>
      <c r="V19" s="0" t="n">
        <v>0.9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5778.069</v>
      </c>
      <c r="I20" s="0" t="n">
        <v>1070.762</v>
      </c>
      <c r="J20" s="0" t="n">
        <v>18.5314851726416</v>
      </c>
      <c r="K20" s="0" t="n">
        <v>11.99</v>
      </c>
      <c r="L20" s="0" t="n">
        <v>1402.44</v>
      </c>
      <c r="M20" s="0" t="n">
        <v>71.045</v>
      </c>
      <c r="N20" s="0" t="n">
        <v>1331.395</v>
      </c>
      <c r="O20" s="0" t="n">
        <v>5305.52</v>
      </c>
      <c r="P20" s="0" t="n">
        <v>29076.181</v>
      </c>
      <c r="Q20" s="0" t="n">
        <v>23770.661</v>
      </c>
      <c r="R20" s="0" t="n">
        <v>2324.251</v>
      </c>
      <c r="T20" s="0" t="n">
        <v>97.218183</v>
      </c>
      <c r="U20" s="0" t="n">
        <v>40.118</v>
      </c>
      <c r="V20" s="0" t="n">
        <v>0.96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5994.318</v>
      </c>
      <c r="I21" s="0" t="n">
        <v>1161.238</v>
      </c>
      <c r="J21" s="0" t="n">
        <v>19.372312246364</v>
      </c>
      <c r="K21" s="0" t="n">
        <v>14.27</v>
      </c>
      <c r="L21" s="0" t="n">
        <v>1396.391</v>
      </c>
      <c r="M21" s="0" t="n">
        <v>142.484</v>
      </c>
      <c r="N21" s="0" t="n">
        <v>1253.907</v>
      </c>
      <c r="O21" s="0" t="n">
        <v>5974.579</v>
      </c>
      <c r="P21" s="0" t="n">
        <v>30813.692</v>
      </c>
      <c r="Q21" s="0" t="n">
        <v>24839.113</v>
      </c>
      <c r="R21" s="0" t="n">
        <v>2320.793</v>
      </c>
      <c r="T21" s="0" t="n">
        <v>92.218183</v>
      </c>
      <c r="U21" s="0" t="n">
        <v>53.355</v>
      </c>
      <c r="V21" s="0" t="n">
        <v>1.08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167.04</v>
      </c>
    </row>
    <row r="3" customFormat="false" ht="15" hidden="false" customHeight="false" outlineLevel="0" collapsed="false">
      <c r="A3" s="0" t="s">
        <v>86</v>
      </c>
      <c r="B3" s="3" t="n">
        <v>78.3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5994.318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</v>
      </c>
      <c r="D13" s="3" t="n">
        <v>4</v>
      </c>
      <c r="E13" s="3" t="n">
        <v>3</v>
      </c>
      <c r="F13" s="3" t="n">
        <v>2.5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23</v>
      </c>
      <c r="D14" s="3" t="n">
        <v>22.7</v>
      </c>
      <c r="E14" s="3" t="n">
        <v>22.4</v>
      </c>
      <c r="F14" s="3" t="n">
        <v>22.2</v>
      </c>
      <c r="G14" s="3" t="n">
        <v>22</v>
      </c>
      <c r="H14" s="3" t="n">
        <v>21.8</v>
      </c>
      <c r="I14" s="3" t="n">
        <v>21.6</v>
      </c>
      <c r="J14" s="3" t="n">
        <v>21.5</v>
      </c>
      <c r="K14" s="3" t="n">
        <v>21.5</v>
      </c>
      <c r="L14" s="3" t="n">
        <v>21.5</v>
      </c>
    </row>
    <row r="15" customFormat="false" ht="15" hidden="false" customHeight="false" outlineLevel="0" collapsed="false">
      <c r="A15" s="0" t="s">
        <v>108</v>
      </c>
      <c r="C15" s="3" t="n">
        <v>0.95</v>
      </c>
      <c r="D15" s="3" t="n">
        <v>0.95</v>
      </c>
      <c r="E15" s="3" t="n">
        <v>0.95</v>
      </c>
      <c r="F15" s="3" t="n">
        <v>0.95</v>
      </c>
      <c r="G15" s="3" t="n">
        <v>0.95</v>
      </c>
      <c r="H15" s="3" t="n">
        <v>0.95</v>
      </c>
      <c r="I15" s="3" t="n">
        <v>0.95</v>
      </c>
      <c r="J15" s="3" t="n">
        <v>0.95</v>
      </c>
      <c r="K15" s="3" t="n">
        <v>0.95</v>
      </c>
      <c r="L15" s="3" t="n">
        <v>0.95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10.5</v>
      </c>
      <c r="D18" s="3" t="n">
        <v>10.4</v>
      </c>
      <c r="E18" s="3" t="n">
        <v>10.2</v>
      </c>
      <c r="F18" s="3" t="n">
        <v>10</v>
      </c>
      <c r="G18" s="3" t="n">
        <v>9.8</v>
      </c>
      <c r="H18" s="3" t="n">
        <v>9.6</v>
      </c>
      <c r="I18" s="3" t="n">
        <v>9.4</v>
      </c>
      <c r="J18" s="3" t="n">
        <v>9.2</v>
      </c>
      <c r="K18" s="3" t="n">
        <v>9.1</v>
      </c>
      <c r="L18" s="3" t="n">
        <v>9</v>
      </c>
    </row>
    <row r="19" customFormat="false" ht="15" hidden="false" customHeight="false" outlineLevel="0" collapsed="false">
      <c r="A19" s="0" t="s">
        <v>112</v>
      </c>
      <c r="C19" s="3" t="n">
        <v>15</v>
      </c>
      <c r="D19" s="3" t="n">
        <v>16</v>
      </c>
      <c r="E19" s="3" t="n">
        <v>17</v>
      </c>
      <c r="F19" s="3" t="n">
        <v>18</v>
      </c>
      <c r="G19" s="3" t="n">
        <v>19</v>
      </c>
      <c r="H19" s="3" t="n">
        <v>20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6.5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23.75</v>
      </c>
      <c r="D28" s="3" t="n">
        <v>23.9</v>
      </c>
      <c r="E28" s="3" t="n">
        <v>24</v>
      </c>
      <c r="F28" s="3" t="n">
        <v>24.1</v>
      </c>
      <c r="G28" s="3" t="n">
        <v>24.2</v>
      </c>
      <c r="H28" s="3" t="n">
        <v>24.3</v>
      </c>
      <c r="I28" s="3" t="n">
        <v>24.4</v>
      </c>
      <c r="J28" s="3" t="n">
        <v>24.5</v>
      </c>
      <c r="K28" s="3" t="n">
        <v>24.5</v>
      </c>
      <c r="L28" s="3" t="n">
        <v>24.5</v>
      </c>
    </row>
    <row r="29" customFormat="false" ht="15" hidden="false" customHeight="false" outlineLevel="0" collapsed="false">
      <c r="A29" s="0" t="s">
        <v>108</v>
      </c>
      <c r="C29" s="3" t="n">
        <v>0.95</v>
      </c>
      <c r="D29" s="3" t="n">
        <v>0.93</v>
      </c>
      <c r="E29" s="3" t="n">
        <v>0.91</v>
      </c>
      <c r="F29" s="3" t="n">
        <v>0.89</v>
      </c>
      <c r="G29" s="3" t="n">
        <v>0.87</v>
      </c>
      <c r="H29" s="3" t="n">
        <v>0.85</v>
      </c>
      <c r="I29" s="3" t="n">
        <v>0.82</v>
      </c>
      <c r="J29" s="3" t="n">
        <v>0.8</v>
      </c>
      <c r="K29" s="3" t="n">
        <v>0.78</v>
      </c>
      <c r="L29" s="3" t="n">
        <v>0.75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10</v>
      </c>
      <c r="D32" s="3" t="n">
        <v>9.8</v>
      </c>
      <c r="E32" s="3" t="n">
        <v>9.5</v>
      </c>
      <c r="F32" s="3" t="n">
        <v>9.2</v>
      </c>
      <c r="G32" s="3" t="n">
        <v>9</v>
      </c>
      <c r="H32" s="3" t="n">
        <v>8.7</v>
      </c>
      <c r="I32" s="3" t="n">
        <v>8.4</v>
      </c>
      <c r="J32" s="3" t="n">
        <v>8.1</v>
      </c>
      <c r="K32" s="3" t="n">
        <v>7.8</v>
      </c>
      <c r="L32" s="3" t="n">
        <v>7.5</v>
      </c>
    </row>
    <row r="33" customFormat="false" ht="15" hidden="false" customHeight="false" outlineLevel="0" collapsed="false">
      <c r="A33" s="0" t="s">
        <v>112</v>
      </c>
      <c r="C33" s="3" t="n">
        <v>14</v>
      </c>
      <c r="D33" s="3" t="n">
        <v>15</v>
      </c>
      <c r="E33" s="3" t="n">
        <v>16</v>
      </c>
      <c r="F33" s="3" t="n">
        <v>17</v>
      </c>
      <c r="G33" s="3" t="n">
        <v>18</v>
      </c>
      <c r="H33" s="3" t="n">
        <v>19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7.5</v>
      </c>
      <c r="D41" s="3" t="n">
        <v>7.5</v>
      </c>
      <c r="E41" s="3" t="n">
        <v>7</v>
      </c>
      <c r="F41" s="3" t="n">
        <v>6.5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24.25</v>
      </c>
      <c r="D42" s="3" t="n">
        <v>24.5</v>
      </c>
      <c r="E42" s="3" t="n">
        <v>24.8</v>
      </c>
      <c r="F42" s="3" t="n">
        <v>25.1</v>
      </c>
      <c r="G42" s="3" t="n">
        <v>25.4</v>
      </c>
      <c r="H42" s="3" t="n">
        <v>25.6</v>
      </c>
      <c r="I42" s="3" t="n">
        <v>25.8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108</v>
      </c>
      <c r="C43" s="3" t="n">
        <v>0.95</v>
      </c>
      <c r="D43" s="3" t="n">
        <v>0.93</v>
      </c>
      <c r="E43" s="3" t="n">
        <v>0.91</v>
      </c>
      <c r="F43" s="3" t="n">
        <v>0.89</v>
      </c>
      <c r="G43" s="3" t="n">
        <v>0.87</v>
      </c>
      <c r="H43" s="3" t="n">
        <v>0.85</v>
      </c>
      <c r="I43" s="3" t="n">
        <v>0.82</v>
      </c>
      <c r="J43" s="3" t="n">
        <v>0.8</v>
      </c>
      <c r="K43" s="3" t="n">
        <v>0.78</v>
      </c>
      <c r="L43" s="3" t="n">
        <v>0.75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9.5</v>
      </c>
      <c r="D46" s="3" t="n">
        <v>9.2</v>
      </c>
      <c r="E46" s="3" t="n">
        <v>8.9</v>
      </c>
      <c r="F46" s="3" t="n">
        <v>8.6</v>
      </c>
      <c r="G46" s="3" t="n">
        <v>8.3</v>
      </c>
      <c r="H46" s="3" t="n">
        <v>8</v>
      </c>
      <c r="I46" s="3" t="n">
        <v>7.6</v>
      </c>
      <c r="J46" s="3" t="n">
        <v>7.2</v>
      </c>
      <c r="K46" s="3" t="n">
        <v>6.8</v>
      </c>
      <c r="L46" s="3" t="n">
        <v>6.5</v>
      </c>
    </row>
    <row r="47" customFormat="false" ht="15" hidden="false" customHeight="false" outlineLevel="0" collapsed="false">
      <c r="A47" s="0" t="s">
        <v>112</v>
      </c>
      <c r="C47" s="3" t="n">
        <v>14</v>
      </c>
      <c r="D47" s="3" t="n">
        <v>15</v>
      </c>
      <c r="E47" s="3" t="n">
        <v>16</v>
      </c>
      <c r="F47" s="3" t="n">
        <v>17</v>
      </c>
      <c r="G47" s="3" t="n">
        <v>18</v>
      </c>
      <c r="H47" s="3" t="n">
        <v>19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</v>
      </c>
      <c r="D5" s="4" t="n">
        <f aca="false">Assumptions!D13</f>
        <v>4</v>
      </c>
      <c r="E5" s="4" t="n">
        <f aca="false">Assumptions!E13</f>
        <v>3</v>
      </c>
      <c r="F5" s="4" t="n">
        <f aca="false">Assumptions!F13</f>
        <v>2.5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5994.318</v>
      </c>
      <c r="C6" s="0" t="n">
        <f aca="false">B6*(1+C5/100)</f>
        <v>6294.0339</v>
      </c>
      <c r="D6" s="0" t="n">
        <f aca="false">C6*(1+D5/100)</f>
        <v>6545.795256</v>
      </c>
      <c r="E6" s="0" t="n">
        <f aca="false">D6*(1+E5/100)</f>
        <v>6742.16911368</v>
      </c>
      <c r="F6" s="0" t="n">
        <f aca="false">E6*(1+F5/100)</f>
        <v>6910.723341522</v>
      </c>
      <c r="G6" s="0" t="n">
        <f aca="false">F6*(1+G5/100)</f>
        <v>7048.93780835244</v>
      </c>
      <c r="H6" s="0" t="n">
        <f aca="false">G6*(1+H5/100)</f>
        <v>7189.91656451949</v>
      </c>
      <c r="I6" s="0" t="n">
        <f aca="false">H6*(1+I5/100)</f>
        <v>7333.71489580988</v>
      </c>
      <c r="J6" s="0" t="n">
        <f aca="false">I6*(1+J5/100)</f>
        <v>7480.38919372608</v>
      </c>
      <c r="K6" s="0" t="n">
        <f aca="false">J6*(1+K5/100)</f>
        <v>7629.9969776006</v>
      </c>
      <c r="L6" s="0" t="n">
        <f aca="false">K6*(1+L5/100)</f>
        <v>7782.59691715261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23</v>
      </c>
      <c r="D7" s="4" t="n">
        <f aca="false">Assumptions!D14</f>
        <v>22.7</v>
      </c>
      <c r="E7" s="4" t="n">
        <f aca="false">Assumptions!E14</f>
        <v>22.4</v>
      </c>
      <c r="F7" s="4" t="n">
        <f aca="false">Assumptions!F14</f>
        <v>22.2</v>
      </c>
      <c r="G7" s="4" t="n">
        <f aca="false">Assumptions!G14</f>
        <v>22</v>
      </c>
      <c r="H7" s="4" t="n">
        <f aca="false">Assumptions!H14</f>
        <v>21.8</v>
      </c>
      <c r="I7" s="4" t="n">
        <f aca="false">Assumptions!I14</f>
        <v>21.6</v>
      </c>
      <c r="J7" s="4" t="n">
        <f aca="false">Assumptions!J14</f>
        <v>21.5</v>
      </c>
      <c r="K7" s="4" t="n">
        <f aca="false">Assumptions!K14</f>
        <v>21.5</v>
      </c>
      <c r="L7" s="4" t="n">
        <f aca="false">Assumptions!L14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1447.627797</v>
      </c>
      <c r="D8" s="0" t="n">
        <f aca="false">D6*D7/100</f>
        <v>1485.895523112</v>
      </c>
      <c r="E8" s="0" t="n">
        <f aca="false">E6*E7/100</f>
        <v>1510.24588146432</v>
      </c>
      <c r="F8" s="0" t="n">
        <f aca="false">F6*F7/100</f>
        <v>1534.18058181788</v>
      </c>
      <c r="G8" s="0" t="n">
        <f aca="false">G6*G7/100</f>
        <v>1550.76631783754</v>
      </c>
      <c r="H8" s="0" t="n">
        <f aca="false">H6*H7/100</f>
        <v>1567.40181106525</v>
      </c>
      <c r="I8" s="0" t="n">
        <f aca="false">I6*I7/100</f>
        <v>1584.08241749493</v>
      </c>
      <c r="J8" s="0" t="n">
        <f aca="false">J6*J7/100</f>
        <v>1608.28367665111</v>
      </c>
      <c r="K8" s="0" t="n">
        <f aca="false">K6*K7/100</f>
        <v>1640.44935018413</v>
      </c>
      <c r="L8" s="0" t="n">
        <f aca="false">L6*L7/100</f>
        <v>1673.25833718781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0.95</v>
      </c>
      <c r="D9" s="4" t="n">
        <f aca="false">Assumptions!D15</f>
        <v>0.95</v>
      </c>
      <c r="E9" s="4" t="n">
        <f aca="false">Assumptions!E15</f>
        <v>0.95</v>
      </c>
      <c r="F9" s="4" t="n">
        <f aca="false">Assumptions!F15</f>
        <v>0.95</v>
      </c>
      <c r="G9" s="4" t="n">
        <f aca="false">Assumptions!G15</f>
        <v>0.95</v>
      </c>
      <c r="H9" s="4" t="n">
        <f aca="false">Assumptions!H15</f>
        <v>0.95</v>
      </c>
      <c r="I9" s="4" t="n">
        <f aca="false">Assumptions!I15</f>
        <v>0.95</v>
      </c>
      <c r="J9" s="4" t="n">
        <f aca="false">Assumptions!J15</f>
        <v>0.95</v>
      </c>
      <c r="K9" s="4" t="n">
        <f aca="false">Assumptions!K15</f>
        <v>0.95</v>
      </c>
      <c r="L9" s="4" t="n">
        <f aca="false">Assumptions!L15</f>
        <v>0.95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-59.79332205</v>
      </c>
      <c r="D10" s="0" t="n">
        <f aca="false">-D6*D9/100</f>
        <v>-62.185054932</v>
      </c>
      <c r="E10" s="0" t="n">
        <f aca="false">-E6*E9/100</f>
        <v>-64.05060657996</v>
      </c>
      <c r="F10" s="0" t="n">
        <f aca="false">-F6*F9/100</f>
        <v>-65.651871744459</v>
      </c>
      <c r="G10" s="0" t="n">
        <f aca="false">-G6*G9/100</f>
        <v>-66.9649091793482</v>
      </c>
      <c r="H10" s="0" t="n">
        <f aca="false">-H6*H9/100</f>
        <v>-68.3042073629351</v>
      </c>
      <c r="I10" s="0" t="n">
        <f aca="false">-I6*I9/100</f>
        <v>-69.6702915101939</v>
      </c>
      <c r="J10" s="0" t="n">
        <f aca="false">-J6*J9/100</f>
        <v>-71.0636973403977</v>
      </c>
      <c r="K10" s="0" t="n">
        <f aca="false">-K6*K9/100</f>
        <v>-72.4849712872057</v>
      </c>
      <c r="L10" s="0" t="n">
        <f aca="false">-L6*L9/100</f>
        <v>-73.9346707129498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1387.83447495</v>
      </c>
      <c r="D11" s="0" t="n">
        <f aca="false">D8+D10+D24</f>
        <v>1423.71046818</v>
      </c>
      <c r="E11" s="0" t="n">
        <f aca="false">E8+E10+E24</f>
        <v>1446.19527488436</v>
      </c>
      <c r="F11" s="0" t="n">
        <f aca="false">F8+F10+F24</f>
        <v>1468.52871007343</v>
      </c>
      <c r="G11" s="0" t="n">
        <f aca="false">G8+G10+G24</f>
        <v>1483.80140865819</v>
      </c>
      <c r="H11" s="0" t="n">
        <f aca="false">H8+H10+H24</f>
        <v>1499.09760370231</v>
      </c>
      <c r="I11" s="0" t="n">
        <f aca="false">I8+I10+I24</f>
        <v>1514.41212598474</v>
      </c>
      <c r="J11" s="0" t="n">
        <f aca="false">J8+J10+J24</f>
        <v>1537.21997931071</v>
      </c>
      <c r="K11" s="0" t="n">
        <f aca="false">K8+K10+K24</f>
        <v>1567.96437889692</v>
      </c>
      <c r="L11" s="0" t="n">
        <f aca="false">L8+L10+L24</f>
        <v>1599.32366647486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1387.83447495</v>
      </c>
      <c r="D13" s="0" t="n">
        <f aca="false">D11+D12</f>
        <v>1423.71046818</v>
      </c>
      <c r="E13" s="0" t="n">
        <f aca="false">E11+E12</f>
        <v>1446.19527488436</v>
      </c>
      <c r="F13" s="0" t="n">
        <f aca="false">F11+F12</f>
        <v>1468.52871007343</v>
      </c>
      <c r="G13" s="0" t="n">
        <f aca="false">G11+G12</f>
        <v>1483.80140865819</v>
      </c>
      <c r="H13" s="0" t="n">
        <f aca="false">H11+H12</f>
        <v>1499.09760370231</v>
      </c>
      <c r="I13" s="0" t="n">
        <f aca="false">I11+I12</f>
        <v>1514.41212598474</v>
      </c>
      <c r="J13" s="0" t="n">
        <f aca="false">J11+J12</f>
        <v>1537.21997931071</v>
      </c>
      <c r="K13" s="0" t="n">
        <f aca="false">K11+K12</f>
        <v>1567.96437889692</v>
      </c>
      <c r="L13" s="0" t="n">
        <f aca="false">L11+L12</f>
        <v>1599.32366647486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15</v>
      </c>
      <c r="D14" s="4" t="n">
        <f aca="false">Assumptions!D19</f>
        <v>16</v>
      </c>
      <c r="E14" s="4" t="n">
        <f aca="false">Assumptions!E19</f>
        <v>17</v>
      </c>
      <c r="F14" s="4" t="n">
        <f aca="false">Assumptions!F19</f>
        <v>18</v>
      </c>
      <c r="G14" s="4" t="n">
        <f aca="false">Assumptions!G19</f>
        <v>19</v>
      </c>
      <c r="H14" s="4" t="n">
        <f aca="false">Assumptions!H19</f>
        <v>20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1179.6593037075</v>
      </c>
      <c r="D15" s="0" t="n">
        <f aca="false">D13-MAX(0,D13)*D14/100</f>
        <v>1195.9167932712</v>
      </c>
      <c r="E15" s="0" t="n">
        <f aca="false">E13-MAX(0,E13)*E14/100</f>
        <v>1200.34207815402</v>
      </c>
      <c r="F15" s="0" t="n">
        <f aca="false">F13-MAX(0,F13)*F14/100</f>
        <v>1204.19354226021</v>
      </c>
      <c r="G15" s="0" t="n">
        <f aca="false">G13-MAX(0,G13)*G14/100</f>
        <v>1201.87914101313</v>
      </c>
      <c r="H15" s="0" t="n">
        <f aca="false">H13-MAX(0,H13)*H14/100</f>
        <v>1199.27808296185</v>
      </c>
      <c r="I15" s="0" t="n">
        <f aca="false">I13-MAX(0,I13)*I14/100</f>
        <v>1196.38557952794</v>
      </c>
      <c r="J15" s="0" t="n">
        <f aca="false">J13-MAX(0,J13)*J14/100</f>
        <v>1214.40378365546</v>
      </c>
      <c r="K15" s="0" t="n">
        <f aca="false">K13-MAX(0,K13)*K14/100</f>
        <v>1238.69185932857</v>
      </c>
      <c r="L15" s="0" t="n">
        <f aca="false">L13-MAX(0,L13)*L14/100</f>
        <v>1263.46569651514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-660.8735595</v>
      </c>
      <c r="D17" s="4" t="n">
        <f aca="false">-D6*Assumptions!D18/100</f>
        <v>-680.762706624</v>
      </c>
      <c r="E17" s="4" t="n">
        <f aca="false">-E6*Assumptions!E18/100</f>
        <v>-687.70124959536</v>
      </c>
      <c r="F17" s="4" t="n">
        <f aca="false">-F6*Assumptions!F18/100</f>
        <v>-691.0723341522</v>
      </c>
      <c r="G17" s="4" t="n">
        <f aca="false">-G6*Assumptions!G18/100</f>
        <v>-690.795905218539</v>
      </c>
      <c r="H17" s="4" t="n">
        <f aca="false">-H6*Assumptions!H18/100</f>
        <v>-690.231990193871</v>
      </c>
      <c r="I17" s="4" t="n">
        <f aca="false">-I6*Assumptions!I18/100</f>
        <v>-689.369200206129</v>
      </c>
      <c r="J17" s="4" t="n">
        <f aca="false">-J6*Assumptions!J18/100</f>
        <v>-688.195805822799</v>
      </c>
      <c r="K17" s="4" t="n">
        <f aca="false">-K6*Assumptions!K18/100</f>
        <v>-694.329724961654</v>
      </c>
      <c r="L17" s="4" t="n">
        <f aca="false">-L6*Assumptions!L18/100</f>
        <v>-700.433722543735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518.7857442075</v>
      </c>
      <c r="D19" s="0" t="n">
        <f aca="false">D15+D16+D17+D18</f>
        <v>515.1540866472</v>
      </c>
      <c r="E19" s="0" t="n">
        <f aca="false">E15+E16+E17+E18</f>
        <v>512.640828558659</v>
      </c>
      <c r="F19" s="0" t="n">
        <f aca="false">F15+F16+F17+F18</f>
        <v>513.121208108009</v>
      </c>
      <c r="G19" s="0" t="n">
        <f aca="false">G15+G16+G17+G18</f>
        <v>511.083235794594</v>
      </c>
      <c r="H19" s="0" t="n">
        <f aca="false">H15+H16+H17+H18</f>
        <v>509.04609276798</v>
      </c>
      <c r="I19" s="0" t="n">
        <f aca="false">I15+I16+I17+I18</f>
        <v>507.016379321816</v>
      </c>
      <c r="J19" s="0" t="n">
        <f aca="false">J15+J16+J17+J18</f>
        <v>526.207977832661</v>
      </c>
      <c r="K19" s="0" t="n">
        <f aca="false">K15+K16+K17+K18</f>
        <v>544.362134366915</v>
      </c>
      <c r="L19" s="0" t="n">
        <f aca="false">L15+L16+L17+L18</f>
        <v>563.031973971406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475.950224043578</v>
      </c>
      <c r="D21" s="0" t="n">
        <f aca="false">D19*D20</f>
        <v>433.594888180456</v>
      </c>
      <c r="E21" s="0" t="n">
        <f aca="false">E19*E20</f>
        <v>395.852779017813</v>
      </c>
      <c r="F21" s="0" t="n">
        <f aca="false">F19*F20</f>
        <v>363.508000155945</v>
      </c>
      <c r="G21" s="0" t="n">
        <f aca="false">G19*G20</f>
        <v>332.169035953824</v>
      </c>
      <c r="H21" s="0" t="n">
        <f aca="false">H19*H20</f>
        <v>303.527552993073</v>
      </c>
      <c r="I21" s="0" t="n">
        <f aca="false">I19*I20</f>
        <v>277.355322185503</v>
      </c>
      <c r="J21" s="0" t="n">
        <f aca="false">J19*J20</f>
        <v>264.086040169008</v>
      </c>
      <c r="K21" s="0" t="n">
        <f aca="false">K19*K20</f>
        <v>250.639448779313</v>
      </c>
      <c r="L21" s="0" t="n">
        <f aca="false">L19*L20</f>
        <v>237.830790433334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3334.51408191185</v>
      </c>
    </row>
    <row r="31" customFormat="false" ht="15" hidden="false" customHeight="false" outlineLevel="0" collapsed="false">
      <c r="A31" s="0" t="s">
        <v>137</v>
      </c>
      <c r="B31" s="0" t="n">
        <f aca="false">L19</f>
        <v>563.031973971406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8204.18019215477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6756.38368765687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6756.38368765687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2853.96948520001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6188.48356711185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6188.48356711185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79.0355500269713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-0.526846563535852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425.796007159226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455.077428452752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90.2855300475585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4417.63548808334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47.1747300589372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6.5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5994.318</v>
      </c>
      <c r="C6" s="0" t="n">
        <f aca="false">B6*(1+C5/100)</f>
        <v>6383.94867</v>
      </c>
      <c r="D6" s="0" t="n">
        <f aca="false">C6*(1+D5/100)</f>
        <v>6766.9855902</v>
      </c>
      <c r="E6" s="0" t="n">
        <f aca="false">D6*(1+E5/100)</f>
        <v>7139.169797661</v>
      </c>
      <c r="F6" s="0" t="n">
        <f aca="false">E6*(1+F5/100)</f>
        <v>7496.12828754405</v>
      </c>
      <c r="G6" s="0" t="n">
        <f aca="false">F6*(1+G5/100)</f>
        <v>7833.45406048353</v>
      </c>
      <c r="H6" s="0" t="n">
        <f aca="false">G6*(1+H5/100)</f>
        <v>8146.79222290287</v>
      </c>
      <c r="I6" s="0" t="n">
        <f aca="false">H6*(1+I5/100)</f>
        <v>8431.92995070447</v>
      </c>
      <c r="J6" s="0" t="n">
        <f aca="false">I6*(1+J5/100)</f>
        <v>8684.88784922561</v>
      </c>
      <c r="K6" s="0" t="n">
        <f aca="false">J6*(1+K5/100)</f>
        <v>8945.43448470238</v>
      </c>
      <c r="L6" s="0" t="n">
        <f aca="false">K6*(1+L5/100)</f>
        <v>9169.07034681993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23.75</v>
      </c>
      <c r="D7" s="4" t="n">
        <f aca="false">Assumptions!D28</f>
        <v>23.9</v>
      </c>
      <c r="E7" s="4" t="n">
        <f aca="false">Assumptions!E28</f>
        <v>24</v>
      </c>
      <c r="F7" s="4" t="n">
        <f aca="false">Assumptions!F28</f>
        <v>24.1</v>
      </c>
      <c r="G7" s="4" t="n">
        <f aca="false">Assumptions!G28</f>
        <v>24.2</v>
      </c>
      <c r="H7" s="4" t="n">
        <f aca="false">Assumptions!H28</f>
        <v>24.3</v>
      </c>
      <c r="I7" s="4" t="n">
        <f aca="false">Assumptions!I28</f>
        <v>24.4</v>
      </c>
      <c r="J7" s="4" t="n">
        <f aca="false">Assumptions!J28</f>
        <v>24.5</v>
      </c>
      <c r="K7" s="4" t="n">
        <f aca="false">Assumptions!K28</f>
        <v>24.5</v>
      </c>
      <c r="L7" s="4" t="n">
        <f aca="false">Assumptions!L28</f>
        <v>24.5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1516.187809125</v>
      </c>
      <c r="D8" s="0" t="n">
        <f aca="false">D6*D7/100</f>
        <v>1617.3095560578</v>
      </c>
      <c r="E8" s="0" t="n">
        <f aca="false">E6*E7/100</f>
        <v>1713.40075143864</v>
      </c>
      <c r="F8" s="0" t="n">
        <f aca="false">F6*F7/100</f>
        <v>1806.56691729812</v>
      </c>
      <c r="G8" s="0" t="n">
        <f aca="false">G6*G7/100</f>
        <v>1895.69588263701</v>
      </c>
      <c r="H8" s="0" t="n">
        <f aca="false">H6*H7/100</f>
        <v>1979.6705101654</v>
      </c>
      <c r="I8" s="0" t="n">
        <f aca="false">I6*I7/100</f>
        <v>2057.39090797189</v>
      </c>
      <c r="J8" s="0" t="n">
        <f aca="false">J6*J7/100</f>
        <v>2127.79752306027</v>
      </c>
      <c r="K8" s="0" t="n">
        <f aca="false">K6*K7/100</f>
        <v>2191.63144875208</v>
      </c>
      <c r="L8" s="0" t="n">
        <f aca="false">L6*L7/100</f>
        <v>2246.42223497088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0.95</v>
      </c>
      <c r="D9" s="4" t="n">
        <f aca="false">Assumptions!D29</f>
        <v>0.93</v>
      </c>
      <c r="E9" s="4" t="n">
        <f aca="false">Assumptions!E29</f>
        <v>0.91</v>
      </c>
      <c r="F9" s="4" t="n">
        <f aca="false">Assumptions!F29</f>
        <v>0.89</v>
      </c>
      <c r="G9" s="4" t="n">
        <f aca="false">Assumptions!G29</f>
        <v>0.87</v>
      </c>
      <c r="H9" s="4" t="n">
        <f aca="false">Assumptions!H29</f>
        <v>0.85</v>
      </c>
      <c r="I9" s="4" t="n">
        <f aca="false">Assumptions!I29</f>
        <v>0.82</v>
      </c>
      <c r="J9" s="4" t="n">
        <f aca="false">Assumptions!J29</f>
        <v>0.8</v>
      </c>
      <c r="K9" s="4" t="n">
        <f aca="false">Assumptions!K29</f>
        <v>0.78</v>
      </c>
      <c r="L9" s="4" t="n">
        <f aca="false">Assumptions!L29</f>
        <v>0.75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-60.647512365</v>
      </c>
      <c r="D10" s="0" t="n">
        <f aca="false">-D6*D9/100</f>
        <v>-62.93296598886</v>
      </c>
      <c r="E10" s="0" t="n">
        <f aca="false">-E6*E9/100</f>
        <v>-64.9664451587151</v>
      </c>
      <c r="F10" s="0" t="n">
        <f aca="false">-F6*F9/100</f>
        <v>-66.715541759142</v>
      </c>
      <c r="G10" s="0" t="n">
        <f aca="false">-G6*G9/100</f>
        <v>-68.1510503262067</v>
      </c>
      <c r="H10" s="0" t="n">
        <f aca="false">-H6*H9/100</f>
        <v>-69.2477338946744</v>
      </c>
      <c r="I10" s="0" t="n">
        <f aca="false">-I6*I9/100</f>
        <v>-69.1418255957767</v>
      </c>
      <c r="J10" s="0" t="n">
        <f aca="false">-J6*J9/100</f>
        <v>-69.4791027938049</v>
      </c>
      <c r="K10" s="0" t="n">
        <f aca="false">-K6*K9/100</f>
        <v>-69.7743889806785</v>
      </c>
      <c r="L10" s="0" t="n">
        <f aca="false">-L6*L9/100</f>
        <v>-68.7680276011495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1455.54029676</v>
      </c>
      <c r="D11" s="0" t="n">
        <f aca="false">D8+D10+D24</f>
        <v>1554.37659006894</v>
      </c>
      <c r="E11" s="0" t="n">
        <f aca="false">E8+E10+E24</f>
        <v>1648.43430627992</v>
      </c>
      <c r="F11" s="0" t="n">
        <f aca="false">F8+F10+F24</f>
        <v>1739.85137553897</v>
      </c>
      <c r="G11" s="0" t="n">
        <f aca="false">G8+G10+G24</f>
        <v>1827.54483231081</v>
      </c>
      <c r="H11" s="0" t="n">
        <f aca="false">H8+H10+H24</f>
        <v>1910.42277627072</v>
      </c>
      <c r="I11" s="0" t="n">
        <f aca="false">I8+I10+I24</f>
        <v>1988.24908237611</v>
      </c>
      <c r="J11" s="0" t="n">
        <f aca="false">J8+J10+J24</f>
        <v>2058.31842026647</v>
      </c>
      <c r="K11" s="0" t="n">
        <f aca="false">K8+K10+K24</f>
        <v>2121.8570597714</v>
      </c>
      <c r="L11" s="0" t="n">
        <f aca="false">L8+L10+L24</f>
        <v>2177.65420736973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1455.54029676</v>
      </c>
      <c r="D13" s="0" t="n">
        <f aca="false">D11+D12</f>
        <v>1554.37659006894</v>
      </c>
      <c r="E13" s="0" t="n">
        <f aca="false">E11+E12</f>
        <v>1648.43430627992</v>
      </c>
      <c r="F13" s="0" t="n">
        <f aca="false">F11+F12</f>
        <v>1739.85137553897</v>
      </c>
      <c r="G13" s="0" t="n">
        <f aca="false">G11+G12</f>
        <v>1827.54483231081</v>
      </c>
      <c r="H13" s="0" t="n">
        <f aca="false">H11+H12</f>
        <v>1910.42277627072</v>
      </c>
      <c r="I13" s="0" t="n">
        <f aca="false">I11+I12</f>
        <v>1988.24908237611</v>
      </c>
      <c r="J13" s="0" t="n">
        <f aca="false">J11+J12</f>
        <v>2058.31842026647</v>
      </c>
      <c r="K13" s="0" t="n">
        <f aca="false">K11+K12</f>
        <v>2121.8570597714</v>
      </c>
      <c r="L13" s="0" t="n">
        <f aca="false">L11+L12</f>
        <v>2177.65420736973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14</v>
      </c>
      <c r="D14" s="4" t="n">
        <f aca="false">Assumptions!D33</f>
        <v>15</v>
      </c>
      <c r="E14" s="4" t="n">
        <f aca="false">Assumptions!E33</f>
        <v>16</v>
      </c>
      <c r="F14" s="4" t="n">
        <f aca="false">Assumptions!F33</f>
        <v>17</v>
      </c>
      <c r="G14" s="4" t="n">
        <f aca="false">Assumptions!G33</f>
        <v>18</v>
      </c>
      <c r="H14" s="4" t="n">
        <f aca="false">Assumptions!H33</f>
        <v>19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1251.7646552136</v>
      </c>
      <c r="D15" s="0" t="n">
        <f aca="false">D13-MAX(0,D13)*D14/100</f>
        <v>1321.2201015586</v>
      </c>
      <c r="E15" s="0" t="n">
        <f aca="false">E13-MAX(0,E13)*E14/100</f>
        <v>1384.68481727514</v>
      </c>
      <c r="F15" s="0" t="n">
        <f aca="false">F13-MAX(0,F13)*F14/100</f>
        <v>1444.07664169735</v>
      </c>
      <c r="G15" s="0" t="n">
        <f aca="false">G13-MAX(0,G13)*G14/100</f>
        <v>1498.58676249486</v>
      </c>
      <c r="H15" s="0" t="n">
        <f aca="false">H13-MAX(0,H13)*H14/100</f>
        <v>1547.44244877929</v>
      </c>
      <c r="I15" s="0" t="n">
        <f aca="false">I13-MAX(0,I13)*I14/100</f>
        <v>1590.59926590089</v>
      </c>
      <c r="J15" s="0" t="n">
        <f aca="false">J13-MAX(0,J13)*J14/100</f>
        <v>1646.65473621318</v>
      </c>
      <c r="K15" s="0" t="n">
        <f aca="false">K13-MAX(0,K13)*K14/100</f>
        <v>1697.48564781712</v>
      </c>
      <c r="L15" s="0" t="n">
        <f aca="false">L13-MAX(0,L13)*L14/100</f>
        <v>1742.12336589579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-638.394867</v>
      </c>
      <c r="D17" s="4" t="n">
        <f aca="false">-D6*Assumptions!D32/100</f>
        <v>-663.1645878396</v>
      </c>
      <c r="E17" s="4" t="n">
        <f aca="false">-E6*Assumptions!E32/100</f>
        <v>-678.221130777795</v>
      </c>
      <c r="F17" s="4" t="n">
        <f aca="false">-F6*Assumptions!F32/100</f>
        <v>-689.643802454053</v>
      </c>
      <c r="G17" s="4" t="n">
        <f aca="false">-G6*Assumptions!G32/100</f>
        <v>-705.010865443518</v>
      </c>
      <c r="H17" s="4" t="n">
        <f aca="false">-H6*Assumptions!H32/100</f>
        <v>-708.77092339255</v>
      </c>
      <c r="I17" s="4" t="n">
        <f aca="false">-I6*Assumptions!I32/100</f>
        <v>-708.282115859176</v>
      </c>
      <c r="J17" s="4" t="n">
        <f aca="false">-J6*Assumptions!J32/100</f>
        <v>-703.475915787274</v>
      </c>
      <c r="K17" s="4" t="n">
        <f aca="false">-K6*Assumptions!K32/100</f>
        <v>-697.743889806785</v>
      </c>
      <c r="L17" s="4" t="n">
        <f aca="false">-L6*Assumptions!L32/100</f>
        <v>-687.680276011495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613.3697882136</v>
      </c>
      <c r="D19" s="0" t="n">
        <f aca="false">D15+D16+D17+D18</f>
        <v>658.055513718999</v>
      </c>
      <c r="E19" s="0" t="n">
        <f aca="false">E15+E16+E17+E18</f>
        <v>706.463686497342</v>
      </c>
      <c r="F19" s="0" t="n">
        <f aca="false">F15+F16+F17+F18</f>
        <v>754.432839243296</v>
      </c>
      <c r="G19" s="0" t="n">
        <f aca="false">G15+G16+G17+G18</f>
        <v>793.575897051345</v>
      </c>
      <c r="H19" s="0" t="n">
        <f aca="false">H15+H16+H17+H18</f>
        <v>838.671525386736</v>
      </c>
      <c r="I19" s="0" t="n">
        <f aca="false">I15+I16+I17+I18</f>
        <v>882.317150041716</v>
      </c>
      <c r="J19" s="0" t="n">
        <f aca="false">J15+J16+J17+J18</f>
        <v>943.178820425901</v>
      </c>
      <c r="K19" s="0" t="n">
        <f aca="false">K15+K16+K17+K18</f>
        <v>999.741758010338</v>
      </c>
      <c r="L19" s="0" t="n">
        <f aca="false">L15+L16+L17+L18</f>
        <v>1054.44308988429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562.724576342752</v>
      </c>
      <c r="D21" s="0" t="n">
        <f aca="false">D19*D20</f>
        <v>553.87216035603</v>
      </c>
      <c r="E21" s="0" t="n">
        <f aca="false">E19*E20</f>
        <v>545.519587976286</v>
      </c>
      <c r="F21" s="0" t="n">
        <f aca="false">F19*F20</f>
        <v>534.459243375447</v>
      </c>
      <c r="G21" s="0" t="n">
        <f aca="false">G19*G20</f>
        <v>515.769882903533</v>
      </c>
      <c r="H21" s="0" t="n">
        <f aca="false">H19*H20</f>
        <v>500.072428572064</v>
      </c>
      <c r="I21" s="0" t="n">
        <f aca="false">I19*I20</f>
        <v>482.657695885378</v>
      </c>
      <c r="J21" s="0" t="n">
        <f aca="false">J19*J20</f>
        <v>473.349645673297</v>
      </c>
      <c r="K21" s="0" t="n">
        <f aca="false">K19*K20</f>
        <v>460.308877730423</v>
      </c>
      <c r="L21" s="0" t="n">
        <f aca="false">L19*L20</f>
        <v>445.408156423607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5074.14225523882</v>
      </c>
    </row>
    <row r="31" customFormat="false" ht="15" hidden="false" customHeight="false" outlineLevel="0" collapsed="false">
      <c r="A31" s="0" t="s">
        <v>137</v>
      </c>
      <c r="B31" s="0" t="n">
        <f aca="false">L19</f>
        <v>1054.44308988429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16627.7564174061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15816.6463482644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15816.6463482644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6681.12234635411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11755.2646015929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11755.2646015929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150.131093251506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-0.101226692699317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425.488583449698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458.07026120488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161.415369683876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8646.43333705119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76.7057272795306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7.5</v>
      </c>
      <c r="D5" s="4" t="n">
        <f aca="false">Assumptions!D41</f>
        <v>7.5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5994.318</v>
      </c>
      <c r="C6" s="0" t="n">
        <f aca="false">B6*(1+C5/100)</f>
        <v>6443.89185</v>
      </c>
      <c r="D6" s="0" t="n">
        <f aca="false">C6*(1+D5/100)</f>
        <v>6927.18373875</v>
      </c>
      <c r="E6" s="0" t="n">
        <f aca="false">D6*(1+E5/100)</f>
        <v>7412.0866004625</v>
      </c>
      <c r="F6" s="0" t="n">
        <f aca="false">E6*(1+F5/100)</f>
        <v>7893.87222949256</v>
      </c>
      <c r="G6" s="0" t="n">
        <f aca="false">F6*(1+G5/100)</f>
        <v>8367.50456326212</v>
      </c>
      <c r="H6" s="0" t="n">
        <f aca="false">G6*(1+H5/100)</f>
        <v>8827.71731424153</v>
      </c>
      <c r="I6" s="0" t="n">
        <f aca="false">H6*(1+I5/100)</f>
        <v>9269.10317995361</v>
      </c>
      <c r="J6" s="0" t="n">
        <f aca="false">I6*(1+J5/100)</f>
        <v>9686.21282305152</v>
      </c>
      <c r="K6" s="0" t="n">
        <f aca="false">J6*(1+K5/100)</f>
        <v>10073.6613359736</v>
      </c>
      <c r="L6" s="0" t="n">
        <f aca="false">K6*(1+L5/100)</f>
        <v>10426.2394827327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24.25</v>
      </c>
      <c r="D7" s="4" t="n">
        <f aca="false">Assumptions!D42</f>
        <v>24.5</v>
      </c>
      <c r="E7" s="4" t="n">
        <f aca="false">Assumptions!E42</f>
        <v>24.8</v>
      </c>
      <c r="F7" s="4" t="n">
        <f aca="false">Assumptions!F42</f>
        <v>25.1</v>
      </c>
      <c r="G7" s="4" t="n">
        <f aca="false">Assumptions!G42</f>
        <v>25.4</v>
      </c>
      <c r="H7" s="4" t="n">
        <f aca="false">Assumptions!H42</f>
        <v>25.6</v>
      </c>
      <c r="I7" s="4" t="n">
        <f aca="false">Assumptions!I42</f>
        <v>25.8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1562.643773625</v>
      </c>
      <c r="D8" s="0" t="n">
        <f aca="false">D6*D7/100</f>
        <v>1697.16001599375</v>
      </c>
      <c r="E8" s="0" t="n">
        <f aca="false">E6*E7/100</f>
        <v>1838.1974769147</v>
      </c>
      <c r="F8" s="0" t="n">
        <f aca="false">F6*F7/100</f>
        <v>1981.36192960263</v>
      </c>
      <c r="G8" s="0" t="n">
        <f aca="false">G6*G7/100</f>
        <v>2125.34615906858</v>
      </c>
      <c r="H8" s="0" t="n">
        <f aca="false">H6*H7/100</f>
        <v>2259.89563244583</v>
      </c>
      <c r="I8" s="0" t="n">
        <f aca="false">I6*I7/100</f>
        <v>2391.42862042803</v>
      </c>
      <c r="J8" s="0" t="n">
        <f aca="false">J6*J7/100</f>
        <v>2518.4153339934</v>
      </c>
      <c r="K8" s="0" t="n">
        <f aca="false">K6*K7/100</f>
        <v>2619.15194735313</v>
      </c>
      <c r="L8" s="0" t="n">
        <f aca="false">L6*L7/100</f>
        <v>2710.82226551049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0.95</v>
      </c>
      <c r="D9" s="4" t="n">
        <f aca="false">Assumptions!D43</f>
        <v>0.93</v>
      </c>
      <c r="E9" s="4" t="n">
        <f aca="false">Assumptions!E43</f>
        <v>0.91</v>
      </c>
      <c r="F9" s="4" t="n">
        <f aca="false">Assumptions!F43</f>
        <v>0.89</v>
      </c>
      <c r="G9" s="4" t="n">
        <f aca="false">Assumptions!G43</f>
        <v>0.87</v>
      </c>
      <c r="H9" s="4" t="n">
        <f aca="false">Assumptions!H43</f>
        <v>0.85</v>
      </c>
      <c r="I9" s="4" t="n">
        <f aca="false">Assumptions!I43</f>
        <v>0.82</v>
      </c>
      <c r="J9" s="4" t="n">
        <f aca="false">Assumptions!J43</f>
        <v>0.8</v>
      </c>
      <c r="K9" s="4" t="n">
        <f aca="false">Assumptions!K43</f>
        <v>0.78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-61.216972575</v>
      </c>
      <c r="D10" s="0" t="n">
        <f aca="false">-D6*D9/100</f>
        <v>-64.422808770375</v>
      </c>
      <c r="E10" s="0" t="n">
        <f aca="false">-E6*E9/100</f>
        <v>-67.4499880642088</v>
      </c>
      <c r="F10" s="0" t="n">
        <f aca="false">-F6*F9/100</f>
        <v>-70.2554628424838</v>
      </c>
      <c r="G10" s="0" t="n">
        <f aca="false">-G6*G9/100</f>
        <v>-72.7972897003804</v>
      </c>
      <c r="H10" s="0" t="n">
        <f aca="false">-H6*H9/100</f>
        <v>-75.035597171053</v>
      </c>
      <c r="I10" s="0" t="n">
        <f aca="false">-I6*I9/100</f>
        <v>-76.0066460756196</v>
      </c>
      <c r="J10" s="0" t="n">
        <f aca="false">-J6*J9/100</f>
        <v>-77.4897025844122</v>
      </c>
      <c r="K10" s="0" t="n">
        <f aca="false">-K6*K9/100</f>
        <v>-78.574558420594</v>
      </c>
      <c r="L10" s="0" t="n">
        <f aca="false">-L6*L9/100</f>
        <v>-78.1967961204949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1501.42680105</v>
      </c>
      <c r="D11" s="0" t="n">
        <f aca="false">D8+D10+D24</f>
        <v>1632.73720722338</v>
      </c>
      <c r="E11" s="0" t="n">
        <f aca="false">E8+E10+E24</f>
        <v>1770.74748885049</v>
      </c>
      <c r="F11" s="0" t="n">
        <f aca="false">F8+F10+F24</f>
        <v>1911.10646676015</v>
      </c>
      <c r="G11" s="0" t="n">
        <f aca="false">G8+G10+G24</f>
        <v>2052.5488693682</v>
      </c>
      <c r="H11" s="0" t="n">
        <f aca="false">H8+H10+H24</f>
        <v>2184.86003527478</v>
      </c>
      <c r="I11" s="0" t="n">
        <f aca="false">I8+I10+I24</f>
        <v>2315.42197435241</v>
      </c>
      <c r="J11" s="0" t="n">
        <f aca="false">J8+J10+J24</f>
        <v>2440.92563140898</v>
      </c>
      <c r="K11" s="0" t="n">
        <f aca="false">K8+K10+K24</f>
        <v>2540.57738893254</v>
      </c>
      <c r="L11" s="0" t="n">
        <f aca="false">L8+L10+L24</f>
        <v>2632.62546939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1501.42680105</v>
      </c>
      <c r="D13" s="0" t="n">
        <f aca="false">D11+D12</f>
        <v>1632.73720722338</v>
      </c>
      <c r="E13" s="0" t="n">
        <f aca="false">E11+E12</f>
        <v>1770.74748885049</v>
      </c>
      <c r="F13" s="0" t="n">
        <f aca="false">F11+F12</f>
        <v>1911.10646676015</v>
      </c>
      <c r="G13" s="0" t="n">
        <f aca="false">G11+G12</f>
        <v>2052.5488693682</v>
      </c>
      <c r="H13" s="0" t="n">
        <f aca="false">H11+H12</f>
        <v>2184.86003527478</v>
      </c>
      <c r="I13" s="0" t="n">
        <f aca="false">I11+I12</f>
        <v>2315.42197435241</v>
      </c>
      <c r="J13" s="0" t="n">
        <f aca="false">J11+J12</f>
        <v>2440.92563140898</v>
      </c>
      <c r="K13" s="0" t="n">
        <f aca="false">K11+K12</f>
        <v>2540.57738893254</v>
      </c>
      <c r="L13" s="0" t="n">
        <f aca="false">L11+L12</f>
        <v>2632.62546939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14</v>
      </c>
      <c r="D14" s="4" t="n">
        <f aca="false">Assumptions!D47</f>
        <v>15</v>
      </c>
      <c r="E14" s="4" t="n">
        <f aca="false">Assumptions!E47</f>
        <v>16</v>
      </c>
      <c r="F14" s="4" t="n">
        <f aca="false">Assumptions!F47</f>
        <v>17</v>
      </c>
      <c r="G14" s="4" t="n">
        <f aca="false">Assumptions!G47</f>
        <v>18</v>
      </c>
      <c r="H14" s="4" t="n">
        <f aca="false">Assumptions!H47</f>
        <v>19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1291.227048903</v>
      </c>
      <c r="D15" s="0" t="n">
        <f aca="false">D13-MAX(0,D13)*D14/100</f>
        <v>1387.82662613987</v>
      </c>
      <c r="E15" s="0" t="n">
        <f aca="false">E13-MAX(0,E13)*E14/100</f>
        <v>1487.42789063441</v>
      </c>
      <c r="F15" s="0" t="n">
        <f aca="false">F13-MAX(0,F13)*F14/100</f>
        <v>1586.21836741092</v>
      </c>
      <c r="G15" s="0" t="n">
        <f aca="false">G13-MAX(0,G13)*G14/100</f>
        <v>1683.09007288192</v>
      </c>
      <c r="H15" s="0" t="n">
        <f aca="false">H13-MAX(0,H13)*H14/100</f>
        <v>1769.73662857257</v>
      </c>
      <c r="I15" s="0" t="n">
        <f aca="false">I13-MAX(0,I13)*I14/100</f>
        <v>1852.33757948193</v>
      </c>
      <c r="J15" s="0" t="n">
        <f aca="false">J13-MAX(0,J13)*J14/100</f>
        <v>1952.74050512719</v>
      </c>
      <c r="K15" s="0" t="n">
        <f aca="false">K13-MAX(0,K13)*K14/100</f>
        <v>2032.46191114603</v>
      </c>
      <c r="L15" s="0" t="n">
        <f aca="false">L13-MAX(0,L13)*L14/100</f>
        <v>2106.100375512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-612.16972575</v>
      </c>
      <c r="D17" s="4" t="n">
        <f aca="false">-D6*Assumptions!D46/100</f>
        <v>-637.300903965</v>
      </c>
      <c r="E17" s="4" t="n">
        <f aca="false">-E6*Assumptions!E46/100</f>
        <v>-659.675707441163</v>
      </c>
      <c r="F17" s="4" t="n">
        <f aca="false">-F6*Assumptions!F46/100</f>
        <v>-678.87301173636</v>
      </c>
      <c r="G17" s="4" t="n">
        <f aca="false">-G6*Assumptions!G46/100</f>
        <v>-694.502878750756</v>
      </c>
      <c r="H17" s="4" t="n">
        <f aca="false">-H6*Assumptions!H46/100</f>
        <v>-706.217385139323</v>
      </c>
      <c r="I17" s="4" t="n">
        <f aca="false">-I6*Assumptions!I46/100</f>
        <v>-704.451841676474</v>
      </c>
      <c r="J17" s="4" t="n">
        <f aca="false">-J6*Assumptions!J46/100</f>
        <v>-697.40732325971</v>
      </c>
      <c r="K17" s="4" t="n">
        <f aca="false">-K6*Assumptions!K46/100</f>
        <v>-685.008970846204</v>
      </c>
      <c r="L17" s="4" t="n">
        <f aca="false">-L6*Assumptions!L46/100</f>
        <v>-677.705566377623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679.057323153</v>
      </c>
      <c r="D19" s="0" t="n">
        <f aca="false">D15+D16+D17+D18</f>
        <v>750.525722174869</v>
      </c>
      <c r="E19" s="0" t="n">
        <f aca="false">E15+E16+E17+E18</f>
        <v>827.75218319325</v>
      </c>
      <c r="F19" s="0" t="n">
        <f aca="false">F15+F16+F17+F18</f>
        <v>907.345355674564</v>
      </c>
      <c r="G19" s="0" t="n">
        <f aca="false">G15+G16+G17+G18</f>
        <v>988.587194131166</v>
      </c>
      <c r="H19" s="0" t="n">
        <f aca="false">H15+H16+H17+H18</f>
        <v>1063.51924343325</v>
      </c>
      <c r="I19" s="0" t="n">
        <f aca="false">I15+I16+I17+I18</f>
        <v>1147.88573780545</v>
      </c>
      <c r="J19" s="0" t="n">
        <f aca="false">J15+J16+J17+J18</f>
        <v>1255.33318186748</v>
      </c>
      <c r="K19" s="0" t="n">
        <f aca="false">K15+K16+K17+K18</f>
        <v>1347.45294029983</v>
      </c>
      <c r="L19" s="0" t="n">
        <f aca="false">L15+L16+L17+L18</f>
        <v>1428.39480913437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622.988369865138</v>
      </c>
      <c r="D21" s="0" t="n">
        <f aca="false">D19*D20</f>
        <v>631.702484786524</v>
      </c>
      <c r="E21" s="0" t="n">
        <f aca="false">E19*E20</f>
        <v>639.176561446308</v>
      </c>
      <c r="F21" s="0" t="n">
        <f aca="false">F19*F20</f>
        <v>642.786325102779</v>
      </c>
      <c r="G21" s="0" t="n">
        <f aca="false">G19*G20</f>
        <v>642.51384555846</v>
      </c>
      <c r="H21" s="0" t="n">
        <f aca="false">H19*H20</f>
        <v>634.141776366549</v>
      </c>
      <c r="I21" s="0" t="n">
        <f aca="false">I19*I20</f>
        <v>627.932807746821</v>
      </c>
      <c r="J21" s="0" t="n">
        <f aca="false">J19*J20</f>
        <v>630.009393733609</v>
      </c>
      <c r="K21" s="0" t="n">
        <f aca="false">K19*K20</f>
        <v>620.40476530496</v>
      </c>
      <c r="L21" s="0" t="n">
        <f aca="false">L19*L20</f>
        <v>603.369403892064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6295.02573380321</v>
      </c>
    </row>
    <row r="31" customFormat="false" ht="15" hidden="false" customHeight="false" outlineLevel="0" collapsed="false">
      <c r="A31" s="0" t="s">
        <v>137</v>
      </c>
      <c r="B31" s="0" t="n">
        <f aca="false">L19</f>
        <v>1428.39480913437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24520.7775568068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22854.31694615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22854.31694615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9653.91046227303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15948.9361960762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15948.9361960762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203.690117446695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0.219409228009431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453.971563572502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567.035114971557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216.729794056453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12260.3887784034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99.3730638907197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79.0355500269713</v>
      </c>
      <c r="C4" s="0" t="n">
        <f aca="false">B4/Assumptions!$B$2-1</f>
        <v>-0.526846563535852</v>
      </c>
      <c r="D4" s="4" t="n">
        <f aca="false">Assumptions!$B$24</f>
        <v>0.25</v>
      </c>
      <c r="E4" s="4" t="n">
        <f aca="false">DCF_Bear!$B$43</f>
        <v>90.2855300475585</v>
      </c>
      <c r="F4" s="4" t="n">
        <f aca="false">DCF_Bear!$B$47</f>
        <v>47.1747300589372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150.131093251506</v>
      </c>
      <c r="C5" s="0" t="n">
        <f aca="false">B5/Assumptions!$B$2-1</f>
        <v>-0.101226692699317</v>
      </c>
      <c r="D5" s="4" t="n">
        <f aca="false">Assumptions!$B$38</f>
        <v>0.5</v>
      </c>
      <c r="E5" s="4" t="n">
        <f aca="false">DCF_Base!$B$43</f>
        <v>161.415369683876</v>
      </c>
      <c r="F5" s="4" t="n">
        <f aca="false">DCF_Base!$B$47</f>
        <v>76.7057272795306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203.690117446695</v>
      </c>
      <c r="C6" s="0" t="n">
        <f aca="false">B6/Assumptions!$B$2-1</f>
        <v>0.219409228009431</v>
      </c>
      <c r="D6" s="4" t="n">
        <f aca="false">Assumptions!$B$52</f>
        <v>0.25</v>
      </c>
      <c r="E6" s="4" t="n">
        <f aca="false">DCF_Bull!$B$43</f>
        <v>216.729794056453</v>
      </c>
      <c r="F6" s="4" t="n">
        <f aca="false">DCF_Bull!$B$47</f>
        <v>99.3730638907197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145.74696349417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157.461515867941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-0.146095918538173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181.765686186226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74.9898121271795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150.131093251506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132.73210904918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116.144543144636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103.101751347058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76.7057272795306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174.246538389658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174.246538389658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174.246538389658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174.246538389658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174.246538389658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161.623855412273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161.623855412273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161.623855412273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161.623855412273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161.623855412273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141.787986021775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147.693172307753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150.131093251506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150.131093251506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150.131093251506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123.77336709382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127.972777385395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132.73210904918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138.171345236363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139.654773287413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109.625076871642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112.703713722778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116.144543144636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120.015476244226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124.402533757094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2026-09-28T08:49:33Z</dcterms:created>
  <dc:creator>openpyxl</dc:creator>
  <dc:description/>
  <dc:language>en-NZ</dc:language>
  <cp:lastModifiedBy/>
  <dcterms:modified xsi:type="dcterms:W3CDTF">2026-09-28T08:49:33Z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