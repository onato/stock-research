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<sst xmlns="http://schemas.openxmlformats.org/spreadsheetml/2006/main" count="354" uniqueCount="164">
  <si>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</si>
  <si>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2038.HK</t>
  </si>
  <si>
    <t xml:space="preserve">Company</t>
  </si>
  <si>
    <t xml:space="preserve">FIH Mobile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</si>
  <si>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</si>
  <si>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</si>
  <si>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</si>
  <si>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</si>
  <si>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regular-session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</si>
  <si>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</si>
  <si>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</si>
  <si>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</si>
  <si>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</si>
  <si>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</si>
  <si>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</si>
  <si>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</si>
  <si>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</si>
  <si>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</si>
  <si>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</si>
  <si>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</si>
  <si>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</si>
  <si>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</si>
  <si>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2026-10-17T02:07:23Z</t>
  </si>
  <si>
    <t xml:space="preserve">Drivers file</t>
  </si>
  <si>
    <t xml:space="preserve">2038.HK_Drivers.json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</si>
  <si>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</si>
  <si>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</si>
  <si>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</si>
  <si>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low-margin contract manufacturer whose market value is roughly its net cash. The DCF values the operating business conservatively at mid-cycle EMS margins and a 10x terminal cap (cyclical), so most of the intrinsic value is the balance sheet; upside depends on whether the market will ever credit cash held by a Hon Hai-controlled subsidiary with China/India operations.
key_risks_to_valuation: Net cash is ~US$1.0-1.2bn but ~US$450m of it is negative-working-capital float (payables and customer prepayments) that unwinds if the business shrinks; the going-concern model credits it in full.; Cash is spread across China, India, Vietnam and Mexico; the interim report warns a 'significant amount of dividend withholding tax' arises on repatriation, so distributable cash is less than reported.; Customer concentration: top five = 86.8% of FY2025 revenue; Hon Hai related-party revenue 19-25% and governance is controlled by Hon Hai (minority shareholders have limited say over capital allocation).; Thin margins: a 1pp change in operating EBITDA margin moves FCF by ~US$70m a year, larger than the entire base-case year-1 owner FCF.; Year-end working-capital swings make reported FCF unreliable year to year (FY2024 +237, FY2025 -79, H1 FY2026 -261).; No numeric guidance; 2H 2026 outlook stresses memory shortages, weak handset demand and restructuring costs.</t>
  </si>
  <si>
    <t xml:space="preserve">Data sources</t>
  </si>
  <si>
    <t xml:space="preserve">price: Yahoo Finance chart API at inputs.price_as_of; 52-week range HK$11.79-31.46
fx: Yahoo Finance HKD=X chart API, 2026-10-17
financials: 2038.HK_Metrics.csv (core_metrics) and kpis; FY2025 Annual Report (income statement, balance sheet, note 6 other income); H1 FY2026 Interim Report (balance sheet, cash flow, EPS note, outlook)
qualitative: 2038.HK_Analysis.json (note: file currently fails JSON parsing at line 40 because of unescaped double quotes inside growth_drivers strings; read as text)</t>
  </si>
  <si>
    <t xml:space="preserve">Scenario narrative: bear</t>
  </si>
  <si>
    <t xml:space="preserve">Top-five customers are 86.8% of revenue and Hon Hai itself ~19-25%; losing one handset programme while memory shortages crush 2026 smartphone units takes revenue down ~11% over two years. Automotive stays sub-scale, margins fall back toward the FY2022-23 trough (operating EBITDA ~1%-2%), tax is paid regardless, and the operating business is worth little beyond its cash.</t>
  </si>
  <si>
    <t xml:space="preserve">Scenario narrative: base</t>
  </si>
  <si>
    <t xml:space="preserve">Handset volumes are flat-to-down industry-wide in 2026, but FIH's exit from unprofitable China ODM and India low-tier lines plus growth in automotive electronics carries revenue +6% in FY2026 (H1 was +10.1%) and decelerating thereafter. Operating EBITDA margin rebuilds from 2.8% to 3.4% by FY2030 as mix shifts, which is mid-cycle for FIH, not peak. The equity is mostly net cash: of a ~US$1.9bn base-case equity value roughly US$1.3bn is cash and investments.</t>
  </si>
  <si>
    <t xml:space="preserve">Scenario narrative: bull</t>
  </si>
  <si>
    <t xml:space="preserve">The diversification works: the lead automotive customer (revenue ~4x in FY2025, double-digit growth again in H1 FY2026) and newly certified OEMs scale, Mexico capacity fills with nearshored medical and automotive programmes, and equipment/robotics becomes a real segment. Revenue compounds ~7% for five years and margin reaches 4.3%, in line with stronger EMS peers.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</si>
  <si>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</si>
  <si>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</si>
  <si>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</si>
  <si>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</si>
  <si>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</si>
  <si>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</si>
  <si>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</si>
  <si>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</si>
  <si>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</si>
  <si>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</si>
  <si>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</si>
  <si>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</si>
  <si>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</si>
  <si>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</si>
  <si>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</si>
  <si>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</si>
  <si>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</si>
  <si>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</si>
  <si>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</si>
  <si>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</si>
  <si>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</si>
  <si>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</si>
  <si>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</si>
  <si>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</si>
  <si>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</si>
  <si>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</si>
  <si>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</si>
  <si>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ResearchAndDevelopment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</si>
  <si>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</si>
  <si>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</si>
  <si>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</si>
  <si>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</si>
  <si>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</si>
  <si>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</si>
  <si>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</si>
  <si>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</si>
  <si>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</si>
  <si>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</si>
  <si>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</si>
  <si>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</si>
  <si>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</si>
  <si>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</si>
  <si>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</si>
  <si>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</si>
  <si>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</si>
  <si>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</si>
  <si>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</si>
  <si>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</si>
  <si>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</si>
  <si>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</si>
  <si>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</si>
  <si>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</si>
  <si>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</si>
  <si>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</si>
  <si>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</si>
  <si>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</si>
  <si>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</si>
  <si>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</si>
  <si>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</si>
  <si>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</si>
  <si>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</si>
  <si>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</si>
  <si>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</si>
  <si>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</si>
  <si>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</si>
  <si>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</si>
  <si>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</si>
  <si>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</si>
  <si>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</si>
  <si>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</si>
  <si>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</si>
  <si>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</si>
  <si>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</si>
  <si>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2038.HK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</si>
  <si>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</si>
  <si>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</si>
  <si>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</si>
  <si>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</si>
  <si>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</si>
  <si>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</si>
  <si>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</si>
  <si>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</si>
  <si>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</si>
  <si>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</si>
  <si>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</si>
  <si>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</si>
  <si>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</si>
  <si>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</si>
  <si>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</si>
  <si>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</si>
  <si>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</si>
  <si>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</si>
  <si>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</si>
  <si>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</si>
  <si>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</si>
  <si>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</si>
  <si>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</si>
  <si>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</si>
  <si>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</si>
  <si>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</si>
  <si>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</si>
  <si>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</si>
  <si>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</si>
  <si>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</si>
  <si>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2038.HK owner-FCF component DCF: base case (millions, USD)</t>
  </si>
  <si>
    <t xml:space="preserve">2038.HK owner-FCF component DCF: bull case (millions, USD)</t>
  </si>
  <si>
    <t xml:space="preserve">2038.HK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</si>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</sst>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14929.903</v>
      </c>
      <c r="C2" s="0" t="n">
        <v>-15013.909</v>
      </c>
      <c r="D2" s="0" t="n">
        <v>-84.006</v>
      </c>
      <c r="E2" s="0" t="n">
        <v>-0.6</v>
      </c>
      <c r="F2" s="0" t="n">
        <v>-812.396</v>
      </c>
      <c r="G2" s="0" t="n">
        <v>-5.4</v>
      </c>
      <c r="H2" s="0" t="n">
        <v>-632.923</v>
      </c>
      <c r="I2" s="0" t="n">
        <v>-857.121</v>
      </c>
      <c r="J2" s="0" t="n">
        <v>-5.7</v>
      </c>
      <c r="K2" s="0" t="n">
        <v>-1.057</v>
      </c>
      <c r="L2" s="0" t="n">
        <v>-814.13</v>
      </c>
      <c r="M2" s="0" t="n">
        <v>276.993</v>
      </c>
      <c r="N2" s="0" t="n">
        <v>-1091.123</v>
      </c>
      <c r="O2" s="0" t="n">
        <v>2144.342</v>
      </c>
      <c r="P2" s="0" t="n">
        <v>8904.363</v>
      </c>
      <c r="Q2" s="0" t="n">
        <v>6754.082</v>
      </c>
      <c r="R2" s="0" t="n">
        <v>1427.217</v>
      </c>
      <c r="S2" s="0" t="n">
        <v>1418.569</v>
      </c>
      <c r="T2" s="0" t="n">
        <v>810.901</v>
      </c>
      <c r="U2" s="0" t="n">
        <v>15.632</v>
      </c>
      <c r="X2" s="0" t="n">
        <v>14868.132</v>
      </c>
      <c r="AA2" s="0" t="s">
        <v>18</v>
      </c>
      <c r="AB2" s="0" t="s">
        <v>14</v>
      </c>
      <c r="AC2" s="0" t="n">
        <v>214.726</v>
      </c>
    </row>
    <row r="3" customFormat="false" ht="15" hidden="false" customHeight="false" outlineLevel="0" collapsed="false">
      <c r="A3" s="0" t="s">
        <v>66</v>
      </c>
      <c r="B3" s="0" t="n">
        <v>14378.658</v>
      </c>
      <c r="C3" s="0" t="n">
        <v>-14125.379</v>
      </c>
      <c r="D3" s="0" t="n">
        <v>253.279</v>
      </c>
      <c r="E3" s="0" t="n">
        <v>1.8</v>
      </c>
      <c r="F3" s="0" t="n">
        <v>32.961</v>
      </c>
      <c r="G3" s="0" t="n">
        <v>0.2</v>
      </c>
      <c r="H3" s="0" t="n">
        <v>228.33</v>
      </c>
      <c r="I3" s="0" t="n">
        <v>-12.293</v>
      </c>
      <c r="J3" s="0" t="n">
        <v>-0.1</v>
      </c>
      <c r="K3" s="0" t="n">
        <v>-0.015</v>
      </c>
      <c r="L3" s="0" t="n">
        <v>-455.035</v>
      </c>
      <c r="M3" s="0" t="n">
        <v>210.145</v>
      </c>
      <c r="N3" s="0" t="n">
        <v>-665.18</v>
      </c>
      <c r="O3" s="0" t="n">
        <v>2094.486</v>
      </c>
      <c r="P3" s="0" t="n">
        <v>7002.521</v>
      </c>
      <c r="Q3" s="0" t="n">
        <v>4901.921</v>
      </c>
      <c r="R3" s="0" t="n">
        <v>631.715</v>
      </c>
      <c r="S3" s="0" t="n">
        <v>1545.269</v>
      </c>
      <c r="T3" s="0" t="n">
        <v>821.25</v>
      </c>
      <c r="U3" s="0" t="n">
        <v>0</v>
      </c>
      <c r="X3" s="0" t="n">
        <v>14378.658</v>
      </c>
      <c r="AA3" s="0" t="s">
        <v>18</v>
      </c>
      <c r="AB3" s="0" t="s">
        <v>14</v>
      </c>
      <c r="AC3" s="0" t="n">
        <v>157.627</v>
      </c>
    </row>
    <row r="4" customFormat="false" ht="15" hidden="false" customHeight="false" outlineLevel="0" collapsed="false">
      <c r="A4" s="0" t="s">
        <v>67</v>
      </c>
      <c r="B4" s="0" t="n">
        <v>8934.746</v>
      </c>
      <c r="C4" s="0" t="n">
        <v>-8839.541</v>
      </c>
      <c r="D4" s="0" t="n">
        <v>95.205</v>
      </c>
      <c r="E4" s="0" t="n">
        <v>1.1</v>
      </c>
      <c r="F4" s="0" t="n">
        <v>-136.793</v>
      </c>
      <c r="G4" s="0" t="n">
        <v>-1.5</v>
      </c>
      <c r="H4" s="0" t="n">
        <v>59.485</v>
      </c>
      <c r="I4" s="0" t="n">
        <v>-173.939</v>
      </c>
      <c r="J4" s="0" t="n">
        <v>-1.9</v>
      </c>
      <c r="K4" s="0" t="n">
        <v>-0.2134</v>
      </c>
      <c r="L4" s="0" t="n">
        <v>-88.908</v>
      </c>
      <c r="M4" s="0" t="n">
        <v>101.735</v>
      </c>
      <c r="N4" s="0" t="n">
        <v>-190.643</v>
      </c>
      <c r="O4" s="0" t="n">
        <v>2075.432</v>
      </c>
      <c r="P4" s="0" t="n">
        <v>6032.074</v>
      </c>
      <c r="Q4" s="0" t="n">
        <v>3950.006</v>
      </c>
      <c r="R4" s="0" t="n">
        <v>953.279</v>
      </c>
      <c r="S4" s="0" t="n">
        <v>1779.332</v>
      </c>
      <c r="T4" s="0" t="n">
        <v>814.92</v>
      </c>
      <c r="U4" s="0" t="n">
        <v>0</v>
      </c>
      <c r="AA4" s="0" t="s">
        <v>18</v>
      </c>
      <c r="AB4" s="0" t="s">
        <v>14</v>
      </c>
      <c r="AC4" s="0" t="n">
        <v>172.412</v>
      </c>
    </row>
    <row r="5" customFormat="false" ht="15" hidden="false" customHeight="false" outlineLevel="0" collapsed="false">
      <c r="A5" s="0" t="s">
        <v>68</v>
      </c>
      <c r="B5" s="0" t="n">
        <v>8582.559</v>
      </c>
      <c r="C5" s="0" t="n">
        <v>-8358.154</v>
      </c>
      <c r="D5" s="0" t="n">
        <v>224.405</v>
      </c>
      <c r="E5" s="0" t="n">
        <v>2.6</v>
      </c>
      <c r="F5" s="0" t="n">
        <v>79.035</v>
      </c>
      <c r="G5" s="0" t="n">
        <v>0.9</v>
      </c>
      <c r="H5" s="0" t="n">
        <v>268.395</v>
      </c>
      <c r="I5" s="0" t="n">
        <v>56.328</v>
      </c>
      <c r="J5" s="0" t="n">
        <v>0.7</v>
      </c>
      <c r="K5" s="0" t="n">
        <v>0.07</v>
      </c>
      <c r="L5" s="0" t="n">
        <v>281.308</v>
      </c>
      <c r="M5" s="0" t="n">
        <v>118.801</v>
      </c>
      <c r="N5" s="0" t="n">
        <v>162.507</v>
      </c>
      <c r="O5" s="0" t="n">
        <v>2159.96</v>
      </c>
      <c r="P5" s="0" t="n">
        <v>5979.691</v>
      </c>
      <c r="Q5" s="0" t="n">
        <v>3812.422</v>
      </c>
      <c r="R5" s="0" t="n">
        <v>880.666</v>
      </c>
      <c r="S5" s="0" t="n">
        <v>1884.719</v>
      </c>
      <c r="T5" s="0" t="n">
        <v>804.748</v>
      </c>
      <c r="U5" s="0" t="n">
        <v>1.002</v>
      </c>
      <c r="AA5" s="0" t="s">
        <v>18</v>
      </c>
      <c r="AB5" s="0" t="s">
        <v>14</v>
      </c>
      <c r="AC5" s="0" t="n">
        <v>106.362</v>
      </c>
    </row>
    <row r="6" customFormat="false" ht="15" hidden="false" customHeight="false" outlineLevel="0" collapsed="false">
      <c r="A6" s="0" t="s">
        <v>69</v>
      </c>
      <c r="B6" s="0" t="n">
        <v>9394.319</v>
      </c>
      <c r="C6" s="0" t="n">
        <v>-9202.363</v>
      </c>
      <c r="D6" s="0" t="n">
        <v>191.956</v>
      </c>
      <c r="E6" s="0" t="n">
        <v>2</v>
      </c>
      <c r="F6" s="0" t="n">
        <v>-30.106</v>
      </c>
      <c r="G6" s="0" t="n">
        <v>-0.3</v>
      </c>
      <c r="H6" s="0" t="n">
        <v>135.325</v>
      </c>
      <c r="I6" s="0" t="n">
        <v>-72.107</v>
      </c>
      <c r="J6" s="0" t="n">
        <v>-0.8</v>
      </c>
      <c r="K6" s="0" t="n">
        <v>-0.0906</v>
      </c>
      <c r="L6" s="0" t="n">
        <v>409.414</v>
      </c>
      <c r="M6" s="0" t="n">
        <v>143.295</v>
      </c>
      <c r="N6" s="0" t="n">
        <v>266.119</v>
      </c>
      <c r="O6" s="0" t="n">
        <v>1781.653</v>
      </c>
      <c r="P6" s="0" t="n">
        <v>5510.29</v>
      </c>
      <c r="Q6" s="0" t="n">
        <v>3722.514</v>
      </c>
      <c r="R6" s="0" t="n">
        <v>679.815</v>
      </c>
      <c r="S6" s="0" t="n">
        <v>1825.109</v>
      </c>
      <c r="T6" s="0" t="n">
        <v>796.142</v>
      </c>
      <c r="U6" s="0" t="n">
        <v>10.2</v>
      </c>
      <c r="AA6" s="0" t="s">
        <v>18</v>
      </c>
      <c r="AB6" s="0" t="s">
        <v>14</v>
      </c>
      <c r="AC6" s="0" t="n">
        <v>74.452</v>
      </c>
    </row>
    <row r="7" customFormat="false" ht="15" hidden="false" customHeight="false" outlineLevel="0" collapsed="false">
      <c r="A7" s="0" t="s">
        <v>70</v>
      </c>
      <c r="B7" s="0" t="n">
        <v>6445.798</v>
      </c>
      <c r="C7" s="0" t="n">
        <v>-6335.982</v>
      </c>
      <c r="D7" s="0" t="n">
        <v>109.816</v>
      </c>
      <c r="E7" s="0" t="n">
        <v>1.7</v>
      </c>
      <c r="F7" s="0" t="n">
        <v>-39.304</v>
      </c>
      <c r="G7" s="0" t="n">
        <v>-0.6</v>
      </c>
      <c r="H7" s="0" t="n">
        <v>107.739</v>
      </c>
      <c r="I7" s="0" t="n">
        <v>-120.68</v>
      </c>
      <c r="J7" s="0" t="n">
        <v>-1.9</v>
      </c>
      <c r="K7" s="0" t="n">
        <v>-0.1525</v>
      </c>
      <c r="L7" s="0" t="n">
        <v>102.657</v>
      </c>
      <c r="M7" s="0" t="n">
        <v>93.174</v>
      </c>
      <c r="N7" s="0" t="n">
        <v>9.483</v>
      </c>
      <c r="O7" s="0" t="n">
        <v>1558.487</v>
      </c>
      <c r="P7" s="0" t="n">
        <v>4319.436</v>
      </c>
      <c r="Q7" s="0" t="n">
        <v>2758.064</v>
      </c>
      <c r="R7" s="0" t="n">
        <v>707.655</v>
      </c>
      <c r="S7" s="0" t="n">
        <v>1845.323</v>
      </c>
      <c r="T7" s="0" t="n">
        <v>791.453</v>
      </c>
      <c r="U7" s="0" t="n">
        <v>1.291</v>
      </c>
      <c r="AA7" s="0" t="s">
        <v>18</v>
      </c>
      <c r="AB7" s="0" t="s">
        <v>14</v>
      </c>
      <c r="AC7" s="0" t="n">
        <v>57.108</v>
      </c>
    </row>
    <row r="8" customFormat="false" ht="15" hidden="false" customHeight="false" outlineLevel="0" collapsed="false">
      <c r="A8" s="0" t="s">
        <v>71</v>
      </c>
      <c r="B8" s="0" t="n">
        <v>5702.949</v>
      </c>
      <c r="C8" s="0" t="n">
        <v>-5568.309</v>
      </c>
      <c r="D8" s="0" t="n">
        <v>134.64</v>
      </c>
      <c r="E8" s="0" t="n">
        <v>2.4</v>
      </c>
      <c r="F8" s="0" t="n">
        <v>63.127</v>
      </c>
      <c r="G8" s="0" t="n">
        <v>1.1</v>
      </c>
      <c r="H8" s="0" t="n">
        <v>199.625</v>
      </c>
      <c r="I8" s="0" t="n">
        <v>-20.331</v>
      </c>
      <c r="J8" s="0" t="n">
        <v>-0.4</v>
      </c>
      <c r="K8" s="0" t="n">
        <v>-0.0258</v>
      </c>
      <c r="L8" s="0" t="n">
        <v>362.236</v>
      </c>
      <c r="M8" s="0" t="n">
        <v>125.009</v>
      </c>
      <c r="N8" s="0" t="n">
        <v>237.227</v>
      </c>
      <c r="O8" s="0" t="n">
        <v>1460.812</v>
      </c>
      <c r="P8" s="0" t="n">
        <v>3822.023</v>
      </c>
      <c r="Q8" s="0" t="n">
        <v>2358.36</v>
      </c>
      <c r="R8" s="0" t="n">
        <v>346.001</v>
      </c>
      <c r="S8" s="0" t="n">
        <v>1516.241</v>
      </c>
      <c r="T8" s="0" t="n">
        <v>788.6</v>
      </c>
      <c r="U8" s="0" t="n">
        <v>0.526</v>
      </c>
      <c r="AA8" s="0" t="s">
        <v>18</v>
      </c>
      <c r="AB8" s="0" t="s">
        <v>14</v>
      </c>
      <c r="AC8" s="0" t="n">
        <v>49.965</v>
      </c>
    </row>
    <row r="9" customFormat="false" ht="15" hidden="false" customHeight="false" outlineLevel="0" collapsed="false">
      <c r="A9" s="0" t="s">
        <v>72</v>
      </c>
      <c r="B9" s="0" t="n">
        <v>6657.663</v>
      </c>
      <c r="C9" s="0" t="n">
        <v>-6452.434</v>
      </c>
      <c r="D9" s="0" t="n">
        <v>205.229</v>
      </c>
      <c r="E9" s="0" t="n">
        <v>3.1</v>
      </c>
      <c r="F9" s="0" t="n">
        <v>107.28</v>
      </c>
      <c r="G9" s="0" t="n">
        <v>1.6</v>
      </c>
      <c r="H9" s="0" t="n">
        <v>233.619</v>
      </c>
      <c r="I9" s="0" t="n">
        <v>52.727</v>
      </c>
      <c r="J9" s="0" t="n">
        <v>0.8</v>
      </c>
      <c r="K9" s="0" t="n">
        <v>0.0671</v>
      </c>
      <c r="L9" s="0" t="n">
        <v>107.818</v>
      </c>
      <c r="M9" s="0" t="n">
        <v>186.653</v>
      </c>
      <c r="N9" s="0" t="n">
        <v>-78.835</v>
      </c>
      <c r="O9" s="0" t="n">
        <v>1517.56</v>
      </c>
      <c r="P9" s="0" t="n">
        <v>3744.004</v>
      </c>
      <c r="Q9" s="0" t="n">
        <v>2222.057</v>
      </c>
      <c r="R9" s="0" t="n">
        <v>118.654</v>
      </c>
      <c r="S9" s="0" t="n">
        <v>1006.882</v>
      </c>
      <c r="T9" s="0" t="n">
        <v>791.08</v>
      </c>
      <c r="U9" s="0" t="n">
        <v>14.183</v>
      </c>
      <c r="AA9" s="0" t="s">
        <v>18</v>
      </c>
      <c r="AB9" s="0" t="s">
        <v>14</v>
      </c>
      <c r="AC9" s="0" t="n">
        <v>80.11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12.4</v>
      </c>
    </row>
    <row r="3" customFormat="false" ht="15" hidden="false" customHeight="false" outlineLevel="0" collapsed="false">
      <c r="A3" s="0" t="s">
        <v>76</v>
      </c>
      <c r="B3" s="3" t="n">
        <v>798.916</v>
      </c>
    </row>
    <row r="4" customFormat="false" ht="15" hidden="false" customHeight="false" outlineLevel="0" collapsed="false">
      <c r="A4" s="0" t="s">
        <v>77</v>
      </c>
      <c r="B4" s="3" t="n">
        <v>-991.598</v>
      </c>
    </row>
    <row r="5" customFormat="false" ht="15" hidden="false" customHeight="false" outlineLevel="0" collapsed="false">
      <c r="A5" s="0" t="s">
        <v>78</v>
      </c>
      <c r="B5" s="3" t="n">
        <v>312.162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6657.663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7.8479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-6</v>
      </c>
      <c r="D13" s="3" t="n">
        <v>-4</v>
      </c>
      <c r="E13" s="3" t="n">
        <v>-1</v>
      </c>
      <c r="F13" s="3" t="n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2.3</v>
      </c>
      <c r="D14" s="3" t="n">
        <v>2.2</v>
      </c>
      <c r="E14" s="3" t="n">
        <v>2.1</v>
      </c>
      <c r="F14" s="3" t="n">
        <v>2.1</v>
      </c>
      <c r="G14" s="3" t="n">
        <v>2.1</v>
      </c>
      <c r="H14" s="3" t="n">
        <v>2.1</v>
      </c>
      <c r="I14" s="3" t="n">
        <v>2.1</v>
      </c>
      <c r="J14" s="3" t="n">
        <v>2.1</v>
      </c>
      <c r="K14" s="3" t="n">
        <v>2.1</v>
      </c>
      <c r="L14" s="3" t="n">
        <v>2.1</v>
      </c>
    </row>
    <row r="15" customFormat="false" ht="15" hidden="false" customHeight="false" outlineLevel="0" collapsed="false">
      <c r="A15" s="0" t="s">
        <v>98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99</v>
      </c>
      <c r="C16" s="3" t="n">
        <v>0.08</v>
      </c>
      <c r="D16" s="3" t="n">
        <v>0.08</v>
      </c>
      <c r="E16" s="3" t="n">
        <v>0.08</v>
      </c>
      <c r="F16" s="3" t="n">
        <v>0.08</v>
      </c>
      <c r="G16" s="3" t="n">
        <v>0.08</v>
      </c>
      <c r="H16" s="3" t="n">
        <v>0.08</v>
      </c>
      <c r="I16" s="3" t="n">
        <v>0.08</v>
      </c>
      <c r="J16" s="3" t="n">
        <v>0.08</v>
      </c>
      <c r="K16" s="3" t="n">
        <v>0.08</v>
      </c>
      <c r="L16" s="3" t="n">
        <v>0.08</v>
      </c>
    </row>
    <row r="17" customFormat="false" ht="15" hidden="false" customHeight="false" outlineLevel="0" collapsed="false">
      <c r="A17" s="0" t="s">
        <v>100</v>
      </c>
      <c r="C17" s="3" t="n">
        <v>2.1</v>
      </c>
      <c r="D17" s="3" t="n">
        <v>2</v>
      </c>
      <c r="E17" s="3" t="n">
        <v>2</v>
      </c>
      <c r="F17" s="3" t="n">
        <v>1.9</v>
      </c>
      <c r="G17" s="3" t="n">
        <v>1.9</v>
      </c>
      <c r="H17" s="3" t="n">
        <v>1.8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101</v>
      </c>
      <c r="C18" s="3" t="n">
        <v>2</v>
      </c>
      <c r="D18" s="3" t="n">
        <v>1.8</v>
      </c>
      <c r="E18" s="3" t="n">
        <v>1.7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102</v>
      </c>
      <c r="C19" s="3" t="n">
        <v>35</v>
      </c>
      <c r="D19" s="3" t="n">
        <v>35</v>
      </c>
      <c r="E19" s="3" t="n">
        <v>35</v>
      </c>
      <c r="F19" s="3" t="n">
        <v>35</v>
      </c>
      <c r="G19" s="3" t="n">
        <v>35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3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3</v>
      </c>
      <c r="D28" s="3" t="n">
        <v>3.1</v>
      </c>
      <c r="E28" s="3" t="n">
        <v>3.2</v>
      </c>
      <c r="F28" s="3" t="n">
        <v>3.3</v>
      </c>
      <c r="G28" s="3" t="n">
        <v>3.4</v>
      </c>
      <c r="H28" s="3" t="n">
        <v>3.4</v>
      </c>
      <c r="I28" s="3" t="n">
        <v>3.4</v>
      </c>
      <c r="J28" s="3" t="n">
        <v>3.4</v>
      </c>
      <c r="K28" s="3" t="n">
        <v>3.4</v>
      </c>
      <c r="L28" s="3" t="n">
        <v>3.4</v>
      </c>
    </row>
    <row r="29" customFormat="false" ht="15" hidden="false" customHeight="false" outlineLevel="0" collapsed="false">
      <c r="A29" s="0" t="s">
        <v>98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99</v>
      </c>
      <c r="C30" s="3" t="n">
        <v>0.08</v>
      </c>
      <c r="D30" s="3" t="n">
        <v>0.08</v>
      </c>
      <c r="E30" s="3" t="n">
        <v>0.08</v>
      </c>
      <c r="F30" s="3" t="n">
        <v>0.08</v>
      </c>
      <c r="G30" s="3" t="n">
        <v>0.08</v>
      </c>
      <c r="H30" s="3" t="n">
        <v>0.08</v>
      </c>
      <c r="I30" s="3" t="n">
        <v>0.08</v>
      </c>
      <c r="J30" s="3" t="n">
        <v>0.08</v>
      </c>
      <c r="K30" s="3" t="n">
        <v>0.08</v>
      </c>
      <c r="L30" s="3" t="n">
        <v>0.08</v>
      </c>
    </row>
    <row r="31" customFormat="false" ht="15" hidden="false" customHeight="false" outlineLevel="0" collapsed="false">
      <c r="A31" s="0" t="s">
        <v>100</v>
      </c>
      <c r="C31" s="3" t="n">
        <v>2.1</v>
      </c>
      <c r="D31" s="3" t="n">
        <v>2.1</v>
      </c>
      <c r="E31" s="3" t="n">
        <v>2</v>
      </c>
      <c r="F31" s="3" t="n">
        <v>2</v>
      </c>
      <c r="G31" s="3" t="n">
        <v>1.9</v>
      </c>
      <c r="H31" s="3" t="n">
        <v>1.9</v>
      </c>
      <c r="I31" s="3" t="n">
        <v>1.9</v>
      </c>
      <c r="J31" s="3" t="n">
        <v>1.9</v>
      </c>
      <c r="K31" s="3" t="n">
        <v>1.9</v>
      </c>
      <c r="L31" s="3" t="n">
        <v>1.9</v>
      </c>
    </row>
    <row r="32" customFormat="false" ht="15" hidden="false" customHeight="false" outlineLevel="0" collapsed="false">
      <c r="A32" s="0" t="s">
        <v>101</v>
      </c>
      <c r="C32" s="3" t="n">
        <v>2.6</v>
      </c>
      <c r="D32" s="3" t="n">
        <v>2.4</v>
      </c>
      <c r="E32" s="3" t="n">
        <v>2.3</v>
      </c>
      <c r="F32" s="3" t="n">
        <v>2.2</v>
      </c>
      <c r="G32" s="3" t="n">
        <v>2.1</v>
      </c>
      <c r="H32" s="3" t="n">
        <v>2.1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102</v>
      </c>
      <c r="C33" s="3" t="n">
        <v>32</v>
      </c>
      <c r="D33" s="3" t="n">
        <v>30</v>
      </c>
      <c r="E33" s="3" t="n">
        <v>30</v>
      </c>
      <c r="F33" s="3" t="n">
        <v>28</v>
      </c>
      <c r="G33" s="3" t="n">
        <v>28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10</v>
      </c>
    </row>
    <row r="37" customFormat="false" ht="15" hidden="false" customHeight="false" outlineLevel="0" collapsed="false">
      <c r="A37" s="0" t="s">
        <v>106</v>
      </c>
      <c r="B37" s="3" t="n">
        <v>3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12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3.3</v>
      </c>
      <c r="D42" s="3" t="n">
        <v>3.6</v>
      </c>
      <c r="E42" s="3" t="n">
        <v>3.8</v>
      </c>
      <c r="F42" s="3" t="n">
        <v>4</v>
      </c>
      <c r="G42" s="3" t="n">
        <v>4.2</v>
      </c>
      <c r="H42" s="3" t="n">
        <v>4.3</v>
      </c>
      <c r="I42" s="3" t="n">
        <v>4.3</v>
      </c>
      <c r="J42" s="3" t="n">
        <v>4.3</v>
      </c>
      <c r="K42" s="3" t="n">
        <v>4.3</v>
      </c>
      <c r="L42" s="3" t="n">
        <v>4.3</v>
      </c>
    </row>
    <row r="43" customFormat="false" ht="15" hidden="false" customHeight="false" outlineLevel="0" collapsed="false">
      <c r="A43" s="0" t="s">
        <v>98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99</v>
      </c>
      <c r="C44" s="3" t="n">
        <v>0.08</v>
      </c>
      <c r="D44" s="3" t="n">
        <v>0.08</v>
      </c>
      <c r="E44" s="3" t="n">
        <v>0.08</v>
      </c>
      <c r="F44" s="3" t="n">
        <v>0.08</v>
      </c>
      <c r="G44" s="3" t="n">
        <v>0.08</v>
      </c>
      <c r="H44" s="3" t="n">
        <v>0.08</v>
      </c>
      <c r="I44" s="3" t="n">
        <v>0.08</v>
      </c>
      <c r="J44" s="3" t="n">
        <v>0.08</v>
      </c>
      <c r="K44" s="3" t="n">
        <v>0.08</v>
      </c>
      <c r="L44" s="3" t="n">
        <v>0.08</v>
      </c>
    </row>
    <row r="45" customFormat="false" ht="15" hidden="false" customHeight="false" outlineLevel="0" collapsed="false">
      <c r="A45" s="0" t="s">
        <v>100</v>
      </c>
      <c r="C45" s="3" t="n">
        <v>2.1</v>
      </c>
      <c r="D45" s="3" t="n">
        <v>2.1</v>
      </c>
      <c r="E45" s="3" t="n">
        <v>2.1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101</v>
      </c>
      <c r="C46" s="3" t="n">
        <v>2.8</v>
      </c>
      <c r="D46" s="3" t="n">
        <v>2.7</v>
      </c>
      <c r="E46" s="3" t="n">
        <v>2.6</v>
      </c>
      <c r="F46" s="3" t="n">
        <v>2.5</v>
      </c>
      <c r="G46" s="3" t="n">
        <v>2.4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102</v>
      </c>
      <c r="C47" s="3" t="n">
        <v>30</v>
      </c>
      <c r="D47" s="3" t="n">
        <v>28</v>
      </c>
      <c r="E47" s="3" t="n">
        <v>27</v>
      </c>
      <c r="F47" s="3" t="n">
        <v>26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10</v>
      </c>
    </row>
    <row r="51" customFormat="false" ht="15" hidden="false" customHeight="false" outlineLevel="0" collapsed="false">
      <c r="A51" s="0" t="s">
        <v>106</v>
      </c>
      <c r="B51" s="3" t="n">
        <v>3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-6</v>
      </c>
      <c r="D5" s="4" t="n">
        <f aca="false">Assumptions!D13</f>
        <v>-4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6657.663</v>
      </c>
      <c r="C6" s="0" t="n">
        <f aca="false">B6*(1+C5/100)</f>
        <v>6258.20322</v>
      </c>
      <c r="D6" s="0" t="n">
        <f aca="false">C6*(1+D5/100)</f>
        <v>6007.8750912</v>
      </c>
      <c r="E6" s="0" t="n">
        <f aca="false">D6*(1+E5/100)</f>
        <v>5947.796340288</v>
      </c>
      <c r="F6" s="0" t="n">
        <f aca="false">E6*(1+F5/100)</f>
        <v>5947.796340288</v>
      </c>
      <c r="G6" s="0" t="n">
        <f aca="false">F6*(1+G5/100)</f>
        <v>6007.27430369088</v>
      </c>
      <c r="H6" s="0" t="n">
        <f aca="false">G6*(1+H5/100)</f>
        <v>6067.34704672779</v>
      </c>
      <c r="I6" s="0" t="n">
        <f aca="false">H6*(1+I5/100)</f>
        <v>6128.02051719507</v>
      </c>
      <c r="J6" s="0" t="n">
        <f aca="false">I6*(1+J5/100)</f>
        <v>6189.30072236702</v>
      </c>
      <c r="K6" s="0" t="n">
        <f aca="false">J6*(1+K5/100)</f>
        <v>6251.19372959069</v>
      </c>
      <c r="L6" s="0" t="n">
        <f aca="false">K6*(1+L5/100)</f>
        <v>6313.70566688659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2.3</v>
      </c>
      <c r="D7" s="4" t="n">
        <f aca="false">Assumptions!D14</f>
        <v>2.2</v>
      </c>
      <c r="E7" s="4" t="n">
        <f aca="false">Assumptions!E14</f>
        <v>2.1</v>
      </c>
      <c r="F7" s="4" t="n">
        <f aca="false">Assumptions!F14</f>
        <v>2.1</v>
      </c>
      <c r="G7" s="4" t="n">
        <f aca="false">Assumptions!G14</f>
        <v>2.1</v>
      </c>
      <c r="H7" s="4" t="n">
        <f aca="false">Assumptions!H14</f>
        <v>2.1</v>
      </c>
      <c r="I7" s="4" t="n">
        <f aca="false">Assumptions!I14</f>
        <v>2.1</v>
      </c>
      <c r="J7" s="4" t="n">
        <f aca="false">Assumptions!J14</f>
        <v>2.1</v>
      </c>
      <c r="K7" s="4" t="n">
        <f aca="false">Assumptions!K14</f>
        <v>2.1</v>
      </c>
      <c r="L7" s="4" t="n">
        <f aca="false">Assumptions!L14</f>
        <v>2.1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143.93867406</v>
      </c>
      <c r="D8" s="0" t="n">
        <f aca="false">D6*D7/100</f>
        <v>132.1732520064</v>
      </c>
      <c r="E8" s="0" t="n">
        <f aca="false">E6*E7/100</f>
        <v>124.903723146048</v>
      </c>
      <c r="F8" s="0" t="n">
        <f aca="false">F6*F7/100</f>
        <v>124.903723146048</v>
      </c>
      <c r="G8" s="0" t="n">
        <f aca="false">G6*G7/100</f>
        <v>126.152760377508</v>
      </c>
      <c r="H8" s="0" t="n">
        <f aca="false">H6*H7/100</f>
        <v>127.414287981284</v>
      </c>
      <c r="I8" s="0" t="n">
        <f aca="false">I6*I7/100</f>
        <v>128.688430861096</v>
      </c>
      <c r="J8" s="0" t="n">
        <f aca="false">J6*J7/100</f>
        <v>129.975315169707</v>
      </c>
      <c r="K8" s="0" t="n">
        <f aca="false">K6*K7/100</f>
        <v>131.275068321404</v>
      </c>
      <c r="L8" s="0" t="n">
        <f aca="false">L6*L7/100</f>
        <v>132.587819004619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-15.64550805</v>
      </c>
      <c r="D10" s="0" t="n">
        <f aca="false">-D6*D9/100</f>
        <v>-15.019687728</v>
      </c>
      <c r="E10" s="0" t="n">
        <f aca="false">-E6*E9/100</f>
        <v>-14.86949085072</v>
      </c>
      <c r="F10" s="0" t="n">
        <f aca="false">-F6*F9/100</f>
        <v>-14.86949085072</v>
      </c>
      <c r="G10" s="0" t="n">
        <f aca="false">-G6*G9/100</f>
        <v>-15.0181857592272</v>
      </c>
      <c r="H10" s="0" t="n">
        <f aca="false">-H6*H9/100</f>
        <v>-15.1683676168195</v>
      </c>
      <c r="I10" s="0" t="n">
        <f aca="false">-I6*I9/100</f>
        <v>-15.3200512929877</v>
      </c>
      <c r="J10" s="0" t="n">
        <f aca="false">-J6*J9/100</f>
        <v>-15.4732518059175</v>
      </c>
      <c r="K10" s="0" t="n">
        <f aca="false">-K6*K9/100</f>
        <v>-15.6279843239767</v>
      </c>
      <c r="L10" s="0" t="n">
        <f aca="false">-L6*L9/100</f>
        <v>-15.7842641672165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123.286603434</v>
      </c>
      <c r="D11" s="0" t="n">
        <f aca="false">D8+D10+D24</f>
        <v>112.34726420544</v>
      </c>
      <c r="E11" s="0" t="n">
        <f aca="false">E8+E10+E24</f>
        <v>105.275995223098</v>
      </c>
      <c r="F11" s="0" t="n">
        <f aca="false">F8+F10+F24</f>
        <v>105.275995223098</v>
      </c>
      <c r="G11" s="0" t="n">
        <f aca="false">G8+G10+G24</f>
        <v>106.328755175329</v>
      </c>
      <c r="H11" s="0" t="n">
        <f aca="false">H8+H10+H24</f>
        <v>107.392042727082</v>
      </c>
      <c r="I11" s="0" t="n">
        <f aca="false">I8+I10+I24</f>
        <v>108.465963154353</v>
      </c>
      <c r="J11" s="0" t="n">
        <f aca="false">J8+J10+J24</f>
        <v>109.550622785896</v>
      </c>
      <c r="K11" s="0" t="n">
        <f aca="false">K8+K10+K24</f>
        <v>110.646129013755</v>
      </c>
      <c r="L11" s="0" t="n">
        <f aca="false">L8+L10+L24</f>
        <v>111.752590303893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-131.42226762</v>
      </c>
      <c r="D12" s="4" t="n">
        <f aca="false">-D6*Assumptions!D17/100</f>
        <v>-120.157501824</v>
      </c>
      <c r="E12" s="4" t="n">
        <f aca="false">-E6*Assumptions!E17/100</f>
        <v>-118.95592680576</v>
      </c>
      <c r="F12" s="4" t="n">
        <f aca="false">-F6*Assumptions!F17/100</f>
        <v>-113.008130465472</v>
      </c>
      <c r="G12" s="4" t="n">
        <f aca="false">-G6*Assumptions!G17/100</f>
        <v>-114.138211770127</v>
      </c>
      <c r="H12" s="4" t="n">
        <f aca="false">-H6*Assumptions!H17/100</f>
        <v>-109.2122468411</v>
      </c>
      <c r="I12" s="4" t="n">
        <f aca="false">-I6*Assumptions!I17/100</f>
        <v>-110.304369309511</v>
      </c>
      <c r="J12" s="4" t="n">
        <f aca="false">-J6*Assumptions!J17/100</f>
        <v>-111.407413002606</v>
      </c>
      <c r="K12" s="4" t="n">
        <f aca="false">-K6*Assumptions!K17/100</f>
        <v>-112.521487132632</v>
      </c>
      <c r="L12" s="4" t="n">
        <f aca="false">-L6*Assumptions!L17/100</f>
        <v>-113.646702003959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-8.13566418600001</v>
      </c>
      <c r="D13" s="0" t="n">
        <f aca="false">D11+D12</f>
        <v>-7.81023761856</v>
      </c>
      <c r="E13" s="0" t="n">
        <f aca="false">E11+E12</f>
        <v>-13.6799315826624</v>
      </c>
      <c r="F13" s="0" t="n">
        <f aca="false">F11+F12</f>
        <v>-7.7321352423744</v>
      </c>
      <c r="G13" s="0" t="n">
        <f aca="false">G11+G12</f>
        <v>-7.80945659479812</v>
      </c>
      <c r="H13" s="0" t="n">
        <f aca="false">H11+H12</f>
        <v>-1.82020411401831</v>
      </c>
      <c r="I13" s="0" t="n">
        <f aca="false">I11+I12</f>
        <v>-1.83840615515852</v>
      </c>
      <c r="J13" s="0" t="n">
        <f aca="false">J11+J12</f>
        <v>-1.8567902167101</v>
      </c>
      <c r="K13" s="0" t="n">
        <f aca="false">K11+K12</f>
        <v>-1.8753581188772</v>
      </c>
      <c r="L13" s="0" t="n">
        <f aca="false">L11+L12</f>
        <v>-1.89411170006598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35</v>
      </c>
      <c r="D14" s="4" t="n">
        <f aca="false">Assumptions!D19</f>
        <v>35</v>
      </c>
      <c r="E14" s="4" t="n">
        <f aca="false">Assumptions!E19</f>
        <v>35</v>
      </c>
      <c r="F14" s="4" t="n">
        <f aca="false">Assumptions!F19</f>
        <v>35</v>
      </c>
      <c r="G14" s="4" t="n">
        <f aca="false">Assumptions!G19</f>
        <v>35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-8.13566418600001</v>
      </c>
      <c r="D15" s="0" t="n">
        <f aca="false">D13-MAX(0,D13)*D14/100</f>
        <v>-7.81023761856</v>
      </c>
      <c r="E15" s="0" t="n">
        <f aca="false">E13-MAX(0,E13)*E14/100</f>
        <v>-13.6799315826624</v>
      </c>
      <c r="F15" s="0" t="n">
        <f aca="false">F13-MAX(0,F13)*F14/100</f>
        <v>-7.7321352423744</v>
      </c>
      <c r="G15" s="0" t="n">
        <f aca="false">G13-MAX(0,G13)*G14/100</f>
        <v>-7.80945659479812</v>
      </c>
      <c r="H15" s="0" t="n">
        <f aca="false">H13-MAX(0,H13)*H14/100</f>
        <v>-1.82020411401831</v>
      </c>
      <c r="I15" s="0" t="n">
        <f aca="false">I13-MAX(0,I13)*I14/100</f>
        <v>-1.83840615515852</v>
      </c>
      <c r="J15" s="0" t="n">
        <f aca="false">J13-MAX(0,J13)*J14/100</f>
        <v>-1.8567902167101</v>
      </c>
      <c r="K15" s="0" t="n">
        <f aca="false">K13-MAX(0,K13)*K14/100</f>
        <v>-1.8753581188772</v>
      </c>
      <c r="L15" s="0" t="n">
        <f aca="false">L13-MAX(0,L13)*L14/100</f>
        <v>-1.89411170006598</v>
      </c>
    </row>
    <row r="16" customFormat="false" ht="15" hidden="false" customHeight="false" outlineLevel="0" collapsed="false">
      <c r="A16" s="0" t="s">
        <v>118</v>
      </c>
      <c r="C16" s="0" t="n">
        <f aca="false">-C12</f>
        <v>131.42226762</v>
      </c>
      <c r="D16" s="0" t="n">
        <f aca="false">-D12</f>
        <v>120.157501824</v>
      </c>
      <c r="E16" s="0" t="n">
        <f aca="false">-E12</f>
        <v>118.95592680576</v>
      </c>
      <c r="F16" s="0" t="n">
        <f aca="false">-F12</f>
        <v>113.008130465472</v>
      </c>
      <c r="G16" s="0" t="n">
        <f aca="false">-G12</f>
        <v>114.138211770127</v>
      </c>
      <c r="H16" s="0" t="n">
        <f aca="false">-H12</f>
        <v>109.2122468411</v>
      </c>
      <c r="I16" s="0" t="n">
        <f aca="false">-I12</f>
        <v>110.304369309511</v>
      </c>
      <c r="J16" s="0" t="n">
        <f aca="false">-J12</f>
        <v>111.407413002606</v>
      </c>
      <c r="K16" s="0" t="n">
        <f aca="false">-K12</f>
        <v>112.521487132632</v>
      </c>
      <c r="L16" s="0" t="n">
        <f aca="false">-L12</f>
        <v>113.646702003959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-125.1640644</v>
      </c>
      <c r="D17" s="4" t="n">
        <f aca="false">-D6*Assumptions!D18/100</f>
        <v>-108.1417516416</v>
      </c>
      <c r="E17" s="4" t="n">
        <f aca="false">-E6*Assumptions!E18/100</f>
        <v>-101.112537784896</v>
      </c>
      <c r="F17" s="4" t="n">
        <f aca="false">-F6*Assumptions!F18/100</f>
        <v>-95.164741444608</v>
      </c>
      <c r="G17" s="4" t="n">
        <f aca="false">-G6*Assumptions!G18/100</f>
        <v>-96.1163888590541</v>
      </c>
      <c r="H17" s="4" t="n">
        <f aca="false">-H6*Assumptions!H18/100</f>
        <v>-97.0775527476446</v>
      </c>
      <c r="I17" s="4" t="n">
        <f aca="false">-I6*Assumptions!I18/100</f>
        <v>-98.0483282751211</v>
      </c>
      <c r="J17" s="4" t="n">
        <f aca="false">-J6*Assumptions!J18/100</f>
        <v>-99.0288115578723</v>
      </c>
      <c r="K17" s="4" t="n">
        <f aca="false">-K6*Assumptions!K18/100</f>
        <v>-100.019099673451</v>
      </c>
      <c r="L17" s="4" t="n">
        <f aca="false">-L6*Assumptions!L18/100</f>
        <v>-101.019290670186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-11.9837934</v>
      </c>
      <c r="D18" s="4" t="n">
        <f aca="false">(D6-C6)*Assumptions!$B$23/100</f>
        <v>-7.509843864</v>
      </c>
      <c r="E18" s="4" t="n">
        <f aca="false">(E6-D6)*Assumptions!$B$23/100</f>
        <v>-1.80236252736</v>
      </c>
      <c r="F18" s="4" t="n">
        <f aca="false">(F6-E6)*Assumptions!$B$23/100</f>
        <v>0</v>
      </c>
      <c r="G18" s="4" t="n">
        <f aca="false">(G6-F6)*Assumptions!$B$23/100</f>
        <v>1.7843389020864</v>
      </c>
      <c r="H18" s="4" t="n">
        <f aca="false">(H6-G6)*Assumptions!$B$23/100</f>
        <v>1.80218229110727</v>
      </c>
      <c r="I18" s="4" t="n">
        <f aca="false">(I6-H6)*Assumptions!$B$23/100</f>
        <v>1.82020411401834</v>
      </c>
      <c r="J18" s="4" t="n">
        <f aca="false">(J6-I6)*Assumptions!$B$23/100</f>
        <v>1.83840615515853</v>
      </c>
      <c r="K18" s="4" t="n">
        <f aca="false">(K6-J6)*Assumptions!$B$23/100</f>
        <v>1.8567902167101</v>
      </c>
      <c r="L18" s="4" t="n">
        <f aca="false">(L6-K6)*Assumptions!$B$23/100</f>
        <v>1.87535811887721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-13.861254366</v>
      </c>
      <c r="D19" s="0" t="n">
        <f aca="false">D15+D16+D17+D18</f>
        <v>-3.30433130016001</v>
      </c>
      <c r="E19" s="0" t="n">
        <f aca="false">E15+E16+E17+E18</f>
        <v>2.3610949108416</v>
      </c>
      <c r="F19" s="0" t="n">
        <f aca="false">F15+F16+F17+F18</f>
        <v>10.1112537784896</v>
      </c>
      <c r="G19" s="0" t="n">
        <f aca="false">G15+G16+G17+G18</f>
        <v>11.9967052183609</v>
      </c>
      <c r="H19" s="0" t="n">
        <f aca="false">H15+H16+H17+H18</f>
        <v>12.1166722705445</v>
      </c>
      <c r="I19" s="0" t="n">
        <f aca="false">I15+I16+I17+I18</f>
        <v>12.2378389932499</v>
      </c>
      <c r="J19" s="0" t="n">
        <f aca="false">J15+J16+J17+J18</f>
        <v>12.3602173831825</v>
      </c>
      <c r="K19" s="0" t="n">
        <f aca="false">K15+K16+K17+K18</f>
        <v>12.4838195570143</v>
      </c>
      <c r="L19" s="0" t="n">
        <f aca="false">L15+L16+L17+L18</f>
        <v>12.6086577525844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-12.6011403327273</v>
      </c>
      <c r="D21" s="0" t="n">
        <f aca="false">D19*D20</f>
        <v>-2.73085231418182</v>
      </c>
      <c r="E21" s="0" t="n">
        <f aca="false">E19*E20</f>
        <v>1.77392555284869</v>
      </c>
      <c r="F21" s="0" t="n">
        <f aca="false">F19*F20</f>
        <v>6.90612238131932</v>
      </c>
      <c r="G21" s="0" t="n">
        <f aca="false">G19*G20</f>
        <v>7.44901007653532</v>
      </c>
      <c r="H21" s="0" t="n">
        <f aca="false">H19*H20</f>
        <v>6.83954561572789</v>
      </c>
      <c r="I21" s="0" t="n">
        <f aca="false">I19*I20</f>
        <v>6.2799464289865</v>
      </c>
      <c r="J21" s="0" t="n">
        <f aca="false">J19*J20</f>
        <v>5.76613263025125</v>
      </c>
      <c r="K21" s="0" t="n">
        <f aca="false">K19*K20</f>
        <v>5.2943581423216</v>
      </c>
      <c r="L21" s="0" t="n">
        <f aca="false">L19*L20</f>
        <v>4.86118338522256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0.08</v>
      </c>
      <c r="D23" s="4" t="n">
        <f aca="false">Assumptions!D16</f>
        <v>0.08</v>
      </c>
      <c r="E23" s="4" t="n">
        <f aca="false">Assumptions!E16</f>
        <v>0.08</v>
      </c>
      <c r="F23" s="4" t="n">
        <f aca="false">Assumptions!F16</f>
        <v>0.08</v>
      </c>
      <c r="G23" s="4" t="n">
        <f aca="false">Assumptions!G16</f>
        <v>0.08</v>
      </c>
      <c r="H23" s="4" t="n">
        <f aca="false">Assumptions!H16</f>
        <v>0.08</v>
      </c>
      <c r="I23" s="4" t="n">
        <f aca="false">Assumptions!I16</f>
        <v>0.08</v>
      </c>
      <c r="J23" s="4" t="n">
        <f aca="false">Assumptions!J16</f>
        <v>0.08</v>
      </c>
      <c r="K23" s="4" t="n">
        <f aca="false">Assumptions!K16</f>
        <v>0.08</v>
      </c>
      <c r="L23" s="4" t="n">
        <f aca="false">Assumptions!L16</f>
        <v>0.08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-5.006562576</v>
      </c>
      <c r="D24" s="0" t="n">
        <f aca="false">-D6*D23/100</f>
        <v>-4.80630007296</v>
      </c>
      <c r="E24" s="0" t="n">
        <f aca="false">-E6*E23/100</f>
        <v>-4.7582370722304</v>
      </c>
      <c r="F24" s="0" t="n">
        <f aca="false">-F6*F23/100</f>
        <v>-4.7582370722304</v>
      </c>
      <c r="G24" s="0" t="n">
        <f aca="false">-G6*G23/100</f>
        <v>-4.8058194429527</v>
      </c>
      <c r="H24" s="0" t="n">
        <f aca="false">-H6*H23/100</f>
        <v>-4.85387763738223</v>
      </c>
      <c r="I24" s="0" t="n">
        <f aca="false">-I6*I23/100</f>
        <v>-4.90241641375605</v>
      </c>
      <c r="J24" s="0" t="n">
        <f aca="false">-J6*J23/100</f>
        <v>-4.95144057789361</v>
      </c>
      <c r="K24" s="0" t="n">
        <f aca="false">-K6*K23/100</f>
        <v>-5.00095498367255</v>
      </c>
      <c r="L24" s="0" t="n">
        <f aca="false">-L6*L23/100</f>
        <v>-5.05096453350928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29.838231566304</v>
      </c>
    </row>
    <row r="31" customFormat="false" ht="15" hidden="false" customHeight="false" outlineLevel="0" collapsed="false">
      <c r="A31" s="0" t="s">
        <v>127</v>
      </c>
      <c r="B31" s="0" t="n">
        <f aca="false">L19</f>
        <v>12.6086577525844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141.497159223448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126.086577525844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126.086577525844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48.6118338522256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78.4500654185297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1382.21006541853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13.5777057567981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0.0949762707095208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93.6444478530725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68.2930255503985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15.1684475838776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90.9624595007877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13.2174471747316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6657.663</v>
      </c>
      <c r="C6" s="0" t="n">
        <f aca="false">B6*(1+C5/100)</f>
        <v>7057.12278</v>
      </c>
      <c r="D6" s="0" t="n">
        <f aca="false">C6*(1+D5/100)</f>
        <v>7409.978919</v>
      </c>
      <c r="E6" s="0" t="n">
        <f aca="false">D6*(1+E5/100)</f>
        <v>7743.427970355</v>
      </c>
      <c r="F6" s="0" t="n">
        <f aca="false">E6*(1+F5/100)</f>
        <v>8053.1650891692</v>
      </c>
      <c r="G6" s="0" t="n">
        <f aca="false">F6*(1+G5/100)</f>
        <v>8335.02586729012</v>
      </c>
      <c r="H6" s="0" t="n">
        <f aca="false">G6*(1+H5/100)</f>
        <v>8585.07664330883</v>
      </c>
      <c r="I6" s="0" t="n">
        <f aca="false">H6*(1+I5/100)</f>
        <v>8842.62894260809</v>
      </c>
      <c r="J6" s="0" t="n">
        <f aca="false">I6*(1+J5/100)</f>
        <v>9063.69466617329</v>
      </c>
      <c r="K6" s="0" t="n">
        <f aca="false">J6*(1+K5/100)</f>
        <v>9290.28703282762</v>
      </c>
      <c r="L6" s="0" t="n">
        <f aca="false">K6*(1+L5/100)</f>
        <v>9522.54420864831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</v>
      </c>
      <c r="D7" s="4" t="n">
        <f aca="false">Assumptions!D28</f>
        <v>3.1</v>
      </c>
      <c r="E7" s="4" t="n">
        <f aca="false">Assumptions!E28</f>
        <v>3.2</v>
      </c>
      <c r="F7" s="4" t="n">
        <f aca="false">Assumptions!F28</f>
        <v>3.3</v>
      </c>
      <c r="G7" s="4" t="n">
        <f aca="false">Assumptions!G28</f>
        <v>3.4</v>
      </c>
      <c r="H7" s="4" t="n">
        <f aca="false">Assumptions!H28</f>
        <v>3.4</v>
      </c>
      <c r="I7" s="4" t="n">
        <f aca="false">Assumptions!I28</f>
        <v>3.4</v>
      </c>
      <c r="J7" s="4" t="n">
        <f aca="false">Assumptions!J28</f>
        <v>3.4</v>
      </c>
      <c r="K7" s="4" t="n">
        <f aca="false">Assumptions!K28</f>
        <v>3.4</v>
      </c>
      <c r="L7" s="4" t="n">
        <f aca="false">Assumptions!L28</f>
        <v>3.4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211.7136834</v>
      </c>
      <c r="D8" s="0" t="n">
        <f aca="false">D6*D7/100</f>
        <v>229.709346489</v>
      </c>
      <c r="E8" s="0" t="n">
        <f aca="false">E6*E7/100</f>
        <v>247.78969505136</v>
      </c>
      <c r="F8" s="0" t="n">
        <f aca="false">F6*F7/100</f>
        <v>265.754447942584</v>
      </c>
      <c r="G8" s="0" t="n">
        <f aca="false">G6*G7/100</f>
        <v>283.390879487864</v>
      </c>
      <c r="H8" s="0" t="n">
        <f aca="false">H6*H7/100</f>
        <v>291.8926058725</v>
      </c>
      <c r="I8" s="0" t="n">
        <f aca="false">I6*I7/100</f>
        <v>300.649384048675</v>
      </c>
      <c r="J8" s="0" t="n">
        <f aca="false">J6*J7/100</f>
        <v>308.165618649892</v>
      </c>
      <c r="K8" s="0" t="n">
        <f aca="false">K6*K7/100</f>
        <v>315.869759116139</v>
      </c>
      <c r="L8" s="0" t="n">
        <f aca="false">L6*L7/100</f>
        <v>323.766503094043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-17.64280695</v>
      </c>
      <c r="D10" s="0" t="n">
        <f aca="false">-D6*D9/100</f>
        <v>-18.5249472975</v>
      </c>
      <c r="E10" s="0" t="n">
        <f aca="false">-E6*E9/100</f>
        <v>-19.3585699258875</v>
      </c>
      <c r="F10" s="0" t="n">
        <f aca="false">-F6*F9/100</f>
        <v>-20.132912722923</v>
      </c>
      <c r="G10" s="0" t="n">
        <f aca="false">-G6*G9/100</f>
        <v>-20.8375646682253</v>
      </c>
      <c r="H10" s="0" t="n">
        <f aca="false">-H6*H9/100</f>
        <v>-21.4626916082721</v>
      </c>
      <c r="I10" s="0" t="n">
        <f aca="false">-I6*I9/100</f>
        <v>-22.1065723565202</v>
      </c>
      <c r="J10" s="0" t="n">
        <f aca="false">-J6*J9/100</f>
        <v>-22.6592366654332</v>
      </c>
      <c r="K10" s="0" t="n">
        <f aca="false">-K6*K9/100</f>
        <v>-23.2257175820691</v>
      </c>
      <c r="L10" s="0" t="n">
        <f aca="false">-L6*L9/100</f>
        <v>-23.8063605216208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188.425178226</v>
      </c>
      <c r="D11" s="0" t="n">
        <f aca="false">D8+D10+D24</f>
        <v>205.2564160563</v>
      </c>
      <c r="E11" s="0" t="n">
        <f aca="false">E8+E10+E24</f>
        <v>222.236382749188</v>
      </c>
      <c r="F11" s="0" t="n">
        <f aca="false">F8+F10+F24</f>
        <v>239.179003148325</v>
      </c>
      <c r="G11" s="0" t="n">
        <f aca="false">G8+G10+G24</f>
        <v>255.885294125807</v>
      </c>
      <c r="H11" s="0" t="n">
        <f aca="false">H8+H10+H24</f>
        <v>263.561852949581</v>
      </c>
      <c r="I11" s="0" t="n">
        <f aca="false">I8+I10+I24</f>
        <v>271.468708538068</v>
      </c>
      <c r="J11" s="0" t="n">
        <f aca="false">J8+J10+J24</f>
        <v>278.25542625152</v>
      </c>
      <c r="K11" s="0" t="n">
        <f aca="false">K8+K10+K24</f>
        <v>285.211811907808</v>
      </c>
      <c r="L11" s="0" t="n">
        <f aca="false">L8+L10+L24</f>
        <v>292.342107205503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-148.19957838</v>
      </c>
      <c r="D12" s="4" t="n">
        <f aca="false">-D6*Assumptions!D31/100</f>
        <v>-155.609557299</v>
      </c>
      <c r="E12" s="4" t="n">
        <f aca="false">-E6*Assumptions!E31/100</f>
        <v>-154.8685594071</v>
      </c>
      <c r="F12" s="4" t="n">
        <f aca="false">-F6*Assumptions!F31/100</f>
        <v>-161.063301783384</v>
      </c>
      <c r="G12" s="4" t="n">
        <f aca="false">-G6*Assumptions!G31/100</f>
        <v>-158.365491478512</v>
      </c>
      <c r="H12" s="4" t="n">
        <f aca="false">-H6*Assumptions!H31/100</f>
        <v>-163.116456222868</v>
      </c>
      <c r="I12" s="4" t="n">
        <f aca="false">-I6*Assumptions!I31/100</f>
        <v>-168.009949909554</v>
      </c>
      <c r="J12" s="4" t="n">
        <f aca="false">-J6*Assumptions!J31/100</f>
        <v>-172.210198657293</v>
      </c>
      <c r="K12" s="4" t="n">
        <f aca="false">-K6*Assumptions!K31/100</f>
        <v>-176.515453623725</v>
      </c>
      <c r="L12" s="4" t="n">
        <f aca="false">-L6*Assumptions!L31/100</f>
        <v>-180.928339964318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40.225599846</v>
      </c>
      <c r="D13" s="0" t="n">
        <f aca="false">D11+D12</f>
        <v>49.6468587573</v>
      </c>
      <c r="E13" s="0" t="n">
        <f aca="false">E11+E12</f>
        <v>67.3678233420885</v>
      </c>
      <c r="F13" s="0" t="n">
        <f aca="false">F11+F12</f>
        <v>78.1157013649412</v>
      </c>
      <c r="G13" s="0" t="n">
        <f aca="false">G11+G12</f>
        <v>97.5198026472945</v>
      </c>
      <c r="H13" s="0" t="n">
        <f aca="false">H11+H12</f>
        <v>100.445396726713</v>
      </c>
      <c r="I13" s="0" t="n">
        <f aca="false">I11+I12</f>
        <v>103.458758628515</v>
      </c>
      <c r="J13" s="0" t="n">
        <f aca="false">J11+J12</f>
        <v>106.045227594228</v>
      </c>
      <c r="K13" s="0" t="n">
        <f aca="false">K11+K12</f>
        <v>108.696358284083</v>
      </c>
      <c r="L13" s="0" t="n">
        <f aca="false">L11+L12</f>
        <v>111.413767241185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32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27.35340789528</v>
      </c>
      <c r="D15" s="0" t="n">
        <f aca="false">D13-MAX(0,D13)*D14/100</f>
        <v>34.75280113011</v>
      </c>
      <c r="E15" s="0" t="n">
        <f aca="false">E13-MAX(0,E13)*E14/100</f>
        <v>47.1574763394619</v>
      </c>
      <c r="F15" s="0" t="n">
        <f aca="false">F13-MAX(0,F13)*F14/100</f>
        <v>56.2433049827577</v>
      </c>
      <c r="G15" s="0" t="n">
        <f aca="false">G13-MAX(0,G13)*G14/100</f>
        <v>70.214257906052</v>
      </c>
      <c r="H15" s="0" t="n">
        <f aca="false">H13-MAX(0,H13)*H14/100</f>
        <v>73.3251396105007</v>
      </c>
      <c r="I15" s="0" t="n">
        <f aca="false">I13-MAX(0,I13)*I14/100</f>
        <v>75.5248937988157</v>
      </c>
      <c r="J15" s="0" t="n">
        <f aca="false">J13-MAX(0,J13)*J14/100</f>
        <v>77.4130161437861</v>
      </c>
      <c r="K15" s="0" t="n">
        <f aca="false">K13-MAX(0,K13)*K14/100</f>
        <v>79.3483415473807</v>
      </c>
      <c r="L15" s="0" t="n">
        <f aca="false">L13-MAX(0,L13)*L14/100</f>
        <v>81.3320500860653</v>
      </c>
    </row>
    <row r="16" customFormat="false" ht="15" hidden="false" customHeight="false" outlineLevel="0" collapsed="false">
      <c r="A16" s="0" t="s">
        <v>118</v>
      </c>
      <c r="C16" s="0" t="n">
        <f aca="false">-C12</f>
        <v>148.19957838</v>
      </c>
      <c r="D16" s="0" t="n">
        <f aca="false">-D12</f>
        <v>155.609557299</v>
      </c>
      <c r="E16" s="0" t="n">
        <f aca="false">-E12</f>
        <v>154.8685594071</v>
      </c>
      <c r="F16" s="0" t="n">
        <f aca="false">-F12</f>
        <v>161.063301783384</v>
      </c>
      <c r="G16" s="0" t="n">
        <f aca="false">-G12</f>
        <v>158.365491478512</v>
      </c>
      <c r="H16" s="0" t="n">
        <f aca="false">-H12</f>
        <v>163.116456222868</v>
      </c>
      <c r="I16" s="0" t="n">
        <f aca="false">-I12</f>
        <v>168.009949909554</v>
      </c>
      <c r="J16" s="0" t="n">
        <f aca="false">-J12</f>
        <v>172.210198657293</v>
      </c>
      <c r="K16" s="0" t="n">
        <f aca="false">-K12</f>
        <v>176.515453623725</v>
      </c>
      <c r="L16" s="0" t="n">
        <f aca="false">-L12</f>
        <v>180.928339964318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-183.48519228</v>
      </c>
      <c r="D17" s="4" t="n">
        <f aca="false">-D6*Assumptions!D32/100</f>
        <v>-177.839494056</v>
      </c>
      <c r="E17" s="4" t="n">
        <f aca="false">-E6*Assumptions!E32/100</f>
        <v>-178.098843318165</v>
      </c>
      <c r="F17" s="4" t="n">
        <f aca="false">-F6*Assumptions!F32/100</f>
        <v>-177.169631961722</v>
      </c>
      <c r="G17" s="4" t="n">
        <f aca="false">-G6*Assumptions!G32/100</f>
        <v>-175.035543213093</v>
      </c>
      <c r="H17" s="4" t="n">
        <f aca="false">-H6*Assumptions!H32/100</f>
        <v>-180.286609509485</v>
      </c>
      <c r="I17" s="4" t="n">
        <f aca="false">-I6*Assumptions!I32/100</f>
        <v>-176.852578852162</v>
      </c>
      <c r="J17" s="4" t="n">
        <f aca="false">-J6*Assumptions!J32/100</f>
        <v>-181.273893323466</v>
      </c>
      <c r="K17" s="4" t="n">
        <f aca="false">-K6*Assumptions!K32/100</f>
        <v>-185.805740656552</v>
      </c>
      <c r="L17" s="4" t="n">
        <f aca="false">-L6*Assumptions!L32/100</f>
        <v>-190.450884172966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11.9837934</v>
      </c>
      <c r="D18" s="4" t="n">
        <f aca="false">(D6-C6)*Assumptions!$B$37/100</f>
        <v>10.58568417</v>
      </c>
      <c r="E18" s="4" t="n">
        <f aca="false">(E6-D6)*Assumptions!$B$37/100</f>
        <v>10.00347154065</v>
      </c>
      <c r="F18" s="4" t="n">
        <f aca="false">(F6-E6)*Assumptions!$B$37/100</f>
        <v>9.29211356442602</v>
      </c>
      <c r="G18" s="4" t="n">
        <f aca="false">(G6-F6)*Assumptions!$B$37/100</f>
        <v>8.45582334362766</v>
      </c>
      <c r="H18" s="4" t="n">
        <f aca="false">(H6-G6)*Assumptions!$B$37/100</f>
        <v>7.50152328056114</v>
      </c>
      <c r="I18" s="4" t="n">
        <f aca="false">(I6-H6)*Assumptions!$B$37/100</f>
        <v>7.72656897897794</v>
      </c>
      <c r="J18" s="4" t="n">
        <f aca="false">(J6-I6)*Assumptions!$B$37/100</f>
        <v>6.63197170695605</v>
      </c>
      <c r="K18" s="4" t="n">
        <f aca="false">(K6-J6)*Assumptions!$B$37/100</f>
        <v>6.79777099962994</v>
      </c>
      <c r="L18" s="4" t="n">
        <f aca="false">(L6-K6)*Assumptions!$B$37/100</f>
        <v>6.96771527462071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4.05158739528</v>
      </c>
      <c r="D19" s="0" t="n">
        <f aca="false">D15+D16+D17+D18</f>
        <v>23.10854854311</v>
      </c>
      <c r="E19" s="0" t="n">
        <f aca="false">E15+E16+E17+E18</f>
        <v>33.9306639690469</v>
      </c>
      <c r="F19" s="0" t="n">
        <f aca="false">F15+F16+F17+F18</f>
        <v>49.4290883688453</v>
      </c>
      <c r="G19" s="0" t="n">
        <f aca="false">G15+G16+G17+G18</f>
        <v>62.0000295150994</v>
      </c>
      <c r="H19" s="0" t="n">
        <f aca="false">H15+H16+H17+H18</f>
        <v>63.6565096044442</v>
      </c>
      <c r="I19" s="0" t="n">
        <f aca="false">I15+I16+I17+I18</f>
        <v>74.4088338351855</v>
      </c>
      <c r="J19" s="0" t="n">
        <f aca="false">J15+J16+J17+J18</f>
        <v>74.9812931845689</v>
      </c>
      <c r="K19" s="0" t="n">
        <f aca="false">K15+K16+K17+K18</f>
        <v>76.8558255141831</v>
      </c>
      <c r="L19" s="0" t="n">
        <f aca="false">L15+L16+L17+L18</f>
        <v>78.7772211520376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3.68326126843637</v>
      </c>
      <c r="D21" s="0" t="n">
        <f aca="false">D19*D20</f>
        <v>19.0979740025703</v>
      </c>
      <c r="E21" s="0" t="n">
        <f aca="false">E19*E20</f>
        <v>25.4926100443628</v>
      </c>
      <c r="F21" s="0" t="n">
        <f aca="false">F19*F20</f>
        <v>33.7607324423504</v>
      </c>
      <c r="G21" s="0" t="n">
        <f aca="false">G19*G20</f>
        <v>38.4971403562222</v>
      </c>
      <c r="H21" s="0" t="n">
        <f aca="false">H19*H20</f>
        <v>35.9324401499266</v>
      </c>
      <c r="I21" s="0" t="n">
        <f aca="false">I19*I20</f>
        <v>38.1834971506051</v>
      </c>
      <c r="J21" s="0" t="n">
        <f aca="false">J19*J20</f>
        <v>34.9793266482711</v>
      </c>
      <c r="K21" s="0" t="n">
        <f aca="false">K19*K20</f>
        <v>32.5943725586163</v>
      </c>
      <c r="L21" s="0" t="n">
        <f aca="false">L19*L20</f>
        <v>30.3720289750742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0.08</v>
      </c>
      <c r="D23" s="4" t="n">
        <f aca="false">Assumptions!D30</f>
        <v>0.08</v>
      </c>
      <c r="E23" s="4" t="n">
        <f aca="false">Assumptions!E30</f>
        <v>0.08</v>
      </c>
      <c r="F23" s="4" t="n">
        <f aca="false">Assumptions!F30</f>
        <v>0.08</v>
      </c>
      <c r="G23" s="4" t="n">
        <f aca="false">Assumptions!G30</f>
        <v>0.08</v>
      </c>
      <c r="H23" s="4" t="n">
        <f aca="false">Assumptions!H30</f>
        <v>0.08</v>
      </c>
      <c r="I23" s="4" t="n">
        <f aca="false">Assumptions!I30</f>
        <v>0.08</v>
      </c>
      <c r="J23" s="4" t="n">
        <f aca="false">Assumptions!J30</f>
        <v>0.08</v>
      </c>
      <c r="K23" s="4" t="n">
        <f aca="false">Assumptions!K30</f>
        <v>0.08</v>
      </c>
      <c r="L23" s="4" t="n">
        <f aca="false">Assumptions!L30</f>
        <v>0.08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-5.645698224</v>
      </c>
      <c r="D24" s="0" t="n">
        <f aca="false">-D6*D23/100</f>
        <v>-5.9279831352</v>
      </c>
      <c r="E24" s="0" t="n">
        <f aca="false">-E6*E23/100</f>
        <v>-6.194742376284</v>
      </c>
      <c r="F24" s="0" t="n">
        <f aca="false">-F6*F23/100</f>
        <v>-6.44253207133536</v>
      </c>
      <c r="G24" s="0" t="n">
        <f aca="false">-G6*G23/100</f>
        <v>-6.6680206938321</v>
      </c>
      <c r="H24" s="0" t="n">
        <f aca="false">-H6*H23/100</f>
        <v>-6.86806131464706</v>
      </c>
      <c r="I24" s="0" t="n">
        <f aca="false">-I6*I23/100</f>
        <v>-7.07410315408647</v>
      </c>
      <c r="J24" s="0" t="n">
        <f aca="false">-J6*J23/100</f>
        <v>-7.25095573293863</v>
      </c>
      <c r="K24" s="0" t="n">
        <f aca="false">-K6*K23/100</f>
        <v>-7.4322296262621</v>
      </c>
      <c r="L24" s="0" t="n">
        <f aca="false">-L6*L23/100</f>
        <v>-7.61803536691865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292.593383596435</v>
      </c>
    </row>
    <row r="31" customFormat="false" ht="15" hidden="false" customHeight="false" outlineLevel="0" collapsed="false">
      <c r="A31" s="0" t="s">
        <v>127</v>
      </c>
      <c r="B31" s="0" t="n">
        <f aca="false">L19</f>
        <v>78.7772211520376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1004.40956968848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787.772211520376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787.772211520376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303.720289750742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596.313673347178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1900.07367334718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18.6647759978037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0.505223870790619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125.641059970256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117.02437744685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21.0485235836646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618.098196731372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16.5055238612327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12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6657.663</v>
      </c>
      <c r="C6" s="0" t="n">
        <f aca="false">B6*(1+C5/100)</f>
        <v>7456.58256</v>
      </c>
      <c r="D6" s="0" t="n">
        <f aca="false">C6*(1+D5/100)</f>
        <v>8202.240816</v>
      </c>
      <c r="E6" s="0" t="n">
        <f aca="false">D6*(1+E5/100)</f>
        <v>8858.42008128</v>
      </c>
      <c r="F6" s="0" t="n">
        <f aca="false">E6*(1+F5/100)</f>
        <v>9478.5094869696</v>
      </c>
      <c r="G6" s="0" t="n">
        <f aca="false">F6*(1+G5/100)</f>
        <v>10047.2200561878</v>
      </c>
      <c r="H6" s="0" t="n">
        <f aca="false">G6*(1+H5/100)</f>
        <v>10549.5810589972</v>
      </c>
      <c r="I6" s="0" t="n">
        <f aca="false">H6*(1+I5/100)</f>
        <v>10971.5643013571</v>
      </c>
      <c r="J6" s="0" t="n">
        <f aca="false">I6*(1+J5/100)</f>
        <v>11355.5690519046</v>
      </c>
      <c r="K6" s="0" t="n">
        <f aca="false">J6*(1+K5/100)</f>
        <v>11696.2361234617</v>
      </c>
      <c r="L6" s="0" t="n">
        <f aca="false">K6*(1+L5/100)</f>
        <v>12047.1232071655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3.3</v>
      </c>
      <c r="D7" s="4" t="n">
        <f aca="false">Assumptions!D42</f>
        <v>3.6</v>
      </c>
      <c r="E7" s="4" t="n">
        <f aca="false">Assumptions!E42</f>
        <v>3.8</v>
      </c>
      <c r="F7" s="4" t="n">
        <f aca="false">Assumptions!F42</f>
        <v>4</v>
      </c>
      <c r="G7" s="4" t="n">
        <f aca="false">Assumptions!G42</f>
        <v>4.2</v>
      </c>
      <c r="H7" s="4" t="n">
        <f aca="false">Assumptions!H42</f>
        <v>4.3</v>
      </c>
      <c r="I7" s="4" t="n">
        <f aca="false">Assumptions!I42</f>
        <v>4.3</v>
      </c>
      <c r="J7" s="4" t="n">
        <f aca="false">Assumptions!J42</f>
        <v>4.3</v>
      </c>
      <c r="K7" s="4" t="n">
        <f aca="false">Assumptions!K42</f>
        <v>4.3</v>
      </c>
      <c r="L7" s="4" t="n">
        <f aca="false">Assumptions!L42</f>
        <v>4.3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246.06722448</v>
      </c>
      <c r="D8" s="0" t="n">
        <f aca="false">D6*D7/100</f>
        <v>295.280669376</v>
      </c>
      <c r="E8" s="0" t="n">
        <f aca="false">E6*E7/100</f>
        <v>336.61996308864</v>
      </c>
      <c r="F8" s="0" t="n">
        <f aca="false">F6*F7/100</f>
        <v>379.140379478784</v>
      </c>
      <c r="G8" s="0" t="n">
        <f aca="false">G6*G7/100</f>
        <v>421.983242359887</v>
      </c>
      <c r="H8" s="0" t="n">
        <f aca="false">H6*H7/100</f>
        <v>453.631985536878</v>
      </c>
      <c r="I8" s="0" t="n">
        <f aca="false">I6*I7/100</f>
        <v>471.777264958354</v>
      </c>
      <c r="J8" s="0" t="n">
        <f aca="false">J6*J7/100</f>
        <v>488.289469231896</v>
      </c>
      <c r="K8" s="0" t="n">
        <f aca="false">K6*K7/100</f>
        <v>502.938153308853</v>
      </c>
      <c r="L8" s="0" t="n">
        <f aca="false">L6*L7/100</f>
        <v>518.026297908118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-22.36974768</v>
      </c>
      <c r="D10" s="0" t="n">
        <f aca="false">-D6*D9/100</f>
        <v>-24.606722448</v>
      </c>
      <c r="E10" s="0" t="n">
        <f aca="false">-E6*E9/100</f>
        <v>-26.57526024384</v>
      </c>
      <c r="F10" s="0" t="n">
        <f aca="false">-F6*F9/100</f>
        <v>-28.4355284609088</v>
      </c>
      <c r="G10" s="0" t="n">
        <f aca="false">-G6*G9/100</f>
        <v>-30.1416601685633</v>
      </c>
      <c r="H10" s="0" t="n">
        <f aca="false">-H6*H9/100</f>
        <v>-31.6487431769915</v>
      </c>
      <c r="I10" s="0" t="n">
        <f aca="false">-I6*I9/100</f>
        <v>-32.9146929040712</v>
      </c>
      <c r="J10" s="0" t="n">
        <f aca="false">-J6*J9/100</f>
        <v>-34.0667071557137</v>
      </c>
      <c r="K10" s="0" t="n">
        <f aca="false">-K6*K9/100</f>
        <v>-35.0887083703851</v>
      </c>
      <c r="L10" s="0" t="n">
        <f aca="false">-L6*L9/100</f>
        <v>-36.1413696214966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217.732210752</v>
      </c>
      <c r="D11" s="0" t="n">
        <f aca="false">D8+D10+D24</f>
        <v>264.1121542752</v>
      </c>
      <c r="E11" s="0" t="n">
        <f aca="false">E8+E10+E24</f>
        <v>302.957966779776</v>
      </c>
      <c r="F11" s="0" t="n">
        <f aca="false">F8+F10+F24</f>
        <v>343.1220434283</v>
      </c>
      <c r="G11" s="0" t="n">
        <f aca="false">G8+G10+G24</f>
        <v>383.803806146373</v>
      </c>
      <c r="H11" s="0" t="n">
        <f aca="false">H8+H10+H24</f>
        <v>413.543577512689</v>
      </c>
      <c r="I11" s="0" t="n">
        <f aca="false">I8+I10+I24</f>
        <v>430.085320613197</v>
      </c>
      <c r="J11" s="0" t="n">
        <f aca="false">J8+J10+J24</f>
        <v>445.138306834659</v>
      </c>
      <c r="K11" s="0" t="n">
        <f aca="false">K8+K10+K24</f>
        <v>458.492456039698</v>
      </c>
      <c r="L11" s="0" t="n">
        <f aca="false">L8+L10+L24</f>
        <v>472.247229720889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-156.58823376</v>
      </c>
      <c r="D12" s="4" t="n">
        <f aca="false">-D6*Assumptions!D45/100</f>
        <v>-172.247057136</v>
      </c>
      <c r="E12" s="4" t="n">
        <f aca="false">-E6*Assumptions!E45/100</f>
        <v>-186.02682170688</v>
      </c>
      <c r="F12" s="4" t="n">
        <f aca="false">-F6*Assumptions!F45/100</f>
        <v>-189.570189739392</v>
      </c>
      <c r="G12" s="4" t="n">
        <f aca="false">-G6*Assumptions!G45/100</f>
        <v>-200.944401123756</v>
      </c>
      <c r="H12" s="4" t="n">
        <f aca="false">-H6*Assumptions!H45/100</f>
        <v>-210.991621179943</v>
      </c>
      <c r="I12" s="4" t="n">
        <f aca="false">-I6*Assumptions!I45/100</f>
        <v>-219.431286027141</v>
      </c>
      <c r="J12" s="4" t="n">
        <f aca="false">-J6*Assumptions!J45/100</f>
        <v>-227.111381038091</v>
      </c>
      <c r="K12" s="4" t="n">
        <f aca="false">-K6*Assumptions!K45/100</f>
        <v>-233.924722469234</v>
      </c>
      <c r="L12" s="4" t="n">
        <f aca="false">-L6*Assumptions!L45/100</f>
        <v>-240.942464143311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61.143976992</v>
      </c>
      <c r="D13" s="0" t="n">
        <f aca="false">D11+D12</f>
        <v>91.8650971392</v>
      </c>
      <c r="E13" s="0" t="n">
        <f aca="false">E11+E12</f>
        <v>116.931145072896</v>
      </c>
      <c r="F13" s="0" t="n">
        <f aca="false">F11+F12</f>
        <v>153.551853688908</v>
      </c>
      <c r="G13" s="0" t="n">
        <f aca="false">G11+G12</f>
        <v>182.859405022618</v>
      </c>
      <c r="H13" s="0" t="n">
        <f aca="false">H11+H12</f>
        <v>202.551956332746</v>
      </c>
      <c r="I13" s="0" t="n">
        <f aca="false">I11+I12</f>
        <v>210.654034586056</v>
      </c>
      <c r="J13" s="0" t="n">
        <f aca="false">J11+J12</f>
        <v>218.026925796568</v>
      </c>
      <c r="K13" s="0" t="n">
        <f aca="false">K11+K12</f>
        <v>224.567733570464</v>
      </c>
      <c r="L13" s="0" t="n">
        <f aca="false">L11+L12</f>
        <v>231.304765577578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30</v>
      </c>
      <c r="D14" s="4" t="n">
        <f aca="false">Assumptions!D47</f>
        <v>28</v>
      </c>
      <c r="E14" s="4" t="n">
        <f aca="false">Assumptions!E47</f>
        <v>27</v>
      </c>
      <c r="F14" s="4" t="n">
        <f aca="false">Assumptions!F47</f>
        <v>26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42.8007838944</v>
      </c>
      <c r="D15" s="0" t="n">
        <f aca="false">D13-MAX(0,D13)*D14/100</f>
        <v>66.142869940224</v>
      </c>
      <c r="E15" s="0" t="n">
        <f aca="false">E13-MAX(0,E13)*E14/100</f>
        <v>85.3597359032141</v>
      </c>
      <c r="F15" s="0" t="n">
        <f aca="false">F13-MAX(0,F13)*F14/100</f>
        <v>113.628371729792</v>
      </c>
      <c r="G15" s="0" t="n">
        <f aca="false">G13-MAX(0,G13)*G14/100</f>
        <v>137.144553766963</v>
      </c>
      <c r="H15" s="0" t="n">
        <f aca="false">H13-MAX(0,H13)*H14/100</f>
        <v>151.913967249559</v>
      </c>
      <c r="I15" s="0" t="n">
        <f aca="false">I13-MAX(0,I13)*I14/100</f>
        <v>157.990525939542</v>
      </c>
      <c r="J15" s="0" t="n">
        <f aca="false">J13-MAX(0,J13)*J14/100</f>
        <v>163.520194347426</v>
      </c>
      <c r="K15" s="0" t="n">
        <f aca="false">K13-MAX(0,K13)*K14/100</f>
        <v>168.425800177848</v>
      </c>
      <c r="L15" s="0" t="n">
        <f aca="false">L13-MAX(0,L13)*L14/100</f>
        <v>173.478574183184</v>
      </c>
    </row>
    <row r="16" customFormat="false" ht="15" hidden="false" customHeight="false" outlineLevel="0" collapsed="false">
      <c r="A16" s="0" t="s">
        <v>118</v>
      </c>
      <c r="C16" s="0" t="n">
        <f aca="false">-C12</f>
        <v>156.58823376</v>
      </c>
      <c r="D16" s="0" t="n">
        <f aca="false">-D12</f>
        <v>172.247057136</v>
      </c>
      <c r="E16" s="0" t="n">
        <f aca="false">-E12</f>
        <v>186.02682170688</v>
      </c>
      <c r="F16" s="0" t="n">
        <f aca="false">-F12</f>
        <v>189.570189739392</v>
      </c>
      <c r="G16" s="0" t="n">
        <f aca="false">-G12</f>
        <v>200.944401123756</v>
      </c>
      <c r="H16" s="0" t="n">
        <f aca="false">-H12</f>
        <v>210.991621179943</v>
      </c>
      <c r="I16" s="0" t="n">
        <f aca="false">-I12</f>
        <v>219.431286027141</v>
      </c>
      <c r="J16" s="0" t="n">
        <f aca="false">-J12</f>
        <v>227.111381038091</v>
      </c>
      <c r="K16" s="0" t="n">
        <f aca="false">-K12</f>
        <v>233.924722469234</v>
      </c>
      <c r="L16" s="0" t="n">
        <f aca="false">-L12</f>
        <v>240.942464143311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-208.78431168</v>
      </c>
      <c r="D17" s="4" t="n">
        <f aca="false">-D6*Assumptions!D46/100</f>
        <v>-221.460502032</v>
      </c>
      <c r="E17" s="4" t="n">
        <f aca="false">-E6*Assumptions!E46/100</f>
        <v>-230.31892211328</v>
      </c>
      <c r="F17" s="4" t="n">
        <f aca="false">-F6*Assumptions!F46/100</f>
        <v>-236.96273717424</v>
      </c>
      <c r="G17" s="4" t="n">
        <f aca="false">-G6*Assumptions!G46/100</f>
        <v>-241.133281348507</v>
      </c>
      <c r="H17" s="4" t="n">
        <f aca="false">-H6*Assumptions!H46/100</f>
        <v>-242.640364356935</v>
      </c>
      <c r="I17" s="4" t="n">
        <f aca="false">-I6*Assumptions!I46/100</f>
        <v>-252.345978931212</v>
      </c>
      <c r="J17" s="4" t="n">
        <f aca="false">-J6*Assumptions!J46/100</f>
        <v>-261.178088193805</v>
      </c>
      <c r="K17" s="4" t="n">
        <f aca="false">-K6*Assumptions!K46/100</f>
        <v>-269.013430839619</v>
      </c>
      <c r="L17" s="4" t="n">
        <f aca="false">-L6*Assumptions!L46/100</f>
        <v>-277.083833764807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23.9675868</v>
      </c>
      <c r="D18" s="4" t="n">
        <f aca="false">(D6-C6)*Assumptions!$B$51/100</f>
        <v>22.36974768</v>
      </c>
      <c r="E18" s="4" t="n">
        <f aca="false">(E6-D6)*Assumptions!$B$51/100</f>
        <v>19.6853779584</v>
      </c>
      <c r="F18" s="4" t="n">
        <f aca="false">(F6-E6)*Assumptions!$B$51/100</f>
        <v>18.602682170688</v>
      </c>
      <c r="G18" s="4" t="n">
        <f aca="false">(G6-F6)*Assumptions!$B$51/100</f>
        <v>17.0613170765453</v>
      </c>
      <c r="H18" s="4" t="n">
        <f aca="false">(H6-G6)*Assumptions!$B$51/100</f>
        <v>15.0708300842817</v>
      </c>
      <c r="I18" s="4" t="n">
        <f aca="false">(I6-H6)*Assumptions!$B$51/100</f>
        <v>12.6594972707966</v>
      </c>
      <c r="J18" s="4" t="n">
        <f aca="false">(J6-I6)*Assumptions!$B$51/100</f>
        <v>11.5201425164249</v>
      </c>
      <c r="K18" s="4" t="n">
        <f aca="false">(K6-J6)*Assumptions!$B$51/100</f>
        <v>10.2200121467141</v>
      </c>
      <c r="L18" s="4" t="n">
        <f aca="false">(L6-K6)*Assumptions!$B$51/100</f>
        <v>10.5266125111155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14.5722927744</v>
      </c>
      <c r="D19" s="0" t="n">
        <f aca="false">D15+D16+D17+D18</f>
        <v>39.299172724224</v>
      </c>
      <c r="E19" s="0" t="n">
        <f aca="false">E15+E16+E17+E18</f>
        <v>60.7530134552141</v>
      </c>
      <c r="F19" s="0" t="n">
        <f aca="false">F15+F16+F17+F18</f>
        <v>84.8385064656316</v>
      </c>
      <c r="G19" s="0" t="n">
        <f aca="false">G15+G16+G17+G18</f>
        <v>114.016990618757</v>
      </c>
      <c r="H19" s="0" t="n">
        <f aca="false">H15+H16+H17+H18</f>
        <v>135.336054156849</v>
      </c>
      <c r="I19" s="0" t="n">
        <f aca="false">I15+I16+I17+I18</f>
        <v>137.735330306267</v>
      </c>
      <c r="J19" s="0" t="n">
        <f aca="false">J15+J16+J17+J18</f>
        <v>140.973629708137</v>
      </c>
      <c r="K19" s="0" t="n">
        <f aca="false">K15+K16+K17+K18</f>
        <v>143.557103954177</v>
      </c>
      <c r="L19" s="0" t="n">
        <f aca="false">L15+L16+L17+L18</f>
        <v>147.863817072803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13.2475388858182</v>
      </c>
      <c r="D21" s="0" t="n">
        <f aca="false">D19*D20</f>
        <v>32.4786551439868</v>
      </c>
      <c r="E21" s="0" t="n">
        <f aca="false">E19*E20</f>
        <v>45.644638208275</v>
      </c>
      <c r="F21" s="0" t="n">
        <f aca="false">F19*F20</f>
        <v>57.9458414491029</v>
      </c>
      <c r="G21" s="0" t="n">
        <f aca="false">G19*G20</f>
        <v>70.7955806662221</v>
      </c>
      <c r="H21" s="0" t="n">
        <f aca="false">H19*H20</f>
        <v>76.3936743678877</v>
      </c>
      <c r="I21" s="0" t="n">
        <f aca="false">I19*I20</f>
        <v>70.6800029138488</v>
      </c>
      <c r="J21" s="0" t="n">
        <f aca="false">J19*J20</f>
        <v>65.7652386737999</v>
      </c>
      <c r="K21" s="0" t="n">
        <f aca="false">K19*K20</f>
        <v>60.8822258874178</v>
      </c>
      <c r="L21" s="0" t="n">
        <f aca="false">L19*L20</f>
        <v>57.0079024218549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0.08</v>
      </c>
      <c r="D23" s="4" t="n">
        <f aca="false">Assumptions!D44</f>
        <v>0.08</v>
      </c>
      <c r="E23" s="4" t="n">
        <f aca="false">Assumptions!E44</f>
        <v>0.08</v>
      </c>
      <c r="F23" s="4" t="n">
        <f aca="false">Assumptions!F44</f>
        <v>0.08</v>
      </c>
      <c r="G23" s="4" t="n">
        <f aca="false">Assumptions!G44</f>
        <v>0.08</v>
      </c>
      <c r="H23" s="4" t="n">
        <f aca="false">Assumptions!H44</f>
        <v>0.08</v>
      </c>
      <c r="I23" s="4" t="n">
        <f aca="false">Assumptions!I44</f>
        <v>0.08</v>
      </c>
      <c r="J23" s="4" t="n">
        <f aca="false">Assumptions!J44</f>
        <v>0.08</v>
      </c>
      <c r="K23" s="4" t="n">
        <f aca="false">Assumptions!K44</f>
        <v>0.08</v>
      </c>
      <c r="L23" s="4" t="n">
        <f aca="false">Assumptions!L44</f>
        <v>0.08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-5.965266048</v>
      </c>
      <c r="D24" s="0" t="n">
        <f aca="false">-D6*D23/100</f>
        <v>-6.5617926528</v>
      </c>
      <c r="E24" s="0" t="n">
        <f aca="false">-E6*E23/100</f>
        <v>-7.086736065024</v>
      </c>
      <c r="F24" s="0" t="n">
        <f aca="false">-F6*F23/100</f>
        <v>-7.58280758957568</v>
      </c>
      <c r="G24" s="0" t="n">
        <f aca="false">-G6*G23/100</f>
        <v>-8.03777604495023</v>
      </c>
      <c r="H24" s="0" t="n">
        <f aca="false">-H6*H23/100</f>
        <v>-8.43966484719774</v>
      </c>
      <c r="I24" s="0" t="n">
        <f aca="false">-I6*I23/100</f>
        <v>-8.77725144108565</v>
      </c>
      <c r="J24" s="0" t="n">
        <f aca="false">-J6*J23/100</f>
        <v>-9.08445524152364</v>
      </c>
      <c r="K24" s="0" t="n">
        <f aca="false">-K6*K23/100</f>
        <v>-9.35698889876935</v>
      </c>
      <c r="L24" s="0" t="n">
        <f aca="false">-L6*L23/100</f>
        <v>-9.63769856573243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550.841298618214</v>
      </c>
    </row>
    <row r="31" customFormat="false" ht="15" hidden="false" customHeight="false" outlineLevel="0" collapsed="false">
      <c r="A31" s="0" t="s">
        <v>127</v>
      </c>
      <c r="B31" s="0" t="n">
        <f aca="false">L19</f>
        <v>147.863817072803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2020.80549999497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1478.63817072803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1478.63817072803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570.079024218549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1120.92032283676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2424.68032283676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23.8180843863318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0.920813256962239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178.238905731145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190.432187887591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27.4396088965562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1212.48329999698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19.8892540283813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13.5777057567981</v>
      </c>
      <c r="C4" s="0" t="n">
        <f aca="false">B4/Assumptions!$B$2-1</f>
        <v>0.0949762707095208</v>
      </c>
      <c r="D4" s="4" t="n">
        <f aca="false">Assumptions!$B$24</f>
        <v>0.3</v>
      </c>
      <c r="E4" s="4" t="n">
        <f aca="false">DCF_Bear!$B$43</f>
        <v>15.1684475838776</v>
      </c>
      <c r="F4" s="4" t="n">
        <f aca="false">DCF_Bear!$B$47</f>
        <v>13.2174471747316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18.6647759978037</v>
      </c>
      <c r="C5" s="0" t="n">
        <f aca="false">B5/Assumptions!$B$2-1</f>
        <v>0.505223870790619</v>
      </c>
      <c r="D5" s="4" t="n">
        <f aca="false">Assumptions!$B$38</f>
        <v>0.5</v>
      </c>
      <c r="E5" s="4" t="n">
        <f aca="false">DCF_Base!$B$43</f>
        <v>21.0485235836646</v>
      </c>
      <c r="F5" s="4" t="n">
        <f aca="false">DCF_Base!$B$47</f>
        <v>16.5055238612327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23.8180843863318</v>
      </c>
      <c r="C6" s="0" t="n">
        <f aca="false">B6/Assumptions!$B$2-1</f>
        <v>0.920813256962239</v>
      </c>
      <c r="D6" s="4" t="n">
        <f aca="false">Assumptions!$B$52</f>
        <v>0.2</v>
      </c>
      <c r="E6" s="4" t="n">
        <f aca="false">DCF_Bull!$B$43</f>
        <v>27.4396088965562</v>
      </c>
      <c r="F6" s="4" t="n">
        <f aca="false">DCF_Bull!$B$47</f>
        <v>19.8892540283813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18.1693166032076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20.5627178463069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0.317530743131478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-241.050957078005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16.1958468887121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19.1174688516035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18.6647759978037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18.2511765572639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17.8728709281272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16.5055238612327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19.6135124194425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19.6135124194425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19.6135124194425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19.6135124194425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19.6135124194425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19.1174688516035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19.1174688516035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19.1174688516035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19.1174688516035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19.1174688516035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18.6647759978037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18.6647759978037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18.6647759978037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18.6647759978037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18.6647759978037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18.2511765572639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18.2511765572639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18.2511765572639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18.2511765572639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18.2511765572639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17.6690153515627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17.7898186561935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17.8728709281272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17.8728709281272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17.8728709281272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2026-10-17T02:07:23Z</dcterms:created>
  <dc:creator>openpyxl</dc:creator>
  <dc:description/>
  <dc:language>en-NZ</dc:language>
  <cp:lastModifiedBy/>
  <dcterms:modified xsi:type="dcterms:W3CDTF">2026-10-17T02:07:23Z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