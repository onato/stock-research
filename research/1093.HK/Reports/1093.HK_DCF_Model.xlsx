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<sst xmlns="http://schemas.openxmlformats.org/spreadsheetml/2006/main" count="354" uniqueCount="165">
  <si>
    <t xml:space="preserve">Ticker</t>
  </si>
  <si>
    <t xml:space="preserve">1093.HK</t>
  </si>
  <si>
    <t xml:space="preserve">Company</t>
  </si>
  <si>
    <t xml:space="preserve">CSPC Pharmaceutical Group Limited</t>
  </si>
  <si>
    <t xml:space="preserve">Valuation date</t>
  </si>
  <si>
    <t xml:space="preserve">2026-10-12</t>
  </si>
  <si>
    <t xml:space="preserve">Current price</t>
  </si>
  <si>
    <t xml:space="preserve">Price as of</t>
  </si>
  <si>
    <t xml:space="preserve">2026-10-09T08:08:06Z regular close (HKEX; Friday close, not after-hours)</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</si>
  <si>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</si>
  <si>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</si>
  <si>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</si>
  <si>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</si>
  <si>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</si>
  <si>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</si>
  <si>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</si>
  <si>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</si>
  <si>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</si>
  <si>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</si>
  <si>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</si>
  <si>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</si>
  <si>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</si>
  <si>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2026-10-11T16:29:18Z</t>
  </si>
  <si>
    <t xml:space="preserve">Drivers file</t>
  </si>
  <si>
    <t xml:space="preserve">1093.HK_Drivers.json</t>
  </si>
  <si>
    <t xml:space="preserve">Convention</t>
  </si>
  <si>
    <t xml:space="preserve">Percents stored as percents; formulas divide by 100. Blue = input, green = link, black = formula.</t>
  </si>
  <si>
    <t xml:space="preserve">Methodology</t>
  </si>
  <si>
    <t xml:space="preserve">summary: Value the cash the product business and the R&amp;D-funded licensing engine throw off together, strip the one-off H1 FY2026 licence windfall into the balance sheet where it already sits (net cash RMB22.1bn before the 1,480m dividend payable and 2,460m refundable upfront), and charge VBP, counterparty and pipeline risk once, in the scenario weights rather than the discount rate. The business is worth its product franchise (NBP, Mingfule, the sales force) plus a probability-weighted BD stream, not the H1 FY2026 print.
key_risks_to_valuation: Licence fee normalisation level: every RMB1bn/yr of recurring licence income is worth roughly RMB0.9-1.0/share (HK$1.1) at 8%/15x; the base assumes 3-4bn, H1 FY2026 alone was 5.9bn and FY2025 was 1.8bn; VBP/NRDL rounds cutting product sales faster than the 4-5% base-case growth (FY2025 oncology -50%, Duomeisu -97% in the national round); AstraZeneca counterparty concentration: the 2,460m refundable upfront and most of the US$28bn contract value depend on one partner's continued priorities; Terminal multiple: the 15x cap binds in base and bull (Gordon at 8%/2.5% implies 18.6x); the valuation is ~55% terminal value; HNTE 15% tax concession expiring 2027 and the 750m/yr of unrecognised losses in loss-making R&amp;D subsidiaries; RMB/HKD: all per-share values are translated at 1.1722; a 5% RMB move is ~HK$0.50/share</t>
  </si>
  <si>
    <t xml:space="preserve">Data sources</t>
  </si>
  <si>
    <t xml:space="preserve">price: Yahoo Finance chart API at inputs.price_as_of (HKEX regular close); 52-week range 6.53-10.96
fx: Yahoo Finance CNYHKD=X at the timestamp in inputs.fx_note
financials: 1093.HK_Metrics.csv (core_metrics, RMB millions) for FY2018-FY2025; H1 FY2026 interim report (1093.HK_HalfYear_H1-2026.txt) for the 30 June 2026 balance sheet, segment revenue, diluted share count, tax note, other payables note 18 and lease cash; FY2025 annual report for segment profit, D&amp;A split, tax reconciliation and lease cash
qualitative: 1093.HK_Analysis.json (2026-10-12): VBP/NRDL pricing, AstraZeneca deals, pipeline, bull/bear cases</t>
  </si>
  <si>
    <t xml:space="preserve">Scenario narrative: bear</t>
  </si>
  <si>
    <t xml:space="preserve">Single-counterparty and single-regulator risks both bite: BD appetite cools and AstraZeneca slows, licence fees fall to ~1.5bn; successive VBP/NRDL rounds take another 3%/yr off product sales for three years (a repeat of FY2025's oncology -50%), bulk APIs stay oversupplied, R&amp;D intensity cannot be cut without hollowing the pipeline, and the HNTE tax concession lapses. Margins stuck at the FY2025 trough and the exit multiple compresses to 12x.</t>
  </si>
  <si>
    <t xml:space="preserve">Scenario narrative: base</t>
  </si>
  <si>
    <t xml:space="preserve">Licence fee income normalises from the H1 FY2026 windfall (5.9bn) to a recurring ~3-4bn stream, product sales grind +4-5% as the innovative launch cycle (Enshuxing, Enyitan, nanocrystal/liposome lines, EU Ansulike) outruns the next VBP rounds, and segment EBITDA margin recovers from the FY2025 trough (22.8%) to the FY2022-23 level (28%) on lower selling expense and mix. Capex elevated for the AstraZeneca biologics JV plant then tapers. The FY2027 revenue decline is the licence reset, not a product decline.</t>
  </si>
  <si>
    <t xml:space="preserve">Scenario narrative: bull</t>
  </si>
  <si>
    <t xml:space="preserve">The AstraZeneca partnership converts into a durable annuity: milestones on US$28bn of contract value begin to pay, further deals (ADC, siRNA, CAR-T, GLP-1/GIP) add partners, licence fees run 5-7bn/yr at ~100% margin, product sales grow 8% as oncology/autoimmune launches scale and the 15th Five-Year Plan favours innovation incumbents. Blended EBITDA 32%.</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</si>
  <si>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</si>
  <si>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</si>
  <si>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</si>
  <si>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</si>
  <si>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</si>
  <si>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</si>
  <si>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</si>
  <si>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</si>
  <si>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</si>
  <si>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</si>
  <si>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</si>
  <si>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</si>
  <si>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</si>
  <si>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</si>
  <si>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</si>
  <si>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</si>
  <si>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</si>
  <si>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</si>
  <si>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</si>
  <si>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</si>
  <si>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</si>
  <si>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</si>
  <si>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</si>
  <si>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</si>
  <si>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</si>
  <si>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</si>
  <si>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</si>
  <si>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</si>
  <si>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</si>
  <si>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</si>
  <si>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</si>
  <si>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</si>
  <si>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</si>
  <si>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</si>
  <si>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</si>
  <si>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</si>
  <si>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</si>
  <si>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</si>
  <si>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</si>
  <si>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</si>
  <si>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</si>
  <si>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</si>
  <si>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</si>
  <si>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</si>
  <si>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t>
  </si>
  <si>
    <t xml:space="preserve">Currency / units</t>
  </si>
  <si>
    <t xml:space="preserve">CNY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</si>
  <si>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</si>
  <si>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</si>
  <si>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</si>
  <si>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</si>
  <si>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</si>
  <si>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</si>
  <si>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</si>
  <si>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</si>
  <si>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</si>
  <si>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</si>
  <si>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</si>
  <si>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</si>
  <si>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</si>
  <si>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</si>
  <si>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</si>
  <si>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</si>
  <si>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</si>
  <si>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</si>
  <si>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</si>
  <si>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</si>
  <si>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</si>
  <si>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</si>
  <si>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</si>
  <si>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</si>
  <si>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</si>
  <si>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</si>
  <si>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1093.HK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</si>
  <si>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</si>
  <si>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</si>
  <si>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</si>
  <si>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</si>
  <si>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</si>
  <si>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</si>
  <si>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</si>
  <si>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</si>
  <si>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</si>
  <si>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</si>
  <si>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</si>
  <si>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</si>
  <si>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</si>
  <si>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</si>
  <si>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</si>
  <si>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</si>
  <si>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</si>
  <si>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</si>
  <si>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</si>
  <si>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</si>
  <si>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</si>
  <si>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</si>
  <si>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</si>
  <si>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</si>
  <si>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</si>
  <si>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</si>
  <si>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</si>
  <si>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</si>
  <si>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</si>
  <si>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</si>
  <si>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1093.HK owner-FCF component DCF: base case (millions, CNY)</t>
  </si>
  <si>
    <t xml:space="preserve">1093.HK owner-FCF component DCF: bull case (millions, CNY)</t>
  </si>
  <si>
    <t xml:space="preserve">1093.HK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</si>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</sst>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9.085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46.2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B2" s="0" t="n">
        <v>17716.54</v>
      </c>
      <c r="C2" s="0" t="n">
        <v>-5979.187</v>
      </c>
      <c r="D2" s="0" t="n">
        <v>11737.353</v>
      </c>
      <c r="E2" s="0" t="n">
        <v>66.3</v>
      </c>
      <c r="F2" s="0" t="n">
        <v>3822.962</v>
      </c>
      <c r="G2" s="0" t="n">
        <v>21.6</v>
      </c>
      <c r="H2" s="0" t="n">
        <v>4452.81</v>
      </c>
      <c r="I2" s="0" t="n">
        <v>3080.802</v>
      </c>
      <c r="J2" s="0" t="n">
        <v>17.4</v>
      </c>
      <c r="K2" s="0" t="n">
        <v>0.2571</v>
      </c>
      <c r="L2" s="0" t="n">
        <v>3795.293</v>
      </c>
      <c r="M2" s="0" t="n">
        <v>1773.257</v>
      </c>
      <c r="N2" s="0" t="n">
        <v>2022.036</v>
      </c>
      <c r="O2" s="0" t="n">
        <v>15052.26</v>
      </c>
      <c r="P2" s="0" t="n">
        <v>23216.837</v>
      </c>
      <c r="Q2" s="0" t="n">
        <v>7687.237</v>
      </c>
      <c r="R2" s="0" t="n">
        <v>70.589</v>
      </c>
      <c r="S2" s="0" t="n">
        <v>4335.613</v>
      </c>
      <c r="T2" s="0" t="n">
        <v>11982.9</v>
      </c>
      <c r="U2" s="0" t="n">
        <v>0</v>
      </c>
      <c r="AA2" s="0" t="s">
        <v>18</v>
      </c>
      <c r="AB2" s="0" t="s">
        <v>14</v>
      </c>
    </row>
    <row r="3" customFormat="false" ht="15" hidden="false" customHeight="false" outlineLevel="0" collapsed="false">
      <c r="A3" s="0" t="s">
        <v>65</v>
      </c>
      <c r="B3" s="0" t="n">
        <v>22103.192</v>
      </c>
      <c r="C3" s="0" t="n">
        <v>-6192.211</v>
      </c>
      <c r="D3" s="0" t="n">
        <v>15910.981</v>
      </c>
      <c r="E3" s="0" t="n">
        <v>72</v>
      </c>
      <c r="F3" s="0" t="n">
        <v>4600.181</v>
      </c>
      <c r="G3" s="0" t="n">
        <v>20.8</v>
      </c>
      <c r="H3" s="0" t="n">
        <v>5291.776</v>
      </c>
      <c r="I3" s="0" t="n">
        <v>3714.106</v>
      </c>
      <c r="J3" s="0" t="n">
        <v>16.8</v>
      </c>
      <c r="K3" s="0" t="n">
        <v>0.3107</v>
      </c>
      <c r="L3" s="0" t="n">
        <v>3783.9</v>
      </c>
      <c r="M3" s="0" t="n">
        <v>1948.873</v>
      </c>
      <c r="N3" s="0" t="n">
        <v>1835.027</v>
      </c>
      <c r="O3" s="0" t="n">
        <v>18461.723</v>
      </c>
      <c r="P3" s="0" t="n">
        <v>26318.322</v>
      </c>
      <c r="Q3" s="0" t="n">
        <v>6800.157</v>
      </c>
      <c r="R3" s="0" t="n">
        <v>23</v>
      </c>
      <c r="S3" s="0" t="n">
        <v>4118.236</v>
      </c>
      <c r="T3" s="0" t="n">
        <v>11954</v>
      </c>
      <c r="U3" s="0" t="n">
        <v>6.721</v>
      </c>
      <c r="AA3" s="0" t="s">
        <v>18</v>
      </c>
      <c r="AB3" s="0" t="s">
        <v>14</v>
      </c>
    </row>
    <row r="4" customFormat="false" ht="15" hidden="false" customHeight="false" outlineLevel="0" collapsed="false">
      <c r="A4" s="0" t="s">
        <v>66</v>
      </c>
      <c r="B4" s="0" t="n">
        <v>24942.204</v>
      </c>
      <c r="C4" s="0" t="n">
        <v>-6256.882</v>
      </c>
      <c r="D4" s="0" t="n">
        <v>18685.322</v>
      </c>
      <c r="E4" s="0" t="n">
        <v>74.9</v>
      </c>
      <c r="F4" s="0" t="n">
        <v>6056.668</v>
      </c>
      <c r="G4" s="0" t="n">
        <v>24.3</v>
      </c>
      <c r="H4" s="0" t="n">
        <v>6865.475</v>
      </c>
      <c r="I4" s="0" t="n">
        <v>5159.655</v>
      </c>
      <c r="J4" s="0" t="n">
        <v>20.7</v>
      </c>
      <c r="K4" s="0" t="n">
        <v>0.4316</v>
      </c>
      <c r="L4" s="0" t="n">
        <v>6739.61</v>
      </c>
      <c r="M4" s="0" t="n">
        <v>1377.73</v>
      </c>
      <c r="N4" s="0" t="n">
        <v>5361.88</v>
      </c>
      <c r="O4" s="0" t="n">
        <v>22332.288</v>
      </c>
      <c r="P4" s="0" t="n">
        <v>30070.206</v>
      </c>
      <c r="Q4" s="0" t="n">
        <v>6969.133</v>
      </c>
      <c r="R4" s="0" t="n">
        <v>99</v>
      </c>
      <c r="S4" s="0" t="n">
        <v>7296.029</v>
      </c>
      <c r="T4" s="0" t="n">
        <v>11954.7</v>
      </c>
      <c r="U4" s="0" t="n">
        <v>9.126</v>
      </c>
      <c r="AA4" s="0" t="s">
        <v>18</v>
      </c>
      <c r="AB4" s="0" t="s">
        <v>14</v>
      </c>
    </row>
    <row r="5" customFormat="false" ht="15" hidden="false" customHeight="false" outlineLevel="0" collapsed="false">
      <c r="A5" s="0" t="s">
        <v>67</v>
      </c>
      <c r="B5" s="0" t="n">
        <v>27866.87</v>
      </c>
      <c r="C5" s="0" t="n">
        <v>-6731.776</v>
      </c>
      <c r="D5" s="0" t="n">
        <v>21135.094</v>
      </c>
      <c r="E5" s="0" t="n">
        <v>75.8</v>
      </c>
      <c r="F5" s="0" t="n">
        <v>6794.952</v>
      </c>
      <c r="G5" s="0" t="n">
        <v>24.4</v>
      </c>
      <c r="H5" s="0" t="n">
        <v>7660.423</v>
      </c>
      <c r="I5" s="0" t="n">
        <v>5605.185</v>
      </c>
      <c r="J5" s="0" t="n">
        <v>20.1</v>
      </c>
      <c r="K5" s="0" t="n">
        <v>0.4689</v>
      </c>
      <c r="L5" s="0" t="n">
        <v>4636.627</v>
      </c>
      <c r="M5" s="0" t="n">
        <v>1749.296</v>
      </c>
      <c r="N5" s="0" t="n">
        <v>2887.331</v>
      </c>
      <c r="O5" s="0" t="n">
        <v>25986.672</v>
      </c>
      <c r="P5" s="0" t="n">
        <v>34741.576</v>
      </c>
      <c r="Q5" s="0" t="n">
        <v>7913.345</v>
      </c>
      <c r="R5" s="0" t="n">
        <v>0</v>
      </c>
      <c r="S5" s="0" t="n">
        <v>9283.642</v>
      </c>
      <c r="T5" s="0" t="n">
        <v>11953.9</v>
      </c>
      <c r="U5" s="0" t="n">
        <v>17.732</v>
      </c>
      <c r="AA5" s="0" t="s">
        <v>18</v>
      </c>
      <c r="AB5" s="0" t="s">
        <v>14</v>
      </c>
    </row>
    <row r="6" customFormat="false" ht="15" hidden="false" customHeight="false" outlineLevel="0" collapsed="false">
      <c r="A6" s="0" t="s">
        <v>68</v>
      </c>
      <c r="B6" s="0" t="n">
        <v>30936.904</v>
      </c>
      <c r="C6" s="0" t="n">
        <v>-8680.49</v>
      </c>
      <c r="D6" s="0" t="n">
        <v>22256.414</v>
      </c>
      <c r="E6" s="0" t="n">
        <v>71.9</v>
      </c>
      <c r="F6" s="0" t="n">
        <v>7574.482</v>
      </c>
      <c r="G6" s="0" t="n">
        <v>24.5</v>
      </c>
      <c r="H6" s="0" t="n">
        <v>8622.421</v>
      </c>
      <c r="I6" s="0" t="n">
        <v>6091.39</v>
      </c>
      <c r="J6" s="0" t="n">
        <v>19.7</v>
      </c>
      <c r="K6" s="0" t="n">
        <v>0.5111</v>
      </c>
      <c r="L6" s="0" t="n">
        <v>7627.064</v>
      </c>
      <c r="M6" s="0" t="n">
        <v>2704.755</v>
      </c>
      <c r="N6" s="0" t="n">
        <v>4922.309</v>
      </c>
      <c r="O6" s="0" t="n">
        <v>30197.534</v>
      </c>
      <c r="P6" s="0" t="n">
        <v>41769.774</v>
      </c>
      <c r="Q6" s="0" t="n">
        <v>10127.899</v>
      </c>
      <c r="R6" s="0" t="n">
        <v>182.434</v>
      </c>
      <c r="S6" s="0" t="n">
        <v>10298.007</v>
      </c>
      <c r="T6" s="0" t="n">
        <v>11918.2</v>
      </c>
      <c r="U6" s="0" t="n">
        <v>160.726</v>
      </c>
      <c r="AA6" s="0" t="s">
        <v>18</v>
      </c>
      <c r="AB6" s="0" t="s">
        <v>14</v>
      </c>
    </row>
    <row r="7" customFormat="false" ht="15" hidden="false" customHeight="false" outlineLevel="0" collapsed="false">
      <c r="A7" s="0" t="s">
        <v>69</v>
      </c>
      <c r="B7" s="0" t="n">
        <v>31450.109</v>
      </c>
      <c r="C7" s="0" t="n">
        <v>-9273.423</v>
      </c>
      <c r="D7" s="0" t="n">
        <v>22176.686</v>
      </c>
      <c r="E7" s="0" t="n">
        <v>70.5</v>
      </c>
      <c r="F7" s="0" t="n">
        <v>7436.603</v>
      </c>
      <c r="G7" s="0" t="n">
        <v>23.6</v>
      </c>
      <c r="H7" s="0" t="n">
        <v>8554.093</v>
      </c>
      <c r="I7" s="0" t="n">
        <v>5873.325</v>
      </c>
      <c r="J7" s="0" t="n">
        <v>18.7</v>
      </c>
      <c r="K7" s="0" t="n">
        <v>0.4947</v>
      </c>
      <c r="L7" s="0" t="n">
        <v>4178.815</v>
      </c>
      <c r="M7" s="0" t="n">
        <v>1889.12</v>
      </c>
      <c r="N7" s="0" t="n">
        <v>2289.695</v>
      </c>
      <c r="O7" s="0" t="n">
        <v>33203.208</v>
      </c>
      <c r="P7" s="0" t="n">
        <v>46282.17</v>
      </c>
      <c r="Q7" s="0" t="n">
        <v>11264.158</v>
      </c>
      <c r="R7" s="0" t="n">
        <v>450.216</v>
      </c>
      <c r="S7" s="0" t="n">
        <v>12015.223</v>
      </c>
      <c r="T7" s="0" t="n">
        <v>11872.5</v>
      </c>
      <c r="U7" s="0" t="n">
        <v>235.092</v>
      </c>
      <c r="AA7" s="0" t="s">
        <v>18</v>
      </c>
      <c r="AB7" s="0" t="s">
        <v>14</v>
      </c>
    </row>
    <row r="8" customFormat="false" ht="15" hidden="false" customHeight="false" outlineLevel="0" collapsed="false">
      <c r="A8" s="0" t="s">
        <v>70</v>
      </c>
      <c r="B8" s="0" t="n">
        <v>29009.254</v>
      </c>
      <c r="C8" s="0" t="n">
        <v>-8710.543</v>
      </c>
      <c r="D8" s="0" t="n">
        <v>20298.711</v>
      </c>
      <c r="E8" s="0" t="n">
        <v>70</v>
      </c>
      <c r="F8" s="0" t="n">
        <v>5711.873</v>
      </c>
      <c r="G8" s="0" t="n">
        <v>19.7</v>
      </c>
      <c r="H8" s="0" t="n">
        <v>7051.323</v>
      </c>
      <c r="I8" s="0" t="n">
        <v>4328.035</v>
      </c>
      <c r="J8" s="0" t="n">
        <v>14.9</v>
      </c>
      <c r="K8" s="0" t="n">
        <v>0.3687</v>
      </c>
      <c r="L8" s="0" t="n">
        <v>4534.664</v>
      </c>
      <c r="M8" s="0" t="n">
        <v>2575.296</v>
      </c>
      <c r="N8" s="0" t="n">
        <v>1959.368</v>
      </c>
      <c r="O8" s="0" t="n">
        <v>32264.695</v>
      </c>
      <c r="P8" s="0" t="n">
        <v>44388.991</v>
      </c>
      <c r="Q8" s="0" t="n">
        <v>10522.701</v>
      </c>
      <c r="R8" s="0" t="n">
        <v>392.204</v>
      </c>
      <c r="S8" s="0" t="n">
        <v>6777.199</v>
      </c>
      <c r="T8" s="0" t="n">
        <v>11738.6</v>
      </c>
      <c r="U8" s="0" t="n">
        <v>210.454</v>
      </c>
      <c r="AA8" s="0" t="s">
        <v>18</v>
      </c>
      <c r="AB8" s="0" t="s">
        <v>14</v>
      </c>
    </row>
    <row r="9" customFormat="false" ht="15" hidden="false" customHeight="false" outlineLevel="0" collapsed="false">
      <c r="A9" s="0" t="s">
        <v>71</v>
      </c>
      <c r="B9" s="0" t="n">
        <v>26005.98</v>
      </c>
      <c r="C9" s="0" t="n">
        <v>-8947.477</v>
      </c>
      <c r="D9" s="0" t="n">
        <v>17058.503</v>
      </c>
      <c r="E9" s="0" t="n">
        <v>65.6</v>
      </c>
      <c r="F9" s="0" t="n">
        <v>4899.157</v>
      </c>
      <c r="G9" s="0" t="n">
        <v>18.8</v>
      </c>
      <c r="H9" s="0" t="n">
        <v>6311.907</v>
      </c>
      <c r="I9" s="0" t="n">
        <v>3882.108</v>
      </c>
      <c r="J9" s="0" t="n">
        <v>14.9</v>
      </c>
      <c r="K9" s="0" t="n">
        <v>0.3398</v>
      </c>
      <c r="L9" s="0" t="n">
        <v>5831.641</v>
      </c>
      <c r="M9" s="0" t="n">
        <v>2279.515</v>
      </c>
      <c r="N9" s="0" t="n">
        <v>3552.126</v>
      </c>
      <c r="O9" s="0" t="n">
        <v>33178.167</v>
      </c>
      <c r="P9" s="0" t="n">
        <v>46697.914</v>
      </c>
      <c r="Q9" s="0" t="n">
        <v>12147.797</v>
      </c>
      <c r="R9" s="0" t="n">
        <v>328.723</v>
      </c>
      <c r="S9" s="0" t="n">
        <v>6089.565</v>
      </c>
      <c r="T9" s="0" t="n">
        <v>11424.7</v>
      </c>
      <c r="U9" s="0" t="n">
        <v>-65.948</v>
      </c>
      <c r="AA9" s="0" t="s">
        <v>18</v>
      </c>
      <c r="AB9"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72</v>
      </c>
      <c r="B1" s="2" t="s">
        <v>73</v>
      </c>
    </row>
    <row r="2" customFormat="false" ht="15" hidden="false" customHeight="false" outlineLevel="0" collapsed="false">
      <c r="A2" s="0" t="s">
        <v>74</v>
      </c>
      <c r="B2" s="3" t="n">
        <v>9.085</v>
      </c>
    </row>
    <row r="3" customFormat="false" ht="15" hidden="false" customHeight="false" outlineLevel="0" collapsed="false">
      <c r="A3" s="0" t="s">
        <v>75</v>
      </c>
      <c r="B3" s="3" t="n">
        <v>11420</v>
      </c>
    </row>
    <row r="4" customFormat="false" ht="15" hidden="false" customHeight="false" outlineLevel="0" collapsed="false">
      <c r="A4" s="0" t="s">
        <v>76</v>
      </c>
      <c r="B4" s="3" t="n">
        <v>-22135</v>
      </c>
    </row>
    <row r="5" customFormat="false" ht="15" hidden="false" customHeight="false" outlineLevel="0" collapsed="false">
      <c r="A5" s="0" t="s">
        <v>77</v>
      </c>
      <c r="B5" s="3" t="n">
        <v>-2371.2</v>
      </c>
    </row>
    <row r="6" customFormat="false" ht="15" hidden="false" customHeight="false" outlineLevel="0" collapsed="false">
      <c r="A6" s="0" t="s">
        <v>78</v>
      </c>
      <c r="B6" s="3" t="n">
        <v>15</v>
      </c>
    </row>
    <row r="7" customFormat="false" ht="15" hidden="false" customHeight="false" outlineLevel="0" collapsed="false">
      <c r="A7" s="0" t="s">
        <v>79</v>
      </c>
      <c r="B7" s="3" t="n">
        <v>32100</v>
      </c>
    </row>
    <row r="8" customFormat="false" ht="15" hidden="false" customHeight="false" outlineLevel="0" collapsed="false">
      <c r="A8" s="0" t="s">
        <v>80</v>
      </c>
      <c r="B8" s="3" t="s">
        <v>81</v>
      </c>
    </row>
    <row r="9" customFormat="false" ht="15" hidden="false" customHeight="false" outlineLevel="0" collapsed="false">
      <c r="A9" s="0" t="s">
        <v>82</v>
      </c>
      <c r="B9" s="3" t="s">
        <v>83</v>
      </c>
    </row>
    <row r="10" customFormat="false" ht="15" hidden="false" customHeight="false" outlineLevel="0" collapsed="false">
      <c r="A10" s="0" t="s">
        <v>84</v>
      </c>
      <c r="B10" s="3" t="n">
        <v>1.1722</v>
      </c>
    </row>
    <row r="12" customFormat="false" ht="15" hidden="false" customHeight="false" outlineLevel="0" collapsed="false">
      <c r="A12" s="2" t="s">
        <v>85</v>
      </c>
      <c r="C12" s="2" t="s">
        <v>86</v>
      </c>
      <c r="D12" s="2" t="s">
        <v>87</v>
      </c>
      <c r="E12" s="2" t="s">
        <v>88</v>
      </c>
      <c r="F12" s="2" t="s">
        <v>89</v>
      </c>
      <c r="G12" s="2" t="s">
        <v>90</v>
      </c>
      <c r="H12" s="2" t="s">
        <v>91</v>
      </c>
      <c r="I12" s="2" t="s">
        <v>92</v>
      </c>
      <c r="J12" s="2" t="s">
        <v>93</v>
      </c>
      <c r="K12" s="2" t="s">
        <v>94</v>
      </c>
      <c r="L12" s="2" t="s">
        <v>95</v>
      </c>
    </row>
    <row r="13" customFormat="false" ht="15" hidden="false" customHeight="false" outlineLevel="0" collapsed="false">
      <c r="A13" s="0" t="s">
        <v>96</v>
      </c>
      <c r="C13" s="3" t="n">
        <v>-16</v>
      </c>
      <c r="D13" s="3" t="n">
        <v>-2</v>
      </c>
      <c r="E13" s="3" t="n">
        <v>-1</v>
      </c>
      <c r="F13" s="3" t="n">
        <v>0</v>
      </c>
      <c r="G13" s="3" t="n">
        <v>1</v>
      </c>
      <c r="H13" s="3" t="n">
        <v>1.5</v>
      </c>
      <c r="I13" s="3" t="n">
        <v>2</v>
      </c>
      <c r="J13" s="3" t="n">
        <v>2</v>
      </c>
      <c r="K13" s="3" t="n">
        <v>2</v>
      </c>
      <c r="L13" s="3" t="n">
        <v>2</v>
      </c>
    </row>
    <row r="14" customFormat="false" ht="15" hidden="false" customHeight="false" outlineLevel="0" collapsed="false">
      <c r="A14" s="0" t="s">
        <v>97</v>
      </c>
      <c r="C14" s="3" t="n">
        <v>22</v>
      </c>
      <c r="D14" s="3" t="n">
        <v>21.5</v>
      </c>
      <c r="E14" s="3" t="n">
        <v>21</v>
      </c>
      <c r="F14" s="3" t="n">
        <v>21</v>
      </c>
      <c r="G14" s="3" t="n">
        <v>21</v>
      </c>
      <c r="H14" s="3" t="n">
        <v>21</v>
      </c>
      <c r="I14" s="3" t="n">
        <v>21</v>
      </c>
      <c r="J14" s="3" t="n">
        <v>21</v>
      </c>
      <c r="K14" s="3" t="n">
        <v>21</v>
      </c>
      <c r="L14" s="3" t="n">
        <v>21</v>
      </c>
    </row>
    <row r="15" customFormat="false" ht="15" hidden="false" customHeight="false" outlineLevel="0" collapsed="false">
      <c r="A15" s="0" t="s">
        <v>98</v>
      </c>
      <c r="C15" s="3" t="n">
        <v>0.6</v>
      </c>
      <c r="D15" s="3" t="n">
        <v>0.6</v>
      </c>
      <c r="E15" s="3" t="n">
        <v>0.6</v>
      </c>
      <c r="F15" s="3" t="n">
        <v>0.6</v>
      </c>
      <c r="G15" s="3" t="n">
        <v>0.6</v>
      </c>
      <c r="H15" s="3" t="n">
        <v>0.5</v>
      </c>
      <c r="I15" s="3" t="n">
        <v>0.5</v>
      </c>
      <c r="J15" s="3" t="n">
        <v>0.5</v>
      </c>
      <c r="K15" s="3" t="n">
        <v>0.5</v>
      </c>
      <c r="L15" s="3" t="n">
        <v>0.5</v>
      </c>
    </row>
    <row r="16" customFormat="false" ht="15" hidden="false" customHeight="false" outlineLevel="0" collapsed="false">
      <c r="A16" s="0" t="s">
        <v>99</v>
      </c>
      <c r="C16" s="3" t="n">
        <v>0.5</v>
      </c>
      <c r="D16" s="3" t="n">
        <v>0.5</v>
      </c>
      <c r="E16" s="3" t="n">
        <v>0.5</v>
      </c>
      <c r="F16" s="3" t="n">
        <v>0.5</v>
      </c>
      <c r="G16" s="3" t="n">
        <v>0.5</v>
      </c>
      <c r="H16" s="3" t="n">
        <v>0.5</v>
      </c>
      <c r="I16" s="3" t="n">
        <v>0.5</v>
      </c>
      <c r="J16" s="3" t="n">
        <v>0.5</v>
      </c>
      <c r="K16" s="3" t="n">
        <v>0.5</v>
      </c>
      <c r="L16" s="3" t="n">
        <v>0.5</v>
      </c>
    </row>
    <row r="17" customFormat="false" ht="15" hidden="false" customHeight="false" outlineLevel="0" collapsed="false">
      <c r="A17" s="0" t="s">
        <v>100</v>
      </c>
      <c r="C17" s="3" t="n">
        <v>4.7</v>
      </c>
      <c r="D17" s="3" t="n">
        <v>4.7</v>
      </c>
      <c r="E17" s="3" t="n">
        <v>4.7</v>
      </c>
      <c r="F17" s="3" t="n">
        <v>4.7</v>
      </c>
      <c r="G17" s="3" t="n">
        <v>4.7</v>
      </c>
      <c r="H17" s="3" t="n">
        <v>4.7</v>
      </c>
      <c r="I17" s="3" t="n">
        <v>4.7</v>
      </c>
      <c r="J17" s="3" t="n">
        <v>4.7</v>
      </c>
      <c r="K17" s="3" t="n">
        <v>4.7</v>
      </c>
      <c r="L17" s="3" t="n">
        <v>4.7</v>
      </c>
    </row>
    <row r="18" customFormat="false" ht="15" hidden="false" customHeight="false" outlineLevel="0" collapsed="false">
      <c r="A18" s="0" t="s">
        <v>101</v>
      </c>
      <c r="C18" s="3" t="n">
        <v>7.5</v>
      </c>
      <c r="D18" s="3" t="n">
        <v>7</v>
      </c>
      <c r="E18" s="3" t="n">
        <v>6.5</v>
      </c>
      <c r="F18" s="3" t="n">
        <v>6</v>
      </c>
      <c r="G18" s="3" t="n">
        <v>5.5</v>
      </c>
      <c r="H18" s="3" t="n">
        <v>5</v>
      </c>
      <c r="I18" s="3" t="n">
        <v>5</v>
      </c>
      <c r="J18" s="3" t="n">
        <v>5</v>
      </c>
      <c r="K18" s="3" t="n">
        <v>5</v>
      </c>
      <c r="L18" s="3" t="n">
        <v>5</v>
      </c>
    </row>
    <row r="19" customFormat="false" ht="15" hidden="false" customHeight="false" outlineLevel="0" collapsed="false">
      <c r="A19" s="0" t="s">
        <v>102</v>
      </c>
      <c r="C19" s="3" t="n">
        <v>20</v>
      </c>
      <c r="D19" s="3" t="n">
        <v>20</v>
      </c>
      <c r="E19" s="3" t="n">
        <v>21</v>
      </c>
      <c r="F19" s="3" t="n">
        <v>22</v>
      </c>
      <c r="G19" s="3" t="n">
        <v>22</v>
      </c>
      <c r="H19" s="3" t="n">
        <v>22</v>
      </c>
      <c r="I19" s="3" t="n">
        <v>22</v>
      </c>
      <c r="J19" s="3" t="n">
        <v>22</v>
      </c>
      <c r="K19" s="3" t="n">
        <v>22</v>
      </c>
      <c r="L19" s="3" t="n">
        <v>22</v>
      </c>
    </row>
    <row r="20" customFormat="false" ht="15" hidden="false" customHeight="false" outlineLevel="0" collapsed="false">
      <c r="A20" s="0" t="s">
        <v>103</v>
      </c>
      <c r="B20" s="3" t="n">
        <v>8</v>
      </c>
    </row>
    <row r="21" customFormat="false" ht="15" hidden="false" customHeight="false" outlineLevel="0" collapsed="false">
      <c r="A21" s="0" t="s">
        <v>104</v>
      </c>
      <c r="B21" s="3" t="n">
        <v>2</v>
      </c>
    </row>
    <row r="22" customFormat="false" ht="15" hidden="false" customHeight="false" outlineLevel="0" collapsed="false">
      <c r="A22" s="0" t="s">
        <v>105</v>
      </c>
      <c r="B22" s="3" t="n">
        <v>12</v>
      </c>
    </row>
    <row r="23" customFormat="false" ht="15" hidden="false" customHeight="false" outlineLevel="0" collapsed="false">
      <c r="A23" s="0" t="s">
        <v>106</v>
      </c>
      <c r="B23" s="3" t="n">
        <v>-20</v>
      </c>
    </row>
    <row r="24" customFormat="false" ht="15" hidden="false" customHeight="false" outlineLevel="0" collapsed="false">
      <c r="A24" s="0" t="s">
        <v>107</v>
      </c>
      <c r="B24" s="3" t="n">
        <v>0.3</v>
      </c>
    </row>
    <row r="26" customFormat="false" ht="15" hidden="false" customHeight="false" outlineLevel="0" collapsed="false">
      <c r="A26" s="2" t="s">
        <v>108</v>
      </c>
      <c r="C26" s="2" t="s">
        <v>86</v>
      </c>
      <c r="D26" s="2" t="s">
        <v>87</v>
      </c>
      <c r="E26" s="2" t="s">
        <v>88</v>
      </c>
      <c r="F26" s="2" t="s">
        <v>89</v>
      </c>
      <c r="G26" s="2" t="s">
        <v>90</v>
      </c>
      <c r="H26" s="2" t="s">
        <v>91</v>
      </c>
      <c r="I26" s="2" t="s">
        <v>92</v>
      </c>
      <c r="J26" s="2" t="s">
        <v>93</v>
      </c>
      <c r="K26" s="2" t="s">
        <v>94</v>
      </c>
      <c r="L26" s="2" t="s">
        <v>95</v>
      </c>
    </row>
    <row r="27" customFormat="false" ht="15" hidden="false" customHeight="false" outlineLevel="0" collapsed="false">
      <c r="A27" s="0" t="s">
        <v>96</v>
      </c>
      <c r="C27" s="3" t="n">
        <v>-9</v>
      </c>
      <c r="D27" s="3" t="n">
        <v>5.5</v>
      </c>
      <c r="E27" s="3" t="n">
        <v>5.5</v>
      </c>
      <c r="F27" s="3" t="n">
        <v>5.2</v>
      </c>
      <c r="G27" s="3" t="n">
        <v>4.5</v>
      </c>
      <c r="H27" s="3" t="n">
        <v>4</v>
      </c>
      <c r="I27" s="3" t="n">
        <v>3.5</v>
      </c>
      <c r="J27" s="3" t="n">
        <v>3</v>
      </c>
      <c r="K27" s="3" t="n">
        <v>3</v>
      </c>
      <c r="L27" s="3" t="n">
        <v>2.5</v>
      </c>
    </row>
    <row r="28" customFormat="false" ht="15" hidden="false" customHeight="false" outlineLevel="0" collapsed="false">
      <c r="A28" s="0" t="s">
        <v>97</v>
      </c>
      <c r="C28" s="3" t="n">
        <v>26</v>
      </c>
      <c r="D28" s="3" t="n">
        <v>26.5</v>
      </c>
      <c r="E28" s="3" t="n">
        <v>27</v>
      </c>
      <c r="F28" s="3" t="n">
        <v>27.5</v>
      </c>
      <c r="G28" s="3" t="n">
        <v>28</v>
      </c>
      <c r="H28" s="3" t="n">
        <v>28</v>
      </c>
      <c r="I28" s="3" t="n">
        <v>28</v>
      </c>
      <c r="J28" s="3" t="n">
        <v>28</v>
      </c>
      <c r="K28" s="3" t="n">
        <v>28</v>
      </c>
      <c r="L28" s="3" t="n">
        <v>28</v>
      </c>
    </row>
    <row r="29" customFormat="false" ht="15" hidden="false" customHeight="false" outlineLevel="0" collapsed="false">
      <c r="A29" s="0" t="s">
        <v>98</v>
      </c>
      <c r="C29" s="3" t="n">
        <v>0.6</v>
      </c>
      <c r="D29" s="3" t="n">
        <v>0.6</v>
      </c>
      <c r="E29" s="3" t="n">
        <v>0.6</v>
      </c>
      <c r="F29" s="3" t="n">
        <v>0.6</v>
      </c>
      <c r="G29" s="3" t="n">
        <v>0.6</v>
      </c>
      <c r="H29" s="3" t="n">
        <v>0.5</v>
      </c>
      <c r="I29" s="3" t="n">
        <v>0.5</v>
      </c>
      <c r="J29" s="3" t="n">
        <v>0.5</v>
      </c>
      <c r="K29" s="3" t="n">
        <v>0.5</v>
      </c>
      <c r="L29" s="3" t="n">
        <v>0.5</v>
      </c>
    </row>
    <row r="30" customFormat="false" ht="15" hidden="false" customHeight="false" outlineLevel="0" collapsed="false">
      <c r="A30" s="0" t="s">
        <v>99</v>
      </c>
      <c r="C30" s="3" t="n">
        <v>0.5</v>
      </c>
      <c r="D30" s="3" t="n">
        <v>0.5</v>
      </c>
      <c r="E30" s="3" t="n">
        <v>0.5</v>
      </c>
      <c r="F30" s="3" t="n">
        <v>0.5</v>
      </c>
      <c r="G30" s="3" t="n">
        <v>0.5</v>
      </c>
      <c r="H30" s="3" t="n">
        <v>0.5</v>
      </c>
      <c r="I30" s="3" t="n">
        <v>0.5</v>
      </c>
      <c r="J30" s="3" t="n">
        <v>0.5</v>
      </c>
      <c r="K30" s="3" t="n">
        <v>0.5</v>
      </c>
      <c r="L30" s="3" t="n">
        <v>0.5</v>
      </c>
    </row>
    <row r="31" customFormat="false" ht="15" hidden="false" customHeight="false" outlineLevel="0" collapsed="false">
      <c r="A31" s="0" t="s">
        <v>100</v>
      </c>
      <c r="C31" s="3" t="n">
        <v>4.7</v>
      </c>
      <c r="D31" s="3" t="n">
        <v>4.7</v>
      </c>
      <c r="E31" s="3" t="n">
        <v>4.6</v>
      </c>
      <c r="F31" s="3" t="n">
        <v>4.6</v>
      </c>
      <c r="G31" s="3" t="n">
        <v>4.5</v>
      </c>
      <c r="H31" s="3" t="n">
        <v>4.5</v>
      </c>
      <c r="I31" s="3" t="n">
        <v>4.5</v>
      </c>
      <c r="J31" s="3" t="n">
        <v>4.5</v>
      </c>
      <c r="K31" s="3" t="n">
        <v>4.5</v>
      </c>
      <c r="L31" s="3" t="n">
        <v>4.5</v>
      </c>
    </row>
    <row r="32" customFormat="false" ht="15" hidden="false" customHeight="false" outlineLevel="0" collapsed="false">
      <c r="A32" s="0" t="s">
        <v>101</v>
      </c>
      <c r="C32" s="3" t="n">
        <v>7.5</v>
      </c>
      <c r="D32" s="3" t="n">
        <v>7.5</v>
      </c>
      <c r="E32" s="3" t="n">
        <v>7</v>
      </c>
      <c r="F32" s="3" t="n">
        <v>7</v>
      </c>
      <c r="G32" s="3" t="n">
        <v>6.5</v>
      </c>
      <c r="H32" s="3" t="n">
        <v>6</v>
      </c>
      <c r="I32" s="3" t="n">
        <v>6</v>
      </c>
      <c r="J32" s="3" t="n">
        <v>5.5</v>
      </c>
      <c r="K32" s="3" t="n">
        <v>5.5</v>
      </c>
      <c r="L32" s="3" t="n">
        <v>5.5</v>
      </c>
    </row>
    <row r="33" customFormat="false" ht="15" hidden="false" customHeight="false" outlineLevel="0" collapsed="false">
      <c r="A33" s="0" t="s">
        <v>102</v>
      </c>
      <c r="C33" s="3" t="n">
        <v>18</v>
      </c>
      <c r="D33" s="3" t="n">
        <v>18</v>
      </c>
      <c r="E33" s="3" t="n">
        <v>18</v>
      </c>
      <c r="F33" s="3" t="n">
        <v>19</v>
      </c>
      <c r="G33" s="3" t="n">
        <v>19</v>
      </c>
      <c r="H33" s="3" t="n">
        <v>20</v>
      </c>
      <c r="I33" s="3" t="n">
        <v>20</v>
      </c>
      <c r="J33" s="3" t="n">
        <v>20</v>
      </c>
      <c r="K33" s="3" t="n">
        <v>20</v>
      </c>
      <c r="L33" s="3" t="n">
        <v>20</v>
      </c>
    </row>
    <row r="34" customFormat="false" ht="15" hidden="false" customHeight="false" outlineLevel="0" collapsed="false">
      <c r="A34" s="0" t="s">
        <v>103</v>
      </c>
      <c r="B34" s="3" t="n">
        <v>8</v>
      </c>
    </row>
    <row r="35" customFormat="false" ht="15" hidden="false" customHeight="false" outlineLevel="0" collapsed="false">
      <c r="A35" s="0" t="s">
        <v>104</v>
      </c>
      <c r="B35" s="3" t="n">
        <v>2.5</v>
      </c>
    </row>
    <row r="36" customFormat="false" ht="15" hidden="false" customHeight="false" outlineLevel="0" collapsed="false">
      <c r="A36" s="0" t="s">
        <v>105</v>
      </c>
      <c r="B36" s="3" t="n">
        <v>15</v>
      </c>
    </row>
    <row r="37" customFormat="false" ht="15" hidden="false" customHeight="false" outlineLevel="0" collapsed="false">
      <c r="A37" s="0" t="s">
        <v>106</v>
      </c>
      <c r="B37" s="3" t="n">
        <v>-20</v>
      </c>
    </row>
    <row r="38" customFormat="false" ht="15" hidden="false" customHeight="false" outlineLevel="0" collapsed="false">
      <c r="A38" s="0" t="s">
        <v>107</v>
      </c>
      <c r="B38" s="3" t="n">
        <v>0.5</v>
      </c>
    </row>
    <row r="40" customFormat="false" ht="15" hidden="false" customHeight="false" outlineLevel="0" collapsed="false">
      <c r="A40" s="2" t="s">
        <v>109</v>
      </c>
      <c r="C40" s="2" t="s">
        <v>86</v>
      </c>
      <c r="D40" s="2" t="s">
        <v>87</v>
      </c>
      <c r="E40" s="2" t="s">
        <v>88</v>
      </c>
      <c r="F40" s="2" t="s">
        <v>89</v>
      </c>
      <c r="G40" s="2" t="s">
        <v>90</v>
      </c>
      <c r="H40" s="2" t="s">
        <v>91</v>
      </c>
      <c r="I40" s="2" t="s">
        <v>92</v>
      </c>
      <c r="J40" s="2" t="s">
        <v>93</v>
      </c>
      <c r="K40" s="2" t="s">
        <v>94</v>
      </c>
      <c r="L40" s="2" t="s">
        <v>95</v>
      </c>
    </row>
    <row r="41" customFormat="false" ht="15" hidden="false" customHeight="false" outlineLevel="0" collapsed="false">
      <c r="A41" s="0" t="s">
        <v>96</v>
      </c>
      <c r="C41" s="3" t="n">
        <v>-3</v>
      </c>
      <c r="D41" s="3" t="n">
        <v>8</v>
      </c>
      <c r="E41" s="3" t="n">
        <v>8</v>
      </c>
      <c r="F41" s="3" t="n">
        <v>7.5</v>
      </c>
      <c r="G41" s="3" t="n">
        <v>7</v>
      </c>
      <c r="H41" s="3" t="n">
        <v>6</v>
      </c>
      <c r="I41" s="3" t="n">
        <v>5</v>
      </c>
      <c r="J41" s="3" t="n">
        <v>4.5</v>
      </c>
      <c r="K41" s="3" t="n">
        <v>4</v>
      </c>
      <c r="L41" s="3" t="n">
        <v>3</v>
      </c>
    </row>
    <row r="42" customFormat="false" ht="15" hidden="false" customHeight="false" outlineLevel="0" collapsed="false">
      <c r="A42" s="0" t="s">
        <v>97</v>
      </c>
      <c r="C42" s="3" t="n">
        <v>28</v>
      </c>
      <c r="D42" s="3" t="n">
        <v>29</v>
      </c>
      <c r="E42" s="3" t="n">
        <v>30</v>
      </c>
      <c r="F42" s="3" t="n">
        <v>31</v>
      </c>
      <c r="G42" s="3" t="n">
        <v>32</v>
      </c>
      <c r="H42" s="3" t="n">
        <v>32</v>
      </c>
      <c r="I42" s="3" t="n">
        <v>32</v>
      </c>
      <c r="J42" s="3" t="n">
        <v>32</v>
      </c>
      <c r="K42" s="3" t="n">
        <v>32</v>
      </c>
      <c r="L42" s="3" t="n">
        <v>32</v>
      </c>
    </row>
    <row r="43" customFormat="false" ht="15" hidden="false" customHeight="false" outlineLevel="0" collapsed="false">
      <c r="A43" s="0" t="s">
        <v>98</v>
      </c>
      <c r="C43" s="3" t="n">
        <v>0.6</v>
      </c>
      <c r="D43" s="3" t="n">
        <v>0.6</v>
      </c>
      <c r="E43" s="3" t="n">
        <v>0.6</v>
      </c>
      <c r="F43" s="3" t="n">
        <v>0.6</v>
      </c>
      <c r="G43" s="3" t="n">
        <v>0.6</v>
      </c>
      <c r="H43" s="3" t="n">
        <v>0.5</v>
      </c>
      <c r="I43" s="3" t="n">
        <v>0.5</v>
      </c>
      <c r="J43" s="3" t="n">
        <v>0.5</v>
      </c>
      <c r="K43" s="3" t="n">
        <v>0.5</v>
      </c>
      <c r="L43" s="3" t="n">
        <v>0.5</v>
      </c>
    </row>
    <row r="44" customFormat="false" ht="15" hidden="false" customHeight="false" outlineLevel="0" collapsed="false">
      <c r="A44" s="0" t="s">
        <v>99</v>
      </c>
      <c r="C44" s="3" t="n">
        <v>0.5</v>
      </c>
      <c r="D44" s="3" t="n">
        <v>0.5</v>
      </c>
      <c r="E44" s="3" t="n">
        <v>0.5</v>
      </c>
      <c r="F44" s="3" t="n">
        <v>0.5</v>
      </c>
      <c r="G44" s="3" t="n">
        <v>0.5</v>
      </c>
      <c r="H44" s="3" t="n">
        <v>0.5</v>
      </c>
      <c r="I44" s="3" t="n">
        <v>0.5</v>
      </c>
      <c r="J44" s="3" t="n">
        <v>0.5</v>
      </c>
      <c r="K44" s="3" t="n">
        <v>0.5</v>
      </c>
      <c r="L44" s="3" t="n">
        <v>0.5</v>
      </c>
    </row>
    <row r="45" customFormat="false" ht="15" hidden="false" customHeight="false" outlineLevel="0" collapsed="false">
      <c r="A45" s="0" t="s">
        <v>100</v>
      </c>
      <c r="C45" s="3" t="n">
        <v>4.7</v>
      </c>
      <c r="D45" s="3" t="n">
        <v>4.7</v>
      </c>
      <c r="E45" s="3" t="n">
        <v>4.6</v>
      </c>
      <c r="F45" s="3" t="n">
        <v>4.6</v>
      </c>
      <c r="G45" s="3" t="n">
        <v>4.5</v>
      </c>
      <c r="H45" s="3" t="n">
        <v>4.5</v>
      </c>
      <c r="I45" s="3" t="n">
        <v>4.5</v>
      </c>
      <c r="J45" s="3" t="n">
        <v>4.5</v>
      </c>
      <c r="K45" s="3" t="n">
        <v>4.5</v>
      </c>
      <c r="L45" s="3" t="n">
        <v>4.5</v>
      </c>
    </row>
    <row r="46" customFormat="false" ht="15" hidden="false" customHeight="false" outlineLevel="0" collapsed="false">
      <c r="A46" s="0" t="s">
        <v>101</v>
      </c>
      <c r="C46" s="3" t="n">
        <v>7.5</v>
      </c>
      <c r="D46" s="3" t="n">
        <v>7.5</v>
      </c>
      <c r="E46" s="3" t="n">
        <v>7</v>
      </c>
      <c r="F46" s="3" t="n">
        <v>7</v>
      </c>
      <c r="G46" s="3" t="n">
        <v>6.5</v>
      </c>
      <c r="H46" s="3" t="n">
        <v>6</v>
      </c>
      <c r="I46" s="3" t="n">
        <v>6</v>
      </c>
      <c r="J46" s="3" t="n">
        <v>5.5</v>
      </c>
      <c r="K46" s="3" t="n">
        <v>5.5</v>
      </c>
      <c r="L46" s="3" t="n">
        <v>5.5</v>
      </c>
    </row>
    <row r="47" customFormat="false" ht="15" hidden="false" customHeight="false" outlineLevel="0" collapsed="false">
      <c r="A47" s="0" t="s">
        <v>102</v>
      </c>
      <c r="C47" s="3" t="n">
        <v>17</v>
      </c>
      <c r="D47" s="3" t="n">
        <v>17</v>
      </c>
      <c r="E47" s="3" t="n">
        <v>17</v>
      </c>
      <c r="F47" s="3" t="n">
        <v>18</v>
      </c>
      <c r="G47" s="3" t="n">
        <v>18</v>
      </c>
      <c r="H47" s="3" t="n">
        <v>19</v>
      </c>
      <c r="I47" s="3" t="n">
        <v>19</v>
      </c>
      <c r="J47" s="3" t="n">
        <v>19</v>
      </c>
      <c r="K47" s="3" t="n">
        <v>19</v>
      </c>
      <c r="L47" s="3" t="n">
        <v>19</v>
      </c>
    </row>
    <row r="48" customFormat="false" ht="15" hidden="false" customHeight="false" outlineLevel="0" collapsed="false">
      <c r="A48" s="0" t="s">
        <v>103</v>
      </c>
      <c r="B48" s="3" t="n">
        <v>8</v>
      </c>
    </row>
    <row r="49" customFormat="false" ht="15" hidden="false" customHeight="false" outlineLevel="0" collapsed="false">
      <c r="A49" s="0" t="s">
        <v>104</v>
      </c>
      <c r="B49" s="3" t="n">
        <v>3</v>
      </c>
    </row>
    <row r="50" customFormat="false" ht="15" hidden="false" customHeight="false" outlineLevel="0" collapsed="false">
      <c r="A50" s="0" t="s">
        <v>105</v>
      </c>
      <c r="B50" s="3" t="n">
        <v>15</v>
      </c>
    </row>
    <row r="51" customFormat="false" ht="15" hidden="false" customHeight="false" outlineLevel="0" collapsed="false">
      <c r="A51" s="0" t="s">
        <v>106</v>
      </c>
      <c r="B51" s="3" t="n">
        <v>-20</v>
      </c>
    </row>
    <row r="52" customFormat="false" ht="15" hidden="false" customHeight="false" outlineLevel="0" collapsed="false">
      <c r="A52" s="0" t="s">
        <v>107</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110</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Assumptions!C13</f>
        <v>-16</v>
      </c>
      <c r="D5" s="4" t="n">
        <f aca="false">Assumptions!D13</f>
        <v>-2</v>
      </c>
      <c r="E5" s="4" t="n">
        <f aca="false">Assumptions!E13</f>
        <v>-1</v>
      </c>
      <c r="F5" s="4" t="n">
        <f aca="false">Assumptions!F13</f>
        <v>0</v>
      </c>
      <c r="G5" s="4" t="n">
        <f aca="false">Assumptions!G13</f>
        <v>1</v>
      </c>
      <c r="H5" s="4" t="n">
        <f aca="false">Assumptions!H13</f>
        <v>1.5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32100</v>
      </c>
      <c r="C6" s="0" t="n">
        <f aca="false">B6*(1+C5/100)</f>
        <v>26964</v>
      </c>
      <c r="D6" s="0" t="n">
        <f aca="false">C6*(1+D5/100)</f>
        <v>26424.72</v>
      </c>
      <c r="E6" s="0" t="n">
        <f aca="false">D6*(1+E5/100)</f>
        <v>26160.4728</v>
      </c>
      <c r="F6" s="0" t="n">
        <f aca="false">E6*(1+F5/100)</f>
        <v>26160.4728</v>
      </c>
      <c r="G6" s="0" t="n">
        <f aca="false">F6*(1+G5/100)</f>
        <v>26422.077528</v>
      </c>
      <c r="H6" s="0" t="n">
        <f aca="false">G6*(1+H5/100)</f>
        <v>26818.40869092</v>
      </c>
      <c r="I6" s="0" t="n">
        <f aca="false">H6*(1+I5/100)</f>
        <v>27354.7768647384</v>
      </c>
      <c r="J6" s="0" t="n">
        <f aca="false">I6*(1+J5/100)</f>
        <v>27901.8724020332</v>
      </c>
      <c r="K6" s="0" t="n">
        <f aca="false">J6*(1+K5/100)</f>
        <v>28459.9098500738</v>
      </c>
      <c r="L6" s="0" t="n">
        <f aca="false">K6*(1+L5/100)</f>
        <v>29029.1080470753</v>
      </c>
    </row>
    <row r="7" customFormat="false" ht="15" hidden="false" customHeight="false" outlineLevel="0" collapsed="false">
      <c r="A7" s="0" t="s">
        <v>97</v>
      </c>
      <c r="C7" s="4" t="n">
        <f aca="false">Assumptions!C14</f>
        <v>22</v>
      </c>
      <c r="D7" s="4" t="n">
        <f aca="false">Assumptions!D14</f>
        <v>21.5</v>
      </c>
      <c r="E7" s="4" t="n">
        <f aca="false">Assumptions!E14</f>
        <v>21</v>
      </c>
      <c r="F7" s="4" t="n">
        <f aca="false">Assumptions!F14</f>
        <v>21</v>
      </c>
      <c r="G7" s="4" t="n">
        <f aca="false">Assumptions!G14</f>
        <v>21</v>
      </c>
      <c r="H7" s="4" t="n">
        <f aca="false">Assumptions!H14</f>
        <v>21</v>
      </c>
      <c r="I7" s="4" t="n">
        <f aca="false">Assumptions!I14</f>
        <v>21</v>
      </c>
      <c r="J7" s="4" t="n">
        <f aca="false">Assumptions!J14</f>
        <v>21</v>
      </c>
      <c r="K7" s="4" t="n">
        <f aca="false">Assumptions!K14</f>
        <v>21</v>
      </c>
      <c r="L7" s="4" t="n">
        <f aca="false">Assumptions!L14</f>
        <v>21</v>
      </c>
    </row>
    <row r="8" customFormat="false" ht="15" hidden="false" customHeight="false" outlineLevel="0" collapsed="false">
      <c r="A8" s="0" t="s">
        <v>44</v>
      </c>
      <c r="C8" s="0" t="n">
        <f aca="false">C6*C7/100</f>
        <v>5932.08</v>
      </c>
      <c r="D8" s="0" t="n">
        <f aca="false">D6*D7/100</f>
        <v>5681.3148</v>
      </c>
      <c r="E8" s="0" t="n">
        <f aca="false">E6*E7/100</f>
        <v>5493.699288</v>
      </c>
      <c r="F8" s="0" t="n">
        <f aca="false">F6*F7/100</f>
        <v>5493.699288</v>
      </c>
      <c r="G8" s="0" t="n">
        <f aca="false">G6*G7/100</f>
        <v>5548.63628088</v>
      </c>
      <c r="H8" s="0" t="n">
        <f aca="false">H6*H7/100</f>
        <v>5631.8658250932</v>
      </c>
      <c r="I8" s="0" t="n">
        <f aca="false">I6*I7/100</f>
        <v>5744.50314159506</v>
      </c>
      <c r="J8" s="0" t="n">
        <f aca="false">J6*J7/100</f>
        <v>5859.39320442696</v>
      </c>
      <c r="K8" s="0" t="n">
        <f aca="false">K6*K7/100</f>
        <v>5976.5810685155</v>
      </c>
      <c r="L8" s="0" t="n">
        <f aca="false">L6*L7/100</f>
        <v>6096.11268988581</v>
      </c>
    </row>
    <row r="9" customFormat="false" ht="15" hidden="false" customHeight="false" outlineLevel="0" collapsed="false">
      <c r="A9" s="0" t="s">
        <v>98</v>
      </c>
      <c r="C9" s="4" t="n">
        <f aca="false">Assumptions!C15</f>
        <v>0.6</v>
      </c>
      <c r="D9" s="4" t="n">
        <f aca="false">Assumptions!D15</f>
        <v>0.6</v>
      </c>
      <c r="E9" s="4" t="n">
        <f aca="false">Assumptions!E15</f>
        <v>0.6</v>
      </c>
      <c r="F9" s="4" t="n">
        <f aca="false">Assumptions!F15</f>
        <v>0.6</v>
      </c>
      <c r="G9" s="4" t="n">
        <f aca="false">Assumptions!G15</f>
        <v>0.6</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113</v>
      </c>
      <c r="C10" s="0" t="n">
        <f aca="false">-C6*C9/100</f>
        <v>-161.784</v>
      </c>
      <c r="D10" s="0" t="n">
        <f aca="false">-D6*D9/100</f>
        <v>-158.54832</v>
      </c>
      <c r="E10" s="0" t="n">
        <f aca="false">-E6*E9/100</f>
        <v>-156.9628368</v>
      </c>
      <c r="F10" s="0" t="n">
        <f aca="false">-F6*F9/100</f>
        <v>-156.9628368</v>
      </c>
      <c r="G10" s="0" t="n">
        <f aca="false">-G6*G9/100</f>
        <v>-158.532465168</v>
      </c>
      <c r="H10" s="0" t="n">
        <f aca="false">-H6*H9/100</f>
        <v>-134.0920434546</v>
      </c>
      <c r="I10" s="0" t="n">
        <f aca="false">-I6*I9/100</f>
        <v>-136.773884323692</v>
      </c>
      <c r="J10" s="0" t="n">
        <f aca="false">-J6*J9/100</f>
        <v>-139.509362010166</v>
      </c>
      <c r="K10" s="0" t="n">
        <f aca="false">-K6*K9/100</f>
        <v>-142.299549250369</v>
      </c>
      <c r="L10" s="0" t="n">
        <f aca="false">-L6*L9/100</f>
        <v>-145.145540235377</v>
      </c>
    </row>
    <row r="11" customFormat="false" ht="15" hidden="false" customHeight="false" outlineLevel="0" collapsed="false">
      <c r="A11" s="0" t="s">
        <v>114</v>
      </c>
      <c r="C11" s="0" t="n">
        <f aca="false">C8+C10+C24</f>
        <v>5635.476</v>
      </c>
      <c r="D11" s="0" t="n">
        <f aca="false">D8+D10+D24</f>
        <v>5390.64288</v>
      </c>
      <c r="E11" s="0" t="n">
        <f aca="false">E8+E10+E24</f>
        <v>5205.9340872</v>
      </c>
      <c r="F11" s="0" t="n">
        <f aca="false">F8+F10+F24</f>
        <v>5205.9340872</v>
      </c>
      <c r="G11" s="0" t="n">
        <f aca="false">G8+G10+G24</f>
        <v>5257.993428072</v>
      </c>
      <c r="H11" s="0" t="n">
        <f aca="false">H8+H10+H24</f>
        <v>5363.681738184</v>
      </c>
      <c r="I11" s="0" t="n">
        <f aca="false">I8+I10+I24</f>
        <v>5470.95537294768</v>
      </c>
      <c r="J11" s="0" t="n">
        <f aca="false">J8+J10+J24</f>
        <v>5580.37448040663</v>
      </c>
      <c r="K11" s="0" t="n">
        <f aca="false">K8+K10+K24</f>
        <v>5691.98197001477</v>
      </c>
      <c r="L11" s="0" t="n">
        <f aca="false">L8+L10+L24</f>
        <v>5805.82160941506</v>
      </c>
    </row>
    <row r="12" customFormat="false" ht="15" hidden="false" customHeight="false" outlineLevel="0" collapsed="false">
      <c r="A12" s="0" t="s">
        <v>115</v>
      </c>
      <c r="C12" s="4" t="n">
        <f aca="false">-C6*Assumptions!C17/100</f>
        <v>-1267.308</v>
      </c>
      <c r="D12" s="4" t="n">
        <f aca="false">-D6*Assumptions!D17/100</f>
        <v>-1241.96184</v>
      </c>
      <c r="E12" s="4" t="n">
        <f aca="false">-E6*Assumptions!E17/100</f>
        <v>-1229.5422216</v>
      </c>
      <c r="F12" s="4" t="n">
        <f aca="false">-F6*Assumptions!F17/100</f>
        <v>-1229.5422216</v>
      </c>
      <c r="G12" s="4" t="n">
        <f aca="false">-G6*Assumptions!G17/100</f>
        <v>-1241.837643816</v>
      </c>
      <c r="H12" s="4" t="n">
        <f aca="false">-H6*Assumptions!H17/100</f>
        <v>-1260.46520847324</v>
      </c>
      <c r="I12" s="4" t="n">
        <f aca="false">-I6*Assumptions!I17/100</f>
        <v>-1285.6745126427</v>
      </c>
      <c r="J12" s="4" t="n">
        <f aca="false">-J6*Assumptions!J17/100</f>
        <v>-1311.38800289556</v>
      </c>
      <c r="K12" s="4" t="n">
        <f aca="false">-K6*Assumptions!K17/100</f>
        <v>-1337.61576295347</v>
      </c>
      <c r="L12" s="4" t="n">
        <f aca="false">-L6*Assumptions!L17/100</f>
        <v>-1364.36807821254</v>
      </c>
    </row>
    <row r="13" customFormat="false" ht="15" hidden="false" customHeight="false" outlineLevel="0" collapsed="false">
      <c r="A13" s="0" t="s">
        <v>116</v>
      </c>
      <c r="C13" s="0" t="n">
        <f aca="false">C11+C12</f>
        <v>4368.168</v>
      </c>
      <c r="D13" s="0" t="n">
        <f aca="false">D11+D12</f>
        <v>4148.68104</v>
      </c>
      <c r="E13" s="0" t="n">
        <f aca="false">E11+E12</f>
        <v>3976.3918656</v>
      </c>
      <c r="F13" s="0" t="n">
        <f aca="false">F11+F12</f>
        <v>3976.3918656</v>
      </c>
      <c r="G13" s="0" t="n">
        <f aca="false">G11+G12</f>
        <v>4016.155784256</v>
      </c>
      <c r="H13" s="0" t="n">
        <f aca="false">H11+H12</f>
        <v>4103.21652971076</v>
      </c>
      <c r="I13" s="0" t="n">
        <f aca="false">I11+I12</f>
        <v>4185.28086030497</v>
      </c>
      <c r="J13" s="0" t="n">
        <f aca="false">J11+J12</f>
        <v>4268.98647751107</v>
      </c>
      <c r="K13" s="0" t="n">
        <f aca="false">K11+K12</f>
        <v>4354.3662070613</v>
      </c>
      <c r="L13" s="0" t="n">
        <f aca="false">L11+L12</f>
        <v>4441.45353120252</v>
      </c>
    </row>
    <row r="14" customFormat="false" ht="15" hidden="false" customHeight="false" outlineLevel="0" collapsed="false">
      <c r="A14" s="0" t="s">
        <v>102</v>
      </c>
      <c r="C14" s="4" t="n">
        <f aca="false">Assumptions!C19</f>
        <v>20</v>
      </c>
      <c r="D14" s="4" t="n">
        <f aca="false">Assumptions!D19</f>
        <v>20</v>
      </c>
      <c r="E14" s="4" t="n">
        <f aca="false">Assumptions!E19</f>
        <v>21</v>
      </c>
      <c r="F14" s="4" t="n">
        <f aca="false">Assumptions!F19</f>
        <v>22</v>
      </c>
      <c r="G14" s="4" t="n">
        <f aca="false">Assumptions!G19</f>
        <v>22</v>
      </c>
      <c r="H14" s="4" t="n">
        <f aca="false">Assumptions!H19</f>
        <v>22</v>
      </c>
      <c r="I14" s="4" t="n">
        <f aca="false">Assumptions!I19</f>
        <v>22</v>
      </c>
      <c r="J14" s="4" t="n">
        <f aca="false">Assumptions!J19</f>
        <v>22</v>
      </c>
      <c r="K14" s="4" t="n">
        <f aca="false">Assumptions!K19</f>
        <v>22</v>
      </c>
      <c r="L14" s="4" t="n">
        <f aca="false">Assumptions!L19</f>
        <v>22</v>
      </c>
    </row>
    <row r="15" customFormat="false" ht="15" hidden="false" customHeight="false" outlineLevel="0" collapsed="false">
      <c r="A15" s="0" t="s">
        <v>117</v>
      </c>
      <c r="C15" s="0" t="n">
        <f aca="false">C13-MAX(0,C13)*C14/100</f>
        <v>3494.5344</v>
      </c>
      <c r="D15" s="0" t="n">
        <f aca="false">D13-MAX(0,D13)*D14/100</f>
        <v>3318.944832</v>
      </c>
      <c r="E15" s="0" t="n">
        <f aca="false">E13-MAX(0,E13)*E14/100</f>
        <v>3141.349573824</v>
      </c>
      <c r="F15" s="0" t="n">
        <f aca="false">F13-MAX(0,F13)*F14/100</f>
        <v>3101.585655168</v>
      </c>
      <c r="G15" s="0" t="n">
        <f aca="false">G13-MAX(0,G13)*G14/100</f>
        <v>3132.60151171968</v>
      </c>
      <c r="H15" s="0" t="n">
        <f aca="false">H13-MAX(0,H13)*H14/100</f>
        <v>3200.50889317439</v>
      </c>
      <c r="I15" s="0" t="n">
        <f aca="false">I13-MAX(0,I13)*I14/100</f>
        <v>3264.51907103788</v>
      </c>
      <c r="J15" s="0" t="n">
        <f aca="false">J13-MAX(0,J13)*J14/100</f>
        <v>3329.80945245864</v>
      </c>
      <c r="K15" s="0" t="n">
        <f aca="false">K13-MAX(0,K13)*K14/100</f>
        <v>3396.40564150781</v>
      </c>
      <c r="L15" s="0" t="n">
        <f aca="false">L13-MAX(0,L13)*L14/100</f>
        <v>3464.33375433797</v>
      </c>
    </row>
    <row r="16" customFormat="false" ht="15" hidden="false" customHeight="false" outlineLevel="0" collapsed="false">
      <c r="A16" s="0" t="s">
        <v>118</v>
      </c>
      <c r="C16" s="0" t="n">
        <f aca="false">-C12</f>
        <v>1267.308</v>
      </c>
      <c r="D16" s="0" t="n">
        <f aca="false">-D12</f>
        <v>1241.96184</v>
      </c>
      <c r="E16" s="0" t="n">
        <f aca="false">-E12</f>
        <v>1229.5422216</v>
      </c>
      <c r="F16" s="0" t="n">
        <f aca="false">-F12</f>
        <v>1229.5422216</v>
      </c>
      <c r="G16" s="0" t="n">
        <f aca="false">-G12</f>
        <v>1241.837643816</v>
      </c>
      <c r="H16" s="0" t="n">
        <f aca="false">-H12</f>
        <v>1260.46520847324</v>
      </c>
      <c r="I16" s="0" t="n">
        <f aca="false">-I12</f>
        <v>1285.6745126427</v>
      </c>
      <c r="J16" s="0" t="n">
        <f aca="false">-J12</f>
        <v>1311.38800289556</v>
      </c>
      <c r="K16" s="0" t="n">
        <f aca="false">-K12</f>
        <v>1337.61576295347</v>
      </c>
      <c r="L16" s="0" t="n">
        <f aca="false">-L12</f>
        <v>1364.36807821254</v>
      </c>
    </row>
    <row r="17" customFormat="false" ht="15" hidden="false" customHeight="false" outlineLevel="0" collapsed="false">
      <c r="A17" s="0" t="s">
        <v>119</v>
      </c>
      <c r="C17" s="4" t="n">
        <f aca="false">-C6*Assumptions!C18/100</f>
        <v>-2022.3</v>
      </c>
      <c r="D17" s="4" t="n">
        <f aca="false">-D6*Assumptions!D18/100</f>
        <v>-1849.7304</v>
      </c>
      <c r="E17" s="4" t="n">
        <f aca="false">-E6*Assumptions!E18/100</f>
        <v>-1700.430732</v>
      </c>
      <c r="F17" s="4" t="n">
        <f aca="false">-F6*Assumptions!F18/100</f>
        <v>-1569.628368</v>
      </c>
      <c r="G17" s="4" t="n">
        <f aca="false">-G6*Assumptions!G18/100</f>
        <v>-1453.21426404</v>
      </c>
      <c r="H17" s="4" t="n">
        <f aca="false">-H6*Assumptions!H18/100</f>
        <v>-1340.920434546</v>
      </c>
      <c r="I17" s="4" t="n">
        <f aca="false">-I6*Assumptions!I18/100</f>
        <v>-1367.73884323692</v>
      </c>
      <c r="J17" s="4" t="n">
        <f aca="false">-J6*Assumptions!J18/100</f>
        <v>-1395.09362010166</v>
      </c>
      <c r="K17" s="4" t="n">
        <f aca="false">-K6*Assumptions!K18/100</f>
        <v>-1422.99549250369</v>
      </c>
      <c r="L17" s="4" t="n">
        <f aca="false">-L6*Assumptions!L18/100</f>
        <v>-1451.45540235377</v>
      </c>
    </row>
    <row r="18" customFormat="false" ht="15" hidden="false" customHeight="false" outlineLevel="0" collapsed="false">
      <c r="A18" s="0" t="s">
        <v>120</v>
      </c>
      <c r="C18" s="4" t="n">
        <f aca="false">(C6-B6)*Assumptions!$B$23/100</f>
        <v>1027.2</v>
      </c>
      <c r="D18" s="4" t="n">
        <f aca="false">(D6-C6)*Assumptions!$B$23/100</f>
        <v>107.856</v>
      </c>
      <c r="E18" s="4" t="n">
        <f aca="false">(E6-D6)*Assumptions!$B$23/100</f>
        <v>52.8494400000003</v>
      </c>
      <c r="F18" s="4" t="n">
        <f aca="false">(F6-E6)*Assumptions!$B$23/100</f>
        <v>-0</v>
      </c>
      <c r="G18" s="4" t="n">
        <f aca="false">(G6-F6)*Assumptions!$B$23/100</f>
        <v>-52.3209455999997</v>
      </c>
      <c r="H18" s="4" t="n">
        <f aca="false">(H6-G6)*Assumptions!$B$23/100</f>
        <v>-79.2662325839992</v>
      </c>
      <c r="I18" s="4" t="n">
        <f aca="false">(I6-H6)*Assumptions!$B$23/100</f>
        <v>-107.27363476368</v>
      </c>
      <c r="J18" s="4" t="n">
        <f aca="false">(J6-I6)*Assumptions!$B$23/100</f>
        <v>-109.419107458954</v>
      </c>
      <c r="K18" s="4" t="n">
        <f aca="false">(K6-J6)*Assumptions!$B$23/100</f>
        <v>-111.607489608133</v>
      </c>
      <c r="L18" s="4" t="n">
        <f aca="false">(L6-K6)*Assumptions!$B$23/100</f>
        <v>-113.839639400296</v>
      </c>
    </row>
    <row r="19" customFormat="false" ht="15" hidden="false" customHeight="false" outlineLevel="0" collapsed="false">
      <c r="A19" s="0" t="s">
        <v>121</v>
      </c>
      <c r="C19" s="0" t="n">
        <f aca="false">C15+C16+C17+C18</f>
        <v>3766.7424</v>
      </c>
      <c r="D19" s="0" t="n">
        <f aca="false">D15+D16+D17+D18</f>
        <v>2819.032272</v>
      </c>
      <c r="E19" s="0" t="n">
        <f aca="false">E15+E16+E17+E18</f>
        <v>2723.310503424</v>
      </c>
      <c r="F19" s="0" t="n">
        <f aca="false">F15+F16+F17+F18</f>
        <v>2761.499508768</v>
      </c>
      <c r="G19" s="0" t="n">
        <f aca="false">G15+G16+G17+G18</f>
        <v>2868.90394589568</v>
      </c>
      <c r="H19" s="0" t="n">
        <f aca="false">H15+H16+H17+H18</f>
        <v>3040.78743451763</v>
      </c>
      <c r="I19" s="0" t="n">
        <f aca="false">I15+I16+I17+I18</f>
        <v>3075.18110567998</v>
      </c>
      <c r="J19" s="0" t="n">
        <f aca="false">J15+J16+J17+J18</f>
        <v>3136.68472779358</v>
      </c>
      <c r="K19" s="0" t="n">
        <f aca="false">K15+K16+K17+K18</f>
        <v>3199.41842234946</v>
      </c>
      <c r="L19" s="0" t="n">
        <f aca="false">L15+L16+L17+L18</f>
        <v>3263.40679079644</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3487.72444444444</v>
      </c>
      <c r="D21" s="0" t="n">
        <f aca="false">D19*D20</f>
        <v>2416.86580246914</v>
      </c>
      <c r="E21" s="0" t="n">
        <f aca="false">E19*E20</f>
        <v>2161.85167992684</v>
      </c>
      <c r="F21" s="0" t="n">
        <f aca="false">F19*F20</f>
        <v>2029.78457742722</v>
      </c>
      <c r="G21" s="0" t="n">
        <f aca="false">G19*G20</f>
        <v>1952.52781948043</v>
      </c>
      <c r="H21" s="0" t="n">
        <f aca="false">H19*H20</f>
        <v>1916.21188304081</v>
      </c>
      <c r="I21" s="0" t="n">
        <f aca="false">I19*I20</f>
        <v>1794.33863885586</v>
      </c>
      <c r="J21" s="0" t="n">
        <f aca="false">J19*J20</f>
        <v>1694.65315891942</v>
      </c>
      <c r="K21" s="0" t="n">
        <f aca="false">K19*K20</f>
        <v>1600.50576120168</v>
      </c>
      <c r="L21" s="0" t="n">
        <f aca="false">L19*L20</f>
        <v>1511.58877446825</v>
      </c>
    </row>
    <row r="23" customFormat="false" ht="15" hidden="false" customHeight="false" outlineLevel="0" collapsed="false">
      <c r="A23" s="0" t="s">
        <v>99</v>
      </c>
      <c r="C23" s="4" t="n">
        <f aca="false">Assumptions!C16</f>
        <v>0.5</v>
      </c>
      <c r="D23" s="4" t="n">
        <f aca="false">Assumptions!D16</f>
        <v>0.5</v>
      </c>
      <c r="E23" s="4" t="n">
        <f aca="false">Assumptions!E16</f>
        <v>0.5</v>
      </c>
      <c r="F23" s="4" t="n">
        <f aca="false">Assumptions!F16</f>
        <v>0.5</v>
      </c>
      <c r="G23" s="4" t="n">
        <f aca="false">Assumptions!G16</f>
        <v>0.5</v>
      </c>
      <c r="H23" s="4" t="n">
        <f aca="false">Assumptions!H16</f>
        <v>0.5</v>
      </c>
      <c r="I23" s="4" t="n">
        <f aca="false">Assumptions!I16</f>
        <v>0.5</v>
      </c>
      <c r="J23" s="4" t="n">
        <f aca="false">Assumptions!J16</f>
        <v>0.5</v>
      </c>
      <c r="K23" s="4" t="n">
        <f aca="false">Assumptions!K16</f>
        <v>0.5</v>
      </c>
      <c r="L23" s="4" t="n">
        <f aca="false">Assumptions!L16</f>
        <v>0.5</v>
      </c>
    </row>
    <row r="24" customFormat="false" ht="15" hidden="false" customHeight="false" outlineLevel="0" collapsed="false">
      <c r="A24" s="0" t="s">
        <v>124</v>
      </c>
      <c r="C24" s="0" t="n">
        <f aca="false">-C6*C23/100</f>
        <v>-134.82</v>
      </c>
      <c r="D24" s="0" t="n">
        <f aca="false">-D6*D23/100</f>
        <v>-132.1236</v>
      </c>
      <c r="E24" s="0" t="n">
        <f aca="false">-E6*E23/100</f>
        <v>-130.802364</v>
      </c>
      <c r="F24" s="0" t="n">
        <f aca="false">-F6*F23/100</f>
        <v>-130.802364</v>
      </c>
      <c r="G24" s="0" t="n">
        <f aca="false">-G6*G23/100</f>
        <v>-132.11038764</v>
      </c>
      <c r="H24" s="0" t="n">
        <f aca="false">-H6*H23/100</f>
        <v>-134.0920434546</v>
      </c>
      <c r="I24" s="0" t="n">
        <f aca="false">-I6*I23/100</f>
        <v>-136.773884323692</v>
      </c>
      <c r="J24" s="0" t="n">
        <f aca="false">-J6*J23/100</f>
        <v>-139.509362010166</v>
      </c>
      <c r="K24" s="0" t="n">
        <f aca="false">-K6*K23/100</f>
        <v>-142.299549250369</v>
      </c>
      <c r="L24" s="0" t="n">
        <f aca="false">-L6*L23/100</f>
        <v>-145.145540235377</v>
      </c>
    </row>
    <row r="26" customFormat="false" ht="15" hidden="false" customHeight="false" outlineLevel="0" collapsed="false">
      <c r="A26" s="2" t="s">
        <v>125</v>
      </c>
    </row>
    <row r="27" customFormat="false" ht="15" hidden="false" customHeight="false" outlineLevel="0" collapsed="false">
      <c r="A27" s="0" t="s">
        <v>103</v>
      </c>
      <c r="B27" s="4" t="n">
        <f aca="false">Assumptions!$B$20</f>
        <v>8</v>
      </c>
    </row>
    <row r="28" customFormat="false" ht="15" hidden="false" customHeight="false" outlineLevel="0" collapsed="false">
      <c r="A28" s="0" t="s">
        <v>104</v>
      </c>
      <c r="B28" s="4" t="n">
        <f aca="false">Assumptions!$B$21</f>
        <v>2</v>
      </c>
    </row>
    <row r="29" customFormat="false" ht="15" hidden="false" customHeight="false" outlineLevel="0" collapsed="false">
      <c r="A29" s="0" t="s">
        <v>105</v>
      </c>
      <c r="B29" s="4" t="n">
        <f aca="false">Assumptions!$B$22</f>
        <v>12</v>
      </c>
    </row>
    <row r="30" customFormat="false" ht="15" hidden="false" customHeight="false" outlineLevel="0" collapsed="false">
      <c r="A30" s="0" t="s">
        <v>126</v>
      </c>
      <c r="B30" s="0" t="n">
        <f aca="false">SUM(C21:L21)</f>
        <v>20566.0525402341</v>
      </c>
    </row>
    <row r="31" customFormat="false" ht="15" hidden="false" customHeight="false" outlineLevel="0" collapsed="false">
      <c r="A31" s="0" t="s">
        <v>127</v>
      </c>
      <c r="B31" s="0" t="n">
        <f aca="false">L19</f>
        <v>3263.40679079644</v>
      </c>
    </row>
    <row r="32" customFormat="false" ht="15" hidden="false" customHeight="false" outlineLevel="0" collapsed="false">
      <c r="A32" s="0" t="s">
        <v>128</v>
      </c>
      <c r="B32" s="0" t="n">
        <f aca="false">IF(B27&gt;B28,B31*(1+B28/100)/((B27-B28)/100),B31*B29)</f>
        <v>55477.9154435396</v>
      </c>
    </row>
    <row r="33" customFormat="false" ht="15" hidden="false" customHeight="false" outlineLevel="0" collapsed="false">
      <c r="A33" s="0" t="s">
        <v>129</v>
      </c>
      <c r="B33" s="0" t="n">
        <f aca="false">B31*B29</f>
        <v>39160.8814895573</v>
      </c>
    </row>
    <row r="34" customFormat="false" ht="15" hidden="false" customHeight="false" outlineLevel="0" collapsed="false">
      <c r="A34" s="0" t="s">
        <v>130</v>
      </c>
      <c r="B34" s="0" t="n">
        <f aca="false">MAX(0,MIN(B32,B33))</f>
        <v>39160.8814895573</v>
      </c>
    </row>
    <row r="35" customFormat="false" ht="15" hidden="false" customHeight="false" outlineLevel="0" collapsed="false">
      <c r="A35" s="0" t="s">
        <v>131</v>
      </c>
      <c r="B35" s="0" t="n">
        <f aca="false">B34/(1+B27/100)^L4</f>
        <v>18139.065293619</v>
      </c>
    </row>
    <row r="36" customFormat="false" ht="15" hidden="false" customHeight="false" outlineLevel="0" collapsed="false">
      <c r="A36" s="0" t="s">
        <v>132</v>
      </c>
      <c r="B36" s="0" t="n">
        <f aca="false">B30+B35</f>
        <v>38705.1178338531</v>
      </c>
    </row>
    <row r="37" customFormat="false" ht="15" hidden="false" customHeight="false" outlineLevel="0" collapsed="false">
      <c r="A37" s="0" t="s">
        <v>133</v>
      </c>
      <c r="B37" s="0" t="n">
        <f aca="false">B36+Assumptions!$B$5-Assumptions!$B$4</f>
        <v>58468.9178338531</v>
      </c>
    </row>
    <row r="38" customFormat="false" ht="15" hidden="false" customHeight="false" outlineLevel="0" collapsed="false">
      <c r="A38" s="0" t="s">
        <v>134</v>
      </c>
      <c r="B38" s="0" t="n">
        <f aca="false">B37/Assumptions!$B$3*Assumptions!$B$10</f>
        <v>6.00151186382159</v>
      </c>
    </row>
    <row r="39" customFormat="false" ht="15" hidden="false" customHeight="false" outlineLevel="0" collapsed="false">
      <c r="A39" s="0" t="s">
        <v>135</v>
      </c>
      <c r="B39" s="4" t="n">
        <f aca="false">B38/Assumptions!$B$2-1</f>
        <v>-0.339404307779682</v>
      </c>
    </row>
    <row r="41" customFormat="false" ht="15" hidden="false" customHeight="false" outlineLevel="0" collapsed="false">
      <c r="A41" s="0" t="s">
        <v>136</v>
      </c>
      <c r="B41" s="0" t="n">
        <f aca="false">SUMPRODUCT(-C10:L10/(1+$B$27/100)^C4:L4)</f>
        <v>1011.69391273424</v>
      </c>
    </row>
    <row r="42" customFormat="false" ht="15" hidden="false" customHeight="false" outlineLevel="0" collapsed="false">
      <c r="A42" s="0" t="s">
        <v>137</v>
      </c>
      <c r="B42" s="0" t="n">
        <f aca="false">IF(B27&gt;B28,-L10*(1+B28/100)/((B27-B28)/100),-L10*20)/(1+B27/100)^L4</f>
        <v>1142.91797404652</v>
      </c>
    </row>
    <row r="43" customFormat="false" ht="15" hidden="false" customHeight="false" outlineLevel="0" collapsed="false">
      <c r="A43" s="0" t="s">
        <v>138</v>
      </c>
      <c r="B43" s="0" t="n">
        <f aca="false">(B37+B41+B42)/Assumptions!$B$3*Assumptions!$B$10</f>
        <v>6.22267088778695</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25605.1917431721</v>
      </c>
    </row>
    <row r="47" customFormat="false" ht="15" hidden="false" customHeight="false" outlineLevel="0" collapsed="false">
      <c r="A47" s="0" t="s">
        <v>140</v>
      </c>
      <c r="B47" s="0" t="n">
        <f aca="false">(SUMPRODUCT(C19:L19/(1+B45/100)^C4:L4)+B46/(1+B45/100)^L4+Assumptions!$B$5-Assumptions!$B$4)/Assumptions!$B$3*Assumptions!$B$10</f>
        <v>4.26057954181051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141</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Assumptions!C27</f>
        <v>-9</v>
      </c>
      <c r="D5" s="4" t="n">
        <f aca="false">Assumptions!D27</f>
        <v>5.5</v>
      </c>
      <c r="E5" s="4" t="n">
        <f aca="false">Assumptions!E27</f>
        <v>5.5</v>
      </c>
      <c r="F5" s="4" t="n">
        <f aca="false">Assumptions!F27</f>
        <v>5.2</v>
      </c>
      <c r="G5" s="4" t="n">
        <f aca="false">Assumptions!G27</f>
        <v>4.5</v>
      </c>
      <c r="H5" s="4" t="n">
        <f aca="false">Assumptions!H27</f>
        <v>4</v>
      </c>
      <c r="I5" s="4" t="n">
        <f aca="false">Assumptions!I27</f>
        <v>3.5</v>
      </c>
      <c r="J5" s="4" t="n">
        <f aca="false">Assumptions!J27</f>
        <v>3</v>
      </c>
      <c r="K5" s="4" t="n">
        <f aca="false">Assumptions!K27</f>
        <v>3</v>
      </c>
      <c r="L5" s="4" t="n">
        <f aca="false">Assumptions!L27</f>
        <v>2.5</v>
      </c>
    </row>
    <row r="6" customFormat="false" ht="15" hidden="false" customHeight="false" outlineLevel="0" collapsed="false">
      <c r="A6" s="0" t="s">
        <v>38</v>
      </c>
      <c r="B6" s="3" t="n">
        <v>32100</v>
      </c>
      <c r="C6" s="0" t="n">
        <f aca="false">B6*(1+C5/100)</f>
        <v>29211</v>
      </c>
      <c r="D6" s="0" t="n">
        <f aca="false">C6*(1+D5/100)</f>
        <v>30817.605</v>
      </c>
      <c r="E6" s="0" t="n">
        <f aca="false">D6*(1+E5/100)</f>
        <v>32512.573275</v>
      </c>
      <c r="F6" s="0" t="n">
        <f aca="false">E6*(1+F5/100)</f>
        <v>34203.2270853</v>
      </c>
      <c r="G6" s="0" t="n">
        <f aca="false">F6*(1+G5/100)</f>
        <v>35742.3723041385</v>
      </c>
      <c r="H6" s="0" t="n">
        <f aca="false">G6*(1+H5/100)</f>
        <v>37172.067196304</v>
      </c>
      <c r="I6" s="0" t="n">
        <f aca="false">H6*(1+I5/100)</f>
        <v>38473.0895481747</v>
      </c>
      <c r="J6" s="0" t="n">
        <f aca="false">I6*(1+J5/100)</f>
        <v>39627.2822346199</v>
      </c>
      <c r="K6" s="0" t="n">
        <f aca="false">J6*(1+K5/100)</f>
        <v>40816.1007016585</v>
      </c>
      <c r="L6" s="0" t="n">
        <f aca="false">K6*(1+L5/100)</f>
        <v>41836.5032192</v>
      </c>
    </row>
    <row r="7" customFormat="false" ht="15" hidden="false" customHeight="false" outlineLevel="0" collapsed="false">
      <c r="A7" s="0" t="s">
        <v>97</v>
      </c>
      <c r="C7" s="4" t="n">
        <f aca="false">Assumptions!C28</f>
        <v>26</v>
      </c>
      <c r="D7" s="4" t="n">
        <f aca="false">Assumptions!D28</f>
        <v>26.5</v>
      </c>
      <c r="E7" s="4" t="n">
        <f aca="false">Assumptions!E28</f>
        <v>27</v>
      </c>
      <c r="F7" s="4" t="n">
        <f aca="false">Assumptions!F28</f>
        <v>27.5</v>
      </c>
      <c r="G7" s="4" t="n">
        <f aca="false">Assumptions!G28</f>
        <v>28</v>
      </c>
      <c r="H7" s="4" t="n">
        <f aca="false">Assumptions!H28</f>
        <v>28</v>
      </c>
      <c r="I7" s="4" t="n">
        <f aca="false">Assumptions!I28</f>
        <v>28</v>
      </c>
      <c r="J7" s="4" t="n">
        <f aca="false">Assumptions!J28</f>
        <v>28</v>
      </c>
      <c r="K7" s="4" t="n">
        <f aca="false">Assumptions!K28</f>
        <v>28</v>
      </c>
      <c r="L7" s="4" t="n">
        <f aca="false">Assumptions!L28</f>
        <v>28</v>
      </c>
    </row>
    <row r="8" customFormat="false" ht="15" hidden="false" customHeight="false" outlineLevel="0" collapsed="false">
      <c r="A8" s="0" t="s">
        <v>44</v>
      </c>
      <c r="C8" s="0" t="n">
        <f aca="false">C6*C7/100</f>
        <v>7594.86</v>
      </c>
      <c r="D8" s="0" t="n">
        <f aca="false">D6*D7/100</f>
        <v>8166.665325</v>
      </c>
      <c r="E8" s="0" t="n">
        <f aca="false">E6*E7/100</f>
        <v>8778.39478425</v>
      </c>
      <c r="F8" s="0" t="n">
        <f aca="false">F6*F7/100</f>
        <v>9405.8874484575</v>
      </c>
      <c r="G8" s="0" t="n">
        <f aca="false">G6*G7/100</f>
        <v>10007.8642451588</v>
      </c>
      <c r="H8" s="0" t="n">
        <f aca="false">H6*H7/100</f>
        <v>10408.1788149651</v>
      </c>
      <c r="I8" s="0" t="n">
        <f aca="false">I6*I7/100</f>
        <v>10772.4650734889</v>
      </c>
      <c r="J8" s="0" t="n">
        <f aca="false">J6*J7/100</f>
        <v>11095.6390256936</v>
      </c>
      <c r="K8" s="0" t="n">
        <f aca="false">K6*K7/100</f>
        <v>11428.5081964644</v>
      </c>
      <c r="L8" s="0" t="n">
        <f aca="false">L6*L7/100</f>
        <v>11714.220901376</v>
      </c>
    </row>
    <row r="9" customFormat="false" ht="15" hidden="false" customHeight="false" outlineLevel="0" collapsed="false">
      <c r="A9" s="0" t="s">
        <v>98</v>
      </c>
      <c r="C9" s="4" t="n">
        <f aca="false">Assumptions!C29</f>
        <v>0.6</v>
      </c>
      <c r="D9" s="4" t="n">
        <f aca="false">Assumptions!D29</f>
        <v>0.6</v>
      </c>
      <c r="E9" s="4" t="n">
        <f aca="false">Assumptions!E29</f>
        <v>0.6</v>
      </c>
      <c r="F9" s="4" t="n">
        <f aca="false">Assumptions!F29</f>
        <v>0.6</v>
      </c>
      <c r="G9" s="4" t="n">
        <f aca="false">Assumptions!G29</f>
        <v>0.6</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113</v>
      </c>
      <c r="C10" s="0" t="n">
        <f aca="false">-C6*C9/100</f>
        <v>-175.266</v>
      </c>
      <c r="D10" s="0" t="n">
        <f aca="false">-D6*D9/100</f>
        <v>-184.90563</v>
      </c>
      <c r="E10" s="0" t="n">
        <f aca="false">-E6*E9/100</f>
        <v>-195.07543965</v>
      </c>
      <c r="F10" s="0" t="n">
        <f aca="false">-F6*F9/100</f>
        <v>-205.2193625118</v>
      </c>
      <c r="G10" s="0" t="n">
        <f aca="false">-G6*G9/100</f>
        <v>-214.454233824831</v>
      </c>
      <c r="H10" s="0" t="n">
        <f aca="false">-H6*H9/100</f>
        <v>-185.86033598152</v>
      </c>
      <c r="I10" s="0" t="n">
        <f aca="false">-I6*I9/100</f>
        <v>-192.365447740873</v>
      </c>
      <c r="J10" s="0" t="n">
        <f aca="false">-J6*J9/100</f>
        <v>-198.1364111731</v>
      </c>
      <c r="K10" s="0" t="n">
        <f aca="false">-K6*K9/100</f>
        <v>-204.080503508293</v>
      </c>
      <c r="L10" s="0" t="n">
        <f aca="false">-L6*L9/100</f>
        <v>-209.182516096</v>
      </c>
    </row>
    <row r="11" customFormat="false" ht="15" hidden="false" customHeight="false" outlineLevel="0" collapsed="false">
      <c r="A11" s="0" t="s">
        <v>114</v>
      </c>
      <c r="C11" s="0" t="n">
        <f aca="false">C8+C10+C24</f>
        <v>7273.539</v>
      </c>
      <c r="D11" s="0" t="n">
        <f aca="false">D8+D10+D24</f>
        <v>7827.67167</v>
      </c>
      <c r="E11" s="0" t="n">
        <f aca="false">E8+E10+E24</f>
        <v>8420.756478225</v>
      </c>
      <c r="F11" s="0" t="n">
        <f aca="false">F8+F10+F24</f>
        <v>9029.6519505192</v>
      </c>
      <c r="G11" s="0" t="n">
        <f aca="false">G8+G10+G24</f>
        <v>9614.69814981326</v>
      </c>
      <c r="H11" s="0" t="n">
        <f aca="false">H8+H10+H24</f>
        <v>10036.4581430021</v>
      </c>
      <c r="I11" s="0" t="n">
        <f aca="false">I8+I10+I24</f>
        <v>10387.7341780072</v>
      </c>
      <c r="J11" s="0" t="n">
        <f aca="false">J8+J10+J24</f>
        <v>10699.3662033474</v>
      </c>
      <c r="K11" s="0" t="n">
        <f aca="false">K8+K10+K24</f>
        <v>11020.3471894478</v>
      </c>
      <c r="L11" s="0" t="n">
        <f aca="false">L8+L10+L24</f>
        <v>11295.855869184</v>
      </c>
    </row>
    <row r="12" customFormat="false" ht="15" hidden="false" customHeight="false" outlineLevel="0" collapsed="false">
      <c r="A12" s="0" t="s">
        <v>115</v>
      </c>
      <c r="C12" s="4" t="n">
        <f aca="false">-C6*Assumptions!C31/100</f>
        <v>-1372.917</v>
      </c>
      <c r="D12" s="4" t="n">
        <f aca="false">-D6*Assumptions!D31/100</f>
        <v>-1448.427435</v>
      </c>
      <c r="E12" s="4" t="n">
        <f aca="false">-E6*Assumptions!E31/100</f>
        <v>-1495.57837065</v>
      </c>
      <c r="F12" s="4" t="n">
        <f aca="false">-F6*Assumptions!F31/100</f>
        <v>-1573.3484459238</v>
      </c>
      <c r="G12" s="4" t="n">
        <f aca="false">-G6*Assumptions!G31/100</f>
        <v>-1608.40675368623</v>
      </c>
      <c r="H12" s="4" t="n">
        <f aca="false">-H6*Assumptions!H31/100</f>
        <v>-1672.74302383368</v>
      </c>
      <c r="I12" s="4" t="n">
        <f aca="false">-I6*Assumptions!I31/100</f>
        <v>-1731.28902966786</v>
      </c>
      <c r="J12" s="4" t="n">
        <f aca="false">-J6*Assumptions!J31/100</f>
        <v>-1783.2277005579</v>
      </c>
      <c r="K12" s="4" t="n">
        <f aca="false">-K6*Assumptions!K31/100</f>
        <v>-1836.72453157463</v>
      </c>
      <c r="L12" s="4" t="n">
        <f aca="false">-L6*Assumptions!L31/100</f>
        <v>-1882.642644864</v>
      </c>
    </row>
    <row r="13" customFormat="false" ht="15" hidden="false" customHeight="false" outlineLevel="0" collapsed="false">
      <c r="A13" s="0" t="s">
        <v>116</v>
      </c>
      <c r="C13" s="0" t="n">
        <f aca="false">C11+C12</f>
        <v>5900.622</v>
      </c>
      <c r="D13" s="0" t="n">
        <f aca="false">D11+D12</f>
        <v>6379.244235</v>
      </c>
      <c r="E13" s="0" t="n">
        <f aca="false">E11+E12</f>
        <v>6925.178107575</v>
      </c>
      <c r="F13" s="0" t="n">
        <f aca="false">F11+F12</f>
        <v>7456.3035045954</v>
      </c>
      <c r="G13" s="0" t="n">
        <f aca="false">G11+G12</f>
        <v>8006.29139612702</v>
      </c>
      <c r="H13" s="0" t="n">
        <f aca="false">H11+H12</f>
        <v>8363.71511916841</v>
      </c>
      <c r="I13" s="0" t="n">
        <f aca="false">I11+I12</f>
        <v>8656.4451483393</v>
      </c>
      <c r="J13" s="0" t="n">
        <f aca="false">J11+J12</f>
        <v>8916.13850278948</v>
      </c>
      <c r="K13" s="0" t="n">
        <f aca="false">K11+K12</f>
        <v>9183.62265787317</v>
      </c>
      <c r="L13" s="0" t="n">
        <f aca="false">L11+L12</f>
        <v>9413.21322432</v>
      </c>
    </row>
    <row r="14" customFormat="false" ht="15" hidden="false" customHeight="false" outlineLevel="0" collapsed="false">
      <c r="A14" s="0" t="s">
        <v>102</v>
      </c>
      <c r="C14" s="4" t="n">
        <f aca="false">Assumptions!C33</f>
        <v>18</v>
      </c>
      <c r="D14" s="4" t="n">
        <f aca="false">Assumptions!D33</f>
        <v>18</v>
      </c>
      <c r="E14" s="4" t="n">
        <f aca="false">Assumptions!E33</f>
        <v>18</v>
      </c>
      <c r="F14" s="4" t="n">
        <f aca="false">Assumptions!F33</f>
        <v>19</v>
      </c>
      <c r="G14" s="4" t="n">
        <f aca="false">Assumptions!G33</f>
        <v>19</v>
      </c>
      <c r="H14" s="4" t="n">
        <f aca="false">Assumptions!H33</f>
        <v>20</v>
      </c>
      <c r="I14" s="4" t="n">
        <f aca="false">Assumptions!I33</f>
        <v>20</v>
      </c>
      <c r="J14" s="4" t="n">
        <f aca="false">Assumptions!J33</f>
        <v>20</v>
      </c>
      <c r="K14" s="4" t="n">
        <f aca="false">Assumptions!K33</f>
        <v>20</v>
      </c>
      <c r="L14" s="4" t="n">
        <f aca="false">Assumptions!L33</f>
        <v>20</v>
      </c>
    </row>
    <row r="15" customFormat="false" ht="15" hidden="false" customHeight="false" outlineLevel="0" collapsed="false">
      <c r="A15" s="0" t="s">
        <v>117</v>
      </c>
      <c r="C15" s="0" t="n">
        <f aca="false">C13-MAX(0,C13)*C14/100</f>
        <v>4838.51004</v>
      </c>
      <c r="D15" s="0" t="n">
        <f aca="false">D13-MAX(0,D13)*D14/100</f>
        <v>5230.9802727</v>
      </c>
      <c r="E15" s="0" t="n">
        <f aca="false">E13-MAX(0,E13)*E14/100</f>
        <v>5678.6460482115</v>
      </c>
      <c r="F15" s="0" t="n">
        <f aca="false">F13-MAX(0,F13)*F14/100</f>
        <v>6039.60583872228</v>
      </c>
      <c r="G15" s="0" t="n">
        <f aca="false">G13-MAX(0,G13)*G14/100</f>
        <v>6485.09603086289</v>
      </c>
      <c r="H15" s="0" t="n">
        <f aca="false">H13-MAX(0,H13)*H14/100</f>
        <v>6690.97209533473</v>
      </c>
      <c r="I15" s="0" t="n">
        <f aca="false">I13-MAX(0,I13)*I14/100</f>
        <v>6925.15611867144</v>
      </c>
      <c r="J15" s="0" t="n">
        <f aca="false">J13-MAX(0,J13)*J14/100</f>
        <v>7132.91080223159</v>
      </c>
      <c r="K15" s="0" t="n">
        <f aca="false">K13-MAX(0,K13)*K14/100</f>
        <v>7346.89812629853</v>
      </c>
      <c r="L15" s="0" t="n">
        <f aca="false">L13-MAX(0,L13)*L14/100</f>
        <v>7530.570579456</v>
      </c>
    </row>
    <row r="16" customFormat="false" ht="15" hidden="false" customHeight="false" outlineLevel="0" collapsed="false">
      <c r="A16" s="0" t="s">
        <v>118</v>
      </c>
      <c r="C16" s="0" t="n">
        <f aca="false">-C12</f>
        <v>1372.917</v>
      </c>
      <c r="D16" s="0" t="n">
        <f aca="false">-D12</f>
        <v>1448.427435</v>
      </c>
      <c r="E16" s="0" t="n">
        <f aca="false">-E12</f>
        <v>1495.57837065</v>
      </c>
      <c r="F16" s="0" t="n">
        <f aca="false">-F12</f>
        <v>1573.3484459238</v>
      </c>
      <c r="G16" s="0" t="n">
        <f aca="false">-G12</f>
        <v>1608.40675368623</v>
      </c>
      <c r="H16" s="0" t="n">
        <f aca="false">-H12</f>
        <v>1672.74302383368</v>
      </c>
      <c r="I16" s="0" t="n">
        <f aca="false">-I12</f>
        <v>1731.28902966786</v>
      </c>
      <c r="J16" s="0" t="n">
        <f aca="false">-J12</f>
        <v>1783.2277005579</v>
      </c>
      <c r="K16" s="0" t="n">
        <f aca="false">-K12</f>
        <v>1836.72453157463</v>
      </c>
      <c r="L16" s="0" t="n">
        <f aca="false">-L12</f>
        <v>1882.642644864</v>
      </c>
    </row>
    <row r="17" customFormat="false" ht="15" hidden="false" customHeight="false" outlineLevel="0" collapsed="false">
      <c r="A17" s="0" t="s">
        <v>119</v>
      </c>
      <c r="C17" s="4" t="n">
        <f aca="false">-C6*Assumptions!C32/100</f>
        <v>-2190.825</v>
      </c>
      <c r="D17" s="4" t="n">
        <f aca="false">-D6*Assumptions!D32/100</f>
        <v>-2311.320375</v>
      </c>
      <c r="E17" s="4" t="n">
        <f aca="false">-E6*Assumptions!E32/100</f>
        <v>-2275.88012925</v>
      </c>
      <c r="F17" s="4" t="n">
        <f aca="false">-F6*Assumptions!F32/100</f>
        <v>-2394.225895971</v>
      </c>
      <c r="G17" s="4" t="n">
        <f aca="false">-G6*Assumptions!G32/100</f>
        <v>-2323.254199769</v>
      </c>
      <c r="H17" s="4" t="n">
        <f aca="false">-H6*Assumptions!H32/100</f>
        <v>-2230.32403177824</v>
      </c>
      <c r="I17" s="4" t="n">
        <f aca="false">-I6*Assumptions!I32/100</f>
        <v>-2308.38537289048</v>
      </c>
      <c r="J17" s="4" t="n">
        <f aca="false">-J6*Assumptions!J32/100</f>
        <v>-2179.5005229041</v>
      </c>
      <c r="K17" s="4" t="n">
        <f aca="false">-K6*Assumptions!K32/100</f>
        <v>-2244.88553859122</v>
      </c>
      <c r="L17" s="4" t="n">
        <f aca="false">-L6*Assumptions!L32/100</f>
        <v>-2301.007677056</v>
      </c>
    </row>
    <row r="18" customFormat="false" ht="15" hidden="false" customHeight="false" outlineLevel="0" collapsed="false">
      <c r="A18" s="0" t="s">
        <v>120</v>
      </c>
      <c r="C18" s="4" t="n">
        <f aca="false">(C6-B6)*Assumptions!$B$37/100</f>
        <v>577.8</v>
      </c>
      <c r="D18" s="4" t="n">
        <f aca="false">(D6-C6)*Assumptions!$B$37/100</f>
        <v>-321.321</v>
      </c>
      <c r="E18" s="4" t="n">
        <f aca="false">(E6-D6)*Assumptions!$B$37/100</f>
        <v>-338.993655</v>
      </c>
      <c r="F18" s="4" t="n">
        <f aca="false">(F6-E6)*Assumptions!$B$37/100</f>
        <v>-338.13076206</v>
      </c>
      <c r="G18" s="4" t="n">
        <f aca="false">(G6-F6)*Assumptions!$B$37/100</f>
        <v>-307.8290437677</v>
      </c>
      <c r="H18" s="4" t="n">
        <f aca="false">(H6-G6)*Assumptions!$B$37/100</f>
        <v>-285.938978433108</v>
      </c>
      <c r="I18" s="4" t="n">
        <f aca="false">(I6-H6)*Assumptions!$B$37/100</f>
        <v>-260.204470374128</v>
      </c>
      <c r="J18" s="4" t="n">
        <f aca="false">(J6-I6)*Assumptions!$B$37/100</f>
        <v>-230.838537289048</v>
      </c>
      <c r="K18" s="4" t="n">
        <f aca="false">(K6-J6)*Assumptions!$B$37/100</f>
        <v>-237.763693407719</v>
      </c>
      <c r="L18" s="4" t="n">
        <f aca="false">(L6-K6)*Assumptions!$B$37/100</f>
        <v>-204.080503508291</v>
      </c>
    </row>
    <row r="19" customFormat="false" ht="15" hidden="false" customHeight="false" outlineLevel="0" collapsed="false">
      <c r="A19" s="0" t="s">
        <v>121</v>
      </c>
      <c r="C19" s="0" t="n">
        <f aca="false">C15+C16+C17+C18</f>
        <v>4598.40204</v>
      </c>
      <c r="D19" s="0" t="n">
        <f aca="false">D15+D16+D17+D18</f>
        <v>4046.7663327</v>
      </c>
      <c r="E19" s="0" t="n">
        <f aca="false">E15+E16+E17+E18</f>
        <v>4559.3506346115</v>
      </c>
      <c r="F19" s="0" t="n">
        <f aca="false">F15+F16+F17+F18</f>
        <v>4880.59762661507</v>
      </c>
      <c r="G19" s="0" t="n">
        <f aca="false">G15+G16+G17+G18</f>
        <v>5462.41954101242</v>
      </c>
      <c r="H19" s="0" t="n">
        <f aca="false">H15+H16+H17+H18</f>
        <v>5847.45210895706</v>
      </c>
      <c r="I19" s="0" t="n">
        <f aca="false">I15+I16+I17+I18</f>
        <v>6087.85530507469</v>
      </c>
      <c r="J19" s="0" t="n">
        <f aca="false">J15+J16+J17+J18</f>
        <v>6505.79944259634</v>
      </c>
      <c r="K19" s="0" t="n">
        <f aca="false">K15+K16+K17+K18</f>
        <v>6700.97342587423</v>
      </c>
      <c r="L19" s="0" t="n">
        <f aca="false">L15+L16+L17+L18</f>
        <v>6908.12504375571</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4257.77966666667</v>
      </c>
      <c r="D21" s="0" t="n">
        <f aca="false">D19*D20</f>
        <v>3469.44987371399</v>
      </c>
      <c r="E21" s="0" t="n">
        <f aca="false">E19*E20</f>
        <v>3619.35953187038</v>
      </c>
      <c r="F21" s="0" t="n">
        <f aca="false">F19*F20</f>
        <v>3587.3849550496</v>
      </c>
      <c r="G21" s="0" t="n">
        <f aca="false">G19*G20</f>
        <v>3717.63095476188</v>
      </c>
      <c r="H21" s="0" t="n">
        <f aca="false">H19*H20</f>
        <v>3684.88671371829</v>
      </c>
      <c r="I21" s="0" t="n">
        <f aca="false">I19*I20</f>
        <v>3552.20509825671</v>
      </c>
      <c r="J21" s="0" t="n">
        <f aca="false">J19*J20</f>
        <v>3514.8810076451</v>
      </c>
      <c r="K21" s="0" t="n">
        <f aca="false">K19*K20</f>
        <v>3352.15503506894</v>
      </c>
      <c r="L21" s="0" t="n">
        <f aca="false">L19*L20</f>
        <v>3199.79853514237</v>
      </c>
    </row>
    <row r="23" customFormat="false" ht="15" hidden="false" customHeight="false" outlineLevel="0" collapsed="false">
      <c r="A23" s="0" t="s">
        <v>99</v>
      </c>
      <c r="C23" s="4" t="n">
        <f aca="false">Assumptions!C30</f>
        <v>0.5</v>
      </c>
      <c r="D23" s="4" t="n">
        <f aca="false">Assumptions!D30</f>
        <v>0.5</v>
      </c>
      <c r="E23" s="4" t="n">
        <f aca="false">Assumptions!E30</f>
        <v>0.5</v>
      </c>
      <c r="F23" s="4" t="n">
        <f aca="false">Assumptions!F30</f>
        <v>0.5</v>
      </c>
      <c r="G23" s="4" t="n">
        <f aca="false">Assumptions!G30</f>
        <v>0.5</v>
      </c>
      <c r="H23" s="4" t="n">
        <f aca="false">Assumptions!H30</f>
        <v>0.5</v>
      </c>
      <c r="I23" s="4" t="n">
        <f aca="false">Assumptions!I30</f>
        <v>0.5</v>
      </c>
      <c r="J23" s="4" t="n">
        <f aca="false">Assumptions!J30</f>
        <v>0.5</v>
      </c>
      <c r="K23" s="4" t="n">
        <f aca="false">Assumptions!K30</f>
        <v>0.5</v>
      </c>
      <c r="L23" s="4" t="n">
        <f aca="false">Assumptions!L30</f>
        <v>0.5</v>
      </c>
    </row>
    <row r="24" customFormat="false" ht="15" hidden="false" customHeight="false" outlineLevel="0" collapsed="false">
      <c r="A24" s="0" t="s">
        <v>124</v>
      </c>
      <c r="C24" s="0" t="n">
        <f aca="false">-C6*C23/100</f>
        <v>-146.055</v>
      </c>
      <c r="D24" s="0" t="n">
        <f aca="false">-D6*D23/100</f>
        <v>-154.088025</v>
      </c>
      <c r="E24" s="0" t="n">
        <f aca="false">-E6*E23/100</f>
        <v>-162.562866375</v>
      </c>
      <c r="F24" s="0" t="n">
        <f aca="false">-F6*F23/100</f>
        <v>-171.0161354265</v>
      </c>
      <c r="G24" s="0" t="n">
        <f aca="false">-G6*G23/100</f>
        <v>-178.711861520693</v>
      </c>
      <c r="H24" s="0" t="n">
        <f aca="false">-H6*H23/100</f>
        <v>-185.86033598152</v>
      </c>
      <c r="I24" s="0" t="n">
        <f aca="false">-I6*I23/100</f>
        <v>-192.365447740873</v>
      </c>
      <c r="J24" s="0" t="n">
        <f aca="false">-J6*J23/100</f>
        <v>-198.1364111731</v>
      </c>
      <c r="K24" s="0" t="n">
        <f aca="false">-K6*K23/100</f>
        <v>-204.080503508293</v>
      </c>
      <c r="L24" s="0" t="n">
        <f aca="false">-L6*L23/100</f>
        <v>-209.182516096</v>
      </c>
    </row>
    <row r="26" customFormat="false" ht="15" hidden="false" customHeight="false" outlineLevel="0" collapsed="false">
      <c r="A26" s="2" t="s">
        <v>125</v>
      </c>
    </row>
    <row r="27" customFormat="false" ht="15" hidden="false" customHeight="false" outlineLevel="0" collapsed="false">
      <c r="A27" s="0" t="s">
        <v>103</v>
      </c>
      <c r="B27" s="4" t="n">
        <f aca="false">Assumptions!$B$34</f>
        <v>8</v>
      </c>
    </row>
    <row r="28" customFormat="false" ht="15" hidden="false" customHeight="false" outlineLevel="0" collapsed="false">
      <c r="A28" s="0" t="s">
        <v>104</v>
      </c>
      <c r="B28" s="4" t="n">
        <f aca="false">Assumptions!$B$35</f>
        <v>2.5</v>
      </c>
    </row>
    <row r="29" customFormat="false" ht="15" hidden="false" customHeight="false" outlineLevel="0" collapsed="false">
      <c r="A29" s="0" t="s">
        <v>105</v>
      </c>
      <c r="B29" s="4" t="n">
        <f aca="false">Assumptions!$B$36</f>
        <v>15</v>
      </c>
    </row>
    <row r="30" customFormat="false" ht="15" hidden="false" customHeight="false" outlineLevel="0" collapsed="false">
      <c r="A30" s="0" t="s">
        <v>126</v>
      </c>
      <c r="B30" s="0" t="n">
        <f aca="false">SUM(C21:L21)</f>
        <v>35955.5313718939</v>
      </c>
    </row>
    <row r="31" customFormat="false" ht="15" hidden="false" customHeight="false" outlineLevel="0" collapsed="false">
      <c r="A31" s="0" t="s">
        <v>127</v>
      </c>
      <c r="B31" s="0" t="n">
        <f aca="false">L19</f>
        <v>6908.12504375571</v>
      </c>
    </row>
    <row r="32" customFormat="false" ht="15" hidden="false" customHeight="false" outlineLevel="0" collapsed="false">
      <c r="A32" s="0" t="s">
        <v>128</v>
      </c>
      <c r="B32" s="0" t="n">
        <f aca="false">IF(B27&gt;B28,B31*(1+B28/100)/((B27-B28)/100),B31*B29)</f>
        <v>128742.330360902</v>
      </c>
    </row>
    <row r="33" customFormat="false" ht="15" hidden="false" customHeight="false" outlineLevel="0" collapsed="false">
      <c r="A33" s="0" t="s">
        <v>129</v>
      </c>
      <c r="B33" s="0" t="n">
        <f aca="false">B31*B29</f>
        <v>103621.875656336</v>
      </c>
    </row>
    <row r="34" customFormat="false" ht="15" hidden="false" customHeight="false" outlineLevel="0" collapsed="false">
      <c r="A34" s="0" t="s">
        <v>130</v>
      </c>
      <c r="B34" s="0" t="n">
        <f aca="false">MAX(0,MIN(B32,B33))</f>
        <v>103621.875656336</v>
      </c>
    </row>
    <row r="35" customFormat="false" ht="15" hidden="false" customHeight="false" outlineLevel="0" collapsed="false">
      <c r="A35" s="0" t="s">
        <v>131</v>
      </c>
      <c r="B35" s="0" t="n">
        <f aca="false">B34/(1+B27/100)^L4</f>
        <v>47996.9780271355</v>
      </c>
    </row>
    <row r="36" customFormat="false" ht="15" hidden="false" customHeight="false" outlineLevel="0" collapsed="false">
      <c r="A36" s="0" t="s">
        <v>132</v>
      </c>
      <c r="B36" s="0" t="n">
        <f aca="false">B30+B35</f>
        <v>83952.5093990294</v>
      </c>
    </row>
    <row r="37" customFormat="false" ht="15" hidden="false" customHeight="false" outlineLevel="0" collapsed="false">
      <c r="A37" s="0" t="s">
        <v>133</v>
      </c>
      <c r="B37" s="0" t="n">
        <f aca="false">B36+Assumptions!$B$5-Assumptions!$B$4</f>
        <v>103716.309399029</v>
      </c>
    </row>
    <row r="38" customFormat="false" ht="15" hidden="false" customHeight="false" outlineLevel="0" collapsed="false">
      <c r="A38" s="0" t="s">
        <v>134</v>
      </c>
      <c r="B38" s="0" t="n">
        <f aca="false">B37/Assumptions!$B$3*Assumptions!$B$10</f>
        <v>10.6459069945308</v>
      </c>
    </row>
    <row r="39" customFormat="false" ht="15" hidden="false" customHeight="false" outlineLevel="0" collapsed="false">
      <c r="A39" s="0" t="s">
        <v>135</v>
      </c>
      <c r="B39" s="4" t="n">
        <f aca="false">B38/Assumptions!$B$2-1</f>
        <v>0.171811446838838</v>
      </c>
    </row>
    <row r="41" customFormat="false" ht="15" hidden="false" customHeight="false" outlineLevel="0" collapsed="false">
      <c r="A41" s="0" t="s">
        <v>136</v>
      </c>
      <c r="B41" s="0" t="n">
        <f aca="false">SUMPRODUCT(-C10:L10/(1+$B$27/100)^C4:L4)</f>
        <v>1307.86049526919</v>
      </c>
    </row>
    <row r="42" customFormat="false" ht="15" hidden="false" customHeight="false" outlineLevel="0" collapsed="false">
      <c r="A42" s="0" t="s">
        <v>137</v>
      </c>
      <c r="B42" s="0" t="n">
        <f aca="false">IF(B27&gt;B28,-L10*(1+B28/100)/((B27-B28)/100),-L10*20)/(1+B27/100)^L4</f>
        <v>1805.71415925014</v>
      </c>
    </row>
    <row r="43" customFormat="false" ht="15" hidden="false" customHeight="false" outlineLevel="0" collapsed="false">
      <c r="A43" s="0" t="s">
        <v>138</v>
      </c>
      <c r="B43" s="0" t="n">
        <f aca="false">(B37+B41+B42)/Assumptions!$B$3*Assumptions!$B$10</f>
        <v>10.9654982563546</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56646.6253587968</v>
      </c>
    </row>
    <row r="47" customFormat="false" ht="15" hidden="false" customHeight="false" outlineLevel="0" collapsed="false">
      <c r="A47" s="0" t="s">
        <v>140</v>
      </c>
      <c r="B47" s="0" t="n">
        <f aca="false">(SUMPRODUCT(C19:L19/(1+B45/100)^C4:L4)+B46/(1+B45/100)^L4+Assumptions!$B$5-Assumptions!$B$4)/Assumptions!$B$3*Assumptions!$B$10</f>
        <v>6.14681350928816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111</v>
      </c>
      <c r="B3" s="0" t="s">
        <v>81</v>
      </c>
      <c r="C3" s="2" t="s">
        <v>86</v>
      </c>
      <c r="D3" s="2" t="s">
        <v>87</v>
      </c>
      <c r="E3" s="2" t="s">
        <v>88</v>
      </c>
      <c r="F3" s="2" t="s">
        <v>89</v>
      </c>
      <c r="G3" s="2" t="s">
        <v>90</v>
      </c>
      <c r="H3" s="2" t="s">
        <v>91</v>
      </c>
      <c r="I3" s="2" t="s">
        <v>92</v>
      </c>
      <c r="J3" s="2" t="s">
        <v>93</v>
      </c>
      <c r="K3" s="2" t="s">
        <v>94</v>
      </c>
      <c r="L3" s="2" t="s">
        <v>95</v>
      </c>
    </row>
    <row r="4" customFormat="false" ht="15" hidden="false" customHeight="false" outlineLevel="0" collapsed="false">
      <c r="A4" s="0" t="s">
        <v>112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96</v>
      </c>
      <c r="C5" s="4" t="n">
        <f aca="false">Assumptions!C41</f>
        <v>-3</v>
      </c>
      <c r="D5" s="4" t="n">
        <f aca="false">Assumptions!D41</f>
        <v>8</v>
      </c>
      <c r="E5" s="4" t="n">
        <f aca="false">Assumptions!E41</f>
        <v>8</v>
      </c>
      <c r="F5" s="4" t="n">
        <f aca="false">Assumptions!F41</f>
        <v>7.5</v>
      </c>
      <c r="G5" s="4" t="n">
        <f aca="false">Assumptions!G41</f>
        <v>7</v>
      </c>
      <c r="H5" s="4" t="n">
        <f aca="false">Assumptions!H41</f>
        <v>6</v>
      </c>
      <c r="I5" s="4" t="n">
        <f aca="false">Assumptions!I41</f>
        <v>5</v>
      </c>
      <c r="J5" s="4" t="n">
        <f aca="false">Assumptions!J41</f>
        <v>4.5</v>
      </c>
      <c r="K5" s="4" t="n">
        <f aca="false">Assumptions!K41</f>
        <v>4</v>
      </c>
      <c r="L5" s="4" t="n">
        <f aca="false">Assumptions!L41</f>
        <v>3</v>
      </c>
    </row>
    <row r="6" customFormat="false" ht="15" hidden="false" customHeight="false" outlineLevel="0" collapsed="false">
      <c r="A6" s="0" t="s">
        <v>38</v>
      </c>
      <c r="B6" s="3" t="n">
        <v>32100</v>
      </c>
      <c r="C6" s="0" t="n">
        <f aca="false">B6*(1+C5/100)</f>
        <v>31137</v>
      </c>
      <c r="D6" s="0" t="n">
        <f aca="false">C6*(1+D5/100)</f>
        <v>33627.96</v>
      </c>
      <c r="E6" s="0" t="n">
        <f aca="false">D6*(1+E5/100)</f>
        <v>36318.1968</v>
      </c>
      <c r="F6" s="0" t="n">
        <f aca="false">E6*(1+F5/100)</f>
        <v>39042.06156</v>
      </c>
      <c r="G6" s="0" t="n">
        <f aca="false">F6*(1+G5/100)</f>
        <v>41775.0058692</v>
      </c>
      <c r="H6" s="0" t="n">
        <f aca="false">G6*(1+H5/100)</f>
        <v>44281.506221352</v>
      </c>
      <c r="I6" s="0" t="n">
        <f aca="false">H6*(1+I5/100)</f>
        <v>46495.5815324196</v>
      </c>
      <c r="J6" s="0" t="n">
        <f aca="false">I6*(1+J5/100)</f>
        <v>48587.8827013785</v>
      </c>
      <c r="K6" s="0" t="n">
        <f aca="false">J6*(1+K5/100)</f>
        <v>50531.3980094336</v>
      </c>
      <c r="L6" s="0" t="n">
        <f aca="false">K6*(1+L5/100)</f>
        <v>52047.3399497166</v>
      </c>
    </row>
    <row r="7" customFormat="false" ht="15" hidden="false" customHeight="false" outlineLevel="0" collapsed="false">
      <c r="A7" s="0" t="s">
        <v>97</v>
      </c>
      <c r="C7" s="4" t="n">
        <f aca="false">Assumptions!C42</f>
        <v>28</v>
      </c>
      <c r="D7" s="4" t="n">
        <f aca="false">Assumptions!D42</f>
        <v>29</v>
      </c>
      <c r="E7" s="4" t="n">
        <f aca="false">Assumptions!E42</f>
        <v>30</v>
      </c>
      <c r="F7" s="4" t="n">
        <f aca="false">Assumptions!F42</f>
        <v>31</v>
      </c>
      <c r="G7" s="4" t="n">
        <f aca="false">Assumptions!G42</f>
        <v>32</v>
      </c>
      <c r="H7" s="4" t="n">
        <f aca="false">Assumptions!H42</f>
        <v>32</v>
      </c>
      <c r="I7" s="4" t="n">
        <f aca="false">Assumptions!I42</f>
        <v>32</v>
      </c>
      <c r="J7" s="4" t="n">
        <f aca="false">Assumptions!J42</f>
        <v>32</v>
      </c>
      <c r="K7" s="4" t="n">
        <f aca="false">Assumptions!K42</f>
        <v>32</v>
      </c>
      <c r="L7" s="4" t="n">
        <f aca="false">Assumptions!L42</f>
        <v>32</v>
      </c>
    </row>
    <row r="8" customFormat="false" ht="15" hidden="false" customHeight="false" outlineLevel="0" collapsed="false">
      <c r="A8" s="0" t="s">
        <v>44</v>
      </c>
      <c r="C8" s="0" t="n">
        <f aca="false">C6*C7/100</f>
        <v>8718.36</v>
      </c>
      <c r="D8" s="0" t="n">
        <f aca="false">D6*D7/100</f>
        <v>9752.1084</v>
      </c>
      <c r="E8" s="0" t="n">
        <f aca="false">E6*E7/100</f>
        <v>10895.45904</v>
      </c>
      <c r="F8" s="0" t="n">
        <f aca="false">F6*F7/100</f>
        <v>12103.0390836</v>
      </c>
      <c r="G8" s="0" t="n">
        <f aca="false">G6*G7/100</f>
        <v>13368.001878144</v>
      </c>
      <c r="H8" s="0" t="n">
        <f aca="false">H6*H7/100</f>
        <v>14170.0819908326</v>
      </c>
      <c r="I8" s="0" t="n">
        <f aca="false">I6*I7/100</f>
        <v>14878.5860903743</v>
      </c>
      <c r="J8" s="0" t="n">
        <f aca="false">J6*J7/100</f>
        <v>15548.1224644411</v>
      </c>
      <c r="K8" s="0" t="n">
        <f aca="false">K6*K7/100</f>
        <v>16170.0473630188</v>
      </c>
      <c r="L8" s="0" t="n">
        <f aca="false">L6*L7/100</f>
        <v>16655.1487839093</v>
      </c>
    </row>
    <row r="9" customFormat="false" ht="15" hidden="false" customHeight="false" outlineLevel="0" collapsed="false">
      <c r="A9" s="0" t="s">
        <v>98</v>
      </c>
      <c r="C9" s="4" t="n">
        <f aca="false">Assumptions!C43</f>
        <v>0.6</v>
      </c>
      <c r="D9" s="4" t="n">
        <f aca="false">Assumptions!D43</f>
        <v>0.6</v>
      </c>
      <c r="E9" s="4" t="n">
        <f aca="false">Assumptions!E43</f>
        <v>0.6</v>
      </c>
      <c r="F9" s="4" t="n">
        <f aca="false">Assumptions!F43</f>
        <v>0.6</v>
      </c>
      <c r="G9" s="4" t="n">
        <f aca="false">Assumptions!G43</f>
        <v>0.6</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113</v>
      </c>
      <c r="C10" s="0" t="n">
        <f aca="false">-C6*C9/100</f>
        <v>-186.822</v>
      </c>
      <c r="D10" s="0" t="n">
        <f aca="false">-D6*D9/100</f>
        <v>-201.76776</v>
      </c>
      <c r="E10" s="0" t="n">
        <f aca="false">-E6*E9/100</f>
        <v>-217.9091808</v>
      </c>
      <c r="F10" s="0" t="n">
        <f aca="false">-F6*F9/100</f>
        <v>-234.25236936</v>
      </c>
      <c r="G10" s="0" t="n">
        <f aca="false">-G6*G9/100</f>
        <v>-250.6500352152</v>
      </c>
      <c r="H10" s="0" t="n">
        <f aca="false">-H6*H9/100</f>
        <v>-221.40753110676</v>
      </c>
      <c r="I10" s="0" t="n">
        <f aca="false">-I6*I9/100</f>
        <v>-232.477907662098</v>
      </c>
      <c r="J10" s="0" t="n">
        <f aca="false">-J6*J9/100</f>
        <v>-242.939413506892</v>
      </c>
      <c r="K10" s="0" t="n">
        <f aca="false">-K6*K9/100</f>
        <v>-252.656990047168</v>
      </c>
      <c r="L10" s="0" t="n">
        <f aca="false">-L6*L9/100</f>
        <v>-260.236699748583</v>
      </c>
    </row>
    <row r="11" customFormat="false" ht="15" hidden="false" customHeight="false" outlineLevel="0" collapsed="false">
      <c r="A11" s="0" t="s">
        <v>114</v>
      </c>
      <c r="C11" s="0" t="n">
        <f aca="false">C8+C10+C24</f>
        <v>8375.853</v>
      </c>
      <c r="D11" s="0" t="n">
        <f aca="false">D8+D10+D24</f>
        <v>9382.20084</v>
      </c>
      <c r="E11" s="0" t="n">
        <f aca="false">E8+E10+E24</f>
        <v>10495.9588752</v>
      </c>
      <c r="F11" s="0" t="n">
        <f aca="false">F8+F10+F24</f>
        <v>11673.57640644</v>
      </c>
      <c r="G11" s="0" t="n">
        <f aca="false">G8+G10+G24</f>
        <v>12908.4768135828</v>
      </c>
      <c r="H11" s="0" t="n">
        <f aca="false">H8+H10+H24</f>
        <v>13727.2669286191</v>
      </c>
      <c r="I11" s="0" t="n">
        <f aca="false">I8+I10+I24</f>
        <v>14413.6302750501</v>
      </c>
      <c r="J11" s="0" t="n">
        <f aca="false">J8+J10+J24</f>
        <v>15062.2436374273</v>
      </c>
      <c r="K11" s="0" t="n">
        <f aca="false">K8+K10+K24</f>
        <v>15664.7333829244</v>
      </c>
      <c r="L11" s="0" t="n">
        <f aca="false">L8+L10+L24</f>
        <v>16134.6753844122</v>
      </c>
    </row>
    <row r="12" customFormat="false" ht="15" hidden="false" customHeight="false" outlineLevel="0" collapsed="false">
      <c r="A12" s="0" t="s">
        <v>115</v>
      </c>
      <c r="C12" s="4" t="n">
        <f aca="false">-C6*Assumptions!C45/100</f>
        <v>-1463.439</v>
      </c>
      <c r="D12" s="4" t="n">
        <f aca="false">-D6*Assumptions!D45/100</f>
        <v>-1580.51412</v>
      </c>
      <c r="E12" s="4" t="n">
        <f aca="false">-E6*Assumptions!E45/100</f>
        <v>-1670.6370528</v>
      </c>
      <c r="F12" s="4" t="n">
        <f aca="false">-F6*Assumptions!F45/100</f>
        <v>-1795.93483176</v>
      </c>
      <c r="G12" s="4" t="n">
        <f aca="false">-G6*Assumptions!G45/100</f>
        <v>-1879.875264114</v>
      </c>
      <c r="H12" s="4" t="n">
        <f aca="false">-H6*Assumptions!H45/100</f>
        <v>-1992.66777996084</v>
      </c>
      <c r="I12" s="4" t="n">
        <f aca="false">-I6*Assumptions!I45/100</f>
        <v>-2092.30116895888</v>
      </c>
      <c r="J12" s="4" t="n">
        <f aca="false">-J6*Assumptions!J45/100</f>
        <v>-2186.45472156203</v>
      </c>
      <c r="K12" s="4" t="n">
        <f aca="false">-K6*Assumptions!K45/100</f>
        <v>-2273.91291042451</v>
      </c>
      <c r="L12" s="4" t="n">
        <f aca="false">-L6*Assumptions!L45/100</f>
        <v>-2342.13029773725</v>
      </c>
    </row>
    <row r="13" customFormat="false" ht="15" hidden="false" customHeight="false" outlineLevel="0" collapsed="false">
      <c r="A13" s="0" t="s">
        <v>116</v>
      </c>
      <c r="C13" s="0" t="n">
        <f aca="false">C11+C12</f>
        <v>6912.414</v>
      </c>
      <c r="D13" s="0" t="n">
        <f aca="false">D11+D12</f>
        <v>7801.68672</v>
      </c>
      <c r="E13" s="0" t="n">
        <f aca="false">E11+E12</f>
        <v>8825.3218224</v>
      </c>
      <c r="F13" s="0" t="n">
        <f aca="false">F11+F12</f>
        <v>9877.64157468</v>
      </c>
      <c r="G13" s="0" t="n">
        <f aca="false">G11+G12</f>
        <v>11028.6015494688</v>
      </c>
      <c r="H13" s="0" t="n">
        <f aca="false">H11+H12</f>
        <v>11734.5991486583</v>
      </c>
      <c r="I13" s="0" t="n">
        <f aca="false">I11+I12</f>
        <v>12321.3291060912</v>
      </c>
      <c r="J13" s="0" t="n">
        <f aca="false">J11+J12</f>
        <v>12875.7889158653</v>
      </c>
      <c r="K13" s="0" t="n">
        <f aca="false">K11+K12</f>
        <v>13390.8204724999</v>
      </c>
      <c r="L13" s="0" t="n">
        <f aca="false">L11+L12</f>
        <v>13792.5450866749</v>
      </c>
    </row>
    <row r="14" customFormat="false" ht="15" hidden="false" customHeight="false" outlineLevel="0" collapsed="false">
      <c r="A14" s="0" t="s">
        <v>102</v>
      </c>
      <c r="C14" s="4" t="n">
        <f aca="false">Assumptions!C47</f>
        <v>17</v>
      </c>
      <c r="D14" s="4" t="n">
        <f aca="false">Assumptions!D47</f>
        <v>17</v>
      </c>
      <c r="E14" s="4" t="n">
        <f aca="false">Assumptions!E47</f>
        <v>17</v>
      </c>
      <c r="F14" s="4" t="n">
        <f aca="false">Assumptions!F47</f>
        <v>18</v>
      </c>
      <c r="G14" s="4" t="n">
        <f aca="false">Assumptions!G47</f>
        <v>18</v>
      </c>
      <c r="H14" s="4" t="n">
        <f aca="false">Assumptions!H47</f>
        <v>19</v>
      </c>
      <c r="I14" s="4" t="n">
        <f aca="false">Assumptions!I47</f>
        <v>19</v>
      </c>
      <c r="J14" s="4" t="n">
        <f aca="false">Assumptions!J47</f>
        <v>19</v>
      </c>
      <c r="K14" s="4" t="n">
        <f aca="false">Assumptions!K47</f>
        <v>19</v>
      </c>
      <c r="L14" s="4" t="n">
        <f aca="false">Assumptions!L47</f>
        <v>19</v>
      </c>
    </row>
    <row r="15" customFormat="false" ht="15" hidden="false" customHeight="false" outlineLevel="0" collapsed="false">
      <c r="A15" s="0" t="s">
        <v>117</v>
      </c>
      <c r="C15" s="0" t="n">
        <f aca="false">C13-MAX(0,C13)*C14/100</f>
        <v>5737.30362</v>
      </c>
      <c r="D15" s="0" t="n">
        <f aca="false">D13-MAX(0,D13)*D14/100</f>
        <v>6475.3999776</v>
      </c>
      <c r="E15" s="0" t="n">
        <f aca="false">E13-MAX(0,E13)*E14/100</f>
        <v>7325.017112592</v>
      </c>
      <c r="F15" s="0" t="n">
        <f aca="false">F13-MAX(0,F13)*F14/100</f>
        <v>8099.6660912376</v>
      </c>
      <c r="G15" s="0" t="n">
        <f aca="false">G13-MAX(0,G13)*G14/100</f>
        <v>9043.45327056441</v>
      </c>
      <c r="H15" s="0" t="n">
        <f aca="false">H13-MAX(0,H13)*H14/100</f>
        <v>9505.0253104132</v>
      </c>
      <c r="I15" s="0" t="n">
        <f aca="false">I13-MAX(0,I13)*I14/100</f>
        <v>9980.27657593387</v>
      </c>
      <c r="J15" s="0" t="n">
        <f aca="false">J13-MAX(0,J13)*J14/100</f>
        <v>10429.3890218509</v>
      </c>
      <c r="K15" s="0" t="n">
        <f aca="false">K13-MAX(0,K13)*K14/100</f>
        <v>10846.5645827249</v>
      </c>
      <c r="L15" s="0" t="n">
        <f aca="false">L13-MAX(0,L13)*L14/100</f>
        <v>11171.9615202067</v>
      </c>
    </row>
    <row r="16" customFormat="false" ht="15" hidden="false" customHeight="false" outlineLevel="0" collapsed="false">
      <c r="A16" s="0" t="s">
        <v>118</v>
      </c>
      <c r="C16" s="0" t="n">
        <f aca="false">-C12</f>
        <v>1463.439</v>
      </c>
      <c r="D16" s="0" t="n">
        <f aca="false">-D12</f>
        <v>1580.51412</v>
      </c>
      <c r="E16" s="0" t="n">
        <f aca="false">-E12</f>
        <v>1670.6370528</v>
      </c>
      <c r="F16" s="0" t="n">
        <f aca="false">-F12</f>
        <v>1795.93483176</v>
      </c>
      <c r="G16" s="0" t="n">
        <f aca="false">-G12</f>
        <v>1879.875264114</v>
      </c>
      <c r="H16" s="0" t="n">
        <f aca="false">-H12</f>
        <v>1992.66777996084</v>
      </c>
      <c r="I16" s="0" t="n">
        <f aca="false">-I12</f>
        <v>2092.30116895888</v>
      </c>
      <c r="J16" s="0" t="n">
        <f aca="false">-J12</f>
        <v>2186.45472156203</v>
      </c>
      <c r="K16" s="0" t="n">
        <f aca="false">-K12</f>
        <v>2273.91291042451</v>
      </c>
      <c r="L16" s="0" t="n">
        <f aca="false">-L12</f>
        <v>2342.13029773725</v>
      </c>
    </row>
    <row r="17" customFormat="false" ht="15" hidden="false" customHeight="false" outlineLevel="0" collapsed="false">
      <c r="A17" s="0" t="s">
        <v>119</v>
      </c>
      <c r="C17" s="4" t="n">
        <f aca="false">-C6*Assumptions!C46/100</f>
        <v>-2335.275</v>
      </c>
      <c r="D17" s="4" t="n">
        <f aca="false">-D6*Assumptions!D46/100</f>
        <v>-2522.097</v>
      </c>
      <c r="E17" s="4" t="n">
        <f aca="false">-E6*Assumptions!E46/100</f>
        <v>-2542.273776</v>
      </c>
      <c r="F17" s="4" t="n">
        <f aca="false">-F6*Assumptions!F46/100</f>
        <v>-2732.9443092</v>
      </c>
      <c r="G17" s="4" t="n">
        <f aca="false">-G6*Assumptions!G46/100</f>
        <v>-2715.375381498</v>
      </c>
      <c r="H17" s="4" t="n">
        <f aca="false">-H6*Assumptions!H46/100</f>
        <v>-2656.89037328112</v>
      </c>
      <c r="I17" s="4" t="n">
        <f aca="false">-I6*Assumptions!I46/100</f>
        <v>-2789.73489194518</v>
      </c>
      <c r="J17" s="4" t="n">
        <f aca="false">-J6*Assumptions!J46/100</f>
        <v>-2672.33354857582</v>
      </c>
      <c r="K17" s="4" t="n">
        <f aca="false">-K6*Assumptions!K46/100</f>
        <v>-2779.22689051885</v>
      </c>
      <c r="L17" s="4" t="n">
        <f aca="false">-L6*Assumptions!L46/100</f>
        <v>-2862.60369723442</v>
      </c>
    </row>
    <row r="18" customFormat="false" ht="15" hidden="false" customHeight="false" outlineLevel="0" collapsed="false">
      <c r="A18" s="0" t="s">
        <v>120</v>
      </c>
      <c r="C18" s="4" t="n">
        <f aca="false">(C6-B6)*Assumptions!$B$51/100</f>
        <v>192.6</v>
      </c>
      <c r="D18" s="4" t="n">
        <f aca="false">(D6-C6)*Assumptions!$B$51/100</f>
        <v>-498.192</v>
      </c>
      <c r="E18" s="4" t="n">
        <f aca="false">(E6-D6)*Assumptions!$B$51/100</f>
        <v>-538.04736</v>
      </c>
      <c r="F18" s="4" t="n">
        <f aca="false">(F6-E6)*Assumptions!$B$51/100</f>
        <v>-544.772951999999</v>
      </c>
      <c r="G18" s="4" t="n">
        <f aca="false">(G6-F6)*Assumptions!$B$51/100</f>
        <v>-546.58886184</v>
      </c>
      <c r="H18" s="4" t="n">
        <f aca="false">(H6-G6)*Assumptions!$B$51/100</f>
        <v>-501.300070430401</v>
      </c>
      <c r="I18" s="4" t="n">
        <f aca="false">(I6-H6)*Assumptions!$B$51/100</f>
        <v>-442.81506221352</v>
      </c>
      <c r="J18" s="4" t="n">
        <f aca="false">(J6-I6)*Assumptions!$B$51/100</f>
        <v>-418.460233791776</v>
      </c>
      <c r="K18" s="4" t="n">
        <f aca="false">(K6-J6)*Assumptions!$B$51/100</f>
        <v>-388.703061611028</v>
      </c>
      <c r="L18" s="4" t="n">
        <f aca="false">(L6-K6)*Assumptions!$B$51/100</f>
        <v>-303.188388056602</v>
      </c>
    </row>
    <row r="19" customFormat="false" ht="15" hidden="false" customHeight="false" outlineLevel="0" collapsed="false">
      <c r="A19" s="0" t="s">
        <v>121</v>
      </c>
      <c r="C19" s="0" t="n">
        <f aca="false">C15+C16+C17+C18</f>
        <v>5058.06762</v>
      </c>
      <c r="D19" s="0" t="n">
        <f aca="false">D15+D16+D17+D18</f>
        <v>5035.6250976</v>
      </c>
      <c r="E19" s="0" t="n">
        <f aca="false">E15+E16+E17+E18</f>
        <v>5915.333029392</v>
      </c>
      <c r="F19" s="0" t="n">
        <f aca="false">F15+F16+F17+F18</f>
        <v>6617.8836617976</v>
      </c>
      <c r="G19" s="0" t="n">
        <f aca="false">G15+G16+G17+G18</f>
        <v>7661.36429134042</v>
      </c>
      <c r="H19" s="0" t="n">
        <f aca="false">H15+H16+H17+H18</f>
        <v>8339.50264666252</v>
      </c>
      <c r="I19" s="0" t="n">
        <f aca="false">I15+I16+I17+I18</f>
        <v>8840.02779073405</v>
      </c>
      <c r="J19" s="0" t="n">
        <f aca="false">J15+J16+J17+J18</f>
        <v>9525.04996104533</v>
      </c>
      <c r="K19" s="0" t="n">
        <f aca="false">K15+K16+K17+K18</f>
        <v>9952.54754101957</v>
      </c>
      <c r="L19" s="0" t="n">
        <f aca="false">L15+L16+L17+L18</f>
        <v>10348.2997326529</v>
      </c>
    </row>
    <row r="20" customFormat="false" ht="15" hidden="false" customHeight="false" outlineLevel="0" collapsed="false">
      <c r="A20" s="0" t="s">
        <v>122</v>
      </c>
      <c r="C20" s="0" t="n">
        <f aca="false">1/(1+$B$27/100)^C4</f>
        <v>0.925925925925926</v>
      </c>
      <c r="D20" s="0" t="n">
        <f aca="false">1/(1+$B$27/100)^D4</f>
        <v>0.857338820301783</v>
      </c>
      <c r="E20" s="0" t="n">
        <f aca="false">1/(1+$B$27/100)^E4</f>
        <v>0.79383224102017</v>
      </c>
      <c r="F20" s="0" t="n">
        <f aca="false">1/(1+$B$27/100)^F4</f>
        <v>0.735029852796453</v>
      </c>
      <c r="G20" s="0" t="n">
        <f aca="false">1/(1+$B$27/100)^G4</f>
        <v>0.680583197033753</v>
      </c>
      <c r="H20" s="0" t="n">
        <f aca="false">1/(1+$B$27/100)^H4</f>
        <v>0.630169626883105</v>
      </c>
      <c r="I20" s="0" t="n">
        <f aca="false">1/(1+$B$27/100)^I4</f>
        <v>0.583490395262134</v>
      </c>
      <c r="J20" s="0" t="n">
        <f aca="false">1/(1+$B$27/100)^J4</f>
        <v>0.540268884501976</v>
      </c>
      <c r="K20" s="0" t="n">
        <f aca="false">1/(1+$B$27/100)^K4</f>
        <v>0.500248967131459</v>
      </c>
      <c r="L20" s="0" t="n">
        <f aca="false">1/(1+$B$27/100)^L4</f>
        <v>0.463193488084684</v>
      </c>
    </row>
    <row r="21" customFormat="false" ht="15" hidden="false" customHeight="false" outlineLevel="0" collapsed="false">
      <c r="A21" s="0" t="s">
        <v>123</v>
      </c>
      <c r="C21" s="0" t="n">
        <f aca="false">C19*C20</f>
        <v>4683.39594444445</v>
      </c>
      <c r="D21" s="0" t="n">
        <f aca="false">D19*D20</f>
        <v>4317.23688065843</v>
      </c>
      <c r="E21" s="0" t="n">
        <f aca="false">E19*E20</f>
        <v>4695.78207510288</v>
      </c>
      <c r="F21" s="0" t="n">
        <f aca="false">F19*F20</f>
        <v>4864.34205375514</v>
      </c>
      <c r="G21" s="0" t="n">
        <f aca="false">G19*G20</f>
        <v>5214.19580304069</v>
      </c>
      <c r="H21" s="0" t="n">
        <f aca="false">H19*H20</f>
        <v>5255.30127123799</v>
      </c>
      <c r="I21" s="0" t="n">
        <f aca="false">I19*I20</f>
        <v>5158.07130974366</v>
      </c>
      <c r="J21" s="0" t="n">
        <f aca="false">J19*J20</f>
        <v>5146.08811727955</v>
      </c>
      <c r="K21" s="0" t="n">
        <f aca="false">K19*K20</f>
        <v>4978.75162772178</v>
      </c>
      <c r="L21" s="0" t="n">
        <f aca="false">L19*L20</f>
        <v>4793.2650489133</v>
      </c>
    </row>
    <row r="23" customFormat="false" ht="15" hidden="false" customHeight="false" outlineLevel="0" collapsed="false">
      <c r="A23" s="0" t="s">
        <v>99</v>
      </c>
      <c r="C23" s="4" t="n">
        <f aca="false">Assumptions!C44</f>
        <v>0.5</v>
      </c>
      <c r="D23" s="4" t="n">
        <f aca="false">Assumptions!D44</f>
        <v>0.5</v>
      </c>
      <c r="E23" s="4" t="n">
        <f aca="false">Assumptions!E44</f>
        <v>0.5</v>
      </c>
      <c r="F23" s="4" t="n">
        <f aca="false">Assumptions!F44</f>
        <v>0.5</v>
      </c>
      <c r="G23" s="4" t="n">
        <f aca="false">Assumptions!G44</f>
        <v>0.5</v>
      </c>
      <c r="H23" s="4" t="n">
        <f aca="false">Assumptions!H44</f>
        <v>0.5</v>
      </c>
      <c r="I23" s="4" t="n">
        <f aca="false">Assumptions!I44</f>
        <v>0.5</v>
      </c>
      <c r="J23" s="4" t="n">
        <f aca="false">Assumptions!J44</f>
        <v>0.5</v>
      </c>
      <c r="K23" s="4" t="n">
        <f aca="false">Assumptions!K44</f>
        <v>0.5</v>
      </c>
      <c r="L23" s="4" t="n">
        <f aca="false">Assumptions!L44</f>
        <v>0.5</v>
      </c>
    </row>
    <row r="24" customFormat="false" ht="15" hidden="false" customHeight="false" outlineLevel="0" collapsed="false">
      <c r="A24" s="0" t="s">
        <v>124</v>
      </c>
      <c r="C24" s="0" t="n">
        <f aca="false">-C6*C23/100</f>
        <v>-155.685</v>
      </c>
      <c r="D24" s="0" t="n">
        <f aca="false">-D6*D23/100</f>
        <v>-168.1398</v>
      </c>
      <c r="E24" s="0" t="n">
        <f aca="false">-E6*E23/100</f>
        <v>-181.590984</v>
      </c>
      <c r="F24" s="0" t="n">
        <f aca="false">-F6*F23/100</f>
        <v>-195.2103078</v>
      </c>
      <c r="G24" s="0" t="n">
        <f aca="false">-G6*G23/100</f>
        <v>-208.875029346</v>
      </c>
      <c r="H24" s="0" t="n">
        <f aca="false">-H6*H23/100</f>
        <v>-221.40753110676</v>
      </c>
      <c r="I24" s="0" t="n">
        <f aca="false">-I6*I23/100</f>
        <v>-232.477907662098</v>
      </c>
      <c r="J24" s="0" t="n">
        <f aca="false">-J6*J23/100</f>
        <v>-242.939413506892</v>
      </c>
      <c r="K24" s="0" t="n">
        <f aca="false">-K6*K23/100</f>
        <v>-252.656990047168</v>
      </c>
      <c r="L24" s="0" t="n">
        <f aca="false">-L6*L23/100</f>
        <v>-260.236699748583</v>
      </c>
    </row>
    <row r="26" customFormat="false" ht="15" hidden="false" customHeight="false" outlineLevel="0" collapsed="false">
      <c r="A26" s="2" t="s">
        <v>125</v>
      </c>
    </row>
    <row r="27" customFormat="false" ht="15" hidden="false" customHeight="false" outlineLevel="0" collapsed="false">
      <c r="A27" s="0" t="s">
        <v>103</v>
      </c>
      <c r="B27" s="4" t="n">
        <f aca="false">Assumptions!$B$48</f>
        <v>8</v>
      </c>
    </row>
    <row r="28" customFormat="false" ht="15" hidden="false" customHeight="false" outlineLevel="0" collapsed="false">
      <c r="A28" s="0" t="s">
        <v>104</v>
      </c>
      <c r="B28" s="4" t="n">
        <f aca="false">Assumptions!$B$49</f>
        <v>3</v>
      </c>
    </row>
    <row r="29" customFormat="false" ht="15" hidden="false" customHeight="false" outlineLevel="0" collapsed="false">
      <c r="A29" s="0" t="s">
        <v>105</v>
      </c>
      <c r="B29" s="4" t="n">
        <f aca="false">Assumptions!$B$50</f>
        <v>15</v>
      </c>
    </row>
    <row r="30" customFormat="false" ht="15" hidden="false" customHeight="false" outlineLevel="0" collapsed="false">
      <c r="A30" s="0" t="s">
        <v>126</v>
      </c>
      <c r="B30" s="0" t="n">
        <f aca="false">SUM(C21:L21)</f>
        <v>49106.4301318979</v>
      </c>
    </row>
    <row r="31" customFormat="false" ht="15" hidden="false" customHeight="false" outlineLevel="0" collapsed="false">
      <c r="A31" s="0" t="s">
        <v>127</v>
      </c>
      <c r="B31" s="0" t="n">
        <f aca="false">L19</f>
        <v>10348.2997326529</v>
      </c>
    </row>
    <row r="32" customFormat="false" ht="15" hidden="false" customHeight="false" outlineLevel="0" collapsed="false">
      <c r="A32" s="0" t="s">
        <v>128</v>
      </c>
      <c r="B32" s="0" t="n">
        <f aca="false">IF(B27&gt;B28,B31*(1+B28/100)/((B27-B28)/100),B31*B29)</f>
        <v>213174.97449265</v>
      </c>
    </row>
    <row r="33" customFormat="false" ht="15" hidden="false" customHeight="false" outlineLevel="0" collapsed="false">
      <c r="A33" s="0" t="s">
        <v>129</v>
      </c>
      <c r="B33" s="0" t="n">
        <f aca="false">B31*B29</f>
        <v>155224.495989794</v>
      </c>
    </row>
    <row r="34" customFormat="false" ht="15" hidden="false" customHeight="false" outlineLevel="0" collapsed="false">
      <c r="A34" s="0" t="s">
        <v>130</v>
      </c>
      <c r="B34" s="0" t="n">
        <f aca="false">MAX(0,MIN(B32,B33))</f>
        <v>155224.495989794</v>
      </c>
    </row>
    <row r="35" customFormat="false" ht="15" hidden="false" customHeight="false" outlineLevel="0" collapsed="false">
      <c r="A35" s="0" t="s">
        <v>131</v>
      </c>
      <c r="B35" s="0" t="n">
        <f aca="false">B34/(1+B27/100)^L4</f>
        <v>71898.9757336996</v>
      </c>
    </row>
    <row r="36" customFormat="false" ht="15" hidden="false" customHeight="false" outlineLevel="0" collapsed="false">
      <c r="A36" s="0" t="s">
        <v>132</v>
      </c>
      <c r="B36" s="0" t="n">
        <f aca="false">B30+B35</f>
        <v>121005.405865597</v>
      </c>
    </row>
    <row r="37" customFormat="false" ht="15" hidden="false" customHeight="false" outlineLevel="0" collapsed="false">
      <c r="A37" s="0" t="s">
        <v>133</v>
      </c>
      <c r="B37" s="0" t="n">
        <f aca="false">B36+Assumptions!$B$5-Assumptions!$B$4</f>
        <v>140769.205865597</v>
      </c>
    </row>
    <row r="38" customFormat="false" ht="15" hidden="false" customHeight="false" outlineLevel="0" collapsed="false">
      <c r="A38" s="0" t="s">
        <v>134</v>
      </c>
      <c r="B38" s="0" t="n">
        <f aca="false">B37/Assumptions!$B$3*Assumptions!$B$10</f>
        <v>14.4491824094267</v>
      </c>
    </row>
    <row r="39" customFormat="false" ht="15" hidden="false" customHeight="false" outlineLevel="0" collapsed="false">
      <c r="A39" s="0" t="s">
        <v>135</v>
      </c>
      <c r="B39" s="4" t="n">
        <f aca="false">B38/Assumptions!$B$2-1</f>
        <v>0.590443853541743</v>
      </c>
    </row>
    <row r="41" customFormat="false" ht="15" hidden="false" customHeight="false" outlineLevel="0" collapsed="false">
      <c r="A41" s="0" t="s">
        <v>136</v>
      </c>
      <c r="B41" s="0" t="n">
        <f aca="false">SUMPRODUCT(-C10:L10/(1+$B$27/100)^C4:L4)</f>
        <v>1515.07756330018</v>
      </c>
    </row>
    <row r="42" customFormat="false" ht="15" hidden="false" customHeight="false" outlineLevel="0" collapsed="false">
      <c r="A42" s="0" t="s">
        <v>137</v>
      </c>
      <c r="B42" s="0" t="n">
        <f aca="false">IF(B27&gt;B28,-L10*(1+B28/100)/((B27-B28)/100),-L10*20)/(1+B27/100)^L4</f>
        <v>2483.12286049437</v>
      </c>
    </row>
    <row r="43" customFormat="false" ht="15" hidden="false" customHeight="false" outlineLevel="0" collapsed="false">
      <c r="A43" s="0" t="s">
        <v>138</v>
      </c>
      <c r="B43" s="0" t="n">
        <f aca="false">(B37+B41+B42)/Assumptions!$B$3*Assumptions!$B$10</f>
        <v>14.8595756263069</v>
      </c>
    </row>
    <row r="45" customFormat="false" ht="15" hidden="false" customHeight="false" outlineLevel="0" collapsed="false">
      <c r="A45" s="0" t="s">
        <v>78</v>
      </c>
      <c r="B45" s="4" t="n">
        <f aca="false">Assumptions!$B$6</f>
        <v>15</v>
      </c>
    </row>
    <row r="46" customFormat="false" ht="15" hidden="false" customHeight="false" outlineLevel="0" collapsed="false">
      <c r="A46" s="0" t="s">
        <v>139</v>
      </c>
      <c r="B46" s="0" t="n">
        <f aca="false">MAX(0,MIN(IF(B45&gt;B28,B31*(1+B28/100)/((B45-B28)/100),B31*B29),B31*B29))</f>
        <v>88822.9060386041</v>
      </c>
    </row>
    <row r="47" customFormat="false" ht="15" hidden="false" customHeight="false" outlineLevel="0" collapsed="false">
      <c r="A47" s="0" t="s">
        <v>140</v>
      </c>
      <c r="B47" s="0" t="n">
        <f aca="false">(SUMPRODUCT(C19:L19/(1+B45/100)^C4:L4)+B46/(1+B45/100)^L4+Assumptions!$B$5-Assumptions!$B$4)/Assumptions!$B$3*Assumptions!$B$10</f>
        <v>7.88691869987851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143</v>
      </c>
    </row>
    <row r="3" customFormat="false" ht="15" hidden="false" customHeight="false" outlineLevel="0" collapsed="false">
      <c r="A3" s="2" t="s">
        <v>144</v>
      </c>
      <c r="B3" s="2" t="s">
        <v>145</v>
      </c>
      <c r="C3" s="2" t="s">
        <v>135</v>
      </c>
      <c r="D3" s="2" t="s">
        <v>146</v>
      </c>
      <c r="E3" s="2" t="s">
        <v>138</v>
      </c>
      <c r="F3" s="2" t="s">
        <v>147</v>
      </c>
    </row>
    <row r="4" customFormat="false" ht="15" hidden="false" customHeight="false" outlineLevel="0" collapsed="false">
      <c r="A4" s="0" t="s">
        <v>148</v>
      </c>
      <c r="B4" s="4" t="n">
        <f aca="false">DCF_Bear!$B$38</f>
        <v>6.00151186382159</v>
      </c>
      <c r="C4" s="0" t="n">
        <f aca="false">B4/Assumptions!$B$2-1</f>
        <v>-0.339404307779682</v>
      </c>
      <c r="D4" s="4" t="n">
        <f aca="false">Assumptions!$B$24</f>
        <v>0.3</v>
      </c>
      <c r="E4" s="4" t="n">
        <f aca="false">DCF_Bear!$B$43</f>
        <v>6.22267088778695</v>
      </c>
      <c r="F4" s="4" t="n">
        <f aca="false">DCF_Bear!$B$47</f>
        <v>4.26057954181051</v>
      </c>
    </row>
    <row r="5" customFormat="false" ht="15" hidden="false" customHeight="false" outlineLevel="0" collapsed="false">
      <c r="A5" s="0" t="s">
        <v>149</v>
      </c>
      <c r="B5" s="4" t="n">
        <f aca="false">DCF_Base!$B$38</f>
        <v>10.6459069945308</v>
      </c>
      <c r="C5" s="0" t="n">
        <f aca="false">B5/Assumptions!$B$2-1</f>
        <v>0.171811446838838</v>
      </c>
      <c r="D5" s="4" t="n">
        <f aca="false">Assumptions!$B$38</f>
        <v>0.5</v>
      </c>
      <c r="E5" s="4" t="n">
        <f aca="false">DCF_Base!$B$43</f>
        <v>10.9654982563546</v>
      </c>
      <c r="F5" s="4" t="n">
        <f aca="false">DCF_Base!$B$47</f>
        <v>6.14681350928816</v>
      </c>
    </row>
    <row r="6" customFormat="false" ht="15" hidden="false" customHeight="false" outlineLevel="0" collapsed="false">
      <c r="A6" s="0" t="s">
        <v>150</v>
      </c>
      <c r="B6" s="4" t="n">
        <f aca="false">DCF_Bull!$B$38</f>
        <v>14.4491824094267</v>
      </c>
      <c r="C6" s="0" t="n">
        <f aca="false">B6/Assumptions!$B$2-1</f>
        <v>0.590443853541743</v>
      </c>
      <c r="D6" s="4" t="n">
        <f aca="false">Assumptions!$B$52</f>
        <v>0.2</v>
      </c>
      <c r="E6" s="4" t="n">
        <f aca="false">DCF_Bull!$B$43</f>
        <v>14.8595756263069</v>
      </c>
      <c r="F6" s="4" t="n">
        <f aca="false">DCF_Bull!$B$47</f>
        <v>7.88691869987851</v>
      </c>
    </row>
    <row r="8" customFormat="false" ht="15" hidden="false" customHeight="false" outlineLevel="0" collapsed="false">
      <c r="A8" s="0" t="s">
        <v>151</v>
      </c>
      <c r="B8" s="0" t="n">
        <f aca="false">SUMPRODUCT(B4:B6,D4:D6)</f>
        <v>10.0132435382972</v>
      </c>
    </row>
    <row r="9" customFormat="false" ht="15" hidden="false" customHeight="false" outlineLevel="0" collapsed="false">
      <c r="A9" s="0" t="s">
        <v>152</v>
      </c>
      <c r="B9" s="0" t="n">
        <f aca="false">SUMPRODUCT(E4:E6,D4:D6)</f>
        <v>10.3214655197748</v>
      </c>
    </row>
    <row r="10" customFormat="false" ht="15" hidden="false" customHeight="false" outlineLevel="0" collapsed="false">
      <c r="A10" s="0" t="s">
        <v>153</v>
      </c>
      <c r="B10" s="0" t="n">
        <f aca="false">1-Assumptions!$B$2/B8</f>
        <v>0.0927015841317581</v>
      </c>
    </row>
    <row r="11" customFormat="false" ht="15" hidden="false" customHeight="false" outlineLevel="0" collapsed="false">
      <c r="A11" s="0" t="s">
        <v>154</v>
      </c>
      <c r="B11" s="0" t="n">
        <f aca="false">IF(ABS(B9-B8)&gt;0.01*ABS(B8),(Assumptions!$B$2-B8)/(B9-B8)*100,"n/a")</f>
        <v>-301.160719896574</v>
      </c>
    </row>
    <row r="12" customFormat="false" ht="15" hidden="false" customHeight="false" outlineLevel="0" collapsed="false">
      <c r="A12" s="0" t="s">
        <v>155</v>
      </c>
      <c r="B12" s="0" t="n">
        <f aca="false">SUMPRODUCT(F4:F6,D4:D6)</f>
        <v>5.92896435716294</v>
      </c>
    </row>
    <row r="14" customFormat="false" ht="15" hidden="false" customHeight="false" outlineLevel="0" collapsed="false">
      <c r="A14" s="2" t="s">
        <v>156</v>
      </c>
      <c r="C14" s="0" t="s">
        <v>157</v>
      </c>
    </row>
    <row r="15" customFormat="false" ht="15" hidden="false" customHeight="false" outlineLevel="0" collapsed="false">
      <c r="A15" s="0" t="s">
        <v>158</v>
      </c>
      <c r="B15" s="0" t="n">
        <f aca="false">(SUMPRODUCT(DCF_Base!$C$19:$L$19/(1+$C$15/100)^DCF_Base!$C$4:$L$4)+MAX(0,MIN(IF($C$15&gt;DCF_Base!$B$28,DCF_Base!$L$19*(1+DCF_Base!$B$28/100)/(($C$15-DCF_Base!$B$28)/100),DCF_Base!$L$19*DCF_Base!$B$29),DCF_Base!$L$19*DCF_Base!$B$29))/(1+$C$15/100)^DCF_Base!$L$4+Assumptions!$B$5-Assumptions!$B$4)/Assumptions!$B$3*Assumptions!$B$10</f>
        <v>10.6459069945308</v>
      </c>
      <c r="C15" s="3" t="n">
        <v>8</v>
      </c>
    </row>
    <row r="16" customFormat="false" ht="15" hidden="false" customHeight="false" outlineLevel="0" collapsed="false">
      <c r="A16" s="0" t="s">
        <v>159</v>
      </c>
      <c r="B16" s="0" t="n">
        <f aca="false">(SUMPRODUCT(DCF_Base!$C$19:$L$19/(1+$C$16/100)^DCF_Base!$C$4:$L$4)+MAX(0,MIN(IF($C$16&gt;DCF_Base!$B$28,DCF_Base!$L$19*(1+DCF_Base!$B$28/100)/(($C$16-DCF_Base!$B$28)/100),DCF_Base!$L$19*DCF_Base!$B$29),DCF_Base!$L$19*DCF_Base!$B$29))/(1+$C$16/100)^DCF_Base!$L$4+Assumptions!$B$5-Assumptions!$B$4)/Assumptions!$B$3*Assumptions!$B$10</f>
        <v>10.0358922981429</v>
      </c>
      <c r="C16" s="3" t="n">
        <v>9</v>
      </c>
    </row>
    <row r="17" customFormat="false" ht="15" hidden="false" customHeight="false" outlineLevel="0" collapsed="false">
      <c r="A17" s="0" t="s">
        <v>160</v>
      </c>
      <c r="B17" s="0" t="n">
        <f aca="false">(SUMPRODUCT(DCF_Base!$C$19:$L$19/(1+$C$17/100)^DCF_Base!$C$4:$L$4)+MAX(0,MIN(IF($C$17&gt;DCF_Base!$B$28,DCF_Base!$L$19*(1+DCF_Base!$B$28/100)/(($C$17-DCF_Base!$B$28)/100),DCF_Base!$L$19*DCF_Base!$B$29),DCF_Base!$L$19*DCF_Base!$B$29))/(1+$C$17/100)^DCF_Base!$L$4+Assumptions!$B$5-Assumptions!$B$4)/Assumptions!$B$3*Assumptions!$B$10</f>
        <v>9.11523215279959</v>
      </c>
      <c r="C17" s="3" t="n">
        <v>10</v>
      </c>
    </row>
    <row r="18" customFormat="false" ht="15" hidden="false" customHeight="false" outlineLevel="0" collapsed="false">
      <c r="A18" s="0" t="s">
        <v>161</v>
      </c>
      <c r="B18" s="0" t="n">
        <f aca="false">(SUMPRODUCT(DCF_Base!$C$19:$L$19/(1+$C$18/100)^DCF_Base!$C$4:$L$4)+MAX(0,MIN(IF($C$18&gt;DCF_Base!$B$28,DCF_Base!$L$19*(1+DCF_Base!$B$28/100)/(($C$18-DCF_Base!$B$28)/100),DCF_Base!$L$19*DCF_Base!$B$29),DCF_Base!$L$19*DCF_Base!$B$29))/(1+$C$18/100)^DCF_Base!$L$4+Assumptions!$B$5-Assumptions!$B$4)/Assumptions!$B$3*Assumptions!$B$10</f>
        <v>8.23761185143576</v>
      </c>
      <c r="C18" s="3" t="n">
        <v>11</v>
      </c>
    </row>
    <row r="19" customFormat="false" ht="15" hidden="false" customHeight="false" outlineLevel="0" collapsed="false">
      <c r="A19" s="0" t="s">
        <v>162</v>
      </c>
      <c r="B19" s="0" t="n">
        <f aca="false">(SUMPRODUCT(DCF_Base!$C$19:$L$19/(1+$C$19/100)^DCF_Base!$C$4:$L$4)+MAX(0,MIN(IF($C$19&gt;DCF_Base!$B$28,DCF_Base!$L$19*(1+DCF_Base!$B$28/100)/(($C$19-DCF_Base!$B$28)/100),DCF_Base!$L$19*DCF_Base!$B$29),DCF_Base!$L$19*DCF_Base!$B$29))/(1+$C$19/100)^DCF_Base!$L$4+Assumptions!$B$5-Assumptions!$B$4)/Assumptions!$B$3*Assumptions!$B$10</f>
        <v>7.5469292054579</v>
      </c>
      <c r="C19" s="3" t="n">
        <v>12</v>
      </c>
    </row>
    <row r="20" customFormat="false" ht="15" hidden="false" customHeight="false" outlineLevel="0" collapsed="false">
      <c r="A20" s="0" t="s">
        <v>163</v>
      </c>
      <c r="B20" s="0" t="n">
        <f aca="false">(SUMPRODUCT(DCF_Base!$C$19:$L$19/(1+$C$20/100)^DCF_Base!$C$4:$L$4)+MAX(0,MIN(IF($C$20&gt;DCF_Base!$B$28,DCF_Base!$L$19*(1+DCF_Base!$B$28/100)/(($C$20-DCF_Base!$B$28)/100),DCF_Base!$L$19*DCF_Base!$B$29),DCF_Base!$L$19*DCF_Base!$B$29))/(1+$C$20/100)^DCF_Base!$L$4+Assumptions!$B$5-Assumptions!$B$4)/Assumptions!$B$3*Assumptions!$B$10</f>
        <v>6.14681350928816</v>
      </c>
      <c r="C20" s="3" t="n">
        <v>15</v>
      </c>
    </row>
    <row r="22" customFormat="false" ht="15" hidden="false" customHeight="false" outlineLevel="0" collapsed="false">
      <c r="A22" s="2" t="s">
        <v>164</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v>
      </c>
      <c r="B24" s="0" t="n">
        <f aca="false">(SUMPRODUCT(DCF_Base!$C$19:$L$19/(1+$A$24/100)^DCF_Base!$C$4:$L$4)+MAX(0,MIN(IF($A$24&gt;$B$23,DCF_Base!$L$19*(1+$B$23/100)/(($A$24-$B$23)/100),DCF_Base!$L$19*DCF_Base!$B$29),DCF_Base!$L$19*DCF_Base!$B$29))/(1+$A$24/100)^DCF_Base!$L$4+Assumptions!$B$5-Assumptions!$B$4)/Assumptions!$B$3*Assumptions!$B$10</f>
        <v>12.0522949676769</v>
      </c>
      <c r="C24" s="0" t="n">
        <f aca="false">(SUMPRODUCT(DCF_Base!$C$19:$L$19/(1+$A$24/100)^DCF_Base!$C$4:$L$4)+MAX(0,MIN(IF($A$24&gt;$C$23,DCF_Base!$L$19*(1+$C$23/100)/(($A$24-$C$23)/100),DCF_Base!$L$19*DCF_Base!$B$29),DCF_Base!$L$19*DCF_Base!$B$29))/(1+$A$24/100)^DCF_Base!$L$4+Assumptions!$B$5-Assumptions!$B$4)/Assumptions!$B$3*Assumptions!$B$10</f>
        <v>12.0522949676769</v>
      </c>
      <c r="D24" s="0" t="n">
        <f aca="false">(SUMPRODUCT(DCF_Base!$C$19:$L$19/(1+$A$24/100)^DCF_Base!$C$4:$L$4)+MAX(0,MIN(IF($A$24&gt;$D$23,DCF_Base!$L$19*(1+$D$23/100)/(($A$24-$D$23)/100),DCF_Base!$L$19*DCF_Base!$B$29),DCF_Base!$L$19*DCF_Base!$B$29))/(1+$A$24/100)^DCF_Base!$L$4+Assumptions!$B$5-Assumptions!$B$4)/Assumptions!$B$3*Assumptions!$B$10</f>
        <v>12.0522949676769</v>
      </c>
      <c r="E24" s="0" t="n">
        <f aca="false">(SUMPRODUCT(DCF_Base!$C$19:$L$19/(1+$A$24/100)^DCF_Base!$C$4:$L$4)+MAX(0,MIN(IF($A$24&gt;$E$23,DCF_Base!$L$19*(1+$E$23/100)/(($A$24-$E$23)/100),DCF_Base!$L$19*DCF_Base!$B$29),DCF_Base!$L$19*DCF_Base!$B$29))/(1+$A$24/100)^DCF_Base!$L$4+Assumptions!$B$5-Assumptions!$B$4)/Assumptions!$B$3*Assumptions!$B$10</f>
        <v>12.0522949676769</v>
      </c>
      <c r="F24" s="0" t="n">
        <f aca="false">(SUMPRODUCT(DCF_Base!$C$19:$L$19/(1+$A$24/100)^DCF_Base!$C$4:$L$4)+MAX(0,MIN(IF($A$24&gt;$F$23,DCF_Base!$L$19*(1+$F$23/100)/(($A$24-$F$23)/100),DCF_Base!$L$19*DCF_Base!$B$29),DCF_Base!$L$19*DCF_Base!$B$29))/(1+$A$24/100)^DCF_Base!$L$4+Assumptions!$B$5-Assumptions!$B$4)/Assumptions!$B$3*Assumptions!$B$10</f>
        <v>12.0522949676769</v>
      </c>
    </row>
    <row r="25" customFormat="false" ht="15" hidden="false" customHeight="false" outlineLevel="0" collapsed="false">
      <c r="A25" s="3" t="n">
        <v>7</v>
      </c>
      <c r="B25" s="0" t="n">
        <f aca="false">(SUMPRODUCT(DCF_Base!$C$19:$L$19/(1+$A$25/100)^DCF_Base!$C$4:$L$4)+MAX(0,MIN(IF($A$25&gt;$B$23,DCF_Base!$L$19*(1+$B$23/100)/(($A$25-$B$23)/100),DCF_Base!$L$19*DCF_Base!$B$29),DCF_Base!$L$19*DCF_Base!$B$29))/(1+$A$25/100)^DCF_Base!$L$4+Assumptions!$B$5-Assumptions!$B$4)/Assumptions!$B$3*Assumptions!$B$10</f>
        <v>11.3157905257173</v>
      </c>
      <c r="C25" s="0" t="n">
        <f aca="false">(SUMPRODUCT(DCF_Base!$C$19:$L$19/(1+$A$25/100)^DCF_Base!$C$4:$L$4)+MAX(0,MIN(IF($A$25&gt;$C$23,DCF_Base!$L$19*(1+$C$23/100)/(($A$25-$C$23)/100),DCF_Base!$L$19*DCF_Base!$B$29),DCF_Base!$L$19*DCF_Base!$B$29))/(1+$A$25/100)^DCF_Base!$L$4+Assumptions!$B$5-Assumptions!$B$4)/Assumptions!$B$3*Assumptions!$B$10</f>
        <v>11.3157905257173</v>
      </c>
      <c r="D25" s="0" t="n">
        <f aca="false">(SUMPRODUCT(DCF_Base!$C$19:$L$19/(1+$A$25/100)^DCF_Base!$C$4:$L$4)+MAX(0,MIN(IF($A$25&gt;$D$23,DCF_Base!$L$19*(1+$D$23/100)/(($A$25-$D$23)/100),DCF_Base!$L$19*DCF_Base!$B$29),DCF_Base!$L$19*DCF_Base!$B$29))/(1+$A$25/100)^DCF_Base!$L$4+Assumptions!$B$5-Assumptions!$B$4)/Assumptions!$B$3*Assumptions!$B$10</f>
        <v>11.3157905257173</v>
      </c>
      <c r="E25" s="0" t="n">
        <f aca="false">(SUMPRODUCT(DCF_Base!$C$19:$L$19/(1+$A$25/100)^DCF_Base!$C$4:$L$4)+MAX(0,MIN(IF($A$25&gt;$E$23,DCF_Base!$L$19*(1+$E$23/100)/(($A$25-$E$23)/100),DCF_Base!$L$19*DCF_Base!$B$29),DCF_Base!$L$19*DCF_Base!$B$29))/(1+$A$25/100)^DCF_Base!$L$4+Assumptions!$B$5-Assumptions!$B$4)/Assumptions!$B$3*Assumptions!$B$10</f>
        <v>11.3157905257173</v>
      </c>
      <c r="F25" s="0" t="n">
        <f aca="false">(SUMPRODUCT(DCF_Base!$C$19:$L$19/(1+$A$25/100)^DCF_Base!$C$4:$L$4)+MAX(0,MIN(IF($A$25&gt;$F$23,DCF_Base!$L$19*(1+$F$23/100)/(($A$25-$F$23)/100),DCF_Base!$L$19*DCF_Base!$B$29),DCF_Base!$L$19*DCF_Base!$B$29))/(1+$A$25/100)^DCF_Base!$L$4+Assumptions!$B$5-Assumptions!$B$4)/Assumptions!$B$3*Assumptions!$B$10</f>
        <v>11.3157905257173</v>
      </c>
    </row>
    <row r="26" customFormat="false" ht="15" hidden="false" customHeight="false" outlineLevel="0" collapsed="false">
      <c r="A26" s="3" t="n">
        <v>8</v>
      </c>
      <c r="B26" s="0" t="n">
        <f aca="false">(SUMPRODUCT(DCF_Base!$C$19:$L$19/(1+$A$26/100)^DCF_Base!$C$4:$L$4)+MAX(0,MIN(IF($A$26&gt;$B$23,DCF_Base!$L$19*(1+$B$23/100)/(($A$26-$B$23)/100),DCF_Base!$L$19*DCF_Base!$B$29),DCF_Base!$L$19*DCF_Base!$B$29))/(1+$A$26/100)^DCF_Base!$L$4+Assumptions!$B$5-Assumptions!$B$4)/Assumptions!$B$3*Assumptions!$B$10</f>
        <v>10.6459069945308</v>
      </c>
      <c r="C26" s="0" t="n">
        <f aca="false">(SUMPRODUCT(DCF_Base!$C$19:$L$19/(1+$A$26/100)^DCF_Base!$C$4:$L$4)+MAX(0,MIN(IF($A$26&gt;$C$23,DCF_Base!$L$19*(1+$C$23/100)/(($A$26-$C$23)/100),DCF_Base!$L$19*DCF_Base!$B$29),DCF_Base!$L$19*DCF_Base!$B$29))/(1+$A$26/100)^DCF_Base!$L$4+Assumptions!$B$5-Assumptions!$B$4)/Assumptions!$B$3*Assumptions!$B$10</f>
        <v>10.6459069945308</v>
      </c>
      <c r="D26" s="0" t="n">
        <f aca="false">(SUMPRODUCT(DCF_Base!$C$19:$L$19/(1+$A$26/100)^DCF_Base!$C$4:$L$4)+MAX(0,MIN(IF($A$26&gt;$D$23,DCF_Base!$L$19*(1+$D$23/100)/(($A$26-$D$23)/100),DCF_Base!$L$19*DCF_Base!$B$29),DCF_Base!$L$19*DCF_Base!$B$29))/(1+$A$26/100)^DCF_Base!$L$4+Assumptions!$B$5-Assumptions!$B$4)/Assumptions!$B$3*Assumptions!$B$10</f>
        <v>10.6459069945308</v>
      </c>
      <c r="E26" s="0" t="n">
        <f aca="false">(SUMPRODUCT(DCF_Base!$C$19:$L$19/(1+$A$26/100)^DCF_Base!$C$4:$L$4)+MAX(0,MIN(IF($A$26&gt;$E$23,DCF_Base!$L$19*(1+$E$23/100)/(($A$26-$E$23)/100),DCF_Base!$L$19*DCF_Base!$B$29),DCF_Base!$L$19*DCF_Base!$B$29))/(1+$A$26/100)^DCF_Base!$L$4+Assumptions!$B$5-Assumptions!$B$4)/Assumptions!$B$3*Assumptions!$B$10</f>
        <v>10.6459069945308</v>
      </c>
      <c r="F26" s="0" t="n">
        <f aca="false">(SUMPRODUCT(DCF_Base!$C$19:$L$19/(1+$A$26/100)^DCF_Base!$C$4:$L$4)+MAX(0,MIN(IF($A$26&gt;$F$23,DCF_Base!$L$19*(1+$F$23/100)/(($A$26-$F$23)/100),DCF_Base!$L$19*DCF_Base!$B$29),DCF_Base!$L$19*DCF_Base!$B$29))/(1+$A$26/100)^DCF_Base!$L$4+Assumptions!$B$5-Assumptions!$B$4)/Assumptions!$B$3*Assumptions!$B$10</f>
        <v>10.6459069945308</v>
      </c>
    </row>
    <row r="27" customFormat="false" ht="15" hidden="false" customHeight="false" outlineLevel="0" collapsed="false">
      <c r="A27" s="3" t="n">
        <v>9</v>
      </c>
      <c r="B27" s="0" t="n">
        <f aca="false">(SUMPRODUCT(DCF_Base!$C$19:$L$19/(1+$A$27/100)^DCF_Base!$C$4:$L$4)+MAX(0,MIN(IF($A$27&gt;$B$23,DCF_Base!$L$19*(1+$B$23/100)/(($A$27-$B$23)/100),DCF_Base!$L$19*DCF_Base!$B$29),DCF_Base!$L$19*DCF_Base!$B$29))/(1+$A$27/100)^DCF_Base!$L$4+Assumptions!$B$5-Assumptions!$B$4)/Assumptions!$B$3*Assumptions!$B$10</f>
        <v>9.59659124377972</v>
      </c>
      <c r="C27" s="0" t="n">
        <f aca="false">(SUMPRODUCT(DCF_Base!$C$19:$L$19/(1+$A$27/100)^DCF_Base!$C$4:$L$4)+MAX(0,MIN(IF($A$27&gt;$C$23,DCF_Base!$L$19*(1+$C$23/100)/(($A$27-$C$23)/100),DCF_Base!$L$19*DCF_Base!$B$29),DCF_Base!$L$19*DCF_Base!$B$29))/(1+$A$27/100)^DCF_Base!$L$4+Assumptions!$B$5-Assumptions!$B$4)/Assumptions!$B$3*Assumptions!$B$10</f>
        <v>9.90752510693286</v>
      </c>
      <c r="D27" s="0" t="n">
        <f aca="false">(SUMPRODUCT(DCF_Base!$C$19:$L$19/(1+$A$27/100)^DCF_Base!$C$4:$L$4)+MAX(0,MIN(IF($A$27&gt;$D$23,DCF_Base!$L$19*(1+$D$23/100)/(($A$27-$D$23)/100),DCF_Base!$L$19*DCF_Base!$B$29),DCF_Base!$L$19*DCF_Base!$B$29))/(1+$A$27/100)^DCF_Base!$L$4+Assumptions!$B$5-Assumptions!$B$4)/Assumptions!$B$3*Assumptions!$B$10</f>
        <v>10.0358922981429</v>
      </c>
      <c r="E27" s="0" t="n">
        <f aca="false">(SUMPRODUCT(DCF_Base!$C$19:$L$19/(1+$A$27/100)^DCF_Base!$C$4:$L$4)+MAX(0,MIN(IF($A$27&gt;$E$23,DCF_Base!$L$19*(1+$E$23/100)/(($A$27-$E$23)/100),DCF_Base!$L$19*DCF_Base!$B$29),DCF_Base!$L$19*DCF_Base!$B$29))/(1+$A$27/100)^DCF_Base!$L$4+Assumptions!$B$5-Assumptions!$B$4)/Assumptions!$B$3*Assumptions!$B$10</f>
        <v>10.0358922981429</v>
      </c>
      <c r="F27" s="0" t="n">
        <f aca="false">(SUMPRODUCT(DCF_Base!$C$19:$L$19/(1+$A$27/100)^DCF_Base!$C$4:$L$4)+MAX(0,MIN(IF($A$27&gt;$F$23,DCF_Base!$L$19*(1+$F$23/100)/(($A$27-$F$23)/100),DCF_Base!$L$19*DCF_Base!$B$29),DCF_Base!$L$19*DCF_Base!$B$29))/(1+$A$27/100)^DCF_Base!$L$4+Assumptions!$B$5-Assumptions!$B$4)/Assumptions!$B$3*Assumptions!$B$10</f>
        <v>10.0358922981429</v>
      </c>
    </row>
    <row r="28" customFormat="false" ht="15" hidden="false" customHeight="false" outlineLevel="0" collapsed="false">
      <c r="A28" s="3" t="n">
        <v>10</v>
      </c>
      <c r="B28" s="0" t="n">
        <f aca="false">(SUMPRODUCT(DCF_Base!$C$19:$L$19/(1+$A$28/100)^DCF_Base!$C$4:$L$4)+MAX(0,MIN(IF($A$28&gt;$B$23,DCF_Base!$L$19*(1+$B$23/100)/(($A$28-$B$23)/100),DCF_Base!$L$19*DCF_Base!$B$29),DCF_Base!$L$19*DCF_Base!$B$29))/(1+$A$28/100)^DCF_Base!$L$4+Assumptions!$B$5-Assumptions!$B$4)/Assumptions!$B$3*Assumptions!$B$10</f>
        <v>8.64351523985709</v>
      </c>
      <c r="C28" s="0" t="n">
        <f aca="false">(SUMPRODUCT(DCF_Base!$C$19:$L$19/(1+$A$28/100)^DCF_Base!$C$4:$L$4)+MAX(0,MIN(IF($A$28&gt;$C$23,DCF_Base!$L$19*(1+$C$23/100)/(($A$28-$C$23)/100),DCF_Base!$L$19*DCF_Base!$B$29),DCF_Base!$L$19*DCF_Base!$B$29))/(1+$A$28/100)^DCF_Base!$L$4+Assumptions!$B$5-Assumptions!$B$4)/Assumptions!$B$3*Assumptions!$B$10</f>
        <v>8.86463254279889</v>
      </c>
      <c r="D28" s="0" t="n">
        <f aca="false">(SUMPRODUCT(DCF_Base!$C$19:$L$19/(1+$A$28/100)^DCF_Base!$C$4:$L$4)+MAX(0,MIN(IF($A$28&gt;$D$23,DCF_Base!$L$19*(1+$D$23/100)/(($A$28-$D$23)/100),DCF_Base!$L$19*DCF_Base!$B$29),DCF_Base!$L$19*DCF_Base!$B$29))/(1+$A$28/100)^DCF_Base!$L$4+Assumptions!$B$5-Assumptions!$B$4)/Assumptions!$B$3*Assumptions!$B$10</f>
        <v>9.11523215279959</v>
      </c>
      <c r="E28" s="0" t="n">
        <f aca="false">(SUMPRODUCT(DCF_Base!$C$19:$L$19/(1+$A$28/100)^DCF_Base!$C$4:$L$4)+MAX(0,MIN(IF($A$28&gt;$E$23,DCF_Base!$L$19*(1+$E$23/100)/(($A$28-$E$23)/100),DCF_Base!$L$19*DCF_Base!$B$29),DCF_Base!$L$19*DCF_Base!$B$29))/(1+$A$28/100)^DCF_Base!$L$4+Assumptions!$B$5-Assumptions!$B$4)/Assumptions!$B$3*Assumptions!$B$10</f>
        <v>9.40163170708612</v>
      </c>
      <c r="F28" s="0" t="n">
        <f aca="false">(SUMPRODUCT(DCF_Base!$C$19:$L$19/(1+$A$28/100)^DCF_Base!$C$4:$L$4)+MAX(0,MIN(IF($A$28&gt;$F$23,DCF_Base!$L$19*(1+$F$23/100)/(($A$28-$F$23)/100),DCF_Base!$L$19*DCF_Base!$B$29),DCF_Base!$L$19*DCF_Base!$B$29))/(1+$A$28/100)^DCF_Base!$L$4+Assumptions!$B$5-Assumptions!$B$4)/Assumptions!$B$3*Assumptions!$B$10</f>
        <v>9.47974067643699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2026-10-11T16:29:18Z</dcterms:created>
  <dc:creator>openpyxl</dc:creator>
  <dc:description/>
  <dc:language>en-NZ</dc:language>
  <cp:lastModifiedBy/>
  <dcterms:modified xsi:type="dcterms:W3CDTF">2026-10-11T16:29:18Z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