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<sst xmlns="http://schemas.openxmlformats.org/spreadsheetml/2006/main" count="360" uniqueCount="170">
  <si>
    <t xml:space="preserve">Ticker</t>
  </si>
  <si>
    <t xml:space="preserve">RMV.L</t>
  </si>
  <si>
    <t xml:space="preserve">Company</t>
  </si>
  <si>
    <t xml:space="preserve">Rightmove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</si>
  <si>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</si>
  <si>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</si>
  <si>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</si>
  <si>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</si>
  <si>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2026-10-09T15:49:17Z (LSE regular close print; 52-week range 391.4-700.0p)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</si>
  <si>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</si>
  <si>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</si>
  <si>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</si>
  <si>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</si>
  <si>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</si>
  <si>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</si>
  <si>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</si>
  <si>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</si>
  <si>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</si>
  <si>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</si>
  <si>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</si>
  <si>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</si>
  <si>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</si>
  <si>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2026-10-10T01:12:04Z</t>
  </si>
  <si>
    <t xml:space="preserve">Drivers file</t>
  </si>
  <si>
    <t xml:space="preserve">RMV.L_Drivers.json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</si>
  <si>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</si>
  <si>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</si>
  <si>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</si>
  <si>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Rightmove is valued as a mature, dominant subscription marketplace: a 10-year owner-FCF build (SBC incl. NI expensed, interest income stripped, leases charged as operating cost, share count flat) discounted at a GBP-built 9% and capitalised at the lower of Gordon (2.5%) and 20x. The question the model asks is not whether Rightmove grows, but how much of its 72% margin survives a well-funded challenger and a UK digital-platform regulator over the next decade; that is why the scenarios diverge on margin far more than on growth, and why bear carries 25%. Buybacks funded by the new RCF are treated as value-neutral at fair value and not credited.
key_risks_to_valuation: CoStar/OnTheMarket (and a possible OnTheMarket-Zoopla combination) turning from a marketing cost into actual membership or ARPA loss -- the bear case margin path; DMCCA / CMA conduct requirements constraining package pricing or bundling for a platform with &gt;80% share of time spent; New Homes volumes failing to recover (developments at a record-low new-to-market rate in H1 2026; FY2026 guided -6% to -10%); Digital Services Tax from c.FY2028 (c.GBP10m, 1.9pp of margin) -- in the base and bull paths; its abolition would add c.3% to value; AI answer-engines disintermediating portal search (currently &lt;0.5% of traffic from LLM referrals); Net-cash-to-net-debt transition: up to GBP200m RCF drawn to fund buybacks; value-neutral at fair price but removes the balance-sheet cushion that supported the historical multiple; Balance-sheet anchor is 31 Dec 2025 against a 30 June 2026 share count; refresh when the H1 2026 interim statements are extracted</t>
  </si>
  <si>
    <t xml:space="preserve">Data sources</t>
  </si>
  <si>
    <t xml:space="preserve">price: Yahoo Finance chart API at inputs.price_as_of (LSE regular close); 52-week range 391.4-700.0p
financials: RMV.L_Metrics.csv / core_metrics (FY2018-FY2025 annual, H1 FY2024-H1 FY2026 interim, GBP millions) from the Rightmove annual reports; FY2025 annual report for SBC incl. NI (line 1364), lease note 19 (lines 7142-7198), share capital note 21 and EPS note 10; H1 2026 results presentation (31 July 2026) for guidance, RCF terms and the 30 June 2026 share count
qualitative: RMV.L_Analysis.json (2026-10-10): competitive position vs CoStar/OnTheMarket and Zoopla, REA Group's withdrawn 2024 bid, FY2026 guidance cut and enhanced capital returns</t>
  </si>
  <si>
    <t xml:space="preserve">Scenario narrative: bear</t>
  </si>
  <si>
    <t xml:space="preserve">CoStar-funded price and marketing competition plus DMCCA conduct requirements stall ARPA growth and cost membership; revenue flat by FY2029 and EBITDA margin compresses to 60% as Rightmove spends to defend share. New Homes does not recover. Terminal growth 2%, 15x cap. Still profitable and cash-generative; a de-rating case, not a distress case.</t>
  </si>
  <si>
    <t xml:space="preserve">Scenario narrative: base</t>
  </si>
  <si>
    <t xml:space="preserve">Guidance-midpoint FY2026 (+7%), 7% in FY2027 from ARPA and Strategic Growth Areas against flat New Homes, fading to 3% by year 10. Underlying operating margin dips in FY2026 (profit +3-5% on +7% revenue, plus GBP4-7m exceptionals), recovers in FY2027, then absorbs the 2% Digital Services Tax from FY2028 when revenue passes GBP500m, holding c.68.5% EBITDA thereafter above management's 67% floor. CoStar/OnTheMarket remains a cost (marketing, product investment) rather than a share loss. Capex 3% through the AI programme then 2.5%.</t>
  </si>
  <si>
    <t xml:space="preserve">Scenario narrative: bull</t>
  </si>
  <si>
    <t xml:space="preserve">Top-of-guidance FY2026, New Homes recovery from FY2027 as mortgage rates fall, Strategic Growth Areas at 25-30% reaching c.15% of revenue, AI products lifting ARPA, retention held at 95%+. Operating leverage rebuilds EBITDA margin to 72% by FY2032 even after the DST.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</si>
  <si>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</si>
  <si>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</si>
  <si>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</si>
  <si>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</si>
  <si>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</si>
  <si>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</si>
  <si>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</si>
  <si>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</si>
  <si>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</si>
  <si>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</si>
  <si>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</si>
  <si>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</si>
  <si>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</si>
  <si>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</si>
  <si>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</si>
  <si>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</si>
  <si>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</si>
  <si>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</si>
  <si>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</si>
  <si>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</si>
  <si>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</si>
  <si>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</si>
  <si>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</si>
  <si>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</si>
  <si>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</si>
  <si>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</si>
  <si>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</si>
  <si>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Amortisation</t>
  </si>
  <si>
    <t xml:space="preserve">AvgRevenuePerUnit</t>
  </si>
  <si>
    <t xml:space="preserve">BasicEPS</t>
  </si>
  <si>
    <t xml:space="preserve">Customers</t>
  </si>
  <si>
    <t xml:space="preserve">ShareAwardSettlement</t>
  </si>
  <si>
    <t xml:space="preserve">ShortTermDeposits</t>
  </si>
  <si>
    <t xml:space="preserve">UnderlyingEBIT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</si>
  <si>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</si>
  <si>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</si>
  <si>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</si>
  <si>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</si>
  <si>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</si>
  <si>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</si>
  <si>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</si>
  <si>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</si>
  <si>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</si>
  <si>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</si>
  <si>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</si>
  <si>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</si>
  <si>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</si>
  <si>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</si>
  <si>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</si>
  <si>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</si>
  <si>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</si>
  <si>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</si>
  <si>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</si>
  <si>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</si>
  <si>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</si>
  <si>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</si>
  <si>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</si>
  <si>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</si>
  <si>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</si>
  <si>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</si>
  <si>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</si>
  <si>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</si>
  <si>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</si>
  <si>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</si>
  <si>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</si>
  <si>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</si>
  <si>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</si>
  <si>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</si>
  <si>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</si>
  <si>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</si>
  <si>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</si>
  <si>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</si>
  <si>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</si>
  <si>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</si>
  <si>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</si>
  <si>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</si>
  <si>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</si>
  <si>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</si>
  <si>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</si>
  <si>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RMV.L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</si>
  <si>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</si>
  <si>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</si>
  <si>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</si>
  <si>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</si>
  <si>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</si>
  <si>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</si>
  <si>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</si>
  <si>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</si>
  <si>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</si>
  <si>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</si>
  <si>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</si>
  <si>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</si>
  <si>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</si>
  <si>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</si>
  <si>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</si>
  <si>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</si>
  <si>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</si>
  <si>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</si>
  <si>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</si>
  <si>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</si>
  <si>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</si>
  <si>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</si>
  <si>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</si>
  <si>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</si>
  <si>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</si>
  <si>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</si>
  <si>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</si>
  <si>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</si>
  <si>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</si>
  <si>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</si>
  <si>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RMV.L owner-FCF component DCF: base case (millions, GBP)</t>
  </si>
  <si>
    <t xml:space="preserve">RMV.L owner-FCF component DCF: bull case (millions, GBP)</t>
  </si>
  <si>
    <t xml:space="preserve">RMV.L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</si>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</sst>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490.5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</row>
    <row r="2" customFormat="false" ht="15" hidden="false" customHeight="false" outlineLevel="0" collapsed="false">
      <c r="A2" s="0" t="s">
        <v>71</v>
      </c>
      <c r="B2" s="0" t="n">
        <v>267.8</v>
      </c>
      <c r="F2" s="0" t="n">
        <v>198.59</v>
      </c>
      <c r="G2" s="0" t="n">
        <v>74.2</v>
      </c>
      <c r="H2" s="0" t="n">
        <v>202.442</v>
      </c>
      <c r="I2" s="0" t="n">
        <v>160.455</v>
      </c>
      <c r="J2" s="0" t="n">
        <v>59.9</v>
      </c>
      <c r="K2" s="0" t="n">
        <v>0.1769</v>
      </c>
      <c r="L2" s="0" t="n">
        <v>167.44</v>
      </c>
      <c r="M2" s="0" t="n">
        <v>1.742</v>
      </c>
      <c r="N2" s="0" t="n">
        <v>165.698</v>
      </c>
      <c r="O2" s="0" t="n">
        <v>12.584</v>
      </c>
      <c r="P2" s="0" t="n">
        <v>63.717</v>
      </c>
      <c r="Q2" s="0" t="n">
        <v>51.133</v>
      </c>
      <c r="R2" s="0" t="n">
        <v>13.058</v>
      </c>
      <c r="S2" s="0" t="n">
        <v>15.847</v>
      </c>
      <c r="T2" s="0" t="n">
        <v>906.792007</v>
      </c>
      <c r="U2" s="0" t="n">
        <v>4.32</v>
      </c>
      <c r="V2" s="0" t="n">
        <v>0.061</v>
      </c>
      <c r="AA2" s="0" t="s">
        <v>18</v>
      </c>
      <c r="AB2" s="0" t="s">
        <v>14</v>
      </c>
      <c r="AC2" s="0" t="n">
        <v>0.545</v>
      </c>
      <c r="AE2" s="0" t="n">
        <v>0.178</v>
      </c>
      <c r="AG2" s="0" t="n">
        <v>0.685</v>
      </c>
      <c r="AI2" s="0" t="n">
        <v>203.329</v>
      </c>
    </row>
    <row r="3" customFormat="false" ht="15" hidden="false" customHeight="false" outlineLevel="0" collapsed="false">
      <c r="A3" s="0" t="s">
        <v>72</v>
      </c>
      <c r="B3" s="0" t="n">
        <v>289.32</v>
      </c>
      <c r="F3" s="0" t="n">
        <v>213.73</v>
      </c>
      <c r="G3" s="0" t="n">
        <v>73.9</v>
      </c>
      <c r="H3" s="0" t="n">
        <v>217.324</v>
      </c>
      <c r="I3" s="0" t="n">
        <v>173.089</v>
      </c>
      <c r="J3" s="0" t="n">
        <v>59.8</v>
      </c>
      <c r="K3" s="0" t="n">
        <v>0.1949</v>
      </c>
      <c r="L3" s="0" t="n">
        <v>184.224</v>
      </c>
      <c r="M3" s="0" t="n">
        <v>0.779</v>
      </c>
      <c r="N3" s="0" t="n">
        <v>183.445</v>
      </c>
      <c r="O3" s="0" t="n">
        <v>41.34</v>
      </c>
      <c r="P3" s="0" t="n">
        <v>98.146</v>
      </c>
      <c r="Q3" s="0" t="n">
        <v>56.806</v>
      </c>
      <c r="R3" s="0" t="n">
        <v>12.208</v>
      </c>
      <c r="S3" s="0" t="n">
        <v>32.117</v>
      </c>
      <c r="T3" s="0" t="n">
        <v>888.033169</v>
      </c>
      <c r="U3" s="0" t="n">
        <v>4.911</v>
      </c>
      <c r="V3" s="0" t="n">
        <v>0.068</v>
      </c>
      <c r="AA3" s="0" t="s">
        <v>18</v>
      </c>
      <c r="AB3" s="0" t="s">
        <v>14</v>
      </c>
      <c r="AC3" s="0" t="n">
        <v>0.48</v>
      </c>
      <c r="AE3" s="0" t="n">
        <v>0.1957</v>
      </c>
      <c r="AG3" s="0" t="n">
        <v>2.112</v>
      </c>
      <c r="AH3" s="0" t="n">
        <v>4.141</v>
      </c>
      <c r="AI3" s="0" t="n">
        <v>219.71</v>
      </c>
    </row>
    <row r="4" customFormat="false" ht="15" hidden="false" customHeight="false" outlineLevel="0" collapsed="false">
      <c r="A4" s="0" t="s">
        <v>73</v>
      </c>
      <c r="B4" s="0" t="n">
        <v>205.717</v>
      </c>
      <c r="F4" s="0" t="n">
        <v>135.142</v>
      </c>
      <c r="G4" s="0" t="n">
        <v>65.7</v>
      </c>
      <c r="H4" s="0" t="n">
        <v>139.412</v>
      </c>
      <c r="I4" s="0" t="n">
        <v>109.775</v>
      </c>
      <c r="J4" s="0" t="n">
        <v>53.4</v>
      </c>
      <c r="K4" s="0" t="n">
        <v>0.1257</v>
      </c>
      <c r="L4" s="0" t="n">
        <v>96.291</v>
      </c>
      <c r="M4" s="0" t="n">
        <v>3.477</v>
      </c>
      <c r="N4" s="0" t="n">
        <v>92.814</v>
      </c>
      <c r="O4" s="0" t="n">
        <v>123.145</v>
      </c>
      <c r="P4" s="0" t="n">
        <v>160.444</v>
      </c>
      <c r="Q4" s="0" t="n">
        <v>37.299</v>
      </c>
      <c r="R4" s="0" t="n">
        <v>12.31</v>
      </c>
      <c r="S4" s="0" t="n">
        <v>96.69</v>
      </c>
      <c r="T4" s="0" t="n">
        <v>873.674922</v>
      </c>
      <c r="U4" s="0" t="n">
        <v>2.102</v>
      </c>
      <c r="V4" s="0" t="n">
        <v>0</v>
      </c>
      <c r="AA4" s="0" t="s">
        <v>18</v>
      </c>
      <c r="AB4" s="0" t="s">
        <v>14</v>
      </c>
      <c r="AC4" s="0" t="n">
        <v>1.011</v>
      </c>
      <c r="AE4" s="0" t="n">
        <v>0.126</v>
      </c>
      <c r="AG4" s="0" t="n">
        <v>0.765</v>
      </c>
      <c r="AH4" s="0" t="n">
        <v>0</v>
      </c>
    </row>
    <row r="5" customFormat="false" ht="15" hidden="false" customHeight="false" outlineLevel="0" collapsed="false">
      <c r="A5" s="0" t="s">
        <v>74</v>
      </c>
      <c r="B5" s="0" t="n">
        <v>304.886</v>
      </c>
      <c r="F5" s="0" t="n">
        <v>226.1</v>
      </c>
      <c r="G5" s="0" t="n">
        <v>74.2</v>
      </c>
      <c r="H5" s="0" t="n">
        <v>230.539</v>
      </c>
      <c r="I5" s="0" t="n">
        <v>183.094</v>
      </c>
      <c r="J5" s="0" t="n">
        <v>60.1</v>
      </c>
      <c r="K5" s="0" t="n">
        <v>0.213</v>
      </c>
      <c r="L5" s="0" t="n">
        <v>195.016</v>
      </c>
      <c r="M5" s="0" t="n">
        <v>0.719</v>
      </c>
      <c r="N5" s="0" t="n">
        <v>194.297</v>
      </c>
      <c r="O5" s="0" t="n">
        <v>70.532</v>
      </c>
      <c r="P5" s="0" t="n">
        <v>107.577</v>
      </c>
      <c r="Q5" s="0" t="n">
        <v>37.045</v>
      </c>
      <c r="R5" s="0" t="n">
        <v>11.009</v>
      </c>
      <c r="S5" s="0" t="n">
        <v>42.985</v>
      </c>
      <c r="T5" s="0" t="n">
        <v>860.281746</v>
      </c>
      <c r="U5" s="0" t="n">
        <v>3.923</v>
      </c>
      <c r="V5" s="0" t="n">
        <v>0.075</v>
      </c>
      <c r="AA5" s="0" t="s">
        <v>18</v>
      </c>
      <c r="AB5" s="0" t="s">
        <v>14</v>
      </c>
      <c r="AC5" s="0" t="n">
        <v>0.991</v>
      </c>
      <c r="AE5" s="0" t="n">
        <v>0.213</v>
      </c>
      <c r="AG5" s="0" t="n">
        <v>1.284</v>
      </c>
      <c r="AH5" s="0" t="n">
        <v>5.003</v>
      </c>
      <c r="AI5" s="0" t="n">
        <v>230.965</v>
      </c>
    </row>
    <row r="6" customFormat="false" ht="15" hidden="false" customHeight="false" outlineLevel="0" collapsed="false">
      <c r="A6" s="0" t="s">
        <v>75</v>
      </c>
      <c r="B6" s="0" t="n">
        <v>332.622</v>
      </c>
      <c r="F6" s="0" t="n">
        <v>241.343</v>
      </c>
      <c r="G6" s="0" t="n">
        <v>72.6</v>
      </c>
      <c r="H6" s="0" t="n">
        <v>245.929</v>
      </c>
      <c r="I6" s="0" t="n">
        <v>195.681</v>
      </c>
      <c r="J6" s="0" t="n">
        <v>58.8</v>
      </c>
      <c r="K6" s="0" t="n">
        <v>0.234</v>
      </c>
      <c r="L6" s="0" t="n">
        <v>198.093</v>
      </c>
      <c r="M6" s="0" t="n">
        <v>2.85</v>
      </c>
      <c r="N6" s="0" t="n">
        <v>195.243</v>
      </c>
      <c r="O6" s="0" t="n">
        <v>68.163</v>
      </c>
      <c r="P6" s="0" t="n">
        <v>101.76</v>
      </c>
      <c r="Q6" s="0" t="n">
        <v>33.597</v>
      </c>
      <c r="R6" s="0" t="n">
        <v>9.569</v>
      </c>
      <c r="S6" s="0" t="n">
        <v>35.089</v>
      </c>
      <c r="T6" s="0" t="n">
        <v>837.505368</v>
      </c>
      <c r="U6" s="0" t="n">
        <v>4.179</v>
      </c>
      <c r="V6" s="0" t="n">
        <v>0.081</v>
      </c>
      <c r="AA6" s="0" t="s">
        <v>18</v>
      </c>
      <c r="AB6" s="0" t="s">
        <v>14</v>
      </c>
      <c r="AC6" s="0" t="n">
        <v>1.082</v>
      </c>
      <c r="AE6" s="0" t="n">
        <v>0.234</v>
      </c>
      <c r="AG6" s="0" t="n">
        <v>2.898</v>
      </c>
      <c r="AH6" s="0" t="n">
        <v>5.047</v>
      </c>
      <c r="AI6" s="0" t="n">
        <v>245.412</v>
      </c>
    </row>
    <row r="7" customFormat="false" ht="15" hidden="false" customHeight="false" outlineLevel="0" collapsed="false">
      <c r="A7" s="0" t="s">
        <v>76</v>
      </c>
      <c r="B7" s="0" t="n">
        <v>364.316</v>
      </c>
      <c r="F7" s="0" t="n">
        <v>258.033</v>
      </c>
      <c r="G7" s="0" t="n">
        <v>70.8</v>
      </c>
      <c r="H7" s="0" t="n">
        <v>263.017</v>
      </c>
      <c r="I7" s="0" t="n">
        <v>199.151</v>
      </c>
      <c r="J7" s="0" t="n">
        <v>54.7</v>
      </c>
      <c r="K7" s="0" t="n">
        <v>0.244</v>
      </c>
      <c r="L7" s="0" t="n">
        <v>206.711</v>
      </c>
      <c r="M7" s="0" t="n">
        <v>3.346</v>
      </c>
      <c r="N7" s="0" t="n">
        <v>203.365</v>
      </c>
      <c r="O7" s="0" t="n">
        <v>69.356</v>
      </c>
      <c r="P7" s="0" t="n">
        <v>104.873</v>
      </c>
      <c r="Q7" s="0" t="n">
        <v>35.517</v>
      </c>
      <c r="R7" s="0" t="n">
        <v>7.403</v>
      </c>
      <c r="S7" s="0" t="n">
        <v>33.641</v>
      </c>
      <c r="T7" s="0" t="n">
        <v>815.338856</v>
      </c>
      <c r="U7" s="0" t="n">
        <v>5.886</v>
      </c>
      <c r="AA7" s="0" t="s">
        <v>18</v>
      </c>
      <c r="AB7" s="0" t="s">
        <v>14</v>
      </c>
      <c r="AC7" s="0" t="n">
        <v>1.56</v>
      </c>
      <c r="AE7" s="0" t="n">
        <v>0.245</v>
      </c>
      <c r="AG7" s="0" t="n">
        <v>1.998</v>
      </c>
      <c r="AH7" s="0" t="n">
        <v>5.224</v>
      </c>
      <c r="AI7" s="0" t="n">
        <v>264.57</v>
      </c>
    </row>
    <row r="8" customFormat="false" ht="15" hidden="false" customHeight="false" outlineLevel="0" collapsed="false">
      <c r="A8" s="0" t="s">
        <v>77</v>
      </c>
      <c r="B8" s="0" t="n">
        <v>389.882</v>
      </c>
      <c r="F8" s="0" t="n">
        <v>256.33</v>
      </c>
      <c r="G8" s="0" t="n">
        <v>65.7</v>
      </c>
      <c r="H8" s="0" t="n">
        <v>262.329</v>
      </c>
      <c r="I8" s="0" t="n">
        <v>192.713</v>
      </c>
      <c r="J8" s="0" t="n">
        <v>49.4</v>
      </c>
      <c r="K8" s="0" t="n">
        <v>0.243</v>
      </c>
      <c r="L8" s="0" t="n">
        <v>211.27</v>
      </c>
      <c r="M8" s="0" t="n">
        <v>9.078</v>
      </c>
      <c r="N8" s="0" t="n">
        <v>202.192</v>
      </c>
      <c r="O8" s="0" t="n">
        <v>80.862</v>
      </c>
      <c r="P8" s="0" t="n">
        <v>118.498</v>
      </c>
      <c r="Q8" s="0" t="n">
        <v>37.636</v>
      </c>
      <c r="R8" s="0" t="n">
        <v>6.162</v>
      </c>
      <c r="S8" s="0" t="n">
        <v>35.761</v>
      </c>
      <c r="T8" s="0" t="n">
        <v>792.601981</v>
      </c>
      <c r="U8" s="0" t="n">
        <v>7.439</v>
      </c>
      <c r="W8" s="0" t="n">
        <v>280</v>
      </c>
      <c r="AA8" s="0" t="s">
        <v>18</v>
      </c>
      <c r="AB8" s="0" t="s">
        <v>14</v>
      </c>
      <c r="AC8" s="0" t="n">
        <v>2.386</v>
      </c>
      <c r="AD8" s="0" t="n">
        <v>1524</v>
      </c>
      <c r="AE8" s="0" t="n">
        <v>0.244</v>
      </c>
      <c r="AF8" s="0" t="n">
        <v>19047</v>
      </c>
      <c r="AG8" s="0" t="n">
        <v>7.325</v>
      </c>
      <c r="AH8" s="0" t="n">
        <v>5.482</v>
      </c>
      <c r="AI8" s="0" t="n">
        <v>273.916</v>
      </c>
    </row>
    <row r="9" customFormat="false" ht="15" hidden="false" customHeight="false" outlineLevel="0" collapsed="false">
      <c r="A9" s="0" t="s">
        <v>78</v>
      </c>
      <c r="B9" s="0" t="n">
        <v>425.129</v>
      </c>
      <c r="F9" s="0" t="n">
        <v>287.874</v>
      </c>
      <c r="G9" s="0" t="n">
        <v>67.7</v>
      </c>
      <c r="H9" s="0" t="n">
        <v>296.202</v>
      </c>
      <c r="I9" s="0" t="n">
        <v>217.067</v>
      </c>
      <c r="J9" s="0" t="n">
        <v>51.1</v>
      </c>
      <c r="K9" s="0" t="n">
        <v>0.28</v>
      </c>
      <c r="L9" s="0" t="n">
        <v>236.299</v>
      </c>
      <c r="M9" s="0" t="n">
        <v>10.179</v>
      </c>
      <c r="N9" s="0" t="n">
        <v>226.12</v>
      </c>
      <c r="O9" s="0" t="n">
        <v>82.298</v>
      </c>
      <c r="P9" s="0" t="n">
        <v>128.181</v>
      </c>
      <c r="Q9" s="0" t="n">
        <v>45.883</v>
      </c>
      <c r="R9" s="0" t="n">
        <v>7.184</v>
      </c>
      <c r="S9" s="0" t="n">
        <v>37.223</v>
      </c>
      <c r="T9" s="0" t="n">
        <v>775.35656</v>
      </c>
      <c r="U9" s="0" t="n">
        <v>8.539</v>
      </c>
      <c r="W9" s="0" t="n">
        <v>306</v>
      </c>
      <c r="AA9" s="0" t="s">
        <v>18</v>
      </c>
      <c r="AB9" s="0" t="s">
        <v>14</v>
      </c>
      <c r="AC9" s="0" t="n">
        <v>4.391</v>
      </c>
      <c r="AD9" s="0" t="n">
        <v>1621</v>
      </c>
      <c r="AE9" s="0" t="n">
        <v>0.281</v>
      </c>
      <c r="AF9" s="0" t="n">
        <v>19272</v>
      </c>
      <c r="AG9" s="0" t="n">
        <v>4.036</v>
      </c>
      <c r="AH9" s="0" t="n">
        <v>5.683</v>
      </c>
      <c r="AI9" s="0" t="n">
        <v>297.689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490.5</v>
      </c>
    </row>
    <row r="3" customFormat="false" ht="15" hidden="false" customHeight="false" outlineLevel="0" collapsed="false">
      <c r="A3" s="0" t="s">
        <v>82</v>
      </c>
      <c r="B3" s="3" t="n">
        <v>756.3</v>
      </c>
    </row>
    <row r="4" customFormat="false" ht="15" hidden="false" customHeight="false" outlineLevel="0" collapsed="false">
      <c r="A4" s="0" t="s">
        <v>83</v>
      </c>
      <c r="B4" s="3" t="n">
        <v>-42.906</v>
      </c>
    </row>
    <row r="5" customFormat="false" ht="15" hidden="false" customHeight="false" outlineLevel="0" collapsed="false">
      <c r="A5" s="0" t="s">
        <v>84</v>
      </c>
      <c r="B5" s="3" t="n">
        <v>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425.129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100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6</v>
      </c>
      <c r="D13" s="3" t="n">
        <v>3</v>
      </c>
      <c r="E13" s="3" t="n">
        <v>1</v>
      </c>
      <c r="F13" s="3" t="n">
        <v>0</v>
      </c>
      <c r="G13" s="3" t="n">
        <v>1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103</v>
      </c>
      <c r="C14" s="3" t="n">
        <v>68.5</v>
      </c>
      <c r="D14" s="3" t="n">
        <v>65</v>
      </c>
      <c r="E14" s="3" t="n">
        <v>61</v>
      </c>
      <c r="F14" s="3" t="n">
        <v>60</v>
      </c>
      <c r="G14" s="3" t="n">
        <v>60</v>
      </c>
      <c r="H14" s="3" t="n">
        <v>60</v>
      </c>
      <c r="I14" s="3" t="n">
        <v>60</v>
      </c>
      <c r="J14" s="3" t="n">
        <v>60</v>
      </c>
      <c r="K14" s="3" t="n">
        <v>60</v>
      </c>
      <c r="L14" s="3" t="n">
        <v>60</v>
      </c>
    </row>
    <row r="15" customFormat="false" ht="15" hidden="false" customHeight="false" outlineLevel="0" collapsed="false">
      <c r="A15" s="0" t="s">
        <v>104</v>
      </c>
      <c r="C15" s="3" t="n">
        <v>2.5</v>
      </c>
      <c r="D15" s="3" t="n">
        <v>2.5</v>
      </c>
      <c r="E15" s="3" t="n">
        <v>2.5</v>
      </c>
      <c r="F15" s="3" t="n">
        <v>2.5</v>
      </c>
      <c r="G15" s="3" t="n">
        <v>2.5</v>
      </c>
      <c r="H15" s="3" t="n">
        <v>2.5</v>
      </c>
      <c r="I15" s="3" t="n">
        <v>2.5</v>
      </c>
      <c r="J15" s="3" t="n">
        <v>2.5</v>
      </c>
      <c r="K15" s="3" t="n">
        <v>2.5</v>
      </c>
      <c r="L15" s="3" t="n">
        <v>2.5</v>
      </c>
    </row>
    <row r="16" customFormat="false" ht="15" hidden="false" customHeight="false" outlineLevel="0" collapsed="false">
      <c r="A16" s="0" t="s">
        <v>105</v>
      </c>
      <c r="C16" s="3" t="n">
        <v>0.8</v>
      </c>
      <c r="D16" s="3" t="n">
        <v>0.8</v>
      </c>
      <c r="E16" s="3" t="n">
        <v>0.8</v>
      </c>
      <c r="F16" s="3" t="n">
        <v>0.8</v>
      </c>
      <c r="G16" s="3" t="n">
        <v>0.8</v>
      </c>
      <c r="H16" s="3" t="n">
        <v>0.8</v>
      </c>
      <c r="I16" s="3" t="n">
        <v>0.8</v>
      </c>
      <c r="J16" s="3" t="n">
        <v>0.8</v>
      </c>
      <c r="K16" s="3" t="n">
        <v>0.8</v>
      </c>
      <c r="L16" s="3" t="n">
        <v>0.8</v>
      </c>
    </row>
    <row r="17" customFormat="false" ht="15" hidden="false" customHeight="false" outlineLevel="0" collapsed="false">
      <c r="A17" s="0" t="s">
        <v>106</v>
      </c>
      <c r="C17" s="3" t="n">
        <v>1.5</v>
      </c>
      <c r="D17" s="3" t="n">
        <v>1.7</v>
      </c>
      <c r="E17" s="3" t="n">
        <v>1.9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107</v>
      </c>
      <c r="C18" s="3" t="n">
        <v>3.5</v>
      </c>
      <c r="D18" s="3" t="n">
        <v>3.5</v>
      </c>
      <c r="E18" s="3" t="n">
        <v>3.5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108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109</v>
      </c>
      <c r="B20" s="3" t="n">
        <v>9</v>
      </c>
    </row>
    <row r="21" customFormat="false" ht="15" hidden="false" customHeight="false" outlineLevel="0" collapsed="false">
      <c r="A21" s="0" t="s">
        <v>110</v>
      </c>
      <c r="B21" s="3" t="n">
        <v>2</v>
      </c>
    </row>
    <row r="22" customFormat="false" ht="15" hidden="false" customHeight="false" outlineLevel="0" collapsed="false">
      <c r="A22" s="0" t="s">
        <v>111</v>
      </c>
      <c r="B22" s="3" t="n">
        <v>15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7</v>
      </c>
      <c r="D27" s="3" t="n">
        <v>7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103</v>
      </c>
      <c r="C28" s="3" t="n">
        <v>69</v>
      </c>
      <c r="D28" s="3" t="n">
        <v>70</v>
      </c>
      <c r="E28" s="3" t="n">
        <v>68.5</v>
      </c>
      <c r="F28" s="3" t="n">
        <v>68.5</v>
      </c>
      <c r="G28" s="3" t="n">
        <v>68.5</v>
      </c>
      <c r="H28" s="3" t="n">
        <v>68.5</v>
      </c>
      <c r="I28" s="3" t="n">
        <v>68.5</v>
      </c>
      <c r="J28" s="3" t="n">
        <v>68.5</v>
      </c>
      <c r="K28" s="3" t="n">
        <v>68.5</v>
      </c>
      <c r="L28" s="3" t="n">
        <v>68.5</v>
      </c>
    </row>
    <row r="29" customFormat="false" ht="15" hidden="false" customHeight="false" outlineLevel="0" collapsed="false">
      <c r="A29" s="0" t="s">
        <v>104</v>
      </c>
      <c r="C29" s="3" t="n">
        <v>2.3</v>
      </c>
      <c r="D29" s="3" t="n">
        <v>2.3</v>
      </c>
      <c r="E29" s="3" t="n">
        <v>2.3</v>
      </c>
      <c r="F29" s="3" t="n">
        <v>2.3</v>
      </c>
      <c r="G29" s="3" t="n">
        <v>2.3</v>
      </c>
      <c r="H29" s="3" t="n">
        <v>2.3</v>
      </c>
      <c r="I29" s="3" t="n">
        <v>2.3</v>
      </c>
      <c r="J29" s="3" t="n">
        <v>2.3</v>
      </c>
      <c r="K29" s="3" t="n">
        <v>2.3</v>
      </c>
      <c r="L29" s="3" t="n">
        <v>2.3</v>
      </c>
    </row>
    <row r="30" customFormat="false" ht="15" hidden="false" customHeight="false" outlineLevel="0" collapsed="false">
      <c r="A30" s="0" t="s">
        <v>105</v>
      </c>
      <c r="C30" s="3" t="n">
        <v>0.8</v>
      </c>
      <c r="D30" s="3" t="n">
        <v>0.8</v>
      </c>
      <c r="E30" s="3" t="n">
        <v>0.8</v>
      </c>
      <c r="F30" s="3" t="n">
        <v>0.8</v>
      </c>
      <c r="G30" s="3" t="n">
        <v>0.8</v>
      </c>
      <c r="H30" s="3" t="n">
        <v>0.8</v>
      </c>
      <c r="I30" s="3" t="n">
        <v>0.8</v>
      </c>
      <c r="J30" s="3" t="n">
        <v>0.8</v>
      </c>
      <c r="K30" s="3" t="n">
        <v>0.8</v>
      </c>
      <c r="L30" s="3" t="n">
        <v>0.8</v>
      </c>
    </row>
    <row r="31" customFormat="false" ht="15" hidden="false" customHeight="false" outlineLevel="0" collapsed="false">
      <c r="A31" s="0" t="s">
        <v>106</v>
      </c>
      <c r="C31" s="3" t="n">
        <v>1.5</v>
      </c>
      <c r="D31" s="3" t="n">
        <v>1.6</v>
      </c>
      <c r="E31" s="3" t="n">
        <v>1.7</v>
      </c>
      <c r="F31" s="3" t="n">
        <v>1.8</v>
      </c>
      <c r="G31" s="3" t="n">
        <v>1.8</v>
      </c>
      <c r="H31" s="3" t="n">
        <v>1.8</v>
      </c>
      <c r="I31" s="3" t="n">
        <v>1.8</v>
      </c>
      <c r="J31" s="3" t="n">
        <v>1.8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107</v>
      </c>
      <c r="C32" s="3" t="n">
        <v>3</v>
      </c>
      <c r="D32" s="3" t="n">
        <v>3</v>
      </c>
      <c r="E32" s="3" t="n">
        <v>3</v>
      </c>
      <c r="F32" s="3" t="n">
        <v>2.8</v>
      </c>
      <c r="G32" s="3" t="n">
        <v>2.6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108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109</v>
      </c>
      <c r="B34" s="3" t="n">
        <v>9</v>
      </c>
    </row>
    <row r="35" customFormat="false" ht="15" hidden="false" customHeight="false" outlineLevel="0" collapsed="false">
      <c r="A35" s="0" t="s">
        <v>110</v>
      </c>
      <c r="B35" s="3" t="n">
        <v>2.5</v>
      </c>
    </row>
    <row r="36" customFormat="false" ht="15" hidden="false" customHeight="false" outlineLevel="0" collapsed="false">
      <c r="A36" s="0" t="s">
        <v>111</v>
      </c>
      <c r="B36" s="3" t="n">
        <v>20</v>
      </c>
    </row>
    <row r="37" customFormat="false" ht="15" hidden="false" customHeight="false" outlineLevel="0" collapsed="false">
      <c r="A37" s="0" t="s">
        <v>112</v>
      </c>
      <c r="B37" s="3" t="n">
        <v>5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8</v>
      </c>
      <c r="D41" s="3" t="n">
        <v>8.5</v>
      </c>
      <c r="E41" s="3" t="n">
        <v>8.5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103</v>
      </c>
      <c r="C42" s="3" t="n">
        <v>69.5</v>
      </c>
      <c r="D42" s="3" t="n">
        <v>69.5</v>
      </c>
      <c r="E42" s="3" t="n">
        <v>70</v>
      </c>
      <c r="F42" s="3" t="n">
        <v>70.5</v>
      </c>
      <c r="G42" s="3" t="n">
        <v>71</v>
      </c>
      <c r="H42" s="3" t="n">
        <v>71.5</v>
      </c>
      <c r="I42" s="3" t="n">
        <v>72</v>
      </c>
      <c r="J42" s="3" t="n">
        <v>72</v>
      </c>
      <c r="K42" s="3" t="n">
        <v>72</v>
      </c>
      <c r="L42" s="3" t="n">
        <v>72</v>
      </c>
    </row>
    <row r="43" customFormat="false" ht="15" hidden="false" customHeight="false" outlineLevel="0" collapsed="false">
      <c r="A43" s="0" t="s">
        <v>104</v>
      </c>
      <c r="C43" s="3" t="n">
        <v>2.3</v>
      </c>
      <c r="D43" s="3" t="n">
        <v>2.2</v>
      </c>
      <c r="E43" s="3" t="n">
        <v>2.2</v>
      </c>
      <c r="F43" s="3" t="n">
        <v>2.1</v>
      </c>
      <c r="G43" s="3" t="n">
        <v>2.1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</row>
    <row r="44" customFormat="false" ht="15" hidden="false" customHeight="false" outlineLevel="0" collapsed="false">
      <c r="A44" s="0" t="s">
        <v>105</v>
      </c>
      <c r="C44" s="3" t="n">
        <v>0.8</v>
      </c>
      <c r="D44" s="3" t="n">
        <v>0.8</v>
      </c>
      <c r="E44" s="3" t="n">
        <v>0.7</v>
      </c>
      <c r="F44" s="3" t="n">
        <v>0.7</v>
      </c>
      <c r="G44" s="3" t="n">
        <v>0.7</v>
      </c>
      <c r="H44" s="3" t="n">
        <v>0.7</v>
      </c>
      <c r="I44" s="3" t="n">
        <v>0.7</v>
      </c>
      <c r="J44" s="3" t="n">
        <v>0.7</v>
      </c>
      <c r="K44" s="3" t="n">
        <v>0.7</v>
      </c>
      <c r="L44" s="3" t="n">
        <v>0.7</v>
      </c>
    </row>
    <row r="45" customFormat="false" ht="15" hidden="false" customHeight="false" outlineLevel="0" collapsed="false">
      <c r="A45" s="0" t="s">
        <v>106</v>
      </c>
      <c r="C45" s="3" t="n">
        <v>1.5</v>
      </c>
      <c r="D45" s="3" t="n">
        <v>1.6</v>
      </c>
      <c r="E45" s="3" t="n">
        <v>1.7</v>
      </c>
      <c r="F45" s="3" t="n">
        <v>1.7</v>
      </c>
      <c r="G45" s="3" t="n">
        <v>1.7</v>
      </c>
      <c r="H45" s="3" t="n">
        <v>1.7</v>
      </c>
      <c r="I45" s="3" t="n">
        <v>1.7</v>
      </c>
      <c r="J45" s="3" t="n">
        <v>1.7</v>
      </c>
      <c r="K45" s="3" t="n">
        <v>1.7</v>
      </c>
      <c r="L45" s="3" t="n">
        <v>1.7</v>
      </c>
    </row>
    <row r="46" customFormat="false" ht="15" hidden="false" customHeight="false" outlineLevel="0" collapsed="false">
      <c r="A46" s="0" t="s">
        <v>107</v>
      </c>
      <c r="C46" s="3" t="n">
        <v>3</v>
      </c>
      <c r="D46" s="3" t="n">
        <v>3</v>
      </c>
      <c r="E46" s="3" t="n">
        <v>2.8</v>
      </c>
      <c r="F46" s="3" t="n">
        <v>2.6</v>
      </c>
      <c r="G46" s="3" t="n">
        <v>2.5</v>
      </c>
      <c r="H46" s="3" t="n">
        <v>2.4</v>
      </c>
      <c r="I46" s="3" t="n">
        <v>2.4</v>
      </c>
      <c r="J46" s="3" t="n">
        <v>2.4</v>
      </c>
      <c r="K46" s="3" t="n">
        <v>2.4</v>
      </c>
      <c r="L46" s="3" t="n">
        <v>2.4</v>
      </c>
    </row>
    <row r="47" customFormat="false" ht="15" hidden="false" customHeight="false" outlineLevel="0" collapsed="false">
      <c r="A47" s="0" t="s">
        <v>108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109</v>
      </c>
      <c r="B48" s="3" t="n">
        <v>9</v>
      </c>
    </row>
    <row r="49" customFormat="false" ht="15" hidden="false" customHeight="false" outlineLevel="0" collapsed="false">
      <c r="A49" s="0" t="s">
        <v>110</v>
      </c>
      <c r="B49" s="3" t="n">
        <v>3</v>
      </c>
    </row>
    <row r="50" customFormat="false" ht="15" hidden="false" customHeight="false" outlineLevel="0" collapsed="false">
      <c r="A50" s="0" t="s">
        <v>111</v>
      </c>
      <c r="B50" s="3" t="n">
        <v>20</v>
      </c>
    </row>
    <row r="51" customFormat="false" ht="15" hidden="false" customHeight="false" outlineLevel="0" collapsed="false">
      <c r="A51" s="0" t="s">
        <v>112</v>
      </c>
      <c r="B51" s="3" t="n">
        <v>8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6</v>
      </c>
      <c r="D5" s="4" t="n">
        <f aca="false">Assumptions!D13</f>
        <v>3</v>
      </c>
      <c r="E5" s="4" t="n">
        <f aca="false">Assumptions!E13</f>
        <v>1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425.129</v>
      </c>
      <c r="C6" s="0" t="n">
        <f aca="false">B6*(1+C5/100)</f>
        <v>450.63674</v>
      </c>
      <c r="D6" s="0" t="n">
        <f aca="false">C6*(1+D5/100)</f>
        <v>464.1558422</v>
      </c>
      <c r="E6" s="0" t="n">
        <f aca="false">D6*(1+E5/100)</f>
        <v>468.797400622</v>
      </c>
      <c r="F6" s="0" t="n">
        <f aca="false">E6*(1+F5/100)</f>
        <v>468.797400622</v>
      </c>
      <c r="G6" s="0" t="n">
        <f aca="false">F6*(1+G5/100)</f>
        <v>473.48537462822</v>
      </c>
      <c r="H6" s="0" t="n">
        <f aca="false">G6*(1+H5/100)</f>
        <v>482.955082120785</v>
      </c>
      <c r="I6" s="0" t="n">
        <f aca="false">H6*(1+I5/100)</f>
        <v>492.6141837632</v>
      </c>
      <c r="J6" s="0" t="n">
        <f aca="false">I6*(1+J5/100)</f>
        <v>502.466467438464</v>
      </c>
      <c r="K6" s="0" t="n">
        <f aca="false">J6*(1+K5/100)</f>
        <v>512.515796787234</v>
      </c>
      <c r="L6" s="0" t="n">
        <f aca="false">K6*(1+L5/100)</f>
        <v>522.766112722978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68.5</v>
      </c>
      <c r="D7" s="4" t="n">
        <f aca="false">Assumptions!D14</f>
        <v>65</v>
      </c>
      <c r="E7" s="4" t="n">
        <f aca="false">Assumptions!E14</f>
        <v>61</v>
      </c>
      <c r="F7" s="4" t="n">
        <f aca="false">Assumptions!F14</f>
        <v>60</v>
      </c>
      <c r="G7" s="4" t="n">
        <f aca="false">Assumptions!G14</f>
        <v>60</v>
      </c>
      <c r="H7" s="4" t="n">
        <f aca="false">Assumptions!H14</f>
        <v>60</v>
      </c>
      <c r="I7" s="4" t="n">
        <f aca="false">Assumptions!I14</f>
        <v>60</v>
      </c>
      <c r="J7" s="4" t="n">
        <f aca="false">Assumptions!J14</f>
        <v>60</v>
      </c>
      <c r="K7" s="4" t="n">
        <f aca="false">Assumptions!K14</f>
        <v>60</v>
      </c>
      <c r="L7" s="4" t="n">
        <f aca="false">Assumptions!L14</f>
        <v>60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308.6861669</v>
      </c>
      <c r="D8" s="0" t="n">
        <f aca="false">D6*D7/100</f>
        <v>301.70129743</v>
      </c>
      <c r="E8" s="0" t="n">
        <f aca="false">E6*E7/100</f>
        <v>285.96641437942</v>
      </c>
      <c r="F8" s="0" t="n">
        <f aca="false">F6*F7/100</f>
        <v>281.2784403732</v>
      </c>
      <c r="G8" s="0" t="n">
        <f aca="false">G6*G7/100</f>
        <v>284.091224776932</v>
      </c>
      <c r="H8" s="0" t="n">
        <f aca="false">H6*H7/100</f>
        <v>289.773049272471</v>
      </c>
      <c r="I8" s="0" t="n">
        <f aca="false">I6*I7/100</f>
        <v>295.56851025792</v>
      </c>
      <c r="J8" s="0" t="n">
        <f aca="false">J6*J7/100</f>
        <v>301.479880463079</v>
      </c>
      <c r="K8" s="0" t="n">
        <f aca="false">K6*K7/100</f>
        <v>307.50947807234</v>
      </c>
      <c r="L8" s="0" t="n">
        <f aca="false">L6*L7/100</f>
        <v>313.659667633787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2.5</v>
      </c>
      <c r="D9" s="4" t="n">
        <f aca="false">Assumptions!D15</f>
        <v>2.5</v>
      </c>
      <c r="E9" s="4" t="n">
        <f aca="false">Assumptions!E15</f>
        <v>2.5</v>
      </c>
      <c r="F9" s="4" t="n">
        <f aca="false">Assumptions!F15</f>
        <v>2.5</v>
      </c>
      <c r="G9" s="4" t="n">
        <f aca="false">Assumptions!G15</f>
        <v>2.5</v>
      </c>
      <c r="H9" s="4" t="n">
        <f aca="false">Assumptions!H15</f>
        <v>2.5</v>
      </c>
      <c r="I9" s="4" t="n">
        <f aca="false">Assumptions!I15</f>
        <v>2.5</v>
      </c>
      <c r="J9" s="4" t="n">
        <f aca="false">Assumptions!J15</f>
        <v>2.5</v>
      </c>
      <c r="K9" s="4" t="n">
        <f aca="false">Assumptions!K15</f>
        <v>2.5</v>
      </c>
      <c r="L9" s="4" t="n">
        <f aca="false">Assumptions!L15</f>
        <v>2.5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-11.2659185</v>
      </c>
      <c r="D10" s="0" t="n">
        <f aca="false">-D6*D9/100</f>
        <v>-11.603896055</v>
      </c>
      <c r="E10" s="0" t="n">
        <f aca="false">-E6*E9/100</f>
        <v>-11.71993501555</v>
      </c>
      <c r="F10" s="0" t="n">
        <f aca="false">-F6*F9/100</f>
        <v>-11.71993501555</v>
      </c>
      <c r="G10" s="0" t="n">
        <f aca="false">-G6*G9/100</f>
        <v>-11.8371343657055</v>
      </c>
      <c r="H10" s="0" t="n">
        <f aca="false">-H6*H9/100</f>
        <v>-12.0738770530196</v>
      </c>
      <c r="I10" s="0" t="n">
        <f aca="false">-I6*I9/100</f>
        <v>-12.31535459408</v>
      </c>
      <c r="J10" s="0" t="n">
        <f aca="false">-J6*J9/100</f>
        <v>-12.5616616859616</v>
      </c>
      <c r="K10" s="0" t="n">
        <f aca="false">-K6*K9/100</f>
        <v>-12.8128949196808</v>
      </c>
      <c r="L10" s="0" t="n">
        <f aca="false">-L6*L9/100</f>
        <v>-13.0691528180745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293.81515448</v>
      </c>
      <c r="D11" s="0" t="n">
        <f aca="false">D8+D10+D24</f>
        <v>286.3841546374</v>
      </c>
      <c r="E11" s="0" t="n">
        <f aca="false">E8+E10+E24</f>
        <v>270.496100158894</v>
      </c>
      <c r="F11" s="0" t="n">
        <f aca="false">F8+F10+F24</f>
        <v>265.808126152674</v>
      </c>
      <c r="G11" s="0" t="n">
        <f aca="false">G8+G10+G24</f>
        <v>268.466207414201</v>
      </c>
      <c r="H11" s="0" t="n">
        <f aca="false">H8+H10+H24</f>
        <v>273.835531562485</v>
      </c>
      <c r="I11" s="0" t="n">
        <f aca="false">I8+I10+I24</f>
        <v>279.312242193734</v>
      </c>
      <c r="J11" s="0" t="n">
        <f aca="false">J8+J10+J24</f>
        <v>284.898487037609</v>
      </c>
      <c r="K11" s="0" t="n">
        <f aca="false">K8+K10+K24</f>
        <v>290.596456778361</v>
      </c>
      <c r="L11" s="0" t="n">
        <f aca="false">L8+L10+L24</f>
        <v>296.408385913929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-6.7595511</v>
      </c>
      <c r="D12" s="4" t="n">
        <f aca="false">-D6*Assumptions!D17/100</f>
        <v>-7.8906493174</v>
      </c>
      <c r="E12" s="4" t="n">
        <f aca="false">-E6*Assumptions!E17/100</f>
        <v>-8.907150611818</v>
      </c>
      <c r="F12" s="4" t="n">
        <f aca="false">-F6*Assumptions!F17/100</f>
        <v>-9.37594801244</v>
      </c>
      <c r="G12" s="4" t="n">
        <f aca="false">-G6*Assumptions!G17/100</f>
        <v>-9.4697074925644</v>
      </c>
      <c r="H12" s="4" t="n">
        <f aca="false">-H6*Assumptions!H17/100</f>
        <v>-9.65910164241569</v>
      </c>
      <c r="I12" s="4" t="n">
        <f aca="false">-I6*Assumptions!I17/100</f>
        <v>-9.852283675264</v>
      </c>
      <c r="J12" s="4" t="n">
        <f aca="false">-J6*Assumptions!J17/100</f>
        <v>-10.0493293487693</v>
      </c>
      <c r="K12" s="4" t="n">
        <f aca="false">-K6*Assumptions!K17/100</f>
        <v>-10.2503159357447</v>
      </c>
      <c r="L12" s="4" t="n">
        <f aca="false">-L6*Assumptions!L17/100</f>
        <v>-10.4553222544596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287.05560338</v>
      </c>
      <c r="D13" s="0" t="n">
        <f aca="false">D11+D12</f>
        <v>278.49350532</v>
      </c>
      <c r="E13" s="0" t="n">
        <f aca="false">E11+E12</f>
        <v>261.588949547076</v>
      </c>
      <c r="F13" s="0" t="n">
        <f aca="false">F11+F12</f>
        <v>256.432178140234</v>
      </c>
      <c r="G13" s="0" t="n">
        <f aca="false">G11+G12</f>
        <v>258.996499921636</v>
      </c>
      <c r="H13" s="0" t="n">
        <f aca="false">H11+H12</f>
        <v>264.176429920069</v>
      </c>
      <c r="I13" s="0" t="n">
        <f aca="false">I11+I12</f>
        <v>269.45995851847</v>
      </c>
      <c r="J13" s="0" t="n">
        <f aca="false">J11+J12</f>
        <v>274.84915768884</v>
      </c>
      <c r="K13" s="0" t="n">
        <f aca="false">K11+K12</f>
        <v>280.346140842617</v>
      </c>
      <c r="L13" s="0" t="n">
        <f aca="false">L11+L12</f>
        <v>285.953063659469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215.291702535</v>
      </c>
      <c r="D15" s="0" t="n">
        <f aca="false">D13-MAX(0,D13)*D14/100</f>
        <v>208.87012899</v>
      </c>
      <c r="E15" s="0" t="n">
        <f aca="false">E13-MAX(0,E13)*E14/100</f>
        <v>196.191712160307</v>
      </c>
      <c r="F15" s="0" t="n">
        <f aca="false">F13-MAX(0,F13)*F14/100</f>
        <v>192.324133605176</v>
      </c>
      <c r="G15" s="0" t="n">
        <f aca="false">G13-MAX(0,G13)*G14/100</f>
        <v>194.247374941227</v>
      </c>
      <c r="H15" s="0" t="n">
        <f aca="false">H13-MAX(0,H13)*H14/100</f>
        <v>198.132322440052</v>
      </c>
      <c r="I15" s="0" t="n">
        <f aca="false">I13-MAX(0,I13)*I14/100</f>
        <v>202.094968888853</v>
      </c>
      <c r="J15" s="0" t="n">
        <f aca="false">J13-MAX(0,J13)*J14/100</f>
        <v>206.13686826663</v>
      </c>
      <c r="K15" s="0" t="n">
        <f aca="false">K13-MAX(0,K13)*K14/100</f>
        <v>210.259605631963</v>
      </c>
      <c r="L15" s="0" t="n">
        <f aca="false">L13-MAX(0,L13)*L14/100</f>
        <v>214.464797744602</v>
      </c>
    </row>
    <row r="16" customFormat="false" ht="15" hidden="false" customHeight="false" outlineLevel="0" collapsed="false">
      <c r="A16" s="0" t="s">
        <v>124</v>
      </c>
      <c r="C16" s="0" t="n">
        <f aca="false">-C12</f>
        <v>6.7595511</v>
      </c>
      <c r="D16" s="0" t="n">
        <f aca="false">-D12</f>
        <v>7.8906493174</v>
      </c>
      <c r="E16" s="0" t="n">
        <f aca="false">-E12</f>
        <v>8.907150611818</v>
      </c>
      <c r="F16" s="0" t="n">
        <f aca="false">-F12</f>
        <v>9.37594801244</v>
      </c>
      <c r="G16" s="0" t="n">
        <f aca="false">-G12</f>
        <v>9.4697074925644</v>
      </c>
      <c r="H16" s="0" t="n">
        <f aca="false">-H12</f>
        <v>9.65910164241569</v>
      </c>
      <c r="I16" s="0" t="n">
        <f aca="false">-I12</f>
        <v>9.852283675264</v>
      </c>
      <c r="J16" s="0" t="n">
        <f aca="false">-J12</f>
        <v>10.0493293487693</v>
      </c>
      <c r="K16" s="0" t="n">
        <f aca="false">-K12</f>
        <v>10.2503159357447</v>
      </c>
      <c r="L16" s="0" t="n">
        <f aca="false">-L12</f>
        <v>10.4553222544596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-15.7722859</v>
      </c>
      <c r="D17" s="4" t="n">
        <f aca="false">-D6*Assumptions!D18/100</f>
        <v>-16.245454477</v>
      </c>
      <c r="E17" s="4" t="n">
        <f aca="false">-E6*Assumptions!E18/100</f>
        <v>-16.40790902177</v>
      </c>
      <c r="F17" s="4" t="n">
        <f aca="false">-F6*Assumptions!F18/100</f>
        <v>-14.06392201866</v>
      </c>
      <c r="G17" s="4" t="n">
        <f aca="false">-G6*Assumptions!G18/100</f>
        <v>-14.2045612388466</v>
      </c>
      <c r="H17" s="4" t="n">
        <f aca="false">-H6*Assumptions!H18/100</f>
        <v>-14.4886524636235</v>
      </c>
      <c r="I17" s="4" t="n">
        <f aca="false">-I6*Assumptions!I18/100</f>
        <v>-14.778425512896</v>
      </c>
      <c r="J17" s="4" t="n">
        <f aca="false">-J6*Assumptions!J18/100</f>
        <v>-15.0739940231539</v>
      </c>
      <c r="K17" s="4" t="n">
        <f aca="false">-K6*Assumptions!K18/100</f>
        <v>-15.375473903617</v>
      </c>
      <c r="L17" s="4" t="n">
        <f aca="false">-L6*Assumptions!L18/100</f>
        <v>-15.6829833816893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206.278967735</v>
      </c>
      <c r="D19" s="0" t="n">
        <f aca="false">D15+D16+D17+D18</f>
        <v>200.5153238304</v>
      </c>
      <c r="E19" s="0" t="n">
        <f aca="false">E15+E16+E17+E18</f>
        <v>188.690953750355</v>
      </c>
      <c r="F19" s="0" t="n">
        <f aca="false">F15+F16+F17+F18</f>
        <v>187.636159598956</v>
      </c>
      <c r="G19" s="0" t="n">
        <f aca="false">G15+G16+G17+G18</f>
        <v>189.512521194945</v>
      </c>
      <c r="H19" s="0" t="n">
        <f aca="false">H15+H16+H17+H18</f>
        <v>193.302771618844</v>
      </c>
      <c r="I19" s="0" t="n">
        <f aca="false">I15+I16+I17+I18</f>
        <v>197.168827051221</v>
      </c>
      <c r="J19" s="0" t="n">
        <f aca="false">J15+J16+J17+J18</f>
        <v>201.112203592245</v>
      </c>
      <c r="K19" s="0" t="n">
        <f aca="false">K15+K16+K17+K18</f>
        <v>205.13444766409</v>
      </c>
      <c r="L19" s="0" t="n">
        <f aca="false">L15+L16+L17+L18</f>
        <v>209.237136617372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189.246759389908</v>
      </c>
      <c r="D21" s="0" t="n">
        <f aca="false">D19*D20</f>
        <v>168.769736411413</v>
      </c>
      <c r="E21" s="0" t="n">
        <f aca="false">E19*E20</f>
        <v>145.70403732299</v>
      </c>
      <c r="F21" s="0" t="n">
        <f aca="false">F19*F20</f>
        <v>132.926185967353</v>
      </c>
      <c r="G21" s="0" t="n">
        <f aca="false">G19*G20</f>
        <v>123.170135621125</v>
      </c>
      <c r="H21" s="0" t="n">
        <f aca="false">H19*H20</f>
        <v>115.260126911512</v>
      </c>
      <c r="I21" s="0" t="n">
        <f aca="false">I19*I20</f>
        <v>107.858100412607</v>
      </c>
      <c r="J21" s="0" t="n">
        <f aca="false">J19*J20</f>
        <v>100.931433413632</v>
      </c>
      <c r="K21" s="0" t="n">
        <f aca="false">K19*K20</f>
        <v>94.4495982402799</v>
      </c>
      <c r="L21" s="0" t="n">
        <f aca="false">L19*L20</f>
        <v>88.3840277110876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0.8</v>
      </c>
      <c r="D23" s="4" t="n">
        <f aca="false">Assumptions!D16</f>
        <v>0.8</v>
      </c>
      <c r="E23" s="4" t="n">
        <f aca="false">Assumptions!E16</f>
        <v>0.8</v>
      </c>
      <c r="F23" s="4" t="n">
        <f aca="false">Assumptions!F16</f>
        <v>0.8</v>
      </c>
      <c r="G23" s="4" t="n">
        <f aca="false">Assumptions!G16</f>
        <v>0.8</v>
      </c>
      <c r="H23" s="4" t="n">
        <f aca="false">Assumptions!H16</f>
        <v>0.8</v>
      </c>
      <c r="I23" s="4" t="n">
        <f aca="false">Assumptions!I16</f>
        <v>0.8</v>
      </c>
      <c r="J23" s="4" t="n">
        <f aca="false">Assumptions!J16</f>
        <v>0.8</v>
      </c>
      <c r="K23" s="4" t="n">
        <f aca="false">Assumptions!K16</f>
        <v>0.8</v>
      </c>
      <c r="L23" s="4" t="n">
        <f aca="false">Assumptions!L16</f>
        <v>0.8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-3.60509392</v>
      </c>
      <c r="D24" s="0" t="n">
        <f aca="false">-D6*D23/100</f>
        <v>-3.7132467376</v>
      </c>
      <c r="E24" s="0" t="n">
        <f aca="false">-E6*E23/100</f>
        <v>-3.750379204976</v>
      </c>
      <c r="F24" s="0" t="n">
        <f aca="false">-F6*F23/100</f>
        <v>-3.750379204976</v>
      </c>
      <c r="G24" s="0" t="n">
        <f aca="false">-G6*G23/100</f>
        <v>-3.78788299702576</v>
      </c>
      <c r="H24" s="0" t="n">
        <f aca="false">-H6*H23/100</f>
        <v>-3.86364065696628</v>
      </c>
      <c r="I24" s="0" t="n">
        <f aca="false">-I6*I23/100</f>
        <v>-3.9409134701056</v>
      </c>
      <c r="J24" s="0" t="n">
        <f aca="false">-J6*J23/100</f>
        <v>-4.01973173950771</v>
      </c>
      <c r="K24" s="0" t="n">
        <f aca="false">-K6*K23/100</f>
        <v>-4.10012637429787</v>
      </c>
      <c r="L24" s="0" t="n">
        <f aca="false">-L6*L23/100</f>
        <v>-4.18212890178383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1266.70014140191</v>
      </c>
    </row>
    <row r="31" customFormat="false" ht="15" hidden="false" customHeight="false" outlineLevel="0" collapsed="false">
      <c r="A31" s="0" t="s">
        <v>133</v>
      </c>
      <c r="B31" s="0" t="n">
        <f aca="false">L19</f>
        <v>209.237136617372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3048.88399071028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3138.55704926058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3048.88399071028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1287.88154664728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2554.58168804919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2597.48768804918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343.446739131189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-0.299802774452214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76.8088526479052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80.4423202153202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364.238907961445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1641.70676422861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190.23426331714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7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425.129</v>
      </c>
      <c r="C6" s="0" t="n">
        <f aca="false">B6*(1+C5/100)</f>
        <v>454.88803</v>
      </c>
      <c r="D6" s="0" t="n">
        <f aca="false">C6*(1+D5/100)</f>
        <v>486.7301921</v>
      </c>
      <c r="E6" s="0" t="n">
        <f aca="false">D6*(1+E5/100)</f>
        <v>518.3676545865</v>
      </c>
      <c r="F6" s="0" t="n">
        <f aca="false">E6*(1+F5/100)</f>
        <v>549.46971386169</v>
      </c>
      <c r="G6" s="0" t="n">
        <f aca="false">F6*(1+G5/100)</f>
        <v>579.690548124083</v>
      </c>
      <c r="H6" s="0" t="n">
        <f aca="false">G6*(1+H5/100)</f>
        <v>608.675075530287</v>
      </c>
      <c r="I6" s="0" t="n">
        <f aca="false">H6*(1+I5/100)</f>
        <v>636.06545392915</v>
      </c>
      <c r="J6" s="0" t="n">
        <f aca="false">I6*(1+J5/100)</f>
        <v>661.508072086316</v>
      </c>
      <c r="K6" s="0" t="n">
        <f aca="false">J6*(1+K5/100)</f>
        <v>684.660854609337</v>
      </c>
      <c r="L6" s="0" t="n">
        <f aca="false">K6*(1+L5/100)</f>
        <v>705.200680247617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69</v>
      </c>
      <c r="D7" s="4" t="n">
        <f aca="false">Assumptions!D28</f>
        <v>70</v>
      </c>
      <c r="E7" s="4" t="n">
        <f aca="false">Assumptions!E28</f>
        <v>68.5</v>
      </c>
      <c r="F7" s="4" t="n">
        <f aca="false">Assumptions!F28</f>
        <v>68.5</v>
      </c>
      <c r="G7" s="4" t="n">
        <f aca="false">Assumptions!G28</f>
        <v>68.5</v>
      </c>
      <c r="H7" s="4" t="n">
        <f aca="false">Assumptions!H28</f>
        <v>68.5</v>
      </c>
      <c r="I7" s="4" t="n">
        <f aca="false">Assumptions!I28</f>
        <v>68.5</v>
      </c>
      <c r="J7" s="4" t="n">
        <f aca="false">Assumptions!J28</f>
        <v>68.5</v>
      </c>
      <c r="K7" s="4" t="n">
        <f aca="false">Assumptions!K28</f>
        <v>68.5</v>
      </c>
      <c r="L7" s="4" t="n">
        <f aca="false">Assumptions!L28</f>
        <v>68.5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313.8727407</v>
      </c>
      <c r="D8" s="0" t="n">
        <f aca="false">D6*D7/100</f>
        <v>340.71113447</v>
      </c>
      <c r="E8" s="0" t="n">
        <f aca="false">E6*E7/100</f>
        <v>355.081843391753</v>
      </c>
      <c r="F8" s="0" t="n">
        <f aca="false">F6*F7/100</f>
        <v>376.386753995258</v>
      </c>
      <c r="G8" s="0" t="n">
        <f aca="false">G6*G7/100</f>
        <v>397.088025464997</v>
      </c>
      <c r="H8" s="0" t="n">
        <f aca="false">H6*H7/100</f>
        <v>416.942426738247</v>
      </c>
      <c r="I8" s="0" t="n">
        <f aca="false">I6*I7/100</f>
        <v>435.704835941468</v>
      </c>
      <c r="J8" s="0" t="n">
        <f aca="false">J6*J7/100</f>
        <v>453.133029379127</v>
      </c>
      <c r="K8" s="0" t="n">
        <f aca="false">K6*K7/100</f>
        <v>468.992685407396</v>
      </c>
      <c r="L8" s="0" t="n">
        <f aca="false">L6*L7/100</f>
        <v>483.062465969618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2.3</v>
      </c>
      <c r="D9" s="4" t="n">
        <f aca="false">Assumptions!D29</f>
        <v>2.3</v>
      </c>
      <c r="E9" s="4" t="n">
        <f aca="false">Assumptions!E29</f>
        <v>2.3</v>
      </c>
      <c r="F9" s="4" t="n">
        <f aca="false">Assumptions!F29</f>
        <v>2.3</v>
      </c>
      <c r="G9" s="4" t="n">
        <f aca="false">Assumptions!G29</f>
        <v>2.3</v>
      </c>
      <c r="H9" s="4" t="n">
        <f aca="false">Assumptions!H29</f>
        <v>2.3</v>
      </c>
      <c r="I9" s="4" t="n">
        <f aca="false">Assumptions!I29</f>
        <v>2.3</v>
      </c>
      <c r="J9" s="4" t="n">
        <f aca="false">Assumptions!J29</f>
        <v>2.3</v>
      </c>
      <c r="K9" s="4" t="n">
        <f aca="false">Assumptions!K29</f>
        <v>2.3</v>
      </c>
      <c r="L9" s="4" t="n">
        <f aca="false">Assumptions!L29</f>
        <v>2.3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-10.46242469</v>
      </c>
      <c r="D10" s="0" t="n">
        <f aca="false">-D6*D9/100</f>
        <v>-11.1947944183</v>
      </c>
      <c r="E10" s="0" t="n">
        <f aca="false">-E6*E9/100</f>
        <v>-11.9224560554895</v>
      </c>
      <c r="F10" s="0" t="n">
        <f aca="false">-F6*F9/100</f>
        <v>-12.6378034188189</v>
      </c>
      <c r="G10" s="0" t="n">
        <f aca="false">-G6*G9/100</f>
        <v>-13.3328826068539</v>
      </c>
      <c r="H10" s="0" t="n">
        <f aca="false">-H6*H9/100</f>
        <v>-13.9995267371966</v>
      </c>
      <c r="I10" s="0" t="n">
        <f aca="false">-I6*I9/100</f>
        <v>-14.6295054403705</v>
      </c>
      <c r="J10" s="0" t="n">
        <f aca="false">-J6*J9/100</f>
        <v>-15.2146856579853</v>
      </c>
      <c r="K10" s="0" t="n">
        <f aca="false">-K6*K9/100</f>
        <v>-15.7471996560148</v>
      </c>
      <c r="L10" s="0" t="n">
        <f aca="false">-L6*L9/100</f>
        <v>-16.2196156456952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299.77121177</v>
      </c>
      <c r="D11" s="0" t="n">
        <f aca="false">D8+D10+D24</f>
        <v>325.6224985149</v>
      </c>
      <c r="E11" s="0" t="n">
        <f aca="false">E8+E10+E24</f>
        <v>339.012446099571</v>
      </c>
      <c r="F11" s="0" t="n">
        <f aca="false">F8+F10+F24</f>
        <v>359.353192865545</v>
      </c>
      <c r="G11" s="0" t="n">
        <f aca="false">G8+G10+G24</f>
        <v>379.11761847315</v>
      </c>
      <c r="H11" s="0" t="n">
        <f aca="false">H8+H10+H24</f>
        <v>398.073499396808</v>
      </c>
      <c r="I11" s="0" t="n">
        <f aca="false">I8+I10+I24</f>
        <v>415.986806869664</v>
      </c>
      <c r="J11" s="0" t="n">
        <f aca="false">J8+J10+J24</f>
        <v>432.626279144451</v>
      </c>
      <c r="K11" s="0" t="n">
        <f aca="false">K8+K10+K24</f>
        <v>447.768198914507</v>
      </c>
      <c r="L11" s="0" t="n">
        <f aca="false">L8+L10+L24</f>
        <v>461.201244881942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-6.82332045</v>
      </c>
      <c r="D12" s="4" t="n">
        <f aca="false">-D6*Assumptions!D31/100</f>
        <v>-7.7876830736</v>
      </c>
      <c r="E12" s="4" t="n">
        <f aca="false">-E6*Assumptions!E31/100</f>
        <v>-8.8122501279705</v>
      </c>
      <c r="F12" s="4" t="n">
        <f aca="false">-F6*Assumptions!F31/100</f>
        <v>-9.89045484951042</v>
      </c>
      <c r="G12" s="4" t="n">
        <f aca="false">-G6*Assumptions!G31/100</f>
        <v>-10.4344298662335</v>
      </c>
      <c r="H12" s="4" t="n">
        <f aca="false">-H6*Assumptions!H31/100</f>
        <v>-10.9561513595452</v>
      </c>
      <c r="I12" s="4" t="n">
        <f aca="false">-I6*Assumptions!I31/100</f>
        <v>-11.4491781707247</v>
      </c>
      <c r="J12" s="4" t="n">
        <f aca="false">-J6*Assumptions!J31/100</f>
        <v>-11.9071452975537</v>
      </c>
      <c r="K12" s="4" t="n">
        <f aca="false">-K6*Assumptions!K31/100</f>
        <v>-12.3238953829681</v>
      </c>
      <c r="L12" s="4" t="n">
        <f aca="false">-L6*Assumptions!L31/100</f>
        <v>-12.6936122444571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292.94789132</v>
      </c>
      <c r="D13" s="0" t="n">
        <f aca="false">D11+D12</f>
        <v>317.8348154413</v>
      </c>
      <c r="E13" s="0" t="n">
        <f aca="false">E11+E12</f>
        <v>330.200195971601</v>
      </c>
      <c r="F13" s="0" t="n">
        <f aca="false">F11+F12</f>
        <v>349.462738016035</v>
      </c>
      <c r="G13" s="0" t="n">
        <f aca="false">G11+G12</f>
        <v>368.683188606917</v>
      </c>
      <c r="H13" s="0" t="n">
        <f aca="false">H11+H12</f>
        <v>387.117348037263</v>
      </c>
      <c r="I13" s="0" t="n">
        <f aca="false">I11+I12</f>
        <v>404.53762869894</v>
      </c>
      <c r="J13" s="0" t="n">
        <f aca="false">J11+J12</f>
        <v>420.719133846897</v>
      </c>
      <c r="K13" s="0" t="n">
        <f aca="false">K11+K12</f>
        <v>435.444303531538</v>
      </c>
      <c r="L13" s="0" t="n">
        <f aca="false">L11+L12</f>
        <v>448.507632637485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219.71091849</v>
      </c>
      <c r="D15" s="0" t="n">
        <f aca="false">D13-MAX(0,D13)*D14/100</f>
        <v>238.376111580975</v>
      </c>
      <c r="E15" s="0" t="n">
        <f aca="false">E13-MAX(0,E13)*E14/100</f>
        <v>247.6501469787</v>
      </c>
      <c r="F15" s="0" t="n">
        <f aca="false">F13-MAX(0,F13)*F14/100</f>
        <v>262.097053512026</v>
      </c>
      <c r="G15" s="0" t="n">
        <f aca="false">G13-MAX(0,G13)*G14/100</f>
        <v>276.512391455188</v>
      </c>
      <c r="H15" s="0" t="n">
        <f aca="false">H13-MAX(0,H13)*H14/100</f>
        <v>290.338011027947</v>
      </c>
      <c r="I15" s="0" t="n">
        <f aca="false">I13-MAX(0,I13)*I14/100</f>
        <v>303.403221524205</v>
      </c>
      <c r="J15" s="0" t="n">
        <f aca="false">J13-MAX(0,J13)*J14/100</f>
        <v>315.539350385173</v>
      </c>
      <c r="K15" s="0" t="n">
        <f aca="false">K13-MAX(0,K13)*K14/100</f>
        <v>326.583227648654</v>
      </c>
      <c r="L15" s="0" t="n">
        <f aca="false">L13-MAX(0,L13)*L14/100</f>
        <v>336.380724478114</v>
      </c>
    </row>
    <row r="16" customFormat="false" ht="15" hidden="false" customHeight="false" outlineLevel="0" collapsed="false">
      <c r="A16" s="0" t="s">
        <v>124</v>
      </c>
      <c r="C16" s="0" t="n">
        <f aca="false">-C12</f>
        <v>6.82332045</v>
      </c>
      <c r="D16" s="0" t="n">
        <f aca="false">-D12</f>
        <v>7.7876830736</v>
      </c>
      <c r="E16" s="0" t="n">
        <f aca="false">-E12</f>
        <v>8.8122501279705</v>
      </c>
      <c r="F16" s="0" t="n">
        <f aca="false">-F12</f>
        <v>9.89045484951042</v>
      </c>
      <c r="G16" s="0" t="n">
        <f aca="false">-G12</f>
        <v>10.4344298662335</v>
      </c>
      <c r="H16" s="0" t="n">
        <f aca="false">-H12</f>
        <v>10.9561513595452</v>
      </c>
      <c r="I16" s="0" t="n">
        <f aca="false">-I12</f>
        <v>11.4491781707247</v>
      </c>
      <c r="J16" s="0" t="n">
        <f aca="false">-J12</f>
        <v>11.9071452975537</v>
      </c>
      <c r="K16" s="0" t="n">
        <f aca="false">-K12</f>
        <v>12.3238953829681</v>
      </c>
      <c r="L16" s="0" t="n">
        <f aca="false">-L12</f>
        <v>12.6936122444571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-13.6466409</v>
      </c>
      <c r="D17" s="4" t="n">
        <f aca="false">-D6*Assumptions!D32/100</f>
        <v>-14.601905763</v>
      </c>
      <c r="E17" s="4" t="n">
        <f aca="false">-E6*Assumptions!E32/100</f>
        <v>-15.551029637595</v>
      </c>
      <c r="F17" s="4" t="n">
        <f aca="false">-F6*Assumptions!F32/100</f>
        <v>-15.3851519881273</v>
      </c>
      <c r="G17" s="4" t="n">
        <f aca="false">-G6*Assumptions!G32/100</f>
        <v>-15.0719542512262</v>
      </c>
      <c r="H17" s="4" t="n">
        <f aca="false">-H6*Assumptions!H32/100</f>
        <v>-15.2168768882572</v>
      </c>
      <c r="I17" s="4" t="n">
        <f aca="false">-I6*Assumptions!I32/100</f>
        <v>-15.9016363482288</v>
      </c>
      <c r="J17" s="4" t="n">
        <f aca="false">-J6*Assumptions!J32/100</f>
        <v>-16.5377018021579</v>
      </c>
      <c r="K17" s="4" t="n">
        <f aca="false">-K6*Assumptions!K32/100</f>
        <v>-17.1165213652334</v>
      </c>
      <c r="L17" s="4" t="n">
        <f aca="false">-L6*Assumptions!L32/100</f>
        <v>-17.6300170061904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1.4879515</v>
      </c>
      <c r="D18" s="4" t="n">
        <f aca="false">(D6-C6)*Assumptions!$B$37/100</f>
        <v>1.592108105</v>
      </c>
      <c r="E18" s="4" t="n">
        <f aca="false">(E6-D6)*Assumptions!$B$37/100</f>
        <v>1.581873124325</v>
      </c>
      <c r="F18" s="4" t="n">
        <f aca="false">(F6-E6)*Assumptions!$B$37/100</f>
        <v>1.5551029637595</v>
      </c>
      <c r="G18" s="4" t="n">
        <f aca="false">(G6-F6)*Assumptions!$B$37/100</f>
        <v>1.51104171311965</v>
      </c>
      <c r="H18" s="4" t="n">
        <f aca="false">(H6-G6)*Assumptions!$B$37/100</f>
        <v>1.44922637031021</v>
      </c>
      <c r="I18" s="4" t="n">
        <f aca="false">(I6-H6)*Assumptions!$B$37/100</f>
        <v>1.36951891994315</v>
      </c>
      <c r="J18" s="4" t="n">
        <f aca="false">(J6-I6)*Assumptions!$B$37/100</f>
        <v>1.2721309078583</v>
      </c>
      <c r="K18" s="4" t="n">
        <f aca="false">(K6-J6)*Assumptions!$B$37/100</f>
        <v>1.15763912615105</v>
      </c>
      <c r="L18" s="4" t="n">
        <f aca="false">(L6-K6)*Assumptions!$B$37/100</f>
        <v>1.02699128191401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214.37554954</v>
      </c>
      <c r="D19" s="0" t="n">
        <f aca="false">D15+D16+D17+D18</f>
        <v>233.153996996575</v>
      </c>
      <c r="E19" s="0" t="n">
        <f aca="false">E15+E16+E17+E18</f>
        <v>242.493240593401</v>
      </c>
      <c r="F19" s="0" t="n">
        <f aca="false">F15+F16+F17+F18</f>
        <v>258.157459337169</v>
      </c>
      <c r="G19" s="0" t="n">
        <f aca="false">G15+G16+G17+G18</f>
        <v>273.385908783315</v>
      </c>
      <c r="H19" s="0" t="n">
        <f aca="false">H15+H16+H17+H18</f>
        <v>287.526511869545</v>
      </c>
      <c r="I19" s="0" t="n">
        <f aca="false">I15+I16+I17+I18</f>
        <v>300.320282266644</v>
      </c>
      <c r="J19" s="0" t="n">
        <f aca="false">J15+J16+J17+J18</f>
        <v>312.180924788427</v>
      </c>
      <c r="K19" s="0" t="n">
        <f aca="false">K15+K16+K17+K18</f>
        <v>322.94824079254</v>
      </c>
      <c r="L19" s="0" t="n">
        <f aca="false">L15+L16+L17+L18</f>
        <v>332.471310998294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196.674816091743</v>
      </c>
      <c r="D21" s="0" t="n">
        <f aca="false">D19*D20</f>
        <v>196.241054622149</v>
      </c>
      <c r="E21" s="0" t="n">
        <f aca="false">E19*E20</f>
        <v>187.249274412697</v>
      </c>
      <c r="F21" s="0" t="n">
        <f aca="false">F19*F20</f>
        <v>182.885252618989</v>
      </c>
      <c r="G21" s="0" t="n">
        <f aca="false">G19*G20</f>
        <v>177.682082689973</v>
      </c>
      <c r="H21" s="0" t="n">
        <f aca="false">H19*H20</f>
        <v>171.442664639359</v>
      </c>
      <c r="I21" s="0" t="n">
        <f aca="false">I19*I20</f>
        <v>164.285478820865</v>
      </c>
      <c r="J21" s="0" t="n">
        <f aca="false">J19*J20</f>
        <v>156.673079308372</v>
      </c>
      <c r="K21" s="0" t="n">
        <f aca="false">K19*K20</f>
        <v>148.694341406805</v>
      </c>
      <c r="L21" s="0" t="n">
        <f aca="false">L19*L20</f>
        <v>140.439474748457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0.8</v>
      </c>
      <c r="D23" s="4" t="n">
        <f aca="false">Assumptions!D30</f>
        <v>0.8</v>
      </c>
      <c r="E23" s="4" t="n">
        <f aca="false">Assumptions!E30</f>
        <v>0.8</v>
      </c>
      <c r="F23" s="4" t="n">
        <f aca="false">Assumptions!F30</f>
        <v>0.8</v>
      </c>
      <c r="G23" s="4" t="n">
        <f aca="false">Assumptions!G30</f>
        <v>0.8</v>
      </c>
      <c r="H23" s="4" t="n">
        <f aca="false">Assumptions!H30</f>
        <v>0.8</v>
      </c>
      <c r="I23" s="4" t="n">
        <f aca="false">Assumptions!I30</f>
        <v>0.8</v>
      </c>
      <c r="J23" s="4" t="n">
        <f aca="false">Assumptions!J30</f>
        <v>0.8</v>
      </c>
      <c r="K23" s="4" t="n">
        <f aca="false">Assumptions!K30</f>
        <v>0.8</v>
      </c>
      <c r="L23" s="4" t="n">
        <f aca="false">Assumptions!L30</f>
        <v>0.8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-3.63910424</v>
      </c>
      <c r="D24" s="0" t="n">
        <f aca="false">-D6*D23/100</f>
        <v>-3.8938415368</v>
      </c>
      <c r="E24" s="0" t="n">
        <f aca="false">-E6*E23/100</f>
        <v>-4.146941236692</v>
      </c>
      <c r="F24" s="0" t="n">
        <f aca="false">-F6*F23/100</f>
        <v>-4.39575771089352</v>
      </c>
      <c r="G24" s="0" t="n">
        <f aca="false">-G6*G23/100</f>
        <v>-4.63752438499266</v>
      </c>
      <c r="H24" s="0" t="n">
        <f aca="false">-H6*H23/100</f>
        <v>-4.8694006042423</v>
      </c>
      <c r="I24" s="0" t="n">
        <f aca="false">-I6*I23/100</f>
        <v>-5.0885236314332</v>
      </c>
      <c r="J24" s="0" t="n">
        <f aca="false">-J6*J23/100</f>
        <v>-5.29206457669053</v>
      </c>
      <c r="K24" s="0" t="n">
        <f aca="false">-K6*K23/100</f>
        <v>-5.4772868368747</v>
      </c>
      <c r="L24" s="0" t="n">
        <f aca="false">-L6*L23/100</f>
        <v>-5.64160544198094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1722.26751935941</v>
      </c>
    </row>
    <row r="31" customFormat="false" ht="15" hidden="false" customHeight="false" outlineLevel="0" collapsed="false">
      <c r="A31" s="0" t="s">
        <v>133</v>
      </c>
      <c r="B31" s="0" t="n">
        <f aca="false">L19</f>
        <v>332.471310998294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5242.81682728079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6649.42621996588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5242.81682728079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2214.62248641797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3936.89000577738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3979.79600577738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526.219225939096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0.0728220712315921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83.9335379276741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108.040376242261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551.60252809035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2726.26475018601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269.168139945737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8</v>
      </c>
      <c r="D5" s="4" t="n">
        <f aca="false">Assumptions!D41</f>
        <v>8.5</v>
      </c>
      <c r="E5" s="4" t="n">
        <f aca="false">Assumptions!E41</f>
        <v>8.5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425.129</v>
      </c>
      <c r="C6" s="0" t="n">
        <f aca="false">B6*(1+C5/100)</f>
        <v>459.13932</v>
      </c>
      <c r="D6" s="0" t="n">
        <f aca="false">C6*(1+D5/100)</f>
        <v>498.1661622</v>
      </c>
      <c r="E6" s="0" t="n">
        <f aca="false">D6*(1+E5/100)</f>
        <v>540.510285987</v>
      </c>
      <c r="F6" s="0" t="n">
        <f aca="false">E6*(1+F5/100)</f>
        <v>583.75110886596</v>
      </c>
      <c r="G6" s="0" t="n">
        <f aca="false">F6*(1+G5/100)</f>
        <v>624.613686486577</v>
      </c>
      <c r="H6" s="0" t="n">
        <f aca="false">G6*(1+H5/100)</f>
        <v>662.090507675772</v>
      </c>
      <c r="I6" s="0" t="n">
        <f aca="false">H6*(1+I5/100)</f>
        <v>695.195033059561</v>
      </c>
      <c r="J6" s="0" t="n">
        <f aca="false">I6*(1+J5/100)</f>
        <v>726.478809547241</v>
      </c>
      <c r="K6" s="0" t="n">
        <f aca="false">J6*(1+K5/100)</f>
        <v>755.53796192913</v>
      </c>
      <c r="L6" s="0" t="n">
        <f aca="false">K6*(1+L5/100)</f>
        <v>781.98179059665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69.5</v>
      </c>
      <c r="D7" s="4" t="n">
        <f aca="false">Assumptions!D42</f>
        <v>69.5</v>
      </c>
      <c r="E7" s="4" t="n">
        <f aca="false">Assumptions!E42</f>
        <v>70</v>
      </c>
      <c r="F7" s="4" t="n">
        <f aca="false">Assumptions!F42</f>
        <v>70.5</v>
      </c>
      <c r="G7" s="4" t="n">
        <f aca="false">Assumptions!G42</f>
        <v>71</v>
      </c>
      <c r="H7" s="4" t="n">
        <f aca="false">Assumptions!H42</f>
        <v>71.5</v>
      </c>
      <c r="I7" s="4" t="n">
        <f aca="false">Assumptions!I42</f>
        <v>72</v>
      </c>
      <c r="J7" s="4" t="n">
        <f aca="false">Assumptions!J42</f>
        <v>72</v>
      </c>
      <c r="K7" s="4" t="n">
        <f aca="false">Assumptions!K42</f>
        <v>72</v>
      </c>
      <c r="L7" s="4" t="n">
        <f aca="false">Assumptions!L42</f>
        <v>72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319.1018274</v>
      </c>
      <c r="D8" s="0" t="n">
        <f aca="false">D6*D7/100</f>
        <v>346.225482729</v>
      </c>
      <c r="E8" s="0" t="n">
        <f aca="false">E6*E7/100</f>
        <v>378.3572001909</v>
      </c>
      <c r="F8" s="0" t="n">
        <f aca="false">F6*F7/100</f>
        <v>411.544531750502</v>
      </c>
      <c r="G8" s="0" t="n">
        <f aca="false">G6*G7/100</f>
        <v>443.47571740547</v>
      </c>
      <c r="H8" s="0" t="n">
        <f aca="false">H6*H7/100</f>
        <v>473.394712988177</v>
      </c>
      <c r="I8" s="0" t="n">
        <f aca="false">I6*I7/100</f>
        <v>500.540423802884</v>
      </c>
      <c r="J8" s="0" t="n">
        <f aca="false">J6*J7/100</f>
        <v>523.064742874013</v>
      </c>
      <c r="K8" s="0" t="n">
        <f aca="false">K6*K7/100</f>
        <v>543.987332588974</v>
      </c>
      <c r="L8" s="0" t="n">
        <f aca="false">L6*L7/100</f>
        <v>563.026889229588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2.3</v>
      </c>
      <c r="D9" s="4" t="n">
        <f aca="false">Assumptions!D43</f>
        <v>2.2</v>
      </c>
      <c r="E9" s="4" t="n">
        <f aca="false">Assumptions!E43</f>
        <v>2.2</v>
      </c>
      <c r="F9" s="4" t="n">
        <f aca="false">Assumptions!F43</f>
        <v>2.1</v>
      </c>
      <c r="G9" s="4" t="n">
        <f aca="false">Assumptions!G43</f>
        <v>2.1</v>
      </c>
      <c r="H9" s="4" t="n">
        <f aca="false">Assumptions!H43</f>
        <v>2</v>
      </c>
      <c r="I9" s="4" t="n">
        <f aca="false">Assumptions!I43</f>
        <v>2</v>
      </c>
      <c r="J9" s="4" t="n">
        <f aca="false">Assumptions!J43</f>
        <v>2</v>
      </c>
      <c r="K9" s="4" t="n">
        <f aca="false">Assumptions!K43</f>
        <v>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-10.56020436</v>
      </c>
      <c r="D10" s="0" t="n">
        <f aca="false">-D6*D9/100</f>
        <v>-10.9596555684</v>
      </c>
      <c r="E10" s="0" t="n">
        <f aca="false">-E6*E9/100</f>
        <v>-11.891226291714</v>
      </c>
      <c r="F10" s="0" t="n">
        <f aca="false">-F6*F9/100</f>
        <v>-12.2587732861852</v>
      </c>
      <c r="G10" s="0" t="n">
        <f aca="false">-G6*G9/100</f>
        <v>-13.1168874162181</v>
      </c>
      <c r="H10" s="0" t="n">
        <f aca="false">-H6*H9/100</f>
        <v>-13.2418101535154</v>
      </c>
      <c r="I10" s="0" t="n">
        <f aca="false">-I6*I9/100</f>
        <v>-13.9039006611912</v>
      </c>
      <c r="J10" s="0" t="n">
        <f aca="false">-J6*J9/100</f>
        <v>-14.5295761909448</v>
      </c>
      <c r="K10" s="0" t="n">
        <f aca="false">-K6*K9/100</f>
        <v>-15.1107592385826</v>
      </c>
      <c r="L10" s="0" t="n">
        <f aca="false">-L6*L9/100</f>
        <v>-15.639635811933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304.86850848</v>
      </c>
      <c r="D11" s="0" t="n">
        <f aca="false">D8+D10+D24</f>
        <v>331.280497863</v>
      </c>
      <c r="E11" s="0" t="n">
        <f aca="false">E8+E10+E24</f>
        <v>362.682401897277</v>
      </c>
      <c r="F11" s="0" t="n">
        <f aca="false">F8+F10+F24</f>
        <v>395.199500702255</v>
      </c>
      <c r="G11" s="0" t="n">
        <f aca="false">G8+G10+G24</f>
        <v>425.986534183846</v>
      </c>
      <c r="H11" s="0" t="n">
        <f aca="false">H8+H10+H24</f>
        <v>455.518269280931</v>
      </c>
      <c r="I11" s="0" t="n">
        <f aca="false">I8+I10+I24</f>
        <v>481.770157910276</v>
      </c>
      <c r="J11" s="0" t="n">
        <f aca="false">J8+J10+J24</f>
        <v>503.449815016238</v>
      </c>
      <c r="K11" s="0" t="n">
        <f aca="false">K8+K10+K24</f>
        <v>523.587807616887</v>
      </c>
      <c r="L11" s="0" t="n">
        <f aca="false">L8+L10+L24</f>
        <v>541.913380883479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-6.8870898</v>
      </c>
      <c r="D12" s="4" t="n">
        <f aca="false">-D6*Assumptions!D45/100</f>
        <v>-7.9706585952</v>
      </c>
      <c r="E12" s="4" t="n">
        <f aca="false">-E6*Assumptions!E45/100</f>
        <v>-9.188674861779</v>
      </c>
      <c r="F12" s="4" t="n">
        <f aca="false">-F6*Assumptions!F45/100</f>
        <v>-9.92376885072132</v>
      </c>
      <c r="G12" s="4" t="n">
        <f aca="false">-G6*Assumptions!G45/100</f>
        <v>-10.6184326702718</v>
      </c>
      <c r="H12" s="4" t="n">
        <f aca="false">-H6*Assumptions!H45/100</f>
        <v>-11.2555386304881</v>
      </c>
      <c r="I12" s="4" t="n">
        <f aca="false">-I6*Assumptions!I45/100</f>
        <v>-11.8183155620125</v>
      </c>
      <c r="J12" s="4" t="n">
        <f aca="false">-J6*Assumptions!J45/100</f>
        <v>-12.3501397623031</v>
      </c>
      <c r="K12" s="4" t="n">
        <f aca="false">-K6*Assumptions!K45/100</f>
        <v>-12.8441453527952</v>
      </c>
      <c r="L12" s="4" t="n">
        <f aca="false">-L6*Assumptions!L45/100</f>
        <v>-13.293690440143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297.98141868</v>
      </c>
      <c r="D13" s="0" t="n">
        <f aca="false">D11+D12</f>
        <v>323.3098392678</v>
      </c>
      <c r="E13" s="0" t="n">
        <f aca="false">E11+E12</f>
        <v>353.493727035498</v>
      </c>
      <c r="F13" s="0" t="n">
        <f aca="false">F11+F12</f>
        <v>385.275731851534</v>
      </c>
      <c r="G13" s="0" t="n">
        <f aca="false">G11+G12</f>
        <v>415.368101513574</v>
      </c>
      <c r="H13" s="0" t="n">
        <f aca="false">H11+H12</f>
        <v>444.262730650443</v>
      </c>
      <c r="I13" s="0" t="n">
        <f aca="false">I11+I12</f>
        <v>469.951842348263</v>
      </c>
      <c r="J13" s="0" t="n">
        <f aca="false">J11+J12</f>
        <v>491.099675253935</v>
      </c>
      <c r="K13" s="0" t="n">
        <f aca="false">K11+K12</f>
        <v>510.743662264092</v>
      </c>
      <c r="L13" s="0" t="n">
        <f aca="false">L11+L12</f>
        <v>528.619690443336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223.48606401</v>
      </c>
      <c r="D15" s="0" t="n">
        <f aca="false">D13-MAX(0,D13)*D14/100</f>
        <v>242.48237945085</v>
      </c>
      <c r="E15" s="0" t="n">
        <f aca="false">E13-MAX(0,E13)*E14/100</f>
        <v>265.120295276623</v>
      </c>
      <c r="F15" s="0" t="n">
        <f aca="false">F13-MAX(0,F13)*F14/100</f>
        <v>288.95679888865</v>
      </c>
      <c r="G15" s="0" t="n">
        <f aca="false">G13-MAX(0,G13)*G14/100</f>
        <v>311.52607613518</v>
      </c>
      <c r="H15" s="0" t="n">
        <f aca="false">H13-MAX(0,H13)*H14/100</f>
        <v>333.197047987832</v>
      </c>
      <c r="I15" s="0" t="n">
        <f aca="false">I13-MAX(0,I13)*I14/100</f>
        <v>352.463881761197</v>
      </c>
      <c r="J15" s="0" t="n">
        <f aca="false">J13-MAX(0,J13)*J14/100</f>
        <v>368.324756440451</v>
      </c>
      <c r="K15" s="0" t="n">
        <f aca="false">K13-MAX(0,K13)*K14/100</f>
        <v>383.057746698069</v>
      </c>
      <c r="L15" s="0" t="n">
        <f aca="false">L13-MAX(0,L13)*L14/100</f>
        <v>396.464767832502</v>
      </c>
    </row>
    <row r="16" customFormat="false" ht="15" hidden="false" customHeight="false" outlineLevel="0" collapsed="false">
      <c r="A16" s="0" t="s">
        <v>124</v>
      </c>
      <c r="C16" s="0" t="n">
        <f aca="false">-C12</f>
        <v>6.8870898</v>
      </c>
      <c r="D16" s="0" t="n">
        <f aca="false">-D12</f>
        <v>7.9706585952</v>
      </c>
      <c r="E16" s="0" t="n">
        <f aca="false">-E12</f>
        <v>9.188674861779</v>
      </c>
      <c r="F16" s="0" t="n">
        <f aca="false">-F12</f>
        <v>9.92376885072132</v>
      </c>
      <c r="G16" s="0" t="n">
        <f aca="false">-G12</f>
        <v>10.6184326702718</v>
      </c>
      <c r="H16" s="0" t="n">
        <f aca="false">-H12</f>
        <v>11.2555386304881</v>
      </c>
      <c r="I16" s="0" t="n">
        <f aca="false">-I12</f>
        <v>11.8183155620125</v>
      </c>
      <c r="J16" s="0" t="n">
        <f aca="false">-J12</f>
        <v>12.3501397623031</v>
      </c>
      <c r="K16" s="0" t="n">
        <f aca="false">-K12</f>
        <v>12.8441453527952</v>
      </c>
      <c r="L16" s="0" t="n">
        <f aca="false">-L12</f>
        <v>13.293690440143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-13.7741796</v>
      </c>
      <c r="D17" s="4" t="n">
        <f aca="false">-D6*Assumptions!D46/100</f>
        <v>-14.944984866</v>
      </c>
      <c r="E17" s="4" t="n">
        <f aca="false">-E6*Assumptions!E46/100</f>
        <v>-15.134288007636</v>
      </c>
      <c r="F17" s="4" t="n">
        <f aca="false">-F6*Assumptions!F46/100</f>
        <v>-15.177528830515</v>
      </c>
      <c r="G17" s="4" t="n">
        <f aca="false">-G6*Assumptions!G46/100</f>
        <v>-15.6153421621644</v>
      </c>
      <c r="H17" s="4" t="n">
        <f aca="false">-H6*Assumptions!H46/100</f>
        <v>-15.8901721842185</v>
      </c>
      <c r="I17" s="4" t="n">
        <f aca="false">-I6*Assumptions!I46/100</f>
        <v>-16.6846807934295</v>
      </c>
      <c r="J17" s="4" t="n">
        <f aca="false">-J6*Assumptions!J46/100</f>
        <v>-17.4354914291338</v>
      </c>
      <c r="K17" s="4" t="n">
        <f aca="false">-K6*Assumptions!K46/100</f>
        <v>-18.1329110862991</v>
      </c>
      <c r="L17" s="4" t="n">
        <f aca="false">-L6*Assumptions!L46/100</f>
        <v>-18.7675629743196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2.7208256</v>
      </c>
      <c r="D18" s="4" t="n">
        <f aca="false">(D6-C6)*Assumptions!$B$51/100</f>
        <v>3.122147376</v>
      </c>
      <c r="E18" s="4" t="n">
        <f aca="false">(E6-D6)*Assumptions!$B$51/100</f>
        <v>3.38752990296</v>
      </c>
      <c r="F18" s="4" t="n">
        <f aca="false">(F6-E6)*Assumptions!$B$51/100</f>
        <v>3.4592658303168</v>
      </c>
      <c r="G18" s="4" t="n">
        <f aca="false">(G6-F6)*Assumptions!$B$51/100</f>
        <v>3.26900620964938</v>
      </c>
      <c r="H18" s="4" t="n">
        <f aca="false">(H6-G6)*Assumptions!$B$51/100</f>
        <v>2.99814569513557</v>
      </c>
      <c r="I18" s="4" t="n">
        <f aca="false">(I6-H6)*Assumptions!$B$51/100</f>
        <v>2.64836203070309</v>
      </c>
      <c r="J18" s="4" t="n">
        <f aca="false">(J6-I6)*Assumptions!$B$51/100</f>
        <v>2.50270211901441</v>
      </c>
      <c r="K18" s="4" t="n">
        <f aca="false">(K6-J6)*Assumptions!$B$51/100</f>
        <v>2.32473219055118</v>
      </c>
      <c r="L18" s="4" t="n">
        <f aca="false">(L6-K6)*Assumptions!$B$51/100</f>
        <v>2.11550629340156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219.31979981</v>
      </c>
      <c r="D19" s="0" t="n">
        <f aca="false">D15+D16+D17+D18</f>
        <v>238.63020055605</v>
      </c>
      <c r="E19" s="0" t="n">
        <f aca="false">E15+E16+E17+E18</f>
        <v>262.562212033727</v>
      </c>
      <c r="F19" s="0" t="n">
        <f aca="false">F15+F16+F17+F18</f>
        <v>287.162304739173</v>
      </c>
      <c r="G19" s="0" t="n">
        <f aca="false">G15+G16+G17+G18</f>
        <v>309.798172852937</v>
      </c>
      <c r="H19" s="0" t="n">
        <f aca="false">H15+H16+H17+H18</f>
        <v>331.560560129237</v>
      </c>
      <c r="I19" s="0" t="n">
        <f aca="false">I15+I16+I17+I18</f>
        <v>350.245878560483</v>
      </c>
      <c r="J19" s="0" t="n">
        <f aca="false">J15+J16+J17+J18</f>
        <v>365.742106892635</v>
      </c>
      <c r="K19" s="0" t="n">
        <f aca="false">K15+K16+K17+K18</f>
        <v>380.093713155116</v>
      </c>
      <c r="L19" s="0" t="n">
        <f aca="false">L15+L16+L17+L18</f>
        <v>393.106401591727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201.210825513762</v>
      </c>
      <c r="D21" s="0" t="n">
        <f aca="false">D19*D20</f>
        <v>200.850265597214</v>
      </c>
      <c r="E21" s="0" t="n">
        <f aca="false">E19*E20</f>
        <v>202.746202620734</v>
      </c>
      <c r="F21" s="0" t="n">
        <f aca="false">F19*F20</f>
        <v>203.433016344817</v>
      </c>
      <c r="G21" s="0" t="n">
        <f aca="false">G19*G20</f>
        <v>201.347555955004</v>
      </c>
      <c r="H21" s="0" t="n">
        <f aca="false">H19*H20</f>
        <v>197.698728886836</v>
      </c>
      <c r="I21" s="0" t="n">
        <f aca="false">I19*I20</f>
        <v>191.596489687818</v>
      </c>
      <c r="J21" s="0" t="n">
        <f aca="false">J19*J20</f>
        <v>183.553630505886</v>
      </c>
      <c r="K21" s="0" t="n">
        <f aca="false">K19*K20</f>
        <v>175.005704356116</v>
      </c>
      <c r="L21" s="0" t="n">
        <f aca="false">L19*L20</f>
        <v>166.052392292222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0.8</v>
      </c>
      <c r="D23" s="4" t="n">
        <f aca="false">Assumptions!D44</f>
        <v>0.8</v>
      </c>
      <c r="E23" s="4" t="n">
        <f aca="false">Assumptions!E44</f>
        <v>0.7</v>
      </c>
      <c r="F23" s="4" t="n">
        <f aca="false">Assumptions!F44</f>
        <v>0.7</v>
      </c>
      <c r="G23" s="4" t="n">
        <f aca="false">Assumptions!G44</f>
        <v>0.7</v>
      </c>
      <c r="H23" s="4" t="n">
        <f aca="false">Assumptions!H44</f>
        <v>0.7</v>
      </c>
      <c r="I23" s="4" t="n">
        <f aca="false">Assumptions!I44</f>
        <v>0.7</v>
      </c>
      <c r="J23" s="4" t="n">
        <f aca="false">Assumptions!J44</f>
        <v>0.7</v>
      </c>
      <c r="K23" s="4" t="n">
        <f aca="false">Assumptions!K44</f>
        <v>0.7</v>
      </c>
      <c r="L23" s="4" t="n">
        <f aca="false">Assumptions!L44</f>
        <v>0.7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-3.67311456</v>
      </c>
      <c r="D24" s="0" t="n">
        <f aca="false">-D6*D23/100</f>
        <v>-3.9853292976</v>
      </c>
      <c r="E24" s="0" t="n">
        <f aca="false">-E6*E23/100</f>
        <v>-3.783572001909</v>
      </c>
      <c r="F24" s="0" t="n">
        <f aca="false">-F6*F23/100</f>
        <v>-4.08625776206172</v>
      </c>
      <c r="G24" s="0" t="n">
        <f aca="false">-G6*G23/100</f>
        <v>-4.37229580540604</v>
      </c>
      <c r="H24" s="0" t="n">
        <f aca="false">-H6*H23/100</f>
        <v>-4.6346335537304</v>
      </c>
      <c r="I24" s="0" t="n">
        <f aca="false">-I6*I23/100</f>
        <v>-4.86636523141692</v>
      </c>
      <c r="J24" s="0" t="n">
        <f aca="false">-J6*J23/100</f>
        <v>-5.08535166683068</v>
      </c>
      <c r="K24" s="0" t="n">
        <f aca="false">-K6*K23/100</f>
        <v>-5.28876573350391</v>
      </c>
      <c r="L24" s="0" t="n">
        <f aca="false">-L6*L23/100</f>
        <v>-5.47387253417655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1923.49481176041</v>
      </c>
    </row>
    <row r="31" customFormat="false" ht="15" hidden="false" customHeight="false" outlineLevel="0" collapsed="false">
      <c r="A31" s="0" t="s">
        <v>133</v>
      </c>
      <c r="B31" s="0" t="n">
        <f aca="false">L19</f>
        <v>393.106401591727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6748.32656065797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7862.12803183453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6748.32656065797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2850.56606768314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4774.06087944355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4816.96687944355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636.912188211497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0.298495796557588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81.6617304768069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113.409028639326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662.704963448325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3374.16328032899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309.23438474855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343.446739131189</v>
      </c>
      <c r="C4" s="0" t="n">
        <f aca="false">B4/Assumptions!$B$2-1</f>
        <v>-0.299802774452214</v>
      </c>
      <c r="D4" s="4" t="n">
        <f aca="false">Assumptions!$B$24</f>
        <v>0.25</v>
      </c>
      <c r="E4" s="4" t="n">
        <f aca="false">DCF_Bear!$B$43</f>
        <v>364.238907961445</v>
      </c>
      <c r="F4" s="4" t="n">
        <f aca="false">DCF_Bear!$B$47</f>
        <v>190.23426331714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526.219225939096</v>
      </c>
      <c r="C5" s="0" t="n">
        <f aca="false">B5/Assumptions!$B$2-1</f>
        <v>0.0728220712315921</v>
      </c>
      <c r="D5" s="4" t="n">
        <f aca="false">Assumptions!$B$38</f>
        <v>0.5</v>
      </c>
      <c r="E5" s="4" t="n">
        <f aca="false">DCF_Base!$B$43</f>
        <v>551.60252809035</v>
      </c>
      <c r="F5" s="4" t="n">
        <f aca="false">DCF_Base!$B$47</f>
        <v>269.168139945737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636.912188211497</v>
      </c>
      <c r="C6" s="0" t="n">
        <f aca="false">B6/Assumptions!$B$2-1</f>
        <v>0.298495796557588</v>
      </c>
      <c r="D6" s="4" t="n">
        <f aca="false">Assumptions!$B$52</f>
        <v>0.25</v>
      </c>
      <c r="E6" s="4" t="n">
        <f aca="false">DCF_Bull!$B$43</f>
        <v>662.704963448325</v>
      </c>
      <c r="F6" s="4" t="n">
        <f aca="false">DCF_Bull!$B$47</f>
        <v>309.23438474855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508.19934480522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532.537231897618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0.0348275632114466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-72.7234239275763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259.451231989291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526.219225939096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454.549810225055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399.846314852538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356.745013947155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269.168139945737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669.143184374263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703.679701211238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703.679701211238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703.679701211238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703.679701211238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562.606613026623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590.800287007532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624.120083530424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651.886580632835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651.886580632835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484.700217412208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503.976899942549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526.219225939096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552.168606268401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582.836055748489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425.305207907466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439.013615243836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454.549810225055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472.305461632163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492.792751717287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378.564398326015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388.614192241318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399.846314852538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412.482452790161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426.803409119468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2026-10-10T01:12:04Z</dcterms:created>
  <dc:creator>openpyxl</dc:creator>
  <dc:description/>
  <dc:language>en-NZ</dc:language>
  <cp:lastModifiedBy/>
  <dcterms:modified xsi:type="dcterms:W3CDTF">2026-10-10T01:12:04Z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