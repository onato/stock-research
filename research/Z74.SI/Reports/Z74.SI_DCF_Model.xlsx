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<sst xmlns="http://schemas.openxmlformats.org/spreadsheetml/2006/main" count="363" uniqueCount="166">
  <si>
    <t xml:space="preserve">Ticker</t>
  </si>
  <si>
    <t xml:space="preserve">Z74.SI</t>
  </si>
  <si>
    <t xml:space="preserve">Company</t>
  </si>
  <si>
    <t xml:space="preserve">Singapore Telecommunications Limited (Singtel)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</si>
  <si>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</si>
  <si>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</si>
  <si>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</si>
  <si>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</si>
  <si>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2026-10-23T09:06:02Z regular close (SGX), Yahoo Finance chart API</t>
  </si>
  <si>
    <t xml:space="preserve">Balance sheet date</t>
  </si>
  <si>
    <t xml:space="preserve">2026-03-31</t>
  </si>
  <si>
    <t xml:space="preserve">Model</t>
  </si>
  <si>
    <t xml:space="preserve">Sum-of-parts: owner-FCF DCF on consolidated OpCos plus associate and investment stakes at marked market value (engine route)</t>
  </si>
  <si>
    <t xml:space="preserve">Currency (model)</t>
  </si>
  <si>
    <t xml:space="preserve">SGD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</si>
  <si>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</si>
  <si>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</si>
  <si>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</si>
  <si>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</si>
  <si>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</si>
  <si>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</si>
  <si>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2026-10-24T10:59:46Z</t>
  </si>
  <si>
    <t xml:space="preserve">Drivers file</t>
  </si>
  <si>
    <t xml:space="preserve">Z74.SI_Drivers.json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</si>
  <si>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</si>
  <si>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</si>
  <si>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</si>
  <si>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Singtel is a holding of listed emerging-market telcos wrapped around a mature, capital-hungry developed-market OpCo. Most of the value (~S$3.2/share net of the haircut, perpetuals and NCI) is the associate/investment portfolio, which is taken at market value rather than re-forecast, so the scenarios move only the OpCo (~S$0.6-0.9/share). The OpCo is valued on owner FCF after leases, spectrum and the Singtel-funded share of data-centre capex, which is far below reported group FCF because reported FCF includes S$1.25bn of associate dividends and excludes lease and spectrum payments. The 15% haircut on listed stakes is the largest single judgment: removing it adds S$0.53/share.
key_risks_to_valuation: Associate market values: each 10% move in Airtel alone is ~S$0.22/share (after haircut); the bridge is common to all three scenarios, so the bear/bull spread understates total risk.; EM FX: INR, IDR, THB and PHP depreciation against SGD translates directly into the bridge and into associate dividends.; Optus operational/regulatory events (outages, ACMA/ACCC penalties, remediation provisions S$266m FY26).; Data-centre/AI capex (S$1.2bn growth capex FY27; STT GDC 25% stake on completion) earning below cost of capital.; Telkomsel is unlisted and valued at ~8x share of profit; TLKM.JK has fallen 27% since March and XLSmart competition is intensifying.; Singtel's own share price fell from S$4.94 (31 Mar 2026) to S$4.12 while its listed stakes were broadly flat in SGD; the H1 FY2027 result (due Nov 2026) has not been extracted and may contain the explanation.</t>
  </si>
  <si>
    <t xml:space="preserve">Data sources</t>
  </si>
  <si>
    <t xml:space="preserve">price: Yahoo Finance chart API at inputs.price_as_of; 52-week range 3.99-5.27. Associate prices and FX from the same API, 2026-10-22/23 closes vs 2026-03-30/31.
financials: Z74.SI_Metrics.csv; FY2026 results/financial statements (Z74.SI_Annual_FY2026-FinancialStatements.txt), FY2026 MDA (capex guidance, Optus/Group cash flow), FY2026 Annual Report notes 24-25 (associate/JV market values, dividends) and note 30 (lease liabilities).
qualitative: Z74.SI_Analysis.json (2026-10-24): guidance, Singtel28 plan, Optus incidents, capital recycling.</t>
  </si>
  <si>
    <t xml:space="preserve">Scenario narrative: bear</t>
  </si>
  <si>
    <t xml:space="preserve">Optus suffers another major failure or a punitive regulatory outcome (ACMA/ACCC fines, licence conditions, lost enterprise/government contracts) and its turnaround stalls; Singapore's four-player price war and travel eSIMs keep shrinking Singtel Singapore EBITDA (-6.8% FY26); AI/data-centre capex earns below its cost as capacity floods the region. Revenue grows ~1-1.5%, EBITDA margin drifts to 25.5%, and capex stays near 15% of revenue. Associate downside (INR/IDR/THB depreciation, Airtel AGR dues, XLSmart pressure on Telkomsel) is NOT modelled here because the bridge is common to all scenarios; see key risks.</t>
  </si>
  <si>
    <t xml:space="preserve">Scenario narrative: base</t>
  </si>
  <si>
    <t xml:space="preserve">OpCos grow in line with the cautious FY27 guide (EBIT +low-to-mid single digits) then 2.5-3%: NCS converts its record S$3.8bn bookings, Nxera's DC Tuas and GPU-as-a-Service fill, Optus holds price rises and network-sharing revenue while absorbing Triple Zero remediation, and Singapore mobile keeps eroding at the margin. Elevated FY27 growth capex (S$1.2bn, S$0.7bn partner-funded) fades to a core ~15% of revenue. Associates are taken at today's market value less a 15% haircut; capital recycling (S$5.8bn of S$9bn done) converts stakes to cash at roughly that value, so it neither adds nor destroys value here.</t>
  </si>
  <si>
    <t xml:space="preserve">Scenario narrative: bull</t>
  </si>
  <si>
    <t xml:space="preserve">The Singtel28 turnaround works: Optus EBIT keeps compounding as in FY26 (+23%) with no further outage, data centres and RE:AI become a meaningful high-margin growth leg (combined ~2.8GW platform via STT GDC), NCS AI work lifts margins, and EBITDA margin reaches 30.5%. Revenue grows 4-4.5% for three years. Upside in the associates (Airtel's Indian tariff cycle, AIS) is not in this scenario because the bridge is held at market across scenarios.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</si>
  <si>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</si>
  <si>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</si>
  <si>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</si>
  <si>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</si>
  <si>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</si>
  <si>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</si>
  <si>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</si>
  <si>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</si>
  <si>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</si>
  <si>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</si>
  <si>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</si>
  <si>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</si>
  <si>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</si>
  <si>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</si>
  <si>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</si>
  <si>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</si>
  <si>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</si>
  <si>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</si>
  <si>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</si>
  <si>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</si>
  <si>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</si>
  <si>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</si>
  <si>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</si>
  <si>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</si>
  <si>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</si>
  <si>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</si>
  <si>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</si>
  <si>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</si>
  <si>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</si>
  <si>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</si>
  <si>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</si>
  <si>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</si>
  <si>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</si>
  <si>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</si>
  <si>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</si>
  <si>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</si>
  <si>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</si>
  <si>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</si>
  <si>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</si>
  <si>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</si>
  <si>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</si>
  <si>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</si>
  <si>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</si>
  <si>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</si>
  <si>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</si>
  <si>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</si>
  <si>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</si>
  <si>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</si>
  <si>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SGD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</si>
  <si>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</si>
  <si>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</si>
  <si>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</si>
  <si>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</si>
  <si>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</si>
  <si>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</si>
  <si>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</si>
  <si>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</si>
  <si>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</si>
  <si>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</si>
  <si>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</si>
  <si>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</si>
  <si>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</si>
  <si>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</si>
  <si>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</si>
  <si>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</si>
  <si>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</si>
  <si>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</si>
  <si>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</si>
  <si>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</si>
  <si>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</si>
  <si>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</si>
  <si>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</si>
  <si>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</si>
  <si>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</si>
  <si>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</si>
  <si>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Z74.SI owner-FCF component DCF: bear case (millions, SGD)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</si>
  <si>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</si>
  <si>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</si>
  <si>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</si>
  <si>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</si>
  <si>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</si>
  <si>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</si>
  <si>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</si>
  <si>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</si>
  <si>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</si>
  <si>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</si>
  <si>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</si>
  <si>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</si>
  <si>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</si>
  <si>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</si>
  <si>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</si>
  <si>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</si>
  <si>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</si>
  <si>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</si>
  <si>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</si>
  <si>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</si>
  <si>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</si>
  <si>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</si>
  <si>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</si>
  <si>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</si>
  <si>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</si>
  <si>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</si>
  <si>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</si>
  <si>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</si>
  <si>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</si>
  <si>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</si>
  <si>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Z74.SI owner-FCF component DCF: base case (millions, SGD)</t>
  </si>
  <si>
    <t xml:space="preserve">Z74.SI owner-FCF component DCF: bull case (millions, SGD)</t>
  </si>
  <si>
    <t xml:space="preserve">Z74.SI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</si>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</sst>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4.12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16961.2</v>
      </c>
      <c r="F2" s="0" t="n">
        <v>2863.9</v>
      </c>
      <c r="G2" s="0" t="n">
        <v>16.9</v>
      </c>
      <c r="H2" s="0" t="n">
        <v>5012.7</v>
      </c>
      <c r="I2" s="0" t="n">
        <v>3870.8</v>
      </c>
      <c r="J2" s="0" t="n">
        <v>22.8</v>
      </c>
      <c r="K2" s="0" t="n">
        <v>0.2426</v>
      </c>
      <c r="L2" s="0" t="n">
        <v>4647.7</v>
      </c>
      <c r="M2" s="0" t="n">
        <v>1930</v>
      </c>
      <c r="N2" s="0" t="n">
        <v>2717.7</v>
      </c>
      <c r="O2" s="0" t="n">
        <v>24989.2</v>
      </c>
      <c r="P2" s="0" t="n">
        <v>43565.7</v>
      </c>
      <c r="Q2" s="0" t="n">
        <v>18563.2</v>
      </c>
      <c r="R2" s="0" t="n">
        <v>9940.7</v>
      </c>
      <c r="S2" s="0" t="n">
        <v>461.8</v>
      </c>
      <c r="T2" s="0" t="n">
        <v>15952.029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16711.4</v>
      </c>
      <c r="F3" s="0" t="n">
        <v>2758.8</v>
      </c>
      <c r="G3" s="0" t="n">
        <v>16.5</v>
      </c>
      <c r="H3" s="0" t="n">
        <v>4997.7</v>
      </c>
      <c r="I3" s="0" t="n">
        <v>3852.7</v>
      </c>
      <c r="J3" s="0" t="n">
        <v>23.1</v>
      </c>
      <c r="K3" s="0" t="n">
        <v>0.2391</v>
      </c>
      <c r="L3" s="0" t="n">
        <v>5314.7</v>
      </c>
      <c r="M3" s="0" t="n">
        <v>2260.6</v>
      </c>
      <c r="N3" s="0" t="n">
        <v>3054.1</v>
      </c>
      <c r="O3" s="0" t="n">
        <v>28213.6</v>
      </c>
      <c r="P3" s="0" t="n">
        <v>48294.2</v>
      </c>
      <c r="Q3" s="0" t="n">
        <v>20080.6</v>
      </c>
      <c r="R3" s="0" t="n">
        <v>11185.9</v>
      </c>
      <c r="S3" s="0" t="n">
        <v>533.8</v>
      </c>
      <c r="T3" s="0" t="n">
        <v>16109.251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17531.8</v>
      </c>
      <c r="F4" s="0" t="n">
        <v>2749</v>
      </c>
      <c r="G4" s="0" t="n">
        <v>15.7</v>
      </c>
      <c r="H4" s="0" t="n">
        <v>5089.1</v>
      </c>
      <c r="I4" s="0" t="n">
        <v>5451.4</v>
      </c>
      <c r="J4" s="0" t="n">
        <v>31.1</v>
      </c>
      <c r="K4" s="0" t="n">
        <v>0.3335</v>
      </c>
      <c r="L4" s="0" t="n">
        <v>5955.2</v>
      </c>
      <c r="M4" s="0" t="n">
        <v>2349</v>
      </c>
      <c r="N4" s="0" t="n">
        <v>3606.2</v>
      </c>
      <c r="O4" s="0" t="n">
        <v>29679.2</v>
      </c>
      <c r="P4" s="0" t="n">
        <v>48253.7</v>
      </c>
      <c r="Q4" s="0" t="n">
        <v>18600.1</v>
      </c>
      <c r="R4" s="0" t="n">
        <v>10430.2</v>
      </c>
      <c r="S4" s="0" t="n">
        <v>524.9</v>
      </c>
      <c r="T4" s="0" t="n">
        <v>16344.329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17371.7</v>
      </c>
      <c r="F5" s="0" t="n">
        <v>2469.7</v>
      </c>
      <c r="G5" s="0" t="n">
        <v>14.2</v>
      </c>
      <c r="H5" s="0" t="n">
        <v>4691.9</v>
      </c>
      <c r="I5" s="0" t="n">
        <v>3094.5</v>
      </c>
      <c r="J5" s="0" t="n">
        <v>17.8</v>
      </c>
      <c r="K5" s="0" t="n">
        <v>0.1893</v>
      </c>
      <c r="L5" s="0" t="n">
        <v>5367.6</v>
      </c>
      <c r="M5" s="0" t="n">
        <v>1718.1</v>
      </c>
      <c r="N5" s="0" t="n">
        <v>3649.5</v>
      </c>
      <c r="O5" s="0" t="n">
        <v>29837.8</v>
      </c>
      <c r="P5" s="0" t="n">
        <v>48914.8</v>
      </c>
      <c r="Q5" s="0" t="n">
        <v>19105.1</v>
      </c>
      <c r="R5" s="0" t="n">
        <v>10664.1</v>
      </c>
      <c r="S5" s="0" t="n">
        <v>512.7</v>
      </c>
      <c r="T5" s="0" t="n">
        <v>16342.302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16542.3</v>
      </c>
      <c r="F6" s="0" t="n">
        <v>1961.1</v>
      </c>
      <c r="G6" s="0" t="n">
        <v>11.9</v>
      </c>
      <c r="H6" s="0" t="n">
        <v>4541.4</v>
      </c>
      <c r="I6" s="0" t="n">
        <v>1074.6</v>
      </c>
      <c r="J6" s="0" t="n">
        <v>6.5</v>
      </c>
      <c r="K6" s="0" t="n">
        <v>0.0656</v>
      </c>
      <c r="L6" s="0" t="n">
        <v>5817.3</v>
      </c>
      <c r="M6" s="0" t="n">
        <v>2036.6</v>
      </c>
      <c r="N6" s="0" t="n">
        <v>3780.7</v>
      </c>
      <c r="O6" s="0" t="n">
        <v>26789.2</v>
      </c>
      <c r="P6" s="0" t="n">
        <v>48954.9</v>
      </c>
      <c r="Q6" s="0" t="n">
        <v>22140.9</v>
      </c>
      <c r="R6" s="0" t="n">
        <v>14172.6</v>
      </c>
      <c r="S6" s="0" t="n">
        <v>999.6</v>
      </c>
      <c r="T6" s="0" t="n">
        <v>16349.228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15644</v>
      </c>
      <c r="F7" s="0" t="n">
        <v>1146.8</v>
      </c>
      <c r="G7" s="0" t="n">
        <v>7.3</v>
      </c>
      <c r="H7" s="0" t="n">
        <v>3831.6</v>
      </c>
      <c r="I7" s="0" t="n">
        <v>553.7</v>
      </c>
      <c r="J7" s="0" t="n">
        <v>3.5</v>
      </c>
      <c r="K7" s="0" t="n">
        <v>0.0338</v>
      </c>
      <c r="L7" s="0" t="n">
        <v>5609</v>
      </c>
      <c r="M7" s="0" t="n">
        <v>2214.4</v>
      </c>
      <c r="N7" s="0" t="n">
        <v>3394.6</v>
      </c>
      <c r="O7" s="0" t="n">
        <v>26485.8</v>
      </c>
      <c r="P7" s="0" t="n">
        <v>47998.4</v>
      </c>
      <c r="Q7" s="0" t="n">
        <v>21487</v>
      </c>
      <c r="R7" s="0" t="n">
        <v>12859.5</v>
      </c>
      <c r="S7" s="0" t="n">
        <v>754.7</v>
      </c>
      <c r="T7" s="0" t="n">
        <v>16386.526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15339.1</v>
      </c>
      <c r="F8" s="0" t="n">
        <v>1044.8</v>
      </c>
      <c r="G8" s="0" t="n">
        <v>6.8</v>
      </c>
      <c r="H8" s="0" t="n">
        <v>3767.3</v>
      </c>
      <c r="I8" s="0" t="n">
        <v>1948.5</v>
      </c>
      <c r="J8" s="0" t="n">
        <v>12.7</v>
      </c>
      <c r="K8" s="0" t="n">
        <v>0.1176</v>
      </c>
      <c r="L8" s="0" t="n">
        <v>5297.8</v>
      </c>
      <c r="M8" s="0" t="n">
        <v>2217.1</v>
      </c>
      <c r="N8" s="0" t="n">
        <v>3080.7</v>
      </c>
      <c r="O8" s="0" t="n">
        <v>27111.6</v>
      </c>
      <c r="P8" s="0" t="n">
        <v>49131</v>
      </c>
      <c r="Q8" s="0" t="n">
        <v>21021.7</v>
      </c>
      <c r="R8" s="0" t="n">
        <v>11868.6</v>
      </c>
      <c r="S8" s="0" t="n">
        <v>2130.1</v>
      </c>
      <c r="T8" s="0" t="n">
        <v>16550.279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14624.4</v>
      </c>
      <c r="F9" s="0" t="n">
        <v>1111.8</v>
      </c>
      <c r="G9" s="0" t="n">
        <v>7.6</v>
      </c>
      <c r="H9" s="0" t="n">
        <v>3685.9</v>
      </c>
      <c r="I9" s="0" t="n">
        <v>2225.1</v>
      </c>
      <c r="J9" s="0" t="n">
        <v>15.2</v>
      </c>
      <c r="K9" s="0" t="n">
        <v>0.134</v>
      </c>
      <c r="L9" s="0" t="n">
        <v>4775.8</v>
      </c>
      <c r="M9" s="0" t="n">
        <v>2162.4</v>
      </c>
      <c r="N9" s="0" t="n">
        <v>2613.4</v>
      </c>
      <c r="O9" s="0" t="n">
        <v>24992.3</v>
      </c>
      <c r="P9" s="0" t="n">
        <v>46530</v>
      </c>
      <c r="Q9" s="0" t="n">
        <v>20515.7</v>
      </c>
      <c r="R9" s="0" t="n">
        <v>10893.3</v>
      </c>
      <c r="S9" s="0" t="n">
        <v>1667.9</v>
      </c>
      <c r="T9" s="0" t="n">
        <v>16555.547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14127.5</v>
      </c>
      <c r="F10" s="0" t="n">
        <v>1152.9</v>
      </c>
      <c r="G10" s="0" t="n">
        <v>8.2</v>
      </c>
      <c r="H10" s="0" t="n">
        <v>3596.9</v>
      </c>
      <c r="I10" s="0" t="n">
        <v>795</v>
      </c>
      <c r="J10" s="0" t="n">
        <v>5.6</v>
      </c>
      <c r="K10" s="0" t="n">
        <v>0.0475</v>
      </c>
      <c r="L10" s="0" t="n">
        <v>4718</v>
      </c>
      <c r="M10" s="0" t="n">
        <v>2149.5</v>
      </c>
      <c r="N10" s="0" t="n">
        <v>2568.5</v>
      </c>
      <c r="O10" s="0" t="n">
        <v>23915</v>
      </c>
      <c r="P10" s="0" t="n">
        <v>46198.5</v>
      </c>
      <c r="Q10" s="0" t="n">
        <v>21233.8</v>
      </c>
      <c r="R10" s="0" t="n">
        <v>11899.6</v>
      </c>
      <c r="S10" s="0" t="n">
        <v>4605.2</v>
      </c>
      <c r="T10" s="0" t="n">
        <v>16556.17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14146.1</v>
      </c>
      <c r="F11" s="0" t="n">
        <v>1381.3</v>
      </c>
      <c r="G11" s="0" t="n">
        <v>9.8</v>
      </c>
      <c r="H11" s="0" t="n">
        <v>3791.9</v>
      </c>
      <c r="I11" s="0" t="n">
        <v>4017.4</v>
      </c>
      <c r="J11" s="0" t="n">
        <v>28.4</v>
      </c>
      <c r="K11" s="0" t="n">
        <v>0.2392</v>
      </c>
      <c r="L11" s="0" t="n">
        <v>4609.2</v>
      </c>
      <c r="M11" s="0" t="n">
        <v>2132.8</v>
      </c>
      <c r="N11" s="0" t="n">
        <v>2476.4</v>
      </c>
      <c r="O11" s="0" t="n">
        <v>24878.8</v>
      </c>
      <c r="P11" s="0" t="n">
        <v>46783.3</v>
      </c>
      <c r="Q11" s="0" t="n">
        <v>20826.9</v>
      </c>
      <c r="R11" s="0" t="n">
        <v>11671.7</v>
      </c>
      <c r="S11" s="0" t="n">
        <v>2773.2</v>
      </c>
      <c r="T11" s="0" t="n">
        <v>16558.374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14260.6</v>
      </c>
      <c r="F12" s="0" t="n">
        <v>1503.6</v>
      </c>
      <c r="G12" s="0" t="n">
        <v>10.5</v>
      </c>
      <c r="H12" s="0" t="n">
        <v>3847.5</v>
      </c>
      <c r="I12" s="0" t="n">
        <v>5606.1</v>
      </c>
      <c r="J12" s="0" t="n">
        <v>39.3</v>
      </c>
      <c r="K12" s="0" t="n">
        <v>0.3362</v>
      </c>
      <c r="L12" s="0" t="n">
        <v>4920.3</v>
      </c>
      <c r="M12" s="0" t="n">
        <v>2481.6</v>
      </c>
      <c r="N12" s="0" t="n">
        <v>2438.7</v>
      </c>
      <c r="O12" s="0" t="n">
        <v>27546.8</v>
      </c>
      <c r="P12" s="0" t="n">
        <v>50696.9</v>
      </c>
      <c r="Q12" s="0" t="n">
        <v>21980.2</v>
      </c>
      <c r="R12" s="0" t="n">
        <v>11678.7</v>
      </c>
      <c r="S12" s="0" t="n">
        <v>3470.4</v>
      </c>
      <c r="T12" s="0" t="n">
        <v>16557.03</v>
      </c>
      <c r="AA12" s="0" t="s">
        <v>17</v>
      </c>
      <c r="AB12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4.12</v>
      </c>
    </row>
    <row r="3" customFormat="false" ht="15" hidden="false" customHeight="false" outlineLevel="0" collapsed="false">
      <c r="A3" s="0" t="s">
        <v>77</v>
      </c>
      <c r="B3" s="3" t="n">
        <v>16549.1</v>
      </c>
    </row>
    <row r="4" customFormat="false" ht="15" hidden="false" customHeight="false" outlineLevel="0" collapsed="false">
      <c r="A4" s="0" t="s">
        <v>78</v>
      </c>
      <c r="B4" s="3" t="n">
        <v>5581.1</v>
      </c>
    </row>
    <row r="5" customFormat="false" ht="15" hidden="false" customHeight="false" outlineLevel="0" collapsed="false">
      <c r="A5" s="0" t="s">
        <v>79</v>
      </c>
      <c r="B5" s="3" t="n">
        <v>53679.1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14260.6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0.5</v>
      </c>
      <c r="D13" s="3" t="n">
        <v>1</v>
      </c>
      <c r="E13" s="3" t="n">
        <v>1</v>
      </c>
      <c r="F13" s="3" t="n">
        <v>1.5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98</v>
      </c>
      <c r="C14" s="3" t="n">
        <v>26.6</v>
      </c>
      <c r="D14" s="3" t="n">
        <v>26.3</v>
      </c>
      <c r="E14" s="3" t="n">
        <v>26</v>
      </c>
      <c r="F14" s="3" t="n">
        <v>25.8</v>
      </c>
      <c r="G14" s="3" t="n">
        <v>25.6</v>
      </c>
      <c r="H14" s="3" t="n">
        <v>25.5</v>
      </c>
      <c r="I14" s="3" t="n">
        <v>25.5</v>
      </c>
      <c r="J14" s="3" t="n">
        <v>25.5</v>
      </c>
      <c r="K14" s="3" t="n">
        <v>25.5</v>
      </c>
      <c r="L14" s="3" t="n">
        <v>25.5</v>
      </c>
    </row>
    <row r="15" customFormat="false" ht="15" hidden="false" customHeight="false" outlineLevel="0" collapsed="false">
      <c r="A15" s="0" t="s">
        <v>99</v>
      </c>
      <c r="C15" s="3" t="n">
        <v>0.3</v>
      </c>
      <c r="D15" s="3" t="n">
        <v>0.3</v>
      </c>
      <c r="E15" s="3" t="n">
        <v>0.3</v>
      </c>
      <c r="F15" s="3" t="n">
        <v>0.3</v>
      </c>
      <c r="G15" s="3" t="n">
        <v>0.3</v>
      </c>
      <c r="H15" s="3" t="n">
        <v>0.3</v>
      </c>
      <c r="I15" s="3" t="n">
        <v>0.3</v>
      </c>
      <c r="J15" s="3" t="n">
        <v>0.3</v>
      </c>
      <c r="K15" s="3" t="n">
        <v>0.3</v>
      </c>
      <c r="L15" s="3" t="n">
        <v>0.3</v>
      </c>
    </row>
    <row r="16" customFormat="false" ht="15" hidden="false" customHeight="false" outlineLevel="0" collapsed="false">
      <c r="A16" s="0" t="s">
        <v>100</v>
      </c>
      <c r="C16" s="3" t="n">
        <v>4.1</v>
      </c>
      <c r="D16" s="3" t="n">
        <v>4.2</v>
      </c>
      <c r="E16" s="3" t="n">
        <v>4.3</v>
      </c>
      <c r="F16" s="3" t="n">
        <v>4.3</v>
      </c>
      <c r="G16" s="3" t="n">
        <v>4.3</v>
      </c>
      <c r="H16" s="3" t="n">
        <v>4.3</v>
      </c>
      <c r="I16" s="3" t="n">
        <v>4.3</v>
      </c>
      <c r="J16" s="3" t="n">
        <v>4.3</v>
      </c>
      <c r="K16" s="3" t="n">
        <v>4.3</v>
      </c>
      <c r="L16" s="3" t="n">
        <v>4.3</v>
      </c>
    </row>
    <row r="17" customFormat="false" ht="15" hidden="false" customHeight="false" outlineLevel="0" collapsed="false">
      <c r="A17" s="0" t="s">
        <v>101</v>
      </c>
      <c r="C17" s="3" t="n">
        <v>13.6</v>
      </c>
      <c r="D17" s="3" t="n">
        <v>13.8</v>
      </c>
      <c r="E17" s="3" t="n">
        <v>14</v>
      </c>
      <c r="F17" s="3" t="n">
        <v>14.1</v>
      </c>
      <c r="G17" s="3" t="n">
        <v>14.2</v>
      </c>
      <c r="H17" s="3" t="n">
        <v>14.3</v>
      </c>
      <c r="I17" s="3" t="n">
        <v>14.3</v>
      </c>
      <c r="J17" s="3" t="n">
        <v>14.3</v>
      </c>
      <c r="K17" s="3" t="n">
        <v>14.3</v>
      </c>
      <c r="L17" s="3" t="n">
        <v>14.3</v>
      </c>
    </row>
    <row r="18" customFormat="false" ht="15" hidden="false" customHeight="false" outlineLevel="0" collapsed="false">
      <c r="A18" s="0" t="s">
        <v>102</v>
      </c>
      <c r="C18" s="3" t="n">
        <v>17.5</v>
      </c>
      <c r="D18" s="3" t="n">
        <v>17</v>
      </c>
      <c r="E18" s="3" t="n">
        <v>16.5</v>
      </c>
      <c r="F18" s="3" t="n">
        <v>16</v>
      </c>
      <c r="G18" s="3" t="n">
        <v>15.5</v>
      </c>
      <c r="H18" s="3" t="n">
        <v>15.3</v>
      </c>
      <c r="I18" s="3" t="n">
        <v>15</v>
      </c>
      <c r="J18" s="3" t="n">
        <v>15</v>
      </c>
      <c r="K18" s="3" t="n">
        <v>15</v>
      </c>
      <c r="L18" s="3" t="n">
        <v>15</v>
      </c>
    </row>
    <row r="19" customFormat="false" ht="15" hidden="false" customHeight="false" outlineLevel="0" collapsed="false">
      <c r="A19" s="0" t="s">
        <v>103</v>
      </c>
      <c r="C19" s="3" t="n">
        <v>16</v>
      </c>
      <c r="D19" s="3" t="n">
        <v>17</v>
      </c>
      <c r="E19" s="3" t="n">
        <v>18</v>
      </c>
      <c r="F19" s="3" t="n">
        <v>19</v>
      </c>
      <c r="G19" s="3" t="n">
        <v>20</v>
      </c>
      <c r="H19" s="3" t="n">
        <v>20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104</v>
      </c>
      <c r="B20" s="3" t="n">
        <v>7</v>
      </c>
    </row>
    <row r="21" customFormat="false" ht="15" hidden="false" customHeight="false" outlineLevel="0" collapsed="false">
      <c r="A21" s="0" t="s">
        <v>105</v>
      </c>
      <c r="B21" s="3" t="n">
        <v>1.5</v>
      </c>
    </row>
    <row r="22" customFormat="false" ht="15" hidden="false" customHeight="false" outlineLevel="0" collapsed="false">
      <c r="A22" s="0" t="s">
        <v>106</v>
      </c>
      <c r="B22" s="3" t="n">
        <v>13</v>
      </c>
    </row>
    <row r="23" customFormat="false" ht="15" hidden="false" customHeight="false" outlineLevel="0" collapsed="false">
      <c r="A23" s="0" t="s">
        <v>107</v>
      </c>
      <c r="B23" s="3" t="n">
        <v>0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2.5</v>
      </c>
      <c r="D27" s="3" t="n">
        <v>3</v>
      </c>
      <c r="E27" s="3" t="n">
        <v>3</v>
      </c>
      <c r="F27" s="3" t="n">
        <v>3</v>
      </c>
      <c r="G27" s="3" t="n">
        <v>2.5</v>
      </c>
      <c r="H27" s="3" t="n">
        <v>2.5</v>
      </c>
      <c r="I27" s="3" t="n">
        <v>2.5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98</v>
      </c>
      <c r="C28" s="3" t="n">
        <v>27.1</v>
      </c>
      <c r="D28" s="3" t="n">
        <v>27.4</v>
      </c>
      <c r="E28" s="3" t="n">
        <v>27.7</v>
      </c>
      <c r="F28" s="3" t="n">
        <v>28</v>
      </c>
      <c r="G28" s="3" t="n">
        <v>28.3</v>
      </c>
      <c r="H28" s="3" t="n">
        <v>28.5</v>
      </c>
      <c r="I28" s="3" t="n">
        <v>28.5</v>
      </c>
      <c r="J28" s="3" t="n">
        <v>28.5</v>
      </c>
      <c r="K28" s="3" t="n">
        <v>28.5</v>
      </c>
      <c r="L28" s="3" t="n">
        <v>28.5</v>
      </c>
    </row>
    <row r="29" customFormat="false" ht="15" hidden="false" customHeight="false" outlineLevel="0" collapsed="false">
      <c r="A29" s="0" t="s">
        <v>99</v>
      </c>
      <c r="C29" s="3" t="n">
        <v>0.3</v>
      </c>
      <c r="D29" s="3" t="n">
        <v>0.3</v>
      </c>
      <c r="E29" s="3" t="n">
        <v>0.3</v>
      </c>
      <c r="F29" s="3" t="n">
        <v>0.3</v>
      </c>
      <c r="G29" s="3" t="n">
        <v>0.3</v>
      </c>
      <c r="H29" s="3" t="n">
        <v>0.3</v>
      </c>
      <c r="I29" s="3" t="n">
        <v>0.3</v>
      </c>
      <c r="J29" s="3" t="n">
        <v>0.3</v>
      </c>
      <c r="K29" s="3" t="n">
        <v>0.3</v>
      </c>
      <c r="L29" s="3" t="n">
        <v>0.3</v>
      </c>
    </row>
    <row r="30" customFormat="false" ht="15" hidden="false" customHeight="false" outlineLevel="0" collapsed="false">
      <c r="A30" s="0" t="s">
        <v>100</v>
      </c>
      <c r="C30" s="3" t="n">
        <v>4.1</v>
      </c>
      <c r="D30" s="3" t="n">
        <v>4.2</v>
      </c>
      <c r="E30" s="3" t="n">
        <v>4.2</v>
      </c>
      <c r="F30" s="3" t="n">
        <v>4.2</v>
      </c>
      <c r="G30" s="3" t="n">
        <v>4.2</v>
      </c>
      <c r="H30" s="3" t="n">
        <v>4.2</v>
      </c>
      <c r="I30" s="3" t="n">
        <v>4.2</v>
      </c>
      <c r="J30" s="3" t="n">
        <v>4.2</v>
      </c>
      <c r="K30" s="3" t="n">
        <v>4.2</v>
      </c>
      <c r="L30" s="3" t="n">
        <v>4.2</v>
      </c>
    </row>
    <row r="31" customFormat="false" ht="15" hidden="false" customHeight="false" outlineLevel="0" collapsed="false">
      <c r="A31" s="0" t="s">
        <v>101</v>
      </c>
      <c r="C31" s="3" t="n">
        <v>13.6</v>
      </c>
      <c r="D31" s="3" t="n">
        <v>13.8</v>
      </c>
      <c r="E31" s="3" t="n">
        <v>14</v>
      </c>
      <c r="F31" s="3" t="n">
        <v>14.2</v>
      </c>
      <c r="G31" s="3" t="n">
        <v>14.3</v>
      </c>
      <c r="H31" s="3" t="n">
        <v>14.4</v>
      </c>
      <c r="I31" s="3" t="n">
        <v>14.5</v>
      </c>
      <c r="J31" s="3" t="n">
        <v>14.5</v>
      </c>
      <c r="K31" s="3" t="n">
        <v>14.5</v>
      </c>
      <c r="L31" s="3" t="n">
        <v>14.5</v>
      </c>
    </row>
    <row r="32" customFormat="false" ht="15" hidden="false" customHeight="false" outlineLevel="0" collapsed="false">
      <c r="A32" s="0" t="s">
        <v>102</v>
      </c>
      <c r="C32" s="3" t="n">
        <v>17.2</v>
      </c>
      <c r="D32" s="3" t="n">
        <v>16.5</v>
      </c>
      <c r="E32" s="3" t="n">
        <v>16</v>
      </c>
      <c r="F32" s="3" t="n">
        <v>15.6</v>
      </c>
      <c r="G32" s="3" t="n">
        <v>15.3</v>
      </c>
      <c r="H32" s="3" t="n">
        <v>15</v>
      </c>
      <c r="I32" s="3" t="n">
        <v>15</v>
      </c>
      <c r="J32" s="3" t="n">
        <v>15</v>
      </c>
      <c r="K32" s="3" t="n">
        <v>15</v>
      </c>
      <c r="L32" s="3" t="n">
        <v>15</v>
      </c>
    </row>
    <row r="33" customFormat="false" ht="15" hidden="false" customHeight="false" outlineLevel="0" collapsed="false">
      <c r="A33" s="0" t="s">
        <v>103</v>
      </c>
      <c r="C33" s="3" t="n">
        <v>16</v>
      </c>
      <c r="D33" s="3" t="n">
        <v>17</v>
      </c>
      <c r="E33" s="3" t="n">
        <v>18</v>
      </c>
      <c r="F33" s="3" t="n">
        <v>19</v>
      </c>
      <c r="G33" s="3" t="n">
        <v>20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104</v>
      </c>
      <c r="B34" s="3" t="n">
        <v>7</v>
      </c>
    </row>
    <row r="35" customFormat="false" ht="15" hidden="false" customHeight="false" outlineLevel="0" collapsed="false">
      <c r="A35" s="0" t="s">
        <v>105</v>
      </c>
      <c r="B35" s="3" t="n">
        <v>2</v>
      </c>
    </row>
    <row r="36" customFormat="false" ht="15" hidden="false" customHeight="false" outlineLevel="0" collapsed="false">
      <c r="A36" s="0" t="s">
        <v>106</v>
      </c>
      <c r="B36" s="3" t="n">
        <v>15</v>
      </c>
    </row>
    <row r="37" customFormat="false" ht="15" hidden="false" customHeight="false" outlineLevel="0" collapsed="false">
      <c r="A37" s="0" t="s">
        <v>107</v>
      </c>
      <c r="B37" s="3" t="n">
        <v>0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3.5</v>
      </c>
      <c r="D41" s="3" t="n">
        <v>4.5</v>
      </c>
      <c r="E41" s="3" t="n">
        <v>4.5</v>
      </c>
      <c r="F41" s="3" t="n">
        <v>4</v>
      </c>
      <c r="G41" s="3" t="n">
        <v>3.5</v>
      </c>
      <c r="H41" s="3" t="n">
        <v>3</v>
      </c>
      <c r="I41" s="3" t="n">
        <v>3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98</v>
      </c>
      <c r="C42" s="3" t="n">
        <v>27.4</v>
      </c>
      <c r="D42" s="3" t="n">
        <v>28</v>
      </c>
      <c r="E42" s="3" t="n">
        <v>28.6</v>
      </c>
      <c r="F42" s="3" t="n">
        <v>29.2</v>
      </c>
      <c r="G42" s="3" t="n">
        <v>29.8</v>
      </c>
      <c r="H42" s="3" t="n">
        <v>30.2</v>
      </c>
      <c r="I42" s="3" t="n">
        <v>30.5</v>
      </c>
      <c r="J42" s="3" t="n">
        <v>30.5</v>
      </c>
      <c r="K42" s="3" t="n">
        <v>30.5</v>
      </c>
      <c r="L42" s="3" t="n">
        <v>30.5</v>
      </c>
    </row>
    <row r="43" customFormat="false" ht="15" hidden="false" customHeight="false" outlineLevel="0" collapsed="false">
      <c r="A43" s="0" t="s">
        <v>99</v>
      </c>
      <c r="C43" s="3" t="n">
        <v>0.3</v>
      </c>
      <c r="D43" s="3" t="n">
        <v>0.3</v>
      </c>
      <c r="E43" s="3" t="n">
        <v>0.3</v>
      </c>
      <c r="F43" s="3" t="n">
        <v>0.3</v>
      </c>
      <c r="G43" s="3" t="n">
        <v>0.3</v>
      </c>
      <c r="H43" s="3" t="n">
        <v>0.3</v>
      </c>
      <c r="I43" s="3" t="n">
        <v>0.3</v>
      </c>
      <c r="J43" s="3" t="n">
        <v>0.3</v>
      </c>
      <c r="K43" s="3" t="n">
        <v>0.3</v>
      </c>
      <c r="L43" s="3" t="n">
        <v>0.3</v>
      </c>
    </row>
    <row r="44" customFormat="false" ht="15" hidden="false" customHeight="false" outlineLevel="0" collapsed="false">
      <c r="A44" s="0" t="s">
        <v>100</v>
      </c>
      <c r="C44" s="3" t="n">
        <v>4.1</v>
      </c>
      <c r="D44" s="3" t="n">
        <v>4.2</v>
      </c>
      <c r="E44" s="3" t="n">
        <v>4.2</v>
      </c>
      <c r="F44" s="3" t="n">
        <v>4.2</v>
      </c>
      <c r="G44" s="3" t="n">
        <v>4.2</v>
      </c>
      <c r="H44" s="3" t="n">
        <v>4.2</v>
      </c>
      <c r="I44" s="3" t="n">
        <v>4.2</v>
      </c>
      <c r="J44" s="3" t="n">
        <v>4.2</v>
      </c>
      <c r="K44" s="3" t="n">
        <v>4.2</v>
      </c>
      <c r="L44" s="3" t="n">
        <v>4.2</v>
      </c>
    </row>
    <row r="45" customFormat="false" ht="15" hidden="false" customHeight="false" outlineLevel="0" collapsed="false">
      <c r="A45" s="0" t="s">
        <v>101</v>
      </c>
      <c r="C45" s="3" t="n">
        <v>13.6</v>
      </c>
      <c r="D45" s="3" t="n">
        <v>13.9</v>
      </c>
      <c r="E45" s="3" t="n">
        <v>14.2</v>
      </c>
      <c r="F45" s="3" t="n">
        <v>14.4</v>
      </c>
      <c r="G45" s="3" t="n">
        <v>14.6</v>
      </c>
      <c r="H45" s="3" t="n">
        <v>14.7</v>
      </c>
      <c r="I45" s="3" t="n">
        <v>14.8</v>
      </c>
      <c r="J45" s="3" t="n">
        <v>14.8</v>
      </c>
      <c r="K45" s="3" t="n">
        <v>14.8</v>
      </c>
      <c r="L45" s="3" t="n">
        <v>14.8</v>
      </c>
    </row>
    <row r="46" customFormat="false" ht="15" hidden="false" customHeight="false" outlineLevel="0" collapsed="false">
      <c r="A46" s="0" t="s">
        <v>102</v>
      </c>
      <c r="C46" s="3" t="n">
        <v>17.5</v>
      </c>
      <c r="D46" s="3" t="n">
        <v>17</v>
      </c>
      <c r="E46" s="3" t="n">
        <v>16.5</v>
      </c>
      <c r="F46" s="3" t="n">
        <v>16</v>
      </c>
      <c r="G46" s="3" t="n">
        <v>15.5</v>
      </c>
      <c r="H46" s="3" t="n">
        <v>15.3</v>
      </c>
      <c r="I46" s="3" t="n">
        <v>15.2</v>
      </c>
      <c r="J46" s="3" t="n">
        <v>15.2</v>
      </c>
      <c r="K46" s="3" t="n">
        <v>15.2</v>
      </c>
      <c r="L46" s="3" t="n">
        <v>15.2</v>
      </c>
    </row>
    <row r="47" customFormat="false" ht="15" hidden="false" customHeight="false" outlineLevel="0" collapsed="false">
      <c r="A47" s="0" t="s">
        <v>103</v>
      </c>
      <c r="C47" s="3" t="n">
        <v>16</v>
      </c>
      <c r="D47" s="3" t="n">
        <v>17</v>
      </c>
      <c r="E47" s="3" t="n">
        <v>18</v>
      </c>
      <c r="F47" s="3" t="n">
        <v>19</v>
      </c>
      <c r="G47" s="3" t="n">
        <v>20</v>
      </c>
      <c r="H47" s="3" t="n">
        <v>20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104</v>
      </c>
      <c r="B48" s="3" t="n">
        <v>7</v>
      </c>
    </row>
    <row r="49" customFormat="false" ht="15" hidden="false" customHeight="false" outlineLevel="0" collapsed="false">
      <c r="A49" s="0" t="s">
        <v>105</v>
      </c>
      <c r="B49" s="3" t="n">
        <v>2.5</v>
      </c>
    </row>
    <row r="50" customFormat="false" ht="15" hidden="false" customHeight="false" outlineLevel="0" collapsed="false">
      <c r="A50" s="0" t="s">
        <v>106</v>
      </c>
      <c r="B50" s="3" t="n">
        <v>16</v>
      </c>
    </row>
    <row r="51" customFormat="false" ht="15" hidden="false" customHeight="false" outlineLevel="0" collapsed="false">
      <c r="A51" s="0" t="s">
        <v>107</v>
      </c>
      <c r="B51" s="3" t="n">
        <v>0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0.5</v>
      </c>
      <c r="D5" s="4" t="n">
        <f aca="false">Assumptions!D13</f>
        <v>1</v>
      </c>
      <c r="E5" s="4" t="n">
        <f aca="false">Assumptions!E13</f>
        <v>1</v>
      </c>
      <c r="F5" s="4" t="n">
        <f aca="false">Assumptions!F13</f>
        <v>1.5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14260.6</v>
      </c>
      <c r="C6" s="0" t="n">
        <f aca="false">B6*(1+C5/100)</f>
        <v>14331.903</v>
      </c>
      <c r="D6" s="0" t="n">
        <f aca="false">C6*(1+D5/100)</f>
        <v>14475.22203</v>
      </c>
      <c r="E6" s="0" t="n">
        <f aca="false">D6*(1+E5/100)</f>
        <v>14619.9742503</v>
      </c>
      <c r="F6" s="0" t="n">
        <f aca="false">E6*(1+F5/100)</f>
        <v>14839.2738640545</v>
      </c>
      <c r="G6" s="0" t="n">
        <f aca="false">F6*(1+G5/100)</f>
        <v>15061.8629720153</v>
      </c>
      <c r="H6" s="0" t="n">
        <f aca="false">G6*(1+H5/100)</f>
        <v>15287.7909165955</v>
      </c>
      <c r="I6" s="0" t="n">
        <f aca="false">H6*(1+I5/100)</f>
        <v>15517.1077803445</v>
      </c>
      <c r="J6" s="0" t="n">
        <f aca="false">I6*(1+J5/100)</f>
        <v>15749.8643970496</v>
      </c>
      <c r="K6" s="0" t="n">
        <f aca="false">J6*(1+K5/100)</f>
        <v>15986.1123630054</v>
      </c>
      <c r="L6" s="0" t="n">
        <f aca="false">K6*(1+L5/100)</f>
        <v>16225.9040484505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26.6</v>
      </c>
      <c r="D7" s="4" t="n">
        <f aca="false">Assumptions!D14</f>
        <v>26.3</v>
      </c>
      <c r="E7" s="4" t="n">
        <f aca="false">Assumptions!E14</f>
        <v>26</v>
      </c>
      <c r="F7" s="4" t="n">
        <f aca="false">Assumptions!F14</f>
        <v>25.8</v>
      </c>
      <c r="G7" s="4" t="n">
        <f aca="false">Assumptions!G14</f>
        <v>25.6</v>
      </c>
      <c r="H7" s="4" t="n">
        <f aca="false">Assumptions!H14</f>
        <v>25.5</v>
      </c>
      <c r="I7" s="4" t="n">
        <f aca="false">Assumptions!I14</f>
        <v>25.5</v>
      </c>
      <c r="J7" s="4" t="n">
        <f aca="false">Assumptions!J14</f>
        <v>25.5</v>
      </c>
      <c r="K7" s="4" t="n">
        <f aca="false">Assumptions!K14</f>
        <v>25.5</v>
      </c>
      <c r="L7" s="4" t="n">
        <f aca="false">Assumptions!L14</f>
        <v>25.5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3812.286198</v>
      </c>
      <c r="D8" s="0" t="n">
        <f aca="false">D6*D7/100</f>
        <v>3806.98339389</v>
      </c>
      <c r="E8" s="0" t="n">
        <f aca="false">E6*E7/100</f>
        <v>3801.193305078</v>
      </c>
      <c r="F8" s="0" t="n">
        <f aca="false">F6*F7/100</f>
        <v>3828.53265692606</v>
      </c>
      <c r="G8" s="0" t="n">
        <f aca="false">G6*G7/100</f>
        <v>3855.83692083592</v>
      </c>
      <c r="H8" s="0" t="n">
        <f aca="false">H6*H7/100</f>
        <v>3898.38668373186</v>
      </c>
      <c r="I8" s="0" t="n">
        <f aca="false">I6*I7/100</f>
        <v>3956.86248398784</v>
      </c>
      <c r="J8" s="0" t="n">
        <f aca="false">J6*J7/100</f>
        <v>4016.21542124766</v>
      </c>
      <c r="K8" s="0" t="n">
        <f aca="false">K6*K7/100</f>
        <v>4076.45865256637</v>
      </c>
      <c r="L8" s="0" t="n">
        <f aca="false">L6*L7/100</f>
        <v>4137.60553235487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0.3</v>
      </c>
      <c r="D9" s="4" t="n">
        <f aca="false">Assumptions!D15</f>
        <v>0.3</v>
      </c>
      <c r="E9" s="4" t="n">
        <f aca="false">Assumptions!E15</f>
        <v>0.3</v>
      </c>
      <c r="F9" s="4" t="n">
        <f aca="false">Assumptions!F15</f>
        <v>0.3</v>
      </c>
      <c r="G9" s="4" t="n">
        <f aca="false">Assumptions!G15</f>
        <v>0.3</v>
      </c>
      <c r="H9" s="4" t="n">
        <f aca="false">Assumptions!H15</f>
        <v>0.3</v>
      </c>
      <c r="I9" s="4" t="n">
        <f aca="false">Assumptions!I15</f>
        <v>0.3</v>
      </c>
      <c r="J9" s="4" t="n">
        <f aca="false">Assumptions!J15</f>
        <v>0.3</v>
      </c>
      <c r="K9" s="4" t="n">
        <f aca="false">Assumptions!K15</f>
        <v>0.3</v>
      </c>
      <c r="L9" s="4" t="n">
        <f aca="false">Assumptions!L15</f>
        <v>0.3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-42.995709</v>
      </c>
      <c r="D10" s="0" t="n">
        <f aca="false">-D6*D9/100</f>
        <v>-43.42566609</v>
      </c>
      <c r="E10" s="0" t="n">
        <f aca="false">-E6*E9/100</f>
        <v>-43.8599227509</v>
      </c>
      <c r="F10" s="0" t="n">
        <f aca="false">-F6*F9/100</f>
        <v>-44.5178215921635</v>
      </c>
      <c r="G10" s="0" t="n">
        <f aca="false">-G6*G9/100</f>
        <v>-45.1855889160459</v>
      </c>
      <c r="H10" s="0" t="n">
        <f aca="false">-H6*H9/100</f>
        <v>-45.8633727497866</v>
      </c>
      <c r="I10" s="0" t="n">
        <f aca="false">-I6*I9/100</f>
        <v>-46.5513233410334</v>
      </c>
      <c r="J10" s="0" t="n">
        <f aca="false">-J6*J9/100</f>
        <v>-47.2495931911489</v>
      </c>
      <c r="K10" s="0" t="n">
        <f aca="false">-K6*K9/100</f>
        <v>-47.9583370890162</v>
      </c>
      <c r="L10" s="0" t="n">
        <f aca="false">-L6*L9/100</f>
        <v>-48.6777121453514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3181.682466</v>
      </c>
      <c r="D11" s="0" t="n">
        <f aca="false">D8+D10+D24</f>
        <v>3155.59840254</v>
      </c>
      <c r="E11" s="0" t="n">
        <f aca="false">E8+E10+E24</f>
        <v>3128.6744895642</v>
      </c>
      <c r="F11" s="0" t="n">
        <f aca="false">F8+F10+F24</f>
        <v>3145.92605917955</v>
      </c>
      <c r="G11" s="0" t="n">
        <f aca="false">G8+G10+G24</f>
        <v>3162.99122412322</v>
      </c>
      <c r="H11" s="0" t="n">
        <f aca="false">H8+H10+H24</f>
        <v>3195.14830156847</v>
      </c>
      <c r="I11" s="0" t="n">
        <f aca="false">I8+I10+I24</f>
        <v>3243.075526092</v>
      </c>
      <c r="J11" s="0" t="n">
        <f aca="false">J8+J10+J24</f>
        <v>3291.72165898337</v>
      </c>
      <c r="K11" s="0" t="n">
        <f aca="false">K8+K10+K24</f>
        <v>3341.09748386813</v>
      </c>
      <c r="L11" s="0" t="n">
        <f aca="false">L8+L10+L24</f>
        <v>3391.21394612615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-1949.138808</v>
      </c>
      <c r="D12" s="4" t="n">
        <f aca="false">-D6*Assumptions!D17/100</f>
        <v>-1997.58064014</v>
      </c>
      <c r="E12" s="4" t="n">
        <f aca="false">-E6*Assumptions!E17/100</f>
        <v>-2046.796395042</v>
      </c>
      <c r="F12" s="4" t="n">
        <f aca="false">-F6*Assumptions!F17/100</f>
        <v>-2092.33761483168</v>
      </c>
      <c r="G12" s="4" t="n">
        <f aca="false">-G6*Assumptions!G17/100</f>
        <v>-2138.78454202617</v>
      </c>
      <c r="H12" s="4" t="n">
        <f aca="false">-H6*Assumptions!H17/100</f>
        <v>-2186.15410107316</v>
      </c>
      <c r="I12" s="4" t="n">
        <f aca="false">-I6*Assumptions!I17/100</f>
        <v>-2218.94641258926</v>
      </c>
      <c r="J12" s="4" t="n">
        <f aca="false">-J6*Assumptions!J17/100</f>
        <v>-2252.2306087781</v>
      </c>
      <c r="K12" s="4" t="n">
        <f aca="false">-K6*Assumptions!K17/100</f>
        <v>-2286.01406790977</v>
      </c>
      <c r="L12" s="4" t="n">
        <f aca="false">-L6*Assumptions!L17/100</f>
        <v>-2320.30427892842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1232.543658</v>
      </c>
      <c r="D13" s="0" t="n">
        <f aca="false">D11+D12</f>
        <v>1158.0177624</v>
      </c>
      <c r="E13" s="0" t="n">
        <f aca="false">E11+E12</f>
        <v>1081.8780945222</v>
      </c>
      <c r="F13" s="0" t="n">
        <f aca="false">F11+F12</f>
        <v>1053.58844434787</v>
      </c>
      <c r="G13" s="0" t="n">
        <f aca="false">G11+G12</f>
        <v>1024.20668209704</v>
      </c>
      <c r="H13" s="0" t="n">
        <f aca="false">H11+H12</f>
        <v>1008.99420049531</v>
      </c>
      <c r="I13" s="0" t="n">
        <f aca="false">I11+I12</f>
        <v>1024.12911350274</v>
      </c>
      <c r="J13" s="0" t="n">
        <f aca="false">J11+J12</f>
        <v>1039.49105020528</v>
      </c>
      <c r="K13" s="0" t="n">
        <f aca="false">K11+K12</f>
        <v>1055.08341595836</v>
      </c>
      <c r="L13" s="0" t="n">
        <f aca="false">L11+L12</f>
        <v>1070.90966719773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16</v>
      </c>
      <c r="D14" s="4" t="n">
        <f aca="false">Assumptions!D19</f>
        <v>17</v>
      </c>
      <c r="E14" s="4" t="n">
        <f aca="false">Assumptions!E19</f>
        <v>18</v>
      </c>
      <c r="F14" s="4" t="n">
        <f aca="false">Assumptions!F19</f>
        <v>19</v>
      </c>
      <c r="G14" s="4" t="n">
        <f aca="false">Assumptions!G19</f>
        <v>20</v>
      </c>
      <c r="H14" s="4" t="n">
        <f aca="false">Assumptions!H19</f>
        <v>20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1035.33667272</v>
      </c>
      <c r="D15" s="0" t="n">
        <f aca="false">D13-MAX(0,D13)*D14/100</f>
        <v>961.154742792</v>
      </c>
      <c r="E15" s="0" t="n">
        <f aca="false">E13-MAX(0,E13)*E14/100</f>
        <v>887.140037508204</v>
      </c>
      <c r="F15" s="0" t="n">
        <f aca="false">F13-MAX(0,F13)*F14/100</f>
        <v>853.406639921775</v>
      </c>
      <c r="G15" s="0" t="n">
        <f aca="false">G13-MAX(0,G13)*G14/100</f>
        <v>819.365345677633</v>
      </c>
      <c r="H15" s="0" t="n">
        <f aca="false">H13-MAX(0,H13)*H14/100</f>
        <v>807.195360396245</v>
      </c>
      <c r="I15" s="0" t="n">
        <f aca="false">I13-MAX(0,I13)*I14/100</f>
        <v>819.303290802188</v>
      </c>
      <c r="J15" s="0" t="n">
        <f aca="false">J13-MAX(0,J13)*J14/100</f>
        <v>831.592840164221</v>
      </c>
      <c r="K15" s="0" t="n">
        <f aca="false">K13-MAX(0,K13)*K14/100</f>
        <v>844.066732766684</v>
      </c>
      <c r="L15" s="0" t="n">
        <f aca="false">L13-MAX(0,L13)*L14/100</f>
        <v>856.727733758184</v>
      </c>
    </row>
    <row r="16" customFormat="false" ht="15" hidden="false" customHeight="false" outlineLevel="0" collapsed="false">
      <c r="A16" s="0" t="s">
        <v>119</v>
      </c>
      <c r="C16" s="0" t="n">
        <f aca="false">-C12</f>
        <v>1949.138808</v>
      </c>
      <c r="D16" s="0" t="n">
        <f aca="false">-D12</f>
        <v>1997.58064014</v>
      </c>
      <c r="E16" s="0" t="n">
        <f aca="false">-E12</f>
        <v>2046.796395042</v>
      </c>
      <c r="F16" s="0" t="n">
        <f aca="false">-F12</f>
        <v>2092.33761483168</v>
      </c>
      <c r="G16" s="0" t="n">
        <f aca="false">-G12</f>
        <v>2138.78454202617</v>
      </c>
      <c r="H16" s="0" t="n">
        <f aca="false">-H12</f>
        <v>2186.15410107316</v>
      </c>
      <c r="I16" s="0" t="n">
        <f aca="false">-I12</f>
        <v>2218.94641258926</v>
      </c>
      <c r="J16" s="0" t="n">
        <f aca="false">-J12</f>
        <v>2252.2306087781</v>
      </c>
      <c r="K16" s="0" t="n">
        <f aca="false">-K12</f>
        <v>2286.01406790977</v>
      </c>
      <c r="L16" s="0" t="n">
        <f aca="false">-L12</f>
        <v>2320.30427892842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-2508.083025</v>
      </c>
      <c r="D17" s="4" t="n">
        <f aca="false">-D6*Assumptions!D18/100</f>
        <v>-2460.7877451</v>
      </c>
      <c r="E17" s="4" t="n">
        <f aca="false">-E6*Assumptions!E18/100</f>
        <v>-2412.2957512995</v>
      </c>
      <c r="F17" s="4" t="n">
        <f aca="false">-F6*Assumptions!F18/100</f>
        <v>-2374.28381824872</v>
      </c>
      <c r="G17" s="4" t="n">
        <f aca="false">-G6*Assumptions!G18/100</f>
        <v>-2334.58876066237</v>
      </c>
      <c r="H17" s="4" t="n">
        <f aca="false">-H6*Assumptions!H18/100</f>
        <v>-2339.03201023912</v>
      </c>
      <c r="I17" s="4" t="n">
        <f aca="false">-I6*Assumptions!I18/100</f>
        <v>-2327.56616705167</v>
      </c>
      <c r="J17" s="4" t="n">
        <f aca="false">-J6*Assumptions!J18/100</f>
        <v>-2362.47965955745</v>
      </c>
      <c r="K17" s="4" t="n">
        <f aca="false">-K6*Assumptions!K18/100</f>
        <v>-2397.91685445081</v>
      </c>
      <c r="L17" s="4" t="n">
        <f aca="false">-L6*Assumptions!L18/100</f>
        <v>-2433.88560726757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476.392455720001</v>
      </c>
      <c r="D19" s="0" t="n">
        <f aca="false">D15+D16+D17+D18</f>
        <v>497.947637832</v>
      </c>
      <c r="E19" s="0" t="n">
        <f aca="false">E15+E16+E17+E18</f>
        <v>521.640681250704</v>
      </c>
      <c r="F19" s="0" t="n">
        <f aca="false">F15+F16+F17+F18</f>
        <v>571.460436504739</v>
      </c>
      <c r="G19" s="0" t="n">
        <f aca="false">G15+G16+G17+G18</f>
        <v>623.561127041434</v>
      </c>
      <c r="H19" s="0" t="n">
        <f aca="false">H15+H16+H17+H18</f>
        <v>654.317451230289</v>
      </c>
      <c r="I19" s="0" t="n">
        <f aca="false">I15+I16+I17+I18</f>
        <v>710.683536339777</v>
      </c>
      <c r="J19" s="0" t="n">
        <f aca="false">J15+J16+J17+J18</f>
        <v>721.343789384874</v>
      </c>
      <c r="K19" s="0" t="n">
        <f aca="false">K15+K16+K17+K18</f>
        <v>732.163946225646</v>
      </c>
      <c r="L19" s="0" t="n">
        <f aca="false">L15+L16+L17+L18</f>
        <v>743.146405419032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445.226594130842</v>
      </c>
      <c r="D21" s="0" t="n">
        <f aca="false">D19*D20</f>
        <v>434.926751534632</v>
      </c>
      <c r="E21" s="0" t="n">
        <f aca="false">E19*E20</f>
        <v>425.814180604847</v>
      </c>
      <c r="F21" s="0" t="n">
        <f aca="false">F19*F20</f>
        <v>435.964430884054</v>
      </c>
      <c r="G21" s="0" t="n">
        <f aca="false">G19*G20</f>
        <v>444.590465643803</v>
      </c>
      <c r="H21" s="0" t="n">
        <f aca="false">H19*H20</f>
        <v>435.999345534743</v>
      </c>
      <c r="I21" s="0" t="n">
        <f aca="false">I19*I20</f>
        <v>442.577988817224</v>
      </c>
      <c r="J21" s="0" t="n">
        <f aca="false">J19*J20</f>
        <v>419.828652943442</v>
      </c>
      <c r="K21" s="0" t="n">
        <f aca="false">K19*K20</f>
        <v>398.248675455695</v>
      </c>
      <c r="L21" s="0" t="n">
        <f aca="false">L19*L20</f>
        <v>377.777949147225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4.1</v>
      </c>
      <c r="D23" s="4" t="n">
        <f aca="false">Assumptions!D16</f>
        <v>4.2</v>
      </c>
      <c r="E23" s="4" t="n">
        <f aca="false">Assumptions!E16</f>
        <v>4.3</v>
      </c>
      <c r="F23" s="4" t="n">
        <f aca="false">Assumptions!F16</f>
        <v>4.3</v>
      </c>
      <c r="G23" s="4" t="n">
        <f aca="false">Assumptions!G16</f>
        <v>4.3</v>
      </c>
      <c r="H23" s="4" t="n">
        <f aca="false">Assumptions!H16</f>
        <v>4.3</v>
      </c>
      <c r="I23" s="4" t="n">
        <f aca="false">Assumptions!I16</f>
        <v>4.3</v>
      </c>
      <c r="J23" s="4" t="n">
        <f aca="false">Assumptions!J16</f>
        <v>4.3</v>
      </c>
      <c r="K23" s="4" t="n">
        <f aca="false">Assumptions!K16</f>
        <v>4.3</v>
      </c>
      <c r="L23" s="4" t="n">
        <f aca="false">Assumptions!L16</f>
        <v>4.3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-587.608023</v>
      </c>
      <c r="D24" s="0" t="n">
        <f aca="false">-D6*D23/100</f>
        <v>-607.95932526</v>
      </c>
      <c r="E24" s="0" t="n">
        <f aca="false">-E6*E23/100</f>
        <v>-628.6588927629</v>
      </c>
      <c r="F24" s="0" t="n">
        <f aca="false">-F6*F23/100</f>
        <v>-638.088776154343</v>
      </c>
      <c r="G24" s="0" t="n">
        <f aca="false">-G6*G23/100</f>
        <v>-647.660107796658</v>
      </c>
      <c r="H24" s="0" t="n">
        <f aca="false">-H6*H23/100</f>
        <v>-657.375009413608</v>
      </c>
      <c r="I24" s="0" t="n">
        <f aca="false">-I6*I23/100</f>
        <v>-667.235634554812</v>
      </c>
      <c r="J24" s="0" t="n">
        <f aca="false">-J6*J23/100</f>
        <v>-677.244169073135</v>
      </c>
      <c r="K24" s="0" t="n">
        <f aca="false">-K6*K23/100</f>
        <v>-687.402831609231</v>
      </c>
      <c r="L24" s="0" t="n">
        <f aca="false">-L6*L23/100</f>
        <v>-697.71387408337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4260.95503469651</v>
      </c>
    </row>
    <row r="31" customFormat="false" ht="15" hidden="false" customHeight="false" outlineLevel="0" collapsed="false">
      <c r="A31" s="0" t="s">
        <v>128</v>
      </c>
      <c r="B31" s="0" t="n">
        <f aca="false">L19</f>
        <v>743.146405419032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13714.4291181876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9660.90327044741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9660.90327044741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4911.11333891392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9172.06837361042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57270.0683736104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3.46061528262023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-0.160044834315479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317.976117447962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456.662903990988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3.50742381126765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5587.36001111346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3.16798540705537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2.5</v>
      </c>
      <c r="D5" s="4" t="n">
        <f aca="false">Assumptions!D27</f>
        <v>3</v>
      </c>
      <c r="E5" s="4" t="n">
        <f aca="false">Assumptions!E27</f>
        <v>3</v>
      </c>
      <c r="F5" s="4" t="n">
        <f aca="false">Assumptions!F27</f>
        <v>3</v>
      </c>
      <c r="G5" s="4" t="n">
        <f aca="false">Assumptions!G27</f>
        <v>2.5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14260.6</v>
      </c>
      <c r="C6" s="0" t="n">
        <f aca="false">B6*(1+C5/100)</f>
        <v>14617.115</v>
      </c>
      <c r="D6" s="0" t="n">
        <f aca="false">C6*(1+D5/100)</f>
        <v>15055.62845</v>
      </c>
      <c r="E6" s="0" t="n">
        <f aca="false">D6*(1+E5/100)</f>
        <v>15507.2973035</v>
      </c>
      <c r="F6" s="0" t="n">
        <f aca="false">E6*(1+F5/100)</f>
        <v>15972.516222605</v>
      </c>
      <c r="G6" s="0" t="n">
        <f aca="false">F6*(1+G5/100)</f>
        <v>16371.8291281701</v>
      </c>
      <c r="H6" s="0" t="n">
        <f aca="false">G6*(1+H5/100)</f>
        <v>16781.1248563744</v>
      </c>
      <c r="I6" s="0" t="n">
        <f aca="false">H6*(1+I5/100)</f>
        <v>17200.6529777837</v>
      </c>
      <c r="J6" s="0" t="n">
        <f aca="false">I6*(1+J5/100)</f>
        <v>17544.6660373394</v>
      </c>
      <c r="K6" s="0" t="n">
        <f aca="false">J6*(1+K5/100)</f>
        <v>17895.5593580862</v>
      </c>
      <c r="L6" s="0" t="n">
        <f aca="false">K6*(1+L5/100)</f>
        <v>18253.4705452479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27.1</v>
      </c>
      <c r="D7" s="4" t="n">
        <f aca="false">Assumptions!D28</f>
        <v>27.4</v>
      </c>
      <c r="E7" s="4" t="n">
        <f aca="false">Assumptions!E28</f>
        <v>27.7</v>
      </c>
      <c r="F7" s="4" t="n">
        <f aca="false">Assumptions!F28</f>
        <v>28</v>
      </c>
      <c r="G7" s="4" t="n">
        <f aca="false">Assumptions!G28</f>
        <v>28.3</v>
      </c>
      <c r="H7" s="4" t="n">
        <f aca="false">Assumptions!H28</f>
        <v>28.5</v>
      </c>
      <c r="I7" s="4" t="n">
        <f aca="false">Assumptions!I28</f>
        <v>28.5</v>
      </c>
      <c r="J7" s="4" t="n">
        <f aca="false">Assumptions!J28</f>
        <v>28.5</v>
      </c>
      <c r="K7" s="4" t="n">
        <f aca="false">Assumptions!K28</f>
        <v>28.5</v>
      </c>
      <c r="L7" s="4" t="n">
        <f aca="false">Assumptions!L28</f>
        <v>28.5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3961.238165</v>
      </c>
      <c r="D8" s="0" t="n">
        <f aca="false">D6*D7/100</f>
        <v>4125.2421953</v>
      </c>
      <c r="E8" s="0" t="n">
        <f aca="false">E6*E7/100</f>
        <v>4295.5213530695</v>
      </c>
      <c r="F8" s="0" t="n">
        <f aca="false">F6*F7/100</f>
        <v>4472.3045423294</v>
      </c>
      <c r="G8" s="0" t="n">
        <f aca="false">G6*G7/100</f>
        <v>4633.22764327215</v>
      </c>
      <c r="H8" s="0" t="n">
        <f aca="false">H6*H7/100</f>
        <v>4782.6205840667</v>
      </c>
      <c r="I8" s="0" t="n">
        <f aca="false">I6*I7/100</f>
        <v>4902.18609866837</v>
      </c>
      <c r="J8" s="0" t="n">
        <f aca="false">J6*J7/100</f>
        <v>5000.22982064173</v>
      </c>
      <c r="K8" s="0" t="n">
        <f aca="false">K6*K7/100</f>
        <v>5100.23441705457</v>
      </c>
      <c r="L8" s="0" t="n">
        <f aca="false">L6*L7/100</f>
        <v>5202.23910539566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0.3</v>
      </c>
      <c r="D9" s="4" t="n">
        <f aca="false">Assumptions!D29</f>
        <v>0.3</v>
      </c>
      <c r="E9" s="4" t="n">
        <f aca="false">Assumptions!E29</f>
        <v>0.3</v>
      </c>
      <c r="F9" s="4" t="n">
        <f aca="false">Assumptions!F29</f>
        <v>0.3</v>
      </c>
      <c r="G9" s="4" t="n">
        <f aca="false">Assumptions!G29</f>
        <v>0.3</v>
      </c>
      <c r="H9" s="4" t="n">
        <f aca="false">Assumptions!H29</f>
        <v>0.3</v>
      </c>
      <c r="I9" s="4" t="n">
        <f aca="false">Assumptions!I29</f>
        <v>0.3</v>
      </c>
      <c r="J9" s="4" t="n">
        <f aca="false">Assumptions!J29</f>
        <v>0.3</v>
      </c>
      <c r="K9" s="4" t="n">
        <f aca="false">Assumptions!K29</f>
        <v>0.3</v>
      </c>
      <c r="L9" s="4" t="n">
        <f aca="false">Assumptions!L29</f>
        <v>0.3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-43.851345</v>
      </c>
      <c r="D10" s="0" t="n">
        <f aca="false">-D6*D9/100</f>
        <v>-45.16688535</v>
      </c>
      <c r="E10" s="0" t="n">
        <f aca="false">-E6*E9/100</f>
        <v>-46.5218919105</v>
      </c>
      <c r="F10" s="0" t="n">
        <f aca="false">-F6*F9/100</f>
        <v>-47.917548667815</v>
      </c>
      <c r="G10" s="0" t="n">
        <f aca="false">-G6*G9/100</f>
        <v>-49.1154873845104</v>
      </c>
      <c r="H10" s="0" t="n">
        <f aca="false">-H6*H9/100</f>
        <v>-50.3433745691231</v>
      </c>
      <c r="I10" s="0" t="n">
        <f aca="false">-I6*I9/100</f>
        <v>-51.6019589333512</v>
      </c>
      <c r="J10" s="0" t="n">
        <f aca="false">-J6*J9/100</f>
        <v>-52.6339981120183</v>
      </c>
      <c r="K10" s="0" t="n">
        <f aca="false">-K6*K9/100</f>
        <v>-53.6866780742586</v>
      </c>
      <c r="L10" s="0" t="n">
        <f aca="false">-L6*L9/100</f>
        <v>-54.7604116357438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3318.085105</v>
      </c>
      <c r="D11" s="0" t="n">
        <f aca="false">D8+D10+D24</f>
        <v>3447.73891505</v>
      </c>
      <c r="E11" s="0" t="n">
        <f aca="false">E8+E10+E24</f>
        <v>3597.692974412</v>
      </c>
      <c r="F11" s="0" t="n">
        <f aca="false">F8+F10+F24</f>
        <v>3753.54131231218</v>
      </c>
      <c r="G11" s="0" t="n">
        <f aca="false">G8+G10+G24</f>
        <v>3896.49533250449</v>
      </c>
      <c r="H11" s="0" t="n">
        <f aca="false">H8+H10+H24</f>
        <v>4027.46996552985</v>
      </c>
      <c r="I11" s="0" t="n">
        <f aca="false">I8+I10+I24</f>
        <v>4128.1567146681</v>
      </c>
      <c r="J11" s="0" t="n">
        <f aca="false">J8+J10+J24</f>
        <v>4210.71984896146</v>
      </c>
      <c r="K11" s="0" t="n">
        <f aca="false">K8+K10+K24</f>
        <v>4294.93424594069</v>
      </c>
      <c r="L11" s="0" t="n">
        <f aca="false">L8+L10+L24</f>
        <v>4380.8329308595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-1987.92764</v>
      </c>
      <c r="D12" s="4" t="n">
        <f aca="false">-D6*Assumptions!D31/100</f>
        <v>-2077.6767261</v>
      </c>
      <c r="E12" s="4" t="n">
        <f aca="false">-E6*Assumptions!E31/100</f>
        <v>-2171.02162249</v>
      </c>
      <c r="F12" s="4" t="n">
        <f aca="false">-F6*Assumptions!F31/100</f>
        <v>-2268.09730360991</v>
      </c>
      <c r="G12" s="4" t="n">
        <f aca="false">-G6*Assumptions!G31/100</f>
        <v>-2341.17156532833</v>
      </c>
      <c r="H12" s="4" t="n">
        <f aca="false">-H6*Assumptions!H31/100</f>
        <v>-2416.48197931791</v>
      </c>
      <c r="I12" s="4" t="n">
        <f aca="false">-I6*Assumptions!I31/100</f>
        <v>-2494.09468177864</v>
      </c>
      <c r="J12" s="4" t="n">
        <f aca="false">-J6*Assumptions!J31/100</f>
        <v>-2543.97657541422</v>
      </c>
      <c r="K12" s="4" t="n">
        <f aca="false">-K6*Assumptions!K31/100</f>
        <v>-2594.8561069225</v>
      </c>
      <c r="L12" s="4" t="n">
        <f aca="false">-L6*Assumptions!L31/100</f>
        <v>-2646.75322906095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1330.157465</v>
      </c>
      <c r="D13" s="0" t="n">
        <f aca="false">D11+D12</f>
        <v>1370.06218895</v>
      </c>
      <c r="E13" s="0" t="n">
        <f aca="false">E11+E12</f>
        <v>1426.671351922</v>
      </c>
      <c r="F13" s="0" t="n">
        <f aca="false">F11+F12</f>
        <v>1485.44400870227</v>
      </c>
      <c r="G13" s="0" t="n">
        <f aca="false">G11+G12</f>
        <v>1555.32376717616</v>
      </c>
      <c r="H13" s="0" t="n">
        <f aca="false">H11+H12</f>
        <v>1610.98798621194</v>
      </c>
      <c r="I13" s="0" t="n">
        <f aca="false">I11+I12</f>
        <v>1634.06203288946</v>
      </c>
      <c r="J13" s="0" t="n">
        <f aca="false">J11+J12</f>
        <v>1666.74327354724</v>
      </c>
      <c r="K13" s="0" t="n">
        <f aca="false">K11+K12</f>
        <v>1700.07813901819</v>
      </c>
      <c r="L13" s="0" t="n">
        <f aca="false">L11+L12</f>
        <v>1734.07970179855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16</v>
      </c>
      <c r="D14" s="4" t="n">
        <f aca="false">Assumptions!D33</f>
        <v>17</v>
      </c>
      <c r="E14" s="4" t="n">
        <f aca="false">Assumptions!E33</f>
        <v>18</v>
      </c>
      <c r="F14" s="4" t="n">
        <f aca="false">Assumptions!F33</f>
        <v>19</v>
      </c>
      <c r="G14" s="4" t="n">
        <f aca="false">Assumptions!G33</f>
        <v>20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1117.3322706</v>
      </c>
      <c r="D15" s="0" t="n">
        <f aca="false">D13-MAX(0,D13)*D14/100</f>
        <v>1137.1516168285</v>
      </c>
      <c r="E15" s="0" t="n">
        <f aca="false">E13-MAX(0,E13)*E14/100</f>
        <v>1169.87050857604</v>
      </c>
      <c r="F15" s="0" t="n">
        <f aca="false">F13-MAX(0,F13)*F14/100</f>
        <v>1203.20964704884</v>
      </c>
      <c r="G15" s="0" t="n">
        <f aca="false">G13-MAX(0,G13)*G14/100</f>
        <v>1244.25901374093</v>
      </c>
      <c r="H15" s="0" t="n">
        <f aca="false">H13-MAX(0,H13)*H14/100</f>
        <v>1288.79038896955</v>
      </c>
      <c r="I15" s="0" t="n">
        <f aca="false">I13-MAX(0,I13)*I14/100</f>
        <v>1307.24962631157</v>
      </c>
      <c r="J15" s="0" t="n">
        <f aca="false">J13-MAX(0,J13)*J14/100</f>
        <v>1333.3946188378</v>
      </c>
      <c r="K15" s="0" t="n">
        <f aca="false">K13-MAX(0,K13)*K14/100</f>
        <v>1360.06251121455</v>
      </c>
      <c r="L15" s="0" t="n">
        <f aca="false">L13-MAX(0,L13)*L14/100</f>
        <v>1387.26376143884</v>
      </c>
    </row>
    <row r="16" customFormat="false" ht="15" hidden="false" customHeight="false" outlineLevel="0" collapsed="false">
      <c r="A16" s="0" t="s">
        <v>119</v>
      </c>
      <c r="C16" s="0" t="n">
        <f aca="false">-C12</f>
        <v>1987.92764</v>
      </c>
      <c r="D16" s="0" t="n">
        <f aca="false">-D12</f>
        <v>2077.6767261</v>
      </c>
      <c r="E16" s="0" t="n">
        <f aca="false">-E12</f>
        <v>2171.02162249</v>
      </c>
      <c r="F16" s="0" t="n">
        <f aca="false">-F12</f>
        <v>2268.09730360991</v>
      </c>
      <c r="G16" s="0" t="n">
        <f aca="false">-G12</f>
        <v>2341.17156532833</v>
      </c>
      <c r="H16" s="0" t="n">
        <f aca="false">-H12</f>
        <v>2416.48197931791</v>
      </c>
      <c r="I16" s="0" t="n">
        <f aca="false">-I12</f>
        <v>2494.09468177864</v>
      </c>
      <c r="J16" s="0" t="n">
        <f aca="false">-J12</f>
        <v>2543.97657541422</v>
      </c>
      <c r="K16" s="0" t="n">
        <f aca="false">-K12</f>
        <v>2594.8561069225</v>
      </c>
      <c r="L16" s="0" t="n">
        <f aca="false">-L12</f>
        <v>2646.75322906095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-2514.14378</v>
      </c>
      <c r="D17" s="4" t="n">
        <f aca="false">-D6*Assumptions!D32/100</f>
        <v>-2484.17869425</v>
      </c>
      <c r="E17" s="4" t="n">
        <f aca="false">-E6*Assumptions!E32/100</f>
        <v>-2481.16756856</v>
      </c>
      <c r="F17" s="4" t="n">
        <f aca="false">-F6*Assumptions!F32/100</f>
        <v>-2491.71253072638</v>
      </c>
      <c r="G17" s="4" t="n">
        <f aca="false">-G6*Assumptions!G32/100</f>
        <v>-2504.88985661003</v>
      </c>
      <c r="H17" s="4" t="n">
        <f aca="false">-H6*Assumptions!H32/100</f>
        <v>-2517.16872845616</v>
      </c>
      <c r="I17" s="4" t="n">
        <f aca="false">-I6*Assumptions!I32/100</f>
        <v>-2580.09794666756</v>
      </c>
      <c r="J17" s="4" t="n">
        <f aca="false">-J6*Assumptions!J32/100</f>
        <v>-2631.69990560091</v>
      </c>
      <c r="K17" s="4" t="n">
        <f aca="false">-K6*Assumptions!K32/100</f>
        <v>-2684.33390371293</v>
      </c>
      <c r="L17" s="4" t="n">
        <f aca="false">-L6*Assumptions!L32/100</f>
        <v>-2738.02058178719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591.1161306</v>
      </c>
      <c r="D19" s="0" t="n">
        <f aca="false">D15+D16+D17+D18</f>
        <v>730.6496486785</v>
      </c>
      <c r="E19" s="0" t="n">
        <f aca="false">E15+E16+E17+E18</f>
        <v>859.72456250604</v>
      </c>
      <c r="F19" s="0" t="n">
        <f aca="false">F15+F16+F17+F18</f>
        <v>979.594419932365</v>
      </c>
      <c r="G19" s="0" t="n">
        <f aca="false">G15+G16+G17+G18</f>
        <v>1080.54072245923</v>
      </c>
      <c r="H19" s="0" t="n">
        <f aca="false">H15+H16+H17+H18</f>
        <v>1188.10363983131</v>
      </c>
      <c r="I19" s="0" t="n">
        <f aca="false">I15+I16+I17+I18</f>
        <v>1221.24636142265</v>
      </c>
      <c r="J19" s="0" t="n">
        <f aca="false">J15+J16+J17+J18</f>
        <v>1245.6712886511</v>
      </c>
      <c r="K19" s="0" t="n">
        <f aca="false">K15+K16+K17+K18</f>
        <v>1270.58471442412</v>
      </c>
      <c r="L19" s="0" t="n">
        <f aca="false">L15+L16+L17+L18</f>
        <v>1295.9964087126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552.444981869159</v>
      </c>
      <c r="D21" s="0" t="n">
        <f aca="false">D19*D20</f>
        <v>638.177699955018</v>
      </c>
      <c r="E21" s="0" t="n">
        <f aca="false">E19*E20</f>
        <v>701.791335084597</v>
      </c>
      <c r="F21" s="0" t="n">
        <f aca="false">F19*F20</f>
        <v>747.327892714874</v>
      </c>
      <c r="G21" s="0" t="n">
        <f aca="false">G19*G20</f>
        <v>770.410601482728</v>
      </c>
      <c r="H21" s="0" t="n">
        <f aca="false">H19*H20</f>
        <v>791.683621489685</v>
      </c>
      <c r="I21" s="0" t="n">
        <f aca="false">I19*I20</f>
        <v>760.530856353449</v>
      </c>
      <c r="J21" s="0" t="n">
        <f aca="false">J19*J20</f>
        <v>724.992031290203</v>
      </c>
      <c r="K21" s="0" t="n">
        <f aca="false">K19*K20</f>
        <v>691.113898986922</v>
      </c>
      <c r="L21" s="0" t="n">
        <f aca="false">L19*L20</f>
        <v>658.818856978188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4.1</v>
      </c>
      <c r="D23" s="4" t="n">
        <f aca="false">Assumptions!D30</f>
        <v>4.2</v>
      </c>
      <c r="E23" s="4" t="n">
        <f aca="false">Assumptions!E30</f>
        <v>4.2</v>
      </c>
      <c r="F23" s="4" t="n">
        <f aca="false">Assumptions!F30</f>
        <v>4.2</v>
      </c>
      <c r="G23" s="4" t="n">
        <f aca="false">Assumptions!G30</f>
        <v>4.2</v>
      </c>
      <c r="H23" s="4" t="n">
        <f aca="false">Assumptions!H30</f>
        <v>4.2</v>
      </c>
      <c r="I23" s="4" t="n">
        <f aca="false">Assumptions!I30</f>
        <v>4.2</v>
      </c>
      <c r="J23" s="4" t="n">
        <f aca="false">Assumptions!J30</f>
        <v>4.2</v>
      </c>
      <c r="K23" s="4" t="n">
        <f aca="false">Assumptions!K30</f>
        <v>4.2</v>
      </c>
      <c r="L23" s="4" t="n">
        <f aca="false">Assumptions!L30</f>
        <v>4.2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-599.301715</v>
      </c>
      <c r="D24" s="0" t="n">
        <f aca="false">-D6*D23/100</f>
        <v>-632.3363949</v>
      </c>
      <c r="E24" s="0" t="n">
        <f aca="false">-E6*E23/100</f>
        <v>-651.306486747</v>
      </c>
      <c r="F24" s="0" t="n">
        <f aca="false">-F6*F23/100</f>
        <v>-670.84568134941</v>
      </c>
      <c r="G24" s="0" t="n">
        <f aca="false">-G6*G23/100</f>
        <v>-687.616823383145</v>
      </c>
      <c r="H24" s="0" t="n">
        <f aca="false">-H6*H23/100</f>
        <v>-704.807243967724</v>
      </c>
      <c r="I24" s="0" t="n">
        <f aca="false">-I6*I23/100</f>
        <v>-722.427425066917</v>
      </c>
      <c r="J24" s="0" t="n">
        <f aca="false">-J6*J23/100</f>
        <v>-736.875973568255</v>
      </c>
      <c r="K24" s="0" t="n">
        <f aca="false">-K6*K23/100</f>
        <v>-751.613493039621</v>
      </c>
      <c r="L24" s="0" t="n">
        <f aca="false">-L6*L23/100</f>
        <v>-766.645762900413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7037.29177620482</v>
      </c>
    </row>
    <row r="31" customFormat="false" ht="15" hidden="false" customHeight="false" outlineLevel="0" collapsed="false">
      <c r="A31" s="0" t="s">
        <v>128</v>
      </c>
      <c r="B31" s="0" t="n">
        <f aca="false">L19</f>
        <v>1295.9964087126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26438.3267377371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19439.9461306891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19439.9461306891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9882.28285467283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16919.5746308777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65017.5746308777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3.92876800737669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-0.0464155321901227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343.337427177737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567.883296437537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3.98382965566061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10168.587206822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3.34774109034379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3.5</v>
      </c>
      <c r="D5" s="4" t="n">
        <f aca="false">Assumptions!D41</f>
        <v>4.5</v>
      </c>
      <c r="E5" s="4" t="n">
        <f aca="false">Assumptions!E41</f>
        <v>4.5</v>
      </c>
      <c r="F5" s="4" t="n">
        <f aca="false">Assumptions!F41</f>
        <v>4</v>
      </c>
      <c r="G5" s="4" t="n">
        <f aca="false">Assumptions!G41</f>
        <v>3.5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14260.6</v>
      </c>
      <c r="C6" s="0" t="n">
        <f aca="false">B6*(1+C5/100)</f>
        <v>14759.721</v>
      </c>
      <c r="D6" s="0" t="n">
        <f aca="false">C6*(1+D5/100)</f>
        <v>15423.908445</v>
      </c>
      <c r="E6" s="0" t="n">
        <f aca="false">D6*(1+E5/100)</f>
        <v>16117.984325025</v>
      </c>
      <c r="F6" s="0" t="n">
        <f aca="false">E6*(1+F5/100)</f>
        <v>16762.703698026</v>
      </c>
      <c r="G6" s="0" t="n">
        <f aca="false">F6*(1+G5/100)</f>
        <v>17349.3983274569</v>
      </c>
      <c r="H6" s="0" t="n">
        <f aca="false">G6*(1+H5/100)</f>
        <v>17869.8802772806</v>
      </c>
      <c r="I6" s="0" t="n">
        <f aca="false">H6*(1+I5/100)</f>
        <v>18405.976685599</v>
      </c>
      <c r="J6" s="0" t="n">
        <f aca="false">I6*(1+J5/100)</f>
        <v>18866.126102739</v>
      </c>
      <c r="K6" s="0" t="n">
        <f aca="false">J6*(1+K5/100)</f>
        <v>19337.7792553075</v>
      </c>
      <c r="L6" s="0" t="n">
        <f aca="false">K6*(1+L5/100)</f>
        <v>19821.2237366902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27.4</v>
      </c>
      <c r="D7" s="4" t="n">
        <f aca="false">Assumptions!D42</f>
        <v>28</v>
      </c>
      <c r="E7" s="4" t="n">
        <f aca="false">Assumptions!E42</f>
        <v>28.6</v>
      </c>
      <c r="F7" s="4" t="n">
        <f aca="false">Assumptions!F42</f>
        <v>29.2</v>
      </c>
      <c r="G7" s="4" t="n">
        <f aca="false">Assumptions!G42</f>
        <v>29.8</v>
      </c>
      <c r="H7" s="4" t="n">
        <f aca="false">Assumptions!H42</f>
        <v>30.2</v>
      </c>
      <c r="I7" s="4" t="n">
        <f aca="false">Assumptions!I42</f>
        <v>30.5</v>
      </c>
      <c r="J7" s="4" t="n">
        <f aca="false">Assumptions!J42</f>
        <v>30.5</v>
      </c>
      <c r="K7" s="4" t="n">
        <f aca="false">Assumptions!K42</f>
        <v>30.5</v>
      </c>
      <c r="L7" s="4" t="n">
        <f aca="false">Assumptions!L42</f>
        <v>30.5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4044.163554</v>
      </c>
      <c r="D8" s="0" t="n">
        <f aca="false">D6*D7/100</f>
        <v>4318.6943646</v>
      </c>
      <c r="E8" s="0" t="n">
        <f aca="false">E6*E7/100</f>
        <v>4609.74351695715</v>
      </c>
      <c r="F8" s="0" t="n">
        <f aca="false">F6*F7/100</f>
        <v>4894.70947982359</v>
      </c>
      <c r="G8" s="0" t="n">
        <f aca="false">G6*G7/100</f>
        <v>5170.12070158216</v>
      </c>
      <c r="H8" s="0" t="n">
        <f aca="false">H6*H7/100</f>
        <v>5396.70384373875</v>
      </c>
      <c r="I8" s="0" t="n">
        <f aca="false">I6*I7/100</f>
        <v>5613.82288910771</v>
      </c>
      <c r="J8" s="0" t="n">
        <f aca="false">J6*J7/100</f>
        <v>5754.1684613354</v>
      </c>
      <c r="K8" s="0" t="n">
        <f aca="false">K6*K7/100</f>
        <v>5898.02267286878</v>
      </c>
      <c r="L8" s="0" t="n">
        <f aca="false">L6*L7/100</f>
        <v>6045.4732396905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0.3</v>
      </c>
      <c r="D9" s="4" t="n">
        <f aca="false">Assumptions!D43</f>
        <v>0.3</v>
      </c>
      <c r="E9" s="4" t="n">
        <f aca="false">Assumptions!E43</f>
        <v>0.3</v>
      </c>
      <c r="F9" s="4" t="n">
        <f aca="false">Assumptions!F43</f>
        <v>0.3</v>
      </c>
      <c r="G9" s="4" t="n">
        <f aca="false">Assumptions!G43</f>
        <v>0.3</v>
      </c>
      <c r="H9" s="4" t="n">
        <f aca="false">Assumptions!H43</f>
        <v>0.3</v>
      </c>
      <c r="I9" s="4" t="n">
        <f aca="false">Assumptions!I43</f>
        <v>0.3</v>
      </c>
      <c r="J9" s="4" t="n">
        <f aca="false">Assumptions!J43</f>
        <v>0.3</v>
      </c>
      <c r="K9" s="4" t="n">
        <f aca="false">Assumptions!K43</f>
        <v>0.3</v>
      </c>
      <c r="L9" s="4" t="n">
        <f aca="false">Assumptions!L43</f>
        <v>0.3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-44.279163</v>
      </c>
      <c r="D10" s="0" t="n">
        <f aca="false">-D6*D9/100</f>
        <v>-46.271725335</v>
      </c>
      <c r="E10" s="0" t="n">
        <f aca="false">-E6*E9/100</f>
        <v>-48.353952975075</v>
      </c>
      <c r="F10" s="0" t="n">
        <f aca="false">-F6*F9/100</f>
        <v>-50.288111094078</v>
      </c>
      <c r="G10" s="0" t="n">
        <f aca="false">-G6*G9/100</f>
        <v>-52.0481949823707</v>
      </c>
      <c r="H10" s="0" t="n">
        <f aca="false">-H6*H9/100</f>
        <v>-53.6096408318418</v>
      </c>
      <c r="I10" s="0" t="n">
        <f aca="false">-I6*I9/100</f>
        <v>-55.2179300567971</v>
      </c>
      <c r="J10" s="0" t="n">
        <f aca="false">-J6*J9/100</f>
        <v>-56.598378308217</v>
      </c>
      <c r="K10" s="0" t="n">
        <f aca="false">-K6*K9/100</f>
        <v>-58.0133377659225</v>
      </c>
      <c r="L10" s="0" t="n">
        <f aca="false">-L6*L9/100</f>
        <v>-59.4636712100705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3394.73583</v>
      </c>
      <c r="D11" s="0" t="n">
        <f aca="false">D8+D10+D24</f>
        <v>3624.618484575</v>
      </c>
      <c r="E11" s="0" t="n">
        <f aca="false">E8+E10+E24</f>
        <v>3884.43422233103</v>
      </c>
      <c r="F11" s="0" t="n">
        <f aca="false">F8+F10+F24</f>
        <v>4140.38781341242</v>
      </c>
      <c r="G11" s="0" t="n">
        <f aca="false">G8+G10+G24</f>
        <v>4389.3977768466</v>
      </c>
      <c r="H11" s="0" t="n">
        <f aca="false">H8+H10+H24</f>
        <v>4592.55923126112</v>
      </c>
      <c r="I11" s="0" t="n">
        <f aca="false">I8+I10+I24</f>
        <v>4785.55393825575</v>
      </c>
      <c r="J11" s="0" t="n">
        <f aca="false">J8+J10+J24</f>
        <v>4905.19278671214</v>
      </c>
      <c r="K11" s="0" t="n">
        <f aca="false">K8+K10+K24</f>
        <v>5027.82260637995</v>
      </c>
      <c r="L11" s="0" t="n">
        <f aca="false">L8+L10+L24</f>
        <v>5153.51817153944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-2007.322056</v>
      </c>
      <c r="D12" s="4" t="n">
        <f aca="false">-D6*Assumptions!D45/100</f>
        <v>-2143.923273855</v>
      </c>
      <c r="E12" s="4" t="n">
        <f aca="false">-E6*Assumptions!E45/100</f>
        <v>-2288.75377415355</v>
      </c>
      <c r="F12" s="4" t="n">
        <f aca="false">-F6*Assumptions!F45/100</f>
        <v>-2413.82933251574</v>
      </c>
      <c r="G12" s="4" t="n">
        <f aca="false">-G6*Assumptions!G45/100</f>
        <v>-2533.01215580871</v>
      </c>
      <c r="H12" s="4" t="n">
        <f aca="false">-H6*Assumptions!H45/100</f>
        <v>-2626.87240076025</v>
      </c>
      <c r="I12" s="4" t="n">
        <f aca="false">-I6*Assumptions!I45/100</f>
        <v>-2724.08454946866</v>
      </c>
      <c r="J12" s="4" t="n">
        <f aca="false">-J6*Assumptions!J45/100</f>
        <v>-2792.18666320537</v>
      </c>
      <c r="K12" s="4" t="n">
        <f aca="false">-K6*Assumptions!K45/100</f>
        <v>-2861.99132978551</v>
      </c>
      <c r="L12" s="4" t="n">
        <f aca="false">-L6*Assumptions!L45/100</f>
        <v>-2933.54111303015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1387.413774</v>
      </c>
      <c r="D13" s="0" t="n">
        <f aca="false">D11+D12</f>
        <v>1480.69521072</v>
      </c>
      <c r="E13" s="0" t="n">
        <f aca="false">E11+E12</f>
        <v>1595.68044817748</v>
      </c>
      <c r="F13" s="0" t="n">
        <f aca="false">F11+F12</f>
        <v>1726.55848089668</v>
      </c>
      <c r="G13" s="0" t="n">
        <f aca="false">G11+G12</f>
        <v>1856.38562103789</v>
      </c>
      <c r="H13" s="0" t="n">
        <f aca="false">H11+H12</f>
        <v>1965.68683050087</v>
      </c>
      <c r="I13" s="0" t="n">
        <f aca="false">I11+I12</f>
        <v>2061.46938878709</v>
      </c>
      <c r="J13" s="0" t="n">
        <f aca="false">J11+J12</f>
        <v>2113.00612350677</v>
      </c>
      <c r="K13" s="0" t="n">
        <f aca="false">K11+K12</f>
        <v>2165.83127659444</v>
      </c>
      <c r="L13" s="0" t="n">
        <f aca="false">L11+L12</f>
        <v>2219.9770585093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16</v>
      </c>
      <c r="D14" s="4" t="n">
        <f aca="false">Assumptions!D47</f>
        <v>17</v>
      </c>
      <c r="E14" s="4" t="n">
        <f aca="false">Assumptions!E47</f>
        <v>18</v>
      </c>
      <c r="F14" s="4" t="n">
        <f aca="false">Assumptions!F47</f>
        <v>19</v>
      </c>
      <c r="G14" s="4" t="n">
        <f aca="false">Assumptions!G47</f>
        <v>20</v>
      </c>
      <c r="H14" s="4" t="n">
        <f aca="false">Assumptions!H47</f>
        <v>20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1165.42757016</v>
      </c>
      <c r="D15" s="0" t="n">
        <f aca="false">D13-MAX(0,D13)*D14/100</f>
        <v>1228.9770248976</v>
      </c>
      <c r="E15" s="0" t="n">
        <f aca="false">E13-MAX(0,E13)*E14/100</f>
        <v>1308.45796750553</v>
      </c>
      <c r="F15" s="0" t="n">
        <f aca="false">F13-MAX(0,F13)*F14/100</f>
        <v>1398.51236952631</v>
      </c>
      <c r="G15" s="0" t="n">
        <f aca="false">G13-MAX(0,G13)*G14/100</f>
        <v>1485.10849683031</v>
      </c>
      <c r="H15" s="0" t="n">
        <f aca="false">H13-MAX(0,H13)*H14/100</f>
        <v>1572.5494644007</v>
      </c>
      <c r="I15" s="0" t="n">
        <f aca="false">I13-MAX(0,I13)*I14/100</f>
        <v>1649.17551102967</v>
      </c>
      <c r="J15" s="0" t="n">
        <f aca="false">J13-MAX(0,J13)*J14/100</f>
        <v>1690.40489880541</v>
      </c>
      <c r="K15" s="0" t="n">
        <f aca="false">K13-MAX(0,K13)*K14/100</f>
        <v>1732.66502127555</v>
      </c>
      <c r="L15" s="0" t="n">
        <f aca="false">L13-MAX(0,L13)*L14/100</f>
        <v>1775.98164680744</v>
      </c>
    </row>
    <row r="16" customFormat="false" ht="15" hidden="false" customHeight="false" outlineLevel="0" collapsed="false">
      <c r="A16" s="0" t="s">
        <v>119</v>
      </c>
      <c r="C16" s="0" t="n">
        <f aca="false">-C12</f>
        <v>2007.322056</v>
      </c>
      <c r="D16" s="0" t="n">
        <f aca="false">-D12</f>
        <v>2143.923273855</v>
      </c>
      <c r="E16" s="0" t="n">
        <f aca="false">-E12</f>
        <v>2288.75377415355</v>
      </c>
      <c r="F16" s="0" t="n">
        <f aca="false">-F12</f>
        <v>2413.82933251574</v>
      </c>
      <c r="G16" s="0" t="n">
        <f aca="false">-G12</f>
        <v>2533.01215580871</v>
      </c>
      <c r="H16" s="0" t="n">
        <f aca="false">-H12</f>
        <v>2626.87240076025</v>
      </c>
      <c r="I16" s="0" t="n">
        <f aca="false">-I12</f>
        <v>2724.08454946866</v>
      </c>
      <c r="J16" s="0" t="n">
        <f aca="false">-J12</f>
        <v>2792.18666320537</v>
      </c>
      <c r="K16" s="0" t="n">
        <f aca="false">-K12</f>
        <v>2861.99132978551</v>
      </c>
      <c r="L16" s="0" t="n">
        <f aca="false">-L12</f>
        <v>2933.54111303015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-2582.951175</v>
      </c>
      <c r="D17" s="4" t="n">
        <f aca="false">-D6*Assumptions!D46/100</f>
        <v>-2622.06443565</v>
      </c>
      <c r="E17" s="4" t="n">
        <f aca="false">-E6*Assumptions!E46/100</f>
        <v>-2659.46741362912</v>
      </c>
      <c r="F17" s="4" t="n">
        <f aca="false">-F6*Assumptions!F46/100</f>
        <v>-2682.03259168416</v>
      </c>
      <c r="G17" s="4" t="n">
        <f aca="false">-G6*Assumptions!G46/100</f>
        <v>-2689.15674075582</v>
      </c>
      <c r="H17" s="4" t="n">
        <f aca="false">-H6*Assumptions!H46/100</f>
        <v>-2734.09168242393</v>
      </c>
      <c r="I17" s="4" t="n">
        <f aca="false">-I6*Assumptions!I46/100</f>
        <v>-2797.70845621105</v>
      </c>
      <c r="J17" s="4" t="n">
        <f aca="false">-J6*Assumptions!J46/100</f>
        <v>-2867.65116761633</v>
      </c>
      <c r="K17" s="4" t="n">
        <f aca="false">-K6*Assumptions!K46/100</f>
        <v>-2939.34244680674</v>
      </c>
      <c r="L17" s="4" t="n">
        <f aca="false">-L6*Assumptions!L46/100</f>
        <v>-3012.82600797691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589.798451159999</v>
      </c>
      <c r="D19" s="0" t="n">
        <f aca="false">D15+D16+D17+D18</f>
        <v>750.8358631026</v>
      </c>
      <c r="E19" s="0" t="n">
        <f aca="false">E15+E16+E17+E18</f>
        <v>937.744328029955</v>
      </c>
      <c r="F19" s="0" t="n">
        <f aca="false">F15+F16+F17+F18</f>
        <v>1130.30911035789</v>
      </c>
      <c r="G19" s="0" t="n">
        <f aca="false">G15+G16+G17+G18</f>
        <v>1328.9639118832</v>
      </c>
      <c r="H19" s="0" t="n">
        <f aca="false">H15+H16+H17+H18</f>
        <v>1465.33018273701</v>
      </c>
      <c r="I19" s="0" t="n">
        <f aca="false">I15+I16+I17+I18</f>
        <v>1575.55160428728</v>
      </c>
      <c r="J19" s="0" t="n">
        <f aca="false">J15+J16+J17+J18</f>
        <v>1614.94039439446</v>
      </c>
      <c r="K19" s="0" t="n">
        <f aca="false">K15+K16+K17+K18</f>
        <v>1655.31390425432</v>
      </c>
      <c r="L19" s="0" t="n">
        <f aca="false">L15+L16+L17+L18</f>
        <v>1696.69675186068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551.213505757008</v>
      </c>
      <c r="D21" s="0" t="n">
        <f aca="false">D19*D20</f>
        <v>655.809121410254</v>
      </c>
      <c r="E21" s="0" t="n">
        <f aca="false">E19*E20</f>
        <v>765.478704037291</v>
      </c>
      <c r="F21" s="0" t="n">
        <f aca="false">F19*F20</f>
        <v>862.307408425734</v>
      </c>
      <c r="G21" s="0" t="n">
        <f aca="false">G19*G20</f>
        <v>947.532902205273</v>
      </c>
      <c r="H21" s="0" t="n">
        <f aca="false">H19*H20</f>
        <v>976.411372590437</v>
      </c>
      <c r="I21" s="0" t="n">
        <f aca="false">I19*I20</f>
        <v>981.174354895755</v>
      </c>
      <c r="J21" s="0" t="n">
        <f aca="false">J19*J20</f>
        <v>939.910012867428</v>
      </c>
      <c r="K21" s="0" t="n">
        <f aca="false">K19*K20</f>
        <v>900.38108709263</v>
      </c>
      <c r="L21" s="0" t="n">
        <f aca="false">L19*L20</f>
        <v>862.51459277565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4.1</v>
      </c>
      <c r="D23" s="4" t="n">
        <f aca="false">Assumptions!D44</f>
        <v>4.2</v>
      </c>
      <c r="E23" s="4" t="n">
        <f aca="false">Assumptions!E44</f>
        <v>4.2</v>
      </c>
      <c r="F23" s="4" t="n">
        <f aca="false">Assumptions!F44</f>
        <v>4.2</v>
      </c>
      <c r="G23" s="4" t="n">
        <f aca="false">Assumptions!G44</f>
        <v>4.2</v>
      </c>
      <c r="H23" s="4" t="n">
        <f aca="false">Assumptions!H44</f>
        <v>4.2</v>
      </c>
      <c r="I23" s="4" t="n">
        <f aca="false">Assumptions!I44</f>
        <v>4.2</v>
      </c>
      <c r="J23" s="4" t="n">
        <f aca="false">Assumptions!J44</f>
        <v>4.2</v>
      </c>
      <c r="K23" s="4" t="n">
        <f aca="false">Assumptions!K44</f>
        <v>4.2</v>
      </c>
      <c r="L23" s="4" t="n">
        <f aca="false">Assumptions!L44</f>
        <v>4.2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-605.148561</v>
      </c>
      <c r="D24" s="0" t="n">
        <f aca="false">-D6*D23/100</f>
        <v>-647.80415469</v>
      </c>
      <c r="E24" s="0" t="n">
        <f aca="false">-E6*E23/100</f>
        <v>-676.95534165105</v>
      </c>
      <c r="F24" s="0" t="n">
        <f aca="false">-F6*F23/100</f>
        <v>-704.033555317092</v>
      </c>
      <c r="G24" s="0" t="n">
        <f aca="false">-G6*G23/100</f>
        <v>-728.67472975319</v>
      </c>
      <c r="H24" s="0" t="n">
        <f aca="false">-H6*H23/100</f>
        <v>-750.534971645786</v>
      </c>
      <c r="I24" s="0" t="n">
        <f aca="false">-I6*I23/100</f>
        <v>-773.051020795159</v>
      </c>
      <c r="J24" s="0" t="n">
        <f aca="false">-J6*J23/100</f>
        <v>-792.377296315038</v>
      </c>
      <c r="K24" s="0" t="n">
        <f aca="false">-K6*K23/100</f>
        <v>-812.186728722914</v>
      </c>
      <c r="L24" s="0" t="n">
        <f aca="false">-L6*L23/100</f>
        <v>-832.491396940987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8442.73306205746</v>
      </c>
    </row>
    <row r="31" customFormat="false" ht="15" hidden="false" customHeight="false" outlineLevel="0" collapsed="false">
      <c r="A31" s="0" t="s">
        <v>128</v>
      </c>
      <c r="B31" s="0" t="n">
        <f aca="false">L19</f>
        <v>1696.69675186068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38646.9815701599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27147.1480297709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27147.1480297709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13800.2334844104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22242.9665464679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70340.9665464679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4.25044060078602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0.0316603399966058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361.577161834986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688.533845479004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4.31389486762312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13912.9133652576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3.4554698523831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3.46061528262023</v>
      </c>
      <c r="C4" s="0" t="n">
        <f aca="false">B4/Assumptions!$B$2-1</f>
        <v>-0.160044834315479</v>
      </c>
      <c r="D4" s="4" t="n">
        <f aca="false">Assumptions!$B$24</f>
        <v>0.25</v>
      </c>
      <c r="E4" s="4" t="n">
        <f aca="false">DCF_Bear!$B$43</f>
        <v>3.50742381126765</v>
      </c>
      <c r="F4" s="4" t="n">
        <f aca="false">DCF_Bear!$B$47</f>
        <v>3.16798540705537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3.92876800737669</v>
      </c>
      <c r="C5" s="0" t="n">
        <f aca="false">B5/Assumptions!$B$2-1</f>
        <v>-0.0464155321901227</v>
      </c>
      <c r="D5" s="4" t="n">
        <f aca="false">Assumptions!$B$38</f>
        <v>0.5</v>
      </c>
      <c r="E5" s="4" t="n">
        <f aca="false">DCF_Base!$B$43</f>
        <v>3.98382965566061</v>
      </c>
      <c r="F5" s="4" t="n">
        <f aca="false">DCF_Base!$B$47</f>
        <v>3.34774109034379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4.25044060078602</v>
      </c>
      <c r="C6" s="0" t="n">
        <f aca="false">B6/Assumptions!$B$2-1</f>
        <v>0.0316603399966058</v>
      </c>
      <c r="D6" s="4" t="n">
        <f aca="false">Assumptions!$B$52</f>
        <v>0.25</v>
      </c>
      <c r="E6" s="4" t="n">
        <f aca="false">DCF_Bull!$B$43</f>
        <v>4.31389486762312</v>
      </c>
      <c r="F6" s="4" t="n">
        <f aca="false">DCF_Bull!$B$47</f>
        <v>3.4554698523831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3.89214797453991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3.947244497553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-0.0585414601270462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413.550643487925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3.32973436003151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3.92876800737669</v>
      </c>
      <c r="C15" s="3" t="n">
        <v>7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3.77220060918814</v>
      </c>
      <c r="C16" s="3" t="n">
        <v>9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3.65656301033738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3.56688131895827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3.49535677761964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3.34774109034379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4.10086441928925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4.10086441928925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4.10086441928925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4.10086441928925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4.10086441928925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4.01069306140502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4.01069306140502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4.01069306140502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4.01069306140502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4.01069306140502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3.92876800737669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3.92876800737669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3.92876800737669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3.92876800737669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3.92876800737669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3.83351815236556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3.85424598122796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3.85424598122796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3.85424598122796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3.85424598122796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3.70781290956306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3.73786050272143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3.77220060918814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3.78637771736247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3.78637771736247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2026-10-24T10:59:46Z</dcterms:created>
  <dc:creator>openpyxl</dc:creator>
  <dc:description/>
  <dc:language>en-NZ</dc:language>
  <cp:lastModifiedBy/>
  <dcterms:modified xsi:type="dcterms:W3CDTF">2026-10-24T10:59:46Z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