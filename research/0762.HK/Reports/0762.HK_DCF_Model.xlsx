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<sst xmlns="http://schemas.openxmlformats.org/spreadsheetml/2006/main" count="354" uniqueCount="164">
  <si>
    <t xml:space="preserve">Ticker</t>
  </si>
  <si>
    <t xml:space="preserve">0762.HK</t>
  </si>
  <si>
    <t xml:space="preserve">Company</t>
  </si>
  <si>
    <t xml:space="preserve">China Unicom (Hong Kong) Limited</t>
  </si>
  <si>
    <t xml:space="preserve">Valuation date</t>
  </si>
  <si>
    <t xml:space="preserve">2026-10-11</t>
  </si>
  <si>
    <t xml:space="preserve">Current price</t>
  </si>
  <si>
    <t xml:space="preserve">Price as of</t>
  </si>
  <si>
    <t xml:space="preserve">2026-10-09T08:08:06Z HKEX regular close (Friday); not an after-hours print</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</si>
  <si>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</si>
  <si>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</si>
  <si>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</si>
  <si>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</si>
  <si>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</si>
  <si>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</si>
  <si>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</si>
  <si>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</si>
  <si>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</si>
  <si>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</si>
  <si>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</si>
  <si>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</si>
  <si>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</si>
  <si>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2026-10-11T07:01:46Z</t>
  </si>
  <si>
    <t xml:space="preserve">Drivers file</t>
  </si>
  <si>
    <t xml:space="preserve">0762.HK_Drivers.json</t>
  </si>
  <si>
    <t xml:space="preserve">Convention</t>
  </si>
  <si>
    <t xml:space="preserve">Percents stored as percents; formulas divide by 100. Blue = input, green = link, black = formula.</t>
  </si>
  <si>
    <t xml:space="preserve">Methodology</t>
  </si>
  <si>
    <t xml:space="preserve">summary: A mature, oligopoly, state-owned telecom valued on owner FCF after the full China Tower lease bill and on CASH capex, not the company's accrual 'free cash flow'. The explicit horizon is 10 years so the capex intensity and D&amp;A can mature; the terminal value binds at a 12x cap in the base case. Roughly 40% of the house value is the balance sheet: net cash, bank deposits, treasury securities, the China Tower stake at market and other associates, net of Finance Company related-party deposits and NCI. The market has paid ~0.4x book and ~7x earnings for this name for a decade and has never credited that bridge, so the gap between house value and price is mostly the price of SOE governance and of the cash never being returned. No-re-rate memo: capping the terminal value at the stock's own current multiple (operating EV of roughly RMB25-30bn against RMB99bn EBITDA, i.e. ~0.3x) instead of 12x owner FCF would remove about RMB10-11/share of the base value and leave the bridge plus ten years of flows, which is itself near the current price; the re-rating thesis is therefore worth most of the upside and should be held with that in mind. SBC is immaterial so house and street coincide.
key_risks_to_valuation: The balance-sheet bridge (~RMB117bn, ~HK$4.5/share) is counted at face value; a minority H-shareholder cannot force its return, and part of the cash funds the RMB83bn net current liabilities (supplier and capex payables).; Cash capex has exceeded the accrual headline by RMB5-14bn a year for three years; if construction payables keep being settled or AI-computing capex is state-directed above guidance, the 13.5% long-run capex intensity is too low.; H1 FY2026 EBITDA margin fell 3.6pp YoY; the base case assumes most of the employee-benefit step-up reverses in H2 as management guided, but the guidance is explicitly non-binding.; Receivables grew RMB14.9bn in FY2025 and RMB14.4bn in H1 FY2026 as B2G computing/ICT revenue grows; a -40% working-capital capture may understate the leak if government customers keep paying slowly.; China Tower is held at market via a price ratio; a further fall in 0788.HK or in CNY/HKD moves the bridge directly.; Geopolitical: the ADSs were delisted from the NYSE in 2021 under US sanctions; a widening of restrictions to the H-shares would cut the investor base, not the cash flows, but would widen the discount the model already fails to explain.; FX: all values are RMB converted at CNYHKD 1.1721; the rate is not refreshed by price-only updates.</t>
  </si>
  <si>
    <t xml:space="preserve">Data sources</t>
  </si>
  <si>
    <t xml:space="preserve">price: Yahoo Finance chart API for 0762.HK at inputs.price_as_of; 52-week range 5.38-9.92 HKD
fx: Yahoo Finance CNYHKD=X at 2026-10-10; China Tower 0788.HK daily closes 2025-12-31 and 2026-10-09 for the associate roll-forward
financials: research/0762.HK/Reports/0762.HK_Metrics.csv (core_metrics, RMB millions); FY2025 annual report (income statement line 4440ff, balance sheet 4565ff, cash flow 4740ff, OCF reconciliation 4845ff, note 12 finance costs 7529ff, note 17 ROU assets 7867ff, note 20 associates 8689ff, note 25 deposits 9008ff); H1 FY2026 interim report (balance sheet lines 575-650, note 29 related parties 1838-1852)
qualitative: research/0762.HK/Reports/0762.HK_Analysis.json (2026-10-11): guidance block (FY2026 capex ~RMB50bn, employee benefits stable for the full year, profit contraction to narrow), risks, bull/bear cases</t>
  </si>
  <si>
    <t xml:space="preserve">Scenario narrative: bear</t>
  </si>
  <si>
    <t xml:space="preserve">The value trap. The H1 FY2026 cost step-up is the new SOE wage policy rather than timing, VAT and price competition keep the EBITDA margin at 23%, service revenue is flat for two years and crawls at 1% thereafter, and capex stays at 15% of revenue because the AI-computing build is state-directed and runs ahead of monetisation. Receivables keep absorbing cash (-60% capture) and the tax rate normalises up to 20% as preferential rates roll off. Terminal cap 8x and 1% growth. Governance is the axis: a minority H-shareholder cannot compel the cash on the balance sheet to be returned, and the market has historically priced this name as if it never will be.</t>
  </si>
  <si>
    <t xml:space="preserve">Scenario narrative: base</t>
  </si>
  <si>
    <t xml:space="preserve">The SOE utility case. Mobile and broadband ARPU hold roughly flat under the three-carrier truce, computing power (IDC, Unicom Cloud, AI/model services) grows double-digit and lifts group revenue to ~2% a year, and the H1 FY2026 profit drop proves mostly to be the employee-benefit timing shift management described, so the EBITDA margin returns to the FY2025 25.3% by FY2028. Cash capex falls from 17% of revenue toward 13.5% as the 5G build is over, the capital-payables backlog is settled and the headline stays at the guided ~RMB50bn with &gt;35% in computing. Working capital keeps leaking a little as B2G receivables grow. Owner FCF (post-lease) climbs from ~RMB15bn to ~RMB28bn (6% of revenue) by FY2035; terminal value binds at the 12x cap, not Gordon. The payout ratio keeps rising toward the China Mobile/Telecom 70%+ level, but the model does not need the retained cash to be returned; it needs it to exist.</t>
  </si>
  <si>
    <t xml:space="preserve">Scenario narrative: bull</t>
  </si>
  <si>
    <t xml:space="preserve">The computing-power re-rating. AI/IDC/cloud revenue compounds fast enough to take group growth to 3-3.5% a year, the mix shift and the headquarters reorganisation (management departments cut ~40%) push the EBITDA margin to 26.5%, cash capex settles at 12.5% of revenue as co-build/co-share with China Telecom and the end of the 5G cycle hold the headline below guidance, and the China Tower lease bill shrinks relative to revenue. Terminal cap 14x and 2.5% growth. This case needs three independent things to go right (monetisation, margin, capex discipline) at a company that has just changed chairman twice, which is why it carries 20%.</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</si>
  <si>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</si>
  <si>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</si>
  <si>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</si>
  <si>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</si>
  <si>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</si>
  <si>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</si>
  <si>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</si>
  <si>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</si>
  <si>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</si>
  <si>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</si>
  <si>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</si>
  <si>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</si>
  <si>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</si>
  <si>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</si>
  <si>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</si>
  <si>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</si>
  <si>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</si>
  <si>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</si>
  <si>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</si>
  <si>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</si>
  <si>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</si>
  <si>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</si>
  <si>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</si>
  <si>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</si>
  <si>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</si>
  <si>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</si>
  <si>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</si>
  <si>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LeasePrincipalPaid</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</si>
  <si>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</si>
  <si>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</si>
  <si>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</si>
  <si>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</si>
  <si>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</si>
  <si>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</si>
  <si>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</si>
  <si>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</si>
  <si>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</si>
  <si>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</si>
  <si>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</si>
  <si>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</si>
  <si>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</si>
  <si>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</si>
  <si>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</si>
  <si>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</si>
  <si>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</si>
  <si>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</si>
  <si>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</si>
  <si>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</si>
  <si>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</si>
  <si>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</si>
  <si>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</si>
  <si>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</si>
  <si>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</si>
  <si>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</si>
  <si>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</si>
  <si>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</si>
  <si>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</si>
  <si>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</si>
  <si>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</si>
  <si>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</si>
  <si>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</si>
  <si>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</si>
  <si>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</si>
  <si>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</si>
  <si>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</si>
  <si>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</si>
  <si>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</si>
  <si>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</si>
  <si>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</si>
  <si>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</si>
  <si>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</si>
  <si>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</si>
  <si>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</si>
  <si>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0762.HK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</si>
  <si>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</si>
  <si>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</si>
  <si>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</si>
  <si>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</si>
  <si>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</si>
  <si>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</si>
  <si>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</si>
  <si>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</si>
  <si>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</si>
  <si>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</si>
  <si>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</si>
  <si>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</si>
  <si>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</si>
  <si>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</si>
  <si>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</si>
  <si>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</si>
  <si>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</si>
  <si>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</si>
  <si>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</si>
  <si>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</si>
  <si>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</si>
  <si>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</si>
  <si>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</si>
  <si>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</si>
  <si>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</si>
  <si>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</si>
  <si>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</si>
  <si>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</si>
  <si>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</si>
  <si>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</si>
  <si>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0762.HK owner-FCF component DCF: base case (millions, CNY)</t>
  </si>
  <si>
    <t xml:space="preserve">0762.HK owner-FCF component DCF: bull case (millions, CNY)</t>
  </si>
  <si>
    <t xml:space="preserve">0762.HK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</si>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</sst>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5.665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290877</v>
      </c>
      <c r="F2" s="0" t="n">
        <v>9136</v>
      </c>
      <c r="G2" s="0" t="n">
        <v>3.1</v>
      </c>
      <c r="H2" s="0" t="n">
        <v>84913</v>
      </c>
      <c r="I2" s="0" t="n">
        <v>10197</v>
      </c>
      <c r="J2" s="0" t="n">
        <v>3.5</v>
      </c>
      <c r="K2" s="0" t="n">
        <v>0.33</v>
      </c>
      <c r="L2" s="0" t="n">
        <v>92387</v>
      </c>
      <c r="M2" s="0" t="n">
        <v>56766</v>
      </c>
      <c r="N2" s="0" t="n">
        <v>35621</v>
      </c>
      <c r="O2" s="0" t="n">
        <v>313922</v>
      </c>
      <c r="P2" s="0" t="n">
        <v>540320</v>
      </c>
      <c r="Q2" s="0" t="n">
        <v>226034</v>
      </c>
      <c r="R2" s="0" t="n">
        <v>36692</v>
      </c>
      <c r="S2" s="0" t="n">
        <v>30060</v>
      </c>
      <c r="T2" s="0" t="n">
        <v>30598</v>
      </c>
      <c r="U2" s="0" t="n">
        <v>614</v>
      </c>
      <c r="AA2" s="0" t="s">
        <v>18</v>
      </c>
      <c r="AB2" s="0" t="s">
        <v>14</v>
      </c>
    </row>
    <row r="3" customFormat="false" ht="15" hidden="false" customHeight="false" outlineLevel="0" collapsed="false">
      <c r="A3" s="0" t="s">
        <v>66</v>
      </c>
      <c r="B3" s="0" t="n">
        <v>290515</v>
      </c>
      <c r="F3" s="0" t="n">
        <v>11278</v>
      </c>
      <c r="G3" s="0" t="n">
        <v>3.9</v>
      </c>
      <c r="H3" s="0" t="n">
        <v>94358</v>
      </c>
      <c r="I3" s="0" t="n">
        <v>11330</v>
      </c>
      <c r="J3" s="0" t="n">
        <v>3.9</v>
      </c>
      <c r="K3" s="0" t="n">
        <v>0.37</v>
      </c>
      <c r="L3" s="0" t="n">
        <v>93678</v>
      </c>
      <c r="M3" s="0" t="n">
        <v>60542</v>
      </c>
      <c r="N3" s="0" t="n">
        <v>33136</v>
      </c>
      <c r="O3" s="0" t="n">
        <v>320047</v>
      </c>
      <c r="P3" s="0" t="n">
        <v>562499</v>
      </c>
      <c r="Q3" s="0" t="n">
        <v>241744</v>
      </c>
      <c r="R3" s="0" t="n">
        <v>54186</v>
      </c>
      <c r="S3" s="0" t="n">
        <v>34945</v>
      </c>
      <c r="T3" s="0" t="n">
        <v>30598</v>
      </c>
      <c r="U3" s="0" t="n">
        <v>571</v>
      </c>
      <c r="AA3" s="0" t="s">
        <v>18</v>
      </c>
      <c r="AB3" s="0" t="s">
        <v>14</v>
      </c>
      <c r="AC3" s="0" t="n">
        <v>11123</v>
      </c>
    </row>
    <row r="4" customFormat="false" ht="15" hidden="false" customHeight="false" outlineLevel="0" collapsed="false">
      <c r="A4" s="0" t="s">
        <v>67</v>
      </c>
      <c r="B4" s="0" t="n">
        <v>303838</v>
      </c>
      <c r="F4" s="0" t="n">
        <v>11122</v>
      </c>
      <c r="G4" s="0" t="n">
        <v>3.7</v>
      </c>
      <c r="H4" s="0" t="n">
        <v>94139</v>
      </c>
      <c r="I4" s="0" t="n">
        <v>12493</v>
      </c>
      <c r="J4" s="0" t="n">
        <v>4.1</v>
      </c>
      <c r="K4" s="0" t="n">
        <v>0.41</v>
      </c>
      <c r="L4" s="0" t="n">
        <v>105551</v>
      </c>
      <c r="M4" s="0" t="n">
        <v>58656</v>
      </c>
      <c r="N4" s="0" t="n">
        <v>46895</v>
      </c>
      <c r="O4" s="0" t="n">
        <v>326587</v>
      </c>
      <c r="P4" s="0" t="n">
        <v>580616</v>
      </c>
      <c r="Q4" s="0" t="n">
        <v>253096</v>
      </c>
      <c r="R4" s="0" t="n">
        <v>42598</v>
      </c>
      <c r="S4" s="0" t="n">
        <v>23085</v>
      </c>
      <c r="T4" s="0" t="n">
        <v>30598</v>
      </c>
      <c r="U4" s="0" t="n">
        <v>375</v>
      </c>
      <c r="AA4" s="0" t="s">
        <v>18</v>
      </c>
      <c r="AB4" s="0" t="s">
        <v>14</v>
      </c>
      <c r="AC4" s="0" t="n">
        <v>11696</v>
      </c>
    </row>
    <row r="5" customFormat="false" ht="15" hidden="false" customHeight="false" outlineLevel="0" collapsed="false">
      <c r="A5" s="0" t="s">
        <v>68</v>
      </c>
      <c r="B5" s="0" t="n">
        <v>327854</v>
      </c>
      <c r="F5" s="0" t="n">
        <v>10668</v>
      </c>
      <c r="G5" s="0" t="n">
        <v>3.3</v>
      </c>
      <c r="H5" s="0" t="n">
        <v>96320</v>
      </c>
      <c r="I5" s="0" t="n">
        <v>14368</v>
      </c>
      <c r="J5" s="0" t="n">
        <v>4.4</v>
      </c>
      <c r="K5" s="0" t="n">
        <v>0.47</v>
      </c>
      <c r="L5" s="0" t="n">
        <v>110636</v>
      </c>
      <c r="M5" s="0" t="n">
        <v>72047</v>
      </c>
      <c r="N5" s="0" t="n">
        <v>38589</v>
      </c>
      <c r="O5" s="0" t="n">
        <v>332337</v>
      </c>
      <c r="P5" s="0" t="n">
        <v>591076</v>
      </c>
      <c r="Q5" s="0" t="n">
        <v>257643</v>
      </c>
      <c r="R5" s="0" t="n">
        <v>35069</v>
      </c>
      <c r="S5" s="0" t="n">
        <v>34280</v>
      </c>
      <c r="T5" s="0" t="n">
        <v>30598</v>
      </c>
      <c r="U5" s="0" t="n">
        <v>136</v>
      </c>
      <c r="AA5" s="0" t="s">
        <v>18</v>
      </c>
      <c r="AB5" s="0" t="s">
        <v>14</v>
      </c>
      <c r="AC5" s="0" t="n">
        <v>12727</v>
      </c>
    </row>
    <row r="6" customFormat="false" ht="15" hidden="false" customHeight="false" outlineLevel="0" collapsed="false">
      <c r="A6" s="0" t="s">
        <v>69</v>
      </c>
      <c r="B6" s="0" t="n">
        <v>354944</v>
      </c>
      <c r="F6" s="0" t="n">
        <v>12340</v>
      </c>
      <c r="G6" s="0" t="n">
        <v>3.5</v>
      </c>
      <c r="H6" s="0" t="n">
        <v>99169</v>
      </c>
      <c r="I6" s="0" t="n">
        <v>16745</v>
      </c>
      <c r="J6" s="0" t="n">
        <v>4.7</v>
      </c>
      <c r="K6" s="0" t="n">
        <v>0.55</v>
      </c>
      <c r="L6" s="0" t="n">
        <v>100537</v>
      </c>
      <c r="M6" s="0" t="n">
        <v>72470</v>
      </c>
      <c r="N6" s="0" t="n">
        <v>28067</v>
      </c>
      <c r="O6" s="0" t="n">
        <v>341619</v>
      </c>
      <c r="P6" s="0" t="n">
        <v>642663</v>
      </c>
      <c r="Q6" s="0" t="n">
        <v>299127</v>
      </c>
      <c r="R6" s="0" t="n">
        <v>56176</v>
      </c>
      <c r="S6" s="0" t="n">
        <v>55297</v>
      </c>
      <c r="T6" s="0" t="n">
        <v>30598</v>
      </c>
      <c r="U6" s="0" t="n">
        <v>55</v>
      </c>
      <c r="AA6" s="0" t="s">
        <v>18</v>
      </c>
      <c r="AB6" s="0" t="s">
        <v>14</v>
      </c>
      <c r="AC6" s="0" t="n">
        <v>13373</v>
      </c>
    </row>
    <row r="7" customFormat="false" ht="15" hidden="false" customHeight="false" outlineLevel="0" collapsed="false">
      <c r="A7" s="0" t="s">
        <v>70</v>
      </c>
      <c r="B7" s="0" t="n">
        <v>372597</v>
      </c>
      <c r="F7" s="0" t="n">
        <v>14965</v>
      </c>
      <c r="G7" s="0" t="n">
        <v>4</v>
      </c>
      <c r="H7" s="0" t="n">
        <v>99812</v>
      </c>
      <c r="I7" s="0" t="n">
        <v>18726</v>
      </c>
      <c r="J7" s="0" t="n">
        <v>5</v>
      </c>
      <c r="K7" s="0" t="n">
        <v>0.61</v>
      </c>
      <c r="L7" s="0" t="n">
        <v>102391</v>
      </c>
      <c r="M7" s="0" t="n">
        <v>79375</v>
      </c>
      <c r="N7" s="0" t="n">
        <v>23016</v>
      </c>
      <c r="O7" s="0" t="n">
        <v>351474</v>
      </c>
      <c r="P7" s="0" t="n">
        <v>661051</v>
      </c>
      <c r="Q7" s="0" t="n">
        <v>307153</v>
      </c>
      <c r="R7" s="0" t="n">
        <v>45544</v>
      </c>
      <c r="S7" s="0" t="n">
        <v>47733</v>
      </c>
      <c r="T7" s="0" t="n">
        <v>30598</v>
      </c>
      <c r="U7" s="0" t="n">
        <v>282</v>
      </c>
      <c r="AA7" s="0" t="s">
        <v>18</v>
      </c>
      <c r="AB7" s="0" t="s">
        <v>14</v>
      </c>
      <c r="AC7" s="0" t="n">
        <v>12103</v>
      </c>
    </row>
    <row r="8" customFormat="false" ht="15" hidden="false" customHeight="false" outlineLevel="0" collapsed="false">
      <c r="A8" s="0" t="s">
        <v>71</v>
      </c>
      <c r="B8" s="0" t="n">
        <v>389589</v>
      </c>
      <c r="F8" s="0" t="n">
        <v>16033</v>
      </c>
      <c r="G8" s="0" t="n">
        <v>4.1</v>
      </c>
      <c r="H8" s="0" t="n">
        <v>99425</v>
      </c>
      <c r="I8" s="0" t="n">
        <v>20613</v>
      </c>
      <c r="J8" s="0" t="n">
        <v>5.3</v>
      </c>
      <c r="K8" s="0" t="n">
        <v>0.67</v>
      </c>
      <c r="L8" s="0" t="n">
        <v>89402</v>
      </c>
      <c r="M8" s="0" t="n">
        <v>75740</v>
      </c>
      <c r="N8" s="0" t="n">
        <v>13662</v>
      </c>
      <c r="O8" s="0" t="n">
        <v>361045</v>
      </c>
      <c r="P8" s="0" t="n">
        <v>671237</v>
      </c>
      <c r="Q8" s="0" t="n">
        <v>307667</v>
      </c>
      <c r="R8" s="0" t="n">
        <v>41207</v>
      </c>
      <c r="S8" s="0" t="n">
        <v>28480</v>
      </c>
      <c r="T8" s="0" t="n">
        <v>30598</v>
      </c>
      <c r="U8" s="0" t="n">
        <v>247</v>
      </c>
      <c r="AA8" s="0" t="s">
        <v>18</v>
      </c>
      <c r="AB8" s="0" t="s">
        <v>14</v>
      </c>
      <c r="AC8" s="0" t="n">
        <v>12887</v>
      </c>
    </row>
    <row r="9" customFormat="false" ht="15" hidden="false" customHeight="false" outlineLevel="0" collapsed="false">
      <c r="A9" s="0" t="s">
        <v>72</v>
      </c>
      <c r="B9" s="0" t="n">
        <v>392223</v>
      </c>
      <c r="F9" s="0" t="n">
        <v>18591</v>
      </c>
      <c r="G9" s="0" t="n">
        <v>4.7</v>
      </c>
      <c r="H9" s="0" t="n">
        <v>99422</v>
      </c>
      <c r="I9" s="0" t="n">
        <v>20816</v>
      </c>
      <c r="J9" s="0" t="n">
        <v>5.3</v>
      </c>
      <c r="K9" s="0" t="n">
        <v>0.68</v>
      </c>
      <c r="L9" s="0" t="n">
        <v>90175</v>
      </c>
      <c r="M9" s="0" t="n">
        <v>67641</v>
      </c>
      <c r="N9" s="0" t="n">
        <v>22534</v>
      </c>
      <c r="O9" s="0" t="n">
        <v>368282</v>
      </c>
      <c r="P9" s="0" t="n">
        <v>669618</v>
      </c>
      <c r="Q9" s="0" t="n">
        <v>298751</v>
      </c>
      <c r="R9" s="0" t="n">
        <v>34087</v>
      </c>
      <c r="S9" s="0" t="n">
        <v>25109</v>
      </c>
      <c r="T9" s="0" t="n">
        <v>30598</v>
      </c>
      <c r="U9" s="0" t="n">
        <v>118</v>
      </c>
      <c r="AA9" s="0" t="s">
        <v>18</v>
      </c>
      <c r="AB9" s="0" t="s">
        <v>14</v>
      </c>
      <c r="AC9" s="0" t="n">
        <v>13384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5.665</v>
      </c>
    </row>
    <row r="3" customFormat="false" ht="15" hidden="false" customHeight="false" outlineLevel="0" collapsed="false">
      <c r="A3" s="0" t="s">
        <v>76</v>
      </c>
      <c r="B3" s="3" t="n">
        <v>30598</v>
      </c>
    </row>
    <row r="4" customFormat="false" ht="15" hidden="false" customHeight="false" outlineLevel="0" collapsed="false">
      <c r="A4" s="0" t="s">
        <v>77</v>
      </c>
      <c r="B4" s="3" t="n">
        <v>-21641</v>
      </c>
    </row>
    <row r="5" customFormat="false" ht="15" hidden="false" customHeight="false" outlineLevel="0" collapsed="false">
      <c r="A5" s="0" t="s">
        <v>78</v>
      </c>
      <c r="B5" s="3" t="n">
        <v>95580</v>
      </c>
    </row>
    <row r="6" customFormat="false" ht="15" hidden="false" customHeight="false" outlineLevel="0" collapsed="false">
      <c r="A6" s="0" t="s">
        <v>79</v>
      </c>
      <c r="B6" s="3" t="n">
        <v>15</v>
      </c>
    </row>
    <row r="7" customFormat="false" ht="15" hidden="false" customHeight="false" outlineLevel="0" collapsed="false">
      <c r="A7" s="0" t="s">
        <v>80</v>
      </c>
      <c r="B7" s="3" t="n">
        <v>392223</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1.1721</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0</v>
      </c>
      <c r="D13" s="3" t="n">
        <v>0</v>
      </c>
      <c r="E13" s="3" t="n">
        <v>0.5</v>
      </c>
      <c r="F13" s="3" t="n">
        <v>0.5</v>
      </c>
      <c r="G13" s="3" t="n">
        <v>1</v>
      </c>
      <c r="H13" s="3" t="n">
        <v>1</v>
      </c>
      <c r="I13" s="3" t="n">
        <v>1</v>
      </c>
      <c r="J13" s="3" t="n">
        <v>1</v>
      </c>
      <c r="K13" s="3" t="n">
        <v>1</v>
      </c>
      <c r="L13" s="3" t="n">
        <v>1</v>
      </c>
    </row>
    <row r="14" customFormat="false" ht="15" hidden="false" customHeight="false" outlineLevel="0" collapsed="false">
      <c r="A14" s="0" t="s">
        <v>97</v>
      </c>
      <c r="C14" s="3" t="n">
        <v>23.6</v>
      </c>
      <c r="D14" s="3" t="n">
        <v>23.3</v>
      </c>
      <c r="E14" s="3" t="n">
        <v>23</v>
      </c>
      <c r="F14" s="3" t="n">
        <v>23</v>
      </c>
      <c r="G14" s="3" t="n">
        <v>23</v>
      </c>
      <c r="H14" s="3" t="n">
        <v>23</v>
      </c>
      <c r="I14" s="3" t="n">
        <v>23</v>
      </c>
      <c r="J14" s="3" t="n">
        <v>23</v>
      </c>
      <c r="K14" s="3" t="n">
        <v>23</v>
      </c>
      <c r="L14" s="3" t="n">
        <v>23</v>
      </c>
    </row>
    <row r="15" customFormat="false" ht="15" hidden="false" customHeight="false" outlineLevel="0" collapsed="false">
      <c r="A15" s="0" t="s">
        <v>98</v>
      </c>
      <c r="C15" s="3" t="n">
        <v>0.03</v>
      </c>
      <c r="D15" s="3" t="n">
        <v>0.03</v>
      </c>
      <c r="E15" s="3" t="n">
        <v>0.03</v>
      </c>
      <c r="F15" s="3" t="n">
        <v>0.03</v>
      </c>
      <c r="G15" s="3" t="n">
        <v>0.03</v>
      </c>
      <c r="H15" s="3" t="n">
        <v>0.03</v>
      </c>
      <c r="I15" s="3" t="n">
        <v>0.03</v>
      </c>
      <c r="J15" s="3" t="n">
        <v>0.03</v>
      </c>
      <c r="K15" s="3" t="n">
        <v>0.03</v>
      </c>
      <c r="L15" s="3" t="n">
        <v>0.03</v>
      </c>
    </row>
    <row r="16" customFormat="false" ht="15" hidden="false" customHeight="false" outlineLevel="0" collapsed="false">
      <c r="A16" s="0" t="s">
        <v>99</v>
      </c>
      <c r="C16" s="3" t="n">
        <v>3.8</v>
      </c>
      <c r="D16" s="3" t="n">
        <v>3.8</v>
      </c>
      <c r="E16" s="3" t="n">
        <v>3.8</v>
      </c>
      <c r="F16" s="3" t="n">
        <v>3.8</v>
      </c>
      <c r="G16" s="3" t="n">
        <v>3.8</v>
      </c>
      <c r="H16" s="3" t="n">
        <v>3.8</v>
      </c>
      <c r="I16" s="3" t="n">
        <v>3.8</v>
      </c>
      <c r="J16" s="3" t="n">
        <v>3.8</v>
      </c>
      <c r="K16" s="3" t="n">
        <v>3.8</v>
      </c>
      <c r="L16" s="3" t="n">
        <v>3.8</v>
      </c>
    </row>
    <row r="17" customFormat="false" ht="15" hidden="false" customHeight="false" outlineLevel="0" collapsed="false">
      <c r="A17" s="0" t="s">
        <v>100</v>
      </c>
      <c r="C17" s="3" t="n">
        <v>17.2</v>
      </c>
      <c r="D17" s="3" t="n">
        <v>17</v>
      </c>
      <c r="E17" s="3" t="n">
        <v>16.7</v>
      </c>
      <c r="F17" s="3" t="n">
        <v>16.4</v>
      </c>
      <c r="G17" s="3" t="n">
        <v>16.1</v>
      </c>
      <c r="H17" s="3" t="n">
        <v>15.8</v>
      </c>
      <c r="I17" s="3" t="n">
        <v>15.6</v>
      </c>
      <c r="J17" s="3" t="n">
        <v>15.4</v>
      </c>
      <c r="K17" s="3" t="n">
        <v>15.2</v>
      </c>
      <c r="L17" s="3" t="n">
        <v>15</v>
      </c>
    </row>
    <row r="18" customFormat="false" ht="15" hidden="false" customHeight="false" outlineLevel="0" collapsed="false">
      <c r="A18" s="0" t="s">
        <v>101</v>
      </c>
      <c r="C18" s="3" t="n">
        <v>16.2</v>
      </c>
      <c r="D18" s="3" t="n">
        <v>15.6</v>
      </c>
      <c r="E18" s="3" t="n">
        <v>15.3</v>
      </c>
      <c r="F18" s="3" t="n">
        <v>15</v>
      </c>
      <c r="G18" s="3" t="n">
        <v>15</v>
      </c>
      <c r="H18" s="3" t="n">
        <v>15</v>
      </c>
      <c r="I18" s="3" t="n">
        <v>15</v>
      </c>
      <c r="J18" s="3" t="n">
        <v>15</v>
      </c>
      <c r="K18" s="3" t="n">
        <v>15</v>
      </c>
      <c r="L18" s="3" t="n">
        <v>15</v>
      </c>
    </row>
    <row r="19" customFormat="false" ht="15" hidden="false" customHeight="false" outlineLevel="0" collapsed="false">
      <c r="A19" s="0" t="s">
        <v>102</v>
      </c>
      <c r="C19" s="3" t="n">
        <v>20</v>
      </c>
      <c r="D19" s="3" t="n">
        <v>20</v>
      </c>
      <c r="E19" s="3" t="n">
        <v>20</v>
      </c>
      <c r="F19" s="3" t="n">
        <v>20</v>
      </c>
      <c r="G19" s="3" t="n">
        <v>20</v>
      </c>
      <c r="H19" s="3" t="n">
        <v>20</v>
      </c>
      <c r="I19" s="3" t="n">
        <v>20</v>
      </c>
      <c r="J19" s="3" t="n">
        <v>20</v>
      </c>
      <c r="K19" s="3" t="n">
        <v>20</v>
      </c>
      <c r="L19" s="3" t="n">
        <v>20</v>
      </c>
    </row>
    <row r="20" customFormat="false" ht="15" hidden="false" customHeight="false" outlineLevel="0" collapsed="false">
      <c r="A20" s="0" t="s">
        <v>103</v>
      </c>
      <c r="B20" s="3" t="n">
        <v>9</v>
      </c>
    </row>
    <row r="21" customFormat="false" ht="15" hidden="false" customHeight="false" outlineLevel="0" collapsed="false">
      <c r="A21" s="0" t="s">
        <v>104</v>
      </c>
      <c r="B21" s="3" t="n">
        <v>1</v>
      </c>
    </row>
    <row r="22" customFormat="false" ht="15" hidden="false" customHeight="false" outlineLevel="0" collapsed="false">
      <c r="A22" s="0" t="s">
        <v>105</v>
      </c>
      <c r="B22" s="3" t="n">
        <v>8</v>
      </c>
    </row>
    <row r="23" customFormat="false" ht="15" hidden="false" customHeight="false" outlineLevel="0" collapsed="false">
      <c r="A23" s="0" t="s">
        <v>106</v>
      </c>
      <c r="B23" s="3" t="n">
        <v>-60</v>
      </c>
    </row>
    <row r="24" customFormat="false" ht="15" hidden="false" customHeight="false" outlineLevel="0" collapsed="false">
      <c r="A24" s="0" t="s">
        <v>107</v>
      </c>
      <c r="B24" s="3" t="n">
        <v>0.3</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1</v>
      </c>
      <c r="D27" s="3" t="n">
        <v>1.5</v>
      </c>
      <c r="E27" s="3" t="n">
        <v>2</v>
      </c>
      <c r="F27" s="3" t="n">
        <v>2</v>
      </c>
      <c r="G27" s="3" t="n">
        <v>2</v>
      </c>
      <c r="H27" s="3" t="n">
        <v>2</v>
      </c>
      <c r="I27" s="3" t="n">
        <v>2</v>
      </c>
      <c r="J27" s="3" t="n">
        <v>2</v>
      </c>
      <c r="K27" s="3" t="n">
        <v>2</v>
      </c>
      <c r="L27" s="3" t="n">
        <v>2</v>
      </c>
    </row>
    <row r="28" customFormat="false" ht="15" hidden="false" customHeight="false" outlineLevel="0" collapsed="false">
      <c r="A28" s="0" t="s">
        <v>97</v>
      </c>
      <c r="C28" s="3" t="n">
        <v>24.4</v>
      </c>
      <c r="D28" s="3" t="n">
        <v>25</v>
      </c>
      <c r="E28" s="3" t="n">
        <v>25.2</v>
      </c>
      <c r="F28" s="3" t="n">
        <v>25.3</v>
      </c>
      <c r="G28" s="3" t="n">
        <v>25.3</v>
      </c>
      <c r="H28" s="3" t="n">
        <v>25.3</v>
      </c>
      <c r="I28" s="3" t="n">
        <v>25.3</v>
      </c>
      <c r="J28" s="3" t="n">
        <v>25.3</v>
      </c>
      <c r="K28" s="3" t="n">
        <v>25.3</v>
      </c>
      <c r="L28" s="3" t="n">
        <v>25.3</v>
      </c>
    </row>
    <row r="29" customFormat="false" ht="15" hidden="false" customHeight="false" outlineLevel="0" collapsed="false">
      <c r="A29" s="0" t="s">
        <v>98</v>
      </c>
      <c r="C29" s="3" t="n">
        <v>0.03</v>
      </c>
      <c r="D29" s="3" t="n">
        <v>0.03</v>
      </c>
      <c r="E29" s="3" t="n">
        <v>0.03</v>
      </c>
      <c r="F29" s="3" t="n">
        <v>0.03</v>
      </c>
      <c r="G29" s="3" t="n">
        <v>0.03</v>
      </c>
      <c r="H29" s="3" t="n">
        <v>0.03</v>
      </c>
      <c r="I29" s="3" t="n">
        <v>0.03</v>
      </c>
      <c r="J29" s="3" t="n">
        <v>0.03</v>
      </c>
      <c r="K29" s="3" t="n">
        <v>0.03</v>
      </c>
      <c r="L29" s="3" t="n">
        <v>0.03</v>
      </c>
    </row>
    <row r="30" customFormat="false" ht="15" hidden="false" customHeight="false" outlineLevel="0" collapsed="false">
      <c r="A30" s="0" t="s">
        <v>99</v>
      </c>
      <c r="C30" s="3" t="n">
        <v>3.7</v>
      </c>
      <c r="D30" s="3" t="n">
        <v>3.7</v>
      </c>
      <c r="E30" s="3" t="n">
        <v>3.6</v>
      </c>
      <c r="F30" s="3" t="n">
        <v>3.6</v>
      </c>
      <c r="G30" s="3" t="n">
        <v>3.5</v>
      </c>
      <c r="H30" s="3" t="n">
        <v>3.5</v>
      </c>
      <c r="I30" s="3" t="n">
        <v>3.5</v>
      </c>
      <c r="J30" s="3" t="n">
        <v>3.5</v>
      </c>
      <c r="K30" s="3" t="n">
        <v>3.5</v>
      </c>
      <c r="L30" s="3" t="n">
        <v>3.5</v>
      </c>
    </row>
    <row r="31" customFormat="false" ht="15" hidden="false" customHeight="false" outlineLevel="0" collapsed="false">
      <c r="A31" s="0" t="s">
        <v>100</v>
      </c>
      <c r="C31" s="3" t="n">
        <v>17</v>
      </c>
      <c r="D31" s="3" t="n">
        <v>16.6</v>
      </c>
      <c r="E31" s="3" t="n">
        <v>16.2</v>
      </c>
      <c r="F31" s="3" t="n">
        <v>15.8</v>
      </c>
      <c r="G31" s="3" t="n">
        <v>15.4</v>
      </c>
      <c r="H31" s="3" t="n">
        <v>15</v>
      </c>
      <c r="I31" s="3" t="n">
        <v>14.7</v>
      </c>
      <c r="J31" s="3" t="n">
        <v>14.4</v>
      </c>
      <c r="K31" s="3" t="n">
        <v>14.2</v>
      </c>
      <c r="L31" s="3" t="n">
        <v>14</v>
      </c>
    </row>
    <row r="32" customFormat="false" ht="15" hidden="false" customHeight="false" outlineLevel="0" collapsed="false">
      <c r="A32" s="0" t="s">
        <v>101</v>
      </c>
      <c r="C32" s="3" t="n">
        <v>15.8</v>
      </c>
      <c r="D32" s="3" t="n">
        <v>14.8</v>
      </c>
      <c r="E32" s="3" t="n">
        <v>14.2</v>
      </c>
      <c r="F32" s="3" t="n">
        <v>13.8</v>
      </c>
      <c r="G32" s="3" t="n">
        <v>13.5</v>
      </c>
      <c r="H32" s="3" t="n">
        <v>13.5</v>
      </c>
      <c r="I32" s="3" t="n">
        <v>13.5</v>
      </c>
      <c r="J32" s="3" t="n">
        <v>13.5</v>
      </c>
      <c r="K32" s="3" t="n">
        <v>13.5</v>
      </c>
      <c r="L32" s="3" t="n">
        <v>13.5</v>
      </c>
    </row>
    <row r="33" customFormat="false" ht="15" hidden="false" customHeight="false" outlineLevel="0" collapsed="false">
      <c r="A33" s="0" t="s">
        <v>102</v>
      </c>
      <c r="C33" s="3" t="n">
        <v>18</v>
      </c>
      <c r="D33" s="3" t="n">
        <v>18</v>
      </c>
      <c r="E33" s="3" t="n">
        <v>18</v>
      </c>
      <c r="F33" s="3" t="n">
        <v>18</v>
      </c>
      <c r="G33" s="3" t="n">
        <v>18</v>
      </c>
      <c r="H33" s="3" t="n">
        <v>18</v>
      </c>
      <c r="I33" s="3" t="n">
        <v>18</v>
      </c>
      <c r="J33" s="3" t="n">
        <v>18</v>
      </c>
      <c r="K33" s="3" t="n">
        <v>18</v>
      </c>
      <c r="L33" s="3" t="n">
        <v>18</v>
      </c>
    </row>
    <row r="34" customFormat="false" ht="15" hidden="false" customHeight="false" outlineLevel="0" collapsed="false">
      <c r="A34" s="0" t="s">
        <v>103</v>
      </c>
      <c r="B34" s="3" t="n">
        <v>9</v>
      </c>
    </row>
    <row r="35" customFormat="false" ht="15" hidden="false" customHeight="false" outlineLevel="0" collapsed="false">
      <c r="A35" s="0" t="s">
        <v>104</v>
      </c>
      <c r="B35" s="3" t="n">
        <v>2</v>
      </c>
    </row>
    <row r="36" customFormat="false" ht="15" hidden="false" customHeight="false" outlineLevel="0" collapsed="false">
      <c r="A36" s="0" t="s">
        <v>105</v>
      </c>
      <c r="B36" s="3" t="n">
        <v>12</v>
      </c>
    </row>
    <row r="37" customFormat="false" ht="15" hidden="false" customHeight="false" outlineLevel="0" collapsed="false">
      <c r="A37" s="0" t="s">
        <v>106</v>
      </c>
      <c r="B37" s="3" t="n">
        <v>-40</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2</v>
      </c>
      <c r="D41" s="3" t="n">
        <v>2.5</v>
      </c>
      <c r="E41" s="3" t="n">
        <v>3</v>
      </c>
      <c r="F41" s="3" t="n">
        <v>3.5</v>
      </c>
      <c r="G41" s="3" t="n">
        <v>3.5</v>
      </c>
      <c r="H41" s="3" t="n">
        <v>3</v>
      </c>
      <c r="I41" s="3" t="n">
        <v>3</v>
      </c>
      <c r="J41" s="3" t="n">
        <v>3</v>
      </c>
      <c r="K41" s="3" t="n">
        <v>2.5</v>
      </c>
      <c r="L41" s="3" t="n">
        <v>2.5</v>
      </c>
    </row>
    <row r="42" customFormat="false" ht="15" hidden="false" customHeight="false" outlineLevel="0" collapsed="false">
      <c r="A42" s="0" t="s">
        <v>97</v>
      </c>
      <c r="C42" s="3" t="n">
        <v>24.8</v>
      </c>
      <c r="D42" s="3" t="n">
        <v>25.6</v>
      </c>
      <c r="E42" s="3" t="n">
        <v>26</v>
      </c>
      <c r="F42" s="3" t="n">
        <v>26.3</v>
      </c>
      <c r="G42" s="3" t="n">
        <v>26.5</v>
      </c>
      <c r="H42" s="3" t="n">
        <v>26.5</v>
      </c>
      <c r="I42" s="3" t="n">
        <v>26.5</v>
      </c>
      <c r="J42" s="3" t="n">
        <v>26.5</v>
      </c>
      <c r="K42" s="3" t="n">
        <v>26.5</v>
      </c>
      <c r="L42" s="3" t="n">
        <v>26.5</v>
      </c>
    </row>
    <row r="43" customFormat="false" ht="15" hidden="false" customHeight="false" outlineLevel="0" collapsed="false">
      <c r="A43" s="0" t="s">
        <v>98</v>
      </c>
      <c r="C43" s="3" t="n">
        <v>0.03</v>
      </c>
      <c r="D43" s="3" t="n">
        <v>0.03</v>
      </c>
      <c r="E43" s="3" t="n">
        <v>0.03</v>
      </c>
      <c r="F43" s="3" t="n">
        <v>0.03</v>
      </c>
      <c r="G43" s="3" t="n">
        <v>0.03</v>
      </c>
      <c r="H43" s="3" t="n">
        <v>0.03</v>
      </c>
      <c r="I43" s="3" t="n">
        <v>0.03</v>
      </c>
      <c r="J43" s="3" t="n">
        <v>0.03</v>
      </c>
      <c r="K43" s="3" t="n">
        <v>0.03</v>
      </c>
      <c r="L43" s="3" t="n">
        <v>0.03</v>
      </c>
    </row>
    <row r="44" customFormat="false" ht="15" hidden="false" customHeight="false" outlineLevel="0" collapsed="false">
      <c r="A44" s="0" t="s">
        <v>99</v>
      </c>
      <c r="C44" s="3" t="n">
        <v>3.6</v>
      </c>
      <c r="D44" s="3" t="n">
        <v>3.5</v>
      </c>
      <c r="E44" s="3" t="n">
        <v>3.5</v>
      </c>
      <c r="F44" s="3" t="n">
        <v>3.4</v>
      </c>
      <c r="G44" s="3" t="n">
        <v>3.4</v>
      </c>
      <c r="H44" s="3" t="n">
        <v>3.3</v>
      </c>
      <c r="I44" s="3" t="n">
        <v>3.3</v>
      </c>
      <c r="J44" s="3" t="n">
        <v>3.3</v>
      </c>
      <c r="K44" s="3" t="n">
        <v>3.3</v>
      </c>
      <c r="L44" s="3" t="n">
        <v>3.3</v>
      </c>
    </row>
    <row r="45" customFormat="false" ht="15" hidden="false" customHeight="false" outlineLevel="0" collapsed="false">
      <c r="A45" s="0" t="s">
        <v>100</v>
      </c>
      <c r="C45" s="3" t="n">
        <v>17</v>
      </c>
      <c r="D45" s="3" t="n">
        <v>16.4</v>
      </c>
      <c r="E45" s="3" t="n">
        <v>15.8</v>
      </c>
      <c r="F45" s="3" t="n">
        <v>15.3</v>
      </c>
      <c r="G45" s="3" t="n">
        <v>14.8</v>
      </c>
      <c r="H45" s="3" t="n">
        <v>14.4</v>
      </c>
      <c r="I45" s="3" t="n">
        <v>14.1</v>
      </c>
      <c r="J45" s="3" t="n">
        <v>13.8</v>
      </c>
      <c r="K45" s="3" t="n">
        <v>13.6</v>
      </c>
      <c r="L45" s="3" t="n">
        <v>13.5</v>
      </c>
    </row>
    <row r="46" customFormat="false" ht="15" hidden="false" customHeight="false" outlineLevel="0" collapsed="false">
      <c r="A46" s="0" t="s">
        <v>101</v>
      </c>
      <c r="C46" s="3" t="n">
        <v>15.3</v>
      </c>
      <c r="D46" s="3" t="n">
        <v>14.3</v>
      </c>
      <c r="E46" s="3" t="n">
        <v>13.5</v>
      </c>
      <c r="F46" s="3" t="n">
        <v>13</v>
      </c>
      <c r="G46" s="3" t="n">
        <v>12.7</v>
      </c>
      <c r="H46" s="3" t="n">
        <v>12.5</v>
      </c>
      <c r="I46" s="3" t="n">
        <v>12.5</v>
      </c>
      <c r="J46" s="3" t="n">
        <v>12.5</v>
      </c>
      <c r="K46" s="3" t="n">
        <v>12.5</v>
      </c>
      <c r="L46" s="3" t="n">
        <v>12.5</v>
      </c>
    </row>
    <row r="47" customFormat="false" ht="15" hidden="false" customHeight="false" outlineLevel="0" collapsed="false">
      <c r="A47" s="0" t="s">
        <v>102</v>
      </c>
      <c r="C47" s="3" t="n">
        <v>17</v>
      </c>
      <c r="D47" s="3" t="n">
        <v>17</v>
      </c>
      <c r="E47" s="3" t="n">
        <v>17</v>
      </c>
      <c r="F47" s="3" t="n">
        <v>17</v>
      </c>
      <c r="G47" s="3" t="n">
        <v>17</v>
      </c>
      <c r="H47" s="3" t="n">
        <v>17</v>
      </c>
      <c r="I47" s="3" t="n">
        <v>17</v>
      </c>
      <c r="J47" s="3" t="n">
        <v>17</v>
      </c>
      <c r="K47" s="3" t="n">
        <v>17</v>
      </c>
      <c r="L47" s="3" t="n">
        <v>17</v>
      </c>
    </row>
    <row r="48" customFormat="false" ht="15" hidden="false" customHeight="false" outlineLevel="0" collapsed="false">
      <c r="A48" s="0" t="s">
        <v>103</v>
      </c>
      <c r="B48" s="3" t="n">
        <v>9</v>
      </c>
    </row>
    <row r="49" customFormat="false" ht="15" hidden="false" customHeight="false" outlineLevel="0" collapsed="false">
      <c r="A49" s="0" t="s">
        <v>104</v>
      </c>
      <c r="B49" s="3" t="n">
        <v>2.5</v>
      </c>
    </row>
    <row r="50" customFormat="false" ht="15" hidden="false" customHeight="false" outlineLevel="0" collapsed="false">
      <c r="A50" s="0" t="s">
        <v>105</v>
      </c>
      <c r="B50" s="3" t="n">
        <v>14</v>
      </c>
    </row>
    <row r="51" customFormat="false" ht="15" hidden="false" customHeight="false" outlineLevel="0" collapsed="false">
      <c r="A51" s="0" t="s">
        <v>106</v>
      </c>
      <c r="B51" s="3" t="n">
        <v>-30</v>
      </c>
    </row>
    <row r="52" customFormat="false" ht="15" hidden="false" customHeight="false" outlineLevel="0" collapsed="false">
      <c r="A52" s="0" t="s">
        <v>107</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0</v>
      </c>
      <c r="D5" s="4" t="n">
        <f aca="false">Assumptions!D13</f>
        <v>0</v>
      </c>
      <c r="E5" s="4" t="n">
        <f aca="false">Assumptions!E13</f>
        <v>0.5</v>
      </c>
      <c r="F5" s="4" t="n">
        <f aca="false">Assumptions!F13</f>
        <v>0.5</v>
      </c>
      <c r="G5" s="4" t="n">
        <f aca="false">Assumptions!G13</f>
        <v>1</v>
      </c>
      <c r="H5" s="4" t="n">
        <f aca="false">Assumptions!H13</f>
        <v>1</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38</v>
      </c>
      <c r="B6" s="3" t="n">
        <v>392223</v>
      </c>
      <c r="C6" s="0" t="n">
        <f aca="false">B6*(1+C5/100)</f>
        <v>392223</v>
      </c>
      <c r="D6" s="0" t="n">
        <f aca="false">C6*(1+D5/100)</f>
        <v>392223</v>
      </c>
      <c r="E6" s="0" t="n">
        <f aca="false">D6*(1+E5/100)</f>
        <v>394184.115</v>
      </c>
      <c r="F6" s="0" t="n">
        <f aca="false">E6*(1+F5/100)</f>
        <v>396155.035575</v>
      </c>
      <c r="G6" s="0" t="n">
        <f aca="false">F6*(1+G5/100)</f>
        <v>400116.58593075</v>
      </c>
      <c r="H6" s="0" t="n">
        <f aca="false">G6*(1+H5/100)</f>
        <v>404117.751790057</v>
      </c>
      <c r="I6" s="0" t="n">
        <f aca="false">H6*(1+I5/100)</f>
        <v>408158.929307958</v>
      </c>
      <c r="J6" s="0" t="n">
        <f aca="false">I6*(1+J5/100)</f>
        <v>412240.518601038</v>
      </c>
      <c r="K6" s="0" t="n">
        <f aca="false">J6*(1+K5/100)</f>
        <v>416362.923787048</v>
      </c>
      <c r="L6" s="0" t="n">
        <f aca="false">K6*(1+L5/100)</f>
        <v>420526.553024919</v>
      </c>
    </row>
    <row r="7" customFormat="false" ht="15" hidden="false" customHeight="false" outlineLevel="0" collapsed="false">
      <c r="A7" s="0" t="s">
        <v>97</v>
      </c>
      <c r="C7" s="4" t="n">
        <f aca="false">Assumptions!C14</f>
        <v>23.6</v>
      </c>
      <c r="D7" s="4" t="n">
        <f aca="false">Assumptions!D14</f>
        <v>23.3</v>
      </c>
      <c r="E7" s="4" t="n">
        <f aca="false">Assumptions!E14</f>
        <v>23</v>
      </c>
      <c r="F7" s="4" t="n">
        <f aca="false">Assumptions!F14</f>
        <v>23</v>
      </c>
      <c r="G7" s="4" t="n">
        <f aca="false">Assumptions!G14</f>
        <v>23</v>
      </c>
      <c r="H7" s="4" t="n">
        <f aca="false">Assumptions!H14</f>
        <v>23</v>
      </c>
      <c r="I7" s="4" t="n">
        <f aca="false">Assumptions!I14</f>
        <v>23</v>
      </c>
      <c r="J7" s="4" t="n">
        <f aca="false">Assumptions!J14</f>
        <v>23</v>
      </c>
      <c r="K7" s="4" t="n">
        <f aca="false">Assumptions!K14</f>
        <v>23</v>
      </c>
      <c r="L7" s="4" t="n">
        <f aca="false">Assumptions!L14</f>
        <v>23</v>
      </c>
    </row>
    <row r="8" customFormat="false" ht="15" hidden="false" customHeight="false" outlineLevel="0" collapsed="false">
      <c r="A8" s="0" t="s">
        <v>44</v>
      </c>
      <c r="C8" s="0" t="n">
        <f aca="false">C6*C7/100</f>
        <v>92564.628</v>
      </c>
      <c r="D8" s="0" t="n">
        <f aca="false">D6*D7/100</f>
        <v>91387.959</v>
      </c>
      <c r="E8" s="0" t="n">
        <f aca="false">E6*E7/100</f>
        <v>90662.34645</v>
      </c>
      <c r="F8" s="0" t="n">
        <f aca="false">F6*F7/100</f>
        <v>91115.65818225</v>
      </c>
      <c r="G8" s="0" t="n">
        <f aca="false">G6*G7/100</f>
        <v>92026.8147640725</v>
      </c>
      <c r="H8" s="0" t="n">
        <f aca="false">H6*H7/100</f>
        <v>92947.0829117132</v>
      </c>
      <c r="I8" s="0" t="n">
        <f aca="false">I6*I7/100</f>
        <v>93876.5537408304</v>
      </c>
      <c r="J8" s="0" t="n">
        <f aca="false">J6*J7/100</f>
        <v>94815.3192782386</v>
      </c>
      <c r="K8" s="0" t="n">
        <f aca="false">K6*K7/100</f>
        <v>95763.472471021</v>
      </c>
      <c r="L8" s="0" t="n">
        <f aca="false">L6*L7/100</f>
        <v>96721.1071957313</v>
      </c>
    </row>
    <row r="9" customFormat="false" ht="15" hidden="false" customHeight="false" outlineLevel="0" collapsed="false">
      <c r="A9" s="0" t="s">
        <v>98</v>
      </c>
      <c r="C9" s="4" t="n">
        <f aca="false">Assumptions!C15</f>
        <v>0.03</v>
      </c>
      <c r="D9" s="4" t="n">
        <f aca="false">Assumptions!D15</f>
        <v>0.03</v>
      </c>
      <c r="E9" s="4" t="n">
        <f aca="false">Assumptions!E15</f>
        <v>0.03</v>
      </c>
      <c r="F9" s="4" t="n">
        <f aca="false">Assumptions!F15</f>
        <v>0.03</v>
      </c>
      <c r="G9" s="4" t="n">
        <f aca="false">Assumptions!G15</f>
        <v>0.03</v>
      </c>
      <c r="H9" s="4" t="n">
        <f aca="false">Assumptions!H15</f>
        <v>0.03</v>
      </c>
      <c r="I9" s="4" t="n">
        <f aca="false">Assumptions!I15</f>
        <v>0.03</v>
      </c>
      <c r="J9" s="4" t="n">
        <f aca="false">Assumptions!J15</f>
        <v>0.03</v>
      </c>
      <c r="K9" s="4" t="n">
        <f aca="false">Assumptions!K15</f>
        <v>0.03</v>
      </c>
      <c r="L9" s="4" t="n">
        <f aca="false">Assumptions!L15</f>
        <v>0.03</v>
      </c>
    </row>
    <row r="10" customFormat="false" ht="15" hidden="false" customHeight="false" outlineLevel="0" collapsed="false">
      <c r="A10" s="0" t="s">
        <v>113</v>
      </c>
      <c r="C10" s="0" t="n">
        <f aca="false">-C6*C9/100</f>
        <v>-117.6669</v>
      </c>
      <c r="D10" s="0" t="n">
        <f aca="false">-D6*D9/100</f>
        <v>-117.6669</v>
      </c>
      <c r="E10" s="0" t="n">
        <f aca="false">-E6*E9/100</f>
        <v>-118.2552345</v>
      </c>
      <c r="F10" s="0" t="n">
        <f aca="false">-F6*F9/100</f>
        <v>-118.8465106725</v>
      </c>
      <c r="G10" s="0" t="n">
        <f aca="false">-G6*G9/100</f>
        <v>-120.034975779225</v>
      </c>
      <c r="H10" s="0" t="n">
        <f aca="false">-H6*H9/100</f>
        <v>-121.235325537017</v>
      </c>
      <c r="I10" s="0" t="n">
        <f aca="false">-I6*I9/100</f>
        <v>-122.447678792387</v>
      </c>
      <c r="J10" s="0" t="n">
        <f aca="false">-J6*J9/100</f>
        <v>-123.672155580311</v>
      </c>
      <c r="K10" s="0" t="n">
        <f aca="false">-K6*K9/100</f>
        <v>-124.908877136114</v>
      </c>
      <c r="L10" s="0" t="n">
        <f aca="false">-L6*L9/100</f>
        <v>-126.157965907476</v>
      </c>
    </row>
    <row r="11" customFormat="false" ht="15" hidden="false" customHeight="false" outlineLevel="0" collapsed="false">
      <c r="A11" s="0" t="s">
        <v>114</v>
      </c>
      <c r="C11" s="0" t="n">
        <f aca="false">C8+C10+C24</f>
        <v>77542.4871</v>
      </c>
      <c r="D11" s="0" t="n">
        <f aca="false">D8+D10+D24</f>
        <v>76365.8181</v>
      </c>
      <c r="E11" s="0" t="n">
        <f aca="false">E8+E10+E24</f>
        <v>75565.0948455</v>
      </c>
      <c r="F11" s="0" t="n">
        <f aca="false">F8+F10+F24</f>
        <v>75942.9203197275</v>
      </c>
      <c r="G11" s="0" t="n">
        <f aca="false">G8+G10+G24</f>
        <v>76702.3495229247</v>
      </c>
      <c r="H11" s="0" t="n">
        <f aca="false">H8+H10+H24</f>
        <v>77469.373018154</v>
      </c>
      <c r="I11" s="0" t="n">
        <f aca="false">I8+I10+I24</f>
        <v>78244.0667483356</v>
      </c>
      <c r="J11" s="0" t="n">
        <f aca="false">J8+J10+J24</f>
        <v>79026.5074158189</v>
      </c>
      <c r="K11" s="0" t="n">
        <f aca="false">K8+K10+K24</f>
        <v>79816.7724899771</v>
      </c>
      <c r="L11" s="0" t="n">
        <f aca="false">L8+L10+L24</f>
        <v>80614.9402148769</v>
      </c>
    </row>
    <row r="12" customFormat="false" ht="15" hidden="false" customHeight="false" outlineLevel="0" collapsed="false">
      <c r="A12" s="0" t="s">
        <v>115</v>
      </c>
      <c r="C12" s="4" t="n">
        <f aca="false">-C6*Assumptions!C17/100</f>
        <v>-67462.356</v>
      </c>
      <c r="D12" s="4" t="n">
        <f aca="false">-D6*Assumptions!D17/100</f>
        <v>-66677.91</v>
      </c>
      <c r="E12" s="4" t="n">
        <f aca="false">-E6*Assumptions!E17/100</f>
        <v>-65828.747205</v>
      </c>
      <c r="F12" s="4" t="n">
        <f aca="false">-F6*Assumptions!F17/100</f>
        <v>-64969.4258343</v>
      </c>
      <c r="G12" s="4" t="n">
        <f aca="false">-G6*Assumptions!G17/100</f>
        <v>-64418.7703348507</v>
      </c>
      <c r="H12" s="4" t="n">
        <f aca="false">-H6*Assumptions!H17/100</f>
        <v>-63850.6047828291</v>
      </c>
      <c r="I12" s="4" t="n">
        <f aca="false">-I6*Assumptions!I17/100</f>
        <v>-63672.7929720414</v>
      </c>
      <c r="J12" s="4" t="n">
        <f aca="false">-J6*Assumptions!J17/100</f>
        <v>-63485.0398645598</v>
      </c>
      <c r="K12" s="4" t="n">
        <f aca="false">-K6*Assumptions!K17/100</f>
        <v>-63287.1644156313</v>
      </c>
      <c r="L12" s="4" t="n">
        <f aca="false">-L6*Assumptions!L17/100</f>
        <v>-63078.9829537378</v>
      </c>
    </row>
    <row r="13" customFormat="false" ht="15" hidden="false" customHeight="false" outlineLevel="0" collapsed="false">
      <c r="A13" s="0" t="s">
        <v>116</v>
      </c>
      <c r="C13" s="0" t="n">
        <f aca="false">C11+C12</f>
        <v>10080.1311</v>
      </c>
      <c r="D13" s="0" t="n">
        <f aca="false">D11+D12</f>
        <v>9687.9081</v>
      </c>
      <c r="E13" s="0" t="n">
        <f aca="false">E11+E12</f>
        <v>9736.3476405</v>
      </c>
      <c r="F13" s="0" t="n">
        <f aca="false">F11+F12</f>
        <v>10973.4944854275</v>
      </c>
      <c r="G13" s="0" t="n">
        <f aca="false">G11+G12</f>
        <v>12283.579188074</v>
      </c>
      <c r="H13" s="0" t="n">
        <f aca="false">H11+H12</f>
        <v>13618.7682353249</v>
      </c>
      <c r="I13" s="0" t="n">
        <f aca="false">I11+I12</f>
        <v>14571.2737762941</v>
      </c>
      <c r="J13" s="0" t="n">
        <f aca="false">J11+J12</f>
        <v>15541.4675512591</v>
      </c>
      <c r="K13" s="0" t="n">
        <f aca="false">K11+K12</f>
        <v>16529.6080743458</v>
      </c>
      <c r="L13" s="0" t="n">
        <f aca="false">L11+L12</f>
        <v>17535.9572611391</v>
      </c>
    </row>
    <row r="14" customFormat="false" ht="15" hidden="false" customHeight="false" outlineLevel="0" collapsed="false">
      <c r="A14" s="0" t="s">
        <v>102</v>
      </c>
      <c r="C14" s="4" t="n">
        <f aca="false">Assumptions!C19</f>
        <v>20</v>
      </c>
      <c r="D14" s="4" t="n">
        <f aca="false">Assumptions!D19</f>
        <v>20</v>
      </c>
      <c r="E14" s="4" t="n">
        <f aca="false">Assumptions!E19</f>
        <v>20</v>
      </c>
      <c r="F14" s="4" t="n">
        <f aca="false">Assumptions!F19</f>
        <v>20</v>
      </c>
      <c r="G14" s="4" t="n">
        <f aca="false">Assumptions!G19</f>
        <v>20</v>
      </c>
      <c r="H14" s="4" t="n">
        <f aca="false">Assumptions!H19</f>
        <v>20</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117</v>
      </c>
      <c r="C15" s="0" t="n">
        <f aca="false">C13-MAX(0,C13)*C14/100</f>
        <v>8064.10488000001</v>
      </c>
      <c r="D15" s="0" t="n">
        <f aca="false">D13-MAX(0,D13)*D14/100</f>
        <v>7750.32648</v>
      </c>
      <c r="E15" s="0" t="n">
        <f aca="false">E13-MAX(0,E13)*E14/100</f>
        <v>7789.0781124</v>
      </c>
      <c r="F15" s="0" t="n">
        <f aca="false">F13-MAX(0,F13)*F14/100</f>
        <v>8778.795588342</v>
      </c>
      <c r="G15" s="0" t="n">
        <f aca="false">G13-MAX(0,G13)*G14/100</f>
        <v>9826.8633504592</v>
      </c>
      <c r="H15" s="0" t="n">
        <f aca="false">H13-MAX(0,H13)*H14/100</f>
        <v>10895.0145882599</v>
      </c>
      <c r="I15" s="0" t="n">
        <f aca="false">I13-MAX(0,I13)*I14/100</f>
        <v>11657.0190210353</v>
      </c>
      <c r="J15" s="0" t="n">
        <f aca="false">J13-MAX(0,J13)*J14/100</f>
        <v>12433.1740410073</v>
      </c>
      <c r="K15" s="0" t="n">
        <f aca="false">K13-MAX(0,K13)*K14/100</f>
        <v>13223.6864594767</v>
      </c>
      <c r="L15" s="0" t="n">
        <f aca="false">L13-MAX(0,L13)*L14/100</f>
        <v>14028.7658089113</v>
      </c>
    </row>
    <row r="16" customFormat="false" ht="15" hidden="false" customHeight="false" outlineLevel="0" collapsed="false">
      <c r="A16" s="0" t="s">
        <v>118</v>
      </c>
      <c r="C16" s="0" t="n">
        <f aca="false">-C12</f>
        <v>67462.356</v>
      </c>
      <c r="D16" s="0" t="n">
        <f aca="false">-D12</f>
        <v>66677.91</v>
      </c>
      <c r="E16" s="0" t="n">
        <f aca="false">-E12</f>
        <v>65828.747205</v>
      </c>
      <c r="F16" s="0" t="n">
        <f aca="false">-F12</f>
        <v>64969.4258343</v>
      </c>
      <c r="G16" s="0" t="n">
        <f aca="false">-G12</f>
        <v>64418.7703348507</v>
      </c>
      <c r="H16" s="0" t="n">
        <f aca="false">-H12</f>
        <v>63850.6047828291</v>
      </c>
      <c r="I16" s="0" t="n">
        <f aca="false">-I12</f>
        <v>63672.7929720414</v>
      </c>
      <c r="J16" s="0" t="n">
        <f aca="false">-J12</f>
        <v>63485.0398645598</v>
      </c>
      <c r="K16" s="0" t="n">
        <f aca="false">-K12</f>
        <v>63287.1644156313</v>
      </c>
      <c r="L16" s="0" t="n">
        <f aca="false">-L12</f>
        <v>63078.9829537378</v>
      </c>
    </row>
    <row r="17" customFormat="false" ht="15" hidden="false" customHeight="false" outlineLevel="0" collapsed="false">
      <c r="A17" s="0" t="s">
        <v>119</v>
      </c>
      <c r="C17" s="4" t="n">
        <f aca="false">-C6*Assumptions!C18/100</f>
        <v>-63540.126</v>
      </c>
      <c r="D17" s="4" t="n">
        <f aca="false">-D6*Assumptions!D18/100</f>
        <v>-61186.788</v>
      </c>
      <c r="E17" s="4" t="n">
        <f aca="false">-E6*Assumptions!E18/100</f>
        <v>-60310.169595</v>
      </c>
      <c r="F17" s="4" t="n">
        <f aca="false">-F6*Assumptions!F18/100</f>
        <v>-59423.25533625</v>
      </c>
      <c r="G17" s="4" t="n">
        <f aca="false">-G6*Assumptions!G18/100</f>
        <v>-60017.4878896125</v>
      </c>
      <c r="H17" s="4" t="n">
        <f aca="false">-H6*Assumptions!H18/100</f>
        <v>-60617.6627685086</v>
      </c>
      <c r="I17" s="4" t="n">
        <f aca="false">-I6*Assumptions!I18/100</f>
        <v>-61223.8393961937</v>
      </c>
      <c r="J17" s="4" t="n">
        <f aca="false">-J6*Assumptions!J18/100</f>
        <v>-61836.0777901556</v>
      </c>
      <c r="K17" s="4" t="n">
        <f aca="false">-K6*Assumptions!K18/100</f>
        <v>-62454.4385680572</v>
      </c>
      <c r="L17" s="4" t="n">
        <f aca="false">-L6*Assumptions!L18/100</f>
        <v>-63078.9829537378</v>
      </c>
    </row>
    <row r="18" customFormat="false" ht="15" hidden="false" customHeight="false" outlineLevel="0" collapsed="false">
      <c r="A18" s="0" t="s">
        <v>120</v>
      </c>
      <c r="C18" s="4" t="n">
        <f aca="false">(C6-B6)*Assumptions!$B$23/100</f>
        <v>-0</v>
      </c>
      <c r="D18" s="4" t="n">
        <f aca="false">(D6-C6)*Assumptions!$B$23/100</f>
        <v>-0</v>
      </c>
      <c r="E18" s="4" t="n">
        <f aca="false">(E6-D6)*Assumptions!$B$23/100</f>
        <v>-1176.66899999996</v>
      </c>
      <c r="F18" s="4" t="n">
        <f aca="false">(F6-E6)*Assumptions!$B$23/100</f>
        <v>-1182.55234499996</v>
      </c>
      <c r="G18" s="4" t="n">
        <f aca="false">(G6-F6)*Assumptions!$B$23/100</f>
        <v>-2376.93021345001</v>
      </c>
      <c r="H18" s="4" t="n">
        <f aca="false">(H6-G6)*Assumptions!$B$23/100</f>
        <v>-2400.69951558451</v>
      </c>
      <c r="I18" s="4" t="n">
        <f aca="false">(I6-H6)*Assumptions!$B$23/100</f>
        <v>-2424.70651074036</v>
      </c>
      <c r="J18" s="4" t="n">
        <f aca="false">(J6-I6)*Assumptions!$B$23/100</f>
        <v>-2448.95357584774</v>
      </c>
      <c r="K18" s="4" t="n">
        <f aca="false">(K6-J6)*Assumptions!$B$23/100</f>
        <v>-2473.44311160625</v>
      </c>
      <c r="L18" s="4" t="n">
        <f aca="false">(L6-K6)*Assumptions!$B$23/100</f>
        <v>-2498.17754272231</v>
      </c>
    </row>
    <row r="19" customFormat="false" ht="15" hidden="false" customHeight="false" outlineLevel="0" collapsed="false">
      <c r="A19" s="0" t="s">
        <v>121</v>
      </c>
      <c r="C19" s="0" t="n">
        <f aca="false">C15+C16+C17+C18</f>
        <v>11986.33488</v>
      </c>
      <c r="D19" s="0" t="n">
        <f aca="false">D15+D16+D17+D18</f>
        <v>13241.44848</v>
      </c>
      <c r="E19" s="0" t="n">
        <f aca="false">E15+E16+E17+E18</f>
        <v>12130.9867224</v>
      </c>
      <c r="F19" s="0" t="n">
        <f aca="false">F15+F16+F17+F18</f>
        <v>13142.413741392</v>
      </c>
      <c r="G19" s="0" t="n">
        <f aca="false">G15+G16+G17+G18</f>
        <v>11851.2155822474</v>
      </c>
      <c r="H19" s="0" t="n">
        <f aca="false">H15+H16+H17+H18</f>
        <v>11727.2570869959</v>
      </c>
      <c r="I19" s="0" t="n">
        <f aca="false">I15+I16+I17+I18</f>
        <v>11681.2660861427</v>
      </c>
      <c r="J19" s="0" t="n">
        <f aca="false">J15+J16+J17+J18</f>
        <v>11633.1825395637</v>
      </c>
      <c r="K19" s="0" t="n">
        <f aca="false">K15+K16+K17+K18</f>
        <v>11582.9691954445</v>
      </c>
      <c r="L19" s="0" t="n">
        <f aca="false">L15+L16+L17+L18</f>
        <v>11530.588266189</v>
      </c>
    </row>
    <row r="20" customFormat="false" ht="15" hidden="false" customHeight="false" outlineLevel="0" collapsed="false">
      <c r="A20" s="0" t="s">
        <v>122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123</v>
      </c>
      <c r="C21" s="0" t="n">
        <f aca="false">C19*C20</f>
        <v>10996.6375045872</v>
      </c>
      <c r="D21" s="0" t="n">
        <f aca="false">D19*D20</f>
        <v>11145.0622674859</v>
      </c>
      <c r="E21" s="0" t="n">
        <f aca="false">E19*E20</f>
        <v>9367.34754387742</v>
      </c>
      <c r="F21" s="0" t="n">
        <f aca="false">F19*F20</f>
        <v>9310.41722865177</v>
      </c>
      <c r="G21" s="0" t="n">
        <f aca="false">G19*G20</f>
        <v>7702.47697269063</v>
      </c>
      <c r="H21" s="0" t="n">
        <f aca="false">H19*H20</f>
        <v>6992.58023488838</v>
      </c>
      <c r="I21" s="0" t="n">
        <f aca="false">I19*I20</f>
        <v>6390.05257224691</v>
      </c>
      <c r="J21" s="0" t="n">
        <f aca="false">J19*J20</f>
        <v>5838.30204188504</v>
      </c>
      <c r="K21" s="0" t="n">
        <f aca="false">K19*K20</f>
        <v>5333.12078686423</v>
      </c>
      <c r="L21" s="0" t="n">
        <f aca="false">L19*L20</f>
        <v>4870.64509350285</v>
      </c>
    </row>
    <row r="23" customFormat="false" ht="15" hidden="false" customHeight="false" outlineLevel="0" collapsed="false">
      <c r="A23" s="0" t="s">
        <v>99</v>
      </c>
      <c r="C23" s="4" t="n">
        <f aca="false">Assumptions!C16</f>
        <v>3.8</v>
      </c>
      <c r="D23" s="4" t="n">
        <f aca="false">Assumptions!D16</f>
        <v>3.8</v>
      </c>
      <c r="E23" s="4" t="n">
        <f aca="false">Assumptions!E16</f>
        <v>3.8</v>
      </c>
      <c r="F23" s="4" t="n">
        <f aca="false">Assumptions!F16</f>
        <v>3.8</v>
      </c>
      <c r="G23" s="4" t="n">
        <f aca="false">Assumptions!G16</f>
        <v>3.8</v>
      </c>
      <c r="H23" s="4" t="n">
        <f aca="false">Assumptions!H16</f>
        <v>3.8</v>
      </c>
      <c r="I23" s="4" t="n">
        <f aca="false">Assumptions!I16</f>
        <v>3.8</v>
      </c>
      <c r="J23" s="4" t="n">
        <f aca="false">Assumptions!J16</f>
        <v>3.8</v>
      </c>
      <c r="K23" s="4" t="n">
        <f aca="false">Assumptions!K16</f>
        <v>3.8</v>
      </c>
      <c r="L23" s="4" t="n">
        <f aca="false">Assumptions!L16</f>
        <v>3.8</v>
      </c>
    </row>
    <row r="24" customFormat="false" ht="15" hidden="false" customHeight="false" outlineLevel="0" collapsed="false">
      <c r="A24" s="0" t="s">
        <v>124</v>
      </c>
      <c r="C24" s="0" t="n">
        <f aca="false">-C6*C23/100</f>
        <v>-14904.474</v>
      </c>
      <c r="D24" s="0" t="n">
        <f aca="false">-D6*D23/100</f>
        <v>-14904.474</v>
      </c>
      <c r="E24" s="0" t="n">
        <f aca="false">-E6*E23/100</f>
        <v>-14978.99637</v>
      </c>
      <c r="F24" s="0" t="n">
        <f aca="false">-F6*F23/100</f>
        <v>-15053.89135185</v>
      </c>
      <c r="G24" s="0" t="n">
        <f aca="false">-G6*G23/100</f>
        <v>-15204.4302653685</v>
      </c>
      <c r="H24" s="0" t="n">
        <f aca="false">-H6*H23/100</f>
        <v>-15356.4745680222</v>
      </c>
      <c r="I24" s="0" t="n">
        <f aca="false">-I6*I23/100</f>
        <v>-15510.0393137024</v>
      </c>
      <c r="J24" s="0" t="n">
        <f aca="false">-J6*J23/100</f>
        <v>-15665.1397068394</v>
      </c>
      <c r="K24" s="0" t="n">
        <f aca="false">-K6*K23/100</f>
        <v>-15821.7911039078</v>
      </c>
      <c r="L24" s="0" t="n">
        <f aca="false">-L6*L23/100</f>
        <v>-15980.0090149469</v>
      </c>
    </row>
    <row r="26" customFormat="false" ht="15" hidden="false" customHeight="false" outlineLevel="0" collapsed="false">
      <c r="A26" s="2" t="s">
        <v>125</v>
      </c>
    </row>
    <row r="27" customFormat="false" ht="15" hidden="false" customHeight="false" outlineLevel="0" collapsed="false">
      <c r="A27" s="0" t="s">
        <v>103</v>
      </c>
      <c r="B27" s="4" t="n">
        <f aca="false">Assumptions!$B$20</f>
        <v>9</v>
      </c>
    </row>
    <row r="28" customFormat="false" ht="15" hidden="false" customHeight="false" outlineLevel="0" collapsed="false">
      <c r="A28" s="0" t="s">
        <v>104</v>
      </c>
      <c r="B28" s="4" t="n">
        <f aca="false">Assumptions!$B$21</f>
        <v>1</v>
      </c>
    </row>
    <row r="29" customFormat="false" ht="15" hidden="false" customHeight="false" outlineLevel="0" collapsed="false">
      <c r="A29" s="0" t="s">
        <v>105</v>
      </c>
      <c r="B29" s="4" t="n">
        <f aca="false">Assumptions!$B$22</f>
        <v>8</v>
      </c>
    </row>
    <row r="30" customFormat="false" ht="15" hidden="false" customHeight="false" outlineLevel="0" collapsed="false">
      <c r="A30" s="0" t="s">
        <v>126</v>
      </c>
      <c r="B30" s="0" t="n">
        <f aca="false">SUM(C21:L21)</f>
        <v>77946.6422466803</v>
      </c>
    </row>
    <row r="31" customFormat="false" ht="15" hidden="false" customHeight="false" outlineLevel="0" collapsed="false">
      <c r="A31" s="0" t="s">
        <v>127</v>
      </c>
      <c r="B31" s="0" t="n">
        <f aca="false">L19</f>
        <v>11530.588266189</v>
      </c>
    </row>
    <row r="32" customFormat="false" ht="15" hidden="false" customHeight="false" outlineLevel="0" collapsed="false">
      <c r="A32" s="0" t="s">
        <v>128</v>
      </c>
      <c r="B32" s="0" t="n">
        <f aca="false">IF(B27&gt;B28,B31*(1+B28/100)/((B27-B28)/100),B31*B29)</f>
        <v>145573.676860636</v>
      </c>
    </row>
    <row r="33" customFormat="false" ht="15" hidden="false" customHeight="false" outlineLevel="0" collapsed="false">
      <c r="A33" s="0" t="s">
        <v>129</v>
      </c>
      <c r="B33" s="0" t="n">
        <f aca="false">B31*B29</f>
        <v>92244.7061295118</v>
      </c>
    </row>
    <row r="34" customFormat="false" ht="15" hidden="false" customHeight="false" outlineLevel="0" collapsed="false">
      <c r="A34" s="0" t="s">
        <v>130</v>
      </c>
      <c r="B34" s="0" t="n">
        <f aca="false">MAX(0,MIN(B32,B33))</f>
        <v>92244.7061295118</v>
      </c>
    </row>
    <row r="35" customFormat="false" ht="15" hidden="false" customHeight="false" outlineLevel="0" collapsed="false">
      <c r="A35" s="0" t="s">
        <v>131</v>
      </c>
      <c r="B35" s="0" t="n">
        <f aca="false">B34/(1+B27/100)^L4</f>
        <v>38965.1607480228</v>
      </c>
    </row>
    <row r="36" customFormat="false" ht="15" hidden="false" customHeight="false" outlineLevel="0" collapsed="false">
      <c r="A36" s="0" t="s">
        <v>132</v>
      </c>
      <c r="B36" s="0" t="n">
        <f aca="false">B30+B35</f>
        <v>116911.802994703</v>
      </c>
    </row>
    <row r="37" customFormat="false" ht="15" hidden="false" customHeight="false" outlineLevel="0" collapsed="false">
      <c r="A37" s="0" t="s">
        <v>133</v>
      </c>
      <c r="B37" s="0" t="n">
        <f aca="false">B36+Assumptions!$B$5-Assumptions!$B$4</f>
        <v>234132.802994703</v>
      </c>
    </row>
    <row r="38" customFormat="false" ht="15" hidden="false" customHeight="false" outlineLevel="0" collapsed="false">
      <c r="A38" s="0" t="s">
        <v>134</v>
      </c>
      <c r="B38" s="0" t="n">
        <f aca="false">B37/Assumptions!$B$3*Assumptions!$B$10</f>
        <v>8.96879071802377</v>
      </c>
    </row>
    <row r="39" customFormat="false" ht="15" hidden="false" customHeight="false" outlineLevel="0" collapsed="false">
      <c r="A39" s="0" t="s">
        <v>135</v>
      </c>
      <c r="B39" s="4" t="n">
        <f aca="false">B38/Assumptions!$B$2-1</f>
        <v>0.583193418892105</v>
      </c>
    </row>
    <row r="41" customFormat="false" ht="15" hidden="false" customHeight="false" outlineLevel="0" collapsed="false">
      <c r="A41" s="0" t="s">
        <v>136</v>
      </c>
      <c r="B41" s="0" t="n">
        <f aca="false">SUMPRODUCT(-C10:L10/(1+$B$27/100)^C4:L4)</f>
        <v>772.652887854475</v>
      </c>
    </row>
    <row r="42" customFormat="false" ht="15" hidden="false" customHeight="false" outlineLevel="0" collapsed="false">
      <c r="A42" s="0" t="s">
        <v>137</v>
      </c>
      <c r="B42" s="0" t="n">
        <f aca="false">IF(B27&gt;B28,-L10*(1+B28/100)/((B27-B28)/100),-L10*20)/(1+B27/100)^L4</f>
        <v>672.792413213106</v>
      </c>
    </row>
    <row r="43" customFormat="false" ht="15" hidden="false" customHeight="false" outlineLevel="0" collapsed="false">
      <c r="A43" s="0" t="s">
        <v>138</v>
      </c>
      <c r="B43" s="0" t="n">
        <f aca="false">(B37+B41+B42)/Assumptions!$B$3*Assumptions!$B$10</f>
        <v>9.02416056041156</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83184.9582060776</v>
      </c>
    </row>
    <row r="47" customFormat="false" ht="15" hidden="false" customHeight="false" outlineLevel="0" collapsed="false">
      <c r="A47" s="0" t="s">
        <v>140</v>
      </c>
      <c r="B47" s="0" t="n">
        <f aca="false">(SUMPRODUCT(C19:L19/(1+B45/100)^C4:L4)+B46/(1+B45/100)^L4+Assumptions!$B$5-Assumptions!$B$4)/Assumptions!$B$3*Assumptions!$B$10</f>
        <v>7.62329301174332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1</v>
      </c>
      <c r="D5" s="4" t="n">
        <f aca="false">Assumptions!D27</f>
        <v>1.5</v>
      </c>
      <c r="E5" s="4" t="n">
        <f aca="false">Assumptions!E27</f>
        <v>2</v>
      </c>
      <c r="F5" s="4" t="n">
        <f aca="false">Assumptions!F27</f>
        <v>2</v>
      </c>
      <c r="G5" s="4" t="n">
        <f aca="false">Assumptions!G27</f>
        <v>2</v>
      </c>
      <c r="H5" s="4" t="n">
        <f aca="false">Assumptions!H27</f>
        <v>2</v>
      </c>
      <c r="I5" s="4" t="n">
        <f aca="false">Assumptions!I27</f>
        <v>2</v>
      </c>
      <c r="J5" s="4" t="n">
        <f aca="false">Assumptions!J27</f>
        <v>2</v>
      </c>
      <c r="K5" s="4" t="n">
        <f aca="false">Assumptions!K27</f>
        <v>2</v>
      </c>
      <c r="L5" s="4" t="n">
        <f aca="false">Assumptions!L27</f>
        <v>2</v>
      </c>
    </row>
    <row r="6" customFormat="false" ht="15" hidden="false" customHeight="false" outlineLevel="0" collapsed="false">
      <c r="A6" s="0" t="s">
        <v>38</v>
      </c>
      <c r="B6" s="3" t="n">
        <v>392223</v>
      </c>
      <c r="C6" s="0" t="n">
        <f aca="false">B6*(1+C5/100)</f>
        <v>396145.23</v>
      </c>
      <c r="D6" s="0" t="n">
        <f aca="false">C6*(1+D5/100)</f>
        <v>402087.40845</v>
      </c>
      <c r="E6" s="0" t="n">
        <f aca="false">D6*(1+E5/100)</f>
        <v>410129.156619</v>
      </c>
      <c r="F6" s="0" t="n">
        <f aca="false">E6*(1+F5/100)</f>
        <v>418331.73975138</v>
      </c>
      <c r="G6" s="0" t="n">
        <f aca="false">F6*(1+G5/100)</f>
        <v>426698.374546408</v>
      </c>
      <c r="H6" s="0" t="n">
        <f aca="false">G6*(1+H5/100)</f>
        <v>435232.342037336</v>
      </c>
      <c r="I6" s="0" t="n">
        <f aca="false">H6*(1+I5/100)</f>
        <v>443936.988878082</v>
      </c>
      <c r="J6" s="0" t="n">
        <f aca="false">I6*(1+J5/100)</f>
        <v>452815.728655644</v>
      </c>
      <c r="K6" s="0" t="n">
        <f aca="false">J6*(1+K5/100)</f>
        <v>461872.043228757</v>
      </c>
      <c r="L6" s="0" t="n">
        <f aca="false">K6*(1+L5/100)</f>
        <v>471109.484093332</v>
      </c>
    </row>
    <row r="7" customFormat="false" ht="15" hidden="false" customHeight="false" outlineLevel="0" collapsed="false">
      <c r="A7" s="0" t="s">
        <v>97</v>
      </c>
      <c r="C7" s="4" t="n">
        <f aca="false">Assumptions!C28</f>
        <v>24.4</v>
      </c>
      <c r="D7" s="4" t="n">
        <f aca="false">Assumptions!D28</f>
        <v>25</v>
      </c>
      <c r="E7" s="4" t="n">
        <f aca="false">Assumptions!E28</f>
        <v>25.2</v>
      </c>
      <c r="F7" s="4" t="n">
        <f aca="false">Assumptions!F28</f>
        <v>25.3</v>
      </c>
      <c r="G7" s="4" t="n">
        <f aca="false">Assumptions!G28</f>
        <v>25.3</v>
      </c>
      <c r="H7" s="4" t="n">
        <f aca="false">Assumptions!H28</f>
        <v>25.3</v>
      </c>
      <c r="I7" s="4" t="n">
        <f aca="false">Assumptions!I28</f>
        <v>25.3</v>
      </c>
      <c r="J7" s="4" t="n">
        <f aca="false">Assumptions!J28</f>
        <v>25.3</v>
      </c>
      <c r="K7" s="4" t="n">
        <f aca="false">Assumptions!K28</f>
        <v>25.3</v>
      </c>
      <c r="L7" s="4" t="n">
        <f aca="false">Assumptions!L28</f>
        <v>25.3</v>
      </c>
    </row>
    <row r="8" customFormat="false" ht="15" hidden="false" customHeight="false" outlineLevel="0" collapsed="false">
      <c r="A8" s="0" t="s">
        <v>44</v>
      </c>
      <c r="C8" s="0" t="n">
        <f aca="false">C6*C7/100</f>
        <v>96659.43612</v>
      </c>
      <c r="D8" s="0" t="n">
        <f aca="false">D6*D7/100</f>
        <v>100521.8521125</v>
      </c>
      <c r="E8" s="0" t="n">
        <f aca="false">E6*E7/100</f>
        <v>103352.547467988</v>
      </c>
      <c r="F8" s="0" t="n">
        <f aca="false">F6*F7/100</f>
        <v>105837.930157099</v>
      </c>
      <c r="G8" s="0" t="n">
        <f aca="false">G6*G7/100</f>
        <v>107954.688760241</v>
      </c>
      <c r="H8" s="0" t="n">
        <f aca="false">H6*H7/100</f>
        <v>110113.782535446</v>
      </c>
      <c r="I8" s="0" t="n">
        <f aca="false">I6*I7/100</f>
        <v>112316.058186155</v>
      </c>
      <c r="J8" s="0" t="n">
        <f aca="false">J6*J7/100</f>
        <v>114562.379349878</v>
      </c>
      <c r="K8" s="0" t="n">
        <f aca="false">K6*K7/100</f>
        <v>116853.626936876</v>
      </c>
      <c r="L8" s="0" t="n">
        <f aca="false">L6*L7/100</f>
        <v>119190.699475613</v>
      </c>
    </row>
    <row r="9" customFormat="false" ht="15" hidden="false" customHeight="false" outlineLevel="0" collapsed="false">
      <c r="A9" s="0" t="s">
        <v>98</v>
      </c>
      <c r="C9" s="4" t="n">
        <f aca="false">Assumptions!C29</f>
        <v>0.03</v>
      </c>
      <c r="D9" s="4" t="n">
        <f aca="false">Assumptions!D29</f>
        <v>0.03</v>
      </c>
      <c r="E9" s="4" t="n">
        <f aca="false">Assumptions!E29</f>
        <v>0.03</v>
      </c>
      <c r="F9" s="4" t="n">
        <f aca="false">Assumptions!F29</f>
        <v>0.03</v>
      </c>
      <c r="G9" s="4" t="n">
        <f aca="false">Assumptions!G29</f>
        <v>0.03</v>
      </c>
      <c r="H9" s="4" t="n">
        <f aca="false">Assumptions!H29</f>
        <v>0.03</v>
      </c>
      <c r="I9" s="4" t="n">
        <f aca="false">Assumptions!I29</f>
        <v>0.03</v>
      </c>
      <c r="J9" s="4" t="n">
        <f aca="false">Assumptions!J29</f>
        <v>0.03</v>
      </c>
      <c r="K9" s="4" t="n">
        <f aca="false">Assumptions!K29</f>
        <v>0.03</v>
      </c>
      <c r="L9" s="4" t="n">
        <f aca="false">Assumptions!L29</f>
        <v>0.03</v>
      </c>
    </row>
    <row r="10" customFormat="false" ht="15" hidden="false" customHeight="false" outlineLevel="0" collapsed="false">
      <c r="A10" s="0" t="s">
        <v>113</v>
      </c>
      <c r="C10" s="0" t="n">
        <f aca="false">-C6*C9/100</f>
        <v>-118.843569</v>
      </c>
      <c r="D10" s="0" t="n">
        <f aca="false">-D6*D9/100</f>
        <v>-120.626222535</v>
      </c>
      <c r="E10" s="0" t="n">
        <f aca="false">-E6*E9/100</f>
        <v>-123.0387469857</v>
      </c>
      <c r="F10" s="0" t="n">
        <f aca="false">-F6*F9/100</f>
        <v>-125.499521925414</v>
      </c>
      <c r="G10" s="0" t="n">
        <f aca="false">-G6*G9/100</f>
        <v>-128.009512363922</v>
      </c>
      <c r="H10" s="0" t="n">
        <f aca="false">-H6*H9/100</f>
        <v>-130.569702611201</v>
      </c>
      <c r="I10" s="0" t="n">
        <f aca="false">-I6*I9/100</f>
        <v>-133.181096663425</v>
      </c>
      <c r="J10" s="0" t="n">
        <f aca="false">-J6*J9/100</f>
        <v>-135.844718596693</v>
      </c>
      <c r="K10" s="0" t="n">
        <f aca="false">-K6*K9/100</f>
        <v>-138.561612968627</v>
      </c>
      <c r="L10" s="0" t="n">
        <f aca="false">-L6*L9/100</f>
        <v>-141.332845228</v>
      </c>
    </row>
    <row r="11" customFormat="false" ht="15" hidden="false" customHeight="false" outlineLevel="0" collapsed="false">
      <c r="A11" s="0" t="s">
        <v>114</v>
      </c>
      <c r="C11" s="0" t="n">
        <f aca="false">C8+C10+C24</f>
        <v>81883.219041</v>
      </c>
      <c r="D11" s="0" t="n">
        <f aca="false">D8+D10+D24</f>
        <v>85523.991777315</v>
      </c>
      <c r="E11" s="0" t="n">
        <f aca="false">E8+E10+E24</f>
        <v>88464.8590827183</v>
      </c>
      <c r="F11" s="0" t="n">
        <f aca="false">F8+F10+F24</f>
        <v>90652.488004124</v>
      </c>
      <c r="G11" s="0" t="n">
        <f aca="false">G8+G10+G24</f>
        <v>92892.2361387529</v>
      </c>
      <c r="H11" s="0" t="n">
        <f aca="false">H8+H10+H24</f>
        <v>94750.080861528</v>
      </c>
      <c r="I11" s="0" t="n">
        <f aca="false">I8+I10+I24</f>
        <v>96645.0824787585</v>
      </c>
      <c r="J11" s="0" t="n">
        <f aca="false">J8+J10+J24</f>
        <v>98577.9841283337</v>
      </c>
      <c r="K11" s="0" t="n">
        <f aca="false">K8+K10+K24</f>
        <v>100549.5438109</v>
      </c>
      <c r="L11" s="0" t="n">
        <f aca="false">L8+L10+L24</f>
        <v>102560.534687118</v>
      </c>
    </row>
    <row r="12" customFormat="false" ht="15" hidden="false" customHeight="false" outlineLevel="0" collapsed="false">
      <c r="A12" s="0" t="s">
        <v>115</v>
      </c>
      <c r="C12" s="4" t="n">
        <f aca="false">-C6*Assumptions!C31/100</f>
        <v>-67344.6891</v>
      </c>
      <c r="D12" s="4" t="n">
        <f aca="false">-D6*Assumptions!D31/100</f>
        <v>-66746.5098027</v>
      </c>
      <c r="E12" s="4" t="n">
        <f aca="false">-E6*Assumptions!E31/100</f>
        <v>-66440.923372278</v>
      </c>
      <c r="F12" s="4" t="n">
        <f aca="false">-F6*Assumptions!F31/100</f>
        <v>-66096.414880718</v>
      </c>
      <c r="G12" s="4" t="n">
        <f aca="false">-G6*Assumptions!G31/100</f>
        <v>-65711.5496801468</v>
      </c>
      <c r="H12" s="4" t="n">
        <f aca="false">-H6*Assumptions!H31/100</f>
        <v>-65284.8513056004</v>
      </c>
      <c r="I12" s="4" t="n">
        <f aca="false">-I6*Assumptions!I31/100</f>
        <v>-65258.7373650781</v>
      </c>
      <c r="J12" s="4" t="n">
        <f aca="false">-J6*Assumptions!J31/100</f>
        <v>-65205.4649264128</v>
      </c>
      <c r="K12" s="4" t="n">
        <f aca="false">-K6*Assumptions!K31/100</f>
        <v>-65585.8301384835</v>
      </c>
      <c r="L12" s="4" t="n">
        <f aca="false">-L6*Assumptions!L31/100</f>
        <v>-65955.3277730665</v>
      </c>
    </row>
    <row r="13" customFormat="false" ht="15" hidden="false" customHeight="false" outlineLevel="0" collapsed="false">
      <c r="A13" s="0" t="s">
        <v>116</v>
      </c>
      <c r="C13" s="0" t="n">
        <f aca="false">C11+C12</f>
        <v>14538.529941</v>
      </c>
      <c r="D13" s="0" t="n">
        <f aca="false">D11+D12</f>
        <v>18777.481974615</v>
      </c>
      <c r="E13" s="0" t="n">
        <f aca="false">E11+E12</f>
        <v>22023.9357104403</v>
      </c>
      <c r="F13" s="0" t="n">
        <f aca="false">F11+F12</f>
        <v>24556.073123406</v>
      </c>
      <c r="G13" s="0" t="n">
        <f aca="false">G11+G12</f>
        <v>27180.6864586062</v>
      </c>
      <c r="H13" s="0" t="n">
        <f aca="false">H11+H12</f>
        <v>29465.2295559276</v>
      </c>
      <c r="I13" s="0" t="n">
        <f aca="false">I11+I12</f>
        <v>31386.3451136804</v>
      </c>
      <c r="J13" s="0" t="n">
        <f aca="false">J11+J12</f>
        <v>33372.519201921</v>
      </c>
      <c r="K13" s="0" t="n">
        <f aca="false">K11+K12</f>
        <v>34963.7136724169</v>
      </c>
      <c r="L13" s="0" t="n">
        <f aca="false">L11+L12</f>
        <v>36605.2069140519</v>
      </c>
    </row>
    <row r="14" customFormat="false" ht="15" hidden="false" customHeight="false" outlineLevel="0" collapsed="false">
      <c r="A14" s="0" t="s">
        <v>102</v>
      </c>
      <c r="C14" s="4" t="n">
        <f aca="false">Assumptions!C33</f>
        <v>18</v>
      </c>
      <c r="D14" s="4" t="n">
        <f aca="false">Assumptions!D33</f>
        <v>18</v>
      </c>
      <c r="E14" s="4" t="n">
        <f aca="false">Assumptions!E33</f>
        <v>18</v>
      </c>
      <c r="F14" s="4" t="n">
        <f aca="false">Assumptions!F33</f>
        <v>18</v>
      </c>
      <c r="G14" s="4" t="n">
        <f aca="false">Assumptions!G33</f>
        <v>18</v>
      </c>
      <c r="H14" s="4" t="n">
        <f aca="false">Assumptions!H33</f>
        <v>18</v>
      </c>
      <c r="I14" s="4" t="n">
        <f aca="false">Assumptions!I33</f>
        <v>18</v>
      </c>
      <c r="J14" s="4" t="n">
        <f aca="false">Assumptions!J33</f>
        <v>18</v>
      </c>
      <c r="K14" s="4" t="n">
        <f aca="false">Assumptions!K33</f>
        <v>18</v>
      </c>
      <c r="L14" s="4" t="n">
        <f aca="false">Assumptions!L33</f>
        <v>18</v>
      </c>
    </row>
    <row r="15" customFormat="false" ht="15" hidden="false" customHeight="false" outlineLevel="0" collapsed="false">
      <c r="A15" s="0" t="s">
        <v>117</v>
      </c>
      <c r="C15" s="0" t="n">
        <f aca="false">C13-MAX(0,C13)*C14/100</f>
        <v>11921.59455162</v>
      </c>
      <c r="D15" s="0" t="n">
        <f aca="false">D13-MAX(0,D13)*D14/100</f>
        <v>15397.5352191843</v>
      </c>
      <c r="E15" s="0" t="n">
        <f aca="false">E13-MAX(0,E13)*E14/100</f>
        <v>18059.627282561</v>
      </c>
      <c r="F15" s="0" t="n">
        <f aca="false">F13-MAX(0,F13)*F14/100</f>
        <v>20135.9799611929</v>
      </c>
      <c r="G15" s="0" t="n">
        <f aca="false">G13-MAX(0,G13)*G14/100</f>
        <v>22288.1628960571</v>
      </c>
      <c r="H15" s="0" t="n">
        <f aca="false">H13-MAX(0,H13)*H14/100</f>
        <v>24161.4882358607</v>
      </c>
      <c r="I15" s="0" t="n">
        <f aca="false">I13-MAX(0,I13)*I14/100</f>
        <v>25736.802993218</v>
      </c>
      <c r="J15" s="0" t="n">
        <f aca="false">J13-MAX(0,J13)*J14/100</f>
        <v>27365.4657455752</v>
      </c>
      <c r="K15" s="0" t="n">
        <f aca="false">K13-MAX(0,K13)*K14/100</f>
        <v>28670.2452113819</v>
      </c>
      <c r="L15" s="0" t="n">
        <f aca="false">L13-MAX(0,L13)*L14/100</f>
        <v>30016.2696695226</v>
      </c>
    </row>
    <row r="16" customFormat="false" ht="15" hidden="false" customHeight="false" outlineLevel="0" collapsed="false">
      <c r="A16" s="0" t="s">
        <v>118</v>
      </c>
      <c r="C16" s="0" t="n">
        <f aca="false">-C12</f>
        <v>67344.6891</v>
      </c>
      <c r="D16" s="0" t="n">
        <f aca="false">-D12</f>
        <v>66746.5098027</v>
      </c>
      <c r="E16" s="0" t="n">
        <f aca="false">-E12</f>
        <v>66440.923372278</v>
      </c>
      <c r="F16" s="0" t="n">
        <f aca="false">-F12</f>
        <v>66096.414880718</v>
      </c>
      <c r="G16" s="0" t="n">
        <f aca="false">-G12</f>
        <v>65711.5496801468</v>
      </c>
      <c r="H16" s="0" t="n">
        <f aca="false">-H12</f>
        <v>65284.8513056004</v>
      </c>
      <c r="I16" s="0" t="n">
        <f aca="false">-I12</f>
        <v>65258.7373650781</v>
      </c>
      <c r="J16" s="0" t="n">
        <f aca="false">-J12</f>
        <v>65205.4649264128</v>
      </c>
      <c r="K16" s="0" t="n">
        <f aca="false">-K12</f>
        <v>65585.8301384835</v>
      </c>
      <c r="L16" s="0" t="n">
        <f aca="false">-L12</f>
        <v>65955.3277730665</v>
      </c>
    </row>
    <row r="17" customFormat="false" ht="15" hidden="false" customHeight="false" outlineLevel="0" collapsed="false">
      <c r="A17" s="0" t="s">
        <v>119</v>
      </c>
      <c r="C17" s="4" t="n">
        <f aca="false">-C6*Assumptions!C32/100</f>
        <v>-62590.94634</v>
      </c>
      <c r="D17" s="4" t="n">
        <f aca="false">-D6*Assumptions!D32/100</f>
        <v>-59508.9364506</v>
      </c>
      <c r="E17" s="4" t="n">
        <f aca="false">-E6*Assumptions!E32/100</f>
        <v>-58238.340239898</v>
      </c>
      <c r="F17" s="4" t="n">
        <f aca="false">-F6*Assumptions!F32/100</f>
        <v>-57729.7800856904</v>
      </c>
      <c r="G17" s="4" t="n">
        <f aca="false">-G6*Assumptions!G32/100</f>
        <v>-57604.280563765</v>
      </c>
      <c r="H17" s="4" t="n">
        <f aca="false">-H6*Assumptions!H32/100</f>
        <v>-58756.3661750403</v>
      </c>
      <c r="I17" s="4" t="n">
        <f aca="false">-I6*Assumptions!I32/100</f>
        <v>-59931.4934985411</v>
      </c>
      <c r="J17" s="4" t="n">
        <f aca="false">-J6*Assumptions!J32/100</f>
        <v>-61130.123368512</v>
      </c>
      <c r="K17" s="4" t="n">
        <f aca="false">-K6*Assumptions!K32/100</f>
        <v>-62352.7258358822</v>
      </c>
      <c r="L17" s="4" t="n">
        <f aca="false">-L6*Assumptions!L32/100</f>
        <v>-63599.7803525998</v>
      </c>
    </row>
    <row r="18" customFormat="false" ht="15" hidden="false" customHeight="false" outlineLevel="0" collapsed="false">
      <c r="A18" s="0" t="s">
        <v>120</v>
      </c>
      <c r="C18" s="4" t="n">
        <f aca="false">(C6-B6)*Assumptions!$B$37/100</f>
        <v>-1568.89199999999</v>
      </c>
      <c r="D18" s="4" t="n">
        <f aca="false">(D6-C6)*Assumptions!$B$37/100</f>
        <v>-2376.87137999998</v>
      </c>
      <c r="E18" s="4" t="n">
        <f aca="false">(E6-D6)*Assumptions!$B$37/100</f>
        <v>-3216.69926760001</v>
      </c>
      <c r="F18" s="4" t="n">
        <f aca="false">(F6-E6)*Assumptions!$B$37/100</f>
        <v>-3281.03325295199</v>
      </c>
      <c r="G18" s="4" t="n">
        <f aca="false">(G6-F6)*Assumptions!$B$37/100</f>
        <v>-3346.65391801104</v>
      </c>
      <c r="H18" s="4" t="n">
        <f aca="false">(H6-G6)*Assumptions!$B$37/100</f>
        <v>-3413.58699637125</v>
      </c>
      <c r="I18" s="4" t="n">
        <f aca="false">(I6-H6)*Assumptions!$B$37/100</f>
        <v>-3481.8587362987</v>
      </c>
      <c r="J18" s="4" t="n">
        <f aca="false">(J6-I6)*Assumptions!$B$37/100</f>
        <v>-3551.49591102467</v>
      </c>
      <c r="K18" s="4" t="n">
        <f aca="false">(K6-J6)*Assumptions!$B$37/100</f>
        <v>-3622.52582924515</v>
      </c>
      <c r="L18" s="4" t="n">
        <f aca="false">(L6-K6)*Assumptions!$B$37/100</f>
        <v>-3694.97634583006</v>
      </c>
    </row>
    <row r="19" customFormat="false" ht="15" hidden="false" customHeight="false" outlineLevel="0" collapsed="false">
      <c r="A19" s="0" t="s">
        <v>121</v>
      </c>
      <c r="C19" s="0" t="n">
        <f aca="false">C15+C16+C17+C18</f>
        <v>15106.44531162</v>
      </c>
      <c r="D19" s="0" t="n">
        <f aca="false">D15+D16+D17+D18</f>
        <v>20258.2371912843</v>
      </c>
      <c r="E19" s="0" t="n">
        <f aca="false">E15+E16+E17+E18</f>
        <v>23045.511147341</v>
      </c>
      <c r="F19" s="0" t="n">
        <f aca="false">F15+F16+F17+F18</f>
        <v>25221.5815032685</v>
      </c>
      <c r="G19" s="0" t="n">
        <f aca="false">G15+G16+G17+G18</f>
        <v>27048.7780944278</v>
      </c>
      <c r="H19" s="0" t="n">
        <f aca="false">H15+H16+H17+H18</f>
        <v>27276.3863700494</v>
      </c>
      <c r="I19" s="0" t="n">
        <f aca="false">I15+I16+I17+I18</f>
        <v>27582.1881234563</v>
      </c>
      <c r="J19" s="0" t="n">
        <f aca="false">J15+J16+J17+J18</f>
        <v>27889.3113924513</v>
      </c>
      <c r="K19" s="0" t="n">
        <f aca="false">K15+K16+K17+K18</f>
        <v>28280.823684738</v>
      </c>
      <c r="L19" s="0" t="n">
        <f aca="false">L15+L16+L17+L18</f>
        <v>28676.8407441592</v>
      </c>
    </row>
    <row r="20" customFormat="false" ht="15" hidden="false" customHeight="false" outlineLevel="0" collapsed="false">
      <c r="A20" s="0" t="s">
        <v>122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123</v>
      </c>
      <c r="C21" s="0" t="n">
        <f aca="false">C19*C20</f>
        <v>13859.1241391009</v>
      </c>
      <c r="D21" s="0" t="n">
        <f aca="false">D19*D20</f>
        <v>17050.9529427526</v>
      </c>
      <c r="E21" s="0" t="n">
        <f aca="false">E19*E20</f>
        <v>17795.3629975398</v>
      </c>
      <c r="F21" s="0" t="n">
        <f aca="false">F19*F20</f>
        <v>17867.6041998511</v>
      </c>
      <c r="G21" s="0" t="n">
        <f aca="false">G19*G20</f>
        <v>17579.8498445878</v>
      </c>
      <c r="H21" s="0" t="n">
        <f aca="false">H19*H20</f>
        <v>16264.0179877941</v>
      </c>
      <c r="I21" s="0" t="n">
        <f aca="false">I19*I20</f>
        <v>15088.4014512412</v>
      </c>
      <c r="J21" s="0" t="n">
        <f aca="false">J19*J20</f>
        <v>13996.7049511649</v>
      </c>
      <c r="K21" s="0" t="n">
        <f aca="false">K19*K20</f>
        <v>13021.2768520559</v>
      </c>
      <c r="L21" s="0" t="n">
        <f aca="false">L19*L20</f>
        <v>12113.4074379594</v>
      </c>
    </row>
    <row r="23" customFormat="false" ht="15" hidden="false" customHeight="false" outlineLevel="0" collapsed="false">
      <c r="A23" s="0" t="s">
        <v>99</v>
      </c>
      <c r="C23" s="4" t="n">
        <f aca="false">Assumptions!C30</f>
        <v>3.7</v>
      </c>
      <c r="D23" s="4" t="n">
        <f aca="false">Assumptions!D30</f>
        <v>3.7</v>
      </c>
      <c r="E23" s="4" t="n">
        <f aca="false">Assumptions!E30</f>
        <v>3.6</v>
      </c>
      <c r="F23" s="4" t="n">
        <f aca="false">Assumptions!F30</f>
        <v>3.6</v>
      </c>
      <c r="G23" s="4" t="n">
        <f aca="false">Assumptions!G30</f>
        <v>3.5</v>
      </c>
      <c r="H23" s="4" t="n">
        <f aca="false">Assumptions!H30</f>
        <v>3.5</v>
      </c>
      <c r="I23" s="4" t="n">
        <f aca="false">Assumptions!I30</f>
        <v>3.5</v>
      </c>
      <c r="J23" s="4" t="n">
        <f aca="false">Assumptions!J30</f>
        <v>3.5</v>
      </c>
      <c r="K23" s="4" t="n">
        <f aca="false">Assumptions!K30</f>
        <v>3.5</v>
      </c>
      <c r="L23" s="4" t="n">
        <f aca="false">Assumptions!L30</f>
        <v>3.5</v>
      </c>
    </row>
    <row r="24" customFormat="false" ht="15" hidden="false" customHeight="false" outlineLevel="0" collapsed="false">
      <c r="A24" s="0" t="s">
        <v>124</v>
      </c>
      <c r="C24" s="0" t="n">
        <f aca="false">-C6*C23/100</f>
        <v>-14657.37351</v>
      </c>
      <c r="D24" s="0" t="n">
        <f aca="false">-D6*D23/100</f>
        <v>-14877.23411265</v>
      </c>
      <c r="E24" s="0" t="n">
        <f aca="false">-E6*E23/100</f>
        <v>-14764.649638284</v>
      </c>
      <c r="F24" s="0" t="n">
        <f aca="false">-F6*F23/100</f>
        <v>-15059.9426310497</v>
      </c>
      <c r="G24" s="0" t="n">
        <f aca="false">-G6*G23/100</f>
        <v>-14934.4431091243</v>
      </c>
      <c r="H24" s="0" t="n">
        <f aca="false">-H6*H23/100</f>
        <v>-15233.1319713068</v>
      </c>
      <c r="I24" s="0" t="n">
        <f aca="false">-I6*I23/100</f>
        <v>-15537.7946107329</v>
      </c>
      <c r="J24" s="0" t="n">
        <f aca="false">-J6*J23/100</f>
        <v>-15848.5505029475</v>
      </c>
      <c r="K24" s="0" t="n">
        <f aca="false">-K6*K23/100</f>
        <v>-16165.5215130065</v>
      </c>
      <c r="L24" s="0" t="n">
        <f aca="false">-L6*L23/100</f>
        <v>-16488.8319432666</v>
      </c>
    </row>
    <row r="26" customFormat="false" ht="15" hidden="false" customHeight="false" outlineLevel="0" collapsed="false">
      <c r="A26" s="2" t="s">
        <v>125</v>
      </c>
    </row>
    <row r="27" customFormat="false" ht="15" hidden="false" customHeight="false" outlineLevel="0" collapsed="false">
      <c r="A27" s="0" t="s">
        <v>103</v>
      </c>
      <c r="B27" s="4" t="n">
        <f aca="false">Assumptions!$B$34</f>
        <v>9</v>
      </c>
    </row>
    <row r="28" customFormat="false" ht="15" hidden="false" customHeight="false" outlineLevel="0" collapsed="false">
      <c r="A28" s="0" t="s">
        <v>104</v>
      </c>
      <c r="B28" s="4" t="n">
        <f aca="false">Assumptions!$B$35</f>
        <v>2</v>
      </c>
    </row>
    <row r="29" customFormat="false" ht="15" hidden="false" customHeight="false" outlineLevel="0" collapsed="false">
      <c r="A29" s="0" t="s">
        <v>105</v>
      </c>
      <c r="B29" s="4" t="n">
        <f aca="false">Assumptions!$B$36</f>
        <v>12</v>
      </c>
    </row>
    <row r="30" customFormat="false" ht="15" hidden="false" customHeight="false" outlineLevel="0" collapsed="false">
      <c r="A30" s="0" t="s">
        <v>126</v>
      </c>
      <c r="B30" s="0" t="n">
        <f aca="false">SUM(C21:L21)</f>
        <v>154636.702804048</v>
      </c>
    </row>
    <row r="31" customFormat="false" ht="15" hidden="false" customHeight="false" outlineLevel="0" collapsed="false">
      <c r="A31" s="0" t="s">
        <v>127</v>
      </c>
      <c r="B31" s="0" t="n">
        <f aca="false">L19</f>
        <v>28676.8407441592</v>
      </c>
    </row>
    <row r="32" customFormat="false" ht="15" hidden="false" customHeight="false" outlineLevel="0" collapsed="false">
      <c r="A32" s="0" t="s">
        <v>128</v>
      </c>
      <c r="B32" s="0" t="n">
        <f aca="false">IF(B27&gt;B28,B31*(1+B28/100)/((B27-B28)/100),B31*B29)</f>
        <v>417862.536557748</v>
      </c>
    </row>
    <row r="33" customFormat="false" ht="15" hidden="false" customHeight="false" outlineLevel="0" collapsed="false">
      <c r="A33" s="0" t="s">
        <v>129</v>
      </c>
      <c r="B33" s="0" t="n">
        <f aca="false">B31*B29</f>
        <v>344122.08892991</v>
      </c>
    </row>
    <row r="34" customFormat="false" ht="15" hidden="false" customHeight="false" outlineLevel="0" collapsed="false">
      <c r="A34" s="0" t="s">
        <v>130</v>
      </c>
      <c r="B34" s="0" t="n">
        <f aca="false">MAX(0,MIN(B32,B33))</f>
        <v>344122.08892991</v>
      </c>
    </row>
    <row r="35" customFormat="false" ht="15" hidden="false" customHeight="false" outlineLevel="0" collapsed="false">
      <c r="A35" s="0" t="s">
        <v>131</v>
      </c>
      <c r="B35" s="0" t="n">
        <f aca="false">B34/(1+B27/100)^L4</f>
        <v>145360.889255513</v>
      </c>
    </row>
    <row r="36" customFormat="false" ht="15" hidden="false" customHeight="false" outlineLevel="0" collapsed="false">
      <c r="A36" s="0" t="s">
        <v>132</v>
      </c>
      <c r="B36" s="0" t="n">
        <f aca="false">B30+B35</f>
        <v>299997.592059561</v>
      </c>
    </row>
    <row r="37" customFormat="false" ht="15" hidden="false" customHeight="false" outlineLevel="0" collapsed="false">
      <c r="A37" s="0" t="s">
        <v>133</v>
      </c>
      <c r="B37" s="0" t="n">
        <f aca="false">B36+Assumptions!$B$5-Assumptions!$B$4</f>
        <v>417218.592059561</v>
      </c>
    </row>
    <row r="38" customFormat="false" ht="15" hidden="false" customHeight="false" outlineLevel="0" collapsed="false">
      <c r="A38" s="0" t="s">
        <v>134</v>
      </c>
      <c r="B38" s="0" t="n">
        <f aca="false">B37/Assumptions!$B$3*Assumptions!$B$10</f>
        <v>15.9821528123737</v>
      </c>
    </row>
    <row r="39" customFormat="false" ht="15" hidden="false" customHeight="false" outlineLevel="0" collapsed="false">
      <c r="A39" s="0" t="s">
        <v>135</v>
      </c>
      <c r="B39" s="4" t="n">
        <f aca="false">B38/Assumptions!$B$2-1</f>
        <v>1.8212096756176</v>
      </c>
    </row>
    <row r="41" customFormat="false" ht="15" hidden="false" customHeight="false" outlineLevel="0" collapsed="false">
      <c r="A41" s="0" t="s">
        <v>136</v>
      </c>
      <c r="B41" s="0" t="n">
        <f aca="false">SUMPRODUCT(-C10:L10/(1+$B$27/100)^C4:L4)</f>
        <v>820.055477089516</v>
      </c>
    </row>
    <row r="42" customFormat="false" ht="15" hidden="false" customHeight="false" outlineLevel="0" collapsed="false">
      <c r="A42" s="0" t="s">
        <v>137</v>
      </c>
      <c r="B42" s="0" t="n">
        <f aca="false">IF(B27&gt;B28,-L10*(1+B28/100)/((B27-B28)/100),-L10*20)/(1+B27/100)^L4</f>
        <v>869.921880249933</v>
      </c>
    </row>
    <row r="43" customFormat="false" ht="15" hidden="false" customHeight="false" outlineLevel="0" collapsed="false">
      <c r="A43" s="0" t="s">
        <v>138</v>
      </c>
      <c r="B43" s="0" t="n">
        <f aca="false">(B37+B41+B42)/Assumptions!$B$3*Assumptions!$B$10</f>
        <v>16.0468898036979</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225002.904300326</v>
      </c>
    </row>
    <row r="47" customFormat="false" ht="15" hidden="false" customHeight="false" outlineLevel="0" collapsed="false">
      <c r="A47" s="0" t="s">
        <v>140</v>
      </c>
      <c r="B47" s="0" t="n">
        <f aca="false">(SUMPRODUCT(C19:L19/(1+B45/100)^C4:L4)+B46/(1+B45/100)^L4+Assumptions!$B$5-Assumptions!$B$4)/Assumptions!$B$3*Assumptions!$B$10</f>
        <v>11.1364444696115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2</v>
      </c>
      <c r="D5" s="4" t="n">
        <f aca="false">Assumptions!D41</f>
        <v>2.5</v>
      </c>
      <c r="E5" s="4" t="n">
        <f aca="false">Assumptions!E41</f>
        <v>3</v>
      </c>
      <c r="F5" s="4" t="n">
        <f aca="false">Assumptions!F41</f>
        <v>3.5</v>
      </c>
      <c r="G5" s="4" t="n">
        <f aca="false">Assumptions!G41</f>
        <v>3.5</v>
      </c>
      <c r="H5" s="4" t="n">
        <f aca="false">Assumptions!H41</f>
        <v>3</v>
      </c>
      <c r="I5" s="4" t="n">
        <f aca="false">Assumptions!I41</f>
        <v>3</v>
      </c>
      <c r="J5" s="4" t="n">
        <f aca="false">Assumptions!J41</f>
        <v>3</v>
      </c>
      <c r="K5" s="4" t="n">
        <f aca="false">Assumptions!K41</f>
        <v>2.5</v>
      </c>
      <c r="L5" s="4" t="n">
        <f aca="false">Assumptions!L41</f>
        <v>2.5</v>
      </c>
    </row>
    <row r="6" customFormat="false" ht="15" hidden="false" customHeight="false" outlineLevel="0" collapsed="false">
      <c r="A6" s="0" t="s">
        <v>38</v>
      </c>
      <c r="B6" s="3" t="n">
        <v>392223</v>
      </c>
      <c r="C6" s="0" t="n">
        <f aca="false">B6*(1+C5/100)</f>
        <v>400067.46</v>
      </c>
      <c r="D6" s="0" t="n">
        <f aca="false">C6*(1+D5/100)</f>
        <v>410069.1465</v>
      </c>
      <c r="E6" s="0" t="n">
        <f aca="false">D6*(1+E5/100)</f>
        <v>422371.220895</v>
      </c>
      <c r="F6" s="0" t="n">
        <f aca="false">E6*(1+F5/100)</f>
        <v>437154.213626325</v>
      </c>
      <c r="G6" s="0" t="n">
        <f aca="false">F6*(1+G5/100)</f>
        <v>452454.611103246</v>
      </c>
      <c r="H6" s="0" t="n">
        <f aca="false">G6*(1+H5/100)</f>
        <v>466028.249436344</v>
      </c>
      <c r="I6" s="0" t="n">
        <f aca="false">H6*(1+I5/100)</f>
        <v>480009.096919434</v>
      </c>
      <c r="J6" s="0" t="n">
        <f aca="false">I6*(1+J5/100)</f>
        <v>494409.369827017</v>
      </c>
      <c r="K6" s="0" t="n">
        <f aca="false">J6*(1+K5/100)</f>
        <v>506769.604072692</v>
      </c>
      <c r="L6" s="0" t="n">
        <f aca="false">K6*(1+L5/100)</f>
        <v>519438.84417451</v>
      </c>
    </row>
    <row r="7" customFormat="false" ht="15" hidden="false" customHeight="false" outlineLevel="0" collapsed="false">
      <c r="A7" s="0" t="s">
        <v>97</v>
      </c>
      <c r="C7" s="4" t="n">
        <f aca="false">Assumptions!C42</f>
        <v>24.8</v>
      </c>
      <c r="D7" s="4" t="n">
        <f aca="false">Assumptions!D42</f>
        <v>25.6</v>
      </c>
      <c r="E7" s="4" t="n">
        <f aca="false">Assumptions!E42</f>
        <v>26</v>
      </c>
      <c r="F7" s="4" t="n">
        <f aca="false">Assumptions!F42</f>
        <v>26.3</v>
      </c>
      <c r="G7" s="4" t="n">
        <f aca="false">Assumptions!G42</f>
        <v>26.5</v>
      </c>
      <c r="H7" s="4" t="n">
        <f aca="false">Assumptions!H42</f>
        <v>26.5</v>
      </c>
      <c r="I7" s="4" t="n">
        <f aca="false">Assumptions!I42</f>
        <v>26.5</v>
      </c>
      <c r="J7" s="4" t="n">
        <f aca="false">Assumptions!J42</f>
        <v>26.5</v>
      </c>
      <c r="K7" s="4" t="n">
        <f aca="false">Assumptions!K42</f>
        <v>26.5</v>
      </c>
      <c r="L7" s="4" t="n">
        <f aca="false">Assumptions!L42</f>
        <v>26.5</v>
      </c>
    </row>
    <row r="8" customFormat="false" ht="15" hidden="false" customHeight="false" outlineLevel="0" collapsed="false">
      <c r="A8" s="0" t="s">
        <v>44</v>
      </c>
      <c r="C8" s="0" t="n">
        <f aca="false">C6*C7/100</f>
        <v>99216.73008</v>
      </c>
      <c r="D8" s="0" t="n">
        <f aca="false">D6*D7/100</f>
        <v>104977.701504</v>
      </c>
      <c r="E8" s="0" t="n">
        <f aca="false">E6*E7/100</f>
        <v>109816.5174327</v>
      </c>
      <c r="F8" s="0" t="n">
        <f aca="false">F6*F7/100</f>
        <v>114971.558183723</v>
      </c>
      <c r="G8" s="0" t="n">
        <f aca="false">G6*G7/100</f>
        <v>119900.47194236</v>
      </c>
      <c r="H8" s="0" t="n">
        <f aca="false">H6*H7/100</f>
        <v>123497.486100631</v>
      </c>
      <c r="I8" s="0" t="n">
        <f aca="false">I6*I7/100</f>
        <v>127202.41068365</v>
      </c>
      <c r="J8" s="0" t="n">
        <f aca="false">J6*J7/100</f>
        <v>131018.48300416</v>
      </c>
      <c r="K8" s="0" t="n">
        <f aca="false">K6*K7/100</f>
        <v>134293.945079263</v>
      </c>
      <c r="L8" s="0" t="n">
        <f aca="false">L6*L7/100</f>
        <v>137651.293706245</v>
      </c>
    </row>
    <row r="9" customFormat="false" ht="15" hidden="false" customHeight="false" outlineLevel="0" collapsed="false">
      <c r="A9" s="0" t="s">
        <v>98</v>
      </c>
      <c r="C9" s="4" t="n">
        <f aca="false">Assumptions!C43</f>
        <v>0.03</v>
      </c>
      <c r="D9" s="4" t="n">
        <f aca="false">Assumptions!D43</f>
        <v>0.03</v>
      </c>
      <c r="E9" s="4" t="n">
        <f aca="false">Assumptions!E43</f>
        <v>0.03</v>
      </c>
      <c r="F9" s="4" t="n">
        <f aca="false">Assumptions!F43</f>
        <v>0.03</v>
      </c>
      <c r="G9" s="4" t="n">
        <f aca="false">Assumptions!G43</f>
        <v>0.03</v>
      </c>
      <c r="H9" s="4" t="n">
        <f aca="false">Assumptions!H43</f>
        <v>0.03</v>
      </c>
      <c r="I9" s="4" t="n">
        <f aca="false">Assumptions!I43</f>
        <v>0.03</v>
      </c>
      <c r="J9" s="4" t="n">
        <f aca="false">Assumptions!J43</f>
        <v>0.03</v>
      </c>
      <c r="K9" s="4" t="n">
        <f aca="false">Assumptions!K43</f>
        <v>0.03</v>
      </c>
      <c r="L9" s="4" t="n">
        <f aca="false">Assumptions!L43</f>
        <v>0.03</v>
      </c>
    </row>
    <row r="10" customFormat="false" ht="15" hidden="false" customHeight="false" outlineLevel="0" collapsed="false">
      <c r="A10" s="0" t="s">
        <v>113</v>
      </c>
      <c r="C10" s="0" t="n">
        <f aca="false">-C6*C9/100</f>
        <v>-120.020238</v>
      </c>
      <c r="D10" s="0" t="n">
        <f aca="false">-D6*D9/100</f>
        <v>-123.02074395</v>
      </c>
      <c r="E10" s="0" t="n">
        <f aca="false">-E6*E9/100</f>
        <v>-126.7113662685</v>
      </c>
      <c r="F10" s="0" t="n">
        <f aca="false">-F6*F9/100</f>
        <v>-131.146264087898</v>
      </c>
      <c r="G10" s="0" t="n">
        <f aca="false">-G6*G9/100</f>
        <v>-135.736383330974</v>
      </c>
      <c r="H10" s="0" t="n">
        <f aca="false">-H6*H9/100</f>
        <v>-139.808474830903</v>
      </c>
      <c r="I10" s="0" t="n">
        <f aca="false">-I6*I9/100</f>
        <v>-144.00272907583</v>
      </c>
      <c r="J10" s="0" t="n">
        <f aca="false">-J6*J9/100</f>
        <v>-148.322810948105</v>
      </c>
      <c r="K10" s="0" t="n">
        <f aca="false">-K6*K9/100</f>
        <v>-152.030881221808</v>
      </c>
      <c r="L10" s="0" t="n">
        <f aca="false">-L6*L9/100</f>
        <v>-155.831653252353</v>
      </c>
    </row>
    <row r="11" customFormat="false" ht="15" hidden="false" customHeight="false" outlineLevel="0" collapsed="false">
      <c r="A11" s="0" t="s">
        <v>114</v>
      </c>
      <c r="C11" s="0" t="n">
        <f aca="false">C8+C10+C24</f>
        <v>84694.281282</v>
      </c>
      <c r="D11" s="0" t="n">
        <f aca="false">D8+D10+D24</f>
        <v>90502.26063255</v>
      </c>
      <c r="E11" s="0" t="n">
        <f aca="false">E8+E10+E24</f>
        <v>94906.8133351065</v>
      </c>
      <c r="F11" s="0" t="n">
        <f aca="false">F8+F10+F24</f>
        <v>99977.1686563405</v>
      </c>
      <c r="G11" s="0" t="n">
        <f aca="false">G8+G10+G24</f>
        <v>104381.278781519</v>
      </c>
      <c r="H11" s="0" t="n">
        <f aca="false">H8+H10+H24</f>
        <v>107978.745394401</v>
      </c>
      <c r="I11" s="0" t="n">
        <f aca="false">I8+I10+I24</f>
        <v>111218.107756233</v>
      </c>
      <c r="J11" s="0" t="n">
        <f aca="false">J8+J10+J24</f>
        <v>114554.65098892</v>
      </c>
      <c r="K11" s="0" t="n">
        <f aca="false">K8+K10+K24</f>
        <v>117418.517263643</v>
      </c>
      <c r="L11" s="0" t="n">
        <f aca="false">L8+L10+L24</f>
        <v>120353.980195234</v>
      </c>
    </row>
    <row r="12" customFormat="false" ht="15" hidden="false" customHeight="false" outlineLevel="0" collapsed="false">
      <c r="A12" s="0" t="s">
        <v>115</v>
      </c>
      <c r="C12" s="4" t="n">
        <f aca="false">-C6*Assumptions!C45/100</f>
        <v>-68011.4682</v>
      </c>
      <c r="D12" s="4" t="n">
        <f aca="false">-D6*Assumptions!D45/100</f>
        <v>-67251.340026</v>
      </c>
      <c r="E12" s="4" t="n">
        <f aca="false">-E6*Assumptions!E45/100</f>
        <v>-66734.65290141</v>
      </c>
      <c r="F12" s="4" t="n">
        <f aca="false">-F6*Assumptions!F45/100</f>
        <v>-66884.5946848277</v>
      </c>
      <c r="G12" s="4" t="n">
        <f aca="false">-G6*Assumptions!G45/100</f>
        <v>-66963.2824432805</v>
      </c>
      <c r="H12" s="4" t="n">
        <f aca="false">-H6*Assumptions!H45/100</f>
        <v>-67108.0679188335</v>
      </c>
      <c r="I12" s="4" t="n">
        <f aca="false">-I6*Assumptions!I45/100</f>
        <v>-67681.2826656402</v>
      </c>
      <c r="J12" s="4" t="n">
        <f aca="false">-J6*Assumptions!J45/100</f>
        <v>-68228.4930361284</v>
      </c>
      <c r="K12" s="4" t="n">
        <f aca="false">-K6*Assumptions!K45/100</f>
        <v>-68920.6661538862</v>
      </c>
      <c r="L12" s="4" t="n">
        <f aca="false">-L6*Assumptions!L45/100</f>
        <v>-70124.2439635588</v>
      </c>
    </row>
    <row r="13" customFormat="false" ht="15" hidden="false" customHeight="false" outlineLevel="0" collapsed="false">
      <c r="A13" s="0" t="s">
        <v>116</v>
      </c>
      <c r="C13" s="0" t="n">
        <f aca="false">C11+C12</f>
        <v>16682.813082</v>
      </c>
      <c r="D13" s="0" t="n">
        <f aca="false">D11+D12</f>
        <v>23250.92060655</v>
      </c>
      <c r="E13" s="0" t="n">
        <f aca="false">E11+E12</f>
        <v>28172.1604336965</v>
      </c>
      <c r="F13" s="0" t="n">
        <f aca="false">F11+F12</f>
        <v>33092.5739715128</v>
      </c>
      <c r="G13" s="0" t="n">
        <f aca="false">G11+G12</f>
        <v>37417.9963382385</v>
      </c>
      <c r="H13" s="0" t="n">
        <f aca="false">H11+H12</f>
        <v>40870.6774755674</v>
      </c>
      <c r="I13" s="0" t="n">
        <f aca="false">I11+I12</f>
        <v>43536.8250905927</v>
      </c>
      <c r="J13" s="0" t="n">
        <f aca="false">J11+J12</f>
        <v>46326.1579527915</v>
      </c>
      <c r="K13" s="0" t="n">
        <f aca="false">K11+K12</f>
        <v>48497.8511097567</v>
      </c>
      <c r="L13" s="0" t="n">
        <f aca="false">L11+L12</f>
        <v>50229.7362316751</v>
      </c>
    </row>
    <row r="14" customFormat="false" ht="15" hidden="false" customHeight="false" outlineLevel="0" collapsed="false">
      <c r="A14" s="0" t="s">
        <v>102</v>
      </c>
      <c r="C14" s="4" t="n">
        <f aca="false">Assumptions!C47</f>
        <v>17</v>
      </c>
      <c r="D14" s="4" t="n">
        <f aca="false">Assumptions!D47</f>
        <v>17</v>
      </c>
      <c r="E14" s="4" t="n">
        <f aca="false">Assumptions!E47</f>
        <v>17</v>
      </c>
      <c r="F14" s="4" t="n">
        <f aca="false">Assumptions!F47</f>
        <v>17</v>
      </c>
      <c r="G14" s="4" t="n">
        <f aca="false">Assumptions!G47</f>
        <v>17</v>
      </c>
      <c r="H14" s="4" t="n">
        <f aca="false">Assumptions!H47</f>
        <v>17</v>
      </c>
      <c r="I14" s="4" t="n">
        <f aca="false">Assumptions!I47</f>
        <v>17</v>
      </c>
      <c r="J14" s="4" t="n">
        <f aca="false">Assumptions!J47</f>
        <v>17</v>
      </c>
      <c r="K14" s="4" t="n">
        <f aca="false">Assumptions!K47</f>
        <v>17</v>
      </c>
      <c r="L14" s="4" t="n">
        <f aca="false">Assumptions!L47</f>
        <v>17</v>
      </c>
    </row>
    <row r="15" customFormat="false" ht="15" hidden="false" customHeight="false" outlineLevel="0" collapsed="false">
      <c r="A15" s="0" t="s">
        <v>117</v>
      </c>
      <c r="C15" s="0" t="n">
        <f aca="false">C13-MAX(0,C13)*C14/100</f>
        <v>13846.73485806</v>
      </c>
      <c r="D15" s="0" t="n">
        <f aca="false">D13-MAX(0,D13)*D14/100</f>
        <v>19298.2641034365</v>
      </c>
      <c r="E15" s="0" t="n">
        <f aca="false">E13-MAX(0,E13)*E14/100</f>
        <v>23382.8931599681</v>
      </c>
      <c r="F15" s="0" t="n">
        <f aca="false">F13-MAX(0,F13)*F14/100</f>
        <v>27466.8363963556</v>
      </c>
      <c r="G15" s="0" t="n">
        <f aca="false">G13-MAX(0,G13)*G14/100</f>
        <v>31056.9369607379</v>
      </c>
      <c r="H15" s="0" t="n">
        <f aca="false">H13-MAX(0,H13)*H14/100</f>
        <v>33922.6623047209</v>
      </c>
      <c r="I15" s="0" t="n">
        <f aca="false">I13-MAX(0,I13)*I14/100</f>
        <v>36135.5648251919</v>
      </c>
      <c r="J15" s="0" t="n">
        <f aca="false">J13-MAX(0,J13)*J14/100</f>
        <v>38450.7111008169</v>
      </c>
      <c r="K15" s="0" t="n">
        <f aca="false">K13-MAX(0,K13)*K14/100</f>
        <v>40253.216421098</v>
      </c>
      <c r="L15" s="0" t="n">
        <f aca="false">L13-MAX(0,L13)*L14/100</f>
        <v>41690.6810722903</v>
      </c>
    </row>
    <row r="16" customFormat="false" ht="15" hidden="false" customHeight="false" outlineLevel="0" collapsed="false">
      <c r="A16" s="0" t="s">
        <v>118</v>
      </c>
      <c r="C16" s="0" t="n">
        <f aca="false">-C12</f>
        <v>68011.4682</v>
      </c>
      <c r="D16" s="0" t="n">
        <f aca="false">-D12</f>
        <v>67251.340026</v>
      </c>
      <c r="E16" s="0" t="n">
        <f aca="false">-E12</f>
        <v>66734.65290141</v>
      </c>
      <c r="F16" s="0" t="n">
        <f aca="false">-F12</f>
        <v>66884.5946848277</v>
      </c>
      <c r="G16" s="0" t="n">
        <f aca="false">-G12</f>
        <v>66963.2824432805</v>
      </c>
      <c r="H16" s="0" t="n">
        <f aca="false">-H12</f>
        <v>67108.0679188335</v>
      </c>
      <c r="I16" s="0" t="n">
        <f aca="false">-I12</f>
        <v>67681.2826656402</v>
      </c>
      <c r="J16" s="0" t="n">
        <f aca="false">-J12</f>
        <v>68228.4930361284</v>
      </c>
      <c r="K16" s="0" t="n">
        <f aca="false">-K12</f>
        <v>68920.6661538862</v>
      </c>
      <c r="L16" s="0" t="n">
        <f aca="false">-L12</f>
        <v>70124.2439635588</v>
      </c>
    </row>
    <row r="17" customFormat="false" ht="15" hidden="false" customHeight="false" outlineLevel="0" collapsed="false">
      <c r="A17" s="0" t="s">
        <v>119</v>
      </c>
      <c r="C17" s="4" t="n">
        <f aca="false">-C6*Assumptions!C46/100</f>
        <v>-61210.32138</v>
      </c>
      <c r="D17" s="4" t="n">
        <f aca="false">-D6*Assumptions!D46/100</f>
        <v>-58639.8879495</v>
      </c>
      <c r="E17" s="4" t="n">
        <f aca="false">-E6*Assumptions!E46/100</f>
        <v>-57020.114820825</v>
      </c>
      <c r="F17" s="4" t="n">
        <f aca="false">-F6*Assumptions!F46/100</f>
        <v>-56830.0477714223</v>
      </c>
      <c r="G17" s="4" t="n">
        <f aca="false">-G6*Assumptions!G46/100</f>
        <v>-57461.7356101123</v>
      </c>
      <c r="H17" s="4" t="n">
        <f aca="false">-H6*Assumptions!H46/100</f>
        <v>-58253.531179543</v>
      </c>
      <c r="I17" s="4" t="n">
        <f aca="false">-I6*Assumptions!I46/100</f>
        <v>-60001.1371149292</v>
      </c>
      <c r="J17" s="4" t="n">
        <f aca="false">-J6*Assumptions!J46/100</f>
        <v>-61801.1712283771</v>
      </c>
      <c r="K17" s="4" t="n">
        <f aca="false">-K6*Assumptions!K46/100</f>
        <v>-63346.2005090866</v>
      </c>
      <c r="L17" s="4" t="n">
        <f aca="false">-L6*Assumptions!L46/100</f>
        <v>-64929.8555218137</v>
      </c>
    </row>
    <row r="18" customFormat="false" ht="15" hidden="false" customHeight="false" outlineLevel="0" collapsed="false">
      <c r="A18" s="0" t="s">
        <v>120</v>
      </c>
      <c r="C18" s="4" t="n">
        <f aca="false">(C6-B6)*Assumptions!$B$51/100</f>
        <v>-2353.33800000001</v>
      </c>
      <c r="D18" s="4" t="n">
        <f aca="false">(D6-C6)*Assumptions!$B$51/100</f>
        <v>-3000.50594999999</v>
      </c>
      <c r="E18" s="4" t="n">
        <f aca="false">(E6-D6)*Assumptions!$B$51/100</f>
        <v>-3690.6223185</v>
      </c>
      <c r="F18" s="4" t="n">
        <f aca="false">(F6-E6)*Assumptions!$B$51/100</f>
        <v>-4434.89781939749</v>
      </c>
      <c r="G18" s="4" t="n">
        <f aca="false">(G6-F6)*Assumptions!$B$51/100</f>
        <v>-4590.1192430764</v>
      </c>
      <c r="H18" s="4" t="n">
        <f aca="false">(H6-G6)*Assumptions!$B$51/100</f>
        <v>-4072.09149992922</v>
      </c>
      <c r="I18" s="4" t="n">
        <f aca="false">(I6-H6)*Assumptions!$B$51/100</f>
        <v>-4194.25424492709</v>
      </c>
      <c r="J18" s="4" t="n">
        <f aca="false">(J6-I6)*Assumptions!$B$51/100</f>
        <v>-4320.08187227491</v>
      </c>
      <c r="K18" s="4" t="n">
        <f aca="false">(K6-J6)*Assumptions!$B$51/100</f>
        <v>-3708.07027370262</v>
      </c>
      <c r="L18" s="4" t="n">
        <f aca="false">(L6-K6)*Assumptions!$B$51/100</f>
        <v>-3800.77203054517</v>
      </c>
    </row>
    <row r="19" customFormat="false" ht="15" hidden="false" customHeight="false" outlineLevel="0" collapsed="false">
      <c r="A19" s="0" t="s">
        <v>121</v>
      </c>
      <c r="C19" s="0" t="n">
        <f aca="false">C15+C16+C17+C18</f>
        <v>18294.54367806</v>
      </c>
      <c r="D19" s="0" t="n">
        <f aca="false">D15+D16+D17+D18</f>
        <v>24909.2102299365</v>
      </c>
      <c r="E19" s="0" t="n">
        <f aca="false">E15+E16+E17+E18</f>
        <v>29406.8089220531</v>
      </c>
      <c r="F19" s="0" t="n">
        <f aca="false">F15+F16+F17+F18</f>
        <v>33086.4854903636</v>
      </c>
      <c r="G19" s="0" t="n">
        <f aca="false">G15+G16+G17+G18</f>
        <v>35968.3645508297</v>
      </c>
      <c r="H19" s="0" t="n">
        <f aca="false">H15+H16+H17+H18</f>
        <v>38705.1075440822</v>
      </c>
      <c r="I19" s="0" t="n">
        <f aca="false">I15+I16+I17+I18</f>
        <v>39621.4561309758</v>
      </c>
      <c r="J19" s="0" t="n">
        <f aca="false">J15+J16+J17+J18</f>
        <v>40557.9510362933</v>
      </c>
      <c r="K19" s="0" t="n">
        <f aca="false">K15+K16+K17+K18</f>
        <v>42119.611792195</v>
      </c>
      <c r="L19" s="0" t="n">
        <f aca="false">L15+L16+L17+L18</f>
        <v>43084.2974834902</v>
      </c>
    </row>
    <row r="20" customFormat="false" ht="15" hidden="false" customHeight="false" outlineLevel="0" collapsed="false">
      <c r="A20" s="0" t="s">
        <v>122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123</v>
      </c>
      <c r="C21" s="0" t="n">
        <f aca="false">C19*C20</f>
        <v>16783.9850257431</v>
      </c>
      <c r="D21" s="0" t="n">
        <f aca="false">D19*D20</f>
        <v>20965.5838986083</v>
      </c>
      <c r="E21" s="0" t="n">
        <f aca="false">E19*E20</f>
        <v>22707.4520509217</v>
      </c>
      <c r="F21" s="0" t="n">
        <f aca="false">F19*F20</f>
        <v>23439.3004669164</v>
      </c>
      <c r="G21" s="0" t="n">
        <f aca="false">G19*G20</f>
        <v>23376.969035405</v>
      </c>
      <c r="H21" s="0" t="n">
        <f aca="false">H19*H20</f>
        <v>23078.5910118825</v>
      </c>
      <c r="I21" s="0" t="n">
        <f aca="false">I19*I20</f>
        <v>21674.2933342009</v>
      </c>
      <c r="J21" s="0" t="n">
        <f aca="false">J19*J20</f>
        <v>20354.6679977348</v>
      </c>
      <c r="K21" s="0" t="n">
        <f aca="false">K19*K20</f>
        <v>19393.039331569</v>
      </c>
      <c r="L21" s="0" t="n">
        <f aca="false">L19*L20</f>
        <v>18199.272864535</v>
      </c>
    </row>
    <row r="23" customFormat="false" ht="15" hidden="false" customHeight="false" outlineLevel="0" collapsed="false">
      <c r="A23" s="0" t="s">
        <v>99</v>
      </c>
      <c r="C23" s="4" t="n">
        <f aca="false">Assumptions!C44</f>
        <v>3.6</v>
      </c>
      <c r="D23" s="4" t="n">
        <f aca="false">Assumptions!D44</f>
        <v>3.5</v>
      </c>
      <c r="E23" s="4" t="n">
        <f aca="false">Assumptions!E44</f>
        <v>3.5</v>
      </c>
      <c r="F23" s="4" t="n">
        <f aca="false">Assumptions!F44</f>
        <v>3.4</v>
      </c>
      <c r="G23" s="4" t="n">
        <f aca="false">Assumptions!G44</f>
        <v>3.4</v>
      </c>
      <c r="H23" s="4" t="n">
        <f aca="false">Assumptions!H44</f>
        <v>3.3</v>
      </c>
      <c r="I23" s="4" t="n">
        <f aca="false">Assumptions!I44</f>
        <v>3.3</v>
      </c>
      <c r="J23" s="4" t="n">
        <f aca="false">Assumptions!J44</f>
        <v>3.3</v>
      </c>
      <c r="K23" s="4" t="n">
        <f aca="false">Assumptions!K44</f>
        <v>3.3</v>
      </c>
      <c r="L23" s="4" t="n">
        <f aca="false">Assumptions!L44</f>
        <v>3.3</v>
      </c>
    </row>
    <row r="24" customFormat="false" ht="15" hidden="false" customHeight="false" outlineLevel="0" collapsed="false">
      <c r="A24" s="0" t="s">
        <v>124</v>
      </c>
      <c r="C24" s="0" t="n">
        <f aca="false">-C6*C23/100</f>
        <v>-14402.42856</v>
      </c>
      <c r="D24" s="0" t="n">
        <f aca="false">-D6*D23/100</f>
        <v>-14352.4201275</v>
      </c>
      <c r="E24" s="0" t="n">
        <f aca="false">-E6*E23/100</f>
        <v>-14782.992731325</v>
      </c>
      <c r="F24" s="0" t="n">
        <f aca="false">-F6*F23/100</f>
        <v>-14863.243263295</v>
      </c>
      <c r="G24" s="0" t="n">
        <f aca="false">-G6*G23/100</f>
        <v>-15383.4567775104</v>
      </c>
      <c r="H24" s="0" t="n">
        <f aca="false">-H6*H23/100</f>
        <v>-15378.9322313993</v>
      </c>
      <c r="I24" s="0" t="n">
        <f aca="false">-I6*I23/100</f>
        <v>-15840.3001983413</v>
      </c>
      <c r="J24" s="0" t="n">
        <f aca="false">-J6*J23/100</f>
        <v>-16315.5092042916</v>
      </c>
      <c r="K24" s="0" t="n">
        <f aca="false">-K6*K23/100</f>
        <v>-16723.3969343988</v>
      </c>
      <c r="L24" s="0" t="n">
        <f aca="false">-L6*L23/100</f>
        <v>-17141.4818577588</v>
      </c>
    </row>
    <row r="26" customFormat="false" ht="15" hidden="false" customHeight="false" outlineLevel="0" collapsed="false">
      <c r="A26" s="2" t="s">
        <v>125</v>
      </c>
    </row>
    <row r="27" customFormat="false" ht="15" hidden="false" customHeight="false" outlineLevel="0" collapsed="false">
      <c r="A27" s="0" t="s">
        <v>103</v>
      </c>
      <c r="B27" s="4" t="n">
        <f aca="false">Assumptions!$B$48</f>
        <v>9</v>
      </c>
    </row>
    <row r="28" customFormat="false" ht="15" hidden="false" customHeight="false" outlineLevel="0" collapsed="false">
      <c r="A28" s="0" t="s">
        <v>104</v>
      </c>
      <c r="B28" s="4" t="n">
        <f aca="false">Assumptions!$B$49</f>
        <v>2.5</v>
      </c>
    </row>
    <row r="29" customFormat="false" ht="15" hidden="false" customHeight="false" outlineLevel="0" collapsed="false">
      <c r="A29" s="0" t="s">
        <v>105</v>
      </c>
      <c r="B29" s="4" t="n">
        <f aca="false">Assumptions!$B$50</f>
        <v>14</v>
      </c>
    </row>
    <row r="30" customFormat="false" ht="15" hidden="false" customHeight="false" outlineLevel="0" collapsed="false">
      <c r="A30" s="0" t="s">
        <v>126</v>
      </c>
      <c r="B30" s="0" t="n">
        <f aca="false">SUM(C21:L21)</f>
        <v>209973.155017517</v>
      </c>
    </row>
    <row r="31" customFormat="false" ht="15" hidden="false" customHeight="false" outlineLevel="0" collapsed="false">
      <c r="A31" s="0" t="s">
        <v>127</v>
      </c>
      <c r="B31" s="0" t="n">
        <f aca="false">L19</f>
        <v>43084.2974834902</v>
      </c>
    </row>
    <row r="32" customFormat="false" ht="15" hidden="false" customHeight="false" outlineLevel="0" collapsed="false">
      <c r="A32" s="0" t="s">
        <v>128</v>
      </c>
      <c r="B32" s="0" t="n">
        <f aca="false">IF(B27&gt;B28,B31*(1+B28/100)/((B27-B28)/100),B31*B29)</f>
        <v>679406.229547346</v>
      </c>
    </row>
    <row r="33" customFormat="false" ht="15" hidden="false" customHeight="false" outlineLevel="0" collapsed="false">
      <c r="A33" s="0" t="s">
        <v>129</v>
      </c>
      <c r="B33" s="0" t="n">
        <f aca="false">B31*B29</f>
        <v>603180.164768863</v>
      </c>
    </row>
    <row r="34" customFormat="false" ht="15" hidden="false" customHeight="false" outlineLevel="0" collapsed="false">
      <c r="A34" s="0" t="s">
        <v>130</v>
      </c>
      <c r="B34" s="0" t="n">
        <f aca="false">MAX(0,MIN(B32,B33))</f>
        <v>603180.164768863</v>
      </c>
    </row>
    <row r="35" customFormat="false" ht="15" hidden="false" customHeight="false" outlineLevel="0" collapsed="false">
      <c r="A35" s="0" t="s">
        <v>131</v>
      </c>
      <c r="B35" s="0" t="n">
        <f aca="false">B34/(1+B27/100)^L4</f>
        <v>254789.82010349</v>
      </c>
    </row>
    <row r="36" customFormat="false" ht="15" hidden="false" customHeight="false" outlineLevel="0" collapsed="false">
      <c r="A36" s="0" t="s">
        <v>132</v>
      </c>
      <c r="B36" s="0" t="n">
        <f aca="false">B30+B35</f>
        <v>464762.975121007</v>
      </c>
    </row>
    <row r="37" customFormat="false" ht="15" hidden="false" customHeight="false" outlineLevel="0" collapsed="false">
      <c r="A37" s="0" t="s">
        <v>133</v>
      </c>
      <c r="B37" s="0" t="n">
        <f aca="false">B36+Assumptions!$B$5-Assumptions!$B$4</f>
        <v>581983.975121007</v>
      </c>
    </row>
    <row r="38" customFormat="false" ht="15" hidden="false" customHeight="false" outlineLevel="0" collapsed="false">
      <c r="A38" s="0" t="s">
        <v>134</v>
      </c>
      <c r="B38" s="0" t="n">
        <f aca="false">B37/Assumptions!$B$3*Assumptions!$B$10</f>
        <v>22.2937256434843</v>
      </c>
    </row>
    <row r="39" customFormat="false" ht="15" hidden="false" customHeight="false" outlineLevel="0" collapsed="false">
      <c r="A39" s="0" t="s">
        <v>135</v>
      </c>
      <c r="B39" s="4" t="n">
        <f aca="false">B38/Assumptions!$B$2-1</f>
        <v>2.93534433247737</v>
      </c>
    </row>
    <row r="41" customFormat="false" ht="15" hidden="false" customHeight="false" outlineLevel="0" collapsed="false">
      <c r="A41" s="0" t="s">
        <v>136</v>
      </c>
      <c r="B41" s="0" t="n">
        <f aca="false">SUMPRODUCT(-C10:L10/(1+$B$27/100)^C4:L4)</f>
        <v>865.025570894101</v>
      </c>
    </row>
    <row r="42" customFormat="false" ht="15" hidden="false" customHeight="false" outlineLevel="0" collapsed="false">
      <c r="A42" s="0" t="s">
        <v>137</v>
      </c>
      <c r="B42" s="0" t="n">
        <f aca="false">IF(B27&gt;B28,-L10*(1+B28/100)/((B27-B28)/100),-L10*20)/(1+B27/100)^L4</f>
        <v>1038.00921153801</v>
      </c>
    </row>
    <row r="43" customFormat="false" ht="15" hidden="false" customHeight="false" outlineLevel="0" collapsed="false">
      <c r="A43" s="0" t="s">
        <v>138</v>
      </c>
      <c r="B43" s="0" t="n">
        <f aca="false">(B37+B41+B42)/Assumptions!$B$3*Assumptions!$B$10</f>
        <v>22.3666241031381</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353291.23936462</v>
      </c>
    </row>
    <row r="47" customFormat="false" ht="15" hidden="false" customHeight="false" outlineLevel="0" collapsed="false">
      <c r="A47" s="0" t="s">
        <v>140</v>
      </c>
      <c r="B47" s="0" t="n">
        <f aca="false">(SUMPRODUCT(C19:L19/(1+B45/100)^C4:L4)+B46/(1+B45/100)^L4+Assumptions!$B$5-Assumptions!$B$4)/Assumptions!$B$3*Assumptions!$B$10</f>
        <v>13.9028402221941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8.96879071802377</v>
      </c>
      <c r="C4" s="0" t="n">
        <f aca="false">B4/Assumptions!$B$2-1</f>
        <v>0.583193418892105</v>
      </c>
      <c r="D4" s="4" t="n">
        <f aca="false">Assumptions!$B$24</f>
        <v>0.3</v>
      </c>
      <c r="E4" s="4" t="n">
        <f aca="false">DCF_Bear!$B$43</f>
        <v>9.02416056041156</v>
      </c>
      <c r="F4" s="4" t="n">
        <f aca="false">DCF_Bear!$B$47</f>
        <v>7.62329301174332</v>
      </c>
    </row>
    <row r="5" customFormat="false" ht="15" hidden="false" customHeight="false" outlineLevel="0" collapsed="false">
      <c r="A5" s="0" t="s">
        <v>149</v>
      </c>
      <c r="B5" s="4" t="n">
        <f aca="false">DCF_Base!$B$38</f>
        <v>15.9821528123737</v>
      </c>
      <c r="C5" s="0" t="n">
        <f aca="false">B5/Assumptions!$B$2-1</f>
        <v>1.8212096756176</v>
      </c>
      <c r="D5" s="4" t="n">
        <f aca="false">Assumptions!$B$38</f>
        <v>0.5</v>
      </c>
      <c r="E5" s="4" t="n">
        <f aca="false">DCF_Base!$B$43</f>
        <v>16.0468898036979</v>
      </c>
      <c r="F5" s="4" t="n">
        <f aca="false">DCF_Base!$B$47</f>
        <v>11.1364444696115</v>
      </c>
    </row>
    <row r="6" customFormat="false" ht="15" hidden="false" customHeight="false" outlineLevel="0" collapsed="false">
      <c r="A6" s="0" t="s">
        <v>150</v>
      </c>
      <c r="B6" s="4" t="n">
        <f aca="false">DCF_Bull!$B$38</f>
        <v>22.2937256434843</v>
      </c>
      <c r="C6" s="0" t="n">
        <f aca="false">B6/Assumptions!$B$2-1</f>
        <v>2.93534433247737</v>
      </c>
      <c r="D6" s="4" t="n">
        <f aca="false">Assumptions!$B$52</f>
        <v>0.2</v>
      </c>
      <c r="E6" s="4" t="n">
        <f aca="false">DCF_Bull!$B$43</f>
        <v>22.3666241031381</v>
      </c>
      <c r="F6" s="4" t="n">
        <f aca="false">DCF_Bull!$B$47</f>
        <v>13.9028402221941</v>
      </c>
    </row>
    <row r="8" customFormat="false" ht="15" hidden="false" customHeight="false" outlineLevel="0" collapsed="false">
      <c r="A8" s="0" t="s">
        <v>151</v>
      </c>
      <c r="B8" s="0" t="n">
        <f aca="false">SUMPRODUCT(B4:B6,D4:D6)</f>
        <v>15.1404587502909</v>
      </c>
    </row>
    <row r="9" customFormat="false" ht="15" hidden="false" customHeight="false" outlineLevel="0" collapsed="false">
      <c r="A9" s="0" t="s">
        <v>152</v>
      </c>
      <c r="B9" s="0" t="n">
        <f aca="false">SUMPRODUCT(E4:E6,D4:D6)</f>
        <v>15.2040178906001</v>
      </c>
    </row>
    <row r="10" customFormat="false" ht="15" hidden="false" customHeight="false" outlineLevel="0" collapsed="false">
      <c r="A10" s="0" t="s">
        <v>153</v>
      </c>
      <c r="B10" s="0" t="n">
        <f aca="false">1-Assumptions!$B$2/B8</f>
        <v>0.625836964821745</v>
      </c>
    </row>
    <row r="11" customFormat="false" ht="15" hidden="false" customHeight="false" outlineLevel="0" collapsed="false">
      <c r="A11" s="0" t="s">
        <v>154</v>
      </c>
      <c r="B11" s="0" t="str">
        <f aca="false">IF(ABS(B9-B8)&gt;0.01*ABS(B8),(Assumptions!$B$2-B8)/(B9-B8)*100,"n/a")</f>
        <v>n/a</v>
      </c>
    </row>
    <row r="12" customFormat="false" ht="15" hidden="false" customHeight="false" outlineLevel="0" collapsed="false">
      <c r="A12" s="0" t="s">
        <v>155</v>
      </c>
      <c r="B12" s="0" t="n">
        <f aca="false">SUMPRODUCT(F4:F6,D4:D6)</f>
        <v>10.6357781827675</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15.9821528123737</v>
      </c>
      <c r="C15" s="3" t="n">
        <v>9</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15.2198365256638</v>
      </c>
      <c r="C16" s="3" t="n">
        <v>10</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14.2644056389456</v>
      </c>
      <c r="C17" s="3" t="n">
        <v>11</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13.2466965596251</v>
      </c>
      <c r="C18" s="3" t="n">
        <v>12</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11.1364444696115</v>
      </c>
      <c r="C19" s="3" t="n">
        <v>15</v>
      </c>
    </row>
    <row r="21" customFormat="false" ht="15" hidden="false" customHeight="false" outlineLevel="0" collapsed="false">
      <c r="A21" s="2" t="s">
        <v>163</v>
      </c>
    </row>
    <row r="22" customFormat="false" ht="15" hidden="false" customHeight="false" outlineLevel="0" collapsed="false">
      <c r="B22" s="3" t="n">
        <v>1</v>
      </c>
      <c r="C22" s="3" t="n">
        <v>1.5</v>
      </c>
      <c r="D22" s="3" t="n">
        <v>2</v>
      </c>
      <c r="E22" s="3" t="n">
        <v>2.5</v>
      </c>
      <c r="F22" s="3" t="n">
        <v>3</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17.7301802826959</v>
      </c>
      <c r="C23" s="0" t="n">
        <f aca="false">(SUMPRODUCT(DCF_Base!$C$19:$L$19/(1+$A$23/100)^DCF_Base!$C$4:$L$4)+MAX(0,MIN(IF($A$23&gt;$C$22,DCF_Base!$L$19*(1+$C$22/100)/(($A$23-$C$22)/100),DCF_Base!$L$19*DCF_Base!$B$29),DCF_Base!$L$19*DCF_Base!$B$29))/(1+$A$23/100)^DCF_Base!$L$4+Assumptions!$B$5-Assumptions!$B$4)/Assumptions!$B$3*Assumptions!$B$10</f>
        <v>17.7301802826959</v>
      </c>
      <c r="D23" s="0" t="n">
        <f aca="false">(SUMPRODUCT(DCF_Base!$C$19:$L$19/(1+$A$23/100)^DCF_Base!$C$4:$L$4)+MAX(0,MIN(IF($A$23&gt;$D$22,DCF_Base!$L$19*(1+$D$22/100)/(($A$23-$D$22)/100),DCF_Base!$L$19*DCF_Base!$B$29),DCF_Base!$L$19*DCF_Base!$B$29))/(1+$A$23/100)^DCF_Base!$L$4+Assumptions!$B$5-Assumptions!$B$4)/Assumptions!$B$3*Assumptions!$B$10</f>
        <v>17.7301802826959</v>
      </c>
      <c r="E23" s="0" t="n">
        <f aca="false">(SUMPRODUCT(DCF_Base!$C$19:$L$19/(1+$A$23/100)^DCF_Base!$C$4:$L$4)+MAX(0,MIN(IF($A$23&gt;$E$22,DCF_Base!$L$19*(1+$E$22/100)/(($A$23-$E$22)/100),DCF_Base!$L$19*DCF_Base!$B$29),DCF_Base!$L$19*DCF_Base!$B$29))/(1+$A$23/100)^DCF_Base!$L$4+Assumptions!$B$5-Assumptions!$B$4)/Assumptions!$B$3*Assumptions!$B$10</f>
        <v>17.7301802826959</v>
      </c>
      <c r="F23" s="0" t="n">
        <f aca="false">(SUMPRODUCT(DCF_Base!$C$19:$L$19/(1+$A$23/100)^DCF_Base!$C$4:$L$4)+MAX(0,MIN(IF($A$23&gt;$F$22,DCF_Base!$L$19*(1+$F$22/100)/(($A$23-$F$22)/100),DCF_Base!$L$19*DCF_Base!$B$29),DCF_Base!$L$19*DCF_Base!$B$29))/(1+$A$23/100)^DCF_Base!$L$4+Assumptions!$B$5-Assumptions!$B$4)/Assumptions!$B$3*Assumptions!$B$10</f>
        <v>17.7301802826959</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16.8163046456486</v>
      </c>
      <c r="C24" s="0" t="n">
        <f aca="false">(SUMPRODUCT(DCF_Base!$C$19:$L$19/(1+$A$24/100)^DCF_Base!$C$4:$L$4)+MAX(0,MIN(IF($A$24&gt;$C$22,DCF_Base!$L$19*(1+$C$22/100)/(($A$24-$C$22)/100),DCF_Base!$L$19*DCF_Base!$B$29),DCF_Base!$L$19*DCF_Base!$B$29))/(1+$A$24/100)^DCF_Base!$L$4+Assumptions!$B$5-Assumptions!$B$4)/Assumptions!$B$3*Assumptions!$B$10</f>
        <v>16.8163046456486</v>
      </c>
      <c r="D24" s="0" t="n">
        <f aca="false">(SUMPRODUCT(DCF_Base!$C$19:$L$19/(1+$A$24/100)^DCF_Base!$C$4:$L$4)+MAX(0,MIN(IF($A$24&gt;$D$22,DCF_Base!$L$19*(1+$D$22/100)/(($A$24-$D$22)/100),DCF_Base!$L$19*DCF_Base!$B$29),DCF_Base!$L$19*DCF_Base!$B$29))/(1+$A$24/100)^DCF_Base!$L$4+Assumptions!$B$5-Assumptions!$B$4)/Assumptions!$B$3*Assumptions!$B$10</f>
        <v>16.8163046456486</v>
      </c>
      <c r="E24" s="0" t="n">
        <f aca="false">(SUMPRODUCT(DCF_Base!$C$19:$L$19/(1+$A$24/100)^DCF_Base!$C$4:$L$4)+MAX(0,MIN(IF($A$24&gt;$E$22,DCF_Base!$L$19*(1+$E$22/100)/(($A$24-$E$22)/100),DCF_Base!$L$19*DCF_Base!$B$29),DCF_Base!$L$19*DCF_Base!$B$29))/(1+$A$24/100)^DCF_Base!$L$4+Assumptions!$B$5-Assumptions!$B$4)/Assumptions!$B$3*Assumptions!$B$10</f>
        <v>16.8163046456486</v>
      </c>
      <c r="F24" s="0" t="n">
        <f aca="false">(SUMPRODUCT(DCF_Base!$C$19:$L$19/(1+$A$24/100)^DCF_Base!$C$4:$L$4)+MAX(0,MIN(IF($A$24&gt;$F$22,DCF_Base!$L$19*(1+$F$22/100)/(($A$24-$F$22)/100),DCF_Base!$L$19*DCF_Base!$B$29),DCF_Base!$L$19*DCF_Base!$B$29))/(1+$A$24/100)^DCF_Base!$L$4+Assumptions!$B$5-Assumptions!$B$4)/Assumptions!$B$3*Assumptions!$B$10</f>
        <v>16.8163046456486</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15.9821528123737</v>
      </c>
      <c r="C25" s="0" t="n">
        <f aca="false">(SUMPRODUCT(DCF_Base!$C$19:$L$19/(1+$A$25/100)^DCF_Base!$C$4:$L$4)+MAX(0,MIN(IF($A$25&gt;$C$22,DCF_Base!$L$19*(1+$C$22/100)/(($A$25-$C$22)/100),DCF_Base!$L$19*DCF_Base!$B$29),DCF_Base!$L$19*DCF_Base!$B$29))/(1+$A$25/100)^DCF_Base!$L$4+Assumptions!$B$5-Assumptions!$B$4)/Assumptions!$B$3*Assumptions!$B$10</f>
        <v>15.9821528123737</v>
      </c>
      <c r="D25" s="0" t="n">
        <f aca="false">(SUMPRODUCT(DCF_Base!$C$19:$L$19/(1+$A$25/100)^DCF_Base!$C$4:$L$4)+MAX(0,MIN(IF($A$25&gt;$D$22,DCF_Base!$L$19*(1+$D$22/100)/(($A$25-$D$22)/100),DCF_Base!$L$19*DCF_Base!$B$29),DCF_Base!$L$19*DCF_Base!$B$29))/(1+$A$25/100)^DCF_Base!$L$4+Assumptions!$B$5-Assumptions!$B$4)/Assumptions!$B$3*Assumptions!$B$10</f>
        <v>15.9821528123737</v>
      </c>
      <c r="E25" s="0" t="n">
        <f aca="false">(SUMPRODUCT(DCF_Base!$C$19:$L$19/(1+$A$25/100)^DCF_Base!$C$4:$L$4)+MAX(0,MIN(IF($A$25&gt;$E$22,DCF_Base!$L$19*(1+$E$22/100)/(($A$25-$E$22)/100),DCF_Base!$L$19*DCF_Base!$B$29),DCF_Base!$L$19*DCF_Base!$B$29))/(1+$A$25/100)^DCF_Base!$L$4+Assumptions!$B$5-Assumptions!$B$4)/Assumptions!$B$3*Assumptions!$B$10</f>
        <v>15.9821528123737</v>
      </c>
      <c r="F25" s="0" t="n">
        <f aca="false">(SUMPRODUCT(DCF_Base!$C$19:$L$19/(1+$A$25/100)^DCF_Base!$C$4:$L$4)+MAX(0,MIN(IF($A$25&gt;$F$22,DCF_Base!$L$19*(1+$F$22/100)/(($A$25-$F$22)/100),DCF_Base!$L$19*DCF_Base!$B$29),DCF_Base!$L$19*DCF_Base!$B$29))/(1+$A$25/100)^DCF_Base!$L$4+Assumptions!$B$5-Assumptions!$B$4)/Assumptions!$B$3*Assumptions!$B$10</f>
        <v>15.9821528123737</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14.8904304469866</v>
      </c>
      <c r="C26" s="0" t="n">
        <f aca="false">(SUMPRODUCT(DCF_Base!$C$19:$L$19/(1+$A$26/100)^DCF_Base!$C$4:$L$4)+MAX(0,MIN(IF($A$26&gt;$C$22,DCF_Base!$L$19*(1+$C$22/100)/(($A$26-$C$22)/100),DCF_Base!$L$19*DCF_Base!$B$29),DCF_Base!$L$19*DCF_Base!$B$29))/(1+$A$26/100)^DCF_Base!$L$4+Assumptions!$B$5-Assumptions!$B$4)/Assumptions!$B$3*Assumptions!$B$10</f>
        <v>15.1949234608899</v>
      </c>
      <c r="D26" s="0" t="n">
        <f aca="false">(SUMPRODUCT(DCF_Base!$C$19:$L$19/(1+$A$26/100)^DCF_Base!$C$4:$L$4)+MAX(0,MIN(IF($A$26&gt;$D$22,DCF_Base!$L$19*(1+$D$22/100)/(($A$26-$D$22)/100),DCF_Base!$L$19*DCF_Base!$B$29),DCF_Base!$L$19*DCF_Base!$B$29))/(1+$A$26/100)^DCF_Base!$L$4+Assumptions!$B$5-Assumptions!$B$4)/Assumptions!$B$3*Assumptions!$B$10</f>
        <v>15.2198365256638</v>
      </c>
      <c r="E26" s="0" t="n">
        <f aca="false">(SUMPRODUCT(DCF_Base!$C$19:$L$19/(1+$A$26/100)^DCF_Base!$C$4:$L$4)+MAX(0,MIN(IF($A$26&gt;$E$22,DCF_Base!$L$19*(1+$E$22/100)/(($A$26-$E$22)/100),DCF_Base!$L$19*DCF_Base!$B$29),DCF_Base!$L$19*DCF_Base!$B$29))/(1+$A$26/100)^DCF_Base!$L$4+Assumptions!$B$5-Assumptions!$B$4)/Assumptions!$B$3*Assumptions!$B$10</f>
        <v>15.2198365256638</v>
      </c>
      <c r="F26" s="0" t="n">
        <f aca="false">(SUMPRODUCT(DCF_Base!$C$19:$L$19/(1+$A$26/100)^DCF_Base!$C$4:$L$4)+MAX(0,MIN(IF($A$26&gt;$F$22,DCF_Base!$L$19*(1+$F$22/100)/(($A$26-$F$22)/100),DCF_Base!$L$19*DCF_Base!$B$29),DCF_Base!$L$19*DCF_Base!$B$29))/(1+$A$26/100)^DCF_Base!$L$4+Assumptions!$B$5-Assumptions!$B$4)/Assumptions!$B$3*Assumptions!$B$10</f>
        <v>15.2198365256638</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13.7872570853949</v>
      </c>
      <c r="C27" s="0" t="n">
        <f aca="false">(SUMPRODUCT(DCF_Base!$C$19:$L$19/(1+$A$27/100)^DCF_Base!$C$4:$L$4)+MAX(0,MIN(IF($A$27&gt;$C$22,DCF_Base!$L$19*(1+$C$22/100)/(($A$27-$C$22)/100),DCF_Base!$L$19*DCF_Base!$B$29),DCF_Base!$L$19*DCF_Base!$B$29))/(1+$A$27/100)^DCF_Base!$L$4+Assumptions!$B$5-Assumptions!$B$4)/Assumptions!$B$3*Assumptions!$B$10</f>
        <v>14.0132748212873</v>
      </c>
      <c r="D27" s="0" t="n">
        <f aca="false">(SUMPRODUCT(DCF_Base!$C$19:$L$19/(1+$A$27/100)^DCF_Base!$C$4:$L$4)+MAX(0,MIN(IF($A$27&gt;$D$22,DCF_Base!$L$19*(1+$D$22/100)/(($A$27-$D$22)/100),DCF_Base!$L$19*DCF_Base!$B$29),DCF_Base!$L$19*DCF_Base!$B$29))/(1+$A$27/100)^DCF_Base!$L$4+Assumptions!$B$5-Assumptions!$B$4)/Assumptions!$B$3*Assumptions!$B$10</f>
        <v>14.2644056389456</v>
      </c>
      <c r="E27" s="0" t="n">
        <f aca="false">(SUMPRODUCT(DCF_Base!$C$19:$L$19/(1+$A$27/100)^DCF_Base!$C$4:$L$4)+MAX(0,MIN(IF($A$27&gt;$E$22,DCF_Base!$L$19*(1+$E$22/100)/(($A$27-$E$22)/100),DCF_Base!$L$19*DCF_Base!$B$29),DCF_Base!$L$19*DCF_Base!$B$29))/(1+$A$27/100)^DCF_Base!$L$4+Assumptions!$B$5-Assumptions!$B$4)/Assumptions!$B$3*Assumptions!$B$10</f>
        <v>14.522323776</v>
      </c>
      <c r="F27" s="0" t="n">
        <f aca="false">(SUMPRODUCT(DCF_Base!$C$19:$L$19/(1+$A$27/100)^DCF_Base!$C$4:$L$4)+MAX(0,MIN(IF($A$27&gt;$F$22,DCF_Base!$L$19*(1+$F$22/100)/(($A$27-$F$22)/100),DCF_Base!$L$19*DCF_Base!$B$29),DCF_Base!$L$19*DCF_Base!$B$29))/(1+$A$27/100)^DCF_Base!$L$4+Assumptions!$B$5-Assumptions!$B$4)/Assumptions!$B$3*Assumptions!$B$10</f>
        <v>14.522323776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2026-10-11T07:01:46Z</dcterms:created>
  <dc:creator>openpyxl</dc:creator>
  <dc:description/>
  <dc:language>en-NZ</dc:language>
  <cp:lastModifiedBy/>
  <dcterms:modified xsi:type="dcterms:W3CDTF">2026-10-11T07:01:46Z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