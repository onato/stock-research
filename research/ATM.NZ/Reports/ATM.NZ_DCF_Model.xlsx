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<sst xmlns="http://schemas.openxmlformats.org/spreadsheetml/2006/main" count="180" uniqueCount="156">
  <si>
    <t>ATM.NZ (The a2 Milk Company) DCF Valuation Model</t>
  </si>
  <si>
    <t>Gray cells are INPUTS - adjust to see valuation change. FY ends 30 June.</t>
  </si>
  <si>
    <t>KEY INPUTS</t>
  </si>
  <si>
    <t>Current Stock Price (NZD)</t>
  </si>
  <si>
    <t>Shares Outstanding (M)</t>
  </si>
  <si>
    <t>Cash &amp; Term Deposits (M)</t>
  </si>
  <si>
    <t>Total Debt (M)</t>
  </si>
  <si>
    <t>Less: Pending Special Dividend (M)</t>
  </si>
  <si>
    <t>Net Debt / (Net Cash) (M)</t>
  </si>
  <si>
    <t>FY2025 Reported FCF (M)</t>
  </si>
  <si>
    <t>Less: Stock-Based Comp (M)</t>
  </si>
  <si>
    <t>Less: Interest Income (M)</t>
  </si>
  <si>
    <t>FY2025 Owner FCF (M)</t>
  </si>
  <si>
    <t>Annual Share Growth (dilution)</t>
  </si>
  <si>
    <t>WACC (Base)</t>
  </si>
  <si>
    <t>Terminal Growth Rate (Base)</t>
  </si>
  <si>
    <t>FY2025 Continuing-Ops Revenue base (M)</t>
  </si>
  <si>
    <t>GROWTH &amp; MARGIN ASSUMPTIONS (BASE CASE)</t>
  </si>
  <si>
    <t>FY2027</t>
  </si>
  <si>
    <t>FY2028</t>
  </si>
  <si>
    <t>FY2029</t>
  </si>
  <si>
    <t>FY2030</t>
  </si>
  <si>
    <t>FY2031</t>
  </si>
  <si>
    <t>Revenue Growth %</t>
  </si>
  <si>
    <t>Adj. EBITDA Margin %</t>
  </si>
  <si>
    <t>SBC % of Revenue</t>
  </si>
  <si>
    <t>D&amp;A % of Revenue</t>
  </si>
  <si>
    <t>CapEx % of Revenue</t>
  </si>
  <si>
    <t>Cash Tax Rate %</t>
  </si>
  <si>
    <t>Working Capital Capture % (of rev increase)</t>
  </si>
  <si>
    <t>PROJECTIONS (COMPONENT BUILD)</t>
  </si>
  <si>
    <t>Revenue</t>
  </si>
  <si>
    <t>Adj. EBITDA</t>
  </si>
  <si>
    <t>Less: SBC</t>
  </si>
  <si>
    <t>Owner EBITDA</t>
  </si>
  <si>
    <t>Less: D&amp;A</t>
  </si>
  <si>
    <t>EBIT</t>
  </si>
  <si>
    <t>NOPAT</t>
  </si>
  <si>
    <t>Add back: D&amp;A</t>
  </si>
  <si>
    <t>Less: CapEx</t>
  </si>
  <si>
    <t>Less: Working Capital</t>
  </si>
  <si>
    <t>Owner FCF</t>
  </si>
  <si>
    <t>Owner FCF Margin %</t>
  </si>
  <si>
    <t>Discount Factor</t>
  </si>
  <si>
    <t>PV of FCF</t>
  </si>
  <si>
    <t>VALUATION</t>
  </si>
  <si>
    <t>Sum of PV of FCF</t>
  </si>
  <si>
    <t>Terminal FCF (Year 5 * (1+g))</t>
  </si>
  <si>
    <t>Gordon Terminal Value</t>
  </si>
  <si>
    <t>Cap Terminal Value (20x Yr5 FCF)</t>
  </si>
  <si>
    <t>Terminal Value (lower of the two)</t>
  </si>
  <si>
    <t>PV of Terminal Value</t>
  </si>
  <si>
    <t>Enterprise Value</t>
  </si>
  <si>
    <t>Less: Net Debt / (Net Cash)</t>
  </si>
  <si>
    <t>Equity Value</t>
  </si>
  <si>
    <t>INTRINSIC VALUE/SHARE</t>
  </si>
  <si>
    <t>ENTRY PRICE (15% IRR Target)</t>
  </si>
  <si>
    <t>PV of Yrs 1-5 FCF @15%</t>
  </si>
  <si>
    <t>PV of Terminal Value @15%</t>
  </si>
  <si>
    <t>Entry Price (15% CAGR)</t>
  </si>
  <si>
    <t>Upside to Intrinsic Value</t>
  </si>
  <si>
    <t>Upside to Entry Price</t>
  </si>
  <si>
    <t>Sensitivity Analysis</t>
  </si>
  <si>
    <t>Intrinsic Value by WACC &amp; Terminal Growth (Base Case)</t>
  </si>
  <si>
    <t>WACC \ Term G</t>
  </si>
  <si>
    <t>Note: terminal value uses fixed Year-5 Owner FCF and Sum of PV FCF from the Base</t>
  </si>
  <si>
    <t>case sheet (undiscounted PV of interim years is WACC-invariant here for simplicity;</t>
  </si>
  <si>
    <t>for full WACC-consistent re-discounting of interim years, use the JSON matrix values below).</t>
  </si>
  <si>
    <t>JSON-COMPUTED SENSITIVITY MATRIX (fully re-discounted, authoritative)</t>
  </si>
  <si>
    <t>Historical Growth Rates</t>
  </si>
  <si>
    <t>Metric</t>
  </si>
  <si>
    <t>3-Year CAGR</t>
  </si>
  <si>
    <t>5-Year CAGR</t>
  </si>
  <si>
    <t>EPS</t>
  </si>
  <si>
    <t>Equity</t>
  </si>
  <si>
    <t>FCF (owner)</t>
  </si>
  <si>
    <t>Selected Growth Rate:</t>
  </si>
  <si>
    <t>Source:</t>
  </si>
  <si>
    <t>revenue_3yr_cagr (FY2023-FY2025, post-daigou-collapse recovery base)</t>
  </si>
  <si>
    <t>Divergence Warning:</t>
  </si>
  <si>
    <t>FY2020 (peak, pre-daigou-collapse) and FY2021-2022 (daigou/China-channel collapse trough, ~$200m inventory write-downs) are structural outliers excluded from all CAGR baselines per company guidance. 5-year revenue CAGR (1.9%, FY2020-2025) is distorted by starting at the pre-collapse peak; 3-year CAGR (9.3%, FY2023-2025) is the cleaner post-recovery trend and is used as the historical anchor, though the FY26 explicit forecast is guidance-driven (mid-double-digit %) rather than a mechanical CAGR extrapolation. Reported FCF 3yr CAGR (39.9%) is far above owner FCF 3yr CAGR (55.8% off a very depressed FY2023 base distorted by a $26.7m interest income spike and inventory rebuild) - neither is a reliable growth-rate input; revenue and EBITDA-margin components drive the projection instead. Equity CAGR is distorted by the FY25 dividend policy inception and pending special dividend and is not used as the growth driver.</t>
  </si>
  <si>
    <t>Notes:</t>
  </si>
  <si>
    <t>SBC is small for ATM.NZ (~0.6-1.6% of revenue historically, well below the FCF base) so SBC-driven dilution is not a material growth-rate distortion here, unlike SBC-heavy tech names. The dominant adjustment for ATM.NZ is the interest income strip: FY2025 interest income of $45.5m equals 23% of reported FCF ($197.5m) and would double-count the $896.9m cash pile if left inside FCF while cash is also added to EV.</t>
  </si>
  <si>
    <t>Historical Owner FCF Build (FY, NZD millions)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</si>
  <si>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</si>
  <si>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</si>
  <si>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</si>
  <si>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</si>
  <si>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</si>
  <si>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</si>
  <si>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</si>
  <si>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</si>
  <si>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</si>
  <si>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</si>
  <si>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Reported FCF</t>
  </si>
  <si>
    <t>Less: Interest Income</t>
  </si>
  <si>
    <t>FCF Quality Reconciliation</t>
  </si>
  <si>
    <t>Reported FCF (company definition) reconciled to Owner FCF, FY2016-FY2025</t>
  </si>
  <si>
    <t>Reported Revenue</t>
  </si>
  <si>
    <t>Reported FCF (company definition)</t>
  </si>
  <si>
    <t>Reported FCF Margin %</t>
  </si>
  <si>
    <t>Less: SBC (incl. equity-award taxes, nil)</t>
  </si>
  <si>
    <t>Memo: cash tax rate flag</t>
  </si>
  <si>
    <t>FY2023 interest income spike ($26.7m, +307% YoY) reflects rising global rates on a growing cash pile</t>
  </si>
  <si>
    <t>post FY2020-22 cash build; FY2021-22 daigou-collapse trough years have depressed reported FCF unrelated</t>
  </si>
  <si>
    <t>to tax; NZ statutory corporate tax rate is 28% flat (no valuation-allowance/one-off releases identified</t>
  </si>
  <si>
    <t>in ATM.NZ filings) so no tax-rate ramp adjustment was required for the historical series.</t>
  </si>
  <si>
    <t>Memo: FY2025 interest income as % of reported FCF</t>
  </si>
  <si>
    <t>This is the core reason net cash must be netted from FCF - at 23% of reported FCF, leaving</t>
  </si>
  <si>
    <t>interest income inside FCF while also adding the $896.9m cash pile to enterprise value would</t>
  </si>
  <si>
    <t>double-count roughly $45m/yr of value.</t>
  </si>
  <si>
    <t>Model Provenance &amp; Methodology</t>
  </si>
  <si>
    <t>Ticker</t>
  </si>
  <si>
    <t>ATM.NZ (The a2 Milk Company Limited)</t>
  </si>
  <si>
    <t>Built by</t>
  </si>
  <si>
    <t>Claude dcf-analyst agent, per .claude/agents/dcf-analyst.md and project CLAUDE.md conventions</t>
  </si>
  <si>
    <t>Valuation date</t>
  </si>
  <si>
    <t>2026-08-08</t>
  </si>
  <si>
    <t>Current price data vintage</t>
  </si>
  <si>
    <t>NZ$8.25, fetched live from Yahoo Finance chart API on 2026-08-08</t>
  </si>
  <si>
    <t>Financial data vintage</t>
  </si>
  <si>
    <t>H1-FY2026 interim result (31 Dec 2025, released 16 Feb 2026) is the latest balance sheet; FY2025 Annual Report (30 Jun 2025, released 18 Aug 2025) is the latest full-year P&amp;L/cash flow used to anchor SBC%, D&amp;A%, and owner-FCF margin ratios</t>
  </si>
  <si>
    <t>Fiscal year</t>
  </si>
  <si>
    <t>FY ends 30 June. H1 = 1 Jul-31 Dec.</t>
  </si>
  <si>
    <t>Horizon</t>
  </si>
  <si>
    <t>5-year explicit projection (FY2027-FY2031); Year-5 owner-FCF margin (9.8% base) verified analytically equal to the steady-state margin implied by terminal-year component assumptions (mature, not still ramping) - see Quality Checklist in dcf-analyst.md for the maturity test.</t>
  </si>
  <si>
    <t>Owner FCF adjustment</t>
  </si>
  <si>
    <t>last_fcf = reported_fcf - SBC - interest_income. EquityAwardTaxes confirmed NIL in kpis table (no net-share-settlement cash tax withholding disclosed). Interest income strip is the dominant adjustment: FY2025 interest income of $45.5m = 23% of reported FCF, and the company holds ~$897m of net cash (&gt;1x the FCF base) so leaving interest income inside FCF while separately adding net cash to EV would double-count value.</t>
  </si>
  <si>
    <t>SBC treatment</t>
  </si>
  <si>
    <t>Immaterial for ATM.NZ (~0.6-1.6% of revenue historically, vs 15%+ for SBC-heavy tech comps). Projected as a declining % of revenue (0.7% -&gt; 0.6% base case) per policy, but the base-vs-non-cash-SBC IV spread is only ~$0.17/share - SBC is NOT a material driver of this valuation, unlike the reference DUOL model.</t>
  </si>
  <si>
    <t>Share count</t>
  </si>
  <si>
    <t>Held flat at 729.05M (H1-2026 actual) across the projection. Buybacks have historically kept the share count in a tight 700-745M band for a decade (FY2020-23 cumulative buybacks ~$175M against modest annual SBC of $2-17M/yr), so uncovered_dilution = 0 is a defensible simplification rather than a mechanical max(0, sbc-buyback) computation per year.</t>
  </si>
  <si>
    <t>Net debt treatment</t>
  </si>
  <si>
    <t>Net cash of $896.9M (H1-2026, zero debt) LESS the pending $300M special dividend (Board-announced, subject to SAMR regulatory approval for China-label registration transfer + MVM divestment completion - both substantially achieved by early FY26 per company commentary, but not yet paid as of H1-2026) = $596.9M net cash used in the EV-to-equity bridge. Rationale: the special dividend is an already-committed economic distribution to today's shareholders and should not inflate the going-forward intrinsic value of the enterprise. If delayed/cancelled, add back up to $0.41/share (300/729).</t>
  </si>
  <si>
    <t>Component margin build</t>
  </si>
  <si>
    <t>Revenue -&gt; Adj. EBITDA (ramping margin) -&gt; less SBC% -&gt; less D&amp;A% -&gt; EBIT -&gt; x(1-tax) -&gt; NOPAT -&gt; +D&amp;A -&gt; less CapEx% -&gt; less Working Capital (15% of the YoY revenue INCREASE, not a flat % of revenue) -&gt; Owner FCF. CapEx is temporarily elevated (~3.0% of revenue in FY27, tapering to ~2.1% by FY31) reflecting the multi-year Pokeno/Yashili insourcing capital programme (company-guided $50-70M for FY26 vs $4-33M historical run-rate).</t>
  </si>
  <si>
    <t>Working capital driver</t>
  </si>
  <si>
    <t>Modelled as 15% (base case) of the year-over-year revenue INCREASE, not a flat % of revenue - a2 is a physical-goods FMCG business with real inventory/receivables build (H1-2026 inventories +$34.3M in 6 months on Pokeno insourcing + growth), unlike SaaS deferred-revenue tailwinds. This is a cash OUTFLOW that scales with growth, consistent with the FCF-quality checklist.</t>
  </si>
  <si>
    <t>Growth rate anchor</t>
  </si>
  <si>
    <t>FY2023-FY2025 revenue 3yr CAGR (9.3%) used as the historical anchor; FY2020 (pre-daigou-collapse peak) and FY2021-22 (daigou/China-channel collapse trough, ~$200M inventory write-downs) excluded from CAGR baselines per company guidance. FY2026 explicit Year-1 growth (14.5%) is guidance-driven (company's "mid double-digit %" FY26 revenue growth guidance off the $1,757M FY25 continuing-operations base), then decelerates to a 3.5% (base case) terminal rate reflecting the structurally shrinking China IMF category (declining birth rates) partially offset by continued share gains.</t>
  </si>
  <si>
    <t>Discontinued operations</t>
  </si>
  <si>
    <t>H1-2026 consolidated NPAT ($8.4M) includes a $103.7M after-tax loss on the Mataura Valley Milk (MVM) divestment (Oct-2025), a one-off. Continuing-operations profit for H1-2026 was $112.1M (verified directly in the H1-2026 interim financial statements) and is the figure referenced for trend analysis; FY2025 continuing-operations revenue base of $1,757M (excluding MVM, now divested) is used as the anchor for FY2026 guided growth.</t>
  </si>
  <si>
    <t>WACC rationale</t>
  </si>
  <si>
    <t>Base 10.5%: NZ/ASX dual-listed large-cap consumer staple with a liquid, low-leverage balance sheet (zero debt) would normally justify ~8.5-9.5%, but a meaningful China-concentration/regulatory premium (SAMR registration dependency, ~68% of FY25 revenue from China &amp; Other Asia, geopolitical/trade-policy risk) is added, landing at 10.5% base (9.5% bull / 12.0% bear).</t>
  </si>
  <si>
    <t>Terminal growth rationale</t>
  </si>
  <si>
    <t>2.25% base (1.5% bear / 2.5% bull), capped below typical 2.5-3% consumer-staple norms because the core China IMF category faces a structural, demographic (not merely cyclical) headwind from declining birth rates that this model does not assume reverses, notwithstanding a recent CY24 uptick and new government childcare subsidies (both treated as an unquantified bull-case upside only).</t>
  </si>
  <si>
    <t>Terminal value bound</t>
  </si>
  <si>
    <t>Gordon growth formula binds in all three scenarios (base/bull/bear) - the 20x-FCF cap never binds. Implied exit multiples (9.7x-14.6x FCF-equivalent across scenarios) are meaningfully BELOW the company's current traded multiple (~19.7x FY2025 EV/EBITDA net of the pending special dividend, ~37-39x reported/owner FCF) - i.e., this DCF does NOT assume multiple expansion; it assumes a de-rating toward levels more typical of a maturing, demographically-challenged consumer staple.</t>
  </si>
  <si>
    <t>Key gap to market price</t>
  </si>
  <si>
    <t>Even the bull case ($6.22) sits below the $8.25 current price; base case is $4.44 (-46%). This is an explicit model output, not a data error - see the `warnings` and `memo` blocks in the JSON for the three drivers (interest-income double-count removal, elevated Pokeno capex depressing near-term FCF conversion, and the gap between the market's current EV/EBITDA multiple and this DCF's implied terminal exit multiple).</t>
  </si>
  <si>
    <t>What to refresh next</t>
  </si>
  <si>
    <t>(1) FY2026 Annual Report (expected ~Aug 2026) - update FY26 actual revenue/EBITDA/FCF, confirm whether the $300M special dividend was paid (if so, remove the net-debt adjustment and treat as a historical cash outflow instead); (2) confirm FY2027 guidance once issued; (3) re-check China birth-rate data and any government subsidy impact for terminal-growth assumption; (4) re-verify current share price.</t>
  </si>
  <si>
    <t>Colour conventions</t>
  </si>
  <si>
    <t>Gray-filled cells = INPUTS (safe to edit). White cells with borders = FORMULAS (do not hand-edit; they recompute from inputs). Green highlighted cells = key OUTPUTS (Intrinsic Value/Share, Entry Price).</t>
  </si>
  <si>
    <t>Staleness warning</t>
  </si>
  <si>
    <t>All figures in this workbook reflect data as of the valuation date above. Financial data, guidance, and the special-dividend status will go stale after each new filing (H1/FY results) and MUST be re-checked before reuse - do not treat this file as evergreen.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</si>
</sst>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0%"/>
    <numFmt numFmtId="166" formatCode="0.0%"/>
    <numFmt numFmtId="167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7" fontId="4" fillId="4" borderId="2" xfId="0" applyNumberFormat="1" applyFont="1" applyFill="1" applyBorder="1"/>
    <xf numFmtId="165" fontId="4" fillId="3" borderId="0" xfId="0" applyNumberFormat="1" applyFont="1" applyFill="1"/>
    <xf numFmtId="166" fontId="4" fillId="3" borderId="0" xfId="0" applyNumberFormat="1" applyFont="1" applyFill="1"/>
    <xf numFmtId="167" fontId="0" fillId="0" borderId="2" xfId="0" applyNumberFormat="1" applyBorder="1"/>
    <xf numFmtId="0" fontId="0" fillId="0" borderId="0" xfId="0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8.25</v>
      </c>
    </row>
    <row r="6" spans="1:2">
      <c r="A6" t="s">
        <v>4</v>
      </c>
      <c r="B6" s="4">
        <v>729</v>
      </c>
    </row>
    <row r="7" spans="1:2">
      <c r="A7" t="s">
        <v>5</v>
      </c>
      <c r="B7" s="4">
        <v>896.9</v>
      </c>
    </row>
    <row r="8" spans="1:2">
      <c r="A8" t="s">
        <v>6</v>
      </c>
      <c r="B8" s="4">
        <v>0</v>
      </c>
    </row>
    <row r="9" spans="1:2">
      <c r="A9" t="s">
        <v>7</v>
      </c>
      <c r="B9" s="4">
        <v>300</v>
      </c>
    </row>
    <row r="10" spans="1:2">
      <c r="A10" t="s">
        <v>8</v>
      </c>
      <c r="B10" s="5">
        <f>B8-B7+B9</f>
        <v>0</v>
      </c>
    </row>
    <row r="11" spans="1:2">
      <c r="A11" t="s">
        <v>9</v>
      </c>
      <c r="B11" s="4">
        <v>197.5</v>
      </c>
    </row>
    <row r="12" spans="1:2">
      <c r="A12" t="s">
        <v>10</v>
      </c>
      <c r="B12" s="4">
        <v>13.54</v>
      </c>
    </row>
    <row r="13" spans="1:2">
      <c r="A13" t="s">
        <v>11</v>
      </c>
      <c r="B13" s="4">
        <v>45.5</v>
      </c>
    </row>
    <row r="14" spans="1:2">
      <c r="A14" t="s">
        <v>12</v>
      </c>
      <c r="B14" s="5">
        <f>B11-B12-B13</f>
        <v>0</v>
      </c>
    </row>
    <row r="15" spans="1:2">
      <c r="A15" t="s">
        <v>13</v>
      </c>
      <c r="B15" s="6">
        <v>0</v>
      </c>
    </row>
    <row r="17" spans="1:6">
      <c r="A17" t="s">
        <v>14</v>
      </c>
      <c r="B17" s="6">
        <v>0.105</v>
      </c>
    </row>
    <row r="18" spans="1:6">
      <c r="A18" t="s">
        <v>15</v>
      </c>
      <c r="B18" s="6">
        <v>0.0225</v>
      </c>
    </row>
    <row r="19" spans="1:6">
      <c r="A19" t="s">
        <v>16</v>
      </c>
      <c r="B19" s="4">
        <v>1757</v>
      </c>
    </row>
    <row r="21" spans="1:6">
      <c r="A21" s="3" t="s">
        <v>17</v>
      </c>
    </row>
    <row r="22" spans="1:6">
      <c r="B22" s="7" t="s">
        <v>18</v>
      </c>
      <c r="C22" s="7" t="s">
        <v>19</v>
      </c>
      <c r="D22" s="7" t="s">
        <v>20</v>
      </c>
      <c r="E22" s="7" t="s">
        <v>21</v>
      </c>
      <c r="F22" s="7" t="s">
        <v>22</v>
      </c>
    </row>
    <row r="23" spans="1:6">
      <c r="A23" t="s">
        <v>23</v>
      </c>
      <c r="B23" s="6">
        <v>0.145</v>
      </c>
      <c r="C23" s="6">
        <v>0.1</v>
      </c>
      <c r="D23" s="6">
        <v>0.07000000000000001</v>
      </c>
      <c r="E23" s="6">
        <v>0.05</v>
      </c>
      <c r="F23" s="6">
        <v>0.035</v>
      </c>
    </row>
    <row r="24" spans="1:6">
      <c r="A24" t="s">
        <v>24</v>
      </c>
      <c r="B24" s="6">
        <v>0.158</v>
      </c>
      <c r="C24" s="6">
        <v>0.165</v>
      </c>
      <c r="D24" s="6">
        <v>0.17</v>
      </c>
      <c r="E24" s="6">
        <v>0.172</v>
      </c>
      <c r="F24" s="6">
        <v>0.173</v>
      </c>
    </row>
    <row r="25" spans="1:6">
      <c r="A25" t="s">
        <v>25</v>
      </c>
      <c r="B25" s="6">
        <v>0.006999999999999999</v>
      </c>
      <c r="C25" s="6">
        <v>0.006999999999999999</v>
      </c>
      <c r="D25" s="6">
        <v>0.006500000000000001</v>
      </c>
      <c r="E25" s="6">
        <v>0.006500000000000001</v>
      </c>
      <c r="F25" s="6">
        <v>0.006</v>
      </c>
    </row>
    <row r="26" spans="1:6">
      <c r="A26" t="s">
        <v>26</v>
      </c>
      <c r="B26" s="6">
        <v>0.016</v>
      </c>
      <c r="C26" s="6">
        <v>0.017</v>
      </c>
      <c r="D26" s="6">
        <v>0.016</v>
      </c>
      <c r="E26" s="6">
        <v>0.015</v>
      </c>
      <c r="F26" s="6">
        <v>0.0145</v>
      </c>
    </row>
    <row r="27" spans="1:6">
      <c r="A27" t="s">
        <v>27</v>
      </c>
      <c r="B27" s="6">
        <v>0.03</v>
      </c>
      <c r="C27" s="6">
        <v>0.028</v>
      </c>
      <c r="D27" s="6">
        <v>0.024</v>
      </c>
      <c r="E27" s="6">
        <v>0.022</v>
      </c>
      <c r="F27" s="6">
        <v>0.021</v>
      </c>
    </row>
    <row r="28" spans="1:6">
      <c r="A28" t="s">
        <v>28</v>
      </c>
      <c r="B28" s="6">
        <v>0.24</v>
      </c>
      <c r="C28" s="6">
        <v>0.26</v>
      </c>
      <c r="D28" s="6">
        <v>0.28</v>
      </c>
      <c r="E28" s="6">
        <v>0.28</v>
      </c>
      <c r="F28" s="6">
        <v>0.28</v>
      </c>
    </row>
    <row r="29" spans="1:6">
      <c r="A29" t="s">
        <v>29</v>
      </c>
      <c r="B29" s="6">
        <v>0.15</v>
      </c>
    </row>
    <row r="31" spans="1:6">
      <c r="A31" s="3" t="s">
        <v>30</v>
      </c>
    </row>
    <row r="32" spans="1:6">
      <c r="A32" s="7"/>
      <c r="B32" s="7" t="s">
        <v>18</v>
      </c>
      <c r="C32" s="7" t="s">
        <v>19</v>
      </c>
      <c r="D32" s="7" t="s">
        <v>20</v>
      </c>
      <c r="E32" s="7" t="s">
        <v>21</v>
      </c>
      <c r="F32" s="7" t="s">
        <v>22</v>
      </c>
    </row>
    <row r="33" spans="1:6">
      <c r="A33" t="s">
        <v>31</v>
      </c>
      <c r="B33" s="5">
        <f>$B$19*(1+B23)</f>
        <v>0</v>
      </c>
      <c r="C33" s="5">
        <f>B33*(1+C23)</f>
        <v>0</v>
      </c>
      <c r="D33" s="5">
        <f>C33*(1+D23)</f>
        <v>0</v>
      </c>
      <c r="E33" s="5">
        <f>D33*(1+E23)</f>
        <v>0</v>
      </c>
      <c r="F33" s="5">
        <f>E33*(1+F23)</f>
        <v>0</v>
      </c>
    </row>
    <row r="34" spans="1:6">
      <c r="A34" t="s">
        <v>32</v>
      </c>
      <c r="B34" s="5">
        <f>B33*B24</f>
        <v>0</v>
      </c>
      <c r="C34" s="5">
        <f>C33*C24</f>
        <v>0</v>
      </c>
      <c r="D34" s="5">
        <f>D33*D24</f>
        <v>0</v>
      </c>
      <c r="E34" s="5">
        <f>E33*E24</f>
        <v>0</v>
      </c>
      <c r="F34" s="5">
        <f>F33*F24</f>
        <v>0</v>
      </c>
    </row>
    <row r="35" spans="1:6">
      <c r="A35" t="s">
        <v>33</v>
      </c>
      <c r="B35" s="5">
        <f>B33*B25</f>
        <v>0</v>
      </c>
      <c r="C35" s="5">
        <f>C33*C25</f>
        <v>0</v>
      </c>
      <c r="D35" s="5">
        <f>D33*D25</f>
        <v>0</v>
      </c>
      <c r="E35" s="5">
        <f>E33*E25</f>
        <v>0</v>
      </c>
      <c r="F35" s="5">
        <f>F33*F25</f>
        <v>0</v>
      </c>
    </row>
    <row r="36" spans="1:6">
      <c r="A36" t="s">
        <v>34</v>
      </c>
      <c r="B36" s="5">
        <f>B34-B35</f>
        <v>0</v>
      </c>
      <c r="C36" s="5">
        <f>C34-C35</f>
        <v>0</v>
      </c>
      <c r="D36" s="5">
        <f>D34-D35</f>
        <v>0</v>
      </c>
      <c r="E36" s="5">
        <f>E34-E35</f>
        <v>0</v>
      </c>
      <c r="F36" s="5">
        <f>F34-F35</f>
        <v>0</v>
      </c>
    </row>
    <row r="37" spans="1:6">
      <c r="A37" t="s">
        <v>35</v>
      </c>
      <c r="B37" s="5">
        <f>B33*B26</f>
        <v>0</v>
      </c>
      <c r="C37" s="5">
        <f>C33*C26</f>
        <v>0</v>
      </c>
      <c r="D37" s="5">
        <f>D33*D26</f>
        <v>0</v>
      </c>
      <c r="E37" s="5">
        <f>E33*E26</f>
        <v>0</v>
      </c>
      <c r="F37" s="5">
        <f>F33*F26</f>
        <v>0</v>
      </c>
    </row>
    <row r="38" spans="1:6">
      <c r="A38" t="s">
        <v>36</v>
      </c>
      <c r="B38" s="5">
        <f>B36-B37</f>
        <v>0</v>
      </c>
      <c r="C38" s="5">
        <f>C36-C37</f>
        <v>0</v>
      </c>
      <c r="D38" s="5">
        <f>D36-D37</f>
        <v>0</v>
      </c>
      <c r="E38" s="5">
        <f>E36-E37</f>
        <v>0</v>
      </c>
      <c r="F38" s="5">
        <f>F36-F37</f>
        <v>0</v>
      </c>
    </row>
    <row r="39" spans="1:6">
      <c r="A39" t="s">
        <v>37</v>
      </c>
      <c r="B39" s="5">
        <f>B38*(1-B28)</f>
        <v>0</v>
      </c>
      <c r="C39" s="5">
        <f>C38*(1-C28)</f>
        <v>0</v>
      </c>
      <c r="D39" s="5">
        <f>D38*(1-D28)</f>
        <v>0</v>
      </c>
      <c r="E39" s="5">
        <f>E38*(1-E28)</f>
        <v>0</v>
      </c>
      <c r="F39" s="5">
        <f>F38*(1-F28)</f>
        <v>0</v>
      </c>
    </row>
    <row r="40" spans="1:6">
      <c r="A40" t="s">
        <v>38</v>
      </c>
      <c r="B40" s="5">
        <f>B37</f>
        <v>0</v>
      </c>
      <c r="C40" s="5">
        <f>C37</f>
        <v>0</v>
      </c>
      <c r="D40" s="5">
        <f>D37</f>
        <v>0</v>
      </c>
      <c r="E40" s="5">
        <f>E37</f>
        <v>0</v>
      </c>
      <c r="F40" s="5">
        <f>F37</f>
        <v>0</v>
      </c>
    </row>
    <row r="41" spans="1:6">
      <c r="A41" t="s">
        <v>39</v>
      </c>
      <c r="B41" s="5">
        <f>B33*B27</f>
        <v>0</v>
      </c>
      <c r="C41" s="5">
        <f>C33*C27</f>
        <v>0</v>
      </c>
      <c r="D41" s="5">
        <f>D33*D27</f>
        <v>0</v>
      </c>
      <c r="E41" s="5">
        <f>E33*E27</f>
        <v>0</v>
      </c>
      <c r="F41" s="5">
        <f>F33*F27</f>
        <v>0</v>
      </c>
    </row>
    <row r="42" spans="1:6">
      <c r="A42" t="s">
        <v>40</v>
      </c>
      <c r="B42" s="5">
        <f>$B$29*(B33-$B$19)</f>
        <v>0</v>
      </c>
      <c r="C42" s="5">
        <f>$B$29*(C33-B33)</f>
        <v>0</v>
      </c>
      <c r="D42" s="5">
        <f>$B$29*(D33-C33)</f>
        <v>0</v>
      </c>
      <c r="E42" s="5">
        <f>$B$29*(E33-D33)</f>
        <v>0</v>
      </c>
      <c r="F42" s="5">
        <f>$B$29*(F33-E33)</f>
        <v>0</v>
      </c>
    </row>
    <row r="43" spans="1:6">
      <c r="A43" t="s">
        <v>41</v>
      </c>
      <c r="B43" s="5">
        <f>B39+B40-B41-B42</f>
        <v>0</v>
      </c>
      <c r="C43" s="5">
        <f>C39+C40-C41-C42</f>
        <v>0</v>
      </c>
      <c r="D43" s="5">
        <f>D39+D40-D41-D42</f>
        <v>0</v>
      </c>
      <c r="E43" s="5">
        <f>E39+E40-E41-E42</f>
        <v>0</v>
      </c>
      <c r="F43" s="5">
        <f>F39+F40-F41-F42</f>
        <v>0</v>
      </c>
    </row>
    <row r="44" spans="1:6">
      <c r="A44" t="s">
        <v>42</v>
      </c>
      <c r="B44" s="8">
        <f>B43/B33</f>
        <v>0</v>
      </c>
      <c r="C44" s="8">
        <f>C43/C33</f>
        <v>0</v>
      </c>
      <c r="D44" s="8">
        <f>D43/D33</f>
        <v>0</v>
      </c>
      <c r="E44" s="8">
        <f>E43/E33</f>
        <v>0</v>
      </c>
      <c r="F44" s="8">
        <f>F43/F33</f>
        <v>0</v>
      </c>
    </row>
    <row r="45" spans="1:6">
      <c r="A45" t="s">
        <v>43</v>
      </c>
      <c r="B45" s="5">
        <f>1/(1+$B$17)^1</f>
        <v>0</v>
      </c>
      <c r="C45" s="5">
        <f>1/(1+$B$17)^2</f>
        <v>0</v>
      </c>
      <c r="D45" s="5">
        <f>1/(1+$B$17)^3</f>
        <v>0</v>
      </c>
      <c r="E45" s="5">
        <f>1/(1+$B$17)^4</f>
        <v>0</v>
      </c>
      <c r="F45" s="5">
        <f>1/(1+$B$17)^5</f>
        <v>0</v>
      </c>
    </row>
    <row r="46" spans="1:6">
      <c r="A46" t="s">
        <v>44</v>
      </c>
      <c r="B46" s="5">
        <f>B43*B45</f>
        <v>0</v>
      </c>
      <c r="C46" s="5">
        <f>C43*C45</f>
        <v>0</v>
      </c>
      <c r="D46" s="5">
        <f>D43*D45</f>
        <v>0</v>
      </c>
      <c r="E46" s="5">
        <f>E43*E45</f>
        <v>0</v>
      </c>
      <c r="F46" s="5">
        <f>F43*F45</f>
        <v>0</v>
      </c>
    </row>
    <row r="48" spans="1:6">
      <c r="A48" s="3" t="s">
        <v>45</v>
      </c>
    </row>
    <row r="49" spans="1:2">
      <c r="A49" t="s">
        <v>46</v>
      </c>
      <c r="B49" s="5">
        <f>SUM(B46:F46)</f>
        <v>0</v>
      </c>
    </row>
    <row r="50" spans="1:2">
      <c r="A50" t="s">
        <v>47</v>
      </c>
      <c r="B50" s="5">
        <f>F43*(1+$B$18)</f>
        <v>0</v>
      </c>
    </row>
    <row r="51" spans="1:2">
      <c r="A51" t="s">
        <v>48</v>
      </c>
      <c r="B51" s="5">
        <f>B50/($B$17-$B$18)</f>
        <v>0</v>
      </c>
    </row>
    <row r="52" spans="1:2">
      <c r="A52" t="s">
        <v>49</v>
      </c>
      <c r="B52" s="5">
        <f>20*F43</f>
        <v>0</v>
      </c>
    </row>
    <row r="53" spans="1:2">
      <c r="A53" t="s">
        <v>50</v>
      </c>
      <c r="B53" s="5">
        <f>MIN(B51,B52)</f>
        <v>0</v>
      </c>
    </row>
    <row r="54" spans="1:2">
      <c r="A54" t="s">
        <v>51</v>
      </c>
      <c r="B54" s="5">
        <f>B53*F45</f>
        <v>0</v>
      </c>
    </row>
    <row r="55" spans="1:2">
      <c r="A55" t="s">
        <v>52</v>
      </c>
      <c r="B55" s="5">
        <f>B49+B54</f>
        <v>0</v>
      </c>
    </row>
    <row r="56" spans="1:2">
      <c r="A56" t="s">
        <v>53</v>
      </c>
      <c r="B56" s="5">
        <f>B10</f>
        <v>0</v>
      </c>
    </row>
    <row r="57" spans="1:2">
      <c r="A57" t="s">
        <v>54</v>
      </c>
      <c r="B57" s="5">
        <f>B55-B56</f>
        <v>0</v>
      </c>
    </row>
    <row r="58" spans="1:2">
      <c r="A58" s="9" t="s">
        <v>55</v>
      </c>
      <c r="B58" s="10">
        <f>B57/B6</f>
        <v>0</v>
      </c>
    </row>
    <row r="60" spans="1:2">
      <c r="A60" s="3" t="s">
        <v>56</v>
      </c>
    </row>
    <row r="61" spans="1:2">
      <c r="A61" t="s">
        <v>57</v>
      </c>
      <c r="B61" s="5">
        <f>NPV(0.15,B43:F43)</f>
        <v>0</v>
      </c>
    </row>
    <row r="62" spans="1:2">
      <c r="A62" t="s">
        <v>58</v>
      </c>
      <c r="B62" s="5">
        <f>B53/(1.15^5)</f>
        <v>0</v>
      </c>
    </row>
    <row r="63" spans="1:2">
      <c r="A63" t="s">
        <v>53</v>
      </c>
      <c r="B63" s="5">
        <f>B10</f>
        <v>0</v>
      </c>
    </row>
    <row r="64" spans="1:2">
      <c r="A64" t="s">
        <v>59</v>
      </c>
      <c r="B64" s="10">
        <f>(B61+B62-B63)/B6</f>
        <v>0</v>
      </c>
    </row>
    <row r="66" spans="1:2">
      <c r="A66" t="s">
        <v>60</v>
      </c>
      <c r="B66" s="8">
        <f>(B58-B5)/B5</f>
        <v>0</v>
      </c>
    </row>
    <row r="67" spans="1:2">
      <c r="A67" t="s">
        <v>61</v>
      </c>
      <c r="B67" s="8">
        <f>(B5-B64)/B5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62</v>
      </c>
    </row>
    <row r="2" spans="1:6">
      <c r="A2" t="s">
        <v>63</v>
      </c>
    </row>
    <row r="4" spans="1:6">
      <c r="A4" s="7" t="s">
        <v>64</v>
      </c>
      <c r="B4" s="11">
        <v>0.0125</v>
      </c>
      <c r="C4" s="11">
        <v>0.0175</v>
      </c>
      <c r="D4" s="11">
        <v>0.0225</v>
      </c>
      <c r="E4" s="11">
        <v>0.0275</v>
      </c>
      <c r="F4" s="11">
        <v>0.0325</v>
      </c>
    </row>
    <row r="5" spans="1:6">
      <c r="A5" s="12">
        <v>0.08500000000000001</v>
      </c>
      <c r="B5" s="13">
        <f>('DCF Model'!$F$43*(1+0.0125)/(0.085-0.0125))/(1+0.085)^5+'DCF Model'!$B$49</f>
        <v>0</v>
      </c>
      <c r="C5" s="13">
        <f>('DCF Model'!$F$43*(1+0.0175)/(0.085-0.0175))/(1+0.085)^5+'DCF Model'!$B$49</f>
        <v>0</v>
      </c>
      <c r="D5" s="13">
        <f>('DCF Model'!$F$43*(1+0.0225)/(0.085-0.0225))/(1+0.085)^5+'DCF Model'!$B$49</f>
        <v>0</v>
      </c>
      <c r="E5" s="13">
        <f>('DCF Model'!$F$43*(1+0.0275)/(0.085-0.0275))/(1+0.085)^5+'DCF Model'!$B$49</f>
        <v>0</v>
      </c>
      <c r="F5" s="13">
        <f>('DCF Model'!$F$43*(1+0.0325)/(0.085-0.0325))/(1+0.085)^5+'DCF Model'!$B$49</f>
        <v>0</v>
      </c>
    </row>
    <row r="6" spans="1:6">
      <c r="A6" s="12">
        <v>0.095</v>
      </c>
      <c r="B6" s="13">
        <f>('DCF Model'!$F$43*(1+0.0125)/(0.095-0.0125))/(1+0.095)^5+'DCF Model'!$B$49</f>
        <v>0</v>
      </c>
      <c r="C6" s="13">
        <f>('DCF Model'!$F$43*(1+0.0175)/(0.095-0.0175))/(1+0.095)^5+'DCF Model'!$B$49</f>
        <v>0</v>
      </c>
      <c r="D6" s="13">
        <f>('DCF Model'!$F$43*(1+0.0225)/(0.095-0.0225))/(1+0.095)^5+'DCF Model'!$B$49</f>
        <v>0</v>
      </c>
      <c r="E6" s="13">
        <f>('DCF Model'!$F$43*(1+0.0275)/(0.095-0.0275))/(1+0.095)^5+'DCF Model'!$B$49</f>
        <v>0</v>
      </c>
      <c r="F6" s="13">
        <f>('DCF Model'!$F$43*(1+0.0325)/(0.095-0.0325))/(1+0.095)^5+'DCF Model'!$B$49</f>
        <v>0</v>
      </c>
    </row>
    <row r="7" spans="1:6">
      <c r="A7" s="12">
        <v>0.105</v>
      </c>
      <c r="B7" s="13">
        <f>('DCF Model'!$F$43*(1+0.0125)/(0.105-0.0125))/(1+0.105)^5+'DCF Model'!$B$49</f>
        <v>0</v>
      </c>
      <c r="C7" s="13">
        <f>('DCF Model'!$F$43*(1+0.0175)/(0.105-0.0175))/(1+0.105)^5+'DCF Model'!$B$49</f>
        <v>0</v>
      </c>
      <c r="D7" s="13">
        <f>('DCF Model'!$F$43*(1+0.0225)/(0.105-0.0225))/(1+0.105)^5+'DCF Model'!$B$49</f>
        <v>0</v>
      </c>
      <c r="E7" s="13">
        <f>('DCF Model'!$F$43*(1+0.0275)/(0.105-0.0275))/(1+0.105)^5+'DCF Model'!$B$49</f>
        <v>0</v>
      </c>
      <c r="F7" s="13">
        <f>('DCF Model'!$F$43*(1+0.0325)/(0.105-0.0325))/(1+0.105)^5+'DCF Model'!$B$49</f>
        <v>0</v>
      </c>
    </row>
    <row r="8" spans="1:6">
      <c r="A8" s="12">
        <v>0.115</v>
      </c>
      <c r="B8" s="13">
        <f>('DCF Model'!$F$43*(1+0.0125)/(0.115-0.0125))/(1+0.115)^5+'DCF Model'!$B$49</f>
        <v>0</v>
      </c>
      <c r="C8" s="13">
        <f>('DCF Model'!$F$43*(1+0.0175)/(0.115-0.0175))/(1+0.115)^5+'DCF Model'!$B$49</f>
        <v>0</v>
      </c>
      <c r="D8" s="13">
        <f>('DCF Model'!$F$43*(1+0.0225)/(0.115-0.0225))/(1+0.115)^5+'DCF Model'!$B$49</f>
        <v>0</v>
      </c>
      <c r="E8" s="13">
        <f>('DCF Model'!$F$43*(1+0.0275)/(0.115-0.0275))/(1+0.115)^5+'DCF Model'!$B$49</f>
        <v>0</v>
      </c>
      <c r="F8" s="13">
        <f>('DCF Model'!$F$43*(1+0.0325)/(0.115-0.0325))/(1+0.115)^5+'DCF Model'!$B$49</f>
        <v>0</v>
      </c>
    </row>
    <row r="9" spans="1:6">
      <c r="A9" s="12">
        <v>0.125</v>
      </c>
      <c r="B9" s="13">
        <f>('DCF Model'!$F$43*(1+0.0125)/(0.125-0.0125))/(1+0.125)^5+'DCF Model'!$B$49</f>
        <v>0</v>
      </c>
      <c r="C9" s="13">
        <f>('DCF Model'!$F$43*(1+0.0175)/(0.125-0.0175))/(1+0.125)^5+'DCF Model'!$B$49</f>
        <v>0</v>
      </c>
      <c r="D9" s="13">
        <f>('DCF Model'!$F$43*(1+0.0225)/(0.125-0.0225))/(1+0.125)^5+'DCF Model'!$B$49</f>
        <v>0</v>
      </c>
      <c r="E9" s="13">
        <f>('DCF Model'!$F$43*(1+0.0275)/(0.125-0.0275))/(1+0.125)^5+'DCF Model'!$B$49</f>
        <v>0</v>
      </c>
      <c r="F9" s="13">
        <f>('DCF Model'!$F$43*(1+0.0325)/(0.125-0.0325))/(1+0.125)^5+'DCF Model'!$B$49</f>
        <v>0</v>
      </c>
    </row>
    <row r="11" spans="1:6">
      <c r="A11" s="14" t="s">
        <v>65</v>
      </c>
    </row>
    <row r="12" spans="1:6">
      <c r="A12" s="14" t="s">
        <v>66</v>
      </c>
    </row>
    <row r="13" spans="1:6">
      <c r="A13" s="14" t="s">
        <v>67</v>
      </c>
    </row>
    <row r="15" spans="1:6">
      <c r="A15" s="3" t="s">
        <v>68</v>
      </c>
    </row>
    <row r="16" spans="1:6">
      <c r="A16" s="7" t="s">
        <v>64</v>
      </c>
      <c r="B16" s="11">
        <v>0.0125</v>
      </c>
      <c r="C16" s="11">
        <v>0.0175</v>
      </c>
      <c r="D16" s="11">
        <v>0.0225</v>
      </c>
      <c r="E16" s="11">
        <v>0.0275</v>
      </c>
      <c r="F16" s="11">
        <v>0.0325</v>
      </c>
    </row>
    <row r="17" spans="1:6">
      <c r="A17" s="12">
        <v>0.08500000000000001</v>
      </c>
      <c r="B17" s="13">
        <v>5.11</v>
      </c>
      <c r="C17" s="13">
        <v>5.36</v>
      </c>
      <c r="D17" s="13">
        <v>5.66</v>
      </c>
      <c r="E17" s="13">
        <v>6.01</v>
      </c>
      <c r="F17" s="13">
        <v>6.42</v>
      </c>
    </row>
    <row r="18" spans="1:6">
      <c r="A18" s="12">
        <v>0.095</v>
      </c>
      <c r="B18" s="13">
        <v>4.56</v>
      </c>
      <c r="C18" s="13">
        <v>4.75</v>
      </c>
      <c r="D18" s="13">
        <v>4.96</v>
      </c>
      <c r="E18" s="13">
        <v>5.21</v>
      </c>
      <c r="F18" s="13">
        <v>5.5</v>
      </c>
    </row>
    <row r="19" spans="1:6">
      <c r="A19" s="12">
        <v>0.105</v>
      </c>
      <c r="B19" s="13">
        <v>4.13</v>
      </c>
      <c r="C19" s="13">
        <v>4.28</v>
      </c>
      <c r="D19" s="13">
        <v>4.44</v>
      </c>
      <c r="E19" s="13">
        <v>4.62</v>
      </c>
      <c r="F19" s="13">
        <v>4.83</v>
      </c>
    </row>
    <row r="20" spans="1:6">
      <c r="A20" s="12">
        <v>0.115</v>
      </c>
      <c r="B20" s="13">
        <v>3.79</v>
      </c>
      <c r="C20" s="13">
        <v>3.9</v>
      </c>
      <c r="D20" s="13">
        <v>4.03</v>
      </c>
      <c r="E20" s="13">
        <v>4.16</v>
      </c>
      <c r="F20" s="13">
        <v>4.32</v>
      </c>
    </row>
    <row r="21" spans="1:6">
      <c r="A21" s="12">
        <v>0.125</v>
      </c>
      <c r="B21" s="13">
        <v>3.51</v>
      </c>
      <c r="C21" s="13">
        <v>3.6</v>
      </c>
      <c r="D21" s="13">
        <v>3.69</v>
      </c>
      <c r="E21" s="13">
        <v>3.8</v>
      </c>
      <c r="F21" s="13">
        <v>3.92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3">
      <c r="A1" s="1" t="s">
        <v>69</v>
      </c>
    </row>
    <row r="3" spans="1:3">
      <c r="A3" s="7" t="s">
        <v>70</v>
      </c>
      <c r="B3" s="7" t="s">
        <v>71</v>
      </c>
      <c r="C3" s="7" t="s">
        <v>72</v>
      </c>
    </row>
    <row r="4" spans="1:3">
      <c r="A4" t="s">
        <v>31</v>
      </c>
      <c r="B4" s="8">
        <v>0.09300000000000001</v>
      </c>
      <c r="C4" s="8">
        <v>0.019</v>
      </c>
    </row>
    <row r="5" spans="1:3">
      <c r="A5" t="s">
        <v>73</v>
      </c>
      <c r="B5" s="8">
        <v>0.149</v>
      </c>
      <c r="C5" s="8">
        <v>-0.118</v>
      </c>
    </row>
    <row r="6" spans="1:3">
      <c r="A6" t="s">
        <v>74</v>
      </c>
      <c r="B6" s="8">
        <v>0.116</v>
      </c>
      <c r="C6" s="8">
        <v>0.048</v>
      </c>
    </row>
    <row r="7" spans="1:3">
      <c r="A7" t="s">
        <v>75</v>
      </c>
      <c r="B7" s="8">
        <v>0.5589999999999999</v>
      </c>
      <c r="C7" s="8"/>
    </row>
    <row r="9" spans="1:3">
      <c r="A9" s="9" t="s">
        <v>76</v>
      </c>
      <c r="B9" s="8">
        <v>0.09300000000000001</v>
      </c>
    </row>
    <row r="10" spans="1:3">
      <c r="A10" t="s">
        <v>77</v>
      </c>
      <c r="B10" t="s">
        <v>78</v>
      </c>
    </row>
    <row r="12" spans="1:3">
      <c r="A12" s="9" t="s">
        <v>79</v>
      </c>
    </row>
    <row r="13" spans="1:3" ht="160" customHeight="1">
      <c r="A13" s="14" t="s">
        <v>80</v>
      </c>
    </row>
    <row r="15" spans="1:3">
      <c r="A15" s="9" t="s">
        <v>81</v>
      </c>
    </row>
    <row r="16" spans="1:3" ht="90" customHeight="1">
      <c r="A16" s="14" t="s">
        <v>82</v>
      </c>
    </row>
    <row r="19" spans="1:11">
      <c r="A19" s="3" t="s">
        <v>83</v>
      </c>
    </row>
    <row r="21" spans="1:11">
      <c r="A21" s="7"/>
      <c r="B21" s="7" t="s">
        <v>84</v>
      </c>
      <c r="C21" s="7" t="s">
        <v>85</v>
      </c>
      <c r="D21" s="7" t="s">
        <v>86</v>
      </c>
      <c r="E21" s="7" t="s">
        <v>87</v>
      </c>
      <c r="F21" s="7" t="s">
        <v>88</v>
      </c>
      <c r="G21" s="7" t="s">
        <v>89</v>
      </c>
      <c r="H21" s="7" t="s">
        <v>90</v>
      </c>
      <c r="I21" s="7" t="s">
        <v>91</v>
      </c>
      <c r="J21" s="7" t="s">
        <v>92</v>
      </c>
      <c r="K21" s="7" t="s">
        <v>93</v>
      </c>
    </row>
    <row r="22" spans="1:11">
      <c r="A22" t="s">
        <v>94</v>
      </c>
      <c r="B22" s="5">
        <v>20.3</v>
      </c>
      <c r="C22" s="5">
        <v>97.5</v>
      </c>
      <c r="D22" s="5">
        <v>226.3</v>
      </c>
      <c r="E22" s="5">
        <v>285.7</v>
      </c>
      <c r="F22" s="5">
        <v>420.2</v>
      </c>
      <c r="G22" s="5">
        <v>82.09999999999999</v>
      </c>
      <c r="H22" s="5">
        <v>198.6</v>
      </c>
      <c r="I22" s="5">
        <v>100.9</v>
      </c>
      <c r="J22" s="5">
        <v>235.2</v>
      </c>
      <c r="K22" s="5">
        <v>197.5</v>
      </c>
    </row>
    <row r="23" spans="1:11">
      <c r="A23" t="s">
        <v>33</v>
      </c>
      <c r="B23" s="5">
        <v>3.109</v>
      </c>
      <c r="C23" s="5">
        <v>2.528</v>
      </c>
      <c r="D23" s="5">
        <v>2.612</v>
      </c>
      <c r="E23" s="5">
        <v>8.183999999999999</v>
      </c>
      <c r="F23" s="5">
        <v>8.331</v>
      </c>
      <c r="G23" s="5">
        <v>1.835</v>
      </c>
      <c r="H23" s="5">
        <v>11.609</v>
      </c>
      <c r="I23" s="5">
        <v>17.132</v>
      </c>
      <c r="J23" s="5">
        <v>10.727</v>
      </c>
      <c r="K23" s="5">
        <v>13.545</v>
      </c>
    </row>
    <row r="24" spans="1:11">
      <c r="A24" t="s">
        <v>95</v>
      </c>
      <c r="B24" s="5">
        <v>0.502</v>
      </c>
      <c r="C24" s="5">
        <v>0.887</v>
      </c>
      <c r="D24" s="5">
        <v>2.369</v>
      </c>
      <c r="E24" s="5">
        <v>4.277</v>
      </c>
      <c r="F24" s="5">
        <v>6.129</v>
      </c>
      <c r="G24" s="5">
        <v>3.989</v>
      </c>
      <c r="H24" s="5">
        <v>6.569</v>
      </c>
      <c r="I24" s="5">
        <v>26.733</v>
      </c>
      <c r="J24" s="5">
        <v>40.396</v>
      </c>
      <c r="K24" s="5">
        <v>45.457</v>
      </c>
    </row>
    <row r="25" spans="1:11">
      <c r="A25" t="s">
        <v>41</v>
      </c>
      <c r="B25" s="5">
        <f>B22-B23-B24</f>
        <v>0</v>
      </c>
      <c r="C25" s="5">
        <f>C22-C23-C24</f>
        <v>0</v>
      </c>
      <c r="D25" s="5">
        <f>D22-D23-D24</f>
        <v>0</v>
      </c>
      <c r="E25" s="5">
        <f>E22-E23-E24</f>
        <v>0</v>
      </c>
      <c r="F25" s="5">
        <f>F22-F23-F24</f>
        <v>0</v>
      </c>
      <c r="G25" s="5">
        <f>G22-G23-G24</f>
        <v>0</v>
      </c>
      <c r="H25" s="5">
        <f>H22-H23-H24</f>
        <v>0</v>
      </c>
      <c r="I25" s="5">
        <f>I22-I23-I24</f>
        <v>0</v>
      </c>
      <c r="J25" s="5">
        <f>J22-J23-J24</f>
        <v>0</v>
      </c>
      <c r="K25" s="5">
        <f>K22-K23-K24</f>
        <v>0</v>
      </c>
    </row>
    <row r="26" spans="1:11">
      <c r="A26" t="s">
        <v>42</v>
      </c>
      <c r="B26" s="8">
        <f>B25/352.502</f>
        <v>0</v>
      </c>
      <c r="C26" s="8">
        <f>C25/549.247</f>
        <v>0</v>
      </c>
      <c r="D26" s="8">
        <f>D25/922.354</f>
        <v>0</v>
      </c>
      <c r="E26" s="8">
        <f>E25/1304.336</f>
        <v>0</v>
      </c>
      <c r="F26" s="8">
        <f>F25/1730.696</f>
        <v>0</v>
      </c>
      <c r="G26" s="8">
        <f>G25/1205.034</f>
        <v>0</v>
      </c>
      <c r="H26" s="8">
        <f>H25/1443.74</f>
        <v>0</v>
      </c>
      <c r="I26" s="8">
        <f>I25/1591.088</f>
        <v>0</v>
      </c>
      <c r="J26" s="8">
        <f>J25/1673.323</f>
        <v>0</v>
      </c>
      <c r="K26" s="8">
        <f>K25/1899.273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2" max="11" width="12.7109375" customWidth="1"/>
  </cols>
  <sheetData>
    <row r="1" spans="1:11">
      <c r="A1" s="1" t="s">
        <v>96</v>
      </c>
    </row>
    <row r="2" spans="1:11">
      <c r="A2" s="15" t="s">
        <v>97</v>
      </c>
    </row>
    <row r="4" spans="1:11">
      <c r="A4" s="7"/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  <c r="J4" s="7" t="s">
        <v>92</v>
      </c>
      <c r="K4" s="7" t="s">
        <v>93</v>
      </c>
    </row>
    <row r="5" spans="1:11">
      <c r="A5" t="s">
        <v>98</v>
      </c>
      <c r="B5" s="5">
        <v>352.502</v>
      </c>
      <c r="C5" s="5">
        <v>549.247</v>
      </c>
      <c r="D5" s="5">
        <v>922.354</v>
      </c>
      <c r="E5" s="5">
        <v>1304.336</v>
      </c>
      <c r="F5" s="5">
        <v>1730.696</v>
      </c>
      <c r="G5" s="5">
        <v>1205.034</v>
      </c>
      <c r="H5" s="5">
        <v>1443.74</v>
      </c>
      <c r="I5" s="5">
        <v>1591.088</v>
      </c>
      <c r="J5" s="5">
        <v>1673.323</v>
      </c>
      <c r="K5" s="5">
        <v>1899.273</v>
      </c>
    </row>
    <row r="6" spans="1:11">
      <c r="A6" t="s">
        <v>99</v>
      </c>
      <c r="B6" s="5">
        <v>20.3</v>
      </c>
      <c r="C6" s="5">
        <v>97.5</v>
      </c>
      <c r="D6" s="5">
        <v>226.3</v>
      </c>
      <c r="E6" s="5">
        <v>285.7</v>
      </c>
      <c r="F6" s="5">
        <v>420.2</v>
      </c>
      <c r="G6" s="5">
        <v>82.09999999999999</v>
      </c>
      <c r="H6" s="5">
        <v>198.6</v>
      </c>
      <c r="I6" s="5">
        <v>100.9</v>
      </c>
      <c r="J6" s="5">
        <v>235.2</v>
      </c>
      <c r="K6" s="5">
        <v>197.5</v>
      </c>
    </row>
    <row r="7" spans="1:11">
      <c r="A7" t="s">
        <v>100</v>
      </c>
      <c r="B7" s="8">
        <f>B6/B5</f>
        <v>0</v>
      </c>
      <c r="C7" s="8">
        <f>C6/C5</f>
        <v>0</v>
      </c>
      <c r="D7" s="8">
        <f>D6/D5</f>
        <v>0</v>
      </c>
      <c r="E7" s="8">
        <f>E6/E5</f>
        <v>0</v>
      </c>
      <c r="F7" s="8">
        <f>F6/F5</f>
        <v>0</v>
      </c>
      <c r="G7" s="8">
        <f>G6/G5</f>
        <v>0</v>
      </c>
      <c r="H7" s="8">
        <f>H6/H5</f>
        <v>0</v>
      </c>
      <c r="I7" s="8">
        <f>I6/I5</f>
        <v>0</v>
      </c>
      <c r="J7" s="8">
        <f>J6/J5</f>
        <v>0</v>
      </c>
      <c r="K7" s="8">
        <f>K6/K5</f>
        <v>0</v>
      </c>
    </row>
    <row r="8" spans="1:11">
      <c r="A8" t="s">
        <v>101</v>
      </c>
      <c r="B8" s="5">
        <v>3.109</v>
      </c>
      <c r="C8" s="5">
        <v>2.528</v>
      </c>
      <c r="D8" s="5">
        <v>2.612</v>
      </c>
      <c r="E8" s="5">
        <v>8.183999999999999</v>
      </c>
      <c r="F8" s="5">
        <v>8.331</v>
      </c>
      <c r="G8" s="5">
        <v>1.835</v>
      </c>
      <c r="H8" s="5">
        <v>11.609</v>
      </c>
      <c r="I8" s="5">
        <v>17.132</v>
      </c>
      <c r="J8" s="5">
        <v>10.727</v>
      </c>
      <c r="K8" s="5">
        <v>13.545</v>
      </c>
    </row>
    <row r="9" spans="1:11">
      <c r="A9" t="s">
        <v>95</v>
      </c>
      <c r="B9" s="5">
        <v>0.502</v>
      </c>
      <c r="C9" s="5">
        <v>0.887</v>
      </c>
      <c r="D9" s="5">
        <v>2.369</v>
      </c>
      <c r="E9" s="5">
        <v>4.277</v>
      </c>
      <c r="F9" s="5">
        <v>6.129</v>
      </c>
      <c r="G9" s="5">
        <v>3.989</v>
      </c>
      <c r="H9" s="5">
        <v>6.569</v>
      </c>
      <c r="I9" s="5">
        <v>26.733</v>
      </c>
      <c r="J9" s="5">
        <v>40.396</v>
      </c>
      <c r="K9" s="5">
        <v>45.457</v>
      </c>
    </row>
    <row r="10" spans="1:11">
      <c r="A10" t="s">
        <v>41</v>
      </c>
      <c r="B10" s="5">
        <f>B6-B8-B9</f>
        <v>0</v>
      </c>
      <c r="C10" s="5">
        <f>C6-C8-C9</f>
        <v>0</v>
      </c>
      <c r="D10" s="5">
        <f>D6-D8-D9</f>
        <v>0</v>
      </c>
      <c r="E10" s="5">
        <f>E6-E8-E9</f>
        <v>0</v>
      </c>
      <c r="F10" s="5">
        <f>F6-F8-F9</f>
        <v>0</v>
      </c>
      <c r="G10" s="5">
        <f>G6-G8-G9</f>
        <v>0</v>
      </c>
      <c r="H10" s="5">
        <f>H6-H8-H9</f>
        <v>0</v>
      </c>
      <c r="I10" s="5">
        <f>I6-I8-I9</f>
        <v>0</v>
      </c>
      <c r="J10" s="5">
        <f>J6-J8-J9</f>
        <v>0</v>
      </c>
      <c r="K10" s="5">
        <f>K6-K8-K9</f>
        <v>0</v>
      </c>
    </row>
    <row r="11" spans="1:11">
      <c r="A11" t="s">
        <v>42</v>
      </c>
      <c r="B11" s="8">
        <f>B10/B5</f>
        <v>0</v>
      </c>
      <c r="C11" s="8">
        <f>C10/C5</f>
        <v>0</v>
      </c>
      <c r="D11" s="8">
        <f>D10/D5</f>
        <v>0</v>
      </c>
      <c r="E11" s="8">
        <f>E10/E5</f>
        <v>0</v>
      </c>
      <c r="F11" s="8">
        <f>F10/F5</f>
        <v>0</v>
      </c>
      <c r="G11" s="8">
        <f>G10/G5</f>
        <v>0</v>
      </c>
      <c r="H11" s="8">
        <f>H10/H5</f>
        <v>0</v>
      </c>
      <c r="I11" s="8">
        <f>I10/I5</f>
        <v>0</v>
      </c>
      <c r="J11" s="8">
        <f>J10/J5</f>
        <v>0</v>
      </c>
      <c r="K11" s="8">
        <f>K10/K5</f>
        <v>0</v>
      </c>
    </row>
    <row r="13" spans="1:11">
      <c r="A13" t="s">
        <v>102</v>
      </c>
    </row>
    <row r="14" spans="1:11">
      <c r="A14" s="14" t="s">
        <v>103</v>
      </c>
    </row>
    <row r="15" spans="1:11">
      <c r="A15" s="14" t="s">
        <v>104</v>
      </c>
    </row>
    <row r="16" spans="1:11">
      <c r="A16" s="14" t="s">
        <v>105</v>
      </c>
    </row>
    <row r="17" spans="1:2">
      <c r="A17" s="14" t="s">
        <v>106</v>
      </c>
    </row>
    <row r="19" spans="1:2">
      <c r="A19" s="9" t="s">
        <v>107</v>
      </c>
      <c r="B19" s="8">
        <f>J9/J6</f>
        <v>0</v>
      </c>
    </row>
    <row r="20" spans="1:2">
      <c r="A20" s="14" t="s">
        <v>108</v>
      </c>
    </row>
    <row r="21" spans="1:2">
      <c r="A21" s="14" t="s">
        <v>109</v>
      </c>
    </row>
    <row r="22" spans="1:2">
      <c r="A22" s="14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111</v>
      </c>
    </row>
    <row r="3" spans="1:2" ht="18" customHeight="1">
      <c r="A3" s="9" t="s">
        <v>112</v>
      </c>
      <c r="B3" s="14" t="s">
        <v>113</v>
      </c>
    </row>
    <row r="4" spans="1:2" ht="36" customHeight="1">
      <c r="A4" s="9" t="s">
        <v>114</v>
      </c>
      <c r="B4" s="14" t="s">
        <v>115</v>
      </c>
    </row>
    <row r="5" spans="1:2" ht="18" customHeight="1">
      <c r="A5" s="9" t="s">
        <v>116</v>
      </c>
      <c r="B5" s="14" t="s">
        <v>117</v>
      </c>
    </row>
    <row r="6" spans="1:2" ht="18" customHeight="1">
      <c r="A6" s="9" t="s">
        <v>118</v>
      </c>
      <c r="B6" s="14" t="s">
        <v>119</v>
      </c>
    </row>
    <row r="7" spans="1:2" ht="54" customHeight="1">
      <c r="A7" s="9" t="s">
        <v>120</v>
      </c>
      <c r="B7" s="14" t="s">
        <v>121</v>
      </c>
    </row>
    <row r="8" spans="1:2" ht="18" customHeight="1">
      <c r="A8" s="9" t="s">
        <v>122</v>
      </c>
      <c r="B8" s="14" t="s">
        <v>123</v>
      </c>
    </row>
    <row r="9" spans="1:2" ht="72" customHeight="1">
      <c r="A9" s="9" t="s">
        <v>124</v>
      </c>
      <c r="B9" s="14" t="s">
        <v>125</v>
      </c>
    </row>
    <row r="10" spans="1:2" ht="90" customHeight="1">
      <c r="A10" s="9" t="s">
        <v>126</v>
      </c>
      <c r="B10" s="14" t="s">
        <v>127</v>
      </c>
    </row>
    <row r="11" spans="1:2" ht="72" customHeight="1">
      <c r="A11" s="9" t="s">
        <v>128</v>
      </c>
      <c r="B11" s="14" t="s">
        <v>129</v>
      </c>
    </row>
    <row r="12" spans="1:2" ht="72" customHeight="1">
      <c r="A12" s="9" t="s">
        <v>130</v>
      </c>
      <c r="B12" s="14" t="s">
        <v>131</v>
      </c>
    </row>
    <row r="13" spans="1:2" ht="126" customHeight="1">
      <c r="A13" s="9" t="s">
        <v>132</v>
      </c>
      <c r="B13" s="14" t="s">
        <v>133</v>
      </c>
    </row>
    <row r="14" spans="1:2" ht="90" customHeight="1">
      <c r="A14" s="9" t="s">
        <v>134</v>
      </c>
      <c r="B14" s="14" t="s">
        <v>135</v>
      </c>
    </row>
    <row r="15" spans="1:2" ht="90" customHeight="1">
      <c r="A15" s="9" t="s">
        <v>136</v>
      </c>
      <c r="B15" s="14" t="s">
        <v>137</v>
      </c>
    </row>
    <row r="16" spans="1:2" ht="126" customHeight="1">
      <c r="A16" s="9" t="s">
        <v>138</v>
      </c>
      <c r="B16" s="14" t="s">
        <v>139</v>
      </c>
    </row>
    <row r="17" spans="1:2" ht="90" customHeight="1">
      <c r="A17" s="9" t="s">
        <v>140</v>
      </c>
      <c r="B17" s="14" t="s">
        <v>141</v>
      </c>
    </row>
    <row r="18" spans="1:2" ht="90" customHeight="1">
      <c r="A18" s="9" t="s">
        <v>142</v>
      </c>
      <c r="B18" s="14" t="s">
        <v>143</v>
      </c>
    </row>
    <row r="19" spans="1:2" ht="90" customHeight="1">
      <c r="A19" s="9" t="s">
        <v>144</v>
      </c>
      <c r="B19" s="14" t="s">
        <v>145</v>
      </c>
    </row>
    <row r="20" spans="1:2" ht="108" customHeight="1">
      <c r="A20" s="9" t="s">
        <v>146</v>
      </c>
      <c r="B20" s="14" t="s">
        <v>147</v>
      </c>
    </row>
    <row r="21" spans="1:2" ht="90" customHeight="1">
      <c r="A21" s="9" t="s">
        <v>148</v>
      </c>
      <c r="B21" s="14" t="s">
        <v>149</v>
      </c>
    </row>
    <row r="22" spans="1:2" ht="90" customHeight="1">
      <c r="A22" s="9" t="s">
        <v>150</v>
      </c>
      <c r="B22" s="14" t="s">
        <v>151</v>
      </c>
    </row>
    <row r="23" spans="1:2" ht="54" customHeight="1">
      <c r="A23" s="9" t="s">
        <v>152</v>
      </c>
      <c r="B23" s="14" t="s">
        <v>153</v>
      </c>
    </row>
    <row r="24" spans="1:2" ht="54" customHeight="1">
      <c r="A24" s="9" t="s">
        <v>154</v>
      </c>
      <c r="B24" s="1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2026-08-08T10:47:13Z</dcterms:created>
  <dcterms:modified xsi:type="dcterms:W3CDTF">2026-08-08T10:47:13Z</dcterms:modified>
</cp:coreProperties>
</file>