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<sst xmlns="http://schemas.openxmlformats.org/spreadsheetml/2006/main" count="355" uniqueCount="165">
  <si>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</si>
  <si>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2099.HK</t>
  </si>
  <si>
    <t xml:space="preserve">Company</t>
  </si>
  <si>
    <t xml:space="preserve">China Gold International Resources Corp. Ltd.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</si>
  <si>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</si>
  <si>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</si>
  <si>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</si>
  <si>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</si>
  <si>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HKEX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</si>
  <si>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</si>
  <si>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</si>
  <si>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</si>
  <si>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</si>
  <si>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</si>
  <si>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</si>
  <si>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</si>
  <si>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</si>
  <si>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</si>
  <si>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</si>
  <si>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</si>
  <si>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</si>
  <si>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</si>
  <si>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2026-10-17T03:22:32Z</t>
  </si>
  <si>
    <t xml:space="preserve">Drivers file</t>
  </si>
  <si>
    <t xml:space="preserve">2099.HK_Drivers.json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</si>
  <si>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</si>
  <si>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</si>
  <si>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</si>
  <si>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mines at a normalising commodity deck, not at the peak. FY2025 and H1 FY2026 earnings are a function of near-record gold and a copper rally; the base case lets prices mean-revert to an elevated mid-cycle, models CSH open-pit depletion explicitly, and caps the terminal value at 8-11x with near-zero terminal growth because Jiama's reserve is finite. On that basis the share price sits close to the bull case: the market is capitalising something near spot prices.
key_risks_to_valuation: Commodity deck: every US$0.25/lb of realised copper is ~US$35-45m of annual revenue at 44k tpd, nearly all of it margin; Geotechnical/tailings incidents at a two-mine company (Jiama 2023-24 suspension cut FY2023 revenue 58%; CSH open-pit suspended since 22-May-2026); Youlongbu tailings facility timing (guidance moved from H1 2027 to end-2027 between the FY2025 annual and the H1 FY2026 interim) and the Tibet permitted-rate increase; CSH underground conversion: resources, not reserves; capital intensity and timing undisclosed; Tibet preferential tax regime and PRC dividend withholding; related-party dealings with China National Gold</t>
  </si>
  <si>
    <t xml:space="preserve">Data sources</t>
  </si>
  <si>
    <t xml:space="preserve">price: Yahoo Finance chart API at inputs.price_as_of; 52-week range HK$110.0-280.6. Commodity spot from Yahoo GC=F, HG=F, SI=F at the 2026-10-16 close.
financials: 2099.HK_Metrics.csv (FY2018-FY2025, H1 FY2024-26); FY2025 Annual Report MD&amp;A (outlook, reserves, Jiama long-term plan); H1 FY2026 interim report (balance sheet 2026-06-30, cash flow statement, realised prices and unit costs, CSH slope event).
qualitative: 2099.HK_Analysis.json (bull/bear cases, risks).</t>
  </si>
  <si>
    <t xml:space="preserve">Scenario narrative: bear</t>
  </si>
  <si>
    <t xml:space="preserve">A commodity reversal (copper realised US$3.6/lb, gold US$2,700) meets the asset concentration the company has already demonstrated twice: Youlongbu slips, the CSH underground is not sanctioned and the open pit is exhausted by FY2029, and Tibet tax preferences lapse. Margins compress to ~50% on a largely fixed cost base. The company remains solvent and net cash, so this is a value case, not a survival case -- but a further tailings or slope incident (2023-24 Jiama, 2026 CSH) would push results below even this path.</t>
  </si>
  <si>
    <t xml:space="preserve">Scenario narrative: base</t>
  </si>
  <si>
    <t xml:space="preserve">Gold and copper come off their 2025-26 highs to a still-elevated mid-cycle (realised Cu ~US$4.4/lb, gold ~US$3,400/oz by FY2029). Jiama steps up to 44k tpd when the Youlongbu tailings facility commissions at end-2027 and runs on a ~23-year reserve; CSH's open pit runs down over 2026-2030 after the May-2026 slope event, with the underground conversion rebuilding output to ~60 koz by FY2032. Margins settle near 57-60%, capex peaks on the tailings dam and the CSH underground, and the company stays net cash. The base case is deliberately not a spot-price case: it is what the mines are worth if commodity prices behave like commodities.</t>
  </si>
  <si>
    <t xml:space="preserve">Scenario narrative: bull</t>
  </si>
  <si>
    <t xml:space="preserve">Prices stay near spot (copper LME ~US$6.5/lb, gold above US$4,000) on electrification/AI copper demand and central-bank gold buying; Jiama's June-2026 reserve upgrade turns into a permitted-rate increase and a return to the 50k tpd design capacity by FY2029; CSH underground delivers from FY2030. Operating leverage keeps EBITDA margins in the mid-60s and the state-owned parent's support keeps permitting smooth. This is roughly the case today's price is paying for.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</si>
  <si>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</si>
  <si>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</si>
  <si>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</si>
  <si>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</si>
  <si>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</si>
  <si>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</si>
  <si>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</si>
  <si>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</si>
  <si>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</si>
  <si>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</si>
  <si>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</si>
  <si>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</si>
  <si>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</si>
  <si>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</si>
  <si>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</si>
  <si>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</si>
  <si>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</si>
  <si>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</si>
  <si>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</si>
  <si>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</si>
  <si>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</si>
  <si>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</si>
  <si>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</si>
  <si>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</si>
  <si>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</si>
  <si>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</si>
  <si>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</si>
  <si>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ProfitForPeriodTotal</t>
  </si>
  <si>
    <t xml:space="preserve">TermDeposits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</si>
  <si>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</si>
  <si>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</si>
  <si>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</si>
  <si>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</si>
  <si>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</si>
  <si>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</si>
  <si>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</si>
  <si>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</si>
  <si>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</si>
  <si>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</si>
  <si>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</si>
  <si>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</si>
  <si>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</si>
  <si>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</si>
  <si>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</si>
  <si>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</si>
  <si>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</si>
  <si>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</si>
  <si>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</si>
  <si>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</si>
  <si>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</si>
  <si>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</si>
  <si>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</si>
  <si>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</si>
  <si>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</si>
  <si>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</si>
  <si>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</si>
  <si>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</si>
  <si>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</si>
  <si>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</si>
  <si>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</si>
  <si>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</si>
  <si>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</si>
  <si>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</si>
  <si>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</si>
  <si>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</si>
  <si>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</si>
  <si>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</si>
  <si>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</si>
  <si>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</si>
  <si>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</si>
  <si>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</si>
  <si>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</si>
  <si>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</si>
  <si>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</si>
  <si>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2099.HK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</si>
  <si>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</si>
  <si>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</si>
  <si>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</si>
  <si>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</si>
  <si>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</si>
  <si>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</si>
  <si>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</si>
  <si>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</si>
  <si>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</si>
  <si>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</si>
  <si>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</si>
  <si>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</si>
  <si>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</si>
  <si>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</si>
  <si>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</si>
  <si>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</si>
  <si>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</si>
  <si>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</si>
  <si>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</si>
  <si>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</si>
  <si>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</si>
  <si>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</si>
  <si>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</si>
  <si>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</si>
  <si>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</si>
  <si>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</si>
  <si>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</si>
  <si>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</si>
  <si>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</si>
  <si>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</si>
  <si>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2099.HK owner-FCF component DCF: base case (millions, USD)</t>
  </si>
  <si>
    <t xml:space="preserve">2099.HK owner-FCF component DCF: bull case (millions, USD)</t>
  </si>
  <si>
    <t xml:space="preserve">2099.HK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</si>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</sst>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</row>
    <row r="2" customFormat="false" ht="15" hidden="false" customHeight="false" outlineLevel="0" collapsed="false">
      <c r="A2" s="0" t="s">
        <v>66</v>
      </c>
      <c r="B2" s="0" t="n">
        <v>570.57</v>
      </c>
      <c r="C2" s="0" t="n">
        <v>459.861</v>
      </c>
      <c r="D2" s="0" t="n">
        <v>110.709</v>
      </c>
      <c r="E2" s="0" t="n">
        <v>19.4</v>
      </c>
      <c r="F2" s="0" t="n">
        <v>43.031</v>
      </c>
      <c r="G2" s="0" t="n">
        <v>7.5</v>
      </c>
      <c r="H2" s="0" t="n">
        <v>170.05</v>
      </c>
      <c r="I2" s="0" t="n">
        <v>-4.837</v>
      </c>
      <c r="J2" s="0" t="n">
        <v>-0.8</v>
      </c>
      <c r="K2" s="0" t="n">
        <v>-0.0122</v>
      </c>
      <c r="L2" s="0" t="n">
        <v>154.944</v>
      </c>
      <c r="M2" s="0" t="n">
        <v>133.37</v>
      </c>
      <c r="N2" s="0" t="n">
        <v>21.574</v>
      </c>
      <c r="O2" s="0" t="n">
        <v>1474.433</v>
      </c>
      <c r="P2" s="0" t="n">
        <v>3215.895</v>
      </c>
      <c r="Q2" s="0" t="n">
        <v>1726.657</v>
      </c>
      <c r="R2" s="0" t="n">
        <v>1239.298</v>
      </c>
      <c r="S2" s="0" t="n">
        <v>137.996</v>
      </c>
      <c r="T2" s="0" t="n">
        <v>396.413753</v>
      </c>
      <c r="U2" s="0" t="n">
        <v>0</v>
      </c>
      <c r="AA2" s="0" t="s">
        <v>18</v>
      </c>
      <c r="AB2" s="0" t="s">
        <v>14</v>
      </c>
      <c r="AC2" s="0" t="n">
        <v>-4.19</v>
      </c>
    </row>
    <row r="3" customFormat="false" ht="15" hidden="false" customHeight="false" outlineLevel="0" collapsed="false">
      <c r="A3" s="0" t="s">
        <v>67</v>
      </c>
      <c r="B3" s="0" t="n">
        <v>657.459</v>
      </c>
      <c r="C3" s="0" t="n">
        <v>593.246</v>
      </c>
      <c r="D3" s="0" t="n">
        <v>64.213</v>
      </c>
      <c r="E3" s="0" t="n">
        <v>9.8</v>
      </c>
      <c r="F3" s="0" t="n">
        <v>-3.263</v>
      </c>
      <c r="G3" s="0" t="n">
        <v>-0.5</v>
      </c>
      <c r="H3" s="0" t="n">
        <v>141.167</v>
      </c>
      <c r="I3" s="0" t="n">
        <v>-32.837</v>
      </c>
      <c r="J3" s="0" t="n">
        <v>-5</v>
      </c>
      <c r="K3" s="0" t="n">
        <v>-0.0828</v>
      </c>
      <c r="L3" s="0" t="n">
        <v>158.312</v>
      </c>
      <c r="M3" s="0" t="n">
        <v>127.857</v>
      </c>
      <c r="N3" s="0" t="n">
        <v>30.455</v>
      </c>
      <c r="O3" s="0" t="n">
        <v>1435.337</v>
      </c>
      <c r="P3" s="0" t="n">
        <v>3197.13</v>
      </c>
      <c r="Q3" s="0" t="n">
        <v>1746.463</v>
      </c>
      <c r="R3" s="0" t="n">
        <v>1243.77</v>
      </c>
      <c r="S3" s="0" t="n">
        <v>182.29</v>
      </c>
      <c r="T3" s="0" t="n">
        <v>396.413753</v>
      </c>
      <c r="U3" s="0" t="n">
        <v>0</v>
      </c>
      <c r="AA3" s="0" t="s">
        <v>18</v>
      </c>
      <c r="AB3" s="0" t="s">
        <v>14</v>
      </c>
      <c r="AC3" s="0" t="n">
        <v>-32.151</v>
      </c>
    </row>
    <row r="4" customFormat="false" ht="15" hidden="false" customHeight="false" outlineLevel="0" collapsed="false">
      <c r="A4" s="0" t="s">
        <v>68</v>
      </c>
      <c r="B4" s="0" t="n">
        <v>864.032</v>
      </c>
      <c r="C4" s="0" t="n">
        <v>654.178</v>
      </c>
      <c r="D4" s="0" t="n">
        <v>209.854</v>
      </c>
      <c r="E4" s="0" t="n">
        <v>24.3</v>
      </c>
      <c r="F4" s="0" t="n">
        <v>154.216</v>
      </c>
      <c r="G4" s="0" t="n">
        <v>17.8</v>
      </c>
      <c r="H4" s="0" t="n">
        <v>303.38</v>
      </c>
      <c r="I4" s="0" t="n">
        <v>111.962</v>
      </c>
      <c r="J4" s="0" t="n">
        <v>13</v>
      </c>
      <c r="K4" s="0" t="n">
        <v>0.2824</v>
      </c>
      <c r="L4" s="0" t="n">
        <v>260.456</v>
      </c>
      <c r="M4" s="0" t="n">
        <v>150.183</v>
      </c>
      <c r="N4" s="0" t="n">
        <v>110.273</v>
      </c>
      <c r="O4" s="0" t="n">
        <v>1578.522</v>
      </c>
      <c r="P4" s="0" t="n">
        <v>3322.642</v>
      </c>
      <c r="Q4" s="0" t="n">
        <v>1727.173</v>
      </c>
      <c r="R4" s="0" t="n">
        <v>1225.049</v>
      </c>
      <c r="S4" s="0" t="n">
        <v>243.288</v>
      </c>
      <c r="T4" s="0" t="n">
        <v>396.413753</v>
      </c>
      <c r="U4" s="0" t="n">
        <v>0</v>
      </c>
      <c r="AA4" s="0" t="s">
        <v>18</v>
      </c>
      <c r="AB4" s="0" t="s">
        <v>14</v>
      </c>
      <c r="AC4" s="0" t="n">
        <v>113.938</v>
      </c>
    </row>
    <row r="5" customFormat="false" ht="15" hidden="false" customHeight="false" outlineLevel="0" collapsed="false">
      <c r="A5" s="0" t="s">
        <v>69</v>
      </c>
      <c r="B5" s="0" t="n">
        <v>1137.356</v>
      </c>
      <c r="C5" s="0" t="n">
        <v>733.211</v>
      </c>
      <c r="D5" s="0" t="n">
        <v>404.145</v>
      </c>
      <c r="E5" s="0" t="n">
        <v>35.5</v>
      </c>
      <c r="F5" s="0" t="n">
        <v>332.966</v>
      </c>
      <c r="G5" s="0" t="n">
        <v>29.3</v>
      </c>
      <c r="H5" s="0" t="n">
        <v>471.403</v>
      </c>
      <c r="I5" s="0" t="n">
        <v>267.361</v>
      </c>
      <c r="J5" s="0" t="n">
        <v>23.5</v>
      </c>
      <c r="K5" s="0" t="n">
        <v>0.6744</v>
      </c>
      <c r="L5" s="0" t="n">
        <v>417.275</v>
      </c>
      <c r="M5" s="0" t="n">
        <v>152.937</v>
      </c>
      <c r="N5" s="0" t="n">
        <v>264.338</v>
      </c>
      <c r="O5" s="0" t="n">
        <v>1815.922</v>
      </c>
      <c r="P5" s="0" t="n">
        <v>3257.043</v>
      </c>
      <c r="Q5" s="0" t="n">
        <v>1423.651</v>
      </c>
      <c r="R5" s="0" t="n">
        <v>970.559</v>
      </c>
      <c r="S5" s="0" t="n">
        <v>208.128</v>
      </c>
      <c r="T5" s="0" t="n">
        <v>396.413753</v>
      </c>
      <c r="U5" s="0" t="n">
        <v>0</v>
      </c>
      <c r="AA5" s="0" t="s">
        <v>18</v>
      </c>
      <c r="AB5" s="0" t="s">
        <v>14</v>
      </c>
      <c r="AC5" s="0" t="n">
        <v>268.675</v>
      </c>
    </row>
    <row r="6" customFormat="false" ht="15" hidden="false" customHeight="false" outlineLevel="0" collapsed="false">
      <c r="A6" s="0" t="s">
        <v>70</v>
      </c>
      <c r="B6" s="0" t="n">
        <v>1104.949</v>
      </c>
      <c r="C6" s="0" t="n">
        <v>709.39</v>
      </c>
      <c r="D6" s="0" t="n">
        <v>395.559</v>
      </c>
      <c r="E6" s="0" t="n">
        <v>35.8</v>
      </c>
      <c r="F6" s="0" t="n">
        <v>316.859</v>
      </c>
      <c r="G6" s="0" t="n">
        <v>28.7</v>
      </c>
      <c r="H6" s="0" t="n">
        <v>483.483</v>
      </c>
      <c r="I6" s="0" t="n">
        <v>222.743</v>
      </c>
      <c r="J6" s="0" t="n">
        <v>20.2</v>
      </c>
      <c r="K6" s="0" t="n">
        <v>0.5619</v>
      </c>
      <c r="L6" s="0" t="n">
        <v>447.279</v>
      </c>
      <c r="M6" s="0" t="n">
        <v>43.804</v>
      </c>
      <c r="N6" s="0" t="n">
        <v>403.475</v>
      </c>
      <c r="O6" s="0" t="n">
        <v>1883.979</v>
      </c>
      <c r="P6" s="0" t="n">
        <v>3194.911</v>
      </c>
      <c r="Q6" s="0" t="n">
        <v>1291.481</v>
      </c>
      <c r="R6" s="0" t="n">
        <v>833.068</v>
      </c>
      <c r="S6" s="0" t="n">
        <v>428.453</v>
      </c>
      <c r="T6" s="0" t="n">
        <v>396.413753</v>
      </c>
      <c r="U6" s="0" t="n">
        <v>0</v>
      </c>
      <c r="AA6" s="0" t="s">
        <v>18</v>
      </c>
      <c r="AB6" s="0" t="s">
        <v>14</v>
      </c>
      <c r="AC6" s="0" t="n">
        <v>225.401</v>
      </c>
    </row>
    <row r="7" customFormat="false" ht="15" hidden="false" customHeight="false" outlineLevel="0" collapsed="false">
      <c r="A7" s="0" t="s">
        <v>71</v>
      </c>
      <c r="B7" s="0" t="n">
        <v>459.434</v>
      </c>
      <c r="C7" s="0" t="n">
        <v>379.069</v>
      </c>
      <c r="D7" s="0" t="n">
        <v>80.365</v>
      </c>
      <c r="E7" s="0" t="n">
        <v>17.5</v>
      </c>
      <c r="F7" s="0" t="n">
        <v>31.964</v>
      </c>
      <c r="G7" s="0" t="n">
        <v>7</v>
      </c>
      <c r="H7" s="0" t="n">
        <v>143.223</v>
      </c>
      <c r="I7" s="0" t="n">
        <v>-25.5</v>
      </c>
      <c r="J7" s="0" t="n">
        <v>-5.6</v>
      </c>
      <c r="K7" s="0" t="n">
        <v>-0.0643</v>
      </c>
      <c r="L7" s="0" t="n">
        <v>1.574</v>
      </c>
      <c r="M7" s="0" t="n">
        <v>60.198</v>
      </c>
      <c r="N7" s="0" t="n">
        <v>-58.624</v>
      </c>
      <c r="O7" s="0" t="n">
        <v>1706.858</v>
      </c>
      <c r="P7" s="0" t="n">
        <v>2834.716</v>
      </c>
      <c r="Q7" s="0" t="n">
        <v>1106.975</v>
      </c>
      <c r="R7" s="0" t="n">
        <v>766.472</v>
      </c>
      <c r="S7" s="0" t="n">
        <v>97.237</v>
      </c>
      <c r="T7" s="0" t="n">
        <v>396.413753</v>
      </c>
      <c r="U7" s="0" t="n">
        <v>0</v>
      </c>
      <c r="AA7" s="0" t="s">
        <v>18</v>
      </c>
      <c r="AB7" s="0" t="s">
        <v>14</v>
      </c>
      <c r="AC7" s="0" t="n">
        <v>-22.969</v>
      </c>
      <c r="AD7" s="0" t="n">
        <v>0</v>
      </c>
    </row>
    <row r="8" customFormat="false" ht="15" hidden="false" customHeight="false" outlineLevel="0" collapsed="false">
      <c r="A8" s="0" t="s">
        <v>72</v>
      </c>
      <c r="B8" s="0" t="n">
        <v>756.646</v>
      </c>
      <c r="C8" s="0" t="n">
        <v>569.726</v>
      </c>
      <c r="D8" s="0" t="n">
        <v>186.92</v>
      </c>
      <c r="E8" s="0" t="n">
        <v>24.7</v>
      </c>
      <c r="F8" s="0" t="n">
        <v>123.194</v>
      </c>
      <c r="G8" s="0" t="n">
        <v>16.3</v>
      </c>
      <c r="H8" s="0" t="n">
        <v>249.255</v>
      </c>
      <c r="I8" s="0" t="n">
        <v>62.732</v>
      </c>
      <c r="J8" s="0" t="n">
        <v>8.3</v>
      </c>
      <c r="K8" s="0" t="n">
        <v>0.1582</v>
      </c>
      <c r="L8" s="0" t="n">
        <v>306.896</v>
      </c>
      <c r="M8" s="0" t="n">
        <v>83.409</v>
      </c>
      <c r="N8" s="0" t="n">
        <v>223.487</v>
      </c>
      <c r="O8" s="0" t="n">
        <v>1762.438</v>
      </c>
      <c r="P8" s="0" t="n">
        <v>2935.979</v>
      </c>
      <c r="Q8" s="0" t="n">
        <v>1149.773</v>
      </c>
      <c r="R8" s="0" t="n">
        <v>742.175</v>
      </c>
      <c r="S8" s="0" t="n">
        <v>183.779</v>
      </c>
      <c r="T8" s="0" t="n">
        <v>396.413753</v>
      </c>
      <c r="U8" s="0" t="n">
        <v>0</v>
      </c>
      <c r="AA8" s="0" t="s">
        <v>18</v>
      </c>
      <c r="AB8" s="0" t="s">
        <v>14</v>
      </c>
      <c r="AC8" s="0" t="n">
        <v>65.298</v>
      </c>
      <c r="AD8" s="0" t="n">
        <v>118.246</v>
      </c>
    </row>
    <row r="9" customFormat="false" ht="15" hidden="false" customHeight="false" outlineLevel="0" collapsed="false">
      <c r="A9" s="0" t="s">
        <v>73</v>
      </c>
      <c r="B9" s="0" t="n">
        <v>1310.125</v>
      </c>
      <c r="C9" s="0" t="n">
        <v>626.134</v>
      </c>
      <c r="D9" s="0" t="n">
        <v>683.991</v>
      </c>
      <c r="E9" s="0" t="n">
        <v>52.2</v>
      </c>
      <c r="F9" s="0" t="n">
        <v>590.125</v>
      </c>
      <c r="G9" s="0" t="n">
        <v>45</v>
      </c>
      <c r="H9" s="0" t="n">
        <v>727.041</v>
      </c>
      <c r="I9" s="0" t="n">
        <v>466.959</v>
      </c>
      <c r="J9" s="0" t="n">
        <v>35.6</v>
      </c>
      <c r="K9" s="0" t="n">
        <v>1.178</v>
      </c>
      <c r="L9" s="0" t="n">
        <v>709.984</v>
      </c>
      <c r="M9" s="0" t="n">
        <v>69.909</v>
      </c>
      <c r="N9" s="0" t="n">
        <v>640.075</v>
      </c>
      <c r="O9" s="0" t="n">
        <v>2309.141</v>
      </c>
      <c r="P9" s="0" t="n">
        <v>3356.535</v>
      </c>
      <c r="Q9" s="0" t="n">
        <v>1019.509</v>
      </c>
      <c r="R9" s="0" t="n">
        <v>533.439</v>
      </c>
      <c r="S9" s="0" t="n">
        <v>399.402</v>
      </c>
      <c r="T9" s="0" t="n">
        <v>396.413753</v>
      </c>
      <c r="U9" s="0" t="n">
        <v>0</v>
      </c>
      <c r="AA9" s="0" t="s">
        <v>18</v>
      </c>
      <c r="AB9" s="0" t="s">
        <v>14</v>
      </c>
      <c r="AC9" s="0" t="n">
        <v>472.315</v>
      </c>
      <c r="AD9" s="0" t="n">
        <v>305.884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214</v>
      </c>
    </row>
    <row r="3" customFormat="false" ht="15" hidden="false" customHeight="false" outlineLevel="0" collapsed="false">
      <c r="A3" s="0" t="s">
        <v>77</v>
      </c>
      <c r="B3" s="3" t="n">
        <v>396.414</v>
      </c>
    </row>
    <row r="4" customFormat="false" ht="15" hidden="false" customHeight="false" outlineLevel="0" collapsed="false">
      <c r="A4" s="0" t="s">
        <v>78</v>
      </c>
      <c r="B4" s="3" t="n">
        <v>-512.9</v>
      </c>
    </row>
    <row r="5" customFormat="false" ht="15" hidden="false" customHeight="false" outlineLevel="0" collapsed="false">
      <c r="A5" s="0" t="s">
        <v>79</v>
      </c>
      <c r="B5" s="3" t="n">
        <v>-511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1310.125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7.8479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32.8</v>
      </c>
      <c r="D13" s="3" t="n">
        <v>-21.2</v>
      </c>
      <c r="E13" s="3" t="n">
        <v>-17.4</v>
      </c>
      <c r="F13" s="3" t="n">
        <v>4.2</v>
      </c>
      <c r="G13" s="3" t="n">
        <v>-1.4</v>
      </c>
      <c r="H13" s="3" t="n">
        <v>2</v>
      </c>
      <c r="I13" s="3" t="n">
        <v>2</v>
      </c>
      <c r="J13" s="3" t="n">
        <v>1.5</v>
      </c>
      <c r="K13" s="3" t="n">
        <v>1.5</v>
      </c>
      <c r="L13" s="3" t="n">
        <v>1</v>
      </c>
    </row>
    <row r="14" customFormat="false" ht="15" hidden="false" customHeight="false" outlineLevel="0" collapsed="false">
      <c r="A14" s="0" t="s">
        <v>98</v>
      </c>
      <c r="C14" s="3" t="n">
        <v>67.5</v>
      </c>
      <c r="D14" s="3" t="n">
        <v>59.9</v>
      </c>
      <c r="E14" s="3" t="n">
        <v>50.6</v>
      </c>
      <c r="F14" s="3" t="n">
        <v>51.6</v>
      </c>
      <c r="G14" s="3" t="n">
        <v>51.1</v>
      </c>
      <c r="H14" s="3" t="n">
        <v>50.6</v>
      </c>
      <c r="I14" s="3" t="n">
        <v>50</v>
      </c>
      <c r="J14" s="3" t="n">
        <v>49.5</v>
      </c>
      <c r="K14" s="3" t="n">
        <v>49</v>
      </c>
      <c r="L14" s="3" t="n">
        <v>48.5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8.5</v>
      </c>
      <c r="D17" s="3" t="n">
        <v>10</v>
      </c>
      <c r="E17" s="3" t="n">
        <v>12</v>
      </c>
      <c r="F17" s="3" t="n">
        <v>12</v>
      </c>
      <c r="G17" s="3" t="n">
        <v>12</v>
      </c>
      <c r="H17" s="3" t="n">
        <v>11.5</v>
      </c>
      <c r="I17" s="3" t="n">
        <v>11</v>
      </c>
      <c r="J17" s="3" t="n">
        <v>10.5</v>
      </c>
      <c r="K17" s="3" t="n">
        <v>10.5</v>
      </c>
      <c r="L17" s="3" t="n">
        <v>10.5</v>
      </c>
    </row>
    <row r="18" customFormat="false" ht="15" hidden="false" customHeight="false" outlineLevel="0" collapsed="false">
      <c r="A18" s="0" t="s">
        <v>102</v>
      </c>
      <c r="C18" s="3" t="n">
        <v>6.9</v>
      </c>
      <c r="D18" s="3" t="n">
        <v>16</v>
      </c>
      <c r="E18" s="3" t="n">
        <v>15</v>
      </c>
      <c r="F18" s="3" t="n">
        <v>12</v>
      </c>
      <c r="G18" s="3" t="n">
        <v>10</v>
      </c>
      <c r="H18" s="3" t="n">
        <v>10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103</v>
      </c>
      <c r="C19" s="3" t="n">
        <v>15.5</v>
      </c>
      <c r="D19" s="3" t="n">
        <v>15.5</v>
      </c>
      <c r="E19" s="3" t="n">
        <v>15.5</v>
      </c>
      <c r="F19" s="3" t="n">
        <v>15.5</v>
      </c>
      <c r="G19" s="3" t="n">
        <v>15.5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104</v>
      </c>
      <c r="B20" s="3" t="n">
        <v>10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8</v>
      </c>
    </row>
    <row r="23" customFormat="false" ht="15" hidden="false" customHeight="false" outlineLevel="0" collapsed="false">
      <c r="A23" s="0" t="s">
        <v>107</v>
      </c>
      <c r="B23" s="3" t="n">
        <v>-10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34.3</v>
      </c>
      <c r="D27" s="3" t="n">
        <v>-11.5</v>
      </c>
      <c r="E27" s="3" t="n">
        <v>7.4</v>
      </c>
      <c r="F27" s="3" t="n">
        <v>-10.5</v>
      </c>
      <c r="G27" s="3" t="n">
        <v>0.8</v>
      </c>
      <c r="H27" s="3" t="n">
        <v>6.7</v>
      </c>
      <c r="I27" s="3" t="n">
        <v>6.4</v>
      </c>
      <c r="J27" s="3" t="n">
        <v>2</v>
      </c>
      <c r="K27" s="3" t="n">
        <v>2</v>
      </c>
      <c r="L27" s="3" t="n">
        <v>1.5</v>
      </c>
    </row>
    <row r="28" customFormat="false" ht="15" hidden="false" customHeight="false" outlineLevel="0" collapsed="false">
      <c r="A28" s="0" t="s">
        <v>98</v>
      </c>
      <c r="C28" s="3" t="n">
        <v>68</v>
      </c>
      <c r="D28" s="3" t="n">
        <v>64</v>
      </c>
      <c r="E28" s="3" t="n">
        <v>63.7</v>
      </c>
      <c r="F28" s="3" t="n">
        <v>60.3</v>
      </c>
      <c r="G28" s="3" t="n">
        <v>59.9</v>
      </c>
      <c r="H28" s="3" t="n">
        <v>59.8</v>
      </c>
      <c r="I28" s="3" t="n">
        <v>59.5</v>
      </c>
      <c r="J28" s="3" t="n">
        <v>58.5</v>
      </c>
      <c r="K28" s="3" t="n">
        <v>57.8</v>
      </c>
      <c r="L28" s="3" t="n">
        <v>57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8</v>
      </c>
      <c r="D31" s="3" t="n">
        <v>9.5</v>
      </c>
      <c r="E31" s="3" t="n">
        <v>9.5</v>
      </c>
      <c r="F31" s="3" t="n">
        <v>10.5</v>
      </c>
      <c r="G31" s="3" t="n">
        <v>11</v>
      </c>
      <c r="H31" s="3" t="n">
        <v>10.5</v>
      </c>
      <c r="I31" s="3" t="n">
        <v>9.5</v>
      </c>
      <c r="J31" s="3" t="n">
        <v>9.5</v>
      </c>
      <c r="K31" s="3" t="n">
        <v>9.5</v>
      </c>
      <c r="L31" s="3" t="n">
        <v>9.5</v>
      </c>
    </row>
    <row r="32" customFormat="false" ht="15" hidden="false" customHeight="false" outlineLevel="0" collapsed="false">
      <c r="A32" s="0" t="s">
        <v>102</v>
      </c>
      <c r="C32" s="3" t="n">
        <v>6.8</v>
      </c>
      <c r="D32" s="3" t="n">
        <v>14</v>
      </c>
      <c r="E32" s="3" t="n">
        <v>11</v>
      </c>
      <c r="F32" s="3" t="n">
        <v>12</v>
      </c>
      <c r="G32" s="3" t="n">
        <v>10.5</v>
      </c>
      <c r="H32" s="3" t="n">
        <v>9</v>
      </c>
      <c r="I32" s="3" t="n">
        <v>9.5</v>
      </c>
      <c r="J32" s="3" t="n">
        <v>9.5</v>
      </c>
      <c r="K32" s="3" t="n">
        <v>9.5</v>
      </c>
      <c r="L32" s="3" t="n">
        <v>9.5</v>
      </c>
    </row>
    <row r="33" customFormat="false" ht="15" hidden="false" customHeight="false" outlineLevel="0" collapsed="false">
      <c r="A33" s="0" t="s">
        <v>103</v>
      </c>
      <c r="C33" s="3" t="n">
        <v>15</v>
      </c>
      <c r="D33" s="3" t="n">
        <v>15.5</v>
      </c>
      <c r="E33" s="3" t="n">
        <v>15.5</v>
      </c>
      <c r="F33" s="3" t="n">
        <v>15.5</v>
      </c>
      <c r="G33" s="3" t="n">
        <v>15.5</v>
      </c>
      <c r="H33" s="3" t="n">
        <v>17</v>
      </c>
      <c r="I33" s="3" t="n">
        <v>17</v>
      </c>
      <c r="J33" s="3" t="n">
        <v>17</v>
      </c>
      <c r="K33" s="3" t="n">
        <v>17</v>
      </c>
      <c r="L33" s="3" t="n">
        <v>17</v>
      </c>
    </row>
    <row r="34" customFormat="false" ht="15" hidden="false" customHeight="false" outlineLevel="0" collapsed="false">
      <c r="A34" s="0" t="s">
        <v>104</v>
      </c>
      <c r="B34" s="3" t="n">
        <v>10</v>
      </c>
    </row>
    <row r="35" customFormat="false" ht="15" hidden="false" customHeight="false" outlineLevel="0" collapsed="false">
      <c r="A35" s="0" t="s">
        <v>105</v>
      </c>
      <c r="B35" s="3" t="n">
        <v>0.5</v>
      </c>
    </row>
    <row r="36" customFormat="false" ht="15" hidden="false" customHeight="false" outlineLevel="0" collapsed="false">
      <c r="A36" s="0" t="s">
        <v>106</v>
      </c>
      <c r="B36" s="3" t="n">
        <v>10</v>
      </c>
    </row>
    <row r="37" customFormat="false" ht="15" hidden="false" customHeight="false" outlineLevel="0" collapsed="false">
      <c r="A37" s="0" t="s">
        <v>107</v>
      </c>
      <c r="B37" s="3" t="n">
        <v>-10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37.4</v>
      </c>
      <c r="D41" s="3" t="n">
        <v>-2.4</v>
      </c>
      <c r="E41" s="3" t="n">
        <v>14.7</v>
      </c>
      <c r="F41" s="3" t="n">
        <v>8.6</v>
      </c>
      <c r="G41" s="3" t="n">
        <v>4.8</v>
      </c>
      <c r="H41" s="3" t="n">
        <v>5.7</v>
      </c>
      <c r="I41" s="3" t="n">
        <v>3</v>
      </c>
      <c r="J41" s="3" t="n">
        <v>2.5</v>
      </c>
      <c r="K41" s="3" t="n">
        <v>2.5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69.4</v>
      </c>
      <c r="D42" s="3" t="n">
        <v>67.3</v>
      </c>
      <c r="E42" s="3" t="n">
        <v>67.7</v>
      </c>
      <c r="F42" s="3" t="n">
        <v>68</v>
      </c>
      <c r="G42" s="3" t="n">
        <v>67.7</v>
      </c>
      <c r="H42" s="3" t="n">
        <v>67.4</v>
      </c>
      <c r="I42" s="3" t="n">
        <v>67</v>
      </c>
      <c r="J42" s="3" t="n">
        <v>66.5</v>
      </c>
      <c r="K42" s="3" t="n">
        <v>66</v>
      </c>
      <c r="L42" s="3" t="n">
        <v>65.5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7.8</v>
      </c>
      <c r="D45" s="3" t="n">
        <v>8.5</v>
      </c>
      <c r="E45" s="3" t="n">
        <v>8</v>
      </c>
      <c r="F45" s="3" t="n">
        <v>8</v>
      </c>
      <c r="G45" s="3" t="n">
        <v>8</v>
      </c>
      <c r="H45" s="3" t="n">
        <v>8</v>
      </c>
      <c r="I45" s="3" t="n">
        <v>8</v>
      </c>
      <c r="J45" s="3" t="n">
        <v>8</v>
      </c>
      <c r="K45" s="3" t="n">
        <v>8</v>
      </c>
      <c r="L45" s="3" t="n">
        <v>8</v>
      </c>
    </row>
    <row r="46" customFormat="false" ht="15" hidden="false" customHeight="false" outlineLevel="0" collapsed="false">
      <c r="A46" s="0" t="s">
        <v>102</v>
      </c>
      <c r="C46" s="3" t="n">
        <v>6.7</v>
      </c>
      <c r="D46" s="3" t="n">
        <v>13</v>
      </c>
      <c r="E46" s="3" t="n">
        <v>10</v>
      </c>
      <c r="F46" s="3" t="n">
        <v>9</v>
      </c>
      <c r="G46" s="3" t="n">
        <v>9</v>
      </c>
      <c r="H46" s="3" t="n">
        <v>8.5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103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16</v>
      </c>
      <c r="I47" s="3" t="n">
        <v>16</v>
      </c>
      <c r="J47" s="3" t="n">
        <v>16</v>
      </c>
      <c r="K47" s="3" t="n">
        <v>16</v>
      </c>
      <c r="L47" s="3" t="n">
        <v>16</v>
      </c>
    </row>
    <row r="48" customFormat="false" ht="15" hidden="false" customHeight="false" outlineLevel="0" collapsed="false">
      <c r="A48" s="0" t="s">
        <v>104</v>
      </c>
      <c r="B48" s="3" t="n">
        <v>10</v>
      </c>
    </row>
    <row r="49" customFormat="false" ht="15" hidden="false" customHeight="false" outlineLevel="0" collapsed="false">
      <c r="A49" s="0" t="s">
        <v>105</v>
      </c>
      <c r="B49" s="3" t="n">
        <v>1</v>
      </c>
    </row>
    <row r="50" customFormat="false" ht="15" hidden="false" customHeight="false" outlineLevel="0" collapsed="false">
      <c r="A50" s="0" t="s">
        <v>106</v>
      </c>
      <c r="B50" s="3" t="n">
        <v>11</v>
      </c>
    </row>
    <row r="51" customFormat="false" ht="15" hidden="false" customHeight="false" outlineLevel="0" collapsed="false">
      <c r="A51" s="0" t="s">
        <v>107</v>
      </c>
      <c r="B51" s="3" t="n">
        <v>-10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32.8</v>
      </c>
      <c r="D5" s="4" t="n">
        <f aca="false">Assumptions!D13</f>
        <v>-21.2</v>
      </c>
      <c r="E5" s="4" t="n">
        <f aca="false">Assumptions!E13</f>
        <v>-17.4</v>
      </c>
      <c r="F5" s="4" t="n">
        <f aca="false">Assumptions!F13</f>
        <v>4.2</v>
      </c>
      <c r="G5" s="4" t="n">
        <f aca="false">Assumptions!G13</f>
        <v>-1.4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1310.125</v>
      </c>
      <c r="C6" s="0" t="n">
        <f aca="false">B6*(1+C5/100)</f>
        <v>1739.846</v>
      </c>
      <c r="D6" s="0" t="n">
        <f aca="false">C6*(1+D5/100)</f>
        <v>1370.998648</v>
      </c>
      <c r="E6" s="0" t="n">
        <f aca="false">D6*(1+E5/100)</f>
        <v>1132.444883248</v>
      </c>
      <c r="F6" s="0" t="n">
        <f aca="false">E6*(1+F5/100)</f>
        <v>1180.00756834442</v>
      </c>
      <c r="G6" s="0" t="n">
        <f aca="false">F6*(1+G5/100)</f>
        <v>1163.48746238759</v>
      </c>
      <c r="H6" s="0" t="n">
        <f aca="false">G6*(1+H5/100)</f>
        <v>1186.75721163535</v>
      </c>
      <c r="I6" s="0" t="n">
        <f aca="false">H6*(1+I5/100)</f>
        <v>1210.49235586805</v>
      </c>
      <c r="J6" s="0" t="n">
        <f aca="false">I6*(1+J5/100)</f>
        <v>1228.64974120607</v>
      </c>
      <c r="K6" s="0" t="n">
        <f aca="false">J6*(1+K5/100)</f>
        <v>1247.07948732416</v>
      </c>
      <c r="L6" s="0" t="n">
        <f aca="false">K6*(1+L5/100)</f>
        <v>1259.55028219741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67.5</v>
      </c>
      <c r="D7" s="4" t="n">
        <f aca="false">Assumptions!D14</f>
        <v>59.9</v>
      </c>
      <c r="E7" s="4" t="n">
        <f aca="false">Assumptions!E14</f>
        <v>50.6</v>
      </c>
      <c r="F7" s="4" t="n">
        <f aca="false">Assumptions!F14</f>
        <v>51.6</v>
      </c>
      <c r="G7" s="4" t="n">
        <f aca="false">Assumptions!G14</f>
        <v>51.1</v>
      </c>
      <c r="H7" s="4" t="n">
        <f aca="false">Assumptions!H14</f>
        <v>50.6</v>
      </c>
      <c r="I7" s="4" t="n">
        <f aca="false">Assumptions!I14</f>
        <v>50</v>
      </c>
      <c r="J7" s="4" t="n">
        <f aca="false">Assumptions!J14</f>
        <v>49.5</v>
      </c>
      <c r="K7" s="4" t="n">
        <f aca="false">Assumptions!K14</f>
        <v>49</v>
      </c>
      <c r="L7" s="4" t="n">
        <f aca="false">Assumptions!L14</f>
        <v>48.5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1174.39605</v>
      </c>
      <c r="D8" s="0" t="n">
        <f aca="false">D6*D7/100</f>
        <v>821.228190152</v>
      </c>
      <c r="E8" s="0" t="n">
        <f aca="false">E6*E7/100</f>
        <v>573.017110923488</v>
      </c>
      <c r="F8" s="0" t="n">
        <f aca="false">F6*F7/100</f>
        <v>608.883905265719</v>
      </c>
      <c r="G8" s="0" t="n">
        <f aca="false">G6*G7/100</f>
        <v>594.542093280061</v>
      </c>
      <c r="H8" s="0" t="n">
        <f aca="false">H6*H7/100</f>
        <v>600.499149087485</v>
      </c>
      <c r="I8" s="0" t="n">
        <f aca="false">I6*I7/100</f>
        <v>605.246177934027</v>
      </c>
      <c r="J8" s="0" t="n">
        <f aca="false">J6*J7/100</f>
        <v>608.181621897007</v>
      </c>
      <c r="K8" s="0" t="n">
        <f aca="false">K6*K7/100</f>
        <v>611.068948788841</v>
      </c>
      <c r="L8" s="0" t="n">
        <f aca="false">L6*L7/100</f>
        <v>610.881886865742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1174.39605</v>
      </c>
      <c r="D11" s="0" t="n">
        <f aca="false">D8+D10+D24</f>
        <v>821.228190152</v>
      </c>
      <c r="E11" s="0" t="n">
        <f aca="false">E8+E10+E24</f>
        <v>573.017110923488</v>
      </c>
      <c r="F11" s="0" t="n">
        <f aca="false">F8+F10+F24</f>
        <v>608.883905265719</v>
      </c>
      <c r="G11" s="0" t="n">
        <f aca="false">G8+G10+G24</f>
        <v>594.542093280061</v>
      </c>
      <c r="H11" s="0" t="n">
        <f aca="false">H8+H10+H24</f>
        <v>600.499149087485</v>
      </c>
      <c r="I11" s="0" t="n">
        <f aca="false">I8+I10+I24</f>
        <v>605.246177934027</v>
      </c>
      <c r="J11" s="0" t="n">
        <f aca="false">J8+J10+J24</f>
        <v>608.181621897007</v>
      </c>
      <c r="K11" s="0" t="n">
        <f aca="false">K8+K10+K24</f>
        <v>611.068948788841</v>
      </c>
      <c r="L11" s="0" t="n">
        <f aca="false">L8+L10+L24</f>
        <v>610.881886865742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-147.88691</v>
      </c>
      <c r="D12" s="4" t="n">
        <f aca="false">-D6*Assumptions!D17/100</f>
        <v>-137.0998648</v>
      </c>
      <c r="E12" s="4" t="n">
        <f aca="false">-E6*Assumptions!E17/100</f>
        <v>-135.89338598976</v>
      </c>
      <c r="F12" s="4" t="n">
        <f aca="false">-F6*Assumptions!F17/100</f>
        <v>-141.60090820133</v>
      </c>
      <c r="G12" s="4" t="n">
        <f aca="false">-G6*Assumptions!G17/100</f>
        <v>-139.618495486511</v>
      </c>
      <c r="H12" s="4" t="n">
        <f aca="false">-H6*Assumptions!H17/100</f>
        <v>-136.477079338065</v>
      </c>
      <c r="I12" s="4" t="n">
        <f aca="false">-I6*Assumptions!I17/100</f>
        <v>-133.154159145486</v>
      </c>
      <c r="J12" s="4" t="n">
        <f aca="false">-J6*Assumptions!J17/100</f>
        <v>-129.008222826638</v>
      </c>
      <c r="K12" s="4" t="n">
        <f aca="false">-K6*Assumptions!K17/100</f>
        <v>-130.943346169037</v>
      </c>
      <c r="L12" s="4" t="n">
        <f aca="false">-L6*Assumptions!L17/100</f>
        <v>-132.252779630728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1026.50914</v>
      </c>
      <c r="D13" s="0" t="n">
        <f aca="false">D11+D12</f>
        <v>684.128325352</v>
      </c>
      <c r="E13" s="0" t="n">
        <f aca="false">E11+E12</f>
        <v>437.123724933728</v>
      </c>
      <c r="F13" s="0" t="n">
        <f aca="false">F11+F12</f>
        <v>467.282997064389</v>
      </c>
      <c r="G13" s="0" t="n">
        <f aca="false">G11+G12</f>
        <v>454.923597793549</v>
      </c>
      <c r="H13" s="0" t="n">
        <f aca="false">H11+H12</f>
        <v>464.02206974942</v>
      </c>
      <c r="I13" s="0" t="n">
        <f aca="false">I11+I12</f>
        <v>472.092018788541</v>
      </c>
      <c r="J13" s="0" t="n">
        <f aca="false">J11+J12</f>
        <v>479.173399070369</v>
      </c>
      <c r="K13" s="0" t="n">
        <f aca="false">K11+K12</f>
        <v>480.125602619803</v>
      </c>
      <c r="L13" s="0" t="n">
        <f aca="false">L11+L12</f>
        <v>478.629107235014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15.5</v>
      </c>
      <c r="D14" s="4" t="n">
        <f aca="false">Assumptions!D19</f>
        <v>15.5</v>
      </c>
      <c r="E14" s="4" t="n">
        <f aca="false">Assumptions!E19</f>
        <v>15.5</v>
      </c>
      <c r="F14" s="4" t="n">
        <f aca="false">Assumptions!F19</f>
        <v>15.5</v>
      </c>
      <c r="G14" s="4" t="n">
        <f aca="false">Assumptions!G19</f>
        <v>15.5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867.4002233</v>
      </c>
      <c r="D15" s="0" t="n">
        <f aca="false">D13-MAX(0,D13)*D14/100</f>
        <v>578.08843492244</v>
      </c>
      <c r="E15" s="0" t="n">
        <f aca="false">E13-MAX(0,E13)*E14/100</f>
        <v>369.369547569</v>
      </c>
      <c r="F15" s="0" t="n">
        <f aca="false">F13-MAX(0,F13)*F14/100</f>
        <v>394.854132519409</v>
      </c>
      <c r="G15" s="0" t="n">
        <f aca="false">G13-MAX(0,G13)*G14/100</f>
        <v>384.410440135549</v>
      </c>
      <c r="H15" s="0" t="n">
        <f aca="false">H13-MAX(0,H13)*H14/100</f>
        <v>371.217655799536</v>
      </c>
      <c r="I15" s="0" t="n">
        <f aca="false">I13-MAX(0,I13)*I14/100</f>
        <v>377.673615030833</v>
      </c>
      <c r="J15" s="0" t="n">
        <f aca="false">J13-MAX(0,J13)*J14/100</f>
        <v>383.338719256295</v>
      </c>
      <c r="K15" s="0" t="n">
        <f aca="false">K13-MAX(0,K13)*K14/100</f>
        <v>384.100482095843</v>
      </c>
      <c r="L15" s="0" t="n">
        <f aca="false">L13-MAX(0,L13)*L14/100</f>
        <v>382.903285788012</v>
      </c>
    </row>
    <row r="16" customFormat="false" ht="15" hidden="false" customHeight="false" outlineLevel="0" collapsed="false">
      <c r="A16" s="0" t="s">
        <v>119</v>
      </c>
      <c r="C16" s="0" t="n">
        <f aca="false">-C12</f>
        <v>147.88691</v>
      </c>
      <c r="D16" s="0" t="n">
        <f aca="false">-D12</f>
        <v>137.0998648</v>
      </c>
      <c r="E16" s="0" t="n">
        <f aca="false">-E12</f>
        <v>135.89338598976</v>
      </c>
      <c r="F16" s="0" t="n">
        <f aca="false">-F12</f>
        <v>141.60090820133</v>
      </c>
      <c r="G16" s="0" t="n">
        <f aca="false">-G12</f>
        <v>139.618495486511</v>
      </c>
      <c r="H16" s="0" t="n">
        <f aca="false">-H12</f>
        <v>136.477079338065</v>
      </c>
      <c r="I16" s="0" t="n">
        <f aca="false">-I12</f>
        <v>133.154159145486</v>
      </c>
      <c r="J16" s="0" t="n">
        <f aca="false">-J12</f>
        <v>129.008222826638</v>
      </c>
      <c r="K16" s="0" t="n">
        <f aca="false">-K12</f>
        <v>130.943346169037</v>
      </c>
      <c r="L16" s="0" t="n">
        <f aca="false">-L12</f>
        <v>132.252779630728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-120.049374</v>
      </c>
      <c r="D17" s="4" t="n">
        <f aca="false">-D6*Assumptions!D18/100</f>
        <v>-219.35978368</v>
      </c>
      <c r="E17" s="4" t="n">
        <f aca="false">-E6*Assumptions!E18/100</f>
        <v>-169.8667324872</v>
      </c>
      <c r="F17" s="4" t="n">
        <f aca="false">-F6*Assumptions!F18/100</f>
        <v>-141.60090820133</v>
      </c>
      <c r="G17" s="4" t="n">
        <f aca="false">-G6*Assumptions!G18/100</f>
        <v>-116.348746238759</v>
      </c>
      <c r="H17" s="4" t="n">
        <f aca="false">-H6*Assumptions!H18/100</f>
        <v>-118.675721163535</v>
      </c>
      <c r="I17" s="4" t="n">
        <f aca="false">-I6*Assumptions!I18/100</f>
        <v>-127.101697366146</v>
      </c>
      <c r="J17" s="4" t="n">
        <f aca="false">-J6*Assumptions!J18/100</f>
        <v>-129.008222826638</v>
      </c>
      <c r="K17" s="4" t="n">
        <f aca="false">-K6*Assumptions!K18/100</f>
        <v>-130.943346169037</v>
      </c>
      <c r="L17" s="4" t="n">
        <f aca="false">-L6*Assumptions!L18/100</f>
        <v>-132.252779630728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-42.9721</v>
      </c>
      <c r="D18" s="4" t="n">
        <f aca="false">(D6-C6)*Assumptions!$B$23/100</f>
        <v>36.8847352</v>
      </c>
      <c r="E18" s="4" t="n">
        <f aca="false">(E6-D6)*Assumptions!$B$23/100</f>
        <v>23.8553764752</v>
      </c>
      <c r="F18" s="4" t="n">
        <f aca="false">(F6-E6)*Assumptions!$B$23/100</f>
        <v>-4.75626850964161</v>
      </c>
      <c r="G18" s="4" t="n">
        <f aca="false">(G6-F6)*Assumptions!$B$23/100</f>
        <v>1.65201059568219</v>
      </c>
      <c r="H18" s="4" t="n">
        <f aca="false">(H6-G6)*Assumptions!$B$23/100</f>
        <v>-2.32697492477519</v>
      </c>
      <c r="I18" s="4" t="n">
        <f aca="false">(I6-H6)*Assumptions!$B$23/100</f>
        <v>-2.37351442327069</v>
      </c>
      <c r="J18" s="4" t="n">
        <f aca="false">(J6-I6)*Assumptions!$B$23/100</f>
        <v>-1.81573853380207</v>
      </c>
      <c r="K18" s="4" t="n">
        <f aca="false">(K6-J6)*Assumptions!$B$23/100</f>
        <v>-1.84297461180911</v>
      </c>
      <c r="L18" s="4" t="n">
        <f aca="false">(L6-K6)*Assumptions!$B$23/100</f>
        <v>-1.24707948732416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852.2656593</v>
      </c>
      <c r="D19" s="0" t="n">
        <f aca="false">D15+D16+D17+D18</f>
        <v>532.71325124244</v>
      </c>
      <c r="E19" s="0" t="n">
        <f aca="false">E15+E16+E17+E18</f>
        <v>359.25157754676</v>
      </c>
      <c r="F19" s="0" t="n">
        <f aca="false">F15+F16+F17+F18</f>
        <v>390.097864009767</v>
      </c>
      <c r="G19" s="0" t="n">
        <f aca="false">G15+G16+G17+G18</f>
        <v>409.332199978983</v>
      </c>
      <c r="H19" s="0" t="n">
        <f aca="false">H15+H16+H17+H18</f>
        <v>386.692039049291</v>
      </c>
      <c r="I19" s="0" t="n">
        <f aca="false">I15+I16+I17+I18</f>
        <v>381.352562386902</v>
      </c>
      <c r="J19" s="0" t="n">
        <f aca="false">J15+J16+J17+J18</f>
        <v>381.522980722493</v>
      </c>
      <c r="K19" s="0" t="n">
        <f aca="false">K15+K16+K17+K18</f>
        <v>382.257507484034</v>
      </c>
      <c r="L19" s="0" t="n">
        <f aca="false">L15+L16+L17+L18</f>
        <v>381.656206300687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774.786963</v>
      </c>
      <c r="D21" s="0" t="n">
        <f aca="false">D19*D20</f>
        <v>440.258885324331</v>
      </c>
      <c r="E21" s="0" t="n">
        <f aca="false">E19*E20</f>
        <v>269.911027458122</v>
      </c>
      <c r="F21" s="0" t="n">
        <f aca="false">F19*F20</f>
        <v>266.442090027844</v>
      </c>
      <c r="G21" s="0" t="n">
        <f aca="false">G19*G20</f>
        <v>254.163091181665</v>
      </c>
      <c r="H21" s="0" t="n">
        <f aca="false">H19*H20</f>
        <v>218.277575002662</v>
      </c>
      <c r="I21" s="0" t="n">
        <f aca="false">I19*I20</f>
        <v>195.694163296921</v>
      </c>
      <c r="J21" s="0" t="n">
        <f aca="false">J19*J20</f>
        <v>177.983286226659</v>
      </c>
      <c r="K21" s="0" t="n">
        <f aca="false">K19*K20</f>
        <v>162.114498528981</v>
      </c>
      <c r="L21" s="0" t="n">
        <f aca="false">L19*L20</f>
        <v>147.144989208363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2906.77656925555</v>
      </c>
    </row>
    <row r="31" customFormat="false" ht="15" hidden="false" customHeight="false" outlineLevel="0" collapsed="false">
      <c r="A31" s="0" t="s">
        <v>128</v>
      </c>
      <c r="B31" s="0" t="n">
        <f aca="false">L19</f>
        <v>381.656206300687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3816.56206300687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3053.2496504055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3053.2496504055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1177.1599136669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4083.93648292245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4085.83648292245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80.8882535287026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-0.622017506875222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80.8882535287026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2544.37470867125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60.8916635583717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34.3</v>
      </c>
      <c r="D5" s="4" t="n">
        <f aca="false">Assumptions!D27</f>
        <v>-11.5</v>
      </c>
      <c r="E5" s="4" t="n">
        <f aca="false">Assumptions!E27</f>
        <v>7.4</v>
      </c>
      <c r="F5" s="4" t="n">
        <f aca="false">Assumptions!F27</f>
        <v>-10.5</v>
      </c>
      <c r="G5" s="4" t="n">
        <f aca="false">Assumptions!G27</f>
        <v>0.8</v>
      </c>
      <c r="H5" s="4" t="n">
        <f aca="false">Assumptions!H27</f>
        <v>6.7</v>
      </c>
      <c r="I5" s="4" t="n">
        <f aca="false">Assumptions!I27</f>
        <v>6.4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1310.125</v>
      </c>
      <c r="C6" s="0" t="n">
        <f aca="false">B6*(1+C5/100)</f>
        <v>1759.497875</v>
      </c>
      <c r="D6" s="0" t="n">
        <f aca="false">C6*(1+D5/100)</f>
        <v>1557.155619375</v>
      </c>
      <c r="E6" s="0" t="n">
        <f aca="false">D6*(1+E5/100)</f>
        <v>1672.38513520875</v>
      </c>
      <c r="F6" s="0" t="n">
        <f aca="false">E6*(1+F5/100)</f>
        <v>1496.78469601183</v>
      </c>
      <c r="G6" s="0" t="n">
        <f aca="false">F6*(1+G5/100)</f>
        <v>1508.75897357993</v>
      </c>
      <c r="H6" s="0" t="n">
        <f aca="false">G6*(1+H5/100)</f>
        <v>1609.84582480978</v>
      </c>
      <c r="I6" s="0" t="n">
        <f aca="false">H6*(1+I5/100)</f>
        <v>1712.87595759761</v>
      </c>
      <c r="J6" s="0" t="n">
        <f aca="false">I6*(1+J5/100)</f>
        <v>1747.13347674956</v>
      </c>
      <c r="K6" s="0" t="n">
        <f aca="false">J6*(1+K5/100)</f>
        <v>1782.07614628455</v>
      </c>
      <c r="L6" s="0" t="n">
        <f aca="false">K6*(1+L5/100)</f>
        <v>1808.80728847882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68</v>
      </c>
      <c r="D7" s="4" t="n">
        <f aca="false">Assumptions!D28</f>
        <v>64</v>
      </c>
      <c r="E7" s="4" t="n">
        <f aca="false">Assumptions!E28</f>
        <v>63.7</v>
      </c>
      <c r="F7" s="4" t="n">
        <f aca="false">Assumptions!F28</f>
        <v>60.3</v>
      </c>
      <c r="G7" s="4" t="n">
        <f aca="false">Assumptions!G28</f>
        <v>59.9</v>
      </c>
      <c r="H7" s="4" t="n">
        <f aca="false">Assumptions!H28</f>
        <v>59.8</v>
      </c>
      <c r="I7" s="4" t="n">
        <f aca="false">Assumptions!I28</f>
        <v>59.5</v>
      </c>
      <c r="J7" s="4" t="n">
        <f aca="false">Assumptions!J28</f>
        <v>58.5</v>
      </c>
      <c r="K7" s="4" t="n">
        <f aca="false">Assumptions!K28</f>
        <v>57.8</v>
      </c>
      <c r="L7" s="4" t="n">
        <f aca="false">Assumptions!L28</f>
        <v>57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1196.458555</v>
      </c>
      <c r="D8" s="0" t="n">
        <f aca="false">D6*D7/100</f>
        <v>996.5795964</v>
      </c>
      <c r="E8" s="0" t="n">
        <f aca="false">E6*E7/100</f>
        <v>1065.30933112797</v>
      </c>
      <c r="F8" s="0" t="n">
        <f aca="false">F6*F7/100</f>
        <v>902.561171695134</v>
      </c>
      <c r="G8" s="0" t="n">
        <f aca="false">G6*G7/100</f>
        <v>903.746625174376</v>
      </c>
      <c r="H8" s="0" t="n">
        <f aca="false">H6*H7/100</f>
        <v>962.687803236249</v>
      </c>
      <c r="I8" s="0" t="n">
        <f aca="false">I6*I7/100</f>
        <v>1019.16119477058</v>
      </c>
      <c r="J8" s="0" t="n">
        <f aca="false">J6*J7/100</f>
        <v>1022.07308389849</v>
      </c>
      <c r="K8" s="0" t="n">
        <f aca="false">K6*K7/100</f>
        <v>1030.04001255247</v>
      </c>
      <c r="L8" s="0" t="n">
        <f aca="false">L6*L7/100</f>
        <v>1031.02015443293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1196.458555</v>
      </c>
      <c r="D11" s="0" t="n">
        <f aca="false">D8+D10+D24</f>
        <v>996.5795964</v>
      </c>
      <c r="E11" s="0" t="n">
        <f aca="false">E8+E10+E24</f>
        <v>1065.30933112797</v>
      </c>
      <c r="F11" s="0" t="n">
        <f aca="false">F8+F10+F24</f>
        <v>902.561171695134</v>
      </c>
      <c r="G11" s="0" t="n">
        <f aca="false">G8+G10+G24</f>
        <v>903.746625174376</v>
      </c>
      <c r="H11" s="0" t="n">
        <f aca="false">H8+H10+H24</f>
        <v>962.687803236249</v>
      </c>
      <c r="I11" s="0" t="n">
        <f aca="false">I8+I10+I24</f>
        <v>1019.16119477058</v>
      </c>
      <c r="J11" s="0" t="n">
        <f aca="false">J8+J10+J24</f>
        <v>1022.07308389849</v>
      </c>
      <c r="K11" s="0" t="n">
        <f aca="false">K8+K10+K24</f>
        <v>1030.04001255247</v>
      </c>
      <c r="L11" s="0" t="n">
        <f aca="false">L8+L10+L24</f>
        <v>1031.02015443293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-140.75983</v>
      </c>
      <c r="D12" s="4" t="n">
        <f aca="false">-D6*Assumptions!D31/100</f>
        <v>-147.929783840625</v>
      </c>
      <c r="E12" s="4" t="n">
        <f aca="false">-E6*Assumptions!E31/100</f>
        <v>-158.876587844831</v>
      </c>
      <c r="F12" s="4" t="n">
        <f aca="false">-F6*Assumptions!F31/100</f>
        <v>-157.162393081242</v>
      </c>
      <c r="G12" s="4" t="n">
        <f aca="false">-G6*Assumptions!G31/100</f>
        <v>-165.963487093792</v>
      </c>
      <c r="H12" s="4" t="n">
        <f aca="false">-H6*Assumptions!H31/100</f>
        <v>-169.033811605027</v>
      </c>
      <c r="I12" s="4" t="n">
        <f aca="false">-I6*Assumptions!I31/100</f>
        <v>-162.723215971773</v>
      </c>
      <c r="J12" s="4" t="n">
        <f aca="false">-J6*Assumptions!J31/100</f>
        <v>-165.977680291208</v>
      </c>
      <c r="K12" s="4" t="n">
        <f aca="false">-K6*Assumptions!K31/100</f>
        <v>-169.297233897032</v>
      </c>
      <c r="L12" s="4" t="n">
        <f aca="false">-L6*Assumptions!L31/100</f>
        <v>-171.836692405488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1055.698725</v>
      </c>
      <c r="D13" s="0" t="n">
        <f aca="false">D11+D12</f>
        <v>848.649812559375</v>
      </c>
      <c r="E13" s="0" t="n">
        <f aca="false">E11+E12</f>
        <v>906.432743283143</v>
      </c>
      <c r="F13" s="0" t="n">
        <f aca="false">F11+F12</f>
        <v>745.398778613892</v>
      </c>
      <c r="G13" s="0" t="n">
        <f aca="false">G11+G12</f>
        <v>737.783138080584</v>
      </c>
      <c r="H13" s="0" t="n">
        <f aca="false">H11+H12</f>
        <v>793.653991631222</v>
      </c>
      <c r="I13" s="0" t="n">
        <f aca="false">I11+I12</f>
        <v>856.437978798804</v>
      </c>
      <c r="J13" s="0" t="n">
        <f aca="false">J11+J12</f>
        <v>856.095403607284</v>
      </c>
      <c r="K13" s="0" t="n">
        <f aca="false">K11+K12</f>
        <v>860.742778655438</v>
      </c>
      <c r="L13" s="0" t="n">
        <f aca="false">L11+L12</f>
        <v>859.183462027439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15</v>
      </c>
      <c r="D14" s="4" t="n">
        <f aca="false">Assumptions!D33</f>
        <v>15.5</v>
      </c>
      <c r="E14" s="4" t="n">
        <f aca="false">Assumptions!E33</f>
        <v>15.5</v>
      </c>
      <c r="F14" s="4" t="n">
        <f aca="false">Assumptions!F33</f>
        <v>15.5</v>
      </c>
      <c r="G14" s="4" t="n">
        <f aca="false">Assumptions!G33</f>
        <v>15.5</v>
      </c>
      <c r="H14" s="4" t="n">
        <f aca="false">Assumptions!H33</f>
        <v>17</v>
      </c>
      <c r="I14" s="4" t="n">
        <f aca="false">Assumptions!I33</f>
        <v>17</v>
      </c>
      <c r="J14" s="4" t="n">
        <f aca="false">Assumptions!J33</f>
        <v>17</v>
      </c>
      <c r="K14" s="4" t="n">
        <f aca="false">Assumptions!K33</f>
        <v>17</v>
      </c>
      <c r="L14" s="4" t="n">
        <f aca="false">Assumptions!L33</f>
        <v>17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897.34391625</v>
      </c>
      <c r="D15" s="0" t="n">
        <f aca="false">D13-MAX(0,D13)*D14/100</f>
        <v>717.109091612672</v>
      </c>
      <c r="E15" s="0" t="n">
        <f aca="false">E13-MAX(0,E13)*E14/100</f>
        <v>765.935668074255</v>
      </c>
      <c r="F15" s="0" t="n">
        <f aca="false">F13-MAX(0,F13)*F14/100</f>
        <v>629.861967928739</v>
      </c>
      <c r="G15" s="0" t="n">
        <f aca="false">G13-MAX(0,G13)*G14/100</f>
        <v>623.426751678093</v>
      </c>
      <c r="H15" s="0" t="n">
        <f aca="false">H13-MAX(0,H13)*H14/100</f>
        <v>658.732813053914</v>
      </c>
      <c r="I15" s="0" t="n">
        <f aca="false">I13-MAX(0,I13)*I14/100</f>
        <v>710.843522403007</v>
      </c>
      <c r="J15" s="0" t="n">
        <f aca="false">J13-MAX(0,J13)*J14/100</f>
        <v>710.559184994046</v>
      </c>
      <c r="K15" s="0" t="n">
        <f aca="false">K13-MAX(0,K13)*K14/100</f>
        <v>714.416506284013</v>
      </c>
      <c r="L15" s="0" t="n">
        <f aca="false">L13-MAX(0,L13)*L14/100</f>
        <v>713.122273482774</v>
      </c>
    </row>
    <row r="16" customFormat="false" ht="15" hidden="false" customHeight="false" outlineLevel="0" collapsed="false">
      <c r="A16" s="0" t="s">
        <v>119</v>
      </c>
      <c r="C16" s="0" t="n">
        <f aca="false">-C12</f>
        <v>140.75983</v>
      </c>
      <c r="D16" s="0" t="n">
        <f aca="false">-D12</f>
        <v>147.929783840625</v>
      </c>
      <c r="E16" s="0" t="n">
        <f aca="false">-E12</f>
        <v>158.876587844831</v>
      </c>
      <c r="F16" s="0" t="n">
        <f aca="false">-F12</f>
        <v>157.162393081242</v>
      </c>
      <c r="G16" s="0" t="n">
        <f aca="false">-G12</f>
        <v>165.963487093792</v>
      </c>
      <c r="H16" s="0" t="n">
        <f aca="false">-H12</f>
        <v>169.033811605027</v>
      </c>
      <c r="I16" s="0" t="n">
        <f aca="false">-I12</f>
        <v>162.723215971773</v>
      </c>
      <c r="J16" s="0" t="n">
        <f aca="false">-J12</f>
        <v>165.977680291208</v>
      </c>
      <c r="K16" s="0" t="n">
        <f aca="false">-K12</f>
        <v>169.297233897032</v>
      </c>
      <c r="L16" s="0" t="n">
        <f aca="false">-L12</f>
        <v>171.836692405488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-119.6458555</v>
      </c>
      <c r="D17" s="4" t="n">
        <f aca="false">-D6*Assumptions!D32/100</f>
        <v>-218.0017867125</v>
      </c>
      <c r="E17" s="4" t="n">
        <f aca="false">-E6*Assumptions!E32/100</f>
        <v>-183.962364872963</v>
      </c>
      <c r="F17" s="4" t="n">
        <f aca="false">-F6*Assumptions!F32/100</f>
        <v>-179.61416352142</v>
      </c>
      <c r="G17" s="4" t="n">
        <f aca="false">-G6*Assumptions!G32/100</f>
        <v>-158.419692225892</v>
      </c>
      <c r="H17" s="4" t="n">
        <f aca="false">-H6*Assumptions!H32/100</f>
        <v>-144.88612423288</v>
      </c>
      <c r="I17" s="4" t="n">
        <f aca="false">-I6*Assumptions!I32/100</f>
        <v>-162.723215971773</v>
      </c>
      <c r="J17" s="4" t="n">
        <f aca="false">-J6*Assumptions!J32/100</f>
        <v>-165.977680291208</v>
      </c>
      <c r="K17" s="4" t="n">
        <f aca="false">-K6*Assumptions!K32/100</f>
        <v>-169.297233897032</v>
      </c>
      <c r="L17" s="4" t="n">
        <f aca="false">-L6*Assumptions!L32/100</f>
        <v>-171.836692405488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-44.9372875</v>
      </c>
      <c r="D18" s="4" t="n">
        <f aca="false">(D6-C6)*Assumptions!$B$37/100</f>
        <v>20.2342255625</v>
      </c>
      <c r="E18" s="4" t="n">
        <f aca="false">(E6-D6)*Assumptions!$B$37/100</f>
        <v>-11.522951583375</v>
      </c>
      <c r="F18" s="4" t="n">
        <f aca="false">(F6-E6)*Assumptions!$B$37/100</f>
        <v>17.5600439196919</v>
      </c>
      <c r="G18" s="4" t="n">
        <f aca="false">(G6-F6)*Assumptions!$B$37/100</f>
        <v>-1.19742775680947</v>
      </c>
      <c r="H18" s="4" t="n">
        <f aca="false">(H6-G6)*Assumptions!$B$37/100</f>
        <v>-10.1086851229855</v>
      </c>
      <c r="I18" s="4" t="n">
        <f aca="false">(I6-H6)*Assumptions!$B$37/100</f>
        <v>-10.3030132787826</v>
      </c>
      <c r="J18" s="4" t="n">
        <f aca="false">(J6-I6)*Assumptions!$B$37/100</f>
        <v>-3.42575191519522</v>
      </c>
      <c r="K18" s="4" t="n">
        <f aca="false">(K6-J6)*Assumptions!$B$37/100</f>
        <v>-3.49426695349912</v>
      </c>
      <c r="L18" s="4" t="n">
        <f aca="false">(L6-K6)*Assumptions!$B$37/100</f>
        <v>-2.67311421942682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873.52060325</v>
      </c>
      <c r="D19" s="0" t="n">
        <f aca="false">D15+D16+D17+D18</f>
        <v>667.271314303297</v>
      </c>
      <c r="E19" s="0" t="n">
        <f aca="false">E15+E16+E17+E18</f>
        <v>729.326939462749</v>
      </c>
      <c r="F19" s="0" t="n">
        <f aca="false">F15+F16+F17+F18</f>
        <v>624.970241408253</v>
      </c>
      <c r="G19" s="0" t="n">
        <f aca="false">G15+G16+G17+G18</f>
        <v>629.773118789183</v>
      </c>
      <c r="H19" s="0" t="n">
        <f aca="false">H15+H16+H17+H18</f>
        <v>672.771815303075</v>
      </c>
      <c r="I19" s="0" t="n">
        <f aca="false">I15+I16+I17+I18</f>
        <v>700.540509124224</v>
      </c>
      <c r="J19" s="0" t="n">
        <f aca="false">J15+J16+J17+J18</f>
        <v>707.133433078851</v>
      </c>
      <c r="K19" s="0" t="n">
        <f aca="false">K15+K16+K17+K18</f>
        <v>710.922239330514</v>
      </c>
      <c r="L19" s="0" t="n">
        <f aca="false">L15+L16+L17+L18</f>
        <v>710.449159263347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794.109639318182</v>
      </c>
      <c r="D21" s="0" t="n">
        <f aca="false">D19*D20</f>
        <v>551.463896118427</v>
      </c>
      <c r="E21" s="0" t="n">
        <f aca="false">E19*E20</f>
        <v>547.954124314612</v>
      </c>
      <c r="F21" s="0" t="n">
        <f aca="false">F19*F20</f>
        <v>426.863084084593</v>
      </c>
      <c r="G21" s="0" t="n">
        <f aca="false">G19*G20</f>
        <v>391.03955814567</v>
      </c>
      <c r="H21" s="0" t="n">
        <f aca="false">H19*H20</f>
        <v>379.762150613541</v>
      </c>
      <c r="I21" s="0" t="n">
        <f aca="false">I19*I20</f>
        <v>359.488049406568</v>
      </c>
      <c r="J21" s="0" t="n">
        <f aca="false">J19*J20</f>
        <v>329.882965324329</v>
      </c>
      <c r="K21" s="0" t="n">
        <f aca="false">K19*K20</f>
        <v>301.500428548105</v>
      </c>
      <c r="L21" s="0" t="n">
        <f aca="false">L19*L20</f>
        <v>273.908905834836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0.5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4355.97280170886</v>
      </c>
    </row>
    <row r="31" customFormat="false" ht="15" hidden="false" customHeight="false" outlineLevel="0" collapsed="false">
      <c r="A31" s="0" t="s">
        <v>128</v>
      </c>
      <c r="B31" s="0" t="n">
        <f aca="false">L19</f>
        <v>710.449159263347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7515.80426378594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7104.49159263347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7104.49159263347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2739.08905834836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7095.06186005722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7096.96186005722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140.50020176266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-0.343457001109066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140.50020176266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4924.14762110113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94.9529195355689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37.4</v>
      </c>
      <c r="D5" s="4" t="n">
        <f aca="false">Assumptions!D41</f>
        <v>-2.4</v>
      </c>
      <c r="E5" s="4" t="n">
        <f aca="false">Assumptions!E41</f>
        <v>14.7</v>
      </c>
      <c r="F5" s="4" t="n">
        <f aca="false">Assumptions!F41</f>
        <v>8.6</v>
      </c>
      <c r="G5" s="4" t="n">
        <f aca="false">Assumptions!G41</f>
        <v>4.8</v>
      </c>
      <c r="H5" s="4" t="n">
        <f aca="false">Assumptions!H41</f>
        <v>5.7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1310.125</v>
      </c>
      <c r="C6" s="0" t="n">
        <f aca="false">B6*(1+C5/100)</f>
        <v>1800.11175</v>
      </c>
      <c r="D6" s="0" t="n">
        <f aca="false">C6*(1+D5/100)</f>
        <v>1756.909068</v>
      </c>
      <c r="E6" s="0" t="n">
        <f aca="false">D6*(1+E5/100)</f>
        <v>2015.174700996</v>
      </c>
      <c r="F6" s="0" t="n">
        <f aca="false">E6*(1+F5/100)</f>
        <v>2188.47972528166</v>
      </c>
      <c r="G6" s="0" t="n">
        <f aca="false">F6*(1+G5/100)</f>
        <v>2293.52675209518</v>
      </c>
      <c r="H6" s="0" t="n">
        <f aca="false">G6*(1+H5/100)</f>
        <v>2424.2577769646</v>
      </c>
      <c r="I6" s="0" t="n">
        <f aca="false">H6*(1+I5/100)</f>
        <v>2496.98551027354</v>
      </c>
      <c r="J6" s="0" t="n">
        <f aca="false">I6*(1+J5/100)</f>
        <v>2559.41014803038</v>
      </c>
      <c r="K6" s="0" t="n">
        <f aca="false">J6*(1+K5/100)</f>
        <v>2623.39540173114</v>
      </c>
      <c r="L6" s="0" t="n">
        <f aca="false">K6*(1+L5/100)</f>
        <v>2675.86330976576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69.4</v>
      </c>
      <c r="D7" s="4" t="n">
        <f aca="false">Assumptions!D42</f>
        <v>67.3</v>
      </c>
      <c r="E7" s="4" t="n">
        <f aca="false">Assumptions!E42</f>
        <v>67.7</v>
      </c>
      <c r="F7" s="4" t="n">
        <f aca="false">Assumptions!F42</f>
        <v>68</v>
      </c>
      <c r="G7" s="4" t="n">
        <f aca="false">Assumptions!G42</f>
        <v>67.7</v>
      </c>
      <c r="H7" s="4" t="n">
        <f aca="false">Assumptions!H42</f>
        <v>67.4</v>
      </c>
      <c r="I7" s="4" t="n">
        <f aca="false">Assumptions!I42</f>
        <v>67</v>
      </c>
      <c r="J7" s="4" t="n">
        <f aca="false">Assumptions!J42</f>
        <v>66.5</v>
      </c>
      <c r="K7" s="4" t="n">
        <f aca="false">Assumptions!K42</f>
        <v>66</v>
      </c>
      <c r="L7" s="4" t="n">
        <f aca="false">Assumptions!L42</f>
        <v>65.5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1249.2775545</v>
      </c>
      <c r="D8" s="0" t="n">
        <f aca="false">D6*D7/100</f>
        <v>1182.399802764</v>
      </c>
      <c r="E8" s="0" t="n">
        <f aca="false">E6*E7/100</f>
        <v>1364.27327257429</v>
      </c>
      <c r="F8" s="0" t="n">
        <f aca="false">F6*F7/100</f>
        <v>1488.16621319153</v>
      </c>
      <c r="G8" s="0" t="n">
        <f aca="false">G6*G7/100</f>
        <v>1552.71761116843</v>
      </c>
      <c r="H8" s="0" t="n">
        <f aca="false">H6*H7/100</f>
        <v>1633.94974167414</v>
      </c>
      <c r="I8" s="0" t="n">
        <f aca="false">I6*I7/100</f>
        <v>1672.98029188327</v>
      </c>
      <c r="J8" s="0" t="n">
        <f aca="false">J6*J7/100</f>
        <v>1702.0077484402</v>
      </c>
      <c r="K8" s="0" t="n">
        <f aca="false">K6*K7/100</f>
        <v>1731.44096514255</v>
      </c>
      <c r="L8" s="0" t="n">
        <f aca="false">L6*L7/100</f>
        <v>1752.69046789657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1249.2775545</v>
      </c>
      <c r="D11" s="0" t="n">
        <f aca="false">D8+D10+D24</f>
        <v>1182.399802764</v>
      </c>
      <c r="E11" s="0" t="n">
        <f aca="false">E8+E10+E24</f>
        <v>1364.27327257429</v>
      </c>
      <c r="F11" s="0" t="n">
        <f aca="false">F8+F10+F24</f>
        <v>1488.16621319153</v>
      </c>
      <c r="G11" s="0" t="n">
        <f aca="false">G8+G10+G24</f>
        <v>1552.71761116843</v>
      </c>
      <c r="H11" s="0" t="n">
        <f aca="false">H8+H10+H24</f>
        <v>1633.94974167414</v>
      </c>
      <c r="I11" s="0" t="n">
        <f aca="false">I8+I10+I24</f>
        <v>1672.98029188327</v>
      </c>
      <c r="J11" s="0" t="n">
        <f aca="false">J8+J10+J24</f>
        <v>1702.0077484402</v>
      </c>
      <c r="K11" s="0" t="n">
        <f aca="false">K8+K10+K24</f>
        <v>1731.44096514255</v>
      </c>
      <c r="L11" s="0" t="n">
        <f aca="false">L8+L10+L24</f>
        <v>1752.69046789657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-140.4087165</v>
      </c>
      <c r="D12" s="4" t="n">
        <f aca="false">-D6*Assumptions!D45/100</f>
        <v>-149.33727078</v>
      </c>
      <c r="E12" s="4" t="n">
        <f aca="false">-E6*Assumptions!E45/100</f>
        <v>-161.21397607968</v>
      </c>
      <c r="F12" s="4" t="n">
        <f aca="false">-F6*Assumptions!F45/100</f>
        <v>-175.078378022533</v>
      </c>
      <c r="G12" s="4" t="n">
        <f aca="false">-G6*Assumptions!G45/100</f>
        <v>-183.482140167614</v>
      </c>
      <c r="H12" s="4" t="n">
        <f aca="false">-H6*Assumptions!H45/100</f>
        <v>-193.940622157168</v>
      </c>
      <c r="I12" s="4" t="n">
        <f aca="false">-I6*Assumptions!I45/100</f>
        <v>-199.758840821883</v>
      </c>
      <c r="J12" s="4" t="n">
        <f aca="false">-J6*Assumptions!J45/100</f>
        <v>-204.75281184243</v>
      </c>
      <c r="K12" s="4" t="n">
        <f aca="false">-K6*Assumptions!K45/100</f>
        <v>-209.871632138491</v>
      </c>
      <c r="L12" s="4" t="n">
        <f aca="false">-L6*Assumptions!L45/100</f>
        <v>-214.069064781261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1108.868838</v>
      </c>
      <c r="D13" s="0" t="n">
        <f aca="false">D11+D12</f>
        <v>1033.062531984</v>
      </c>
      <c r="E13" s="0" t="n">
        <f aca="false">E11+E12</f>
        <v>1203.05929649461</v>
      </c>
      <c r="F13" s="0" t="n">
        <f aca="false">F11+F12</f>
        <v>1313.08783516899</v>
      </c>
      <c r="G13" s="0" t="n">
        <f aca="false">G11+G12</f>
        <v>1369.23547100082</v>
      </c>
      <c r="H13" s="0" t="n">
        <f aca="false">H11+H12</f>
        <v>1440.00911951697</v>
      </c>
      <c r="I13" s="0" t="n">
        <f aca="false">I11+I12</f>
        <v>1473.22145106139</v>
      </c>
      <c r="J13" s="0" t="n">
        <f aca="false">J11+J12</f>
        <v>1497.25493659777</v>
      </c>
      <c r="K13" s="0" t="n">
        <f aca="false">K11+K12</f>
        <v>1521.56933300406</v>
      </c>
      <c r="L13" s="0" t="n">
        <f aca="false">L11+L12</f>
        <v>1538.62140311531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16</v>
      </c>
      <c r="I14" s="4" t="n">
        <f aca="false">Assumptions!I47</f>
        <v>16</v>
      </c>
      <c r="J14" s="4" t="n">
        <f aca="false">Assumptions!J47</f>
        <v>16</v>
      </c>
      <c r="K14" s="4" t="n">
        <f aca="false">Assumptions!K47</f>
        <v>16</v>
      </c>
      <c r="L14" s="4" t="n">
        <f aca="false">Assumptions!L47</f>
        <v>16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942.5385123</v>
      </c>
      <c r="D15" s="0" t="n">
        <f aca="false">D13-MAX(0,D13)*D14/100</f>
        <v>878.1031521864</v>
      </c>
      <c r="E15" s="0" t="n">
        <f aca="false">E13-MAX(0,E13)*E14/100</f>
        <v>1022.60040202042</v>
      </c>
      <c r="F15" s="0" t="n">
        <f aca="false">F13-MAX(0,F13)*F14/100</f>
        <v>1116.12465989364</v>
      </c>
      <c r="G15" s="0" t="n">
        <f aca="false">G13-MAX(0,G13)*G14/100</f>
        <v>1163.8501503507</v>
      </c>
      <c r="H15" s="0" t="n">
        <f aca="false">H13-MAX(0,H13)*H14/100</f>
        <v>1209.60766039426</v>
      </c>
      <c r="I15" s="0" t="n">
        <f aca="false">I13-MAX(0,I13)*I14/100</f>
        <v>1237.50601889157</v>
      </c>
      <c r="J15" s="0" t="n">
        <f aca="false">J13-MAX(0,J13)*J14/100</f>
        <v>1257.69414674213</v>
      </c>
      <c r="K15" s="0" t="n">
        <f aca="false">K13-MAX(0,K13)*K14/100</f>
        <v>1278.11823972341</v>
      </c>
      <c r="L15" s="0" t="n">
        <f aca="false">L13-MAX(0,L13)*L14/100</f>
        <v>1292.44197861686</v>
      </c>
    </row>
    <row r="16" customFormat="false" ht="15" hidden="false" customHeight="false" outlineLevel="0" collapsed="false">
      <c r="A16" s="0" t="s">
        <v>119</v>
      </c>
      <c r="C16" s="0" t="n">
        <f aca="false">-C12</f>
        <v>140.4087165</v>
      </c>
      <c r="D16" s="0" t="n">
        <f aca="false">-D12</f>
        <v>149.33727078</v>
      </c>
      <c r="E16" s="0" t="n">
        <f aca="false">-E12</f>
        <v>161.21397607968</v>
      </c>
      <c r="F16" s="0" t="n">
        <f aca="false">-F12</f>
        <v>175.078378022533</v>
      </c>
      <c r="G16" s="0" t="n">
        <f aca="false">-G12</f>
        <v>183.482140167614</v>
      </c>
      <c r="H16" s="0" t="n">
        <f aca="false">-H12</f>
        <v>193.940622157168</v>
      </c>
      <c r="I16" s="0" t="n">
        <f aca="false">-I12</f>
        <v>199.758840821883</v>
      </c>
      <c r="J16" s="0" t="n">
        <f aca="false">-J12</f>
        <v>204.75281184243</v>
      </c>
      <c r="K16" s="0" t="n">
        <f aca="false">-K12</f>
        <v>209.871632138491</v>
      </c>
      <c r="L16" s="0" t="n">
        <f aca="false">-L12</f>
        <v>214.069064781261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-120.60748725</v>
      </c>
      <c r="D17" s="4" t="n">
        <f aca="false">-D6*Assumptions!D46/100</f>
        <v>-228.39817884</v>
      </c>
      <c r="E17" s="4" t="n">
        <f aca="false">-E6*Assumptions!E46/100</f>
        <v>-201.5174700996</v>
      </c>
      <c r="F17" s="4" t="n">
        <f aca="false">-F6*Assumptions!F46/100</f>
        <v>-196.963175275349</v>
      </c>
      <c r="G17" s="4" t="n">
        <f aca="false">-G6*Assumptions!G46/100</f>
        <v>-206.417407688566</v>
      </c>
      <c r="H17" s="4" t="n">
        <f aca="false">-H6*Assumptions!H46/100</f>
        <v>-206.061911041991</v>
      </c>
      <c r="I17" s="4" t="n">
        <f aca="false">-I6*Assumptions!I46/100</f>
        <v>-199.758840821883</v>
      </c>
      <c r="J17" s="4" t="n">
        <f aca="false">-J6*Assumptions!J46/100</f>
        <v>-204.75281184243</v>
      </c>
      <c r="K17" s="4" t="n">
        <f aca="false">-K6*Assumptions!K46/100</f>
        <v>-209.871632138491</v>
      </c>
      <c r="L17" s="4" t="n">
        <f aca="false">-L6*Assumptions!L46/100</f>
        <v>-214.069064781261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-48.998675</v>
      </c>
      <c r="D18" s="4" t="n">
        <f aca="false">(D6-C6)*Assumptions!$B$51/100</f>
        <v>4.32026820000001</v>
      </c>
      <c r="E18" s="4" t="n">
        <f aca="false">(E6-D6)*Assumptions!$B$51/100</f>
        <v>-25.8265632996</v>
      </c>
      <c r="F18" s="4" t="n">
        <f aca="false">(F6-E6)*Assumptions!$B$51/100</f>
        <v>-17.3305024285656</v>
      </c>
      <c r="G18" s="4" t="n">
        <f aca="false">(G6-F6)*Assumptions!$B$51/100</f>
        <v>-10.504702681352</v>
      </c>
      <c r="H18" s="4" t="n">
        <f aca="false">(H6-G6)*Assumptions!$B$51/100</f>
        <v>-13.0731024869425</v>
      </c>
      <c r="I18" s="4" t="n">
        <f aca="false">(I6-H6)*Assumptions!$B$51/100</f>
        <v>-7.27277333089382</v>
      </c>
      <c r="J18" s="4" t="n">
        <f aca="false">(J6-I6)*Assumptions!$B$51/100</f>
        <v>-6.24246377568384</v>
      </c>
      <c r="K18" s="4" t="n">
        <f aca="false">(K6-J6)*Assumptions!$B$51/100</f>
        <v>-6.39852537007591</v>
      </c>
      <c r="L18" s="4" t="n">
        <f aca="false">(L6-K6)*Assumptions!$B$51/100</f>
        <v>-5.24679080346227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913.34106655</v>
      </c>
      <c r="D19" s="0" t="n">
        <f aca="false">D15+D16+D17+D18</f>
        <v>803.3625123264</v>
      </c>
      <c r="E19" s="0" t="n">
        <f aca="false">E15+E16+E17+E18</f>
        <v>956.4703447009</v>
      </c>
      <c r="F19" s="0" t="n">
        <f aca="false">F15+F16+F17+F18</f>
        <v>1076.90936021226</v>
      </c>
      <c r="G19" s="0" t="n">
        <f aca="false">G15+G16+G17+G18</f>
        <v>1130.41018014839</v>
      </c>
      <c r="H19" s="0" t="n">
        <f aca="false">H15+H16+H17+H18</f>
        <v>1184.41326902249</v>
      </c>
      <c r="I19" s="0" t="n">
        <f aca="false">I15+I16+I17+I18</f>
        <v>1230.23324556067</v>
      </c>
      <c r="J19" s="0" t="n">
        <f aca="false">J15+J16+J17+J18</f>
        <v>1251.45168296644</v>
      </c>
      <c r="K19" s="0" t="n">
        <f aca="false">K15+K16+K17+K18</f>
        <v>1271.71971435333</v>
      </c>
      <c r="L19" s="0" t="n">
        <f aca="false">L15+L16+L17+L18</f>
        <v>1287.1951878134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830.3100605</v>
      </c>
      <c r="D21" s="0" t="n">
        <f aca="false">D19*D20</f>
        <v>663.935960600331</v>
      </c>
      <c r="E21" s="0" t="n">
        <f aca="false">E19*E20</f>
        <v>718.61032659722</v>
      </c>
      <c r="F21" s="0" t="n">
        <f aca="false">F19*F20</f>
        <v>735.543583233565</v>
      </c>
      <c r="G21" s="0" t="n">
        <f aca="false">G19*G20</f>
        <v>701.895784657278</v>
      </c>
      <c r="H21" s="0" t="n">
        <f aca="false">H19*H20</f>
        <v>668.570412772968</v>
      </c>
      <c r="I21" s="0" t="n">
        <f aca="false">I19*I20</f>
        <v>631.304177276769</v>
      </c>
      <c r="J21" s="0" t="n">
        <f aca="false">J19*J20</f>
        <v>583.811446079737</v>
      </c>
      <c r="K21" s="0" t="n">
        <f aca="false">K19*K20</f>
        <v>539.333302094585</v>
      </c>
      <c r="L21" s="0" t="n">
        <f aca="false">L19*L20</f>
        <v>496.269466847442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11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6569.58452065989</v>
      </c>
    </row>
    <row r="31" customFormat="false" ht="15" hidden="false" customHeight="false" outlineLevel="0" collapsed="false">
      <c r="A31" s="0" t="s">
        <v>128</v>
      </c>
      <c r="B31" s="0" t="n">
        <f aca="false">L19</f>
        <v>1287.1951878134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14445.190441017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14159.1470659474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14159.1470659474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5458.96413532186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12028.5486559818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12030.4486559818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238.169585350869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0.112941987620881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238.169585350869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9286.19385493952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149.843878061543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80.8882535287026</v>
      </c>
      <c r="C4" s="0" t="n">
        <f aca="false">B4/Assumptions!$B$2-1</f>
        <v>-0.622017506875222</v>
      </c>
      <c r="D4" s="4" t="n">
        <f aca="false">Assumptions!$B$24</f>
        <v>0.25</v>
      </c>
      <c r="E4" s="4" t="n">
        <f aca="false">DCF_Bear!$B$43</f>
        <v>80.8882535287026</v>
      </c>
      <c r="F4" s="4" t="n">
        <f aca="false">DCF_Bear!$B$47</f>
        <v>60.8916635583717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140.50020176266</v>
      </c>
      <c r="C5" s="0" t="n">
        <f aca="false">B5/Assumptions!$B$2-1</f>
        <v>-0.343457001109066</v>
      </c>
      <c r="D5" s="4" t="n">
        <f aca="false">Assumptions!$B$38</f>
        <v>0.5</v>
      </c>
      <c r="E5" s="4" t="n">
        <f aca="false">DCF_Base!$B$43</f>
        <v>140.50020176266</v>
      </c>
      <c r="F5" s="4" t="n">
        <f aca="false">DCF_Base!$B$47</f>
        <v>94.9529195355689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238.169585350869</v>
      </c>
      <c r="C6" s="0" t="n">
        <f aca="false">B6/Assumptions!$B$2-1</f>
        <v>0.112941987620881</v>
      </c>
      <c r="D6" s="4" t="n">
        <f aca="false">Assumptions!$B$52</f>
        <v>0.25</v>
      </c>
      <c r="E6" s="4" t="n">
        <f aca="false">DCF_Bull!$B$43</f>
        <v>238.169585350869</v>
      </c>
      <c r="F6" s="4" t="n">
        <f aca="false">DCF_Bull!$B$47</f>
        <v>149.843878061543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150.014560601223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150.014560601223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-0.426528192612363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100.160345172763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149.426615618788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140.50020176266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130.188069487598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119.078545810166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94.9529195355689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-0.5</v>
      </c>
      <c r="C22" s="3" t="n">
        <v>0</v>
      </c>
      <c r="D22" s="3" t="n">
        <v>0.5</v>
      </c>
      <c r="E22" s="3" t="n">
        <v>1</v>
      </c>
      <c r="F22" s="3" t="n">
        <v>1.5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159.169152787496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159.169152787496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159.169152787496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159.169152787496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159.169152787496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149.426615618788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149.426615618788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149.426615618788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149.426615618788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149.426615618788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137.659772225777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140.50020176266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140.50020176266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140.50020176266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140.50020176266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125.63458844561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127.807840761104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130.188069487598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132.310976189606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132.310976189606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115.550230218253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117.240881439378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119.078545810166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121.083270578299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123.278921514825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2026-10-17T03:22:32Z</dcterms:created>
  <dc:creator>openpyxl</dc:creator>
  <dc:description/>
  <dc:language>en-NZ</dc:language>
  <cp:lastModifiedBy/>
  <dcterms:modified xsi:type="dcterms:W3CDTF">2026-10-17T03:22:32Z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