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<sst xmlns="http://schemas.openxmlformats.org/spreadsheetml/2006/main" count="369" uniqueCount="172">
  <si>
    <t xml:space="preserve">Ticker</t>
  </si>
  <si>
    <t xml:space="preserve">4507.T</t>
  </si>
  <si>
    <t xml:space="preserve">Company</t>
  </si>
  <si>
    <t xml:space="preserve">Shionogi &amp; Co., Ltd.</t>
  </si>
  <si>
    <t xml:space="preserve">Valuation date</t>
  </si>
  <si>
    <t xml:space="preserve">2026-10-31</t>
  </si>
  <si>
    <t xml:space="preserve">Current price</t>
  </si>
  <si>
    <t xml:space="preserve">Price as of</t>
  </si>
  <si>
    <t xml:space="preserve">2026-10-30T06:30:00Z (TSE regular close 15:30 JST, Friday; 31 Oct is a Saturday)</t>
  </si>
  <si>
    <t xml:space="preserve">Balance sheet date</t>
  </si>
  <si>
    <t xml:space="preserve">2026-09-30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</si>
  <si>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</si>
  <si>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</si>
  <si>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</si>
  <si>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</si>
  <si>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</si>
  <si>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</si>
  <si>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</si>
  <si>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</si>
  <si>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</si>
  <si>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</si>
  <si>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2026-10-31T02:50:16Z</t>
  </si>
  <si>
    <t xml:space="preserve">Drivers file</t>
  </si>
  <si>
    <t xml:space="preserve">4507.T_Drivers.json</t>
  </si>
  <si>
    <t xml:space="preserve">Convention</t>
  </si>
  <si>
    <t xml:space="preserve">Percents stored as percents; formulas divide by 100. Blue = input, green = link, black = formula.</t>
  </si>
  <si>
    <t xml:space="preserve">Methodology</t>
  </si>
  <si>
    <t xml:space="preserve">summary: Shionogi is valued as an operating pharma company on a 10-year owner-FCF DCF with the dolutegravir royalty cliff built explicitly into the revenue and margin paths, and with every non-operating asset (21.7% ViiV Healthcare at equity-method book, time deposits and bonds, FVOCI/FVTPL securities) added once in the bridge while every income stream those assets produce (ViiV dividends and share of profit, other dividends, interest) is stripped from the flows. The royalty itself is operating revenue from Shionogi's own IP and stays in the flows; there is no double count because the royalty is ViiV's expense and the stake is a claim on ViiV's residual profit. Risk is charged in the scenario paths and weights (30/50/20), not in the 7% JPY WACC. The terminal value is capped at 15x FCF and grows at 1%.
key_risks_to_valuation: Dolutegravir loss of exclusivity timing and depth: ~JPY250bn of ~100%-margin royalty; every year earlier or 10pp steeper is worth several hundred yen per share.; Cabotegravir royalty rate and LAI uptake -- the only large offset to the cliff within the royalty line.; ViiV stake carried at equity-method book (JPY643bn, ~JPY755/share): a provisional PPA; impairment risk if ViiV's post-royalty profit disappoints, upside if valued on its ~JPY110bn/yr dividend.; JPY660bn bridge debt all current at 30 Sep 2026 -- refinancing terms in a rising JPY rate environment; IntraBio consideration undisclosed and not deducted.; Acquired-business durability: Radicava (generic IV edaravone), Torii/JT portfolio, and ~JPY60bn/yr of PPA amortisation whose tax deductibility is mixed.; Infectious-disease demand volatility (Xocova, Xofluza) and R&amp;D at ~JPY125-130bn with a thin late-stage pipeline outside HIV.; Time deposits/bonds in the bridge are a JPY316bn roll-forward estimate pending the FY2027 yuho.</t>
  </si>
  <si>
    <t xml:space="preserve">Data sources</t>
  </si>
  <si>
    <t xml:space="preserve">price: Yahoo Finance chart API at inputs.price_as_of; 52-week range 2494-3758
financials: 4507.T_Metrics.csv (core_metrics, millions JPY, post-split); FY2026 securities report (4507.T_Annual_FY2025_SecuritiesReport.txt) for SBC, leases, diluted shares, other financial assets, ViiV equity-method reconciliation and dividend income; H1 FY2027 tanshin (4507.T_HalfYear_H1-FY2026.txt) for the 30 Sep 2026 balance sheet, cash flow, revised FY2027 guidance and the IntraBio subsequent event; FY2026 tanshin (4507.T_Annual_FY2025.txt) for the original FY2027 outlook and the Radicava/SASS subsequent events. Note the Extracted filenames run one fiscal year behind the period they contain.
qualitative: No Analysis JSON existed at build time; scenario axes drawn from the yuho management discussion (STS2030 Revision, HIV franchise, patent-expiry risk), the tanshin outlook sections and the acquisition notes.</t>
  </si>
  <si>
    <t xml:space="preserve">Scenario narrative: bear</t>
  </si>
  <si>
    <t xml:space="preserve">The cliff is a year early and steeper, cabotegravir royalties disappoint on rate and uptake, the acquired products erode (generic edaravone) while their cost base stays, and the ex-royalty business is revealed as an EBITDA-breakeven R&amp;D organisation: FY2031 EBITDA is about a third of FY2027. The bridge assets stop the equity going to zero, but the operating business is worth little more than its net cash-like assets.</t>
  </si>
  <si>
    <t xml:space="preserve">Scenario narrative: base</t>
  </si>
  <si>
    <t xml:space="preserve">A royalty annuity with a dated cliff: FY2027 guidance (JPY720bn / OP JPY230bn) is the peak-plus-one year, FY2028 grows modestly, then the dolutegravir loss of exclusivity (US compound patent Oct 2027, extensions and EU SPC into 2028-29) removes roughly JPY100-150bn of ~100%-margin royalty over FY2029-FY2031. Cabotegravir (Cabenuva/Apretude) royalties, the acquired Torii/JT and Radicava businesses, QUVIVIQ and cefiderocol rebuild revenue at ~2% from FY2032 and margins recover to ~32%. The 21.7% ViiV stake (equity-method book ~JPY643bn) and ~JPY690bn of cash, deposits and bonds sit in the bridge against JPY660bn of acquisition bridge debt, and give the equity a floor the operating flows alone do not.</t>
  </si>
  <si>
    <t xml:space="preserve">Scenario narrative: bull</t>
  </si>
  <si>
    <t xml:space="preserve">LAI HIV becomes the standard of care faster than the market expects, dolutegravir erosion is late and shallow, and the three FY2026 acquisitions plus IntraBio deliver a self-sustaining rare-disease/CNS franchise in the US, so the trough is shallow (~6%) and margins hold above 35%. ViiV's own profit rises as the royalty rolls off, which the book-value bridge does not credit -- upside the bull case does not even count.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</si>
  <si>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</si>
  <si>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</si>
  <si>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</si>
  <si>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</si>
  <si>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</si>
  <si>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</si>
  <si>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</si>
  <si>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</si>
  <si>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</si>
  <si>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</si>
  <si>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</si>
  <si>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</si>
  <si>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</si>
  <si>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</si>
  <si>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</si>
  <si>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</si>
  <si>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</si>
  <si>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</si>
  <si>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</si>
  <si>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</si>
  <si>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</si>
  <si>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</si>
  <si>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</si>
  <si>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</si>
  <si>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</si>
  <si>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</si>
  <si>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</si>
  <si>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DividendIncome</t>
  </si>
  <si>
    <t xml:space="preserve">PurchaseOfIntangibles</t>
  </si>
  <si>
    <t xml:space="preserve">ResearchAndDevelopment</t>
  </si>
  <si>
    <t xml:space="preserve">RevenueOverseas</t>
  </si>
  <si>
    <t xml:space="preserve">RoyaltyRevenue</t>
  </si>
  <si>
    <t xml:space="preserve">SegmentRevenueJapan</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</si>
  <si>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</si>
  <si>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</si>
  <si>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</si>
  <si>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</si>
  <si>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</si>
  <si>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</si>
  <si>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</si>
  <si>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</si>
  <si>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</si>
  <si>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</si>
  <si>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</si>
  <si>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</si>
  <si>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</si>
  <si>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</si>
  <si>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</si>
  <si>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</si>
  <si>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</si>
  <si>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</si>
  <si>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</si>
  <si>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</si>
  <si>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</si>
  <si>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</si>
  <si>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</si>
  <si>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</si>
  <si>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</si>
  <si>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</si>
  <si>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</si>
  <si>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</si>
  <si>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</si>
  <si>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</si>
  <si>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</si>
  <si>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</si>
  <si>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</si>
  <si>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</si>
  <si>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</si>
  <si>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</si>
  <si>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</si>
  <si>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</si>
  <si>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</si>
  <si>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</si>
  <si>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</si>
  <si>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</si>
  <si>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</si>
  <si>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</si>
  <si>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</si>
  <si>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</si>
  <si>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</si>
  <si>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</si>
  <si>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4507.T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</si>
  <si>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</si>
  <si>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</si>
  <si>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</si>
  <si>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</si>
  <si>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</si>
  <si>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</si>
  <si>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</si>
  <si>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</si>
  <si>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</si>
  <si>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</si>
  <si>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</si>
  <si>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</si>
  <si>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</si>
  <si>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</si>
  <si>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</si>
  <si>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</si>
  <si>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</si>
  <si>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</si>
  <si>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</si>
  <si>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</si>
  <si>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</si>
  <si>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</si>
  <si>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</si>
  <si>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</si>
  <si>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</si>
  <si>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</si>
  <si>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</si>
  <si>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</si>
  <si>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</si>
  <si>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</si>
  <si>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4507.T owner-FCF component DCF: base case (millions, JPY)</t>
  </si>
  <si>
    <t xml:space="preserve">4507.T owner-FCF component DCF: bull case (millions, JPY)</t>
  </si>
  <si>
    <t xml:space="preserve">4507.T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</si>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</sst>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3012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row>
    <row r="2" customFormat="false" ht="15" hidden="false" customHeight="false" outlineLevel="0" collapsed="false">
      <c r="A2" s="0" t="s">
        <v>69</v>
      </c>
      <c r="B2" s="0" t="n">
        <v>309973</v>
      </c>
      <c r="C2" s="0" t="n">
        <v>74758</v>
      </c>
      <c r="D2" s="0" t="n">
        <v>235214</v>
      </c>
      <c r="E2" s="0" t="n">
        <v>75.9</v>
      </c>
      <c r="F2" s="0" t="n">
        <v>91406</v>
      </c>
      <c r="G2" s="0" t="n">
        <v>29.5</v>
      </c>
      <c r="H2" s="0" t="n">
        <v>103984</v>
      </c>
      <c r="I2" s="0" t="n">
        <v>66687</v>
      </c>
      <c r="J2" s="0" t="n">
        <v>21.5</v>
      </c>
      <c r="K2" s="0" t="n">
        <v>68.28</v>
      </c>
      <c r="L2" s="0" t="n">
        <v>102290</v>
      </c>
      <c r="M2" s="0" t="n">
        <v>8175</v>
      </c>
      <c r="N2" s="0" t="n">
        <v>94115</v>
      </c>
      <c r="O2" s="0" t="n">
        <v>509439</v>
      </c>
      <c r="P2" s="0" t="n">
        <v>639638</v>
      </c>
      <c r="Q2" s="0" t="n">
        <v>125761</v>
      </c>
      <c r="R2" s="0" t="n">
        <v>20074</v>
      </c>
      <c r="S2" s="0" t="n">
        <v>127743</v>
      </c>
      <c r="T2" s="0" t="n">
        <v>976.7</v>
      </c>
      <c r="AA2" s="0" t="s">
        <v>17</v>
      </c>
      <c r="AB2" s="0" t="s">
        <v>14</v>
      </c>
    </row>
    <row r="3" customFormat="false" ht="15" hidden="false" customHeight="false" outlineLevel="0" collapsed="false">
      <c r="A3" s="0" t="s">
        <v>70</v>
      </c>
      <c r="B3" s="0" t="n">
        <v>338890</v>
      </c>
      <c r="C3" s="0" t="n">
        <v>77777</v>
      </c>
      <c r="D3" s="0" t="n">
        <v>261113</v>
      </c>
      <c r="E3" s="0" t="n">
        <v>77</v>
      </c>
      <c r="F3" s="0" t="n">
        <v>108178</v>
      </c>
      <c r="G3" s="0" t="n">
        <v>31.9</v>
      </c>
      <c r="H3" s="0" t="n">
        <v>121540</v>
      </c>
      <c r="I3" s="0" t="n">
        <v>83879</v>
      </c>
      <c r="J3" s="0" t="n">
        <v>24.8</v>
      </c>
      <c r="K3" s="0" t="n">
        <v>86.63</v>
      </c>
      <c r="L3" s="0" t="n">
        <v>111903</v>
      </c>
      <c r="M3" s="0" t="n">
        <v>10434</v>
      </c>
      <c r="N3" s="0" t="n">
        <v>101469</v>
      </c>
      <c r="O3" s="0" t="n">
        <v>522320</v>
      </c>
      <c r="P3" s="0" t="n">
        <v>670271</v>
      </c>
      <c r="Q3" s="0" t="n">
        <v>144059</v>
      </c>
      <c r="R3" s="0" t="n">
        <v>20054</v>
      </c>
      <c r="S3" s="0" t="n">
        <v>149324</v>
      </c>
      <c r="T3" s="0" t="n">
        <v>968.2</v>
      </c>
      <c r="AA3" s="0" t="s">
        <v>17</v>
      </c>
      <c r="AB3" s="0" t="s">
        <v>14</v>
      </c>
    </row>
    <row r="4" customFormat="false" ht="15" hidden="false" customHeight="false" outlineLevel="0" collapsed="false">
      <c r="A4" s="0" t="s">
        <v>71</v>
      </c>
      <c r="B4" s="0" t="n">
        <v>344667</v>
      </c>
      <c r="C4" s="0" t="n">
        <v>73911</v>
      </c>
      <c r="D4" s="0" t="n">
        <v>270756</v>
      </c>
      <c r="E4" s="0" t="n">
        <v>78.6</v>
      </c>
      <c r="F4" s="0" t="n">
        <v>115219</v>
      </c>
      <c r="G4" s="0" t="n">
        <v>33.4</v>
      </c>
      <c r="H4" s="0" t="n">
        <v>131191</v>
      </c>
      <c r="I4" s="0" t="n">
        <v>108866</v>
      </c>
      <c r="J4" s="0" t="n">
        <v>31.6</v>
      </c>
      <c r="K4" s="0" t="n">
        <v>114.24</v>
      </c>
      <c r="L4" s="0" t="n">
        <v>129790</v>
      </c>
      <c r="M4" s="0" t="n">
        <v>5880</v>
      </c>
      <c r="N4" s="0" t="n">
        <v>123910</v>
      </c>
      <c r="O4" s="0" t="n">
        <v>600847</v>
      </c>
      <c r="P4" s="0" t="n">
        <v>722500</v>
      </c>
      <c r="Q4" s="0" t="n">
        <v>117659</v>
      </c>
      <c r="R4" s="0" t="n">
        <v>18491</v>
      </c>
      <c r="S4" s="0" t="n">
        <v>172400</v>
      </c>
      <c r="T4" s="0" t="n">
        <v>953</v>
      </c>
      <c r="AA4" s="0" t="s">
        <v>17</v>
      </c>
      <c r="AB4" s="0" t="s">
        <v>14</v>
      </c>
    </row>
    <row r="5" customFormat="false" ht="15" hidden="false" customHeight="false" outlineLevel="0" collapsed="false">
      <c r="A5" s="0" t="s">
        <v>72</v>
      </c>
      <c r="B5" s="0" t="n">
        <v>363721</v>
      </c>
      <c r="C5" s="0" t="n">
        <v>54880</v>
      </c>
      <c r="D5" s="0" t="n">
        <v>308841</v>
      </c>
      <c r="E5" s="0" t="n">
        <v>84.9</v>
      </c>
      <c r="F5" s="0" t="n">
        <v>138537</v>
      </c>
      <c r="G5" s="0" t="n">
        <v>38.1</v>
      </c>
      <c r="H5" s="0" t="n">
        <v>155016</v>
      </c>
      <c r="I5" s="0" t="n">
        <v>132759</v>
      </c>
      <c r="J5" s="0" t="n">
        <v>36.5</v>
      </c>
      <c r="K5" s="0" t="n">
        <v>141.44</v>
      </c>
      <c r="L5" s="0" t="n">
        <v>145684</v>
      </c>
      <c r="M5" s="0" t="n">
        <v>6548</v>
      </c>
      <c r="N5" s="0" t="n">
        <v>139136</v>
      </c>
      <c r="O5" s="0" t="n">
        <v>667502</v>
      </c>
      <c r="P5" s="0" t="n">
        <v>778741</v>
      </c>
      <c r="Q5" s="0" t="n">
        <v>106311</v>
      </c>
      <c r="R5" s="0" t="n">
        <v>0</v>
      </c>
      <c r="S5" s="0" t="n">
        <v>195800</v>
      </c>
      <c r="T5" s="0" t="n">
        <v>938.6</v>
      </c>
      <c r="AA5" s="0" t="s">
        <v>17</v>
      </c>
      <c r="AB5" s="0" t="s">
        <v>14</v>
      </c>
    </row>
    <row r="6" customFormat="false" ht="15" hidden="false" customHeight="false" outlineLevel="0" collapsed="false">
      <c r="A6" s="0" t="s">
        <v>73</v>
      </c>
      <c r="B6" s="0" t="n">
        <v>333371</v>
      </c>
      <c r="C6" s="0" t="n">
        <v>56782</v>
      </c>
      <c r="D6" s="0" t="n">
        <v>276589</v>
      </c>
      <c r="E6" s="0" t="n">
        <v>83</v>
      </c>
      <c r="F6" s="0" t="n">
        <v>130628</v>
      </c>
      <c r="G6" s="0" t="n">
        <v>39.2</v>
      </c>
      <c r="H6" s="0" t="n">
        <v>144743</v>
      </c>
      <c r="I6" s="0" t="n">
        <v>122193</v>
      </c>
      <c r="J6" s="0" t="n">
        <v>36.7</v>
      </c>
      <c r="K6" s="0" t="n">
        <v>131.9</v>
      </c>
      <c r="L6" s="0" t="n">
        <v>131940</v>
      </c>
      <c r="M6" s="0" t="n">
        <v>8945</v>
      </c>
      <c r="N6" s="0" t="n">
        <v>122995</v>
      </c>
      <c r="O6" s="0" t="n">
        <v>765152</v>
      </c>
      <c r="P6" s="0" t="n">
        <v>873695</v>
      </c>
      <c r="Q6" s="0" t="n">
        <v>108492</v>
      </c>
      <c r="R6" s="0" t="n">
        <v>0</v>
      </c>
      <c r="S6" s="0" t="n">
        <v>208861</v>
      </c>
      <c r="T6" s="0" t="n">
        <v>926.4</v>
      </c>
      <c r="AA6" s="0" t="s">
        <v>17</v>
      </c>
      <c r="AB6" s="0" t="s">
        <v>14</v>
      </c>
      <c r="AD6" s="0" t="n">
        <v>2823</v>
      </c>
    </row>
    <row r="7" customFormat="false" ht="15" hidden="false" customHeight="false" outlineLevel="0" collapsed="false">
      <c r="A7" s="0" t="s">
        <v>74</v>
      </c>
      <c r="B7" s="0" t="n">
        <v>297177</v>
      </c>
      <c r="C7" s="0" t="n">
        <v>52523</v>
      </c>
      <c r="D7" s="0" t="n">
        <v>244654</v>
      </c>
      <c r="E7" s="0" t="n">
        <v>82.3</v>
      </c>
      <c r="F7" s="0" t="n">
        <v>117438</v>
      </c>
      <c r="G7" s="0" t="n">
        <v>39.5</v>
      </c>
      <c r="H7" s="0" t="n">
        <v>132217</v>
      </c>
      <c r="I7" s="0" t="n">
        <v>111858</v>
      </c>
      <c r="J7" s="0" t="n">
        <v>37.6</v>
      </c>
      <c r="K7" s="0" t="n">
        <v>121.68</v>
      </c>
      <c r="L7" s="0" t="n">
        <v>109039</v>
      </c>
      <c r="M7" s="0" t="n">
        <v>28182</v>
      </c>
      <c r="N7" s="0" t="n">
        <v>80857</v>
      </c>
      <c r="O7" s="0" t="n">
        <v>846108</v>
      </c>
      <c r="P7" s="0" t="n">
        <v>998992</v>
      </c>
      <c r="Q7" s="0" t="n">
        <v>134442</v>
      </c>
      <c r="R7" s="0" t="n">
        <v>0</v>
      </c>
      <c r="S7" s="0" t="n">
        <v>276173</v>
      </c>
      <c r="T7" s="0" t="n">
        <v>919.3</v>
      </c>
      <c r="AA7" s="0" t="s">
        <v>17</v>
      </c>
      <c r="AB7" s="0" t="s">
        <v>14</v>
      </c>
      <c r="AC7" s="0" t="n">
        <v>24316</v>
      </c>
      <c r="AD7" s="0" t="n">
        <v>4762</v>
      </c>
      <c r="AE7" s="0" t="n">
        <v>54249</v>
      </c>
      <c r="AF7" s="0" t="n">
        <v>24645</v>
      </c>
      <c r="AG7" s="0" t="n">
        <v>144629</v>
      </c>
      <c r="AH7" s="0" t="n">
        <v>94684</v>
      </c>
    </row>
    <row r="8" customFormat="false" ht="15" hidden="false" customHeight="false" outlineLevel="0" collapsed="false">
      <c r="A8" s="0" t="s">
        <v>75</v>
      </c>
      <c r="B8" s="0" t="n">
        <v>335138</v>
      </c>
      <c r="C8" s="0" t="n">
        <v>55415</v>
      </c>
      <c r="D8" s="0" t="n">
        <v>279722</v>
      </c>
      <c r="E8" s="0" t="n">
        <v>83.5</v>
      </c>
      <c r="F8" s="0" t="n">
        <v>110312</v>
      </c>
      <c r="G8" s="0" t="n">
        <v>32.9</v>
      </c>
      <c r="H8" s="0" t="n">
        <v>126663</v>
      </c>
      <c r="I8" s="0" t="n">
        <v>114185</v>
      </c>
      <c r="J8" s="0" t="n">
        <v>34.1</v>
      </c>
      <c r="K8" s="0" t="n">
        <v>126.25</v>
      </c>
      <c r="L8" s="0" t="n">
        <v>102068</v>
      </c>
      <c r="M8" s="0" t="n">
        <v>26185</v>
      </c>
      <c r="N8" s="0" t="n">
        <v>75883</v>
      </c>
      <c r="O8" s="0" t="n">
        <v>975661</v>
      </c>
      <c r="P8" s="0" t="n">
        <v>1150601</v>
      </c>
      <c r="Q8" s="0" t="n">
        <v>157316</v>
      </c>
      <c r="R8" s="0" t="n">
        <v>0</v>
      </c>
      <c r="S8" s="0" t="n">
        <v>254420</v>
      </c>
      <c r="T8" s="0" t="n">
        <v>904.4</v>
      </c>
      <c r="AA8" s="0" t="s">
        <v>17</v>
      </c>
      <c r="AB8" s="0" t="s">
        <v>14</v>
      </c>
      <c r="AC8" s="0" t="n">
        <v>13888</v>
      </c>
      <c r="AD8" s="0" t="n">
        <v>5379</v>
      </c>
      <c r="AE8" s="0" t="n">
        <v>72996</v>
      </c>
      <c r="AF8" s="0" t="n">
        <v>34367</v>
      </c>
      <c r="AG8" s="0" t="n">
        <v>181253</v>
      </c>
      <c r="AH8" s="0" t="n">
        <v>89127</v>
      </c>
    </row>
    <row r="9" customFormat="false" ht="15" hidden="false" customHeight="false" outlineLevel="0" collapsed="false">
      <c r="A9" s="0" t="s">
        <v>76</v>
      </c>
      <c r="B9" s="0" t="n">
        <v>426684</v>
      </c>
      <c r="C9" s="0" t="n">
        <v>62246</v>
      </c>
      <c r="D9" s="0" t="n">
        <v>364437</v>
      </c>
      <c r="E9" s="0" t="n">
        <v>85.4</v>
      </c>
      <c r="F9" s="0" t="n">
        <v>149003</v>
      </c>
      <c r="G9" s="0" t="n">
        <v>34.9</v>
      </c>
      <c r="H9" s="0" t="n">
        <v>166168</v>
      </c>
      <c r="I9" s="0" t="n">
        <v>184965</v>
      </c>
      <c r="J9" s="0" t="n">
        <v>43.3</v>
      </c>
      <c r="K9" s="0" t="n">
        <v>207.1</v>
      </c>
      <c r="L9" s="0" t="n">
        <v>177867</v>
      </c>
      <c r="M9" s="0" t="n">
        <v>11858</v>
      </c>
      <c r="N9" s="0" t="n">
        <v>166009</v>
      </c>
      <c r="O9" s="0" t="n">
        <v>1100046</v>
      </c>
      <c r="P9" s="0" t="n">
        <v>1311800</v>
      </c>
      <c r="Q9" s="0" t="n">
        <v>189921</v>
      </c>
      <c r="R9" s="0" t="n">
        <v>0</v>
      </c>
      <c r="S9" s="0" t="n">
        <v>309224</v>
      </c>
      <c r="T9" s="0" t="n">
        <v>893.1</v>
      </c>
      <c r="AA9" s="0" t="s">
        <v>17</v>
      </c>
      <c r="AB9" s="0" t="s">
        <v>14</v>
      </c>
      <c r="AC9" s="0" t="n">
        <v>62137</v>
      </c>
      <c r="AD9" s="0" t="n">
        <v>25329</v>
      </c>
      <c r="AE9" s="0" t="n">
        <v>102392</v>
      </c>
      <c r="AF9" s="0" t="n">
        <v>42498</v>
      </c>
      <c r="AG9" s="0" t="n">
        <v>174696</v>
      </c>
      <c r="AH9" s="0" t="n">
        <v>179741</v>
      </c>
    </row>
    <row r="10" customFormat="false" ht="15" hidden="false" customHeight="false" outlineLevel="0" collapsed="false">
      <c r="A10" s="0" t="s">
        <v>77</v>
      </c>
      <c r="B10" s="0" t="n">
        <v>410073</v>
      </c>
      <c r="C10" s="0" t="n">
        <v>57602</v>
      </c>
      <c r="D10" s="0" t="n">
        <v>377479</v>
      </c>
      <c r="E10" s="0" t="n">
        <v>92.1</v>
      </c>
      <c r="F10" s="0" t="n">
        <v>153310</v>
      </c>
      <c r="G10" s="0" t="n">
        <v>37.4</v>
      </c>
      <c r="H10" s="0" t="n">
        <v>171633</v>
      </c>
      <c r="I10" s="0" t="n">
        <v>162030</v>
      </c>
      <c r="J10" s="0" t="n">
        <v>39.5</v>
      </c>
      <c r="K10" s="0" t="n">
        <v>186.17</v>
      </c>
      <c r="L10" s="0" t="n">
        <v>154284</v>
      </c>
      <c r="M10" s="0" t="n">
        <v>12693</v>
      </c>
      <c r="N10" s="0" t="n">
        <v>141591</v>
      </c>
      <c r="O10" s="0" t="n">
        <v>1235325</v>
      </c>
      <c r="P10" s="0" t="n">
        <v>1416918</v>
      </c>
      <c r="Q10" s="0" t="n">
        <v>164355</v>
      </c>
      <c r="R10" s="0" t="n">
        <v>0</v>
      </c>
      <c r="S10" s="0" t="n">
        <v>358090</v>
      </c>
      <c r="T10" s="0" t="n">
        <v>870.3</v>
      </c>
      <c r="AA10" s="0" t="s">
        <v>17</v>
      </c>
      <c r="AB10" s="0" t="s">
        <v>14</v>
      </c>
      <c r="AC10" s="0" t="n">
        <v>35175</v>
      </c>
      <c r="AD10" s="0" t="n">
        <v>15574</v>
      </c>
      <c r="AE10" s="0" t="n">
        <v>102640</v>
      </c>
      <c r="AF10" s="0" t="n">
        <v>49913</v>
      </c>
      <c r="AG10" s="0" t="n">
        <v>200359</v>
      </c>
      <c r="AH10" s="0" t="n">
        <v>126106</v>
      </c>
    </row>
    <row r="11" customFormat="false" ht="15" hidden="false" customHeight="false" outlineLevel="0" collapsed="false">
      <c r="A11" s="0" t="s">
        <v>78</v>
      </c>
      <c r="B11" s="0" t="n">
        <v>438268</v>
      </c>
      <c r="C11" s="0" t="n">
        <v>63826</v>
      </c>
      <c r="D11" s="0" t="n">
        <v>374441</v>
      </c>
      <c r="E11" s="0" t="n">
        <v>85.4</v>
      </c>
      <c r="F11" s="0" t="n">
        <v>156603</v>
      </c>
      <c r="G11" s="0" t="n">
        <v>35.7</v>
      </c>
      <c r="H11" s="0" t="n">
        <v>177536</v>
      </c>
      <c r="I11" s="0" t="n">
        <v>170435</v>
      </c>
      <c r="J11" s="0" t="n">
        <v>38.9</v>
      </c>
      <c r="K11" s="0" t="n">
        <v>200.36</v>
      </c>
      <c r="L11" s="0" t="n">
        <v>195460</v>
      </c>
      <c r="M11" s="0" t="n">
        <v>17126</v>
      </c>
      <c r="N11" s="0" t="n">
        <v>178334</v>
      </c>
      <c r="O11" s="0" t="n">
        <v>1361924</v>
      </c>
      <c r="P11" s="0" t="n">
        <v>1535349</v>
      </c>
      <c r="Q11" s="0" t="n">
        <v>172852</v>
      </c>
      <c r="R11" s="0" t="n">
        <v>0</v>
      </c>
      <c r="S11" s="0" t="n">
        <v>374795</v>
      </c>
      <c r="T11" s="0" t="n">
        <v>850.6</v>
      </c>
      <c r="AA11" s="0" t="s">
        <v>17</v>
      </c>
      <c r="AB11" s="0" t="s">
        <v>14</v>
      </c>
      <c r="AC11" s="0" t="n">
        <v>41250</v>
      </c>
      <c r="AD11" s="0" t="n">
        <v>34977</v>
      </c>
      <c r="AE11" s="0" t="n">
        <v>108612</v>
      </c>
      <c r="AF11" s="0" t="n">
        <v>59084</v>
      </c>
      <c r="AG11" s="0" t="n">
        <v>244669</v>
      </c>
      <c r="AH11" s="0" t="n">
        <v>98762</v>
      </c>
    </row>
    <row r="12" customFormat="false" ht="15" hidden="false" customHeight="false" outlineLevel="0" collapsed="false">
      <c r="A12" s="0" t="s">
        <v>79</v>
      </c>
      <c r="B12" s="0" t="n">
        <v>499677</v>
      </c>
      <c r="C12" s="0" t="n">
        <v>82450</v>
      </c>
      <c r="D12" s="0" t="n">
        <v>417226</v>
      </c>
      <c r="E12" s="0" t="n">
        <v>83.5</v>
      </c>
      <c r="F12" s="0" t="n">
        <v>166725</v>
      </c>
      <c r="G12" s="0" t="n">
        <v>33.4</v>
      </c>
      <c r="H12" s="0" t="n">
        <v>193693</v>
      </c>
      <c r="I12" s="0" t="n">
        <v>205159</v>
      </c>
      <c r="J12" s="0" t="n">
        <v>41.1</v>
      </c>
      <c r="K12" s="0" t="n">
        <v>241.11</v>
      </c>
      <c r="L12" s="0" t="n">
        <v>213572</v>
      </c>
      <c r="M12" s="0" t="n">
        <v>14464</v>
      </c>
      <c r="N12" s="0" t="n">
        <v>199108</v>
      </c>
      <c r="O12" s="0" t="n">
        <v>1685215</v>
      </c>
      <c r="P12" s="0" t="n">
        <v>2576870</v>
      </c>
      <c r="Q12" s="0" t="n">
        <v>890665</v>
      </c>
      <c r="R12" s="0" t="n">
        <v>660000</v>
      </c>
      <c r="S12" s="0" t="n">
        <v>711397</v>
      </c>
      <c r="T12" s="0" t="n">
        <v>850.9</v>
      </c>
      <c r="AA12" s="0" t="s">
        <v>17</v>
      </c>
      <c r="AB12" s="0" t="s">
        <v>14</v>
      </c>
      <c r="AC12" s="0" t="n">
        <v>53739</v>
      </c>
      <c r="AD12" s="0" t="n">
        <v>16840</v>
      </c>
      <c r="AE12" s="0" t="n">
        <v>122843</v>
      </c>
      <c r="AF12" s="0" t="n">
        <v>64961</v>
      </c>
      <c r="AG12" s="0" t="n">
        <v>278605</v>
      </c>
      <c r="AH12" s="0" t="n">
        <v>123454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80</v>
      </c>
      <c r="B1" s="2" t="s">
        <v>81</v>
      </c>
    </row>
    <row r="2" customFormat="false" ht="15" hidden="false" customHeight="false" outlineLevel="0" collapsed="false">
      <c r="A2" s="0" t="s">
        <v>82</v>
      </c>
      <c r="B2" s="3" t="n">
        <v>3012</v>
      </c>
    </row>
    <row r="3" customFormat="false" ht="15" hidden="false" customHeight="false" outlineLevel="0" collapsed="false">
      <c r="A3" s="0" t="s">
        <v>83</v>
      </c>
      <c r="B3" s="3" t="n">
        <v>851.4</v>
      </c>
    </row>
    <row r="4" customFormat="false" ht="15" hidden="false" customHeight="false" outlineLevel="0" collapsed="false">
      <c r="A4" s="0" t="s">
        <v>84</v>
      </c>
      <c r="B4" s="3" t="n">
        <v>283518</v>
      </c>
    </row>
    <row r="5" customFormat="false" ht="15" hidden="false" customHeight="false" outlineLevel="0" collapsed="false">
      <c r="A5" s="0" t="s">
        <v>85</v>
      </c>
      <c r="B5" s="3" t="n">
        <v>1040809</v>
      </c>
    </row>
    <row r="6" customFormat="false" ht="15" hidden="false" customHeight="false" outlineLevel="0" collapsed="false">
      <c r="A6" s="0" t="s">
        <v>86</v>
      </c>
      <c r="B6" s="3" t="n">
        <v>15</v>
      </c>
    </row>
    <row r="7" customFormat="false" ht="15" hidden="false" customHeight="false" outlineLevel="0" collapsed="false">
      <c r="A7" s="0" t="s">
        <v>87</v>
      </c>
      <c r="B7" s="3" t="n">
        <v>499677</v>
      </c>
    </row>
    <row r="8" customFormat="false" ht="15" hidden="false" customHeight="false" outlineLevel="0" collapsed="false">
      <c r="A8" s="0" t="s">
        <v>88</v>
      </c>
      <c r="B8" s="3" t="s">
        <v>79</v>
      </c>
    </row>
    <row r="9" customFormat="false" ht="15" hidden="false" customHeight="false" outlineLevel="0" collapsed="false">
      <c r="A9" s="0" t="s">
        <v>89</v>
      </c>
      <c r="B9" s="3" t="s">
        <v>90</v>
      </c>
    </row>
    <row r="10" customFormat="false" ht="15" hidden="false" customHeight="false" outlineLevel="0" collapsed="false">
      <c r="A10" s="0" t="s">
        <v>91</v>
      </c>
      <c r="B10" s="3" t="n">
        <v>1</v>
      </c>
    </row>
    <row r="12" customFormat="false" ht="15" hidden="false" customHeight="false" outlineLevel="0" collapsed="false">
      <c r="A12" s="2" t="s">
        <v>92</v>
      </c>
      <c r="C12" s="2" t="s">
        <v>93</v>
      </c>
      <c r="D12" s="2" t="s">
        <v>94</v>
      </c>
      <c r="E12" s="2" t="s">
        <v>95</v>
      </c>
      <c r="F12" s="2" t="s">
        <v>96</v>
      </c>
      <c r="G12" s="2" t="s">
        <v>97</v>
      </c>
      <c r="H12" s="2" t="s">
        <v>98</v>
      </c>
      <c r="I12" s="2" t="s">
        <v>99</v>
      </c>
      <c r="J12" s="2" t="s">
        <v>100</v>
      </c>
      <c r="K12" s="2" t="s">
        <v>101</v>
      </c>
      <c r="L12" s="2" t="s">
        <v>102</v>
      </c>
    </row>
    <row r="13" customFormat="false" ht="15" hidden="false" customHeight="false" outlineLevel="0" collapsed="false">
      <c r="A13" s="0" t="s">
        <v>103</v>
      </c>
      <c r="C13" s="3" t="n">
        <v>43.1</v>
      </c>
      <c r="D13" s="3" t="n">
        <v>-3.5</v>
      </c>
      <c r="E13" s="3" t="n">
        <v>-10.1</v>
      </c>
      <c r="F13" s="3" t="n">
        <v>-8.1</v>
      </c>
      <c r="G13" s="3" t="n">
        <v>-4.4</v>
      </c>
      <c r="H13" s="3" t="n">
        <v>-0.9</v>
      </c>
      <c r="I13" s="3" t="n">
        <v>0.9</v>
      </c>
      <c r="J13" s="3" t="n">
        <v>0.9</v>
      </c>
      <c r="K13" s="3" t="n">
        <v>0.9</v>
      </c>
      <c r="L13" s="3" t="n">
        <v>0.9</v>
      </c>
    </row>
    <row r="14" customFormat="false" ht="15" hidden="false" customHeight="false" outlineLevel="0" collapsed="false">
      <c r="A14" s="0" t="s">
        <v>104</v>
      </c>
      <c r="C14" s="3" t="n">
        <v>37</v>
      </c>
      <c r="D14" s="3" t="n">
        <v>34</v>
      </c>
      <c r="E14" s="3" t="n">
        <v>29</v>
      </c>
      <c r="F14" s="3" t="n">
        <v>25</v>
      </c>
      <c r="G14" s="3" t="n">
        <v>23</v>
      </c>
      <c r="H14" s="3" t="n">
        <v>23</v>
      </c>
      <c r="I14" s="3" t="n">
        <v>23.5</v>
      </c>
      <c r="J14" s="3" t="n">
        <v>24</v>
      </c>
      <c r="K14" s="3" t="n">
        <v>24</v>
      </c>
      <c r="L14" s="3" t="n">
        <v>24</v>
      </c>
    </row>
    <row r="15" customFormat="false" ht="15" hidden="false" customHeight="false" outlineLevel="0" collapsed="false">
      <c r="A15" s="0" t="s">
        <v>105</v>
      </c>
      <c r="C15" s="3" t="n">
        <v>0.07</v>
      </c>
      <c r="D15" s="3" t="n">
        <v>0.07</v>
      </c>
      <c r="E15" s="3" t="n">
        <v>0.07</v>
      </c>
      <c r="F15" s="3" t="n">
        <v>0.07</v>
      </c>
      <c r="G15" s="3" t="n">
        <v>0.07</v>
      </c>
      <c r="H15" s="3" t="n">
        <v>0.07</v>
      </c>
      <c r="I15" s="3" t="n">
        <v>0.07</v>
      </c>
      <c r="J15" s="3" t="n">
        <v>0.07</v>
      </c>
      <c r="K15" s="3" t="n">
        <v>0.07</v>
      </c>
      <c r="L15" s="3" t="n">
        <v>0.07</v>
      </c>
    </row>
    <row r="16" customFormat="false" ht="15" hidden="false" customHeight="false" outlineLevel="0" collapsed="false">
      <c r="A16" s="0" t="s">
        <v>106</v>
      </c>
      <c r="C16" s="3" t="n">
        <v>0.65</v>
      </c>
      <c r="D16" s="3" t="n">
        <v>0.65</v>
      </c>
      <c r="E16" s="3" t="n">
        <v>0.65</v>
      </c>
      <c r="F16" s="3" t="n">
        <v>0.65</v>
      </c>
      <c r="G16" s="3" t="n">
        <v>0.65</v>
      </c>
      <c r="H16" s="3" t="n">
        <v>0.65</v>
      </c>
      <c r="I16" s="3" t="n">
        <v>0.65</v>
      </c>
      <c r="J16" s="3" t="n">
        <v>0.65</v>
      </c>
      <c r="K16" s="3" t="n">
        <v>0.65</v>
      </c>
      <c r="L16" s="3" t="n">
        <v>0.65</v>
      </c>
    </row>
    <row r="17" customFormat="false" ht="15" hidden="false" customHeight="false" outlineLevel="0" collapsed="false">
      <c r="A17" s="0" t="s">
        <v>107</v>
      </c>
      <c r="C17" s="3" t="n">
        <v>12</v>
      </c>
      <c r="D17" s="3" t="n">
        <v>11.5</v>
      </c>
      <c r="E17" s="3" t="n">
        <v>11</v>
      </c>
      <c r="F17" s="3" t="n">
        <v>10</v>
      </c>
      <c r="G17" s="3" t="n">
        <v>9</v>
      </c>
      <c r="H17" s="3" t="n">
        <v>8</v>
      </c>
      <c r="I17" s="3" t="n">
        <v>7</v>
      </c>
      <c r="J17" s="3" t="n">
        <v>6.5</v>
      </c>
      <c r="K17" s="3" t="n">
        <v>6</v>
      </c>
      <c r="L17" s="3" t="n">
        <v>6</v>
      </c>
    </row>
    <row r="18" customFormat="false" ht="15" hidden="false" customHeight="false" outlineLevel="0" collapsed="false">
      <c r="A18" s="0" t="s">
        <v>108</v>
      </c>
      <c r="C18" s="3" t="n">
        <v>5</v>
      </c>
      <c r="D18" s="3" t="n">
        <v>5</v>
      </c>
      <c r="E18" s="3" t="n">
        <v>5</v>
      </c>
      <c r="F18" s="3" t="n">
        <v>5</v>
      </c>
      <c r="G18" s="3" t="n">
        <v>4.8</v>
      </c>
      <c r="H18" s="3" t="n">
        <v>4.6</v>
      </c>
      <c r="I18" s="3" t="n">
        <v>4.5</v>
      </c>
      <c r="J18" s="3" t="n">
        <v>4.5</v>
      </c>
      <c r="K18" s="3" t="n">
        <v>4.5</v>
      </c>
      <c r="L18" s="3" t="n">
        <v>4.5</v>
      </c>
    </row>
    <row r="19" customFormat="false" ht="15" hidden="false" customHeight="false" outlineLevel="0" collapsed="false">
      <c r="A19" s="0" t="s">
        <v>109</v>
      </c>
      <c r="C19" s="3" t="n">
        <v>25</v>
      </c>
      <c r="D19" s="3" t="n">
        <v>26</v>
      </c>
      <c r="E19" s="3" t="n">
        <v>27</v>
      </c>
      <c r="F19" s="3" t="n">
        <v>28</v>
      </c>
      <c r="G19" s="3" t="n">
        <v>28</v>
      </c>
      <c r="H19" s="3" t="n">
        <v>28</v>
      </c>
      <c r="I19" s="3" t="n">
        <v>28</v>
      </c>
      <c r="J19" s="3" t="n">
        <v>28</v>
      </c>
      <c r="K19" s="3" t="n">
        <v>28</v>
      </c>
      <c r="L19" s="3" t="n">
        <v>28</v>
      </c>
    </row>
    <row r="20" customFormat="false" ht="15" hidden="false" customHeight="false" outlineLevel="0" collapsed="false">
      <c r="A20" s="0" t="s">
        <v>110</v>
      </c>
      <c r="B20" s="3" t="n">
        <v>7</v>
      </c>
    </row>
    <row r="21" customFormat="false" ht="15" hidden="false" customHeight="false" outlineLevel="0" collapsed="false">
      <c r="A21" s="0" t="s">
        <v>111</v>
      </c>
      <c r="B21" s="3" t="n">
        <v>1</v>
      </c>
    </row>
    <row r="22" customFormat="false" ht="15" hidden="false" customHeight="false" outlineLevel="0" collapsed="false">
      <c r="A22" s="0" t="s">
        <v>112</v>
      </c>
      <c r="B22" s="3" t="n">
        <v>15</v>
      </c>
    </row>
    <row r="23" customFormat="false" ht="15" hidden="false" customHeight="false" outlineLevel="0" collapsed="false">
      <c r="A23" s="0" t="s">
        <v>113</v>
      </c>
      <c r="B23" s="3" t="n">
        <v>-5</v>
      </c>
    </row>
    <row r="24" customFormat="false" ht="15" hidden="false" customHeight="false" outlineLevel="0" collapsed="false">
      <c r="A24" s="0" t="s">
        <v>114</v>
      </c>
      <c r="B24" s="3" t="n">
        <v>0.3</v>
      </c>
    </row>
    <row r="26" customFormat="false" ht="15" hidden="false" customHeight="false" outlineLevel="0" collapsed="false">
      <c r="A26" s="2" t="s">
        <v>115</v>
      </c>
      <c r="C26" s="2" t="s">
        <v>93</v>
      </c>
      <c r="D26" s="2" t="s">
        <v>94</v>
      </c>
      <c r="E26" s="2" t="s">
        <v>95</v>
      </c>
      <c r="F26" s="2" t="s">
        <v>96</v>
      </c>
      <c r="G26" s="2" t="s">
        <v>97</v>
      </c>
      <c r="H26" s="2" t="s">
        <v>98</v>
      </c>
      <c r="I26" s="2" t="s">
        <v>99</v>
      </c>
      <c r="J26" s="2" t="s">
        <v>100</v>
      </c>
      <c r="K26" s="2" t="s">
        <v>101</v>
      </c>
      <c r="L26" s="2" t="s">
        <v>102</v>
      </c>
    </row>
    <row r="27" customFormat="false" ht="15" hidden="false" customHeight="false" outlineLevel="0" collapsed="false">
      <c r="A27" s="0" t="s">
        <v>103</v>
      </c>
      <c r="C27" s="3" t="n">
        <v>44.1</v>
      </c>
      <c r="D27" s="3" t="n">
        <v>4.2</v>
      </c>
      <c r="E27" s="3" t="n">
        <v>-6</v>
      </c>
      <c r="F27" s="3" t="n">
        <v>-7.8</v>
      </c>
      <c r="G27" s="3" t="n">
        <v>-3.1</v>
      </c>
      <c r="H27" s="3" t="n">
        <v>1.6</v>
      </c>
      <c r="I27" s="3" t="n">
        <v>2.3</v>
      </c>
      <c r="J27" s="3" t="n">
        <v>2.3</v>
      </c>
      <c r="K27" s="3" t="n">
        <v>2.2</v>
      </c>
      <c r="L27" s="3" t="n">
        <v>2.2</v>
      </c>
    </row>
    <row r="28" customFormat="false" ht="15" hidden="false" customHeight="false" outlineLevel="0" collapsed="false">
      <c r="A28" s="0" t="s">
        <v>104</v>
      </c>
      <c r="C28" s="3" t="n">
        <v>38.5</v>
      </c>
      <c r="D28" s="3" t="n">
        <v>39</v>
      </c>
      <c r="E28" s="3" t="n">
        <v>36</v>
      </c>
      <c r="F28" s="3" t="n">
        <v>32.5</v>
      </c>
      <c r="G28" s="3" t="n">
        <v>30.5</v>
      </c>
      <c r="H28" s="3" t="n">
        <v>30.5</v>
      </c>
      <c r="I28" s="3" t="n">
        <v>31</v>
      </c>
      <c r="J28" s="3" t="n">
        <v>31.5</v>
      </c>
      <c r="K28" s="3" t="n">
        <v>32</v>
      </c>
      <c r="L28" s="3" t="n">
        <v>32.5</v>
      </c>
    </row>
    <row r="29" customFormat="false" ht="15" hidden="false" customHeight="false" outlineLevel="0" collapsed="false">
      <c r="A29" s="0" t="s">
        <v>105</v>
      </c>
      <c r="C29" s="3" t="n">
        <v>0.07</v>
      </c>
      <c r="D29" s="3" t="n">
        <v>0.07</v>
      </c>
      <c r="E29" s="3" t="n">
        <v>0.07</v>
      </c>
      <c r="F29" s="3" t="n">
        <v>0.07</v>
      </c>
      <c r="G29" s="3" t="n">
        <v>0.07</v>
      </c>
      <c r="H29" s="3" t="n">
        <v>0.07</v>
      </c>
      <c r="I29" s="3" t="n">
        <v>0.07</v>
      </c>
      <c r="J29" s="3" t="n">
        <v>0.07</v>
      </c>
      <c r="K29" s="3" t="n">
        <v>0.07</v>
      </c>
      <c r="L29" s="3" t="n">
        <v>0.07</v>
      </c>
    </row>
    <row r="30" customFormat="false" ht="15" hidden="false" customHeight="false" outlineLevel="0" collapsed="false">
      <c r="A30" s="0" t="s">
        <v>106</v>
      </c>
      <c r="C30" s="3" t="n">
        <v>0.65</v>
      </c>
      <c r="D30" s="3" t="n">
        <v>0.65</v>
      </c>
      <c r="E30" s="3" t="n">
        <v>0.65</v>
      </c>
      <c r="F30" s="3" t="n">
        <v>0.65</v>
      </c>
      <c r="G30" s="3" t="n">
        <v>0.65</v>
      </c>
      <c r="H30" s="3" t="n">
        <v>0.65</v>
      </c>
      <c r="I30" s="3" t="n">
        <v>0.65</v>
      </c>
      <c r="J30" s="3" t="n">
        <v>0.65</v>
      </c>
      <c r="K30" s="3" t="n">
        <v>0.65</v>
      </c>
      <c r="L30" s="3" t="n">
        <v>0.65</v>
      </c>
    </row>
    <row r="31" customFormat="false" ht="15" hidden="false" customHeight="false" outlineLevel="0" collapsed="false">
      <c r="A31" s="0" t="s">
        <v>107</v>
      </c>
      <c r="C31" s="3" t="n">
        <v>12</v>
      </c>
      <c r="D31" s="3" t="n">
        <v>11.5</v>
      </c>
      <c r="E31" s="3" t="n">
        <v>11</v>
      </c>
      <c r="F31" s="3" t="n">
        <v>10</v>
      </c>
      <c r="G31" s="3" t="n">
        <v>9</v>
      </c>
      <c r="H31" s="3" t="n">
        <v>8</v>
      </c>
      <c r="I31" s="3" t="n">
        <v>7</v>
      </c>
      <c r="J31" s="3" t="n">
        <v>6.5</v>
      </c>
      <c r="K31" s="3" t="n">
        <v>6</v>
      </c>
      <c r="L31" s="3" t="n">
        <v>6</v>
      </c>
    </row>
    <row r="32" customFormat="false" ht="15" hidden="false" customHeight="false" outlineLevel="0" collapsed="false">
      <c r="A32" s="0" t="s">
        <v>108</v>
      </c>
      <c r="C32" s="3" t="n">
        <v>5</v>
      </c>
      <c r="D32" s="3" t="n">
        <v>5</v>
      </c>
      <c r="E32" s="3" t="n">
        <v>5</v>
      </c>
      <c r="F32" s="3" t="n">
        <v>5</v>
      </c>
      <c r="G32" s="3" t="n">
        <v>4.8</v>
      </c>
      <c r="H32" s="3" t="n">
        <v>4.6</v>
      </c>
      <c r="I32" s="3" t="n">
        <v>4.5</v>
      </c>
      <c r="J32" s="3" t="n">
        <v>4.5</v>
      </c>
      <c r="K32" s="3" t="n">
        <v>4.5</v>
      </c>
      <c r="L32" s="3" t="n">
        <v>4.5</v>
      </c>
    </row>
    <row r="33" customFormat="false" ht="15" hidden="false" customHeight="false" outlineLevel="0" collapsed="false">
      <c r="A33" s="0" t="s">
        <v>109</v>
      </c>
      <c r="C33" s="3" t="n">
        <v>25</v>
      </c>
      <c r="D33" s="3" t="n">
        <v>26</v>
      </c>
      <c r="E33" s="3" t="n">
        <v>27</v>
      </c>
      <c r="F33" s="3" t="n">
        <v>28</v>
      </c>
      <c r="G33" s="3" t="n">
        <v>28</v>
      </c>
      <c r="H33" s="3" t="n">
        <v>28</v>
      </c>
      <c r="I33" s="3" t="n">
        <v>28</v>
      </c>
      <c r="J33" s="3" t="n">
        <v>28</v>
      </c>
      <c r="K33" s="3" t="n">
        <v>28</v>
      </c>
      <c r="L33" s="3" t="n">
        <v>28</v>
      </c>
    </row>
    <row r="34" customFormat="false" ht="15" hidden="false" customHeight="false" outlineLevel="0" collapsed="false">
      <c r="A34" s="0" t="s">
        <v>110</v>
      </c>
      <c r="B34" s="3" t="n">
        <v>7</v>
      </c>
    </row>
    <row r="35" customFormat="false" ht="15" hidden="false" customHeight="false" outlineLevel="0" collapsed="false">
      <c r="A35" s="0" t="s">
        <v>111</v>
      </c>
      <c r="B35" s="3" t="n">
        <v>1</v>
      </c>
    </row>
    <row r="36" customFormat="false" ht="15" hidden="false" customHeight="false" outlineLevel="0" collapsed="false">
      <c r="A36" s="0" t="s">
        <v>112</v>
      </c>
      <c r="B36" s="3" t="n">
        <v>15</v>
      </c>
    </row>
    <row r="37" customFormat="false" ht="15" hidden="false" customHeight="false" outlineLevel="0" collapsed="false">
      <c r="A37" s="0" t="s">
        <v>113</v>
      </c>
      <c r="B37" s="3" t="n">
        <v>-5</v>
      </c>
    </row>
    <row r="38" customFormat="false" ht="15" hidden="false" customHeight="false" outlineLevel="0" collapsed="false">
      <c r="A38" s="0" t="s">
        <v>114</v>
      </c>
      <c r="B38" s="3" t="n">
        <v>0.5</v>
      </c>
    </row>
    <row r="40" customFormat="false" ht="15" hidden="false" customHeight="false" outlineLevel="0" collapsed="false">
      <c r="A40" s="2" t="s">
        <v>116</v>
      </c>
      <c r="C40" s="2" t="s">
        <v>93</v>
      </c>
      <c r="D40" s="2" t="s">
        <v>94</v>
      </c>
      <c r="E40" s="2" t="s">
        <v>95</v>
      </c>
      <c r="F40" s="2" t="s">
        <v>96</v>
      </c>
      <c r="G40" s="2" t="s">
        <v>97</v>
      </c>
      <c r="H40" s="2" t="s">
        <v>98</v>
      </c>
      <c r="I40" s="2" t="s">
        <v>99</v>
      </c>
      <c r="J40" s="2" t="s">
        <v>100</v>
      </c>
      <c r="K40" s="2" t="s">
        <v>101</v>
      </c>
      <c r="L40" s="2" t="s">
        <v>102</v>
      </c>
    </row>
    <row r="41" customFormat="false" ht="15" hidden="false" customHeight="false" outlineLevel="0" collapsed="false">
      <c r="A41" s="0" t="s">
        <v>103</v>
      </c>
      <c r="C41" s="3" t="n">
        <v>45.1</v>
      </c>
      <c r="D41" s="3" t="n">
        <v>6.9</v>
      </c>
      <c r="E41" s="3" t="n">
        <v>-1.9</v>
      </c>
      <c r="F41" s="3" t="n">
        <v>-3.9</v>
      </c>
      <c r="G41" s="3" t="n">
        <v>-0.7</v>
      </c>
      <c r="H41" s="3" t="n">
        <v>2.8</v>
      </c>
      <c r="I41" s="3" t="n">
        <v>2.7</v>
      </c>
      <c r="J41" s="3" t="n">
        <v>2.6</v>
      </c>
      <c r="K41" s="3" t="n">
        <v>2.5</v>
      </c>
      <c r="L41" s="3" t="n">
        <v>2.5</v>
      </c>
    </row>
    <row r="42" customFormat="false" ht="15" hidden="false" customHeight="false" outlineLevel="0" collapsed="false">
      <c r="A42" s="0" t="s">
        <v>104</v>
      </c>
      <c r="C42" s="3" t="n">
        <v>39</v>
      </c>
      <c r="D42" s="3" t="n">
        <v>40</v>
      </c>
      <c r="E42" s="3" t="n">
        <v>38.5</v>
      </c>
      <c r="F42" s="3" t="n">
        <v>36</v>
      </c>
      <c r="G42" s="3" t="n">
        <v>35</v>
      </c>
      <c r="H42" s="3" t="n">
        <v>35</v>
      </c>
      <c r="I42" s="3" t="n">
        <v>35.5</v>
      </c>
      <c r="J42" s="3" t="n">
        <v>36</v>
      </c>
      <c r="K42" s="3" t="n">
        <v>36</v>
      </c>
      <c r="L42" s="3" t="n">
        <v>36</v>
      </c>
    </row>
    <row r="43" customFormat="false" ht="15" hidden="false" customHeight="false" outlineLevel="0" collapsed="false">
      <c r="A43" s="0" t="s">
        <v>105</v>
      </c>
      <c r="C43" s="3" t="n">
        <v>0.07</v>
      </c>
      <c r="D43" s="3" t="n">
        <v>0.07</v>
      </c>
      <c r="E43" s="3" t="n">
        <v>0.07</v>
      </c>
      <c r="F43" s="3" t="n">
        <v>0.07</v>
      </c>
      <c r="G43" s="3" t="n">
        <v>0.07</v>
      </c>
      <c r="H43" s="3" t="n">
        <v>0.07</v>
      </c>
      <c r="I43" s="3" t="n">
        <v>0.07</v>
      </c>
      <c r="J43" s="3" t="n">
        <v>0.07</v>
      </c>
      <c r="K43" s="3" t="n">
        <v>0.07</v>
      </c>
      <c r="L43" s="3" t="n">
        <v>0.07</v>
      </c>
    </row>
    <row r="44" customFormat="false" ht="15" hidden="false" customHeight="false" outlineLevel="0" collapsed="false">
      <c r="A44" s="0" t="s">
        <v>106</v>
      </c>
      <c r="C44" s="3" t="n">
        <v>0.65</v>
      </c>
      <c r="D44" s="3" t="n">
        <v>0.65</v>
      </c>
      <c r="E44" s="3" t="n">
        <v>0.65</v>
      </c>
      <c r="F44" s="3" t="n">
        <v>0.65</v>
      </c>
      <c r="G44" s="3" t="n">
        <v>0.65</v>
      </c>
      <c r="H44" s="3" t="n">
        <v>0.65</v>
      </c>
      <c r="I44" s="3" t="n">
        <v>0.65</v>
      </c>
      <c r="J44" s="3" t="n">
        <v>0.65</v>
      </c>
      <c r="K44" s="3" t="n">
        <v>0.65</v>
      </c>
      <c r="L44" s="3" t="n">
        <v>0.65</v>
      </c>
    </row>
    <row r="45" customFormat="false" ht="15" hidden="false" customHeight="false" outlineLevel="0" collapsed="false">
      <c r="A45" s="0" t="s">
        <v>107</v>
      </c>
      <c r="C45" s="3" t="n">
        <v>12</v>
      </c>
      <c r="D45" s="3" t="n">
        <v>11.5</v>
      </c>
      <c r="E45" s="3" t="n">
        <v>11</v>
      </c>
      <c r="F45" s="3" t="n">
        <v>10</v>
      </c>
      <c r="G45" s="3" t="n">
        <v>9</v>
      </c>
      <c r="H45" s="3" t="n">
        <v>8</v>
      </c>
      <c r="I45" s="3" t="n">
        <v>7</v>
      </c>
      <c r="J45" s="3" t="n">
        <v>6.5</v>
      </c>
      <c r="K45" s="3" t="n">
        <v>6</v>
      </c>
      <c r="L45" s="3" t="n">
        <v>6</v>
      </c>
    </row>
    <row r="46" customFormat="false" ht="15" hidden="false" customHeight="false" outlineLevel="0" collapsed="false">
      <c r="A46" s="0" t="s">
        <v>108</v>
      </c>
      <c r="C46" s="3" t="n">
        <v>5</v>
      </c>
      <c r="D46" s="3" t="n">
        <v>5</v>
      </c>
      <c r="E46" s="3" t="n">
        <v>5</v>
      </c>
      <c r="F46" s="3" t="n">
        <v>5</v>
      </c>
      <c r="G46" s="3" t="n">
        <v>4.8</v>
      </c>
      <c r="H46" s="3" t="n">
        <v>4.6</v>
      </c>
      <c r="I46" s="3" t="n">
        <v>4.5</v>
      </c>
      <c r="J46" s="3" t="n">
        <v>4.5</v>
      </c>
      <c r="K46" s="3" t="n">
        <v>4.5</v>
      </c>
      <c r="L46" s="3" t="n">
        <v>4.5</v>
      </c>
    </row>
    <row r="47" customFormat="false" ht="15" hidden="false" customHeight="false" outlineLevel="0" collapsed="false">
      <c r="A47" s="0" t="s">
        <v>109</v>
      </c>
      <c r="C47" s="3" t="n">
        <v>25</v>
      </c>
      <c r="D47" s="3" t="n">
        <v>26</v>
      </c>
      <c r="E47" s="3" t="n">
        <v>27</v>
      </c>
      <c r="F47" s="3" t="n">
        <v>28</v>
      </c>
      <c r="G47" s="3" t="n">
        <v>28</v>
      </c>
      <c r="H47" s="3" t="n">
        <v>28</v>
      </c>
      <c r="I47" s="3" t="n">
        <v>28</v>
      </c>
      <c r="J47" s="3" t="n">
        <v>28</v>
      </c>
      <c r="K47" s="3" t="n">
        <v>28</v>
      </c>
      <c r="L47" s="3" t="n">
        <v>28</v>
      </c>
    </row>
    <row r="48" customFormat="false" ht="15" hidden="false" customHeight="false" outlineLevel="0" collapsed="false">
      <c r="A48" s="0" t="s">
        <v>110</v>
      </c>
      <c r="B48" s="3" t="n">
        <v>7</v>
      </c>
    </row>
    <row r="49" customFormat="false" ht="15" hidden="false" customHeight="false" outlineLevel="0" collapsed="false">
      <c r="A49" s="0" t="s">
        <v>111</v>
      </c>
      <c r="B49" s="3" t="n">
        <v>1</v>
      </c>
    </row>
    <row r="50" customFormat="false" ht="15" hidden="false" customHeight="false" outlineLevel="0" collapsed="false">
      <c r="A50" s="0" t="s">
        <v>112</v>
      </c>
      <c r="B50" s="3" t="n">
        <v>15</v>
      </c>
    </row>
    <row r="51" customFormat="false" ht="15" hidden="false" customHeight="false" outlineLevel="0" collapsed="false">
      <c r="A51" s="0" t="s">
        <v>113</v>
      </c>
      <c r="B51" s="3" t="n">
        <v>-5</v>
      </c>
    </row>
    <row r="52" customFormat="false" ht="15" hidden="false" customHeight="false" outlineLevel="0" collapsed="false">
      <c r="A52" s="0" t="s">
        <v>114</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117</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Assumptions!C13</f>
        <v>43.1</v>
      </c>
      <c r="D5" s="4" t="n">
        <f aca="false">Assumptions!D13</f>
        <v>-3.5</v>
      </c>
      <c r="E5" s="4" t="n">
        <f aca="false">Assumptions!E13</f>
        <v>-10.1</v>
      </c>
      <c r="F5" s="4" t="n">
        <f aca="false">Assumptions!F13</f>
        <v>-8.1</v>
      </c>
      <c r="G5" s="4" t="n">
        <f aca="false">Assumptions!G13</f>
        <v>-4.4</v>
      </c>
      <c r="H5" s="4" t="n">
        <f aca="false">Assumptions!H13</f>
        <v>-0.9</v>
      </c>
      <c r="I5" s="4" t="n">
        <f aca="false">Assumptions!I13</f>
        <v>0.9</v>
      </c>
      <c r="J5" s="4" t="n">
        <f aca="false">Assumptions!J13</f>
        <v>0.9</v>
      </c>
      <c r="K5" s="4" t="n">
        <f aca="false">Assumptions!K13</f>
        <v>0.9</v>
      </c>
      <c r="L5" s="4" t="n">
        <f aca="false">Assumptions!L13</f>
        <v>0.9</v>
      </c>
    </row>
    <row r="6" customFormat="false" ht="15" hidden="false" customHeight="false" outlineLevel="0" collapsed="false">
      <c r="A6" s="0" t="s">
        <v>37</v>
      </c>
      <c r="B6" s="3" t="n">
        <v>499677</v>
      </c>
      <c r="C6" s="0" t="n">
        <f aca="false">B6*(1+C5/100)</f>
        <v>715037.787</v>
      </c>
      <c r="D6" s="0" t="n">
        <f aca="false">C6*(1+D5/100)</f>
        <v>690011.464455</v>
      </c>
      <c r="E6" s="0" t="n">
        <f aca="false">D6*(1+E5/100)</f>
        <v>620320.306545045</v>
      </c>
      <c r="F6" s="0" t="n">
        <f aca="false">E6*(1+F5/100)</f>
        <v>570074.361714896</v>
      </c>
      <c r="G6" s="0" t="n">
        <f aca="false">F6*(1+G5/100)</f>
        <v>544991.089799441</v>
      </c>
      <c r="H6" s="0" t="n">
        <f aca="false">G6*(1+H5/100)</f>
        <v>540086.169991246</v>
      </c>
      <c r="I6" s="0" t="n">
        <f aca="false">H6*(1+I5/100)</f>
        <v>544946.945521167</v>
      </c>
      <c r="J6" s="0" t="n">
        <f aca="false">I6*(1+J5/100)</f>
        <v>549851.468030858</v>
      </c>
      <c r="K6" s="0" t="n">
        <f aca="false">J6*(1+K5/100)</f>
        <v>554800.131243135</v>
      </c>
      <c r="L6" s="0" t="n">
        <f aca="false">K6*(1+L5/100)</f>
        <v>559793.332424323</v>
      </c>
    </row>
    <row r="7" customFormat="false" ht="15" hidden="false" customHeight="false" outlineLevel="0" collapsed="false">
      <c r="A7" s="0" t="s">
        <v>104</v>
      </c>
      <c r="C7" s="4" t="n">
        <f aca="false">Assumptions!C14</f>
        <v>37</v>
      </c>
      <c r="D7" s="4" t="n">
        <f aca="false">Assumptions!D14</f>
        <v>34</v>
      </c>
      <c r="E7" s="4" t="n">
        <f aca="false">Assumptions!E14</f>
        <v>29</v>
      </c>
      <c r="F7" s="4" t="n">
        <f aca="false">Assumptions!F14</f>
        <v>25</v>
      </c>
      <c r="G7" s="4" t="n">
        <f aca="false">Assumptions!G14</f>
        <v>23</v>
      </c>
      <c r="H7" s="4" t="n">
        <f aca="false">Assumptions!H14</f>
        <v>23</v>
      </c>
      <c r="I7" s="4" t="n">
        <f aca="false">Assumptions!I14</f>
        <v>23.5</v>
      </c>
      <c r="J7" s="4" t="n">
        <f aca="false">Assumptions!J14</f>
        <v>24</v>
      </c>
      <c r="K7" s="4" t="n">
        <f aca="false">Assumptions!K14</f>
        <v>24</v>
      </c>
      <c r="L7" s="4" t="n">
        <f aca="false">Assumptions!L14</f>
        <v>24</v>
      </c>
    </row>
    <row r="8" customFormat="false" ht="15" hidden="false" customHeight="false" outlineLevel="0" collapsed="false">
      <c r="A8" s="0" t="s">
        <v>43</v>
      </c>
      <c r="C8" s="0" t="n">
        <f aca="false">C6*C7/100</f>
        <v>264563.98119</v>
      </c>
      <c r="D8" s="0" t="n">
        <f aca="false">D6*D7/100</f>
        <v>234603.8979147</v>
      </c>
      <c r="E8" s="0" t="n">
        <f aca="false">E6*E7/100</f>
        <v>179892.888898063</v>
      </c>
      <c r="F8" s="0" t="n">
        <f aca="false">F6*F7/100</f>
        <v>142518.590428724</v>
      </c>
      <c r="G8" s="0" t="n">
        <f aca="false">G6*G7/100</f>
        <v>125347.950653871</v>
      </c>
      <c r="H8" s="0" t="n">
        <f aca="false">H6*H7/100</f>
        <v>124219.819097987</v>
      </c>
      <c r="I8" s="0" t="n">
        <f aca="false">I6*I7/100</f>
        <v>128062.532197474</v>
      </c>
      <c r="J8" s="0" t="n">
        <f aca="false">J6*J7/100</f>
        <v>131964.352327406</v>
      </c>
      <c r="K8" s="0" t="n">
        <f aca="false">K6*K7/100</f>
        <v>133152.031498352</v>
      </c>
      <c r="L8" s="0" t="n">
        <f aca="false">L6*L7/100</f>
        <v>134350.399781838</v>
      </c>
    </row>
    <row r="9" customFormat="false" ht="15" hidden="false" customHeight="false" outlineLevel="0" collapsed="false">
      <c r="A9" s="0" t="s">
        <v>105</v>
      </c>
      <c r="C9" s="4" t="n">
        <f aca="false">Assumptions!C15</f>
        <v>0.07</v>
      </c>
      <c r="D9" s="4" t="n">
        <f aca="false">Assumptions!D15</f>
        <v>0.07</v>
      </c>
      <c r="E9" s="4" t="n">
        <f aca="false">Assumptions!E15</f>
        <v>0.07</v>
      </c>
      <c r="F9" s="4" t="n">
        <f aca="false">Assumptions!F15</f>
        <v>0.07</v>
      </c>
      <c r="G9" s="4" t="n">
        <f aca="false">Assumptions!G15</f>
        <v>0.07</v>
      </c>
      <c r="H9" s="4" t="n">
        <f aca="false">Assumptions!H15</f>
        <v>0.07</v>
      </c>
      <c r="I9" s="4" t="n">
        <f aca="false">Assumptions!I15</f>
        <v>0.07</v>
      </c>
      <c r="J9" s="4" t="n">
        <f aca="false">Assumptions!J15</f>
        <v>0.07</v>
      </c>
      <c r="K9" s="4" t="n">
        <f aca="false">Assumptions!K15</f>
        <v>0.07</v>
      </c>
      <c r="L9" s="4" t="n">
        <f aca="false">Assumptions!L15</f>
        <v>0.07</v>
      </c>
    </row>
    <row r="10" customFormat="false" ht="15" hidden="false" customHeight="false" outlineLevel="0" collapsed="false">
      <c r="A10" s="0" t="s">
        <v>120</v>
      </c>
      <c r="C10" s="0" t="n">
        <f aca="false">-C6*C9/100</f>
        <v>-500.5264509</v>
      </c>
      <c r="D10" s="0" t="n">
        <f aca="false">-D6*D9/100</f>
        <v>-483.0080251185</v>
      </c>
      <c r="E10" s="0" t="n">
        <f aca="false">-E6*E9/100</f>
        <v>-434.224214581532</v>
      </c>
      <c r="F10" s="0" t="n">
        <f aca="false">-F6*F9/100</f>
        <v>-399.052053200428</v>
      </c>
      <c r="G10" s="0" t="n">
        <f aca="false">-G6*G9/100</f>
        <v>-381.493762859609</v>
      </c>
      <c r="H10" s="0" t="n">
        <f aca="false">-H6*H9/100</f>
        <v>-378.060318993872</v>
      </c>
      <c r="I10" s="0" t="n">
        <f aca="false">-I6*I9/100</f>
        <v>-381.462861864817</v>
      </c>
      <c r="J10" s="0" t="n">
        <f aca="false">-J6*J9/100</f>
        <v>-384.8960276216</v>
      </c>
      <c r="K10" s="0" t="n">
        <f aca="false">-K6*K9/100</f>
        <v>-388.360091870195</v>
      </c>
      <c r="L10" s="0" t="n">
        <f aca="false">-L6*L9/100</f>
        <v>-391.855332697027</v>
      </c>
    </row>
    <row r="11" customFormat="false" ht="15" hidden="false" customHeight="false" outlineLevel="0" collapsed="false">
      <c r="A11" s="0" t="s">
        <v>121</v>
      </c>
      <c r="C11" s="0" t="n">
        <f aca="false">C8+C10+C24</f>
        <v>259415.7091236</v>
      </c>
      <c r="D11" s="0" t="n">
        <f aca="false">D8+D10+D24</f>
        <v>229635.815370624</v>
      </c>
      <c r="E11" s="0" t="n">
        <f aca="false">E8+E10+E24</f>
        <v>175426.582690939</v>
      </c>
      <c r="F11" s="0" t="n">
        <f aca="false">F8+F10+F24</f>
        <v>138414.055024377</v>
      </c>
      <c r="G11" s="0" t="n">
        <f aca="false">G8+G10+G24</f>
        <v>121424.014807315</v>
      </c>
      <c r="H11" s="0" t="n">
        <f aca="false">H8+H10+H24</f>
        <v>120331.19867405</v>
      </c>
      <c r="I11" s="0" t="n">
        <f aca="false">I8+I10+I24</f>
        <v>124138.914189722</v>
      </c>
      <c r="J11" s="0" t="n">
        <f aca="false">J8+J10+J24</f>
        <v>128005.421757584</v>
      </c>
      <c r="K11" s="0" t="n">
        <f aca="false">K8+K10+K24</f>
        <v>129157.470553402</v>
      </c>
      <c r="L11" s="0" t="n">
        <f aca="false">L8+L10+L24</f>
        <v>130319.887788383</v>
      </c>
    </row>
    <row r="12" customFormat="false" ht="15" hidden="false" customHeight="false" outlineLevel="0" collapsed="false">
      <c r="A12" s="0" t="s">
        <v>122</v>
      </c>
      <c r="C12" s="4" t="n">
        <f aca="false">-C6*Assumptions!C17/100</f>
        <v>-85804.53444</v>
      </c>
      <c r="D12" s="4" t="n">
        <f aca="false">-D6*Assumptions!D17/100</f>
        <v>-79351.318412325</v>
      </c>
      <c r="E12" s="4" t="n">
        <f aca="false">-E6*Assumptions!E17/100</f>
        <v>-68235.233719955</v>
      </c>
      <c r="F12" s="4" t="n">
        <f aca="false">-F6*Assumptions!F17/100</f>
        <v>-57007.4361714896</v>
      </c>
      <c r="G12" s="4" t="n">
        <f aca="false">-G6*Assumptions!G17/100</f>
        <v>-49049.1980819497</v>
      </c>
      <c r="H12" s="4" t="n">
        <f aca="false">-H6*Assumptions!H17/100</f>
        <v>-43206.8935992997</v>
      </c>
      <c r="I12" s="4" t="n">
        <f aca="false">-I6*Assumptions!I17/100</f>
        <v>-38146.2861864817</v>
      </c>
      <c r="J12" s="4" t="n">
        <f aca="false">-J6*Assumptions!J17/100</f>
        <v>-35740.3454220058</v>
      </c>
      <c r="K12" s="4" t="n">
        <f aca="false">-K6*Assumptions!K17/100</f>
        <v>-33288.0078745881</v>
      </c>
      <c r="L12" s="4" t="n">
        <f aca="false">-L6*Assumptions!L17/100</f>
        <v>-33587.5999454594</v>
      </c>
    </row>
    <row r="13" customFormat="false" ht="15" hidden="false" customHeight="false" outlineLevel="0" collapsed="false">
      <c r="A13" s="0" t="s">
        <v>123</v>
      </c>
      <c r="C13" s="0" t="n">
        <f aca="false">C11+C12</f>
        <v>173611.1746836</v>
      </c>
      <c r="D13" s="0" t="n">
        <f aca="false">D11+D12</f>
        <v>150284.496958299</v>
      </c>
      <c r="E13" s="0" t="n">
        <f aca="false">E11+E12</f>
        <v>107191.348970984</v>
      </c>
      <c r="F13" s="0" t="n">
        <f aca="false">F11+F12</f>
        <v>81406.6188528872</v>
      </c>
      <c r="G13" s="0" t="n">
        <f aca="false">G11+G12</f>
        <v>72374.8167253657</v>
      </c>
      <c r="H13" s="0" t="n">
        <f aca="false">H11+H12</f>
        <v>77124.3050747499</v>
      </c>
      <c r="I13" s="0" t="n">
        <f aca="false">I11+I12</f>
        <v>85992.6280032402</v>
      </c>
      <c r="J13" s="0" t="n">
        <f aca="false">J11+J12</f>
        <v>92265.0763355779</v>
      </c>
      <c r="K13" s="0" t="n">
        <f aca="false">K11+K12</f>
        <v>95869.4626788138</v>
      </c>
      <c r="L13" s="0" t="n">
        <f aca="false">L11+L12</f>
        <v>96732.2878429231</v>
      </c>
    </row>
    <row r="14" customFormat="false" ht="15" hidden="false" customHeight="false" outlineLevel="0" collapsed="false">
      <c r="A14" s="0" t="s">
        <v>109</v>
      </c>
      <c r="C14" s="4" t="n">
        <f aca="false">Assumptions!C19</f>
        <v>25</v>
      </c>
      <c r="D14" s="4" t="n">
        <f aca="false">Assumptions!D19</f>
        <v>26</v>
      </c>
      <c r="E14" s="4" t="n">
        <f aca="false">Assumptions!E19</f>
        <v>27</v>
      </c>
      <c r="F14" s="4" t="n">
        <f aca="false">Assumptions!F19</f>
        <v>28</v>
      </c>
      <c r="G14" s="4" t="n">
        <f aca="false">Assumptions!G19</f>
        <v>28</v>
      </c>
      <c r="H14" s="4" t="n">
        <f aca="false">Assumptions!H19</f>
        <v>28</v>
      </c>
      <c r="I14" s="4" t="n">
        <f aca="false">Assumptions!I19</f>
        <v>28</v>
      </c>
      <c r="J14" s="4" t="n">
        <f aca="false">Assumptions!J19</f>
        <v>28</v>
      </c>
      <c r="K14" s="4" t="n">
        <f aca="false">Assumptions!K19</f>
        <v>28</v>
      </c>
      <c r="L14" s="4" t="n">
        <f aca="false">Assumptions!L19</f>
        <v>28</v>
      </c>
    </row>
    <row r="15" customFormat="false" ht="15" hidden="false" customHeight="false" outlineLevel="0" collapsed="false">
      <c r="A15" s="0" t="s">
        <v>124</v>
      </c>
      <c r="C15" s="0" t="n">
        <f aca="false">C13-MAX(0,C13)*C14/100</f>
        <v>130208.3810127</v>
      </c>
      <c r="D15" s="0" t="n">
        <f aca="false">D13-MAX(0,D13)*D14/100</f>
        <v>111210.527749141</v>
      </c>
      <c r="E15" s="0" t="n">
        <f aca="false">E13-MAX(0,E13)*E14/100</f>
        <v>78249.6847488182</v>
      </c>
      <c r="F15" s="0" t="n">
        <f aca="false">F13-MAX(0,F13)*F14/100</f>
        <v>58612.7655740788</v>
      </c>
      <c r="G15" s="0" t="n">
        <f aca="false">G13-MAX(0,G13)*G14/100</f>
        <v>52109.8680422633</v>
      </c>
      <c r="H15" s="0" t="n">
        <f aca="false">H13-MAX(0,H13)*H14/100</f>
        <v>55529.49965382</v>
      </c>
      <c r="I15" s="0" t="n">
        <f aca="false">I13-MAX(0,I13)*I14/100</f>
        <v>61914.6921623329</v>
      </c>
      <c r="J15" s="0" t="n">
        <f aca="false">J13-MAX(0,J13)*J14/100</f>
        <v>66430.8549616161</v>
      </c>
      <c r="K15" s="0" t="n">
        <f aca="false">K13-MAX(0,K13)*K14/100</f>
        <v>69026.0131287459</v>
      </c>
      <c r="L15" s="0" t="n">
        <f aca="false">L13-MAX(0,L13)*L14/100</f>
        <v>69647.2472469046</v>
      </c>
    </row>
    <row r="16" customFormat="false" ht="15" hidden="false" customHeight="false" outlineLevel="0" collapsed="false">
      <c r="A16" s="0" t="s">
        <v>125</v>
      </c>
      <c r="C16" s="0" t="n">
        <f aca="false">-C12</f>
        <v>85804.53444</v>
      </c>
      <c r="D16" s="0" t="n">
        <f aca="false">-D12</f>
        <v>79351.318412325</v>
      </c>
      <c r="E16" s="0" t="n">
        <f aca="false">-E12</f>
        <v>68235.233719955</v>
      </c>
      <c r="F16" s="0" t="n">
        <f aca="false">-F12</f>
        <v>57007.4361714896</v>
      </c>
      <c r="G16" s="0" t="n">
        <f aca="false">-G12</f>
        <v>49049.1980819497</v>
      </c>
      <c r="H16" s="0" t="n">
        <f aca="false">-H12</f>
        <v>43206.8935992997</v>
      </c>
      <c r="I16" s="0" t="n">
        <f aca="false">-I12</f>
        <v>38146.2861864817</v>
      </c>
      <c r="J16" s="0" t="n">
        <f aca="false">-J12</f>
        <v>35740.3454220058</v>
      </c>
      <c r="K16" s="0" t="n">
        <f aca="false">-K12</f>
        <v>33288.0078745881</v>
      </c>
      <c r="L16" s="0" t="n">
        <f aca="false">-L12</f>
        <v>33587.5999454594</v>
      </c>
    </row>
    <row r="17" customFormat="false" ht="15" hidden="false" customHeight="false" outlineLevel="0" collapsed="false">
      <c r="A17" s="0" t="s">
        <v>126</v>
      </c>
      <c r="C17" s="4" t="n">
        <f aca="false">-C6*Assumptions!C18/100</f>
        <v>-35751.88935</v>
      </c>
      <c r="D17" s="4" t="n">
        <f aca="false">-D6*Assumptions!D18/100</f>
        <v>-34500.57322275</v>
      </c>
      <c r="E17" s="4" t="n">
        <f aca="false">-E6*Assumptions!E18/100</f>
        <v>-31016.0153272523</v>
      </c>
      <c r="F17" s="4" t="n">
        <f aca="false">-F6*Assumptions!F18/100</f>
        <v>-28503.7180857448</v>
      </c>
      <c r="G17" s="4" t="n">
        <f aca="false">-G6*Assumptions!G18/100</f>
        <v>-26159.5723103732</v>
      </c>
      <c r="H17" s="4" t="n">
        <f aca="false">-H6*Assumptions!H18/100</f>
        <v>-24843.9638195973</v>
      </c>
      <c r="I17" s="4" t="n">
        <f aca="false">-I6*Assumptions!I18/100</f>
        <v>-24522.6125484525</v>
      </c>
      <c r="J17" s="4" t="n">
        <f aca="false">-J6*Assumptions!J18/100</f>
        <v>-24743.3160613886</v>
      </c>
      <c r="K17" s="4" t="n">
        <f aca="false">-K6*Assumptions!K18/100</f>
        <v>-24966.0059059411</v>
      </c>
      <c r="L17" s="4" t="n">
        <f aca="false">-L6*Assumptions!L18/100</f>
        <v>-25190.6999590946</v>
      </c>
    </row>
    <row r="18" customFormat="false" ht="15" hidden="false" customHeight="false" outlineLevel="0" collapsed="false">
      <c r="A18" s="0" t="s">
        <v>127</v>
      </c>
      <c r="C18" s="4" t="n">
        <f aca="false">(C6-B6)*Assumptions!$B$23/100</f>
        <v>-10768.03935</v>
      </c>
      <c r="D18" s="4" t="n">
        <f aca="false">(D6-C6)*Assumptions!$B$23/100</f>
        <v>1251.31612725</v>
      </c>
      <c r="E18" s="4" t="n">
        <f aca="false">(E6-D6)*Assumptions!$B$23/100</f>
        <v>3484.55789549775</v>
      </c>
      <c r="F18" s="4" t="n">
        <f aca="false">(F6-E6)*Assumptions!$B$23/100</f>
        <v>2512.29724150743</v>
      </c>
      <c r="G18" s="4" t="n">
        <f aca="false">(G6-F6)*Assumptions!$B$23/100</f>
        <v>1254.16359577277</v>
      </c>
      <c r="H18" s="4" t="n">
        <f aca="false">(H6-G6)*Assumptions!$B$23/100</f>
        <v>245.245990409749</v>
      </c>
      <c r="I18" s="4" t="n">
        <f aca="false">(I6-H6)*Assumptions!$B$23/100</f>
        <v>-243.038776496059</v>
      </c>
      <c r="J18" s="4" t="n">
        <f aca="false">(J6-I6)*Assumptions!$B$23/100</f>
        <v>-245.226125484525</v>
      </c>
      <c r="K18" s="4" t="n">
        <f aca="false">(K6-J6)*Assumptions!$B$23/100</f>
        <v>-247.433160613885</v>
      </c>
      <c r="L18" s="4" t="n">
        <f aca="false">(L6-K6)*Assumptions!$B$23/100</f>
        <v>-249.660059059405</v>
      </c>
    </row>
    <row r="19" customFormat="false" ht="15" hidden="false" customHeight="false" outlineLevel="0" collapsed="false">
      <c r="A19" s="0" t="s">
        <v>128</v>
      </c>
      <c r="C19" s="0" t="n">
        <f aca="false">C15+C16+C17+C18</f>
        <v>169492.9867527</v>
      </c>
      <c r="D19" s="0" t="n">
        <f aca="false">D15+D16+D17+D18</f>
        <v>157312.589065966</v>
      </c>
      <c r="E19" s="0" t="n">
        <f aca="false">E15+E16+E17+E18</f>
        <v>118953.461037019</v>
      </c>
      <c r="F19" s="0" t="n">
        <f aca="false">F15+F16+F17+F18</f>
        <v>89628.780901331</v>
      </c>
      <c r="G19" s="0" t="n">
        <f aca="false">G15+G16+G17+G18</f>
        <v>76253.6574096126</v>
      </c>
      <c r="H19" s="0" t="n">
        <f aca="false">H15+H16+H17+H18</f>
        <v>74137.6754239321</v>
      </c>
      <c r="I19" s="0" t="n">
        <f aca="false">I15+I16+I17+I18</f>
        <v>75295.3270238661</v>
      </c>
      <c r="J19" s="0" t="n">
        <f aca="false">J15+J16+J17+J18</f>
        <v>77182.6581967487</v>
      </c>
      <c r="K19" s="0" t="n">
        <f aca="false">K15+K16+K17+K18</f>
        <v>77100.5819367791</v>
      </c>
      <c r="L19" s="0" t="n">
        <f aca="false">L15+L16+L17+L18</f>
        <v>77794.4871742101</v>
      </c>
    </row>
    <row r="20" customFormat="false" ht="15" hidden="false" customHeight="false" outlineLevel="0" collapsed="false">
      <c r="A20" s="0" t="s">
        <v>129</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130</v>
      </c>
      <c r="C21" s="0" t="n">
        <f aca="false">C19*C20</f>
        <v>158404.660516542</v>
      </c>
      <c r="D21" s="0" t="n">
        <f aca="false">D19*D20</f>
        <v>137402.907735144</v>
      </c>
      <c r="E21" s="0" t="n">
        <f aca="false">E19*E20</f>
        <v>97101.457693337</v>
      </c>
      <c r="F21" s="0" t="n">
        <f aca="false">F19*F20</f>
        <v>68377.3678112821</v>
      </c>
      <c r="G21" s="0" t="n">
        <f aca="false">G19*G20</f>
        <v>54367.8038681362</v>
      </c>
      <c r="H21" s="0" t="n">
        <f aca="false">H19*H20</f>
        <v>49401.0635105697</v>
      </c>
      <c r="I21" s="0" t="n">
        <f aca="false">I19*I20</f>
        <v>46890.1454692284</v>
      </c>
      <c r="J21" s="0" t="n">
        <f aca="false">J19*J20</f>
        <v>44921.0097850391</v>
      </c>
      <c r="K21" s="0" t="n">
        <f aca="false">K19*K20</f>
        <v>41937.608088288</v>
      </c>
      <c r="L21" s="0" t="n">
        <f aca="false">L19*L20</f>
        <v>39546.7724869931</v>
      </c>
    </row>
    <row r="23" customFormat="false" ht="15" hidden="false" customHeight="false" outlineLevel="0" collapsed="false">
      <c r="A23" s="0" t="s">
        <v>106</v>
      </c>
      <c r="C23" s="4" t="n">
        <f aca="false">Assumptions!C16</f>
        <v>0.65</v>
      </c>
      <c r="D23" s="4" t="n">
        <f aca="false">Assumptions!D16</f>
        <v>0.65</v>
      </c>
      <c r="E23" s="4" t="n">
        <f aca="false">Assumptions!E16</f>
        <v>0.65</v>
      </c>
      <c r="F23" s="4" t="n">
        <f aca="false">Assumptions!F16</f>
        <v>0.65</v>
      </c>
      <c r="G23" s="4" t="n">
        <f aca="false">Assumptions!G16</f>
        <v>0.65</v>
      </c>
      <c r="H23" s="4" t="n">
        <f aca="false">Assumptions!H16</f>
        <v>0.65</v>
      </c>
      <c r="I23" s="4" t="n">
        <f aca="false">Assumptions!I16</f>
        <v>0.65</v>
      </c>
      <c r="J23" s="4" t="n">
        <f aca="false">Assumptions!J16</f>
        <v>0.65</v>
      </c>
      <c r="K23" s="4" t="n">
        <f aca="false">Assumptions!K16</f>
        <v>0.65</v>
      </c>
      <c r="L23" s="4" t="n">
        <f aca="false">Assumptions!L16</f>
        <v>0.65</v>
      </c>
    </row>
    <row r="24" customFormat="false" ht="15" hidden="false" customHeight="false" outlineLevel="0" collapsed="false">
      <c r="A24" s="0" t="s">
        <v>131</v>
      </c>
      <c r="C24" s="0" t="n">
        <f aca="false">-C6*C23/100</f>
        <v>-4647.7456155</v>
      </c>
      <c r="D24" s="0" t="n">
        <f aca="false">-D6*D23/100</f>
        <v>-4485.0745189575</v>
      </c>
      <c r="E24" s="0" t="n">
        <f aca="false">-E6*E23/100</f>
        <v>-4032.08199254279</v>
      </c>
      <c r="F24" s="0" t="n">
        <f aca="false">-F6*F23/100</f>
        <v>-3705.48335114683</v>
      </c>
      <c r="G24" s="0" t="n">
        <f aca="false">-G6*G23/100</f>
        <v>-3542.44208369637</v>
      </c>
      <c r="H24" s="0" t="n">
        <f aca="false">-H6*H23/100</f>
        <v>-3510.5601049431</v>
      </c>
      <c r="I24" s="0" t="n">
        <f aca="false">-I6*I23/100</f>
        <v>-3542.15514588759</v>
      </c>
      <c r="J24" s="0" t="n">
        <f aca="false">-J6*J23/100</f>
        <v>-3574.03454220058</v>
      </c>
      <c r="K24" s="0" t="n">
        <f aca="false">-K6*K23/100</f>
        <v>-3606.20085308038</v>
      </c>
      <c r="L24" s="0" t="n">
        <f aca="false">-L6*L23/100</f>
        <v>-3638.6566607581</v>
      </c>
    </row>
    <row r="26" customFormat="false" ht="15" hidden="false" customHeight="false" outlineLevel="0" collapsed="false">
      <c r="A26" s="2" t="s">
        <v>132</v>
      </c>
    </row>
    <row r="27" customFormat="false" ht="15" hidden="false" customHeight="false" outlineLevel="0" collapsed="false">
      <c r="A27" s="0" t="s">
        <v>110</v>
      </c>
      <c r="B27" s="4" t="n">
        <f aca="false">Assumptions!$B$20</f>
        <v>7</v>
      </c>
    </row>
    <row r="28" customFormat="false" ht="15" hidden="false" customHeight="false" outlineLevel="0" collapsed="false">
      <c r="A28" s="0" t="s">
        <v>111</v>
      </c>
      <c r="B28" s="4" t="n">
        <f aca="false">Assumptions!$B$21</f>
        <v>1</v>
      </c>
    </row>
    <row r="29" customFormat="false" ht="15" hidden="false" customHeight="false" outlineLevel="0" collapsed="false">
      <c r="A29" s="0" t="s">
        <v>112</v>
      </c>
      <c r="B29" s="4" t="n">
        <f aca="false">Assumptions!$B$22</f>
        <v>15</v>
      </c>
    </row>
    <row r="30" customFormat="false" ht="15" hidden="false" customHeight="false" outlineLevel="0" collapsed="false">
      <c r="A30" s="0" t="s">
        <v>133</v>
      </c>
      <c r="B30" s="0" t="n">
        <f aca="false">SUM(C21:L21)</f>
        <v>738350.79696456</v>
      </c>
    </row>
    <row r="31" customFormat="false" ht="15" hidden="false" customHeight="false" outlineLevel="0" collapsed="false">
      <c r="A31" s="0" t="s">
        <v>134</v>
      </c>
      <c r="B31" s="0" t="n">
        <f aca="false">L19</f>
        <v>77794.4871742101</v>
      </c>
    </row>
    <row r="32" customFormat="false" ht="15" hidden="false" customHeight="false" outlineLevel="0" collapsed="false">
      <c r="A32" s="0" t="s">
        <v>135</v>
      </c>
      <c r="B32" s="0" t="n">
        <f aca="false">IF(B27&gt;B28,B31*(1+B28/100)/((B27-B28)/100),B31*B29)</f>
        <v>1309540.5340992</v>
      </c>
    </row>
    <row r="33" customFormat="false" ht="15" hidden="false" customHeight="false" outlineLevel="0" collapsed="false">
      <c r="A33" s="0" t="s">
        <v>136</v>
      </c>
      <c r="B33" s="0" t="n">
        <f aca="false">B31*B29</f>
        <v>1166917.30761315</v>
      </c>
    </row>
    <row r="34" customFormat="false" ht="15" hidden="false" customHeight="false" outlineLevel="0" collapsed="false">
      <c r="A34" s="0" t="s">
        <v>137</v>
      </c>
      <c r="B34" s="0" t="n">
        <f aca="false">MAX(0,MIN(B32,B33))</f>
        <v>1166917.30761315</v>
      </c>
    </row>
    <row r="35" customFormat="false" ht="15" hidden="false" customHeight="false" outlineLevel="0" collapsed="false">
      <c r="A35" s="0" t="s">
        <v>138</v>
      </c>
      <c r="B35" s="0" t="n">
        <f aca="false">B34/(1+B27/100)^L4</f>
        <v>593201.587304896</v>
      </c>
    </row>
    <row r="36" customFormat="false" ht="15" hidden="false" customHeight="false" outlineLevel="0" collapsed="false">
      <c r="A36" s="0" t="s">
        <v>139</v>
      </c>
      <c r="B36" s="0" t="n">
        <f aca="false">B30+B35</f>
        <v>1331552.38426946</v>
      </c>
    </row>
    <row r="37" customFormat="false" ht="15" hidden="false" customHeight="false" outlineLevel="0" collapsed="false">
      <c r="A37" s="0" t="s">
        <v>140</v>
      </c>
      <c r="B37" s="0" t="n">
        <f aca="false">B36+Assumptions!$B$5-Assumptions!$B$4</f>
        <v>2088843.38426946</v>
      </c>
    </row>
    <row r="38" customFormat="false" ht="15" hidden="false" customHeight="false" outlineLevel="0" collapsed="false">
      <c r="A38" s="0" t="s">
        <v>141</v>
      </c>
      <c r="B38" s="0" t="n">
        <f aca="false">B37/Assumptions!$B$3*Assumptions!$B$10</f>
        <v>2453.42187487603</v>
      </c>
    </row>
    <row r="39" customFormat="false" ht="15" hidden="false" customHeight="false" outlineLevel="0" collapsed="false">
      <c r="A39" s="0" t="s">
        <v>142</v>
      </c>
      <c r="B39" s="4" t="n">
        <f aca="false">B38/Assumptions!$B$2-1</f>
        <v>-0.185450904755633</v>
      </c>
    </row>
    <row r="41" customFormat="false" ht="15" hidden="false" customHeight="false" outlineLevel="0" collapsed="false">
      <c r="A41" s="0" t="s">
        <v>143</v>
      </c>
      <c r="B41" s="0" t="n">
        <f aca="false">SUMPRODUCT(-C10:L10/(1+$B$27/100)^C4:L4)</f>
        <v>2944.47861478205</v>
      </c>
    </row>
    <row r="42" customFormat="false" ht="15" hidden="false" customHeight="false" outlineLevel="0" collapsed="false">
      <c r="A42" s="0" t="s">
        <v>144</v>
      </c>
      <c r="B42" s="0" t="n">
        <f aca="false">IF(B27&gt;B28,-L10*(1+B28/100)/((B27-B28)/100),-L10*20)/(1+B27/100)^L4</f>
        <v>3353.18958009509</v>
      </c>
    </row>
    <row r="43" customFormat="false" ht="15" hidden="false" customHeight="false" outlineLevel="0" collapsed="false">
      <c r="A43" s="0" t="s">
        <v>145</v>
      </c>
      <c r="B43" s="0" t="n">
        <f aca="false">(B37+B41+B42)/Assumptions!$B$3*Assumptions!$B$10</f>
        <v>2460.81871325386</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561231.657471087</v>
      </c>
    </row>
    <row r="47" customFormat="false" ht="15" hidden="false" customHeight="false" outlineLevel="0" collapsed="false">
      <c r="A47" s="0" t="s">
        <v>147</v>
      </c>
      <c r="B47" s="0" t="n">
        <f aca="false">(SUMPRODUCT(C19:L19/(1+B45/100)^C4:L4)+B46/(1+B45/100)^L4+Assumptions!$B$5-Assumptions!$B$4)/Assumptions!$B$3*Assumptions!$B$10</f>
        <v>1710.66660396795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Assumptions!C27</f>
        <v>44.1</v>
      </c>
      <c r="D5" s="4" t="n">
        <f aca="false">Assumptions!D27</f>
        <v>4.2</v>
      </c>
      <c r="E5" s="4" t="n">
        <f aca="false">Assumptions!E27</f>
        <v>-6</v>
      </c>
      <c r="F5" s="4" t="n">
        <f aca="false">Assumptions!F27</f>
        <v>-7.8</v>
      </c>
      <c r="G5" s="4" t="n">
        <f aca="false">Assumptions!G27</f>
        <v>-3.1</v>
      </c>
      <c r="H5" s="4" t="n">
        <f aca="false">Assumptions!H27</f>
        <v>1.6</v>
      </c>
      <c r="I5" s="4" t="n">
        <f aca="false">Assumptions!I27</f>
        <v>2.3</v>
      </c>
      <c r="J5" s="4" t="n">
        <f aca="false">Assumptions!J27</f>
        <v>2.3</v>
      </c>
      <c r="K5" s="4" t="n">
        <f aca="false">Assumptions!K27</f>
        <v>2.2</v>
      </c>
      <c r="L5" s="4" t="n">
        <f aca="false">Assumptions!L27</f>
        <v>2.2</v>
      </c>
    </row>
    <row r="6" customFormat="false" ht="15" hidden="false" customHeight="false" outlineLevel="0" collapsed="false">
      <c r="A6" s="0" t="s">
        <v>37</v>
      </c>
      <c r="B6" s="3" t="n">
        <v>499677</v>
      </c>
      <c r="C6" s="0" t="n">
        <f aca="false">B6*(1+C5/100)</f>
        <v>720034.557</v>
      </c>
      <c r="D6" s="0" t="n">
        <f aca="false">C6*(1+D5/100)</f>
        <v>750276.008394</v>
      </c>
      <c r="E6" s="0" t="n">
        <f aca="false">D6*(1+E5/100)</f>
        <v>705259.44789036</v>
      </c>
      <c r="F6" s="0" t="n">
        <f aca="false">E6*(1+F5/100)</f>
        <v>650249.210954912</v>
      </c>
      <c r="G6" s="0" t="n">
        <f aca="false">F6*(1+G5/100)</f>
        <v>630091.48541531</v>
      </c>
      <c r="H6" s="0" t="n">
        <f aca="false">G6*(1+H5/100)</f>
        <v>640172.949181955</v>
      </c>
      <c r="I6" s="0" t="n">
        <f aca="false">H6*(1+I5/100)</f>
        <v>654896.927013139</v>
      </c>
      <c r="J6" s="0" t="n">
        <f aca="false">I6*(1+J5/100)</f>
        <v>669959.556334442</v>
      </c>
      <c r="K6" s="0" t="n">
        <f aca="false">J6*(1+K5/100)</f>
        <v>684698.666573799</v>
      </c>
      <c r="L6" s="0" t="n">
        <f aca="false">K6*(1+L5/100)</f>
        <v>699762.037238423</v>
      </c>
    </row>
    <row r="7" customFormat="false" ht="15" hidden="false" customHeight="false" outlineLevel="0" collapsed="false">
      <c r="A7" s="0" t="s">
        <v>104</v>
      </c>
      <c r="C7" s="4" t="n">
        <f aca="false">Assumptions!C28</f>
        <v>38.5</v>
      </c>
      <c r="D7" s="4" t="n">
        <f aca="false">Assumptions!D28</f>
        <v>39</v>
      </c>
      <c r="E7" s="4" t="n">
        <f aca="false">Assumptions!E28</f>
        <v>36</v>
      </c>
      <c r="F7" s="4" t="n">
        <f aca="false">Assumptions!F28</f>
        <v>32.5</v>
      </c>
      <c r="G7" s="4" t="n">
        <f aca="false">Assumptions!G28</f>
        <v>30.5</v>
      </c>
      <c r="H7" s="4" t="n">
        <f aca="false">Assumptions!H28</f>
        <v>30.5</v>
      </c>
      <c r="I7" s="4" t="n">
        <f aca="false">Assumptions!I28</f>
        <v>31</v>
      </c>
      <c r="J7" s="4" t="n">
        <f aca="false">Assumptions!J28</f>
        <v>31.5</v>
      </c>
      <c r="K7" s="4" t="n">
        <f aca="false">Assumptions!K28</f>
        <v>32</v>
      </c>
      <c r="L7" s="4" t="n">
        <f aca="false">Assumptions!L28</f>
        <v>32.5</v>
      </c>
    </row>
    <row r="8" customFormat="false" ht="15" hidden="false" customHeight="false" outlineLevel="0" collapsed="false">
      <c r="A8" s="0" t="s">
        <v>43</v>
      </c>
      <c r="C8" s="0" t="n">
        <f aca="false">C6*C7/100</f>
        <v>277213.304445</v>
      </c>
      <c r="D8" s="0" t="n">
        <f aca="false">D6*D7/100</f>
        <v>292607.64327366</v>
      </c>
      <c r="E8" s="0" t="n">
        <f aca="false">E6*E7/100</f>
        <v>253893.40124053</v>
      </c>
      <c r="F8" s="0" t="n">
        <f aca="false">F6*F7/100</f>
        <v>211330.993560346</v>
      </c>
      <c r="G8" s="0" t="n">
        <f aca="false">G6*G7/100</f>
        <v>192177.903051669</v>
      </c>
      <c r="H8" s="0" t="n">
        <f aca="false">H6*H7/100</f>
        <v>195252.749500496</v>
      </c>
      <c r="I8" s="0" t="n">
        <f aca="false">I6*I7/100</f>
        <v>203018.047374073</v>
      </c>
      <c r="J8" s="0" t="n">
        <f aca="false">J6*J7/100</f>
        <v>211037.260245349</v>
      </c>
      <c r="K8" s="0" t="n">
        <f aca="false">K6*K7/100</f>
        <v>219103.573303616</v>
      </c>
      <c r="L8" s="0" t="n">
        <f aca="false">L6*L7/100</f>
        <v>227422.662102487</v>
      </c>
    </row>
    <row r="9" customFormat="false" ht="15" hidden="false" customHeight="false" outlineLevel="0" collapsed="false">
      <c r="A9" s="0" t="s">
        <v>105</v>
      </c>
      <c r="C9" s="4" t="n">
        <f aca="false">Assumptions!C29</f>
        <v>0.07</v>
      </c>
      <c r="D9" s="4" t="n">
        <f aca="false">Assumptions!D29</f>
        <v>0.07</v>
      </c>
      <c r="E9" s="4" t="n">
        <f aca="false">Assumptions!E29</f>
        <v>0.07</v>
      </c>
      <c r="F9" s="4" t="n">
        <f aca="false">Assumptions!F29</f>
        <v>0.07</v>
      </c>
      <c r="G9" s="4" t="n">
        <f aca="false">Assumptions!G29</f>
        <v>0.07</v>
      </c>
      <c r="H9" s="4" t="n">
        <f aca="false">Assumptions!H29</f>
        <v>0.07</v>
      </c>
      <c r="I9" s="4" t="n">
        <f aca="false">Assumptions!I29</f>
        <v>0.07</v>
      </c>
      <c r="J9" s="4" t="n">
        <f aca="false">Assumptions!J29</f>
        <v>0.07</v>
      </c>
      <c r="K9" s="4" t="n">
        <f aca="false">Assumptions!K29</f>
        <v>0.07</v>
      </c>
      <c r="L9" s="4" t="n">
        <f aca="false">Assumptions!L29</f>
        <v>0.07</v>
      </c>
    </row>
    <row r="10" customFormat="false" ht="15" hidden="false" customHeight="false" outlineLevel="0" collapsed="false">
      <c r="A10" s="0" t="s">
        <v>120</v>
      </c>
      <c r="C10" s="0" t="n">
        <f aca="false">-C6*C9/100</f>
        <v>-504.0241899</v>
      </c>
      <c r="D10" s="0" t="n">
        <f aca="false">-D6*D9/100</f>
        <v>-525.1932058758</v>
      </c>
      <c r="E10" s="0" t="n">
        <f aca="false">-E6*E9/100</f>
        <v>-493.681613523252</v>
      </c>
      <c r="F10" s="0" t="n">
        <f aca="false">-F6*F9/100</f>
        <v>-455.174447668438</v>
      </c>
      <c r="G10" s="0" t="n">
        <f aca="false">-G6*G9/100</f>
        <v>-441.064039790717</v>
      </c>
      <c r="H10" s="0" t="n">
        <f aca="false">-H6*H9/100</f>
        <v>-448.121064427368</v>
      </c>
      <c r="I10" s="0" t="n">
        <f aca="false">-I6*I9/100</f>
        <v>-458.427848909198</v>
      </c>
      <c r="J10" s="0" t="n">
        <f aca="false">-J6*J9/100</f>
        <v>-468.971689434109</v>
      </c>
      <c r="K10" s="0" t="n">
        <f aca="false">-K6*K9/100</f>
        <v>-479.28906660166</v>
      </c>
      <c r="L10" s="0" t="n">
        <f aca="false">-L6*L9/100</f>
        <v>-489.833426066896</v>
      </c>
    </row>
    <row r="11" customFormat="false" ht="15" hidden="false" customHeight="false" outlineLevel="0" collapsed="false">
      <c r="A11" s="0" t="s">
        <v>121</v>
      </c>
      <c r="C11" s="0" t="n">
        <f aca="false">C8+C10+C24</f>
        <v>272029.0556346</v>
      </c>
      <c r="D11" s="0" t="n">
        <f aca="false">D8+D10+D24</f>
        <v>287205.656013223</v>
      </c>
      <c r="E11" s="0" t="n">
        <f aca="false">E8+E10+E24</f>
        <v>248815.533215719</v>
      </c>
      <c r="F11" s="0" t="n">
        <f aca="false">F8+F10+F24</f>
        <v>206649.199241471</v>
      </c>
      <c r="G11" s="0" t="n">
        <f aca="false">G8+G10+G24</f>
        <v>187641.244356679</v>
      </c>
      <c r="H11" s="0" t="n">
        <f aca="false">H8+H10+H24</f>
        <v>190643.504266386</v>
      </c>
      <c r="I11" s="0" t="n">
        <f aca="false">I8+I10+I24</f>
        <v>198302.789499579</v>
      </c>
      <c r="J11" s="0" t="n">
        <f aca="false">J8+J10+J24</f>
        <v>206213.551439741</v>
      </c>
      <c r="K11" s="0" t="n">
        <f aca="false">K8+K10+K24</f>
        <v>214173.742904284</v>
      </c>
      <c r="L11" s="0" t="n">
        <f aca="false">L8+L10+L24</f>
        <v>222384.375434371</v>
      </c>
    </row>
    <row r="12" customFormat="false" ht="15" hidden="false" customHeight="false" outlineLevel="0" collapsed="false">
      <c r="A12" s="0" t="s">
        <v>122</v>
      </c>
      <c r="C12" s="4" t="n">
        <f aca="false">-C6*Assumptions!C31/100</f>
        <v>-86404.14684</v>
      </c>
      <c r="D12" s="4" t="n">
        <f aca="false">-D6*Assumptions!D31/100</f>
        <v>-86281.74096531</v>
      </c>
      <c r="E12" s="4" t="n">
        <f aca="false">-E6*Assumptions!E31/100</f>
        <v>-77578.5392679396</v>
      </c>
      <c r="F12" s="4" t="n">
        <f aca="false">-F6*Assumptions!F31/100</f>
        <v>-65024.9210954912</v>
      </c>
      <c r="G12" s="4" t="n">
        <f aca="false">-G6*Assumptions!G31/100</f>
        <v>-56708.2336873779</v>
      </c>
      <c r="H12" s="4" t="n">
        <f aca="false">-H6*Assumptions!H31/100</f>
        <v>-51213.8359345564</v>
      </c>
      <c r="I12" s="4" t="n">
        <f aca="false">-I6*Assumptions!I31/100</f>
        <v>-45842.7848909198</v>
      </c>
      <c r="J12" s="4" t="n">
        <f aca="false">-J6*Assumptions!J31/100</f>
        <v>-43547.3711617387</v>
      </c>
      <c r="K12" s="4" t="n">
        <f aca="false">-K6*Assumptions!K31/100</f>
        <v>-41081.919994428</v>
      </c>
      <c r="L12" s="4" t="n">
        <f aca="false">-L6*Assumptions!L31/100</f>
        <v>-41985.7222343054</v>
      </c>
    </row>
    <row r="13" customFormat="false" ht="15" hidden="false" customHeight="false" outlineLevel="0" collapsed="false">
      <c r="A13" s="0" t="s">
        <v>123</v>
      </c>
      <c r="C13" s="0" t="n">
        <f aca="false">C11+C12</f>
        <v>185624.9087946</v>
      </c>
      <c r="D13" s="0" t="n">
        <f aca="false">D11+D12</f>
        <v>200923.915047913</v>
      </c>
      <c r="E13" s="0" t="n">
        <f aca="false">E11+E12</f>
        <v>171236.993947779</v>
      </c>
      <c r="F13" s="0" t="n">
        <f aca="false">F11+F12</f>
        <v>141624.27814598</v>
      </c>
      <c r="G13" s="0" t="n">
        <f aca="false">G11+G12</f>
        <v>130933.010669301</v>
      </c>
      <c r="H13" s="0" t="n">
        <f aca="false">H11+H12</f>
        <v>139429.66833183</v>
      </c>
      <c r="I13" s="0" t="n">
        <f aca="false">I11+I12</f>
        <v>152460.004608659</v>
      </c>
      <c r="J13" s="0" t="n">
        <f aca="false">J11+J12</f>
        <v>162666.180278002</v>
      </c>
      <c r="K13" s="0" t="n">
        <f aca="false">K11+K12</f>
        <v>173091.822909856</v>
      </c>
      <c r="L13" s="0" t="n">
        <f aca="false">L11+L12</f>
        <v>180398.653200065</v>
      </c>
    </row>
    <row r="14" customFormat="false" ht="15" hidden="false" customHeight="false" outlineLevel="0" collapsed="false">
      <c r="A14" s="0" t="s">
        <v>109</v>
      </c>
      <c r="C14" s="4" t="n">
        <f aca="false">Assumptions!C33</f>
        <v>25</v>
      </c>
      <c r="D14" s="4" t="n">
        <f aca="false">Assumptions!D33</f>
        <v>26</v>
      </c>
      <c r="E14" s="4" t="n">
        <f aca="false">Assumptions!E33</f>
        <v>27</v>
      </c>
      <c r="F14" s="4" t="n">
        <f aca="false">Assumptions!F33</f>
        <v>28</v>
      </c>
      <c r="G14" s="4" t="n">
        <f aca="false">Assumptions!G33</f>
        <v>28</v>
      </c>
      <c r="H14" s="4" t="n">
        <f aca="false">Assumptions!H33</f>
        <v>28</v>
      </c>
      <c r="I14" s="4" t="n">
        <f aca="false">Assumptions!I33</f>
        <v>28</v>
      </c>
      <c r="J14" s="4" t="n">
        <f aca="false">Assumptions!J33</f>
        <v>28</v>
      </c>
      <c r="K14" s="4" t="n">
        <f aca="false">Assumptions!K33</f>
        <v>28</v>
      </c>
      <c r="L14" s="4" t="n">
        <f aca="false">Assumptions!L33</f>
        <v>28</v>
      </c>
    </row>
    <row r="15" customFormat="false" ht="15" hidden="false" customHeight="false" outlineLevel="0" collapsed="false">
      <c r="A15" s="0" t="s">
        <v>124</v>
      </c>
      <c r="C15" s="0" t="n">
        <f aca="false">C13-MAX(0,C13)*C14/100</f>
        <v>139218.68159595</v>
      </c>
      <c r="D15" s="0" t="n">
        <f aca="false">D13-MAX(0,D13)*D14/100</f>
        <v>148683.697135456</v>
      </c>
      <c r="E15" s="0" t="n">
        <f aca="false">E13-MAX(0,E13)*E14/100</f>
        <v>125003.005581879</v>
      </c>
      <c r="F15" s="0" t="n">
        <f aca="false">F13-MAX(0,F13)*F14/100</f>
        <v>101969.480265105</v>
      </c>
      <c r="G15" s="0" t="n">
        <f aca="false">G13-MAX(0,G13)*G14/100</f>
        <v>94271.767681897</v>
      </c>
      <c r="H15" s="0" t="n">
        <f aca="false">H13-MAX(0,H13)*H14/100</f>
        <v>100389.361198917</v>
      </c>
      <c r="I15" s="0" t="n">
        <f aca="false">I13-MAX(0,I13)*I14/100</f>
        <v>109771.203318234</v>
      </c>
      <c r="J15" s="0" t="n">
        <f aca="false">J13-MAX(0,J13)*J14/100</f>
        <v>117119.649800162</v>
      </c>
      <c r="K15" s="0" t="n">
        <f aca="false">K13-MAX(0,K13)*K14/100</f>
        <v>124626.112495097</v>
      </c>
      <c r="L15" s="0" t="n">
        <f aca="false">L13-MAX(0,L13)*L14/100</f>
        <v>129887.030304047</v>
      </c>
    </row>
    <row r="16" customFormat="false" ht="15" hidden="false" customHeight="false" outlineLevel="0" collapsed="false">
      <c r="A16" s="0" t="s">
        <v>125</v>
      </c>
      <c r="C16" s="0" t="n">
        <f aca="false">-C12</f>
        <v>86404.14684</v>
      </c>
      <c r="D16" s="0" t="n">
        <f aca="false">-D12</f>
        <v>86281.74096531</v>
      </c>
      <c r="E16" s="0" t="n">
        <f aca="false">-E12</f>
        <v>77578.5392679396</v>
      </c>
      <c r="F16" s="0" t="n">
        <f aca="false">-F12</f>
        <v>65024.9210954912</v>
      </c>
      <c r="G16" s="0" t="n">
        <f aca="false">-G12</f>
        <v>56708.2336873779</v>
      </c>
      <c r="H16" s="0" t="n">
        <f aca="false">-H12</f>
        <v>51213.8359345564</v>
      </c>
      <c r="I16" s="0" t="n">
        <f aca="false">-I12</f>
        <v>45842.7848909198</v>
      </c>
      <c r="J16" s="0" t="n">
        <f aca="false">-J12</f>
        <v>43547.3711617387</v>
      </c>
      <c r="K16" s="0" t="n">
        <f aca="false">-K12</f>
        <v>41081.919994428</v>
      </c>
      <c r="L16" s="0" t="n">
        <f aca="false">-L12</f>
        <v>41985.7222343054</v>
      </c>
    </row>
    <row r="17" customFormat="false" ht="15" hidden="false" customHeight="false" outlineLevel="0" collapsed="false">
      <c r="A17" s="0" t="s">
        <v>126</v>
      </c>
      <c r="C17" s="4" t="n">
        <f aca="false">-C6*Assumptions!C32/100</f>
        <v>-36001.72785</v>
      </c>
      <c r="D17" s="4" t="n">
        <f aca="false">-D6*Assumptions!D32/100</f>
        <v>-37513.8004197</v>
      </c>
      <c r="E17" s="4" t="n">
        <f aca="false">-E6*Assumptions!E32/100</f>
        <v>-35262.972394518</v>
      </c>
      <c r="F17" s="4" t="n">
        <f aca="false">-F6*Assumptions!F32/100</f>
        <v>-32512.4605477456</v>
      </c>
      <c r="G17" s="4" t="n">
        <f aca="false">-G6*Assumptions!G32/100</f>
        <v>-30244.3912999349</v>
      </c>
      <c r="H17" s="4" t="n">
        <f aca="false">-H6*Assumptions!H32/100</f>
        <v>-29447.9556623699</v>
      </c>
      <c r="I17" s="4" t="n">
        <f aca="false">-I6*Assumptions!I32/100</f>
        <v>-29470.3617155913</v>
      </c>
      <c r="J17" s="4" t="n">
        <f aca="false">-J6*Assumptions!J32/100</f>
        <v>-30148.1800350499</v>
      </c>
      <c r="K17" s="4" t="n">
        <f aca="false">-K6*Assumptions!K32/100</f>
        <v>-30811.439995821</v>
      </c>
      <c r="L17" s="4" t="n">
        <f aca="false">-L6*Assumptions!L32/100</f>
        <v>-31489.291675729</v>
      </c>
    </row>
    <row r="18" customFormat="false" ht="15" hidden="false" customHeight="false" outlineLevel="0" collapsed="false">
      <c r="A18" s="0" t="s">
        <v>127</v>
      </c>
      <c r="C18" s="4" t="n">
        <f aca="false">(C6-B6)*Assumptions!$B$37/100</f>
        <v>-11017.87785</v>
      </c>
      <c r="D18" s="4" t="n">
        <f aca="false">(D6-C6)*Assumptions!$B$37/100</f>
        <v>-1512.0725697</v>
      </c>
      <c r="E18" s="4" t="n">
        <f aca="false">(E6-D6)*Assumptions!$B$37/100</f>
        <v>2250.828025182</v>
      </c>
      <c r="F18" s="4" t="n">
        <f aca="false">(F6-E6)*Assumptions!$B$37/100</f>
        <v>2750.5118467724</v>
      </c>
      <c r="G18" s="4" t="n">
        <f aca="false">(G6-F6)*Assumptions!$B$37/100</f>
        <v>1007.88627698012</v>
      </c>
      <c r="H18" s="4" t="n">
        <f aca="false">(H6-G6)*Assumptions!$B$37/100</f>
        <v>-504.073188332247</v>
      </c>
      <c r="I18" s="4" t="n">
        <f aca="false">(I6-H6)*Assumptions!$B$37/100</f>
        <v>-736.198891559243</v>
      </c>
      <c r="J18" s="4" t="n">
        <f aca="false">(J6-I6)*Assumptions!$B$37/100</f>
        <v>-753.131466065109</v>
      </c>
      <c r="K18" s="4" t="n">
        <f aca="false">(K6-J6)*Assumptions!$B$37/100</f>
        <v>-736.955511967884</v>
      </c>
      <c r="L18" s="4" t="n">
        <f aca="false">(L6-K6)*Assumptions!$B$37/100</f>
        <v>-753.168533231178</v>
      </c>
    </row>
    <row r="19" customFormat="false" ht="15" hidden="false" customHeight="false" outlineLevel="0" collapsed="false">
      <c r="A19" s="0" t="s">
        <v>128</v>
      </c>
      <c r="C19" s="0" t="n">
        <f aca="false">C15+C16+C17+C18</f>
        <v>178603.22273595</v>
      </c>
      <c r="D19" s="0" t="n">
        <f aca="false">D15+D16+D17+D18</f>
        <v>195939.565111366</v>
      </c>
      <c r="E19" s="0" t="n">
        <f aca="false">E15+E16+E17+E18</f>
        <v>169569.400480483</v>
      </c>
      <c r="F19" s="0" t="n">
        <f aca="false">F15+F16+F17+F18</f>
        <v>137232.452659623</v>
      </c>
      <c r="G19" s="0" t="n">
        <f aca="false">G15+G16+G17+G18</f>
        <v>121743.49634632</v>
      </c>
      <c r="H19" s="0" t="n">
        <f aca="false">H15+H16+H17+H18</f>
        <v>121651.168282772</v>
      </c>
      <c r="I19" s="0" t="n">
        <f aca="false">I15+I16+I17+I18</f>
        <v>125407.427602004</v>
      </c>
      <c r="J19" s="0" t="n">
        <f aca="false">J15+J16+J17+J18</f>
        <v>129765.709460785</v>
      </c>
      <c r="K19" s="0" t="n">
        <f aca="false">K15+K16+K17+K18</f>
        <v>134159.636981736</v>
      </c>
      <c r="L19" s="0" t="n">
        <f aca="false">L15+L16+L17+L18</f>
        <v>139630.292329392</v>
      </c>
    </row>
    <row r="20" customFormat="false" ht="15" hidden="false" customHeight="false" outlineLevel="0" collapsed="false">
      <c r="A20" s="0" t="s">
        <v>129</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130</v>
      </c>
      <c r="C21" s="0" t="n">
        <f aca="false">C19*C20</f>
        <v>166918.899753224</v>
      </c>
      <c r="D21" s="0" t="n">
        <f aca="false">D19*D20</f>
        <v>171141.204569277</v>
      </c>
      <c r="E21" s="0" t="n">
        <f aca="false">E19*E20</f>
        <v>138419.141597873</v>
      </c>
      <c r="F21" s="0" t="n">
        <f aca="false">F19*F20</f>
        <v>104693.981071565</v>
      </c>
      <c r="G21" s="0" t="n">
        <f aca="false">G19*G20</f>
        <v>86801.4303369467</v>
      </c>
      <c r="H21" s="0" t="n">
        <f aca="false">H19*H20</f>
        <v>81061.3100034188</v>
      </c>
      <c r="I21" s="0" t="n">
        <f aca="false">I19*I20</f>
        <v>78097.4431695583</v>
      </c>
      <c r="J21" s="0" t="n">
        <f aca="false">J19*J20</f>
        <v>75524.8243665186</v>
      </c>
      <c r="K21" s="0" t="n">
        <f aca="false">K19*K20</f>
        <v>72973.9534472062</v>
      </c>
      <c r="L21" s="0" t="n">
        <f aca="false">L19*L20</f>
        <v>70980.9602662102</v>
      </c>
    </row>
    <row r="23" customFormat="false" ht="15" hidden="false" customHeight="false" outlineLevel="0" collapsed="false">
      <c r="A23" s="0" t="s">
        <v>106</v>
      </c>
      <c r="C23" s="4" t="n">
        <f aca="false">Assumptions!C30</f>
        <v>0.65</v>
      </c>
      <c r="D23" s="4" t="n">
        <f aca="false">Assumptions!D30</f>
        <v>0.65</v>
      </c>
      <c r="E23" s="4" t="n">
        <f aca="false">Assumptions!E30</f>
        <v>0.65</v>
      </c>
      <c r="F23" s="4" t="n">
        <f aca="false">Assumptions!F30</f>
        <v>0.65</v>
      </c>
      <c r="G23" s="4" t="n">
        <f aca="false">Assumptions!G30</f>
        <v>0.65</v>
      </c>
      <c r="H23" s="4" t="n">
        <f aca="false">Assumptions!H30</f>
        <v>0.65</v>
      </c>
      <c r="I23" s="4" t="n">
        <f aca="false">Assumptions!I30</f>
        <v>0.65</v>
      </c>
      <c r="J23" s="4" t="n">
        <f aca="false">Assumptions!J30</f>
        <v>0.65</v>
      </c>
      <c r="K23" s="4" t="n">
        <f aca="false">Assumptions!K30</f>
        <v>0.65</v>
      </c>
      <c r="L23" s="4" t="n">
        <f aca="false">Assumptions!L30</f>
        <v>0.65</v>
      </c>
    </row>
    <row r="24" customFormat="false" ht="15" hidden="false" customHeight="false" outlineLevel="0" collapsed="false">
      <c r="A24" s="0" t="s">
        <v>131</v>
      </c>
      <c r="C24" s="0" t="n">
        <f aca="false">-C6*C23/100</f>
        <v>-4680.2246205</v>
      </c>
      <c r="D24" s="0" t="n">
        <f aca="false">-D6*D23/100</f>
        <v>-4876.794054561</v>
      </c>
      <c r="E24" s="0" t="n">
        <f aca="false">-E6*E23/100</f>
        <v>-4584.18641128734</v>
      </c>
      <c r="F24" s="0" t="n">
        <f aca="false">-F6*F23/100</f>
        <v>-4226.61987120693</v>
      </c>
      <c r="G24" s="0" t="n">
        <f aca="false">-G6*G23/100</f>
        <v>-4095.59465519951</v>
      </c>
      <c r="H24" s="0" t="n">
        <f aca="false">-H6*H23/100</f>
        <v>-4161.12416968271</v>
      </c>
      <c r="I24" s="0" t="n">
        <f aca="false">-I6*I23/100</f>
        <v>-4256.83002558541</v>
      </c>
      <c r="J24" s="0" t="n">
        <f aca="false">-J6*J23/100</f>
        <v>-4354.73711617387</v>
      </c>
      <c r="K24" s="0" t="n">
        <f aca="false">-K6*K23/100</f>
        <v>-4450.5413327297</v>
      </c>
      <c r="L24" s="0" t="n">
        <f aca="false">-L6*L23/100</f>
        <v>-4548.45324204975</v>
      </c>
    </row>
    <row r="26" customFormat="false" ht="15" hidden="false" customHeight="false" outlineLevel="0" collapsed="false">
      <c r="A26" s="2" t="s">
        <v>132</v>
      </c>
    </row>
    <row r="27" customFormat="false" ht="15" hidden="false" customHeight="false" outlineLevel="0" collapsed="false">
      <c r="A27" s="0" t="s">
        <v>110</v>
      </c>
      <c r="B27" s="4" t="n">
        <f aca="false">Assumptions!$B$34</f>
        <v>7</v>
      </c>
    </row>
    <row r="28" customFormat="false" ht="15" hidden="false" customHeight="false" outlineLevel="0" collapsed="false">
      <c r="A28" s="0" t="s">
        <v>111</v>
      </c>
      <c r="B28" s="4" t="n">
        <f aca="false">Assumptions!$B$35</f>
        <v>1</v>
      </c>
    </row>
    <row r="29" customFormat="false" ht="15" hidden="false" customHeight="false" outlineLevel="0" collapsed="false">
      <c r="A29" s="0" t="s">
        <v>112</v>
      </c>
      <c r="B29" s="4" t="n">
        <f aca="false">Assumptions!$B$36</f>
        <v>15</v>
      </c>
    </row>
    <row r="30" customFormat="false" ht="15" hidden="false" customHeight="false" outlineLevel="0" collapsed="false">
      <c r="A30" s="0" t="s">
        <v>133</v>
      </c>
      <c r="B30" s="0" t="n">
        <f aca="false">SUM(C21:L21)</f>
        <v>1046613.1485818</v>
      </c>
    </row>
    <row r="31" customFormat="false" ht="15" hidden="false" customHeight="false" outlineLevel="0" collapsed="false">
      <c r="A31" s="0" t="s">
        <v>134</v>
      </c>
      <c r="B31" s="0" t="n">
        <f aca="false">L19</f>
        <v>139630.292329392</v>
      </c>
    </row>
    <row r="32" customFormat="false" ht="15" hidden="false" customHeight="false" outlineLevel="0" collapsed="false">
      <c r="A32" s="0" t="s">
        <v>135</v>
      </c>
      <c r="B32" s="0" t="n">
        <f aca="false">IF(B27&gt;B28,B31*(1+B28/100)/((B27-B28)/100),B31*B29)</f>
        <v>2350443.25421144</v>
      </c>
    </row>
    <row r="33" customFormat="false" ht="15" hidden="false" customHeight="false" outlineLevel="0" collapsed="false">
      <c r="A33" s="0" t="s">
        <v>136</v>
      </c>
      <c r="B33" s="0" t="n">
        <f aca="false">B31*B29</f>
        <v>2094454.38494088</v>
      </c>
    </row>
    <row r="34" customFormat="false" ht="15" hidden="false" customHeight="false" outlineLevel="0" collapsed="false">
      <c r="A34" s="0" t="s">
        <v>137</v>
      </c>
      <c r="B34" s="0" t="n">
        <f aca="false">MAX(0,MIN(B32,B33))</f>
        <v>2094454.38494088</v>
      </c>
    </row>
    <row r="35" customFormat="false" ht="15" hidden="false" customHeight="false" outlineLevel="0" collapsed="false">
      <c r="A35" s="0" t="s">
        <v>138</v>
      </c>
      <c r="B35" s="0" t="n">
        <f aca="false">B34/(1+B27/100)^L4</f>
        <v>1064714.40399315</v>
      </c>
    </row>
    <row r="36" customFormat="false" ht="15" hidden="false" customHeight="false" outlineLevel="0" collapsed="false">
      <c r="A36" s="0" t="s">
        <v>139</v>
      </c>
      <c r="B36" s="0" t="n">
        <f aca="false">B30+B35</f>
        <v>2111327.55257495</v>
      </c>
    </row>
    <row r="37" customFormat="false" ht="15" hidden="false" customHeight="false" outlineLevel="0" collapsed="false">
      <c r="A37" s="0" t="s">
        <v>140</v>
      </c>
      <c r="B37" s="0" t="n">
        <f aca="false">B36+Assumptions!$B$5-Assumptions!$B$4</f>
        <v>2868618.55257495</v>
      </c>
    </row>
    <row r="38" customFormat="false" ht="15" hidden="false" customHeight="false" outlineLevel="0" collapsed="false">
      <c r="A38" s="0" t="s">
        <v>141</v>
      </c>
      <c r="B38" s="0" t="n">
        <f aca="false">B37/Assumptions!$B$3*Assumptions!$B$10</f>
        <v>3369.29592738425</v>
      </c>
    </row>
    <row r="39" customFormat="false" ht="15" hidden="false" customHeight="false" outlineLevel="0" collapsed="false">
      <c r="A39" s="0" t="s">
        <v>142</v>
      </c>
      <c r="B39" s="4" t="n">
        <f aca="false">B38/Assumptions!$B$2-1</f>
        <v>0.118624145877905</v>
      </c>
    </row>
    <row r="41" customFormat="false" ht="15" hidden="false" customHeight="false" outlineLevel="0" collapsed="false">
      <c r="A41" s="0" t="s">
        <v>143</v>
      </c>
      <c r="B41" s="0" t="n">
        <f aca="false">SUMPRODUCT(-C10:L10/(1+$B$27/100)^C4:L4)</f>
        <v>3361.23053039967</v>
      </c>
    </row>
    <row r="42" customFormat="false" ht="15" hidden="false" customHeight="false" outlineLevel="0" collapsed="false">
      <c r="A42" s="0" t="s">
        <v>144</v>
      </c>
      <c r="B42" s="0" t="n">
        <f aca="false">IF(B27&gt;B28,-L10*(1+B28/100)/((B27-B28)/100),-L10*20)/(1+B27/100)^L4</f>
        <v>4191.60900265134</v>
      </c>
    </row>
    <row r="43" customFormat="false" ht="15" hidden="false" customHeight="false" outlineLevel="0" collapsed="false">
      <c r="A43" s="0" t="s">
        <v>145</v>
      </c>
      <c r="B43" s="0" t="n">
        <f aca="false">(B37+B41+B42)/Assumptions!$B$3*Assumptions!$B$10</f>
        <v>3378.16700975805</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1007332.82323347</v>
      </c>
    </row>
    <row r="47" customFormat="false" ht="15" hidden="false" customHeight="false" outlineLevel="0" collapsed="false">
      <c r="A47" s="0" t="s">
        <v>147</v>
      </c>
      <c r="B47" s="0" t="n">
        <f aca="false">(SUMPRODUCT(C19:L19/(1+B45/100)^C4:L4)+B46/(1+B45/100)^L4+Assumptions!$B$5-Assumptions!$B$4)/Assumptions!$B$3*Assumptions!$B$10</f>
        <v>2084.85994438619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Assumptions!C41</f>
        <v>45.1</v>
      </c>
      <c r="D5" s="4" t="n">
        <f aca="false">Assumptions!D41</f>
        <v>6.9</v>
      </c>
      <c r="E5" s="4" t="n">
        <f aca="false">Assumptions!E41</f>
        <v>-1.9</v>
      </c>
      <c r="F5" s="4" t="n">
        <f aca="false">Assumptions!F41</f>
        <v>-3.9</v>
      </c>
      <c r="G5" s="4" t="n">
        <f aca="false">Assumptions!G41</f>
        <v>-0.7</v>
      </c>
      <c r="H5" s="4" t="n">
        <f aca="false">Assumptions!H41</f>
        <v>2.8</v>
      </c>
      <c r="I5" s="4" t="n">
        <f aca="false">Assumptions!I41</f>
        <v>2.7</v>
      </c>
      <c r="J5" s="4" t="n">
        <f aca="false">Assumptions!J41</f>
        <v>2.6</v>
      </c>
      <c r="K5" s="4" t="n">
        <f aca="false">Assumptions!K41</f>
        <v>2.5</v>
      </c>
      <c r="L5" s="4" t="n">
        <f aca="false">Assumptions!L41</f>
        <v>2.5</v>
      </c>
    </row>
    <row r="6" customFormat="false" ht="15" hidden="false" customHeight="false" outlineLevel="0" collapsed="false">
      <c r="A6" s="0" t="s">
        <v>37</v>
      </c>
      <c r="B6" s="3" t="n">
        <v>499677</v>
      </c>
      <c r="C6" s="0" t="n">
        <f aca="false">B6*(1+C5/100)</f>
        <v>725031.327</v>
      </c>
      <c r="D6" s="0" t="n">
        <f aca="false">C6*(1+D5/100)</f>
        <v>775058.488563</v>
      </c>
      <c r="E6" s="0" t="n">
        <f aca="false">D6*(1+E5/100)</f>
        <v>760332.377280303</v>
      </c>
      <c r="F6" s="0" t="n">
        <f aca="false">E6*(1+F5/100)</f>
        <v>730679.414566371</v>
      </c>
      <c r="G6" s="0" t="n">
        <f aca="false">F6*(1+G5/100)</f>
        <v>725564.658664407</v>
      </c>
      <c r="H6" s="0" t="n">
        <f aca="false">G6*(1+H5/100)</f>
        <v>745880.46910701</v>
      </c>
      <c r="I6" s="0" t="n">
        <f aca="false">H6*(1+I5/100)</f>
        <v>766019.241772899</v>
      </c>
      <c r="J6" s="0" t="n">
        <f aca="false">I6*(1+J5/100)</f>
        <v>785935.742058995</v>
      </c>
      <c r="K6" s="0" t="n">
        <f aca="false">J6*(1+K5/100)</f>
        <v>805584.135610469</v>
      </c>
      <c r="L6" s="0" t="n">
        <f aca="false">K6*(1+L5/100)</f>
        <v>825723.739000731</v>
      </c>
    </row>
    <row r="7" customFormat="false" ht="15" hidden="false" customHeight="false" outlineLevel="0" collapsed="false">
      <c r="A7" s="0" t="s">
        <v>104</v>
      </c>
      <c r="C7" s="4" t="n">
        <f aca="false">Assumptions!C42</f>
        <v>39</v>
      </c>
      <c r="D7" s="4" t="n">
        <f aca="false">Assumptions!D42</f>
        <v>40</v>
      </c>
      <c r="E7" s="4" t="n">
        <f aca="false">Assumptions!E42</f>
        <v>38.5</v>
      </c>
      <c r="F7" s="4" t="n">
        <f aca="false">Assumptions!F42</f>
        <v>36</v>
      </c>
      <c r="G7" s="4" t="n">
        <f aca="false">Assumptions!G42</f>
        <v>35</v>
      </c>
      <c r="H7" s="4" t="n">
        <f aca="false">Assumptions!H42</f>
        <v>35</v>
      </c>
      <c r="I7" s="4" t="n">
        <f aca="false">Assumptions!I42</f>
        <v>35.5</v>
      </c>
      <c r="J7" s="4" t="n">
        <f aca="false">Assumptions!J42</f>
        <v>36</v>
      </c>
      <c r="K7" s="4" t="n">
        <f aca="false">Assumptions!K42</f>
        <v>36</v>
      </c>
      <c r="L7" s="4" t="n">
        <f aca="false">Assumptions!L42</f>
        <v>36</v>
      </c>
    </row>
    <row r="8" customFormat="false" ht="15" hidden="false" customHeight="false" outlineLevel="0" collapsed="false">
      <c r="A8" s="0" t="s">
        <v>43</v>
      </c>
      <c r="C8" s="0" t="n">
        <f aca="false">C6*C7/100</f>
        <v>282762.21753</v>
      </c>
      <c r="D8" s="0" t="n">
        <f aca="false">D6*D7/100</f>
        <v>310023.3954252</v>
      </c>
      <c r="E8" s="0" t="n">
        <f aca="false">E6*E7/100</f>
        <v>292727.965252917</v>
      </c>
      <c r="F8" s="0" t="n">
        <f aca="false">F6*F7/100</f>
        <v>263044.589243894</v>
      </c>
      <c r="G8" s="0" t="n">
        <f aca="false">G6*G7/100</f>
        <v>253947.630532542</v>
      </c>
      <c r="H8" s="0" t="n">
        <f aca="false">H6*H7/100</f>
        <v>261058.164187453</v>
      </c>
      <c r="I8" s="0" t="n">
        <f aca="false">I6*I7/100</f>
        <v>271936.830829379</v>
      </c>
      <c r="J8" s="0" t="n">
        <f aca="false">J6*J7/100</f>
        <v>282936.867141238</v>
      </c>
      <c r="K8" s="0" t="n">
        <f aca="false">K6*K7/100</f>
        <v>290010.288819769</v>
      </c>
      <c r="L8" s="0" t="n">
        <f aca="false">L6*L7/100</f>
        <v>297260.546040263</v>
      </c>
    </row>
    <row r="9" customFormat="false" ht="15" hidden="false" customHeight="false" outlineLevel="0" collapsed="false">
      <c r="A9" s="0" t="s">
        <v>105</v>
      </c>
      <c r="C9" s="4" t="n">
        <f aca="false">Assumptions!C43</f>
        <v>0.07</v>
      </c>
      <c r="D9" s="4" t="n">
        <f aca="false">Assumptions!D43</f>
        <v>0.07</v>
      </c>
      <c r="E9" s="4" t="n">
        <f aca="false">Assumptions!E43</f>
        <v>0.07</v>
      </c>
      <c r="F9" s="4" t="n">
        <f aca="false">Assumptions!F43</f>
        <v>0.07</v>
      </c>
      <c r="G9" s="4" t="n">
        <f aca="false">Assumptions!G43</f>
        <v>0.07</v>
      </c>
      <c r="H9" s="4" t="n">
        <f aca="false">Assumptions!H43</f>
        <v>0.07</v>
      </c>
      <c r="I9" s="4" t="n">
        <f aca="false">Assumptions!I43</f>
        <v>0.07</v>
      </c>
      <c r="J9" s="4" t="n">
        <f aca="false">Assumptions!J43</f>
        <v>0.07</v>
      </c>
      <c r="K9" s="4" t="n">
        <f aca="false">Assumptions!K43</f>
        <v>0.07</v>
      </c>
      <c r="L9" s="4" t="n">
        <f aca="false">Assumptions!L43</f>
        <v>0.07</v>
      </c>
    </row>
    <row r="10" customFormat="false" ht="15" hidden="false" customHeight="false" outlineLevel="0" collapsed="false">
      <c r="A10" s="0" t="s">
        <v>120</v>
      </c>
      <c r="C10" s="0" t="n">
        <f aca="false">-C6*C9/100</f>
        <v>-507.5219289</v>
      </c>
      <c r="D10" s="0" t="n">
        <f aca="false">-D6*D9/100</f>
        <v>-542.5409419941</v>
      </c>
      <c r="E10" s="0" t="n">
        <f aca="false">-E6*E9/100</f>
        <v>-532.232664096212</v>
      </c>
      <c r="F10" s="0" t="n">
        <f aca="false">-F6*F9/100</f>
        <v>-511.47559019646</v>
      </c>
      <c r="G10" s="0" t="n">
        <f aca="false">-G6*G9/100</f>
        <v>-507.895261065085</v>
      </c>
      <c r="H10" s="0" t="n">
        <f aca="false">-H6*H9/100</f>
        <v>-522.116328374907</v>
      </c>
      <c r="I10" s="0" t="n">
        <f aca="false">-I6*I9/100</f>
        <v>-536.213469241029</v>
      </c>
      <c r="J10" s="0" t="n">
        <f aca="false">-J6*J9/100</f>
        <v>-550.155019441296</v>
      </c>
      <c r="K10" s="0" t="n">
        <f aca="false">-K6*K9/100</f>
        <v>-563.908894927329</v>
      </c>
      <c r="L10" s="0" t="n">
        <f aca="false">-L6*L9/100</f>
        <v>-578.006617300512</v>
      </c>
    </row>
    <row r="11" customFormat="false" ht="15" hidden="false" customHeight="false" outlineLevel="0" collapsed="false">
      <c r="A11" s="0" t="s">
        <v>121</v>
      </c>
      <c r="C11" s="0" t="n">
        <f aca="false">C8+C10+C24</f>
        <v>277541.9919756</v>
      </c>
      <c r="D11" s="0" t="n">
        <f aca="false">D8+D10+D24</f>
        <v>304442.974307546</v>
      </c>
      <c r="E11" s="0" t="n">
        <f aca="false">E8+E10+E24</f>
        <v>287253.572136498</v>
      </c>
      <c r="F11" s="0" t="n">
        <f aca="false">F8+F10+F24</f>
        <v>257783.697459016</v>
      </c>
      <c r="G11" s="0" t="n">
        <f aca="false">G8+G10+G24</f>
        <v>248723.564990159</v>
      </c>
      <c r="H11" s="0" t="n">
        <f aca="false">H8+H10+H24</f>
        <v>255687.824809883</v>
      </c>
      <c r="I11" s="0" t="n">
        <f aca="false">I8+I10+I24</f>
        <v>266421.492288614</v>
      </c>
      <c r="J11" s="0" t="n">
        <f aca="false">J8+J10+J24</f>
        <v>277278.129798413</v>
      </c>
      <c r="K11" s="0" t="n">
        <f aca="false">K8+K10+K24</f>
        <v>284210.083043374</v>
      </c>
      <c r="L11" s="0" t="n">
        <f aca="false">L8+L10+L24</f>
        <v>291315.335119458</v>
      </c>
    </row>
    <row r="12" customFormat="false" ht="15" hidden="false" customHeight="false" outlineLevel="0" collapsed="false">
      <c r="A12" s="0" t="s">
        <v>122</v>
      </c>
      <c r="C12" s="4" t="n">
        <f aca="false">-C6*Assumptions!C45/100</f>
        <v>-87003.75924</v>
      </c>
      <c r="D12" s="4" t="n">
        <f aca="false">-D6*Assumptions!D45/100</f>
        <v>-89131.726184745</v>
      </c>
      <c r="E12" s="4" t="n">
        <f aca="false">-E6*Assumptions!E45/100</f>
        <v>-83636.5615008333</v>
      </c>
      <c r="F12" s="4" t="n">
        <f aca="false">-F6*Assumptions!F45/100</f>
        <v>-73067.9414566371</v>
      </c>
      <c r="G12" s="4" t="n">
        <f aca="false">-G6*Assumptions!G45/100</f>
        <v>-65300.8192797966</v>
      </c>
      <c r="H12" s="4" t="n">
        <f aca="false">-H6*Assumptions!H45/100</f>
        <v>-59670.4375285608</v>
      </c>
      <c r="I12" s="4" t="n">
        <f aca="false">-I6*Assumptions!I45/100</f>
        <v>-53621.3469241029</v>
      </c>
      <c r="J12" s="4" t="n">
        <f aca="false">-J6*Assumptions!J45/100</f>
        <v>-51085.8232338346</v>
      </c>
      <c r="K12" s="4" t="n">
        <f aca="false">-K6*Assumptions!K45/100</f>
        <v>-48335.0481366282</v>
      </c>
      <c r="L12" s="4" t="n">
        <f aca="false">-L6*Assumptions!L45/100</f>
        <v>-49543.4243400439</v>
      </c>
    </row>
    <row r="13" customFormat="false" ht="15" hidden="false" customHeight="false" outlineLevel="0" collapsed="false">
      <c r="A13" s="0" t="s">
        <v>123</v>
      </c>
      <c r="C13" s="0" t="n">
        <f aca="false">C11+C12</f>
        <v>190538.2327356</v>
      </c>
      <c r="D13" s="0" t="n">
        <f aca="false">D11+D12</f>
        <v>215311.248122801</v>
      </c>
      <c r="E13" s="0" t="n">
        <f aca="false">E11+E12</f>
        <v>203617.010635665</v>
      </c>
      <c r="F13" s="0" t="n">
        <f aca="false">F11+F12</f>
        <v>184715.756002379</v>
      </c>
      <c r="G13" s="0" t="n">
        <f aca="false">G11+G12</f>
        <v>183422.745710362</v>
      </c>
      <c r="H13" s="0" t="n">
        <f aca="false">H11+H12</f>
        <v>196017.387281322</v>
      </c>
      <c r="I13" s="0" t="n">
        <f aca="false">I11+I12</f>
        <v>212800.145364511</v>
      </c>
      <c r="J13" s="0" t="n">
        <f aca="false">J11+J12</f>
        <v>226192.306564579</v>
      </c>
      <c r="K13" s="0" t="n">
        <f aca="false">K11+K12</f>
        <v>235875.034906745</v>
      </c>
      <c r="L13" s="0" t="n">
        <f aca="false">L11+L12</f>
        <v>241771.910779414</v>
      </c>
    </row>
    <row r="14" customFormat="false" ht="15" hidden="false" customHeight="false" outlineLevel="0" collapsed="false">
      <c r="A14" s="0" t="s">
        <v>109</v>
      </c>
      <c r="C14" s="4" t="n">
        <f aca="false">Assumptions!C47</f>
        <v>25</v>
      </c>
      <c r="D14" s="4" t="n">
        <f aca="false">Assumptions!D47</f>
        <v>26</v>
      </c>
      <c r="E14" s="4" t="n">
        <f aca="false">Assumptions!E47</f>
        <v>27</v>
      </c>
      <c r="F14" s="4" t="n">
        <f aca="false">Assumptions!F47</f>
        <v>28</v>
      </c>
      <c r="G14" s="4" t="n">
        <f aca="false">Assumptions!G47</f>
        <v>28</v>
      </c>
      <c r="H14" s="4" t="n">
        <f aca="false">Assumptions!H47</f>
        <v>28</v>
      </c>
      <c r="I14" s="4" t="n">
        <f aca="false">Assumptions!I47</f>
        <v>28</v>
      </c>
      <c r="J14" s="4" t="n">
        <f aca="false">Assumptions!J47</f>
        <v>28</v>
      </c>
      <c r="K14" s="4" t="n">
        <f aca="false">Assumptions!K47</f>
        <v>28</v>
      </c>
      <c r="L14" s="4" t="n">
        <f aca="false">Assumptions!L47</f>
        <v>28</v>
      </c>
    </row>
    <row r="15" customFormat="false" ht="15" hidden="false" customHeight="false" outlineLevel="0" collapsed="false">
      <c r="A15" s="0" t="s">
        <v>124</v>
      </c>
      <c r="C15" s="0" t="n">
        <f aca="false">C13-MAX(0,C13)*C14/100</f>
        <v>142903.6745517</v>
      </c>
      <c r="D15" s="0" t="n">
        <f aca="false">D13-MAX(0,D13)*D14/100</f>
        <v>159330.323610873</v>
      </c>
      <c r="E15" s="0" t="n">
        <f aca="false">E13-MAX(0,E13)*E14/100</f>
        <v>148640.417764036</v>
      </c>
      <c r="F15" s="0" t="n">
        <f aca="false">F13-MAX(0,F13)*F14/100</f>
        <v>132995.344321713</v>
      </c>
      <c r="G15" s="0" t="n">
        <f aca="false">G13-MAX(0,G13)*G14/100</f>
        <v>132064.376911461</v>
      </c>
      <c r="H15" s="0" t="n">
        <f aca="false">H13-MAX(0,H13)*H14/100</f>
        <v>141132.518842552</v>
      </c>
      <c r="I15" s="0" t="n">
        <f aca="false">I13-MAX(0,I13)*I14/100</f>
        <v>153216.104662448</v>
      </c>
      <c r="J15" s="0" t="n">
        <f aca="false">J13-MAX(0,J13)*J14/100</f>
        <v>162858.460726497</v>
      </c>
      <c r="K15" s="0" t="n">
        <f aca="false">K13-MAX(0,K13)*K14/100</f>
        <v>169830.025132857</v>
      </c>
      <c r="L15" s="0" t="n">
        <f aca="false">L13-MAX(0,L13)*L14/100</f>
        <v>174075.775761178</v>
      </c>
    </row>
    <row r="16" customFormat="false" ht="15" hidden="false" customHeight="false" outlineLevel="0" collapsed="false">
      <c r="A16" s="0" t="s">
        <v>125</v>
      </c>
      <c r="C16" s="0" t="n">
        <f aca="false">-C12</f>
        <v>87003.75924</v>
      </c>
      <c r="D16" s="0" t="n">
        <f aca="false">-D12</f>
        <v>89131.726184745</v>
      </c>
      <c r="E16" s="0" t="n">
        <f aca="false">-E12</f>
        <v>83636.5615008333</v>
      </c>
      <c r="F16" s="0" t="n">
        <f aca="false">-F12</f>
        <v>73067.9414566371</v>
      </c>
      <c r="G16" s="0" t="n">
        <f aca="false">-G12</f>
        <v>65300.8192797966</v>
      </c>
      <c r="H16" s="0" t="n">
        <f aca="false">-H12</f>
        <v>59670.4375285608</v>
      </c>
      <c r="I16" s="0" t="n">
        <f aca="false">-I12</f>
        <v>53621.3469241029</v>
      </c>
      <c r="J16" s="0" t="n">
        <f aca="false">-J12</f>
        <v>51085.8232338346</v>
      </c>
      <c r="K16" s="0" t="n">
        <f aca="false">-K12</f>
        <v>48335.0481366282</v>
      </c>
      <c r="L16" s="0" t="n">
        <f aca="false">-L12</f>
        <v>49543.4243400439</v>
      </c>
    </row>
    <row r="17" customFormat="false" ht="15" hidden="false" customHeight="false" outlineLevel="0" collapsed="false">
      <c r="A17" s="0" t="s">
        <v>126</v>
      </c>
      <c r="C17" s="4" t="n">
        <f aca="false">-C6*Assumptions!C46/100</f>
        <v>-36251.56635</v>
      </c>
      <c r="D17" s="4" t="n">
        <f aca="false">-D6*Assumptions!D46/100</f>
        <v>-38752.92442815</v>
      </c>
      <c r="E17" s="4" t="n">
        <f aca="false">-E6*Assumptions!E46/100</f>
        <v>-38016.6188640151</v>
      </c>
      <c r="F17" s="4" t="n">
        <f aca="false">-F6*Assumptions!F46/100</f>
        <v>-36533.9707283186</v>
      </c>
      <c r="G17" s="4" t="n">
        <f aca="false">-G6*Assumptions!G46/100</f>
        <v>-34827.1036158915</v>
      </c>
      <c r="H17" s="4" t="n">
        <f aca="false">-H6*Assumptions!H46/100</f>
        <v>-34310.5015789225</v>
      </c>
      <c r="I17" s="4" t="n">
        <f aca="false">-I6*Assumptions!I46/100</f>
        <v>-34470.8658797805</v>
      </c>
      <c r="J17" s="4" t="n">
        <f aca="false">-J6*Assumptions!J46/100</f>
        <v>-35367.1083926548</v>
      </c>
      <c r="K17" s="4" t="n">
        <f aca="false">-K6*Assumptions!K46/100</f>
        <v>-36251.2861024711</v>
      </c>
      <c r="L17" s="4" t="n">
        <f aca="false">-L6*Assumptions!L46/100</f>
        <v>-37157.5682550329</v>
      </c>
    </row>
    <row r="18" customFormat="false" ht="15" hidden="false" customHeight="false" outlineLevel="0" collapsed="false">
      <c r="A18" s="0" t="s">
        <v>127</v>
      </c>
      <c r="C18" s="4" t="n">
        <f aca="false">(C6-B6)*Assumptions!$B$51/100</f>
        <v>-11267.71635</v>
      </c>
      <c r="D18" s="4" t="n">
        <f aca="false">(D6-C6)*Assumptions!$B$51/100</f>
        <v>-2501.35807815</v>
      </c>
      <c r="E18" s="4" t="n">
        <f aca="false">(E6-D6)*Assumptions!$B$51/100</f>
        <v>736.305564134853</v>
      </c>
      <c r="F18" s="4" t="n">
        <f aca="false">(F6-E6)*Assumptions!$B$51/100</f>
        <v>1482.64813569659</v>
      </c>
      <c r="G18" s="4" t="n">
        <f aca="false">(G6-F6)*Assumptions!$B$51/100</f>
        <v>255.737795098231</v>
      </c>
      <c r="H18" s="4" t="n">
        <f aca="false">(H6-G6)*Assumptions!$B$51/100</f>
        <v>-1015.79052213017</v>
      </c>
      <c r="I18" s="4" t="n">
        <f aca="false">(I6-H6)*Assumptions!$B$51/100</f>
        <v>-1006.93863329446</v>
      </c>
      <c r="J18" s="4" t="n">
        <f aca="false">(J6-I6)*Assumptions!$B$51/100</f>
        <v>-995.825014304771</v>
      </c>
      <c r="K18" s="4" t="n">
        <f aca="false">(K6-J6)*Assumptions!$B$51/100</f>
        <v>-982.419677573739</v>
      </c>
      <c r="L18" s="4" t="n">
        <f aca="false">(L6-K6)*Assumptions!$B$51/100</f>
        <v>-1006.98016951308</v>
      </c>
    </row>
    <row r="19" customFormat="false" ht="15" hidden="false" customHeight="false" outlineLevel="0" collapsed="false">
      <c r="A19" s="0" t="s">
        <v>128</v>
      </c>
      <c r="C19" s="0" t="n">
        <f aca="false">C15+C16+C17+C18</f>
        <v>182388.1510917</v>
      </c>
      <c r="D19" s="0" t="n">
        <f aca="false">D15+D16+D17+D18</f>
        <v>207207.767289318</v>
      </c>
      <c r="E19" s="0" t="n">
        <f aca="false">E15+E16+E17+E18</f>
        <v>194996.665964989</v>
      </c>
      <c r="F19" s="0" t="n">
        <f aca="false">F15+F16+F17+F18</f>
        <v>171011.963185728</v>
      </c>
      <c r="G19" s="0" t="n">
        <f aca="false">G15+G16+G17+G18</f>
        <v>162793.830370464</v>
      </c>
      <c r="H19" s="0" t="n">
        <f aca="false">H15+H16+H17+H18</f>
        <v>165476.66427006</v>
      </c>
      <c r="I19" s="0" t="n">
        <f aca="false">I15+I16+I17+I18</f>
        <v>171359.647073476</v>
      </c>
      <c r="J19" s="0" t="n">
        <f aca="false">J15+J16+J17+J18</f>
        <v>177581.350553372</v>
      </c>
      <c r="K19" s="0" t="n">
        <f aca="false">K15+K16+K17+K18</f>
        <v>180931.36748944</v>
      </c>
      <c r="L19" s="0" t="n">
        <f aca="false">L15+L16+L17+L18</f>
        <v>185454.651676676</v>
      </c>
    </row>
    <row r="20" customFormat="false" ht="15" hidden="false" customHeight="false" outlineLevel="0" collapsed="false">
      <c r="A20" s="0" t="s">
        <v>129</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130</v>
      </c>
      <c r="C21" s="0" t="n">
        <f aca="false">C19*C20</f>
        <v>170456.215973551</v>
      </c>
      <c r="D21" s="0" t="n">
        <f aca="false">D19*D20</f>
        <v>180983.288749514</v>
      </c>
      <c r="E21" s="0" t="n">
        <f aca="false">E19*E20</f>
        <v>159175.364428015</v>
      </c>
      <c r="F21" s="0" t="n">
        <f aca="false">F19*F20</f>
        <v>130464.207917239</v>
      </c>
      <c r="G21" s="0" t="n">
        <f aca="false">G19*G20</f>
        <v>116069.751159349</v>
      </c>
      <c r="H21" s="0" t="n">
        <f aca="false">H19*H20</f>
        <v>110264.08845945</v>
      </c>
      <c r="I21" s="0" t="n">
        <f aca="false">I19*I20</f>
        <v>106714.175984442</v>
      </c>
      <c r="J21" s="0" t="n">
        <f aca="false">J19*J20</f>
        <v>103353.962823018</v>
      </c>
      <c r="K21" s="0" t="n">
        <f aca="false">K19*K20</f>
        <v>98414.6758693989</v>
      </c>
      <c r="L21" s="0" t="n">
        <f aca="false">L19*L20</f>
        <v>94275.7409029289</v>
      </c>
    </row>
    <row r="23" customFormat="false" ht="15" hidden="false" customHeight="false" outlineLevel="0" collapsed="false">
      <c r="A23" s="0" t="s">
        <v>106</v>
      </c>
      <c r="C23" s="4" t="n">
        <f aca="false">Assumptions!C44</f>
        <v>0.65</v>
      </c>
      <c r="D23" s="4" t="n">
        <f aca="false">Assumptions!D44</f>
        <v>0.65</v>
      </c>
      <c r="E23" s="4" t="n">
        <f aca="false">Assumptions!E44</f>
        <v>0.65</v>
      </c>
      <c r="F23" s="4" t="n">
        <f aca="false">Assumptions!F44</f>
        <v>0.65</v>
      </c>
      <c r="G23" s="4" t="n">
        <f aca="false">Assumptions!G44</f>
        <v>0.65</v>
      </c>
      <c r="H23" s="4" t="n">
        <f aca="false">Assumptions!H44</f>
        <v>0.65</v>
      </c>
      <c r="I23" s="4" t="n">
        <f aca="false">Assumptions!I44</f>
        <v>0.65</v>
      </c>
      <c r="J23" s="4" t="n">
        <f aca="false">Assumptions!J44</f>
        <v>0.65</v>
      </c>
      <c r="K23" s="4" t="n">
        <f aca="false">Assumptions!K44</f>
        <v>0.65</v>
      </c>
      <c r="L23" s="4" t="n">
        <f aca="false">Assumptions!L44</f>
        <v>0.65</v>
      </c>
    </row>
    <row r="24" customFormat="false" ht="15" hidden="false" customHeight="false" outlineLevel="0" collapsed="false">
      <c r="A24" s="0" t="s">
        <v>131</v>
      </c>
      <c r="C24" s="0" t="n">
        <f aca="false">-C6*C23/100</f>
        <v>-4712.7036255</v>
      </c>
      <c r="D24" s="0" t="n">
        <f aca="false">-D6*D23/100</f>
        <v>-5037.8801756595</v>
      </c>
      <c r="E24" s="0" t="n">
        <f aca="false">-E6*E23/100</f>
        <v>-4942.16045232197</v>
      </c>
      <c r="F24" s="0" t="n">
        <f aca="false">-F6*F23/100</f>
        <v>-4749.41619468141</v>
      </c>
      <c r="G24" s="0" t="n">
        <f aca="false">-G6*G23/100</f>
        <v>-4716.17028131864</v>
      </c>
      <c r="H24" s="0" t="n">
        <f aca="false">-H6*H23/100</f>
        <v>-4848.22304919557</v>
      </c>
      <c r="I24" s="0" t="n">
        <f aca="false">-I6*I23/100</f>
        <v>-4979.12507152385</v>
      </c>
      <c r="J24" s="0" t="n">
        <f aca="false">-J6*J23/100</f>
        <v>-5108.58232338346</v>
      </c>
      <c r="K24" s="0" t="n">
        <f aca="false">-K6*K23/100</f>
        <v>-5236.29688146805</v>
      </c>
      <c r="L24" s="0" t="n">
        <f aca="false">-L6*L23/100</f>
        <v>-5367.20430350475</v>
      </c>
    </row>
    <row r="26" customFormat="false" ht="15" hidden="false" customHeight="false" outlineLevel="0" collapsed="false">
      <c r="A26" s="2" t="s">
        <v>132</v>
      </c>
    </row>
    <row r="27" customFormat="false" ht="15" hidden="false" customHeight="false" outlineLevel="0" collapsed="false">
      <c r="A27" s="0" t="s">
        <v>110</v>
      </c>
      <c r="B27" s="4" t="n">
        <f aca="false">Assumptions!$B$48</f>
        <v>7</v>
      </c>
    </row>
    <row r="28" customFormat="false" ht="15" hidden="false" customHeight="false" outlineLevel="0" collapsed="false">
      <c r="A28" s="0" t="s">
        <v>111</v>
      </c>
      <c r="B28" s="4" t="n">
        <f aca="false">Assumptions!$B$49</f>
        <v>1</v>
      </c>
    </row>
    <row r="29" customFormat="false" ht="15" hidden="false" customHeight="false" outlineLevel="0" collapsed="false">
      <c r="A29" s="0" t="s">
        <v>112</v>
      </c>
      <c r="B29" s="4" t="n">
        <f aca="false">Assumptions!$B$50</f>
        <v>15</v>
      </c>
    </row>
    <row r="30" customFormat="false" ht="15" hidden="false" customHeight="false" outlineLevel="0" collapsed="false">
      <c r="A30" s="0" t="s">
        <v>133</v>
      </c>
      <c r="B30" s="0" t="n">
        <f aca="false">SUM(C21:L21)</f>
        <v>1270171.47226691</v>
      </c>
    </row>
    <row r="31" customFormat="false" ht="15" hidden="false" customHeight="false" outlineLevel="0" collapsed="false">
      <c r="A31" s="0" t="s">
        <v>134</v>
      </c>
      <c r="B31" s="0" t="n">
        <f aca="false">L19</f>
        <v>185454.651676676</v>
      </c>
    </row>
    <row r="32" customFormat="false" ht="15" hidden="false" customHeight="false" outlineLevel="0" collapsed="false">
      <c r="A32" s="0" t="s">
        <v>135</v>
      </c>
      <c r="B32" s="0" t="n">
        <f aca="false">IF(B27&gt;B28,B31*(1+B28/100)/((B27-B28)/100),B31*B29)</f>
        <v>3121819.96989071</v>
      </c>
    </row>
    <row r="33" customFormat="false" ht="15" hidden="false" customHeight="false" outlineLevel="0" collapsed="false">
      <c r="A33" s="0" t="s">
        <v>136</v>
      </c>
      <c r="B33" s="0" t="n">
        <f aca="false">B31*B29</f>
        <v>2781819.77515014</v>
      </c>
    </row>
    <row r="34" customFormat="false" ht="15" hidden="false" customHeight="false" outlineLevel="0" collapsed="false">
      <c r="A34" s="0" t="s">
        <v>137</v>
      </c>
      <c r="B34" s="0" t="n">
        <f aca="false">MAX(0,MIN(B32,B33))</f>
        <v>2781819.77515014</v>
      </c>
    </row>
    <row r="35" customFormat="false" ht="15" hidden="false" customHeight="false" outlineLevel="0" collapsed="false">
      <c r="A35" s="0" t="s">
        <v>138</v>
      </c>
      <c r="B35" s="0" t="n">
        <f aca="false">B34/(1+B27/100)^L4</f>
        <v>1414136.11354393</v>
      </c>
    </row>
    <row r="36" customFormat="false" ht="15" hidden="false" customHeight="false" outlineLevel="0" collapsed="false">
      <c r="A36" s="0" t="s">
        <v>139</v>
      </c>
      <c r="B36" s="0" t="n">
        <f aca="false">B30+B35</f>
        <v>2684307.58581084</v>
      </c>
    </row>
    <row r="37" customFormat="false" ht="15" hidden="false" customHeight="false" outlineLevel="0" collapsed="false">
      <c r="A37" s="0" t="s">
        <v>140</v>
      </c>
      <c r="B37" s="0" t="n">
        <f aca="false">B36+Assumptions!$B$5-Assumptions!$B$4</f>
        <v>3441598.58581084</v>
      </c>
    </row>
    <row r="38" customFormat="false" ht="15" hidden="false" customHeight="false" outlineLevel="0" collapsed="false">
      <c r="A38" s="0" t="s">
        <v>141</v>
      </c>
      <c r="B38" s="0" t="n">
        <f aca="false">B37/Assumptions!$B$3*Assumptions!$B$10</f>
        <v>4042.28163708109</v>
      </c>
    </row>
    <row r="39" customFormat="false" ht="15" hidden="false" customHeight="false" outlineLevel="0" collapsed="false">
      <c r="A39" s="0" t="s">
        <v>142</v>
      </c>
      <c r="B39" s="4" t="n">
        <f aca="false">B38/Assumptions!$B$2-1</f>
        <v>0.342058976454545</v>
      </c>
    </row>
    <row r="41" customFormat="false" ht="15" hidden="false" customHeight="false" outlineLevel="0" collapsed="false">
      <c r="A41" s="0" t="s">
        <v>143</v>
      </c>
      <c r="B41" s="0" t="n">
        <f aca="false">SUMPRODUCT(-C10:L10/(1+$B$27/100)^C4:L4)</f>
        <v>3737.56932003986</v>
      </c>
    </row>
    <row r="42" customFormat="false" ht="15" hidden="false" customHeight="false" outlineLevel="0" collapsed="false">
      <c r="A42" s="0" t="s">
        <v>144</v>
      </c>
      <c r="B42" s="0" t="n">
        <f aca="false">IF(B27&gt;B28,-L10*(1+B28/100)/((B27-B28)/100),-L10*20)/(1+B27/100)^L4</f>
        <v>4946.12578835728</v>
      </c>
    </row>
    <row r="43" customFormat="false" ht="15" hidden="false" customHeight="false" outlineLevel="0" collapsed="false">
      <c r="A43" s="0" t="s">
        <v>145</v>
      </c>
      <c r="B43" s="0" t="n">
        <f aca="false">(B37+B41+B42)/Assumptions!$B$3*Assumptions!$B$10</f>
        <v>4052.48095010481</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1337922.84423888</v>
      </c>
    </row>
    <row r="47" customFormat="false" ht="15" hidden="false" customHeight="false" outlineLevel="0" collapsed="false">
      <c r="A47" s="0" t="s">
        <v>147</v>
      </c>
      <c r="B47" s="0" t="n">
        <f aca="false">(SUMPRODUCT(C19:L19/(1+B45/100)^C4:L4)+B46/(1+B45/100)^L4+Assumptions!$B$5-Assumptions!$B$4)/Assumptions!$B$3*Assumptions!$B$10</f>
        <v>2350.82862055951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150</v>
      </c>
    </row>
    <row r="3" customFormat="false" ht="15" hidden="false" customHeight="false" outlineLevel="0" collapsed="false">
      <c r="A3" s="2" t="s">
        <v>151</v>
      </c>
      <c r="B3" s="2" t="s">
        <v>152</v>
      </c>
      <c r="C3" s="2" t="s">
        <v>142</v>
      </c>
      <c r="D3" s="2" t="s">
        <v>153</v>
      </c>
      <c r="E3" s="2" t="s">
        <v>145</v>
      </c>
      <c r="F3" s="2" t="s">
        <v>154</v>
      </c>
    </row>
    <row r="4" customFormat="false" ht="15" hidden="false" customHeight="false" outlineLevel="0" collapsed="false">
      <c r="A4" s="0" t="s">
        <v>155</v>
      </c>
      <c r="B4" s="4" t="n">
        <f aca="false">DCF_Bear!$B$38</f>
        <v>2453.42187487603</v>
      </c>
      <c r="C4" s="0" t="n">
        <f aca="false">B4/Assumptions!$B$2-1</f>
        <v>-0.185450904755633</v>
      </c>
      <c r="D4" s="4" t="n">
        <f aca="false">Assumptions!$B$24</f>
        <v>0.3</v>
      </c>
      <c r="E4" s="4" t="n">
        <f aca="false">DCF_Bear!$B$43</f>
        <v>2460.81871325386</v>
      </c>
      <c r="F4" s="4" t="n">
        <f aca="false">DCF_Bear!$B$47</f>
        <v>1710.66660396795</v>
      </c>
    </row>
    <row r="5" customFormat="false" ht="15" hidden="false" customHeight="false" outlineLevel="0" collapsed="false">
      <c r="A5" s="0" t="s">
        <v>156</v>
      </c>
      <c r="B5" s="4" t="n">
        <f aca="false">DCF_Base!$B$38</f>
        <v>3369.29592738425</v>
      </c>
      <c r="C5" s="0" t="n">
        <f aca="false">B5/Assumptions!$B$2-1</f>
        <v>0.118624145877905</v>
      </c>
      <c r="D5" s="4" t="n">
        <f aca="false">Assumptions!$B$38</f>
        <v>0.5</v>
      </c>
      <c r="E5" s="4" t="n">
        <f aca="false">DCF_Base!$B$43</f>
        <v>3378.16700975805</v>
      </c>
      <c r="F5" s="4" t="n">
        <f aca="false">DCF_Base!$B$47</f>
        <v>2084.85994438619</v>
      </c>
    </row>
    <row r="6" customFormat="false" ht="15" hidden="false" customHeight="false" outlineLevel="0" collapsed="false">
      <c r="A6" s="0" t="s">
        <v>157</v>
      </c>
      <c r="B6" s="4" t="n">
        <f aca="false">DCF_Bull!$B$38</f>
        <v>4042.28163708109</v>
      </c>
      <c r="C6" s="0" t="n">
        <f aca="false">B6/Assumptions!$B$2-1</f>
        <v>0.342058976454545</v>
      </c>
      <c r="D6" s="4" t="n">
        <f aca="false">Assumptions!$B$52</f>
        <v>0.2</v>
      </c>
      <c r="E6" s="4" t="n">
        <f aca="false">DCF_Bull!$B$43</f>
        <v>4052.48095010481</v>
      </c>
      <c r="F6" s="4" t="n">
        <f aca="false">DCF_Bull!$B$47</f>
        <v>2350.82862055951</v>
      </c>
    </row>
    <row r="8" customFormat="false" ht="15" hidden="false" customHeight="false" outlineLevel="0" collapsed="false">
      <c r="A8" s="0" t="s">
        <v>158</v>
      </c>
      <c r="B8" s="0" t="n">
        <f aca="false">SUMPRODUCT(B4:B6,D4:D6)</f>
        <v>3229.13085357115</v>
      </c>
    </row>
    <row r="9" customFormat="false" ht="15" hidden="false" customHeight="false" outlineLevel="0" collapsed="false">
      <c r="A9" s="0" t="s">
        <v>159</v>
      </c>
      <c r="B9" s="0" t="n">
        <f aca="false">SUMPRODUCT(E4:E6,D4:D6)</f>
        <v>3237.82530887614</v>
      </c>
    </row>
    <row r="10" customFormat="false" ht="15" hidden="false" customHeight="false" outlineLevel="0" collapsed="false">
      <c r="A10" s="0" t="s">
        <v>160</v>
      </c>
      <c r="B10" s="0" t="n">
        <f aca="false">1-Assumptions!$B$2/B8</f>
        <v>0.0672412681359831</v>
      </c>
    </row>
    <row r="11" customFormat="false" ht="15" hidden="false" customHeight="false" outlineLevel="0" collapsed="false">
      <c r="A11" s="0" t="s">
        <v>161</v>
      </c>
      <c r="B11" s="0" t="str">
        <f aca="false">IF(ABS(B9-B8)&gt;0.01*ABS(B8),(Assumptions!$B$2-B8)/(B9-B8)*100,"n/a")</f>
        <v>n/a</v>
      </c>
    </row>
    <row r="12" customFormat="false" ht="15" hidden="false" customHeight="false" outlineLevel="0" collapsed="false">
      <c r="A12" s="0" t="s">
        <v>162</v>
      </c>
      <c r="B12" s="0" t="n">
        <f aca="false">SUMPRODUCT(F4:F6,D4:D6)</f>
        <v>2025.79567749538</v>
      </c>
    </row>
    <row r="14" customFormat="false" ht="15" hidden="false" customHeight="false" outlineLevel="0" collapsed="false">
      <c r="A14" s="2" t="s">
        <v>163</v>
      </c>
      <c r="C14" s="0" t="s">
        <v>164</v>
      </c>
    </row>
    <row r="15" customFormat="false" ht="15" hidden="false" customHeight="false" outlineLevel="0" collapsed="false">
      <c r="A15" s="0" t="s">
        <v>165</v>
      </c>
      <c r="B15" s="0" t="n">
        <f aca="false">(SUMPRODUCT(DCF_Base!$C$19:$L$19/(1+$C$15/100)^DCF_Base!$C$4:$L$4)+MAX(0,MIN(IF($C$15&gt;DCF_Base!$B$28,DCF_Base!$L$19*(1+DCF_Base!$B$28/100)/(($C$15-DCF_Base!$B$28)/100),DCF_Base!$L$19*DCF_Base!$B$29),DCF_Base!$L$19*DCF_Base!$B$29))/(1+$C$15/100)^DCF_Base!$L$4+Assumptions!$B$5-Assumptions!$B$4)/Assumptions!$B$3*Assumptions!$B$10</f>
        <v>3369.29592738425</v>
      </c>
      <c r="C15" s="3" t="n">
        <v>7</v>
      </c>
    </row>
    <row r="16" customFormat="false" ht="15" hidden="false" customHeight="false" outlineLevel="0" collapsed="false">
      <c r="A16" s="0" t="s">
        <v>166</v>
      </c>
      <c r="B16" s="0" t="n">
        <f aca="false">(SUMPRODUCT(DCF_Base!$C$19:$L$19/(1+$C$16/100)^DCF_Base!$C$4:$L$4)+MAX(0,MIN(IF($C$16&gt;DCF_Base!$B$28,DCF_Base!$L$19*(1+DCF_Base!$B$28/100)/(($C$16-DCF_Base!$B$28)/100),DCF_Base!$L$19*DCF_Base!$B$29),DCF_Base!$L$19*DCF_Base!$B$29))/(1+$C$16/100)^DCF_Base!$L$4+Assumptions!$B$5-Assumptions!$B$4)/Assumptions!$B$3*Assumptions!$B$10</f>
        <v>2895.23557430376</v>
      </c>
      <c r="C16" s="3" t="n">
        <v>9</v>
      </c>
    </row>
    <row r="17" customFormat="false" ht="15" hidden="false" customHeight="false" outlineLevel="0" collapsed="false">
      <c r="A17" s="0" t="s">
        <v>167</v>
      </c>
      <c r="B17" s="0" t="n">
        <f aca="false">(SUMPRODUCT(DCF_Base!$C$19:$L$19/(1+$C$17/100)^DCF_Base!$C$4:$L$4)+MAX(0,MIN(IF($C$17&gt;DCF_Base!$B$28,DCF_Base!$L$19*(1+DCF_Base!$B$28/100)/(($C$17-DCF_Base!$B$28)/100),DCF_Base!$L$19*DCF_Base!$B$29),DCF_Base!$L$19*DCF_Base!$B$29))/(1+$C$17/100)^DCF_Base!$L$4+Assumptions!$B$5-Assumptions!$B$4)/Assumptions!$B$3*Assumptions!$B$10</f>
        <v>2685.85541886048</v>
      </c>
      <c r="C17" s="3" t="n">
        <v>10</v>
      </c>
    </row>
    <row r="18" customFormat="false" ht="15" hidden="false" customHeight="false" outlineLevel="0" collapsed="false">
      <c r="A18" s="0" t="s">
        <v>168</v>
      </c>
      <c r="B18" s="0" t="n">
        <f aca="false">(SUMPRODUCT(DCF_Base!$C$19:$L$19/(1+$C$18/100)^DCF_Base!$C$4:$L$4)+MAX(0,MIN(IF($C$18&gt;DCF_Base!$B$28,DCF_Base!$L$19*(1+DCF_Base!$B$28/100)/(($C$18-DCF_Base!$B$28)/100),DCF_Base!$L$19*DCF_Base!$B$29),DCF_Base!$L$19*DCF_Base!$B$29))/(1+$C$18/100)^DCF_Base!$L$4+Assumptions!$B$5-Assumptions!$B$4)/Assumptions!$B$3*Assumptions!$B$10</f>
        <v>2518.09639732442</v>
      </c>
      <c r="C18" s="3" t="n">
        <v>11</v>
      </c>
    </row>
    <row r="19" customFormat="false" ht="15" hidden="false" customHeight="false" outlineLevel="0" collapsed="false">
      <c r="A19" s="0" t="s">
        <v>169</v>
      </c>
      <c r="B19" s="0" t="n">
        <f aca="false">(SUMPRODUCT(DCF_Base!$C$19:$L$19/(1+$C$19/100)^DCF_Base!$C$4:$L$4)+MAX(0,MIN(IF($C$19&gt;DCF_Base!$B$28,DCF_Base!$L$19*(1+DCF_Base!$B$28/100)/(($C$19-DCF_Base!$B$28)/100),DCF_Base!$L$19*DCF_Base!$B$29),DCF_Base!$L$19*DCF_Base!$B$29))/(1+$C$19/100)^DCF_Base!$L$4+Assumptions!$B$5-Assumptions!$B$4)/Assumptions!$B$3*Assumptions!$B$10</f>
        <v>2380.60406688299</v>
      </c>
      <c r="C19" s="3" t="n">
        <v>12</v>
      </c>
    </row>
    <row r="20" customFormat="false" ht="15" hidden="false" customHeight="false" outlineLevel="0" collapsed="false">
      <c r="A20" s="0" t="s">
        <v>170</v>
      </c>
      <c r="B20" s="0" t="n">
        <f aca="false">(SUMPRODUCT(DCF_Base!$C$19:$L$19/(1+$C$20/100)^DCF_Base!$C$4:$L$4)+MAX(0,MIN(IF($C$20&gt;DCF_Base!$B$28,DCF_Base!$L$19*(1+DCF_Base!$B$28/100)/(($C$20-DCF_Base!$B$28)/100),DCF_Base!$L$19*DCF_Base!$B$29),DCF_Base!$L$19*DCF_Base!$B$29))/(1+$C$20/100)^DCF_Base!$L$4+Assumptions!$B$5-Assumptions!$B$4)/Assumptions!$B$3*Assumptions!$B$10</f>
        <v>2084.85994438619</v>
      </c>
      <c r="C20" s="3" t="n">
        <v>15</v>
      </c>
    </row>
    <row r="22" customFormat="false" ht="15" hidden="false" customHeight="false" outlineLevel="0" collapsed="false">
      <c r="A22" s="2" t="s">
        <v>171</v>
      </c>
    </row>
    <row r="23" customFormat="false" ht="15" hidden="false" customHeight="false" outlineLevel="0" collapsed="false">
      <c r="B23" s="3" t="n">
        <v>0</v>
      </c>
      <c r="C23" s="3" t="n">
        <v>0.5</v>
      </c>
      <c r="D23" s="3" t="n">
        <v>1</v>
      </c>
      <c r="E23" s="3" t="n">
        <v>1.5</v>
      </c>
      <c r="F23" s="3" t="n">
        <v>2</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3741.63884118021</v>
      </c>
      <c r="C24" s="0" t="n">
        <f aca="false">(SUMPRODUCT(DCF_Base!$C$19:$L$19/(1+$A$24/100)^DCF_Base!$C$4:$L$4)+MAX(0,MIN(IF($A$24&gt;$C$23,DCF_Base!$L$19*(1+$C$23/100)/(($A$24-$C$23)/100),DCF_Base!$L$19*DCF_Base!$B$29),DCF_Base!$L$19*DCF_Base!$B$29))/(1+$A$24/100)^DCF_Base!$L$4+Assumptions!$B$5-Assumptions!$B$4)/Assumptions!$B$3*Assumptions!$B$10</f>
        <v>3741.63884118021</v>
      </c>
      <c r="D24" s="0" t="n">
        <f aca="false">(SUMPRODUCT(DCF_Base!$C$19:$L$19/(1+$A$24/100)^DCF_Base!$C$4:$L$4)+MAX(0,MIN(IF($A$24&gt;$D$23,DCF_Base!$L$19*(1+$D$23/100)/(($A$24-$D$23)/100),DCF_Base!$L$19*DCF_Base!$B$29),DCF_Base!$L$19*DCF_Base!$B$29))/(1+$A$24/100)^DCF_Base!$L$4+Assumptions!$B$5-Assumptions!$B$4)/Assumptions!$B$3*Assumptions!$B$10</f>
        <v>3741.63884118021</v>
      </c>
      <c r="E24" s="0" t="n">
        <f aca="false">(SUMPRODUCT(DCF_Base!$C$19:$L$19/(1+$A$24/100)^DCF_Base!$C$4:$L$4)+MAX(0,MIN(IF($A$24&gt;$E$23,DCF_Base!$L$19*(1+$E$23/100)/(($A$24-$E$23)/100),DCF_Base!$L$19*DCF_Base!$B$29),DCF_Base!$L$19*DCF_Base!$B$29))/(1+$A$24/100)^DCF_Base!$L$4+Assumptions!$B$5-Assumptions!$B$4)/Assumptions!$B$3*Assumptions!$B$10</f>
        <v>3741.63884118021</v>
      </c>
      <c r="F24" s="0" t="n">
        <f aca="false">(SUMPRODUCT(DCF_Base!$C$19:$L$19/(1+$A$24/100)^DCF_Base!$C$4:$L$4)+MAX(0,MIN(IF($A$24&gt;$F$23,DCF_Base!$L$19*(1+$F$23/100)/(($A$24-$F$23)/100),DCF_Base!$L$19*DCF_Base!$B$29),DCF_Base!$L$19*DCF_Base!$B$29))/(1+$A$24/100)^DCF_Base!$L$4+Assumptions!$B$5-Assumptions!$B$4)/Assumptions!$B$3*Assumptions!$B$10</f>
        <v>3741.63884118021</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3546.75560679583</v>
      </c>
      <c r="C25" s="0" t="n">
        <f aca="false">(SUMPRODUCT(DCF_Base!$C$19:$L$19/(1+$A$25/100)^DCF_Base!$C$4:$L$4)+MAX(0,MIN(IF($A$25&gt;$C$23,DCF_Base!$L$19*(1+$C$23/100)/(($A$25-$C$23)/100),DCF_Base!$L$19*DCF_Base!$B$29),DCF_Base!$L$19*DCF_Base!$B$29))/(1+$A$25/100)^DCF_Base!$L$4+Assumptions!$B$5-Assumptions!$B$4)/Assumptions!$B$3*Assumptions!$B$10</f>
        <v>3546.75560679583</v>
      </c>
      <c r="D25" s="0" t="n">
        <f aca="false">(SUMPRODUCT(DCF_Base!$C$19:$L$19/(1+$A$25/100)^DCF_Base!$C$4:$L$4)+MAX(0,MIN(IF($A$25&gt;$D$23,DCF_Base!$L$19*(1+$D$23/100)/(($A$25-$D$23)/100),DCF_Base!$L$19*DCF_Base!$B$29),DCF_Base!$L$19*DCF_Base!$B$29))/(1+$A$25/100)^DCF_Base!$L$4+Assumptions!$B$5-Assumptions!$B$4)/Assumptions!$B$3*Assumptions!$B$10</f>
        <v>3546.75560679583</v>
      </c>
      <c r="E25" s="0" t="n">
        <f aca="false">(SUMPRODUCT(DCF_Base!$C$19:$L$19/(1+$A$25/100)^DCF_Base!$C$4:$L$4)+MAX(0,MIN(IF($A$25&gt;$E$23,DCF_Base!$L$19*(1+$E$23/100)/(($A$25-$E$23)/100),DCF_Base!$L$19*DCF_Base!$B$29),DCF_Base!$L$19*DCF_Base!$B$29))/(1+$A$25/100)^DCF_Base!$L$4+Assumptions!$B$5-Assumptions!$B$4)/Assumptions!$B$3*Assumptions!$B$10</f>
        <v>3546.75560679583</v>
      </c>
      <c r="F25" s="0" t="n">
        <f aca="false">(SUMPRODUCT(DCF_Base!$C$19:$L$19/(1+$A$25/100)^DCF_Base!$C$4:$L$4)+MAX(0,MIN(IF($A$25&gt;$F$23,DCF_Base!$L$19*(1+$F$23/100)/(($A$25-$F$23)/100),DCF_Base!$L$19*DCF_Base!$B$29),DCF_Base!$L$19*DCF_Base!$B$29))/(1+$A$25/100)^DCF_Base!$L$4+Assumptions!$B$5-Assumptions!$B$4)/Assumptions!$B$3*Assumptions!$B$10</f>
        <v>3546.75560679583</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3309.74614361113</v>
      </c>
      <c r="C26" s="0" t="n">
        <f aca="false">(SUMPRODUCT(DCF_Base!$C$19:$L$19/(1+$A$26/100)^DCF_Base!$C$4:$L$4)+MAX(0,MIN(IF($A$26&gt;$C$23,DCF_Base!$L$19*(1+$C$23/100)/(($A$26-$C$23)/100),DCF_Base!$L$19*DCF_Base!$B$29),DCF_Base!$L$19*DCF_Base!$B$29))/(1+$A$26/100)^DCF_Base!$L$4+Assumptions!$B$5-Assumptions!$B$4)/Assumptions!$B$3*Assumptions!$B$10</f>
        <v>3369.29592738425</v>
      </c>
      <c r="D26" s="0" t="n">
        <f aca="false">(SUMPRODUCT(DCF_Base!$C$19:$L$19/(1+$A$26/100)^DCF_Base!$C$4:$L$4)+MAX(0,MIN(IF($A$26&gt;$D$23,DCF_Base!$L$19*(1+$D$23/100)/(($A$26-$D$23)/100),DCF_Base!$L$19*DCF_Base!$B$29),DCF_Base!$L$19*DCF_Base!$B$29))/(1+$A$26/100)^DCF_Base!$L$4+Assumptions!$B$5-Assumptions!$B$4)/Assumptions!$B$3*Assumptions!$B$10</f>
        <v>3369.29592738425</v>
      </c>
      <c r="E26" s="0" t="n">
        <f aca="false">(SUMPRODUCT(DCF_Base!$C$19:$L$19/(1+$A$26/100)^DCF_Base!$C$4:$L$4)+MAX(0,MIN(IF($A$26&gt;$E$23,DCF_Base!$L$19*(1+$E$23/100)/(($A$26-$E$23)/100),DCF_Base!$L$19*DCF_Base!$B$29),DCF_Base!$L$19*DCF_Base!$B$29))/(1+$A$26/100)^DCF_Base!$L$4+Assumptions!$B$5-Assumptions!$B$4)/Assumptions!$B$3*Assumptions!$B$10</f>
        <v>3369.29592738425</v>
      </c>
      <c r="F26" s="0" t="n">
        <f aca="false">(SUMPRODUCT(DCF_Base!$C$19:$L$19/(1+$A$26/100)^DCF_Base!$C$4:$L$4)+MAX(0,MIN(IF($A$26&gt;$F$23,DCF_Base!$L$19*(1+$F$23/100)/(($A$26-$F$23)/100),DCF_Base!$L$19*DCF_Base!$B$29),DCF_Base!$L$19*DCF_Base!$B$29))/(1+$A$26/100)^DCF_Base!$L$4+Assumptions!$B$5-Assumptions!$B$4)/Assumptions!$B$3*Assumptions!$B$10</f>
        <v>3369.29592738425</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3017.57986768743</v>
      </c>
      <c r="C27" s="0" t="n">
        <f aca="false">(SUMPRODUCT(DCF_Base!$C$19:$L$19/(1+$A$27/100)^DCF_Base!$C$4:$L$4)+MAX(0,MIN(IF($A$27&gt;$C$23,DCF_Base!$L$19*(1+$C$23/100)/(($A$27-$C$23)/100),DCF_Base!$L$19*DCF_Base!$B$29),DCF_Base!$L$19*DCF_Base!$B$29))/(1+$A$27/100)^DCF_Base!$L$4+Assumptions!$B$5-Assumptions!$B$4)/Assumptions!$B$3*Assumptions!$B$10</f>
        <v>3085.94756551654</v>
      </c>
      <c r="D27" s="0" t="n">
        <f aca="false">(SUMPRODUCT(DCF_Base!$C$19:$L$19/(1+$A$27/100)^DCF_Base!$C$4:$L$4)+MAX(0,MIN(IF($A$27&gt;$D$23,DCF_Base!$L$19*(1+$D$23/100)/(($A$27-$D$23)/100),DCF_Base!$L$19*DCF_Base!$B$29),DCF_Base!$L$19*DCF_Base!$B$29))/(1+$A$27/100)^DCF_Base!$L$4+Assumptions!$B$5-Assumptions!$B$4)/Assumptions!$B$3*Assumptions!$B$10</f>
        <v>3164.08207732123</v>
      </c>
      <c r="E27" s="0" t="n">
        <f aca="false">(SUMPRODUCT(DCF_Base!$C$19:$L$19/(1+$A$27/100)^DCF_Base!$C$4:$L$4)+MAX(0,MIN(IF($A$27&gt;$E$23,DCF_Base!$L$19*(1+$E$23/100)/(($A$27-$E$23)/100),DCF_Base!$L$19*DCF_Base!$B$29),DCF_Base!$L$19*DCF_Base!$B$29))/(1+$A$27/100)^DCF_Base!$L$4+Assumptions!$B$5-Assumptions!$B$4)/Assumptions!$B$3*Assumptions!$B$10</f>
        <v>3207.49013943495</v>
      </c>
      <c r="F27" s="0" t="n">
        <f aca="false">(SUMPRODUCT(DCF_Base!$C$19:$L$19/(1+$A$27/100)^DCF_Base!$C$4:$L$4)+MAX(0,MIN(IF($A$27&gt;$F$23,DCF_Base!$L$19*(1+$F$23/100)/(($A$27-$F$23)/100),DCF_Base!$L$19*DCF_Base!$B$29),DCF_Base!$L$19*DCF_Base!$B$29))/(1+$A$27/100)^DCF_Base!$L$4+Assumptions!$B$5-Assumptions!$B$4)/Assumptions!$B$3*Assumptions!$B$10</f>
        <v>3207.49013943495</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2790.35983785263</v>
      </c>
      <c r="C28" s="0" t="n">
        <f aca="false">(SUMPRODUCT(DCF_Base!$C$19:$L$19/(1+$A$28/100)^DCF_Base!$C$4:$L$4)+MAX(0,MIN(IF($A$28&gt;$C$23,DCF_Base!$L$19*(1+$C$23/100)/(($A$28-$C$23)/100),DCF_Base!$L$19*DCF_Base!$B$29),DCF_Base!$L$19*DCF_Base!$B$29))/(1+$A$28/100)^DCF_Base!$L$4+Assumptions!$B$5-Assumptions!$B$4)/Assumptions!$B$3*Assumptions!$B$10</f>
        <v>2839.71312559434</v>
      </c>
      <c r="D28" s="0" t="n">
        <f aca="false">(SUMPRODUCT(DCF_Base!$C$19:$L$19/(1+$A$28/100)^DCF_Base!$C$4:$L$4)+MAX(0,MIN(IF($A$28&gt;$D$23,DCF_Base!$L$19*(1+$D$23/100)/(($A$28-$D$23)/100),DCF_Base!$L$19*DCF_Base!$B$29),DCF_Base!$L$19*DCF_Base!$B$29))/(1+$A$28/100)^DCF_Base!$L$4+Assumptions!$B$5-Assumptions!$B$4)/Assumptions!$B$3*Assumptions!$B$10</f>
        <v>2895.23557430376</v>
      </c>
      <c r="E28" s="0" t="n">
        <f aca="false">(SUMPRODUCT(DCF_Base!$C$19:$L$19/(1+$A$28/100)^DCF_Base!$C$4:$L$4)+MAX(0,MIN(IF($A$28&gt;$E$23,DCF_Base!$L$19*(1+$E$23/100)/(($A$28-$E$23)/100),DCF_Base!$L$19*DCF_Base!$B$29),DCF_Base!$L$19*DCF_Base!$B$29))/(1+$A$28/100)^DCF_Base!$L$4+Assumptions!$B$5-Assumptions!$B$4)/Assumptions!$B$3*Assumptions!$B$10</f>
        <v>2958.16101617444</v>
      </c>
      <c r="F28" s="0" t="n">
        <f aca="false">(SUMPRODUCT(DCF_Base!$C$19:$L$19/(1+$A$28/100)^DCF_Base!$C$4:$L$4)+MAX(0,MIN(IF($A$28&gt;$F$23,DCF_Base!$L$19*(1+$F$23/100)/(($A$28-$F$23)/100),DCF_Base!$L$19*DCF_Base!$B$29),DCF_Base!$L$19*DCF_Base!$B$29))/(1+$A$28/100)^DCF_Base!$L$4+Assumptions!$B$5-Assumptions!$B$4)/Assumptions!$B$3*Assumptions!$B$10</f>
        <v>3030.07580688379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2026-10-31T02:50:16Z</dcterms:created>
  <dc:creator>openpyxl</dc:creator>
  <dc:description/>
  <dc:language>en-NZ</dc:language>
  <cp:lastModifiedBy/>
  <dcterms:modified xsi:type="dcterms:W3CDTF">2026-10-31T02:50:16Z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