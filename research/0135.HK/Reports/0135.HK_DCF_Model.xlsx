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<sst xmlns="http://schemas.openxmlformats.org/spreadsheetml/2006/main" count="356" uniqueCount="166">
  <si>
    <t xml:space="preserve">Ticker</t>
  </si>
  <si>
    <t xml:space="preserve">0135.HK</t>
  </si>
  <si>
    <t xml:space="preserve">Company</t>
  </si>
  <si>
    <t xml:space="preserve">Kunlun Energy Company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</si>
  <si>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</si>
  <si>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</si>
  <si>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</si>
  <si>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</si>
  <si>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HKEX regular close (Yahoo chart API); ex the 2026 interim dividend (record date 9-Oct-2026)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</si>
  <si>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</si>
  <si>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</si>
  <si>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</si>
  <si>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</si>
  <si>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</si>
  <si>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</si>
  <si>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</si>
  <si>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</si>
  <si>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</si>
  <si>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</si>
  <si>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</si>
  <si>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</si>
  <si>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</si>
  <si>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2026-10-10T21:08:24Z</t>
  </si>
  <si>
    <t xml:space="preserve">Drivers file</t>
  </si>
  <si>
    <t xml:space="preserve">0135.HK_Drivers.json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</si>
  <si>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</si>
  <si>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</si>
  <si>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</si>
  <si>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Net-cash, CNPC-controlled city-gas and LNG operator valued on attributable owner FCF in CNY at a CNY cost of capital, converted to HKD at the spot rate. The two judgment calls that matter most are the ~35% minority leakage (charged once, in the flows) and how much of the consolidated cash pile actually belongs to Kunlun shareholders.
key_risks_to_valuation: China gas tariff / pass-through policy (single-regulator dependency); NCI leakage rate: each 1pp of combined leakage is ~2% of value; Cash attribution: ~two-thirds of the cash sits in part-owned subsidiaries; the NCI-share deduction is estimated from the segment note; CNY/HKD rate moves the HKD value one-for-one; refresh_price.py does not refresh fx_rate; Recurring impairments from loss-making-subsidiary governance (565 FY24, 732 FY25) are inside the EBITDA margin anchor</t>
  </si>
  <si>
    <t xml:space="preserve">Data sources</t>
  </si>
  <si>
    <t xml:space="preserve">price: Yahoo Finance chart API at inputs.price_as_of; 52-week range 6.34-8.83 HKD
fx: Yahoo CNYHKD=X at 2026-10-10; cross-checked against the company's RMB:HKD dividend conversion rate in the H1-2026 interim report
financials: 0135.HK_Metrics.csv (core_metrics, RMB millions); FY2025 annual report (statement of comprehensive income, cash flow, EBITDA definition); H1-2026 interim report (balance sheet, borrowings, leases, NCI, segment note 20, share count and dividend note 10)
qualitative: 0135.HK_Analysis.json</t>
  </si>
  <si>
    <t xml:space="preserve">Scenario narrative: bear</t>
  </si>
  <si>
    <t xml:space="preserve">The axes are tariff policy and demand: high import costs with lagged pass-through squeeze distribution margins, industrial gas demand stays soft (H1-26 national consumption -2.4%), impairments from loss-making subsidiaries recur, and electrification bends the long-run curve. Revenue grows ~1.5%, margin falls to 7.8%, and working capital absorbs cash.</t>
  </si>
  <si>
    <t xml:space="preserve">Scenario narrative: base</t>
  </si>
  <si>
    <t xml:space="preserve">Kunlun compounds as a low-growth, net-cash city-gas utility: revenue ~3-4% on volume plus LNG mix, EBITDA margin stable at ~9% (between FY25's impairment-hit 8.7% and FY23's 10.0%), capex roughly matching D&amp;A, and ~35% of profit leaking to minorities in part-owned city-gas and LNG subsidiaries. The 50%-minimum payout and ~10% buyback mandate return cash but do not change the flows.</t>
  </si>
  <si>
    <t xml:space="preserve">Scenario narrative: bull</t>
  </si>
  <si>
    <t xml:space="preserve">The axes are LNG and pricing policy: LNG terminals, plants and offshore bunkering keep scaling at double digits and carry segment margins far above gas retail; residential price pass-through reaches full linkage; China gas demand reverts to the ~5%/yr plan. Margin rebuilds to ~9.9% and minority buy-ins lift the attributable share.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</si>
  <si>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</si>
  <si>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</si>
  <si>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</si>
  <si>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</si>
  <si>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</si>
  <si>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</si>
  <si>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</si>
  <si>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</si>
  <si>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</si>
  <si>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</si>
  <si>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</si>
  <si>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</si>
  <si>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</si>
  <si>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</si>
  <si>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</si>
  <si>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</si>
  <si>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</si>
  <si>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</si>
  <si>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</si>
  <si>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</si>
  <si>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</si>
  <si>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</si>
  <si>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</si>
  <si>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</si>
  <si>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</si>
  <si>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</si>
  <si>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</si>
  <si>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NetIncomeContinuing</t>
  </si>
  <si>
    <t xml:space="preserve">NetIncomeDiscontinued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</si>
  <si>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</si>
  <si>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</si>
  <si>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</si>
  <si>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</si>
  <si>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</si>
  <si>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</si>
  <si>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</si>
  <si>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</si>
  <si>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</si>
  <si>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</si>
  <si>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</si>
  <si>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</si>
  <si>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</si>
  <si>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</si>
  <si>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</si>
  <si>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</si>
  <si>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</si>
  <si>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</si>
  <si>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</si>
  <si>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</si>
  <si>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</si>
  <si>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</si>
  <si>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</si>
  <si>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</si>
  <si>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</si>
  <si>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</si>
  <si>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</si>
  <si>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</si>
  <si>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</si>
  <si>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</si>
  <si>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</si>
  <si>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</si>
  <si>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</si>
  <si>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</si>
  <si>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</si>
  <si>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</si>
  <si>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</si>
  <si>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</si>
  <si>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</si>
  <si>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</si>
  <si>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</si>
  <si>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</si>
  <si>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</si>
  <si>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</si>
  <si>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</si>
  <si>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0135.HK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</si>
  <si>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</si>
  <si>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</si>
  <si>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</si>
  <si>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</si>
  <si>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</si>
  <si>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</si>
  <si>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</si>
  <si>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</si>
  <si>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</si>
  <si>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</si>
  <si>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</si>
  <si>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</si>
  <si>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</si>
  <si>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</si>
  <si>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</si>
  <si>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</si>
  <si>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</si>
  <si>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</si>
  <si>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</si>
  <si>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</si>
  <si>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</si>
  <si>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</si>
  <si>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</si>
  <si>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</si>
  <si>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</si>
  <si>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</si>
  <si>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</si>
  <si>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</si>
  <si>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</si>
  <si>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</si>
  <si>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0135.HK owner-FCF component DCF: base case (millions, CNY)</t>
  </si>
  <si>
    <t xml:space="preserve">0135.HK owner-FCF component DCF: bull case (millions, CNY)</t>
  </si>
  <si>
    <t xml:space="preserve">0135.HK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</si>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</sst>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7.615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105470</v>
      </c>
      <c r="F2" s="0" t="n">
        <v>11651</v>
      </c>
      <c r="G2" s="0" t="n">
        <v>11</v>
      </c>
      <c r="H2" s="0" t="n">
        <v>20303</v>
      </c>
      <c r="I2" s="0" t="n">
        <v>4634</v>
      </c>
      <c r="J2" s="0" t="n">
        <v>4.4</v>
      </c>
      <c r="K2" s="0" t="n">
        <v>0.5468</v>
      </c>
      <c r="L2" s="0" t="n">
        <v>17018</v>
      </c>
      <c r="M2" s="0" t="n">
        <v>8458</v>
      </c>
      <c r="N2" s="0" t="n">
        <v>8560</v>
      </c>
      <c r="O2" s="0" t="n">
        <v>42704</v>
      </c>
      <c r="P2" s="0" t="n">
        <v>140587</v>
      </c>
      <c r="Q2" s="0" t="n">
        <v>70493</v>
      </c>
      <c r="R2" s="0" t="n">
        <v>38541</v>
      </c>
      <c r="S2" s="0" t="n">
        <v>20474</v>
      </c>
      <c r="T2" s="0" t="n">
        <v>8072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67</v>
      </c>
      <c r="B3" s="0" t="n">
        <v>113313</v>
      </c>
      <c r="F3" s="0" t="n">
        <v>13089</v>
      </c>
      <c r="G3" s="0" t="n">
        <v>11.6</v>
      </c>
      <c r="H3" s="0" t="n">
        <v>21491</v>
      </c>
      <c r="I3" s="0" t="n">
        <v>5551</v>
      </c>
      <c r="J3" s="0" t="n">
        <v>4.9</v>
      </c>
      <c r="K3" s="0" t="n">
        <v>0.6464</v>
      </c>
      <c r="L3" s="0" t="n">
        <v>16085</v>
      </c>
      <c r="M3" s="0" t="n">
        <v>9932</v>
      </c>
      <c r="N3" s="0" t="n">
        <v>6153</v>
      </c>
      <c r="O3" s="0" t="n">
        <v>49988</v>
      </c>
      <c r="P3" s="0" t="n">
        <v>147897</v>
      </c>
      <c r="Q3" s="0" t="n">
        <v>68712</v>
      </c>
      <c r="R3" s="0" t="n">
        <v>34499</v>
      </c>
      <c r="S3" s="0" t="n">
        <v>18640</v>
      </c>
      <c r="T3" s="0" t="n">
        <v>8321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68</v>
      </c>
      <c r="B4" s="0" t="n">
        <v>109251</v>
      </c>
      <c r="F4" s="0" t="n">
        <v>7962</v>
      </c>
      <c r="G4" s="0" t="n">
        <v>7.3</v>
      </c>
      <c r="H4" s="0" t="n">
        <v>12342</v>
      </c>
      <c r="I4" s="0" t="n">
        <v>6063</v>
      </c>
      <c r="J4" s="0" t="n">
        <v>5.5</v>
      </c>
      <c r="K4" s="0" t="n">
        <v>0.7002</v>
      </c>
      <c r="L4" s="0" t="n">
        <v>16738</v>
      </c>
      <c r="M4" s="0" t="n">
        <v>6802</v>
      </c>
      <c r="N4" s="0" t="n">
        <v>9936</v>
      </c>
      <c r="O4" s="0" t="n">
        <v>53584</v>
      </c>
      <c r="P4" s="0" t="n">
        <v>154988</v>
      </c>
      <c r="Q4" s="0" t="n">
        <v>70461</v>
      </c>
      <c r="R4" s="0" t="n">
        <v>27673</v>
      </c>
      <c r="S4" s="0" t="n">
        <v>16273</v>
      </c>
      <c r="T4" s="0" t="n">
        <v>8658.8</v>
      </c>
      <c r="U4" s="0" t="n">
        <v>0</v>
      </c>
      <c r="AA4" s="0" t="s">
        <v>18</v>
      </c>
      <c r="AB4" s="0" t="s">
        <v>14</v>
      </c>
      <c r="AC4" s="0" t="n">
        <v>3580</v>
      </c>
      <c r="AD4" s="0" t="n">
        <v>2483</v>
      </c>
    </row>
    <row r="5" customFormat="false" ht="15" hidden="false" customHeight="false" outlineLevel="0" collapsed="false">
      <c r="A5" s="0" t="s">
        <v>69</v>
      </c>
      <c r="B5" s="0" t="n">
        <v>138547</v>
      </c>
      <c r="F5" s="0" t="n">
        <v>9474</v>
      </c>
      <c r="G5" s="0" t="n">
        <v>6.8</v>
      </c>
      <c r="H5" s="0" t="n">
        <v>15476</v>
      </c>
      <c r="I5" s="0" t="n">
        <v>23016</v>
      </c>
      <c r="J5" s="0" t="n">
        <v>16.6</v>
      </c>
      <c r="K5" s="0" t="n">
        <v>2.658</v>
      </c>
      <c r="L5" s="0" t="n">
        <v>12000</v>
      </c>
      <c r="M5" s="0" t="n">
        <v>7864</v>
      </c>
      <c r="N5" s="0" t="n">
        <v>4136</v>
      </c>
      <c r="O5" s="0" t="n">
        <v>56275</v>
      </c>
      <c r="P5" s="0" t="n">
        <v>132582</v>
      </c>
      <c r="Q5" s="0" t="n">
        <v>56721</v>
      </c>
      <c r="R5" s="0" t="n">
        <v>24465</v>
      </c>
      <c r="S5" s="0" t="n">
        <v>28494</v>
      </c>
      <c r="T5" s="0" t="n">
        <v>8658.8</v>
      </c>
      <c r="U5" s="0" t="n">
        <v>0</v>
      </c>
      <c r="AA5" s="0" t="s">
        <v>18</v>
      </c>
      <c r="AB5" s="0" t="s">
        <v>14</v>
      </c>
      <c r="AC5" s="0" t="n">
        <v>5141</v>
      </c>
      <c r="AD5" s="0" t="n">
        <v>17875</v>
      </c>
    </row>
    <row r="6" customFormat="false" ht="15" hidden="false" customHeight="false" outlineLevel="0" collapsed="false">
      <c r="A6" s="0" t="s">
        <v>70</v>
      </c>
      <c r="B6" s="0" t="n">
        <v>171944</v>
      </c>
      <c r="F6" s="0" t="n">
        <v>10440</v>
      </c>
      <c r="G6" s="0" t="n">
        <v>6.1</v>
      </c>
      <c r="H6" s="0" t="n">
        <v>16319</v>
      </c>
      <c r="I6" s="0" t="n">
        <v>5228</v>
      </c>
      <c r="J6" s="0" t="n">
        <v>3</v>
      </c>
      <c r="K6" s="0" t="n">
        <v>0.6038</v>
      </c>
      <c r="L6" s="0" t="n">
        <v>14870</v>
      </c>
      <c r="M6" s="0" t="n">
        <v>5719</v>
      </c>
      <c r="N6" s="0" t="n">
        <v>9151</v>
      </c>
      <c r="O6" s="0" t="n">
        <v>59908</v>
      </c>
      <c r="P6" s="0" t="n">
        <v>138892</v>
      </c>
      <c r="Q6" s="0" t="n">
        <v>58190</v>
      </c>
      <c r="R6" s="0" t="n">
        <v>25081</v>
      </c>
      <c r="S6" s="0" t="n">
        <v>39481</v>
      </c>
      <c r="T6" s="0" t="n">
        <v>8658.8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71</v>
      </c>
      <c r="B7" s="0" t="n">
        <v>177354</v>
      </c>
      <c r="F7" s="0" t="n">
        <v>11638</v>
      </c>
      <c r="G7" s="0" t="n">
        <v>6.6</v>
      </c>
      <c r="H7" s="0" t="n">
        <v>17675</v>
      </c>
      <c r="I7" s="0" t="n">
        <v>5682</v>
      </c>
      <c r="J7" s="0" t="n">
        <v>3.2</v>
      </c>
      <c r="K7" s="0" t="n">
        <v>0.6562</v>
      </c>
      <c r="L7" s="0" t="n">
        <v>14408</v>
      </c>
      <c r="M7" s="0" t="n">
        <v>5179</v>
      </c>
      <c r="N7" s="0" t="n">
        <v>9229</v>
      </c>
      <c r="O7" s="0" t="n">
        <v>63449</v>
      </c>
      <c r="P7" s="0" t="n">
        <v>143519</v>
      </c>
      <c r="Q7" s="0" t="n">
        <v>57736</v>
      </c>
      <c r="R7" s="0" t="n">
        <v>24491</v>
      </c>
      <c r="S7" s="0" t="n">
        <v>45588</v>
      </c>
      <c r="T7" s="0" t="n">
        <v>8658.8</v>
      </c>
      <c r="U7" s="0" t="n">
        <v>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72</v>
      </c>
      <c r="B8" s="0" t="n">
        <v>187046</v>
      </c>
      <c r="F8" s="0" t="n">
        <v>11354</v>
      </c>
      <c r="G8" s="0" t="n">
        <v>6.1</v>
      </c>
      <c r="H8" s="0" t="n">
        <v>17640</v>
      </c>
      <c r="I8" s="0" t="n">
        <v>5960</v>
      </c>
      <c r="J8" s="0" t="n">
        <v>3.2</v>
      </c>
      <c r="K8" s="0" t="n">
        <v>0.6883</v>
      </c>
      <c r="L8" s="0" t="n">
        <v>12514</v>
      </c>
      <c r="M8" s="0" t="n">
        <v>6096</v>
      </c>
      <c r="N8" s="0" t="n">
        <v>6418</v>
      </c>
      <c r="O8" s="0" t="n">
        <v>65149</v>
      </c>
      <c r="P8" s="0" t="n">
        <v>143390</v>
      </c>
      <c r="Q8" s="0" t="n">
        <v>54555</v>
      </c>
      <c r="R8" s="0" t="n">
        <v>23462</v>
      </c>
      <c r="S8" s="0" t="n">
        <v>45092</v>
      </c>
      <c r="T8" s="0" t="n">
        <v>8658.8</v>
      </c>
      <c r="U8" s="0" t="n">
        <v>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73</v>
      </c>
      <c r="B9" s="0" t="n">
        <v>193979</v>
      </c>
      <c r="F9" s="0" t="n">
        <v>10379</v>
      </c>
      <c r="G9" s="0" t="n">
        <v>5.4</v>
      </c>
      <c r="H9" s="0" t="n">
        <v>16889</v>
      </c>
      <c r="I9" s="0" t="n">
        <v>5346</v>
      </c>
      <c r="J9" s="0" t="n">
        <v>2.8</v>
      </c>
      <c r="K9" s="0" t="n">
        <v>0.6174</v>
      </c>
      <c r="L9" s="0" t="n">
        <v>12430</v>
      </c>
      <c r="M9" s="0" t="n">
        <v>5882</v>
      </c>
      <c r="N9" s="0" t="n">
        <v>6548</v>
      </c>
      <c r="O9" s="0" t="n">
        <v>67757</v>
      </c>
      <c r="P9" s="0" t="n">
        <v>144119</v>
      </c>
      <c r="Q9" s="0" t="n">
        <v>51842</v>
      </c>
      <c r="R9" s="0" t="n">
        <v>20743</v>
      </c>
      <c r="S9" s="0" t="n">
        <v>44609</v>
      </c>
      <c r="T9" s="0" t="n">
        <v>8658.8</v>
      </c>
      <c r="U9" s="0" t="n">
        <v>0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7.615</v>
      </c>
    </row>
    <row r="3" customFormat="false" ht="15" hidden="false" customHeight="false" outlineLevel="0" collapsed="false">
      <c r="A3" s="0" t="s">
        <v>77</v>
      </c>
      <c r="B3" s="3" t="n">
        <v>8620</v>
      </c>
    </row>
    <row r="4" customFormat="false" ht="15" hidden="false" customHeight="false" outlineLevel="0" collapsed="false">
      <c r="A4" s="0" t="s">
        <v>78</v>
      </c>
      <c r="B4" s="3" t="n">
        <v>-27398</v>
      </c>
    </row>
    <row r="5" customFormat="false" ht="15" hidden="false" customHeight="false" outlineLevel="0" collapsed="false">
      <c r="A5" s="0" t="s">
        <v>79</v>
      </c>
      <c r="B5" s="3" t="n">
        <v>-10679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193979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1.5</v>
      </c>
      <c r="D13" s="3" t="n">
        <v>1</v>
      </c>
      <c r="E13" s="3" t="n">
        <v>1.5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8.4</v>
      </c>
      <c r="D14" s="3" t="n">
        <v>8.2</v>
      </c>
      <c r="E14" s="3" t="n">
        <v>8</v>
      </c>
      <c r="F14" s="3" t="n">
        <v>7.9</v>
      </c>
      <c r="G14" s="3" t="n">
        <v>7.8</v>
      </c>
      <c r="H14" s="3" t="n">
        <v>7.8</v>
      </c>
      <c r="I14" s="3" t="n">
        <v>7.8</v>
      </c>
      <c r="J14" s="3" t="n">
        <v>7.8</v>
      </c>
      <c r="K14" s="3" t="n">
        <v>7.8</v>
      </c>
      <c r="L14" s="3" t="n">
        <v>7.8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0.28</v>
      </c>
      <c r="D16" s="3" t="n">
        <v>0.28</v>
      </c>
      <c r="E16" s="3" t="n">
        <v>0.28</v>
      </c>
      <c r="F16" s="3" t="n">
        <v>0.28</v>
      </c>
      <c r="G16" s="3" t="n">
        <v>0.28</v>
      </c>
      <c r="H16" s="3" t="n">
        <v>0.28</v>
      </c>
      <c r="I16" s="3" t="n">
        <v>0.28</v>
      </c>
      <c r="J16" s="3" t="n">
        <v>0.28</v>
      </c>
      <c r="K16" s="3" t="n">
        <v>0.28</v>
      </c>
      <c r="L16" s="3" t="n">
        <v>0.28</v>
      </c>
    </row>
    <row r="17" customFormat="false" ht="15" hidden="false" customHeight="false" outlineLevel="0" collapsed="false">
      <c r="A17" s="0" t="s">
        <v>101</v>
      </c>
      <c r="C17" s="3" t="n">
        <v>2.48</v>
      </c>
      <c r="D17" s="3" t="n">
        <v>2.53</v>
      </c>
      <c r="E17" s="3" t="n">
        <v>2.58</v>
      </c>
      <c r="F17" s="3" t="n">
        <v>2.63</v>
      </c>
      <c r="G17" s="3" t="n">
        <v>2.63</v>
      </c>
      <c r="H17" s="3" t="n">
        <v>2.63</v>
      </c>
      <c r="I17" s="3" t="n">
        <v>2.63</v>
      </c>
      <c r="J17" s="3" t="n">
        <v>2.63</v>
      </c>
      <c r="K17" s="3" t="n">
        <v>2.63</v>
      </c>
      <c r="L17" s="3" t="n">
        <v>2.63</v>
      </c>
    </row>
    <row r="18" customFormat="false" ht="15" hidden="false" customHeight="false" outlineLevel="0" collapsed="false">
      <c r="A18" s="0" t="s">
        <v>102</v>
      </c>
      <c r="C18" s="3" t="n">
        <v>3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103</v>
      </c>
      <c r="C19" s="3" t="n">
        <v>52</v>
      </c>
      <c r="D19" s="3" t="n">
        <v>52.5</v>
      </c>
      <c r="E19" s="3" t="n">
        <v>53</v>
      </c>
      <c r="F19" s="3" t="n">
        <v>53</v>
      </c>
      <c r="G19" s="3" t="n">
        <v>53</v>
      </c>
      <c r="H19" s="3" t="n">
        <v>53</v>
      </c>
      <c r="I19" s="3" t="n">
        <v>53</v>
      </c>
      <c r="J19" s="3" t="n">
        <v>53</v>
      </c>
      <c r="K19" s="3" t="n">
        <v>53</v>
      </c>
      <c r="L19" s="3" t="n">
        <v>53</v>
      </c>
    </row>
    <row r="20" customFormat="false" ht="15" hidden="false" customHeight="false" outlineLevel="0" collapsed="false">
      <c r="A20" s="0" t="s">
        <v>104</v>
      </c>
      <c r="B20" s="3" t="n">
        <v>8.5</v>
      </c>
    </row>
    <row r="21" customFormat="false" ht="15" hidden="false" customHeight="false" outlineLevel="0" collapsed="false">
      <c r="A21" s="0" t="s">
        <v>105</v>
      </c>
      <c r="B21" s="3" t="n">
        <v>1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-3</v>
      </c>
    </row>
    <row r="24" customFormat="false" ht="15" hidden="false" customHeight="false" outlineLevel="0" collapsed="false">
      <c r="A24" s="0" t="s">
        <v>108</v>
      </c>
      <c r="B24" s="3" t="n">
        <v>0.2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3</v>
      </c>
      <c r="D27" s="3" t="n">
        <v>3.5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8.8</v>
      </c>
      <c r="D28" s="3" t="n">
        <v>8.9</v>
      </c>
      <c r="E28" s="3" t="n">
        <v>9</v>
      </c>
      <c r="F28" s="3" t="n">
        <v>9</v>
      </c>
      <c r="G28" s="3" t="n">
        <v>9.1</v>
      </c>
      <c r="H28" s="3" t="n">
        <v>9.1</v>
      </c>
      <c r="I28" s="3" t="n">
        <v>9.1</v>
      </c>
      <c r="J28" s="3" t="n">
        <v>9.1</v>
      </c>
      <c r="K28" s="3" t="n">
        <v>9.1</v>
      </c>
      <c r="L28" s="3" t="n">
        <v>9.1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0.28</v>
      </c>
      <c r="D30" s="3" t="n">
        <v>0.28</v>
      </c>
      <c r="E30" s="3" t="n">
        <v>0.28</v>
      </c>
      <c r="F30" s="3" t="n">
        <v>0.28</v>
      </c>
      <c r="G30" s="3" t="n">
        <v>0.28</v>
      </c>
      <c r="H30" s="3" t="n">
        <v>0.28</v>
      </c>
      <c r="I30" s="3" t="n">
        <v>0.28</v>
      </c>
      <c r="J30" s="3" t="n">
        <v>0.28</v>
      </c>
      <c r="K30" s="3" t="n">
        <v>0.28</v>
      </c>
      <c r="L30" s="3" t="n">
        <v>0.28</v>
      </c>
    </row>
    <row r="31" customFormat="false" ht="15" hidden="false" customHeight="false" outlineLevel="0" collapsed="false">
      <c r="A31" s="0" t="s">
        <v>101</v>
      </c>
      <c r="C31" s="3" t="n">
        <v>2.48</v>
      </c>
      <c r="D31" s="3" t="n">
        <v>2.48</v>
      </c>
      <c r="E31" s="3" t="n">
        <v>2.48</v>
      </c>
      <c r="F31" s="3" t="n">
        <v>2.48</v>
      </c>
      <c r="G31" s="3" t="n">
        <v>2.48</v>
      </c>
      <c r="H31" s="3" t="n">
        <v>2.48</v>
      </c>
      <c r="I31" s="3" t="n">
        <v>2.48</v>
      </c>
      <c r="J31" s="3" t="n">
        <v>2.48</v>
      </c>
      <c r="K31" s="3" t="n">
        <v>2.48</v>
      </c>
      <c r="L31" s="3" t="n">
        <v>2.48</v>
      </c>
    </row>
    <row r="32" customFormat="false" ht="15" hidden="false" customHeight="false" outlineLevel="0" collapsed="false">
      <c r="A32" s="0" t="s">
        <v>102</v>
      </c>
      <c r="C32" s="3" t="n">
        <v>3</v>
      </c>
      <c r="D32" s="3" t="n">
        <v>3</v>
      </c>
      <c r="E32" s="3" t="n">
        <v>3</v>
      </c>
      <c r="F32" s="3" t="n">
        <v>3</v>
      </c>
      <c r="G32" s="3" t="n">
        <v>3</v>
      </c>
      <c r="H32" s="3" t="n">
        <v>2.95</v>
      </c>
      <c r="I32" s="3" t="n">
        <v>2.95</v>
      </c>
      <c r="J32" s="3" t="n">
        <v>2.9</v>
      </c>
      <c r="K32" s="3" t="n">
        <v>2.9</v>
      </c>
      <c r="L32" s="3" t="n">
        <v>2.9</v>
      </c>
    </row>
    <row r="33" customFormat="false" ht="15" hidden="false" customHeight="false" outlineLevel="0" collapsed="false">
      <c r="A33" s="0" t="s">
        <v>103</v>
      </c>
      <c r="C33" s="3" t="n">
        <v>52</v>
      </c>
      <c r="D33" s="3" t="n">
        <v>52</v>
      </c>
      <c r="E33" s="3" t="n">
        <v>51.5</v>
      </c>
      <c r="F33" s="3" t="n">
        <v>51.5</v>
      </c>
      <c r="G33" s="3" t="n">
        <v>51</v>
      </c>
      <c r="H33" s="3" t="n">
        <v>51</v>
      </c>
      <c r="I33" s="3" t="n">
        <v>51</v>
      </c>
      <c r="J33" s="3" t="n">
        <v>51</v>
      </c>
      <c r="K33" s="3" t="n">
        <v>51</v>
      </c>
      <c r="L33" s="3" t="n">
        <v>51</v>
      </c>
    </row>
    <row r="34" customFormat="false" ht="15" hidden="false" customHeight="false" outlineLevel="0" collapsed="false">
      <c r="A34" s="0" t="s">
        <v>104</v>
      </c>
      <c r="B34" s="3" t="n">
        <v>8.5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4</v>
      </c>
      <c r="D41" s="3" t="n">
        <v>5.5</v>
      </c>
      <c r="E41" s="3" t="n">
        <v>6</v>
      </c>
      <c r="F41" s="3" t="n">
        <v>6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9</v>
      </c>
      <c r="D42" s="3" t="n">
        <v>9.3</v>
      </c>
      <c r="E42" s="3" t="n">
        <v>9.5</v>
      </c>
      <c r="F42" s="3" t="n">
        <v>9.7</v>
      </c>
      <c r="G42" s="3" t="n">
        <v>9.8</v>
      </c>
      <c r="H42" s="3" t="n">
        <v>9.9</v>
      </c>
      <c r="I42" s="3" t="n">
        <v>9.9</v>
      </c>
      <c r="J42" s="3" t="n">
        <v>9.9</v>
      </c>
      <c r="K42" s="3" t="n">
        <v>9.9</v>
      </c>
      <c r="L42" s="3" t="n">
        <v>9.9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0.28</v>
      </c>
      <c r="D44" s="3" t="n">
        <v>0.28</v>
      </c>
      <c r="E44" s="3" t="n">
        <v>0.28</v>
      </c>
      <c r="F44" s="3" t="n">
        <v>0.28</v>
      </c>
      <c r="G44" s="3" t="n">
        <v>0.28</v>
      </c>
      <c r="H44" s="3" t="n">
        <v>0.28</v>
      </c>
      <c r="I44" s="3" t="n">
        <v>0.28</v>
      </c>
      <c r="J44" s="3" t="n">
        <v>0.28</v>
      </c>
      <c r="K44" s="3" t="n">
        <v>0.28</v>
      </c>
      <c r="L44" s="3" t="n">
        <v>0.28</v>
      </c>
    </row>
    <row r="45" customFormat="false" ht="15" hidden="false" customHeight="false" outlineLevel="0" collapsed="false">
      <c r="A45" s="0" t="s">
        <v>101</v>
      </c>
      <c r="C45" s="3" t="n">
        <v>2.48</v>
      </c>
      <c r="D45" s="3" t="n">
        <v>2.48</v>
      </c>
      <c r="E45" s="3" t="n">
        <v>2.48</v>
      </c>
      <c r="F45" s="3" t="n">
        <v>2.48</v>
      </c>
      <c r="G45" s="3" t="n">
        <v>2.48</v>
      </c>
      <c r="H45" s="3" t="n">
        <v>2.48</v>
      </c>
      <c r="I45" s="3" t="n">
        <v>2.48</v>
      </c>
      <c r="J45" s="3" t="n">
        <v>2.48</v>
      </c>
      <c r="K45" s="3" t="n">
        <v>2.48</v>
      </c>
      <c r="L45" s="3" t="n">
        <v>2.48</v>
      </c>
    </row>
    <row r="46" customFormat="false" ht="15" hidden="false" customHeight="false" outlineLevel="0" collapsed="false">
      <c r="A46" s="0" t="s">
        <v>102</v>
      </c>
      <c r="C46" s="3" t="n">
        <v>3.1</v>
      </c>
      <c r="D46" s="3" t="n">
        <v>3.2</v>
      </c>
      <c r="E46" s="3" t="n">
        <v>3.2</v>
      </c>
      <c r="F46" s="3" t="n">
        <v>3.1</v>
      </c>
      <c r="G46" s="3" t="n">
        <v>3</v>
      </c>
      <c r="H46" s="3" t="n">
        <v>3</v>
      </c>
      <c r="I46" s="3" t="n">
        <v>2.95</v>
      </c>
      <c r="J46" s="3" t="n">
        <v>2.9</v>
      </c>
      <c r="K46" s="3" t="n">
        <v>2.9</v>
      </c>
      <c r="L46" s="3" t="n">
        <v>2.9</v>
      </c>
    </row>
    <row r="47" customFormat="false" ht="15" hidden="false" customHeight="false" outlineLevel="0" collapsed="false">
      <c r="A47" s="0" t="s">
        <v>103</v>
      </c>
      <c r="C47" s="3" t="n">
        <v>52</v>
      </c>
      <c r="D47" s="3" t="n">
        <v>51.5</v>
      </c>
      <c r="E47" s="3" t="n">
        <v>51</v>
      </c>
      <c r="F47" s="3" t="n">
        <v>50.5</v>
      </c>
      <c r="G47" s="3" t="n">
        <v>50</v>
      </c>
      <c r="H47" s="3" t="n">
        <v>50</v>
      </c>
      <c r="I47" s="3" t="n">
        <v>50</v>
      </c>
      <c r="J47" s="3" t="n">
        <v>50</v>
      </c>
      <c r="K47" s="3" t="n">
        <v>50</v>
      </c>
      <c r="L47" s="3" t="n">
        <v>50</v>
      </c>
    </row>
    <row r="48" customFormat="false" ht="15" hidden="false" customHeight="false" outlineLevel="0" collapsed="false">
      <c r="A48" s="0" t="s">
        <v>104</v>
      </c>
      <c r="B48" s="3" t="n">
        <v>8.5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1.5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193979</v>
      </c>
      <c r="C6" s="0" t="n">
        <f aca="false">B6*(1+C5/100)</f>
        <v>196888.685</v>
      </c>
      <c r="D6" s="0" t="n">
        <f aca="false">C6*(1+D5/100)</f>
        <v>198857.57185</v>
      </c>
      <c r="E6" s="0" t="n">
        <f aca="false">D6*(1+E5/100)</f>
        <v>201840.43542775</v>
      </c>
      <c r="F6" s="0" t="n">
        <f aca="false">E6*(1+F5/100)</f>
        <v>204868.041959166</v>
      </c>
      <c r="G6" s="0" t="n">
        <f aca="false">F6*(1+G5/100)</f>
        <v>207941.062588554</v>
      </c>
      <c r="H6" s="0" t="n">
        <f aca="false">G6*(1+H5/100)</f>
        <v>211060.178527382</v>
      </c>
      <c r="I6" s="0" t="n">
        <f aca="false">H6*(1+I5/100)</f>
        <v>214226.081205293</v>
      </c>
      <c r="J6" s="0" t="n">
        <f aca="false">I6*(1+J5/100)</f>
        <v>217439.472423372</v>
      </c>
      <c r="K6" s="0" t="n">
        <f aca="false">J6*(1+K5/100)</f>
        <v>220701.064509723</v>
      </c>
      <c r="L6" s="0" t="n">
        <f aca="false">K6*(1+L5/100)</f>
        <v>224011.580477368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8.4</v>
      </c>
      <c r="D7" s="4" t="n">
        <f aca="false">Assumptions!D14</f>
        <v>8.2</v>
      </c>
      <c r="E7" s="4" t="n">
        <f aca="false">Assumptions!E14</f>
        <v>8</v>
      </c>
      <c r="F7" s="4" t="n">
        <f aca="false">Assumptions!F14</f>
        <v>7.9</v>
      </c>
      <c r="G7" s="4" t="n">
        <f aca="false">Assumptions!G14</f>
        <v>7.8</v>
      </c>
      <c r="H7" s="4" t="n">
        <f aca="false">Assumptions!H14</f>
        <v>7.8</v>
      </c>
      <c r="I7" s="4" t="n">
        <f aca="false">Assumptions!I14</f>
        <v>7.8</v>
      </c>
      <c r="J7" s="4" t="n">
        <f aca="false">Assumptions!J14</f>
        <v>7.8</v>
      </c>
      <c r="K7" s="4" t="n">
        <f aca="false">Assumptions!K14</f>
        <v>7.8</v>
      </c>
      <c r="L7" s="4" t="n">
        <f aca="false">Assumptions!L14</f>
        <v>7.8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16538.64954</v>
      </c>
      <c r="D8" s="0" t="n">
        <f aca="false">D6*D7/100</f>
        <v>16306.3208917</v>
      </c>
      <c r="E8" s="0" t="n">
        <f aca="false">E6*E7/100</f>
        <v>16147.23483422</v>
      </c>
      <c r="F8" s="0" t="n">
        <f aca="false">F6*F7/100</f>
        <v>16184.5753147741</v>
      </c>
      <c r="G8" s="0" t="n">
        <f aca="false">G6*G7/100</f>
        <v>16219.4028819072</v>
      </c>
      <c r="H8" s="0" t="n">
        <f aca="false">H6*H7/100</f>
        <v>16462.6939251358</v>
      </c>
      <c r="I8" s="0" t="n">
        <f aca="false">I6*I7/100</f>
        <v>16709.6343340128</v>
      </c>
      <c r="J8" s="0" t="n">
        <f aca="false">J6*J7/100</f>
        <v>16960.278849023</v>
      </c>
      <c r="K8" s="0" t="n">
        <f aca="false">K6*K7/100</f>
        <v>17214.6830317584</v>
      </c>
      <c r="L8" s="0" t="n">
        <f aca="false">L6*L7/100</f>
        <v>17472.9032772347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15987.361222</v>
      </c>
      <c r="D11" s="0" t="n">
        <f aca="false">D8+D10+D24</f>
        <v>15749.51969052</v>
      </c>
      <c r="E11" s="0" t="n">
        <f aca="false">E8+E10+E24</f>
        <v>15582.0816150223</v>
      </c>
      <c r="F11" s="0" t="n">
        <f aca="false">F8+F10+F24</f>
        <v>15610.9447972885</v>
      </c>
      <c r="G11" s="0" t="n">
        <f aca="false">G8+G10+G24</f>
        <v>15637.1679066592</v>
      </c>
      <c r="H11" s="0" t="n">
        <f aca="false">H8+H10+H24</f>
        <v>15871.7254252591</v>
      </c>
      <c r="I11" s="0" t="n">
        <f aca="false">I8+I10+I24</f>
        <v>16109.801306638</v>
      </c>
      <c r="J11" s="0" t="n">
        <f aca="false">J8+J10+J24</f>
        <v>16351.4483262376</v>
      </c>
      <c r="K11" s="0" t="n">
        <f aca="false">K8+K10+K24</f>
        <v>16596.7200511311</v>
      </c>
      <c r="L11" s="0" t="n">
        <f aca="false">L8+L10+L24</f>
        <v>16845.6708518981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-4882.839388</v>
      </c>
      <c r="D12" s="4" t="n">
        <f aca="false">-D6*Assumptions!D17/100</f>
        <v>-5031.096567805</v>
      </c>
      <c r="E12" s="4" t="n">
        <f aca="false">-E6*Assumptions!E17/100</f>
        <v>-5207.48323403595</v>
      </c>
      <c r="F12" s="4" t="n">
        <f aca="false">-F6*Assumptions!F17/100</f>
        <v>-5388.02950352607</v>
      </c>
      <c r="G12" s="4" t="n">
        <f aca="false">-G6*Assumptions!G17/100</f>
        <v>-5468.84994607896</v>
      </c>
      <c r="H12" s="4" t="n">
        <f aca="false">-H6*Assumptions!H17/100</f>
        <v>-5550.88269527015</v>
      </c>
      <c r="I12" s="4" t="n">
        <f aca="false">-I6*Assumptions!I17/100</f>
        <v>-5634.1459356992</v>
      </c>
      <c r="J12" s="4" t="n">
        <f aca="false">-J6*Assumptions!J17/100</f>
        <v>-5718.65812473469</v>
      </c>
      <c r="K12" s="4" t="n">
        <f aca="false">-K6*Assumptions!K17/100</f>
        <v>-5804.43799660571</v>
      </c>
      <c r="L12" s="4" t="n">
        <f aca="false">-L6*Assumptions!L17/100</f>
        <v>-5891.50456655479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11104.521834</v>
      </c>
      <c r="D13" s="0" t="n">
        <f aca="false">D11+D12</f>
        <v>10718.423122715</v>
      </c>
      <c r="E13" s="0" t="n">
        <f aca="false">E11+E12</f>
        <v>10374.5983809863</v>
      </c>
      <c r="F13" s="0" t="n">
        <f aca="false">F11+F12</f>
        <v>10222.9152937624</v>
      </c>
      <c r="G13" s="0" t="n">
        <f aca="false">G11+G12</f>
        <v>10168.3179605803</v>
      </c>
      <c r="H13" s="0" t="n">
        <f aca="false">H11+H12</f>
        <v>10320.842729989</v>
      </c>
      <c r="I13" s="0" t="n">
        <f aca="false">I11+I12</f>
        <v>10475.6553709388</v>
      </c>
      <c r="J13" s="0" t="n">
        <f aca="false">J11+J12</f>
        <v>10632.7902015029</v>
      </c>
      <c r="K13" s="0" t="n">
        <f aca="false">K11+K12</f>
        <v>10792.2820545254</v>
      </c>
      <c r="L13" s="0" t="n">
        <f aca="false">L11+L12</f>
        <v>10954.1662853433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52</v>
      </c>
      <c r="D14" s="4" t="n">
        <f aca="false">Assumptions!D19</f>
        <v>52.5</v>
      </c>
      <c r="E14" s="4" t="n">
        <f aca="false">Assumptions!E19</f>
        <v>53</v>
      </c>
      <c r="F14" s="4" t="n">
        <f aca="false">Assumptions!F19</f>
        <v>53</v>
      </c>
      <c r="G14" s="4" t="n">
        <f aca="false">Assumptions!G19</f>
        <v>53</v>
      </c>
      <c r="H14" s="4" t="n">
        <f aca="false">Assumptions!H19</f>
        <v>53</v>
      </c>
      <c r="I14" s="4" t="n">
        <f aca="false">Assumptions!I19</f>
        <v>53</v>
      </c>
      <c r="J14" s="4" t="n">
        <f aca="false">Assumptions!J19</f>
        <v>53</v>
      </c>
      <c r="K14" s="4" t="n">
        <f aca="false">Assumptions!K19</f>
        <v>53</v>
      </c>
      <c r="L14" s="4" t="n">
        <f aca="false">Assumptions!L19</f>
        <v>53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5330.17048032</v>
      </c>
      <c r="D15" s="0" t="n">
        <f aca="false">D13-MAX(0,D13)*D14/100</f>
        <v>5091.25098328963</v>
      </c>
      <c r="E15" s="0" t="n">
        <f aca="false">E13-MAX(0,E13)*E14/100</f>
        <v>4876.06123906358</v>
      </c>
      <c r="F15" s="0" t="n">
        <f aca="false">F13-MAX(0,F13)*F14/100</f>
        <v>4804.77018806833</v>
      </c>
      <c r="G15" s="0" t="n">
        <f aca="false">G13-MAX(0,G13)*G14/100</f>
        <v>4779.10944147273</v>
      </c>
      <c r="H15" s="0" t="n">
        <f aca="false">H13-MAX(0,H13)*H14/100</f>
        <v>4850.79608309482</v>
      </c>
      <c r="I15" s="0" t="n">
        <f aca="false">I13-MAX(0,I13)*I14/100</f>
        <v>4923.55802434124</v>
      </c>
      <c r="J15" s="0" t="n">
        <f aca="false">J13-MAX(0,J13)*J14/100</f>
        <v>4997.41139470636</v>
      </c>
      <c r="K15" s="0" t="n">
        <f aca="false">K13-MAX(0,K13)*K14/100</f>
        <v>5072.37256562695</v>
      </c>
      <c r="L15" s="0" t="n">
        <f aca="false">L13-MAX(0,L13)*L14/100</f>
        <v>5148.45815411136</v>
      </c>
    </row>
    <row r="16" customFormat="false" ht="15" hidden="false" customHeight="false" outlineLevel="0" collapsed="false">
      <c r="A16" s="0" t="s">
        <v>119</v>
      </c>
      <c r="C16" s="0" t="n">
        <f aca="false">-C12</f>
        <v>4882.839388</v>
      </c>
      <c r="D16" s="0" t="n">
        <f aca="false">-D12</f>
        <v>5031.096567805</v>
      </c>
      <c r="E16" s="0" t="n">
        <f aca="false">-E12</f>
        <v>5207.48323403595</v>
      </c>
      <c r="F16" s="0" t="n">
        <f aca="false">-F12</f>
        <v>5388.02950352607</v>
      </c>
      <c r="G16" s="0" t="n">
        <f aca="false">-G12</f>
        <v>5468.84994607896</v>
      </c>
      <c r="H16" s="0" t="n">
        <f aca="false">-H12</f>
        <v>5550.88269527015</v>
      </c>
      <c r="I16" s="0" t="n">
        <f aca="false">-I12</f>
        <v>5634.1459356992</v>
      </c>
      <c r="J16" s="0" t="n">
        <f aca="false">-J12</f>
        <v>5718.65812473469</v>
      </c>
      <c r="K16" s="0" t="n">
        <f aca="false">-K12</f>
        <v>5804.43799660571</v>
      </c>
      <c r="L16" s="0" t="n">
        <f aca="false">-L12</f>
        <v>5891.50456655479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-5906.66055</v>
      </c>
      <c r="D17" s="4" t="n">
        <f aca="false">-D6*Assumptions!D18/100</f>
        <v>-5965.7271555</v>
      </c>
      <c r="E17" s="4" t="n">
        <f aca="false">-E6*Assumptions!E18/100</f>
        <v>-6055.2130628325</v>
      </c>
      <c r="F17" s="4" t="n">
        <f aca="false">-F6*Assumptions!F18/100</f>
        <v>-6146.04125877499</v>
      </c>
      <c r="G17" s="4" t="n">
        <f aca="false">-G6*Assumptions!G18/100</f>
        <v>-6238.23187765661</v>
      </c>
      <c r="H17" s="4" t="n">
        <f aca="false">-H6*Assumptions!H18/100</f>
        <v>-6331.80535582146</v>
      </c>
      <c r="I17" s="4" t="n">
        <f aca="false">-I6*Assumptions!I18/100</f>
        <v>-6426.78243615878</v>
      </c>
      <c r="J17" s="4" t="n">
        <f aca="false">-J6*Assumptions!J18/100</f>
        <v>-6523.18417270116</v>
      </c>
      <c r="K17" s="4" t="n">
        <f aca="false">-K6*Assumptions!K18/100</f>
        <v>-6621.03193529168</v>
      </c>
      <c r="L17" s="4" t="n">
        <f aca="false">-L6*Assumptions!L18/100</f>
        <v>-6720.34741432105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-87.2905499999991</v>
      </c>
      <c r="D18" s="4" t="n">
        <f aca="false">(D6-C6)*Assumptions!$B$23/100</f>
        <v>-59.0666055000003</v>
      </c>
      <c r="E18" s="4" t="n">
        <f aca="false">(E6-D6)*Assumptions!$B$23/100</f>
        <v>-89.4859073324996</v>
      </c>
      <c r="F18" s="4" t="n">
        <f aca="false">(F6-E6)*Assumptions!$B$23/100</f>
        <v>-90.8281959424872</v>
      </c>
      <c r="G18" s="4" t="n">
        <f aca="false">(G6-F6)*Assumptions!$B$23/100</f>
        <v>-92.190618881624</v>
      </c>
      <c r="H18" s="4" t="n">
        <f aca="false">(H6-G6)*Assumptions!$B$23/100</f>
        <v>-93.5734781648489</v>
      </c>
      <c r="I18" s="4" t="n">
        <f aca="false">(I6-H6)*Assumptions!$B$23/100</f>
        <v>-94.9770803373217</v>
      </c>
      <c r="J18" s="4" t="n">
        <f aca="false">(J6-I6)*Assumptions!$B$23/100</f>
        <v>-96.4017365423811</v>
      </c>
      <c r="K18" s="4" t="n">
        <f aca="false">(K6-J6)*Assumptions!$B$23/100</f>
        <v>-97.8477625905164</v>
      </c>
      <c r="L18" s="4" t="n">
        <f aca="false">(L6-K6)*Assumptions!$B$23/100</f>
        <v>-99.3154790293748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4219.05876832</v>
      </c>
      <c r="D19" s="0" t="n">
        <f aca="false">D15+D16+D17+D18</f>
        <v>4097.55379009462</v>
      </c>
      <c r="E19" s="0" t="n">
        <f aca="false">E15+E16+E17+E18</f>
        <v>3938.84550293454</v>
      </c>
      <c r="F19" s="0" t="n">
        <f aca="false">F15+F16+F17+F18</f>
        <v>3955.93023687692</v>
      </c>
      <c r="G19" s="0" t="n">
        <f aca="false">G15+G16+G17+G18</f>
        <v>3917.53689101345</v>
      </c>
      <c r="H19" s="0" t="n">
        <f aca="false">H15+H16+H17+H18</f>
        <v>3976.29994437866</v>
      </c>
      <c r="I19" s="0" t="n">
        <f aca="false">I15+I16+I17+I18</f>
        <v>4035.94444354434</v>
      </c>
      <c r="J19" s="0" t="n">
        <f aca="false">J15+J16+J17+J18</f>
        <v>4096.4836101975</v>
      </c>
      <c r="K19" s="0" t="n">
        <f aca="false">K15+K16+K17+K18</f>
        <v>4157.93086435047</v>
      </c>
      <c r="L19" s="0" t="n">
        <f aca="false">L15+L16+L17+L18</f>
        <v>4220.29982731572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3888.53342702304</v>
      </c>
      <c r="D21" s="0" t="n">
        <f aca="false">D19*D20</f>
        <v>3480.68872993236</v>
      </c>
      <c r="E21" s="0" t="n">
        <f aca="false">E19*E20</f>
        <v>3083.75404271491</v>
      </c>
      <c r="F21" s="0" t="n">
        <f aca="false">F19*F20</f>
        <v>2854.49752928842</v>
      </c>
      <c r="G21" s="0" t="n">
        <f aca="false">G19*G20</f>
        <v>2605.33997993211</v>
      </c>
      <c r="H21" s="0" t="n">
        <f aca="false">H19*H20</f>
        <v>2437.25352961391</v>
      </c>
      <c r="I21" s="0" t="n">
        <f aca="false">I19*I20</f>
        <v>2280.01136641301</v>
      </c>
      <c r="J21" s="0" t="n">
        <f aca="false">J19*J20</f>
        <v>2132.91385890249</v>
      </c>
      <c r="K21" s="0" t="n">
        <f aca="false">K19*K20</f>
        <v>1995.30651316685</v>
      </c>
      <c r="L21" s="0" t="n">
        <f aca="false">L19*L20</f>
        <v>1866.57706070447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0.28</v>
      </c>
      <c r="D23" s="4" t="n">
        <f aca="false">Assumptions!D16</f>
        <v>0.28</v>
      </c>
      <c r="E23" s="4" t="n">
        <f aca="false">Assumptions!E16</f>
        <v>0.28</v>
      </c>
      <c r="F23" s="4" t="n">
        <f aca="false">Assumptions!F16</f>
        <v>0.28</v>
      </c>
      <c r="G23" s="4" t="n">
        <f aca="false">Assumptions!G16</f>
        <v>0.28</v>
      </c>
      <c r="H23" s="4" t="n">
        <f aca="false">Assumptions!H16</f>
        <v>0.28</v>
      </c>
      <c r="I23" s="4" t="n">
        <f aca="false">Assumptions!I16</f>
        <v>0.28</v>
      </c>
      <c r="J23" s="4" t="n">
        <f aca="false">Assumptions!J16</f>
        <v>0.28</v>
      </c>
      <c r="K23" s="4" t="n">
        <f aca="false">Assumptions!K16</f>
        <v>0.28</v>
      </c>
      <c r="L23" s="4" t="n">
        <f aca="false">Assumptions!L16</f>
        <v>0.28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-551.288318</v>
      </c>
      <c r="D24" s="0" t="n">
        <f aca="false">-D6*D23/100</f>
        <v>-556.80120118</v>
      </c>
      <c r="E24" s="0" t="n">
        <f aca="false">-E6*E23/100</f>
        <v>-565.1532191977</v>
      </c>
      <c r="F24" s="0" t="n">
        <f aca="false">-F6*F23/100</f>
        <v>-573.630517485666</v>
      </c>
      <c r="G24" s="0" t="n">
        <f aca="false">-G6*G23/100</f>
        <v>-582.23497524795</v>
      </c>
      <c r="H24" s="0" t="n">
        <f aca="false">-H6*H23/100</f>
        <v>-590.96849987667</v>
      </c>
      <c r="I24" s="0" t="n">
        <f aca="false">-I6*I23/100</f>
        <v>-599.83302737482</v>
      </c>
      <c r="J24" s="0" t="n">
        <f aca="false">-J6*J23/100</f>
        <v>-608.830522785442</v>
      </c>
      <c r="K24" s="0" t="n">
        <f aca="false">-K6*K23/100</f>
        <v>-617.962980627223</v>
      </c>
      <c r="L24" s="0" t="n">
        <f aca="false">-L6*L23/100</f>
        <v>-627.232425336632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26624.8760376916</v>
      </c>
    </row>
    <row r="31" customFormat="false" ht="15" hidden="false" customHeight="false" outlineLevel="0" collapsed="false">
      <c r="A31" s="0" t="s">
        <v>128</v>
      </c>
      <c r="B31" s="0" t="n">
        <f aca="false">L19</f>
        <v>4220.29982731572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56833.3710078517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50643.5979277887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50643.5979277887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22398.9247284537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49023.8007661452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65742.8007661452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8.93934301368896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0.173912411515293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8.93934301368896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30446.4487542063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6.06608954802291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3</v>
      </c>
      <c r="D5" s="4" t="n">
        <f aca="false">Assumptions!D27</f>
        <v>3.5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193979</v>
      </c>
      <c r="C6" s="0" t="n">
        <f aca="false">B6*(1+C5/100)</f>
        <v>199798.37</v>
      </c>
      <c r="D6" s="0" t="n">
        <f aca="false">C6*(1+D5/100)</f>
        <v>206791.31295</v>
      </c>
      <c r="E6" s="0" t="n">
        <f aca="false">D6*(1+E5/100)</f>
        <v>215062.965468</v>
      </c>
      <c r="F6" s="0" t="n">
        <f aca="false">E6*(1+F5/100)</f>
        <v>223665.48408672</v>
      </c>
      <c r="G6" s="0" t="n">
        <f aca="false">F6*(1+G5/100)</f>
        <v>231493.776029755</v>
      </c>
      <c r="H6" s="0" t="n">
        <f aca="false">G6*(1+H5/100)</f>
        <v>238438.589310648</v>
      </c>
      <c r="I6" s="0" t="n">
        <f aca="false">H6*(1+I5/100)</f>
        <v>245591.746989967</v>
      </c>
      <c r="J6" s="0" t="n">
        <f aca="false">I6*(1+J5/100)</f>
        <v>251731.540664716</v>
      </c>
      <c r="K6" s="0" t="n">
        <f aca="false">J6*(1+K5/100)</f>
        <v>258024.829181334</v>
      </c>
      <c r="L6" s="0" t="n">
        <f aca="false">K6*(1+L5/100)</f>
        <v>264475.449910868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8.8</v>
      </c>
      <c r="D7" s="4" t="n">
        <f aca="false">Assumptions!D28</f>
        <v>8.9</v>
      </c>
      <c r="E7" s="4" t="n">
        <f aca="false">Assumptions!E28</f>
        <v>9</v>
      </c>
      <c r="F7" s="4" t="n">
        <f aca="false">Assumptions!F28</f>
        <v>9</v>
      </c>
      <c r="G7" s="4" t="n">
        <f aca="false">Assumptions!G28</f>
        <v>9.1</v>
      </c>
      <c r="H7" s="4" t="n">
        <f aca="false">Assumptions!H28</f>
        <v>9.1</v>
      </c>
      <c r="I7" s="4" t="n">
        <f aca="false">Assumptions!I28</f>
        <v>9.1</v>
      </c>
      <c r="J7" s="4" t="n">
        <f aca="false">Assumptions!J28</f>
        <v>9.1</v>
      </c>
      <c r="K7" s="4" t="n">
        <f aca="false">Assumptions!K28</f>
        <v>9.1</v>
      </c>
      <c r="L7" s="4" t="n">
        <f aca="false">Assumptions!L28</f>
        <v>9.1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17582.25656</v>
      </c>
      <c r="D8" s="0" t="n">
        <f aca="false">D6*D7/100</f>
        <v>18404.42685255</v>
      </c>
      <c r="E8" s="0" t="n">
        <f aca="false">E6*E7/100</f>
        <v>19355.66689212</v>
      </c>
      <c r="F8" s="0" t="n">
        <f aca="false">F6*F7/100</f>
        <v>20129.8935678048</v>
      </c>
      <c r="G8" s="0" t="n">
        <f aca="false">G6*G7/100</f>
        <v>21065.9336187077</v>
      </c>
      <c r="H8" s="0" t="n">
        <f aca="false">H6*H7/100</f>
        <v>21697.911627269</v>
      </c>
      <c r="I8" s="0" t="n">
        <f aca="false">I6*I7/100</f>
        <v>22348.848976087</v>
      </c>
      <c r="J8" s="0" t="n">
        <f aca="false">J6*J7/100</f>
        <v>22907.5702004892</v>
      </c>
      <c r="K8" s="0" t="n">
        <f aca="false">K6*K7/100</f>
        <v>23480.2594555014</v>
      </c>
      <c r="L8" s="0" t="n">
        <f aca="false">L6*L7/100</f>
        <v>24067.265941889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17022.821124</v>
      </c>
      <c r="D11" s="0" t="n">
        <f aca="false">D8+D10+D24</f>
        <v>17825.41117629</v>
      </c>
      <c r="E11" s="0" t="n">
        <f aca="false">E8+E10+E24</f>
        <v>18753.4905888096</v>
      </c>
      <c r="F11" s="0" t="n">
        <f aca="false">F8+F10+F24</f>
        <v>19503.630212362</v>
      </c>
      <c r="G11" s="0" t="n">
        <f aca="false">G8+G10+G24</f>
        <v>20417.7510458244</v>
      </c>
      <c r="H11" s="0" t="n">
        <f aca="false">H8+H10+H24</f>
        <v>21030.2835771991</v>
      </c>
      <c r="I11" s="0" t="n">
        <f aca="false">I8+I10+I24</f>
        <v>21661.1920845151</v>
      </c>
      <c r="J11" s="0" t="n">
        <f aca="false">J8+J10+J24</f>
        <v>22202.721886628</v>
      </c>
      <c r="K11" s="0" t="n">
        <f aca="false">K8+K10+K24</f>
        <v>22757.7899337937</v>
      </c>
      <c r="L11" s="0" t="n">
        <f aca="false">L8+L10+L24</f>
        <v>23326.7346821385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-4954.999576</v>
      </c>
      <c r="D12" s="4" t="n">
        <f aca="false">-D6*Assumptions!D31/100</f>
        <v>-5128.42456116</v>
      </c>
      <c r="E12" s="4" t="n">
        <f aca="false">-E6*Assumptions!E31/100</f>
        <v>-5333.5615436064</v>
      </c>
      <c r="F12" s="4" t="n">
        <f aca="false">-F6*Assumptions!F31/100</f>
        <v>-5546.90400535066</v>
      </c>
      <c r="G12" s="4" t="n">
        <f aca="false">-G6*Assumptions!G31/100</f>
        <v>-5741.04564553793</v>
      </c>
      <c r="H12" s="4" t="n">
        <f aca="false">-H6*Assumptions!H31/100</f>
        <v>-5913.27701490407</v>
      </c>
      <c r="I12" s="4" t="n">
        <f aca="false">-I6*Assumptions!I31/100</f>
        <v>-6090.67532535119</v>
      </c>
      <c r="J12" s="4" t="n">
        <f aca="false">-J6*Assumptions!J31/100</f>
        <v>-6242.94220848497</v>
      </c>
      <c r="K12" s="4" t="n">
        <f aca="false">-K6*Assumptions!K31/100</f>
        <v>-6399.01576369709</v>
      </c>
      <c r="L12" s="4" t="n">
        <f aca="false">-L6*Assumptions!L31/100</f>
        <v>-6558.99115778952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12067.821548</v>
      </c>
      <c r="D13" s="0" t="n">
        <f aca="false">D11+D12</f>
        <v>12696.98661513</v>
      </c>
      <c r="E13" s="0" t="n">
        <f aca="false">E11+E12</f>
        <v>13419.9290452032</v>
      </c>
      <c r="F13" s="0" t="n">
        <f aca="false">F11+F12</f>
        <v>13956.7262070113</v>
      </c>
      <c r="G13" s="0" t="n">
        <f aca="false">G11+G12</f>
        <v>14676.7054002865</v>
      </c>
      <c r="H13" s="0" t="n">
        <f aca="false">H11+H12</f>
        <v>15117.0065622951</v>
      </c>
      <c r="I13" s="0" t="n">
        <f aca="false">I11+I12</f>
        <v>15570.5167591639</v>
      </c>
      <c r="J13" s="0" t="n">
        <f aca="false">J11+J12</f>
        <v>15959.779678143</v>
      </c>
      <c r="K13" s="0" t="n">
        <f aca="false">K11+K12</f>
        <v>16358.7741700966</v>
      </c>
      <c r="L13" s="0" t="n">
        <f aca="false">L11+L12</f>
        <v>16767.743524349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52</v>
      </c>
      <c r="D14" s="4" t="n">
        <f aca="false">Assumptions!D33</f>
        <v>52</v>
      </c>
      <c r="E14" s="4" t="n">
        <f aca="false">Assumptions!E33</f>
        <v>51.5</v>
      </c>
      <c r="F14" s="4" t="n">
        <f aca="false">Assumptions!F33</f>
        <v>51.5</v>
      </c>
      <c r="G14" s="4" t="n">
        <f aca="false">Assumptions!G33</f>
        <v>51</v>
      </c>
      <c r="H14" s="4" t="n">
        <f aca="false">Assumptions!H33</f>
        <v>51</v>
      </c>
      <c r="I14" s="4" t="n">
        <f aca="false">Assumptions!I33</f>
        <v>51</v>
      </c>
      <c r="J14" s="4" t="n">
        <f aca="false">Assumptions!J33</f>
        <v>51</v>
      </c>
      <c r="K14" s="4" t="n">
        <f aca="false">Assumptions!K33</f>
        <v>51</v>
      </c>
      <c r="L14" s="4" t="n">
        <f aca="false">Assumptions!L33</f>
        <v>51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5792.55434304</v>
      </c>
      <c r="D15" s="0" t="n">
        <f aca="false">D13-MAX(0,D13)*D14/100</f>
        <v>6094.5535752624</v>
      </c>
      <c r="E15" s="0" t="n">
        <f aca="false">E13-MAX(0,E13)*E14/100</f>
        <v>6508.66558692355</v>
      </c>
      <c r="F15" s="0" t="n">
        <f aca="false">F13-MAX(0,F13)*F14/100</f>
        <v>6769.01221040049</v>
      </c>
      <c r="G15" s="0" t="n">
        <f aca="false">G13-MAX(0,G13)*G14/100</f>
        <v>7191.58564614038</v>
      </c>
      <c r="H15" s="0" t="n">
        <f aca="false">H13-MAX(0,H13)*H14/100</f>
        <v>7407.33321552459</v>
      </c>
      <c r="I15" s="0" t="n">
        <f aca="false">I13-MAX(0,I13)*I14/100</f>
        <v>7629.55321199033</v>
      </c>
      <c r="J15" s="0" t="n">
        <f aca="false">J13-MAX(0,J13)*J14/100</f>
        <v>7820.29204229008</v>
      </c>
      <c r="K15" s="0" t="n">
        <f aca="false">K13-MAX(0,K13)*K14/100</f>
        <v>8015.79934334733</v>
      </c>
      <c r="L15" s="0" t="n">
        <f aca="false">L13-MAX(0,L13)*L14/100</f>
        <v>8216.19432693101</v>
      </c>
    </row>
    <row r="16" customFormat="false" ht="15" hidden="false" customHeight="false" outlineLevel="0" collapsed="false">
      <c r="A16" s="0" t="s">
        <v>119</v>
      </c>
      <c r="C16" s="0" t="n">
        <f aca="false">-C12</f>
        <v>4954.999576</v>
      </c>
      <c r="D16" s="0" t="n">
        <f aca="false">-D12</f>
        <v>5128.42456116</v>
      </c>
      <c r="E16" s="0" t="n">
        <f aca="false">-E12</f>
        <v>5333.5615436064</v>
      </c>
      <c r="F16" s="0" t="n">
        <f aca="false">-F12</f>
        <v>5546.90400535066</v>
      </c>
      <c r="G16" s="0" t="n">
        <f aca="false">-G12</f>
        <v>5741.04564553793</v>
      </c>
      <c r="H16" s="0" t="n">
        <f aca="false">-H12</f>
        <v>5913.27701490407</v>
      </c>
      <c r="I16" s="0" t="n">
        <f aca="false">-I12</f>
        <v>6090.67532535119</v>
      </c>
      <c r="J16" s="0" t="n">
        <f aca="false">-J12</f>
        <v>6242.94220848497</v>
      </c>
      <c r="K16" s="0" t="n">
        <f aca="false">-K12</f>
        <v>6399.01576369709</v>
      </c>
      <c r="L16" s="0" t="n">
        <f aca="false">-L12</f>
        <v>6558.99115778952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-5993.9511</v>
      </c>
      <c r="D17" s="4" t="n">
        <f aca="false">-D6*Assumptions!D32/100</f>
        <v>-6203.7393885</v>
      </c>
      <c r="E17" s="4" t="n">
        <f aca="false">-E6*Assumptions!E32/100</f>
        <v>-6451.88896404</v>
      </c>
      <c r="F17" s="4" t="n">
        <f aca="false">-F6*Assumptions!F32/100</f>
        <v>-6709.9645226016</v>
      </c>
      <c r="G17" s="4" t="n">
        <f aca="false">-G6*Assumptions!G32/100</f>
        <v>-6944.81328089266</v>
      </c>
      <c r="H17" s="4" t="n">
        <f aca="false">-H6*Assumptions!H32/100</f>
        <v>-7033.93838466411</v>
      </c>
      <c r="I17" s="4" t="n">
        <f aca="false">-I6*Assumptions!I32/100</f>
        <v>-7244.95653620404</v>
      </c>
      <c r="J17" s="4" t="n">
        <f aca="false">-J6*Assumptions!J32/100</f>
        <v>-7300.21467927678</v>
      </c>
      <c r="K17" s="4" t="n">
        <f aca="false">-K6*Assumptions!K32/100</f>
        <v>-7482.7200462587</v>
      </c>
      <c r="L17" s="4" t="n">
        <f aca="false">-L6*Assumptions!L32/100</f>
        <v>-7669.78804741516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4753.60281904</v>
      </c>
      <c r="D19" s="0" t="n">
        <f aca="false">D15+D16+D17+D18</f>
        <v>5019.2387479224</v>
      </c>
      <c r="E19" s="0" t="n">
        <f aca="false">E15+E16+E17+E18</f>
        <v>5390.33816648995</v>
      </c>
      <c r="F19" s="0" t="n">
        <f aca="false">F15+F16+F17+F18</f>
        <v>5605.95169314955</v>
      </c>
      <c r="G19" s="0" t="n">
        <f aca="false">G15+G16+G17+G18</f>
        <v>5987.81801078565</v>
      </c>
      <c r="H19" s="0" t="n">
        <f aca="false">H15+H16+H17+H18</f>
        <v>6286.67184576454</v>
      </c>
      <c r="I19" s="0" t="n">
        <f aca="false">I15+I16+I17+I18</f>
        <v>6475.27200113748</v>
      </c>
      <c r="J19" s="0" t="n">
        <f aca="false">J15+J16+J17+J18</f>
        <v>6763.01957149827</v>
      </c>
      <c r="K19" s="0" t="n">
        <f aca="false">K15+K16+K17+K18</f>
        <v>6932.09506078573</v>
      </c>
      <c r="L19" s="0" t="n">
        <f aca="false">L15+L16+L17+L18</f>
        <v>7105.39743730537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4381.20075487558</v>
      </c>
      <c r="D21" s="0" t="n">
        <f aca="false">D19*D20</f>
        <v>4263.61889012075</v>
      </c>
      <c r="E21" s="0" t="n">
        <f aca="false">E19*E20</f>
        <v>4220.13940382523</v>
      </c>
      <c r="F21" s="0" t="n">
        <f aca="false">F19*F20</f>
        <v>4045.11058062511</v>
      </c>
      <c r="G21" s="0" t="n">
        <f aca="false">G19*G20</f>
        <v>3982.17096355706</v>
      </c>
      <c r="H21" s="0" t="n">
        <f aca="false">H19*H20</f>
        <v>3853.38464400182</v>
      </c>
      <c r="I21" s="0" t="n">
        <f aca="false">I19*I20</f>
        <v>3658.05178186348</v>
      </c>
      <c r="J21" s="0" t="n">
        <f aca="false">J19*J20</f>
        <v>3521.29766518998</v>
      </c>
      <c r="K21" s="0" t="n">
        <f aca="false">K19*K20</f>
        <v>3326.57152702279</v>
      </c>
      <c r="L21" s="0" t="n">
        <f aca="false">L19*L20</f>
        <v>3142.6136545607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0.28</v>
      </c>
      <c r="D23" s="4" t="n">
        <f aca="false">Assumptions!D30</f>
        <v>0.28</v>
      </c>
      <c r="E23" s="4" t="n">
        <f aca="false">Assumptions!E30</f>
        <v>0.28</v>
      </c>
      <c r="F23" s="4" t="n">
        <f aca="false">Assumptions!F30</f>
        <v>0.28</v>
      </c>
      <c r="G23" s="4" t="n">
        <f aca="false">Assumptions!G30</f>
        <v>0.28</v>
      </c>
      <c r="H23" s="4" t="n">
        <f aca="false">Assumptions!H30</f>
        <v>0.28</v>
      </c>
      <c r="I23" s="4" t="n">
        <f aca="false">Assumptions!I30</f>
        <v>0.28</v>
      </c>
      <c r="J23" s="4" t="n">
        <f aca="false">Assumptions!J30</f>
        <v>0.28</v>
      </c>
      <c r="K23" s="4" t="n">
        <f aca="false">Assumptions!K30</f>
        <v>0.28</v>
      </c>
      <c r="L23" s="4" t="n">
        <f aca="false">Assumptions!L30</f>
        <v>0.28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-559.435436</v>
      </c>
      <c r="D24" s="0" t="n">
        <f aca="false">-D6*D23/100</f>
        <v>-579.01567626</v>
      </c>
      <c r="E24" s="0" t="n">
        <f aca="false">-E6*E23/100</f>
        <v>-602.1763033104</v>
      </c>
      <c r="F24" s="0" t="n">
        <f aca="false">-F6*F23/100</f>
        <v>-626.263355442816</v>
      </c>
      <c r="G24" s="0" t="n">
        <f aca="false">-G6*G23/100</f>
        <v>-648.182572883315</v>
      </c>
      <c r="H24" s="0" t="n">
        <f aca="false">-H6*H23/100</f>
        <v>-667.628050069814</v>
      </c>
      <c r="I24" s="0" t="n">
        <f aca="false">-I6*I23/100</f>
        <v>-687.656891571909</v>
      </c>
      <c r="J24" s="0" t="n">
        <f aca="false">-J6*J23/100</f>
        <v>-704.848313861206</v>
      </c>
      <c r="K24" s="0" t="n">
        <f aca="false">-K6*K23/100</f>
        <v>-722.469521707736</v>
      </c>
      <c r="L24" s="0" t="n">
        <f aca="false">-L6*L23/100</f>
        <v>-740.53125975043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38394.1598656425</v>
      </c>
    </row>
    <row r="31" customFormat="false" ht="15" hidden="false" customHeight="false" outlineLevel="0" collapsed="false">
      <c r="A31" s="0" t="s">
        <v>128</v>
      </c>
      <c r="B31" s="0" t="n">
        <f aca="false">L19</f>
        <v>7105.39743730537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111500.08286233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85264.7692476644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85264.7692476644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37711.3638547284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76105.5237203709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92824.5237203709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12.6217661545994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0.657487347944765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12.6217661545994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55750.0414311652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8.05577662446988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4</v>
      </c>
      <c r="D5" s="4" t="n">
        <f aca="false">Assumptions!D41</f>
        <v>5.5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193979</v>
      </c>
      <c r="C6" s="0" t="n">
        <f aca="false">B6*(1+C5/100)</f>
        <v>201738.16</v>
      </c>
      <c r="D6" s="0" t="n">
        <f aca="false">C6*(1+D5/100)</f>
        <v>212833.7588</v>
      </c>
      <c r="E6" s="0" t="n">
        <f aca="false">D6*(1+E5/100)</f>
        <v>225603.784328</v>
      </c>
      <c r="F6" s="0" t="n">
        <f aca="false">E6*(1+F5/100)</f>
        <v>239140.01138768</v>
      </c>
      <c r="G6" s="0" t="n">
        <f aca="false">F6*(1+G5/100)</f>
        <v>251097.011957064</v>
      </c>
      <c r="H6" s="0" t="n">
        <f aca="false">G6*(1+H5/100)</f>
        <v>262396.377495132</v>
      </c>
      <c r="I6" s="0" t="n">
        <f aca="false">H6*(1+I5/100)</f>
        <v>272892.232594937</v>
      </c>
      <c r="J6" s="0" t="n">
        <f aca="false">I6*(1+J5/100)</f>
        <v>282443.46073576</v>
      </c>
      <c r="K6" s="0" t="n">
        <f aca="false">J6*(1+K5/100)</f>
        <v>290916.764557833</v>
      </c>
      <c r="L6" s="0" t="n">
        <f aca="false">K6*(1+L5/100)</f>
        <v>299644.267494568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9</v>
      </c>
      <c r="D7" s="4" t="n">
        <f aca="false">Assumptions!D42</f>
        <v>9.3</v>
      </c>
      <c r="E7" s="4" t="n">
        <f aca="false">Assumptions!E42</f>
        <v>9.5</v>
      </c>
      <c r="F7" s="4" t="n">
        <f aca="false">Assumptions!F42</f>
        <v>9.7</v>
      </c>
      <c r="G7" s="4" t="n">
        <f aca="false">Assumptions!G42</f>
        <v>9.8</v>
      </c>
      <c r="H7" s="4" t="n">
        <f aca="false">Assumptions!H42</f>
        <v>9.9</v>
      </c>
      <c r="I7" s="4" t="n">
        <f aca="false">Assumptions!I42</f>
        <v>9.9</v>
      </c>
      <c r="J7" s="4" t="n">
        <f aca="false">Assumptions!J42</f>
        <v>9.9</v>
      </c>
      <c r="K7" s="4" t="n">
        <f aca="false">Assumptions!K42</f>
        <v>9.9</v>
      </c>
      <c r="L7" s="4" t="n">
        <f aca="false">Assumptions!L42</f>
        <v>9.9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18156.4344</v>
      </c>
      <c r="D8" s="0" t="n">
        <f aca="false">D6*D7/100</f>
        <v>19793.5395684</v>
      </c>
      <c r="E8" s="0" t="n">
        <f aca="false">E6*E7/100</f>
        <v>21432.35951116</v>
      </c>
      <c r="F8" s="0" t="n">
        <f aca="false">F6*F7/100</f>
        <v>23196.581104605</v>
      </c>
      <c r="G8" s="0" t="n">
        <f aca="false">G6*G7/100</f>
        <v>24607.5071717923</v>
      </c>
      <c r="H8" s="0" t="n">
        <f aca="false">H6*H7/100</f>
        <v>25977.2413720181</v>
      </c>
      <c r="I8" s="0" t="n">
        <f aca="false">I6*I7/100</f>
        <v>27016.3310268988</v>
      </c>
      <c r="J8" s="0" t="n">
        <f aca="false">J6*J7/100</f>
        <v>27961.9026128402</v>
      </c>
      <c r="K8" s="0" t="n">
        <f aca="false">K6*K7/100</f>
        <v>28800.7596912254</v>
      </c>
      <c r="L8" s="0" t="n">
        <f aca="false">L6*L7/100</f>
        <v>29664.7824819622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17591.567552</v>
      </c>
      <c r="D11" s="0" t="n">
        <f aca="false">D8+D10+D24</f>
        <v>19197.60504376</v>
      </c>
      <c r="E11" s="0" t="n">
        <f aca="false">E8+E10+E24</f>
        <v>20800.6689150416</v>
      </c>
      <c r="F11" s="0" t="n">
        <f aca="false">F8+F10+F24</f>
        <v>22526.9890727195</v>
      </c>
      <c r="G11" s="0" t="n">
        <f aca="false">G8+G10+G24</f>
        <v>23904.4355383125</v>
      </c>
      <c r="H11" s="0" t="n">
        <f aca="false">H8+H10+H24</f>
        <v>25242.5315150317</v>
      </c>
      <c r="I11" s="0" t="n">
        <f aca="false">I8+I10+I24</f>
        <v>26252.232775633</v>
      </c>
      <c r="J11" s="0" t="n">
        <f aca="false">J8+J10+J24</f>
        <v>27171.0609227801</v>
      </c>
      <c r="K11" s="0" t="n">
        <f aca="false">K8+K10+K24</f>
        <v>27986.1927504635</v>
      </c>
      <c r="L11" s="0" t="n">
        <f aca="false">L8+L10+L24</f>
        <v>28825.7785329774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-5003.106368</v>
      </c>
      <c r="D12" s="4" t="n">
        <f aca="false">-D6*Assumptions!D45/100</f>
        <v>-5278.27721824</v>
      </c>
      <c r="E12" s="4" t="n">
        <f aca="false">-E6*Assumptions!E45/100</f>
        <v>-5594.9738513344</v>
      </c>
      <c r="F12" s="4" t="n">
        <f aca="false">-F6*Assumptions!F45/100</f>
        <v>-5930.67228241446</v>
      </c>
      <c r="G12" s="4" t="n">
        <f aca="false">-G6*Assumptions!G45/100</f>
        <v>-6227.20589653519</v>
      </c>
      <c r="H12" s="4" t="n">
        <f aca="false">-H6*Assumptions!H45/100</f>
        <v>-6507.43016187927</v>
      </c>
      <c r="I12" s="4" t="n">
        <f aca="false">-I6*Assumptions!I45/100</f>
        <v>-6767.72736835444</v>
      </c>
      <c r="J12" s="4" t="n">
        <f aca="false">-J6*Assumptions!J45/100</f>
        <v>-7004.59782624685</v>
      </c>
      <c r="K12" s="4" t="n">
        <f aca="false">-K6*Assumptions!K45/100</f>
        <v>-7214.73576103425</v>
      </c>
      <c r="L12" s="4" t="n">
        <f aca="false">-L6*Assumptions!L45/100</f>
        <v>-7431.17783386528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12588.461184</v>
      </c>
      <c r="D13" s="0" t="n">
        <f aca="false">D11+D12</f>
        <v>13919.32782552</v>
      </c>
      <c r="E13" s="0" t="n">
        <f aca="false">E11+E12</f>
        <v>15205.6950637072</v>
      </c>
      <c r="F13" s="0" t="n">
        <f aca="false">F11+F12</f>
        <v>16596.316790305</v>
      </c>
      <c r="G13" s="0" t="n">
        <f aca="false">G11+G12</f>
        <v>17677.2296417773</v>
      </c>
      <c r="H13" s="0" t="n">
        <f aca="false">H11+H12</f>
        <v>18735.1013531524</v>
      </c>
      <c r="I13" s="0" t="n">
        <f aca="false">I11+I12</f>
        <v>19484.5054072785</v>
      </c>
      <c r="J13" s="0" t="n">
        <f aca="false">J11+J12</f>
        <v>20166.4630965333</v>
      </c>
      <c r="K13" s="0" t="n">
        <f aca="false">K11+K12</f>
        <v>20771.4569894293</v>
      </c>
      <c r="L13" s="0" t="n">
        <f aca="false">L11+L12</f>
        <v>21394.6006991121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52</v>
      </c>
      <c r="D14" s="4" t="n">
        <f aca="false">Assumptions!D47</f>
        <v>51.5</v>
      </c>
      <c r="E14" s="4" t="n">
        <f aca="false">Assumptions!E47</f>
        <v>51</v>
      </c>
      <c r="F14" s="4" t="n">
        <f aca="false">Assumptions!F47</f>
        <v>50.5</v>
      </c>
      <c r="G14" s="4" t="n">
        <f aca="false">Assumptions!G47</f>
        <v>50</v>
      </c>
      <c r="H14" s="4" t="n">
        <f aca="false">Assumptions!H47</f>
        <v>50</v>
      </c>
      <c r="I14" s="4" t="n">
        <f aca="false">Assumptions!I47</f>
        <v>50</v>
      </c>
      <c r="J14" s="4" t="n">
        <f aca="false">Assumptions!J47</f>
        <v>50</v>
      </c>
      <c r="K14" s="4" t="n">
        <f aca="false">Assumptions!K47</f>
        <v>50</v>
      </c>
      <c r="L14" s="4" t="n">
        <f aca="false">Assumptions!L47</f>
        <v>50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6042.46136832</v>
      </c>
      <c r="D15" s="0" t="n">
        <f aca="false">D13-MAX(0,D13)*D14/100</f>
        <v>6750.8739953772</v>
      </c>
      <c r="E15" s="0" t="n">
        <f aca="false">E13-MAX(0,E13)*E14/100</f>
        <v>7450.79058121653</v>
      </c>
      <c r="F15" s="0" t="n">
        <f aca="false">F13-MAX(0,F13)*F14/100</f>
        <v>8215.17681120097</v>
      </c>
      <c r="G15" s="0" t="n">
        <f aca="false">G13-MAX(0,G13)*G14/100</f>
        <v>8838.61482088866</v>
      </c>
      <c r="H15" s="0" t="n">
        <f aca="false">H13-MAX(0,H13)*H14/100</f>
        <v>9367.55067657621</v>
      </c>
      <c r="I15" s="0" t="n">
        <f aca="false">I13-MAX(0,I13)*I14/100</f>
        <v>9742.25270363926</v>
      </c>
      <c r="J15" s="0" t="n">
        <f aca="false">J13-MAX(0,J13)*J14/100</f>
        <v>10083.2315482666</v>
      </c>
      <c r="K15" s="0" t="n">
        <f aca="false">K13-MAX(0,K13)*K14/100</f>
        <v>10385.7284947146</v>
      </c>
      <c r="L15" s="0" t="n">
        <f aca="false">L13-MAX(0,L13)*L14/100</f>
        <v>10697.3003495561</v>
      </c>
    </row>
    <row r="16" customFormat="false" ht="15" hidden="false" customHeight="false" outlineLevel="0" collapsed="false">
      <c r="A16" s="0" t="s">
        <v>119</v>
      </c>
      <c r="C16" s="0" t="n">
        <f aca="false">-C12</f>
        <v>5003.106368</v>
      </c>
      <c r="D16" s="0" t="n">
        <f aca="false">-D12</f>
        <v>5278.27721824</v>
      </c>
      <c r="E16" s="0" t="n">
        <f aca="false">-E12</f>
        <v>5594.9738513344</v>
      </c>
      <c r="F16" s="0" t="n">
        <f aca="false">-F12</f>
        <v>5930.67228241446</v>
      </c>
      <c r="G16" s="0" t="n">
        <f aca="false">-G12</f>
        <v>6227.20589653519</v>
      </c>
      <c r="H16" s="0" t="n">
        <f aca="false">-H12</f>
        <v>6507.43016187927</v>
      </c>
      <c r="I16" s="0" t="n">
        <f aca="false">-I12</f>
        <v>6767.72736835444</v>
      </c>
      <c r="J16" s="0" t="n">
        <f aca="false">-J12</f>
        <v>7004.59782624685</v>
      </c>
      <c r="K16" s="0" t="n">
        <f aca="false">-K12</f>
        <v>7214.73576103425</v>
      </c>
      <c r="L16" s="0" t="n">
        <f aca="false">-L12</f>
        <v>7431.17783386528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-6253.88296</v>
      </c>
      <c r="D17" s="4" t="n">
        <f aca="false">-D6*Assumptions!D46/100</f>
        <v>-6810.6802816</v>
      </c>
      <c r="E17" s="4" t="n">
        <f aca="false">-E6*Assumptions!E46/100</f>
        <v>-7219.321098496</v>
      </c>
      <c r="F17" s="4" t="n">
        <f aca="false">-F6*Assumptions!F46/100</f>
        <v>-7413.34035301808</v>
      </c>
      <c r="G17" s="4" t="n">
        <f aca="false">-G6*Assumptions!G46/100</f>
        <v>-7532.91035871192</v>
      </c>
      <c r="H17" s="4" t="n">
        <f aca="false">-H6*Assumptions!H46/100</f>
        <v>-7871.89132485396</v>
      </c>
      <c r="I17" s="4" t="n">
        <f aca="false">-I6*Assumptions!I46/100</f>
        <v>-8050.32086155065</v>
      </c>
      <c r="J17" s="4" t="n">
        <f aca="false">-J6*Assumptions!J46/100</f>
        <v>-8190.86036133704</v>
      </c>
      <c r="K17" s="4" t="n">
        <f aca="false">-K6*Assumptions!K46/100</f>
        <v>-8436.58617217715</v>
      </c>
      <c r="L17" s="4" t="n">
        <f aca="false">-L6*Assumptions!L46/100</f>
        <v>-8689.68375734246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4791.68477632</v>
      </c>
      <c r="D19" s="0" t="n">
        <f aca="false">D15+D16+D17+D18</f>
        <v>5218.4709320172</v>
      </c>
      <c r="E19" s="0" t="n">
        <f aca="false">E15+E16+E17+E18</f>
        <v>5826.44333405493</v>
      </c>
      <c r="F19" s="0" t="n">
        <f aca="false">F15+F16+F17+F18</f>
        <v>6732.50874059735</v>
      </c>
      <c r="G19" s="0" t="n">
        <f aca="false">G15+G16+G17+G18</f>
        <v>7532.91035871192</v>
      </c>
      <c r="H19" s="0" t="n">
        <f aca="false">H15+H16+H17+H18</f>
        <v>8003.08951360152</v>
      </c>
      <c r="I19" s="0" t="n">
        <f aca="false">I15+I16+I17+I18</f>
        <v>8459.65921044305</v>
      </c>
      <c r="J19" s="0" t="n">
        <f aca="false">J15+J16+J17+J18</f>
        <v>8896.96901317644</v>
      </c>
      <c r="K19" s="0" t="n">
        <f aca="false">K15+K16+K17+K18</f>
        <v>9163.87808357174</v>
      </c>
      <c r="L19" s="0" t="n">
        <f aca="false">L15+L16+L17+L18</f>
        <v>9438.79442607888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4416.29933301382</v>
      </c>
      <c r="D21" s="0" t="n">
        <f aca="false">D19*D20</f>
        <v>4432.85772220026</v>
      </c>
      <c r="E21" s="0" t="n">
        <f aca="false">E19*E20</f>
        <v>4561.56967127934</v>
      </c>
      <c r="F21" s="0" t="n">
        <f aca="false">F19*F20</f>
        <v>4858.00517582428</v>
      </c>
      <c r="G21" s="0" t="n">
        <f aca="false">G19*G20</f>
        <v>5009.72755810342</v>
      </c>
      <c r="H21" s="0" t="n">
        <f aca="false">H19*H20</f>
        <v>4905.45442690172</v>
      </c>
      <c r="I21" s="0" t="n">
        <f aca="false">I19*I20</f>
        <v>4779.08440653657</v>
      </c>
      <c r="J21" s="0" t="n">
        <f aca="false">J19*J20</f>
        <v>4632.37994244414</v>
      </c>
      <c r="K21" s="0" t="n">
        <f aca="false">K19*K20</f>
        <v>4397.55883937094</v>
      </c>
      <c r="L21" s="0" t="n">
        <f aca="false">L19*L20</f>
        <v>4174.64111018623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0.28</v>
      </c>
      <c r="D23" s="4" t="n">
        <f aca="false">Assumptions!D44</f>
        <v>0.28</v>
      </c>
      <c r="E23" s="4" t="n">
        <f aca="false">Assumptions!E44</f>
        <v>0.28</v>
      </c>
      <c r="F23" s="4" t="n">
        <f aca="false">Assumptions!F44</f>
        <v>0.28</v>
      </c>
      <c r="G23" s="4" t="n">
        <f aca="false">Assumptions!G44</f>
        <v>0.28</v>
      </c>
      <c r="H23" s="4" t="n">
        <f aca="false">Assumptions!H44</f>
        <v>0.28</v>
      </c>
      <c r="I23" s="4" t="n">
        <f aca="false">Assumptions!I44</f>
        <v>0.28</v>
      </c>
      <c r="J23" s="4" t="n">
        <f aca="false">Assumptions!J44</f>
        <v>0.28</v>
      </c>
      <c r="K23" s="4" t="n">
        <f aca="false">Assumptions!K44</f>
        <v>0.28</v>
      </c>
      <c r="L23" s="4" t="n">
        <f aca="false">Assumptions!L44</f>
        <v>0.28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-564.866848</v>
      </c>
      <c r="D24" s="0" t="n">
        <f aca="false">-D6*D23/100</f>
        <v>-595.93452464</v>
      </c>
      <c r="E24" s="0" t="n">
        <f aca="false">-E6*E23/100</f>
        <v>-631.6905961184</v>
      </c>
      <c r="F24" s="0" t="n">
        <f aca="false">-F6*F23/100</f>
        <v>-669.592031885504</v>
      </c>
      <c r="G24" s="0" t="n">
        <f aca="false">-G6*G23/100</f>
        <v>-703.071633479779</v>
      </c>
      <c r="H24" s="0" t="n">
        <f aca="false">-H6*H23/100</f>
        <v>-734.709856986369</v>
      </c>
      <c r="I24" s="0" t="n">
        <f aca="false">-I6*I23/100</f>
        <v>-764.098251265824</v>
      </c>
      <c r="J24" s="0" t="n">
        <f aca="false">-J6*J23/100</f>
        <v>-790.841690060128</v>
      </c>
      <c r="K24" s="0" t="n">
        <f aca="false">-K6*K23/100</f>
        <v>-814.566940761932</v>
      </c>
      <c r="L24" s="0" t="n">
        <f aca="false">-L6*L23/100</f>
        <v>-839.00394898479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46167.5781858607</v>
      </c>
    </row>
    <row r="31" customFormat="false" ht="15" hidden="false" customHeight="false" outlineLevel="0" collapsed="false">
      <c r="A31" s="0" t="s">
        <v>128</v>
      </c>
      <c r="B31" s="0" t="n">
        <f aca="false">L19</f>
        <v>9438.79442607888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161246.071445514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113265.533112947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113265.533112947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50095.6933222348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96263.2715080955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112982.271508096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15.362705386849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1.0174268400327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15.362705386849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77398.1142938468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9.50128344190762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8.93934301368896</v>
      </c>
      <c r="C4" s="0" t="n">
        <f aca="false">B4/Assumptions!$B$2-1</f>
        <v>0.173912411515293</v>
      </c>
      <c r="D4" s="4" t="n">
        <f aca="false">Assumptions!$B$24</f>
        <v>0.2</v>
      </c>
      <c r="E4" s="4" t="n">
        <f aca="false">DCF_Bear!$B$43</f>
        <v>8.93934301368896</v>
      </c>
      <c r="F4" s="4" t="n">
        <f aca="false">DCF_Bear!$B$47</f>
        <v>6.06608954802291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12.6217661545994</v>
      </c>
      <c r="C5" s="0" t="n">
        <f aca="false">B5/Assumptions!$B$2-1</f>
        <v>0.657487347944765</v>
      </c>
      <c r="D5" s="4" t="n">
        <f aca="false">Assumptions!$B$38</f>
        <v>0.55</v>
      </c>
      <c r="E5" s="4" t="n">
        <f aca="false">DCF_Base!$B$43</f>
        <v>12.6217661545994</v>
      </c>
      <c r="F5" s="4" t="n">
        <f aca="false">DCF_Base!$B$47</f>
        <v>8.05577662446988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15.362705386849</v>
      </c>
      <c r="C6" s="0" t="n">
        <f aca="false">B6/Assumptions!$B$2-1</f>
        <v>1.0174268400327</v>
      </c>
      <c r="D6" s="4" t="n">
        <f aca="false">Assumptions!$B$52</f>
        <v>0.25</v>
      </c>
      <c r="E6" s="4" t="n">
        <f aca="false">DCF_Bull!$B$43</f>
        <v>15.362705386849</v>
      </c>
      <c r="F6" s="4" t="n">
        <f aca="false">DCF_Bull!$B$47</f>
        <v>9.50128344190762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12.5705163344797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12.5705163344797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0.394217405444772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8.01921591353992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12.6217661545994</v>
      </c>
      <c r="C15" s="3" t="n">
        <v>8.5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12.2682761422087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11.6073818590059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10.7760508314956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9.88939654592256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8.05577662446988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14.2094507238315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14.2094507238315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14.2094507238315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14.2094507238315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14.2094507238315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13.3790124775418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13.3790124775418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13.3790124775418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13.3790124775418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13.3790124775418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12.6217661545994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12.6217661545994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12.6217661545994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12.6217661545994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12.6217661545994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11.8845455211017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11.9304109709748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11.9304109709748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11.9304109709748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11.9304109709748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10.811316309238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11.0413487897313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11.2984439149885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11.2984439149885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11.2984439149885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2026-10-10T21:08:24Z</dcterms:created>
  <dc:creator>openpyxl</dc:creator>
  <dc:description/>
  <dc:language>en-NZ</dc:language>
  <cp:lastModifiedBy/>
  <dcterms:modified xsi:type="dcterms:W3CDTF">2026-10-10T21:08:24Z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