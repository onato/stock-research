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Mode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000"/>
    <numFmt numFmtId="167" formatCode="#,##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  <xf numFmtId="167" fontId="0" fillId="2" borderId="0" pivotButton="0" quotePrefix="0" xfId="0"/>
    <xf numFmtId="10" fontId="0" fillId="2" borderId="0" pivotButton="0" quotePrefix="0" xfId="0"/>
    <xf numFmtId="1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166" fontId="0" fillId="3" borderId="1" pivotButton="0" quotePrefix="0" xfId="0"/>
    <xf numFmtId="164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TEM.NZ -- Templeton Emerging Markets Investment Trust plc -- NAV + Exit-Discount Model</t>
        </is>
      </c>
    </row>
    <row r="2">
      <c r="A2" t="inlineStr">
        <is>
          <t>NOT an FCF DCF. Closed-end EM equity trust: NAV/share projected net of charges and dividends, exit at a P/NAV, discounted at cost of equity. Gray = inputs.</t>
        </is>
      </c>
    </row>
    <row r="3">
      <c r="A3" t="inlineStr">
        <is>
          <t>Fundamentals in GBP pence; NZD outputs convert at GBPNZD spot (B12). NAV is net of borrowings -- net debt is NOT subtracted.</t>
        </is>
      </c>
    </row>
    <row r="5">
      <c r="A5" s="2" t="inlineStr">
        <is>
          <t>KEY INPUTS</t>
        </is>
      </c>
    </row>
    <row r="6">
      <c r="A6" t="inlineStr">
        <is>
          <t>TEM.L price (GBp), 2026-09-03</t>
        </is>
      </c>
      <c r="B6" s="3" t="n">
        <v>319</v>
      </c>
    </row>
    <row r="7">
      <c r="A7" t="inlineStr">
        <is>
          <t>TEM.NZ price (NZD), 2026-09-03</t>
        </is>
      </c>
      <c r="B7" s="4" t="n">
        <v>7.386</v>
      </c>
    </row>
    <row r="8">
      <c r="A8" t="inlineStr">
        <is>
          <t>Cum-income NAV/share (GBp), 1-Sep-2026</t>
        </is>
      </c>
      <c r="B8" s="3" t="n">
        <v>351.03</v>
      </c>
    </row>
    <row r="9">
      <c r="A9" t="inlineStr">
        <is>
          <t>Ex-income NAV/share (GBp), 1-Sep-2026</t>
        </is>
      </c>
      <c r="B9" s="3" t="n">
        <v>347.76</v>
      </c>
    </row>
    <row r="10">
      <c r="A10" t="inlineStr">
        <is>
          <t>Audited NAV/share (GBp), 31-Mar-2026</t>
        </is>
      </c>
      <c r="B10" s="3" t="n">
        <v>267.3</v>
      </c>
    </row>
    <row r="11">
      <c r="A11" t="inlineStr">
        <is>
          <t>Net assets (GBP m), 1-Sep-2026</t>
        </is>
      </c>
      <c r="B11" s="5" t="n">
        <v>3204.446</v>
      </c>
    </row>
    <row r="12">
      <c r="A12" t="inlineStr">
        <is>
          <t>GBP:NZD spot (Yahoo GBPNZD=X)</t>
        </is>
      </c>
      <c r="B12" s="6" t="n">
        <v>2.3016</v>
      </c>
    </row>
    <row r="13">
      <c r="A13" t="inlineStr">
        <is>
          <t>Shares outstanding (m, ex-treasury), 1-Sep-2026</t>
        </is>
      </c>
      <c r="B13" s="7" t="n">
        <v>913.638293</v>
      </c>
    </row>
    <row r="14">
      <c r="A14" t="inlineStr">
        <is>
          <t>Dividend per share FY2026 (GBp)</t>
        </is>
      </c>
      <c r="B14" s="3" t="n">
        <v>5.25</v>
      </c>
    </row>
    <row r="15">
      <c r="A15" t="inlineStr">
        <is>
          <t>Dividend floor (GBp)</t>
        </is>
      </c>
      <c r="B15" s="3" t="n">
        <v>5</v>
      </c>
    </row>
    <row r="16">
      <c r="A16" t="inlineStr">
        <is>
          <t>Hurdle rate (entry price)</t>
        </is>
      </c>
      <c r="B16" s="8" t="n">
        <v>0.15</v>
      </c>
    </row>
    <row r="17">
      <c r="A17" t="inlineStr">
        <is>
          <t>Current discount to cum-income NAV</t>
        </is>
      </c>
      <c r="B17" s="9">
        <f>1-B6/B8</f>
        <v/>
      </c>
    </row>
    <row r="18">
      <c r="A18" t="inlineStr">
        <is>
          <t>London parity in NZD (B6*B12/100)</t>
        </is>
      </c>
      <c r="B18" s="10">
        <f>B6*B12/100</f>
        <v/>
      </c>
    </row>
    <row r="19">
      <c r="A19" t="inlineStr">
        <is>
          <t>NZX premium/(discount) to London parity</t>
        </is>
      </c>
      <c r="B19" s="9">
        <f>B7/B18-1</f>
        <v/>
      </c>
    </row>
    <row r="21">
      <c r="A21" s="2" t="inlineStr">
        <is>
          <t>SCENARIO ASSUMPTIONS</t>
        </is>
      </c>
    </row>
    <row r="22">
      <c r="B22" s="2" t="inlineStr">
        <is>
          <t>Base</t>
        </is>
      </c>
      <c r="C22" s="2" t="inlineStr">
        <is>
          <t>Bull</t>
        </is>
      </c>
      <c r="D22" s="2" t="inlineStr">
        <is>
          <t>Bear</t>
        </is>
      </c>
    </row>
    <row r="23">
      <c r="A23" t="inlineStr">
        <is>
          <t>Exit discount to NAV</t>
        </is>
      </c>
      <c r="B23" s="8" t="n">
        <v>0.1</v>
      </c>
      <c r="C23" s="8" t="n">
        <v>0.05</v>
      </c>
      <c r="D23" s="8" t="n">
        <v>0.15</v>
      </c>
    </row>
    <row r="24">
      <c r="A24" t="inlineStr">
        <is>
          <t>Cost of equity</t>
        </is>
      </c>
      <c r="B24" s="8" t="n">
        <v>0.11</v>
      </c>
      <c r="C24" s="8" t="n">
        <v>0.11</v>
      </c>
      <c r="D24" s="8" t="n">
        <v>0.11</v>
      </c>
    </row>
    <row r="25">
      <c r="A25" t="inlineStr">
        <is>
          <t>Dividend yield on opening NAV (blank = flat floor)</t>
        </is>
      </c>
      <c r="B25" s="8" t="n">
        <v>0.015</v>
      </c>
      <c r="C25" s="8" t="n">
        <v>0.015</v>
      </c>
      <c r="D25" s="8" t="n">
        <v>0</v>
      </c>
    </row>
    <row r="26">
      <c r="A26" t="inlineStr">
        <is>
          <t>Probability weight</t>
        </is>
      </c>
      <c r="B26" s="8" t="n">
        <v>0.5</v>
      </c>
      <c r="C26" s="8" t="n">
        <v>0.25</v>
      </c>
      <c r="D26" s="8" t="n">
        <v>0.25</v>
      </c>
    </row>
    <row r="27">
      <c r="A27" t="inlineStr">
        <is>
          <t>Weights sum</t>
        </is>
      </c>
      <c r="B27" s="9">
        <f>SUM(B26:D26)</f>
        <v/>
      </c>
    </row>
    <row r="29">
      <c r="A29" s="2" t="inlineStr">
        <is>
          <t>PROJECTION -- BASE</t>
        </is>
      </c>
    </row>
    <row r="30">
      <c r="A30" t="inlineStr">
        <is>
          <t>Year</t>
        </is>
      </c>
      <c r="B30" s="2" t="inlineStr">
        <is>
          <t>Y1 (Sep-27)</t>
        </is>
      </c>
      <c r="C30" s="2" t="inlineStr">
        <is>
          <t>Y2 (Sep-28)</t>
        </is>
      </c>
      <c r="D30" s="2" t="inlineStr">
        <is>
          <t>Y3 (Sep-29)</t>
        </is>
      </c>
      <c r="E30" s="2" t="inlineStr">
        <is>
          <t>Y4 (Sep-30)</t>
        </is>
      </c>
      <c r="F30" s="2" t="inlineStr">
        <is>
          <t>Y5 (Sep-31)</t>
        </is>
      </c>
    </row>
    <row r="31">
      <c r="A31" t="inlineStr">
        <is>
          <t>Gross portfolio return</t>
        </is>
      </c>
      <c r="B31" s="8" t="n">
        <v>0.08500000000000001</v>
      </c>
      <c r="C31" s="8" t="n">
        <v>0.08500000000000001</v>
      </c>
      <c r="D31" s="8" t="n">
        <v>0.08500000000000001</v>
      </c>
      <c r="E31" s="8" t="n">
        <v>0.08500000000000001</v>
      </c>
      <c r="F31" s="8" t="n">
        <v>0.08500000000000001</v>
      </c>
    </row>
    <row r="32">
      <c r="A32" t="inlineStr">
        <is>
          <t>Ongoing charges</t>
        </is>
      </c>
      <c r="B32" s="8" t="n">
        <v>0.0072</v>
      </c>
      <c r="C32" s="8" t="n">
        <v>0.0071</v>
      </c>
      <c r="D32" s="8" t="n">
        <v>0.006999999999999999</v>
      </c>
      <c r="E32" s="8" t="n">
        <v>0.006999999999999999</v>
      </c>
      <c r="F32" s="8" t="n">
        <v>0.006999999999999999</v>
      </c>
    </row>
    <row r="33">
      <c r="A33" t="inlineStr">
        <is>
          <t>Buyback accretion</t>
        </is>
      </c>
      <c r="B33" s="8" t="n">
        <v>0.004</v>
      </c>
      <c r="C33" s="8" t="n">
        <v>0.004</v>
      </c>
      <c r="D33" s="8" t="n">
        <v>0.003</v>
      </c>
      <c r="E33" s="8" t="n">
        <v>0.002</v>
      </c>
      <c r="F33" s="8" t="n">
        <v>0.002</v>
      </c>
    </row>
    <row r="34">
      <c r="A34" t="inlineStr">
        <is>
          <t>Net NAV total return</t>
        </is>
      </c>
      <c r="B34" s="9">
        <f>B31-B32+B33</f>
        <v/>
      </c>
      <c r="C34" s="9">
        <f>C31-C32+C33</f>
        <v/>
      </c>
      <c r="D34" s="9">
        <f>D31-D32+D33</f>
        <v/>
      </c>
      <c r="E34" s="9">
        <f>E31-E32+E33</f>
        <v/>
      </c>
      <c r="F34" s="9">
        <f>F31-F32+F33</f>
        <v/>
      </c>
    </row>
    <row r="35">
      <c r="A35" t="inlineStr">
        <is>
          <t>Opening NAV/share (GBp)</t>
        </is>
      </c>
      <c r="B35" s="11">
        <f>$B$8</f>
        <v/>
      </c>
      <c r="C35" s="11">
        <f>B38</f>
        <v/>
      </c>
      <c r="D35" s="11">
        <f>C38</f>
        <v/>
      </c>
      <c r="E35" s="11">
        <f>D38</f>
        <v/>
      </c>
      <c r="F35" s="11">
        <f>E38</f>
        <v/>
      </c>
    </row>
    <row r="36">
      <c r="A36" t="inlineStr">
        <is>
          <t>NAV pre-dividend (GBp)</t>
        </is>
      </c>
      <c r="B36" s="11">
        <f>B35*(1+B34)</f>
        <v/>
      </c>
      <c r="C36" s="11">
        <f>C35*(1+C34)</f>
        <v/>
      </c>
      <c r="D36" s="11">
        <f>D35*(1+D34)</f>
        <v/>
      </c>
      <c r="E36" s="11">
        <f>E35*(1+E34)</f>
        <v/>
      </c>
      <c r="F36" s="11">
        <f>F35*(1+F34)</f>
        <v/>
      </c>
    </row>
    <row r="37">
      <c r="A37" t="inlineStr">
        <is>
          <t>Dividend/share (GBp)</t>
        </is>
      </c>
      <c r="B37" s="11">
        <f>MAX($B$15,$B$25*B35)</f>
        <v/>
      </c>
      <c r="C37" s="11">
        <f>MAX($B$15,$B$25*C35)</f>
        <v/>
      </c>
      <c r="D37" s="11">
        <f>MAX($B$15,$B$25*D35)</f>
        <v/>
      </c>
      <c r="E37" s="11">
        <f>MAX($B$15,$B$25*E35)</f>
        <v/>
      </c>
      <c r="F37" s="11">
        <f>MAX($B$15,$B$25*F35)</f>
        <v/>
      </c>
    </row>
    <row r="38">
      <c r="A38" t="inlineStr">
        <is>
          <t>Closing NAV/share (GBp)</t>
        </is>
      </c>
      <c r="B38" s="11">
        <f>B36-B37</f>
        <v/>
      </c>
      <c r="C38" s="11">
        <f>C36-C37</f>
        <v/>
      </c>
      <c r="D38" s="11">
        <f>D36-D37</f>
        <v/>
      </c>
      <c r="E38" s="11">
        <f>E36-E37</f>
        <v/>
      </c>
      <c r="F38" s="11">
        <f>F36-F37</f>
        <v/>
      </c>
    </row>
    <row r="39">
      <c r="A39" t="inlineStr">
        <is>
          <t>Discount factor @ CoE</t>
        </is>
      </c>
      <c r="B39" s="10">
        <f>1/(1+$B$24)^1</f>
        <v/>
      </c>
      <c r="C39" s="10">
        <f>1/(1+$B$24)^2</f>
        <v/>
      </c>
      <c r="D39" s="10">
        <f>1/(1+$B$24)^3</f>
        <v/>
      </c>
      <c r="E39" s="10">
        <f>1/(1+$B$24)^4</f>
        <v/>
      </c>
      <c r="F39" s="10">
        <f>1/(1+$B$24)^5</f>
        <v/>
      </c>
    </row>
    <row r="40">
      <c r="A40" t="inlineStr">
        <is>
          <t>PV dividend @ CoE (GBp)</t>
        </is>
      </c>
      <c r="B40" s="11">
        <f>B37*B39</f>
        <v/>
      </c>
      <c r="C40" s="11">
        <f>C37*C39</f>
        <v/>
      </c>
      <c r="D40" s="11">
        <f>D37*D39</f>
        <v/>
      </c>
      <c r="E40" s="11">
        <f>E37*E39</f>
        <v/>
      </c>
      <c r="F40" s="11">
        <f>F37*F39</f>
        <v/>
      </c>
    </row>
    <row r="41">
      <c r="A41" t="inlineStr">
        <is>
          <t>Discount factor @ hurdle</t>
        </is>
      </c>
      <c r="B41" s="10">
        <f>1/(1+$B$16)^1</f>
        <v/>
      </c>
      <c r="C41" s="10">
        <f>1/(1+$B$16)^2</f>
        <v/>
      </c>
      <c r="D41" s="10">
        <f>1/(1+$B$16)^3</f>
        <v/>
      </c>
      <c r="E41" s="10">
        <f>1/(1+$B$16)^4</f>
        <v/>
      </c>
      <c r="F41" s="10">
        <f>1/(1+$B$16)^5</f>
        <v/>
      </c>
    </row>
    <row r="42">
      <c r="A42" t="inlineStr">
        <is>
          <t>PV dividend @ hurdle (GBp)</t>
        </is>
      </c>
      <c r="B42" s="11">
        <f>B37*B41</f>
        <v/>
      </c>
      <c r="C42" s="11">
        <f>C37*C41</f>
        <v/>
      </c>
      <c r="D42" s="11">
        <f>D37*D41</f>
        <v/>
      </c>
      <c r="E42" s="11">
        <f>E37*E41</f>
        <v/>
      </c>
      <c r="F42" s="11">
        <f>F37*F41</f>
        <v/>
      </c>
    </row>
    <row r="44">
      <c r="A44" s="2" t="inlineStr">
        <is>
          <t>PROJECTION -- BULL</t>
        </is>
      </c>
    </row>
    <row r="45">
      <c r="A45" t="inlineStr">
        <is>
          <t>Year</t>
        </is>
      </c>
      <c r="B45" s="2" t="inlineStr">
        <is>
          <t>Y1 (Sep-27)</t>
        </is>
      </c>
      <c r="C45" s="2" t="inlineStr">
        <is>
          <t>Y2 (Sep-28)</t>
        </is>
      </c>
      <c r="D45" s="2" t="inlineStr">
        <is>
          <t>Y3 (Sep-29)</t>
        </is>
      </c>
      <c r="E45" s="2" t="inlineStr">
        <is>
          <t>Y4 (Sep-30)</t>
        </is>
      </c>
      <c r="F45" s="2" t="inlineStr">
        <is>
          <t>Y5 (Sep-31)</t>
        </is>
      </c>
    </row>
    <row r="46">
      <c r="A46" t="inlineStr">
        <is>
          <t>Gross portfolio return</t>
        </is>
      </c>
      <c r="B46" s="8" t="n">
        <v>0.12</v>
      </c>
      <c r="C46" s="8" t="n">
        <v>0.12</v>
      </c>
      <c r="D46" s="8" t="n">
        <v>0.12</v>
      </c>
      <c r="E46" s="8" t="n">
        <v>0.12</v>
      </c>
      <c r="F46" s="8" t="n">
        <v>0.12</v>
      </c>
    </row>
    <row r="47">
      <c r="A47" t="inlineStr">
        <is>
          <t>Ongoing charges</t>
        </is>
      </c>
      <c r="B47" s="8" t="n">
        <v>0.006999999999999999</v>
      </c>
      <c r="C47" s="8" t="n">
        <v>0.0068</v>
      </c>
      <c r="D47" s="8" t="n">
        <v>0.0066</v>
      </c>
      <c r="E47" s="8" t="n">
        <v>0.006500000000000001</v>
      </c>
      <c r="F47" s="8" t="n">
        <v>0.006500000000000001</v>
      </c>
    </row>
    <row r="48">
      <c r="A48" t="inlineStr">
        <is>
          <t>Buyback accretion</t>
        </is>
      </c>
      <c r="B48" s="8" t="n">
        <v>0.003</v>
      </c>
      <c r="C48" s="8" t="n">
        <v>0.003</v>
      </c>
      <c r="D48" s="8" t="n">
        <v>0.002</v>
      </c>
      <c r="E48" s="8" t="n">
        <v>0.001</v>
      </c>
      <c r="F48" s="8" t="n">
        <v>0.001</v>
      </c>
    </row>
    <row r="49">
      <c r="A49" t="inlineStr">
        <is>
          <t>Net NAV total return</t>
        </is>
      </c>
      <c r="B49" s="9">
        <f>B46-B47+B48</f>
        <v/>
      </c>
      <c r="C49" s="9">
        <f>C46-C47+C48</f>
        <v/>
      </c>
      <c r="D49" s="9">
        <f>D46-D47+D48</f>
        <v/>
      </c>
      <c r="E49" s="9">
        <f>E46-E47+E48</f>
        <v/>
      </c>
      <c r="F49" s="9">
        <f>F46-F47+F48</f>
        <v/>
      </c>
    </row>
    <row r="50">
      <c r="A50" t="inlineStr">
        <is>
          <t>Opening NAV/share (GBp)</t>
        </is>
      </c>
      <c r="B50" s="11">
        <f>$B$8</f>
        <v/>
      </c>
      <c r="C50" s="11">
        <f>B53</f>
        <v/>
      </c>
      <c r="D50" s="11">
        <f>C53</f>
        <v/>
      </c>
      <c r="E50" s="11">
        <f>D53</f>
        <v/>
      </c>
      <c r="F50" s="11">
        <f>E53</f>
        <v/>
      </c>
    </row>
    <row r="51">
      <c r="A51" t="inlineStr">
        <is>
          <t>NAV pre-dividend (GBp)</t>
        </is>
      </c>
      <c r="B51" s="11">
        <f>B50*(1+B49)</f>
        <v/>
      </c>
      <c r="C51" s="11">
        <f>C50*(1+C49)</f>
        <v/>
      </c>
      <c r="D51" s="11">
        <f>D50*(1+D49)</f>
        <v/>
      </c>
      <c r="E51" s="11">
        <f>E50*(1+E49)</f>
        <v/>
      </c>
      <c r="F51" s="11">
        <f>F50*(1+F49)</f>
        <v/>
      </c>
    </row>
    <row r="52">
      <c r="A52" t="inlineStr">
        <is>
          <t>Dividend/share (GBp)</t>
        </is>
      </c>
      <c r="B52" s="11">
        <f>MAX($B$15,$C$25*B50)</f>
        <v/>
      </c>
      <c r="C52" s="11">
        <f>MAX($B$15,$C$25*C50)</f>
        <v/>
      </c>
      <c r="D52" s="11">
        <f>MAX($B$15,$C$25*D50)</f>
        <v/>
      </c>
      <c r="E52" s="11">
        <f>MAX($B$15,$C$25*E50)</f>
        <v/>
      </c>
      <c r="F52" s="11">
        <f>MAX($B$15,$C$25*F50)</f>
        <v/>
      </c>
    </row>
    <row r="53">
      <c r="A53" t="inlineStr">
        <is>
          <t>Closing NAV/share (GBp)</t>
        </is>
      </c>
      <c r="B53" s="11">
        <f>B51-B52</f>
        <v/>
      </c>
      <c r="C53" s="11">
        <f>C51-C52</f>
        <v/>
      </c>
      <c r="D53" s="11">
        <f>D51-D52</f>
        <v/>
      </c>
      <c r="E53" s="11">
        <f>E51-E52</f>
        <v/>
      </c>
      <c r="F53" s="11">
        <f>F51-F52</f>
        <v/>
      </c>
    </row>
    <row r="54">
      <c r="A54" t="inlineStr">
        <is>
          <t>Discount factor @ CoE</t>
        </is>
      </c>
      <c r="B54" s="10">
        <f>1/(1+$C$24)^1</f>
        <v/>
      </c>
      <c r="C54" s="10">
        <f>1/(1+$C$24)^2</f>
        <v/>
      </c>
      <c r="D54" s="10">
        <f>1/(1+$C$24)^3</f>
        <v/>
      </c>
      <c r="E54" s="10">
        <f>1/(1+$C$24)^4</f>
        <v/>
      </c>
      <c r="F54" s="10">
        <f>1/(1+$C$24)^5</f>
        <v/>
      </c>
    </row>
    <row r="55">
      <c r="A55" t="inlineStr">
        <is>
          <t>PV dividend @ CoE (GBp)</t>
        </is>
      </c>
      <c r="B55" s="11">
        <f>B52*B54</f>
        <v/>
      </c>
      <c r="C55" s="11">
        <f>C52*C54</f>
        <v/>
      </c>
      <c r="D55" s="11">
        <f>D52*D54</f>
        <v/>
      </c>
      <c r="E55" s="11">
        <f>E52*E54</f>
        <v/>
      </c>
      <c r="F55" s="11">
        <f>F52*F54</f>
        <v/>
      </c>
    </row>
    <row r="56">
      <c r="A56" t="inlineStr">
        <is>
          <t>Discount factor @ hurdle</t>
        </is>
      </c>
      <c r="B56" s="10">
        <f>1/(1+$B$16)^1</f>
        <v/>
      </c>
      <c r="C56" s="10">
        <f>1/(1+$B$16)^2</f>
        <v/>
      </c>
      <c r="D56" s="10">
        <f>1/(1+$B$16)^3</f>
        <v/>
      </c>
      <c r="E56" s="10">
        <f>1/(1+$B$16)^4</f>
        <v/>
      </c>
      <c r="F56" s="10">
        <f>1/(1+$B$16)^5</f>
        <v/>
      </c>
    </row>
    <row r="57">
      <c r="A57" t="inlineStr">
        <is>
          <t>PV dividend @ hurdle (GBp)</t>
        </is>
      </c>
      <c r="B57" s="11">
        <f>B52*B56</f>
        <v/>
      </c>
      <c r="C57" s="11">
        <f>C52*C56</f>
        <v/>
      </c>
      <c r="D57" s="11">
        <f>D52*D56</f>
        <v/>
      </c>
      <c r="E57" s="11">
        <f>E52*E56</f>
        <v/>
      </c>
      <c r="F57" s="11">
        <f>F52*F56</f>
        <v/>
      </c>
    </row>
    <row r="59">
      <c r="A59" s="2" t="inlineStr">
        <is>
          <t>PROJECTION -- BEAR</t>
        </is>
      </c>
    </row>
    <row r="60">
      <c r="A60" t="inlineStr">
        <is>
          <t>Year</t>
        </is>
      </c>
      <c r="B60" s="2" t="inlineStr">
        <is>
          <t>Y1 (Sep-27)</t>
        </is>
      </c>
      <c r="C60" s="2" t="inlineStr">
        <is>
          <t>Y2 (Sep-28)</t>
        </is>
      </c>
      <c r="D60" s="2" t="inlineStr">
        <is>
          <t>Y3 (Sep-29)</t>
        </is>
      </c>
      <c r="E60" s="2" t="inlineStr">
        <is>
          <t>Y4 (Sep-30)</t>
        </is>
      </c>
      <c r="F60" s="2" t="inlineStr">
        <is>
          <t>Y5 (Sep-31)</t>
        </is>
      </c>
    </row>
    <row r="61">
      <c r="A61" t="inlineStr">
        <is>
          <t>Gross portfolio return</t>
        </is>
      </c>
      <c r="B61" s="8" t="n">
        <v>-0.12</v>
      </c>
      <c r="C61" s="8" t="n">
        <v>0.04</v>
      </c>
      <c r="D61" s="8" t="n">
        <v>0.06</v>
      </c>
      <c r="E61" s="8" t="n">
        <v>0.06</v>
      </c>
      <c r="F61" s="8" t="n">
        <v>0.06</v>
      </c>
    </row>
    <row r="62">
      <c r="A62" t="inlineStr">
        <is>
          <t>Ongoing charges</t>
        </is>
      </c>
      <c r="B62" s="8" t="n">
        <v>0.0076</v>
      </c>
      <c r="C62" s="8" t="n">
        <v>0.0076</v>
      </c>
      <c r="D62" s="8" t="n">
        <v>0.0076</v>
      </c>
      <c r="E62" s="8" t="n">
        <v>0.0076</v>
      </c>
      <c r="F62" s="8" t="n">
        <v>0.0076</v>
      </c>
    </row>
    <row r="63">
      <c r="A63" t="inlineStr">
        <is>
          <t>Buyback accretion</t>
        </is>
      </c>
      <c r="B63" s="8" t="n">
        <v>0.005</v>
      </c>
      <c r="C63" s="8" t="n">
        <v>0.005</v>
      </c>
      <c r="D63" s="8" t="n">
        <v>0.004</v>
      </c>
      <c r="E63" s="8" t="n">
        <v>0.003</v>
      </c>
      <c r="F63" s="8" t="n">
        <v>0.003</v>
      </c>
    </row>
    <row r="64">
      <c r="A64" t="inlineStr">
        <is>
          <t>Net NAV total return</t>
        </is>
      </c>
      <c r="B64" s="9">
        <f>B61-B62+B63</f>
        <v/>
      </c>
      <c r="C64" s="9">
        <f>C61-C62+C63</f>
        <v/>
      </c>
      <c r="D64" s="9">
        <f>D61-D62+D63</f>
        <v/>
      </c>
      <c r="E64" s="9">
        <f>E61-E62+E63</f>
        <v/>
      </c>
      <c r="F64" s="9">
        <f>F61-F62+F63</f>
        <v/>
      </c>
    </row>
    <row r="65">
      <c r="A65" t="inlineStr">
        <is>
          <t>Opening NAV/share (GBp)</t>
        </is>
      </c>
      <c r="B65" s="11">
        <f>$B$8</f>
        <v/>
      </c>
      <c r="C65" s="11">
        <f>B68</f>
        <v/>
      </c>
      <c r="D65" s="11">
        <f>C68</f>
        <v/>
      </c>
      <c r="E65" s="11">
        <f>D68</f>
        <v/>
      </c>
      <c r="F65" s="11">
        <f>E68</f>
        <v/>
      </c>
    </row>
    <row r="66">
      <c r="A66" t="inlineStr">
        <is>
          <t>NAV pre-dividend (GBp)</t>
        </is>
      </c>
      <c r="B66" s="11">
        <f>B65*(1+B64)</f>
        <v/>
      </c>
      <c r="C66" s="11">
        <f>C65*(1+C64)</f>
        <v/>
      </c>
      <c r="D66" s="11">
        <f>D65*(1+D64)</f>
        <v/>
      </c>
      <c r="E66" s="11">
        <f>E65*(1+E64)</f>
        <v/>
      </c>
      <c r="F66" s="11">
        <f>F65*(1+F64)</f>
        <v/>
      </c>
    </row>
    <row r="67">
      <c r="A67" t="inlineStr">
        <is>
          <t>Dividend/share (GBp)</t>
        </is>
      </c>
      <c r="B67" s="11">
        <f>$B$15</f>
        <v/>
      </c>
      <c r="C67" s="11">
        <f>$B$15</f>
        <v/>
      </c>
      <c r="D67" s="11">
        <f>$B$15</f>
        <v/>
      </c>
      <c r="E67" s="11">
        <f>$B$15</f>
        <v/>
      </c>
      <c r="F67" s="11">
        <f>$B$15</f>
        <v/>
      </c>
    </row>
    <row r="68">
      <c r="A68" t="inlineStr">
        <is>
          <t>Closing NAV/share (GBp)</t>
        </is>
      </c>
      <c r="B68" s="11">
        <f>B66-B67</f>
        <v/>
      </c>
      <c r="C68" s="11">
        <f>C66-C67</f>
        <v/>
      </c>
      <c r="D68" s="11">
        <f>D66-D67</f>
        <v/>
      </c>
      <c r="E68" s="11">
        <f>E66-E67</f>
        <v/>
      </c>
      <c r="F68" s="11">
        <f>F66-F67</f>
        <v/>
      </c>
    </row>
    <row r="69">
      <c r="A69" t="inlineStr">
        <is>
          <t>Discount factor @ CoE</t>
        </is>
      </c>
      <c r="B69" s="10">
        <f>1/(1+$D$24)^1</f>
        <v/>
      </c>
      <c r="C69" s="10">
        <f>1/(1+$D$24)^2</f>
        <v/>
      </c>
      <c r="D69" s="10">
        <f>1/(1+$D$24)^3</f>
        <v/>
      </c>
      <c r="E69" s="10">
        <f>1/(1+$D$24)^4</f>
        <v/>
      </c>
      <c r="F69" s="10">
        <f>1/(1+$D$24)^5</f>
        <v/>
      </c>
    </row>
    <row r="70">
      <c r="A70" t="inlineStr">
        <is>
          <t>PV dividend @ CoE (GBp)</t>
        </is>
      </c>
      <c r="B70" s="11">
        <f>B67*B69</f>
        <v/>
      </c>
      <c r="C70" s="11">
        <f>C67*C69</f>
        <v/>
      </c>
      <c r="D70" s="11">
        <f>D67*D69</f>
        <v/>
      </c>
      <c r="E70" s="11">
        <f>E67*E69</f>
        <v/>
      </c>
      <c r="F70" s="11">
        <f>F67*F69</f>
        <v/>
      </c>
    </row>
    <row r="71">
      <c r="A71" t="inlineStr">
        <is>
          <t>Discount factor @ hurdle</t>
        </is>
      </c>
      <c r="B71" s="10">
        <f>1/(1+$B$16)^1</f>
        <v/>
      </c>
      <c r="C71" s="10">
        <f>1/(1+$B$16)^2</f>
        <v/>
      </c>
      <c r="D71" s="10">
        <f>1/(1+$B$16)^3</f>
        <v/>
      </c>
      <c r="E71" s="10">
        <f>1/(1+$B$16)^4</f>
        <v/>
      </c>
      <c r="F71" s="10">
        <f>1/(1+$B$16)^5</f>
        <v/>
      </c>
    </row>
    <row r="72">
      <c r="A72" t="inlineStr">
        <is>
          <t>PV dividend @ hurdle (GBp)</t>
        </is>
      </c>
      <c r="B72" s="11">
        <f>B67*B71</f>
        <v/>
      </c>
      <c r="C72" s="11">
        <f>C67*C71</f>
        <v/>
      </c>
      <c r="D72" s="11">
        <f>D67*D71</f>
        <v/>
      </c>
      <c r="E72" s="11">
        <f>E67*E71</f>
        <v/>
      </c>
      <c r="F72" s="11">
        <f>F67*F71</f>
        <v/>
      </c>
    </row>
    <row r="74">
      <c r="A74" s="2" t="inlineStr">
        <is>
          <t>VALUATION (5-year build at cost of equity)</t>
        </is>
      </c>
    </row>
    <row r="75">
      <c r="B75" t="inlineStr">
        <is>
          <t>Base</t>
        </is>
      </c>
      <c r="C75" t="inlineStr">
        <is>
          <t>Bull</t>
        </is>
      </c>
      <c r="D75" t="inlineStr">
        <is>
          <t>Bear</t>
        </is>
      </c>
    </row>
    <row r="76">
      <c r="A76" t="inlineStr">
        <is>
          <t>Year-5 NAV/share (GBp)</t>
        </is>
      </c>
      <c r="B76" s="11">
        <f>F38</f>
        <v/>
      </c>
      <c r="C76" s="11">
        <f>F53</f>
        <v/>
      </c>
      <c r="D76" s="11">
        <f>F68</f>
        <v/>
      </c>
    </row>
    <row r="77">
      <c r="A77" t="inlineStr">
        <is>
          <t>Exit price = NAV5 x (1 - discount) (GBp)</t>
        </is>
      </c>
      <c r="B77" s="11">
        <f>B76*(1-B$23)</f>
        <v/>
      </c>
      <c r="C77" s="11">
        <f>C76*(1-C$23)</f>
        <v/>
      </c>
      <c r="D77" s="11">
        <f>D76*(1-D$23)</f>
        <v/>
      </c>
    </row>
    <row r="78">
      <c r="A78" t="inlineStr">
        <is>
          <t>PV exit @ CoE (GBp)</t>
        </is>
      </c>
      <c r="B78" s="11">
        <f>B77*F39</f>
        <v/>
      </c>
      <c r="C78" s="11">
        <f>C77*F54</f>
        <v/>
      </c>
      <c r="D78" s="11">
        <f>D77*F69</f>
        <v/>
      </c>
    </row>
    <row r="79">
      <c r="A79" t="inlineStr">
        <is>
          <t>PV dividends @ CoE (GBp)</t>
        </is>
      </c>
      <c r="B79" s="11">
        <f>SUM(B40:F40)</f>
        <v/>
      </c>
      <c r="C79" s="11">
        <f>SUM(B55:F55)</f>
        <v/>
      </c>
      <c r="D79" s="11">
        <f>SUM(B70:F70)</f>
        <v/>
      </c>
    </row>
    <row r="80">
      <c r="A80" t="inlineStr">
        <is>
          <t>Intrinsic value (GBp)</t>
        </is>
      </c>
      <c r="B80" s="12">
        <f>B78+B79</f>
        <v/>
      </c>
      <c r="C80" s="12">
        <f>C78+C79</f>
        <v/>
      </c>
      <c r="D80" s="12">
        <f>D78+D79</f>
        <v/>
      </c>
    </row>
    <row r="81">
      <c r="A81" t="inlineStr">
        <is>
          <t>Intrinsic value (NZD)</t>
        </is>
      </c>
      <c r="B81" s="13">
        <f>B80/100*$B$12</f>
        <v/>
      </c>
      <c r="C81" s="13">
        <f>C80/100*$B$12</f>
        <v/>
      </c>
      <c r="D81" s="13">
        <f>D80/100*$B$12</f>
        <v/>
      </c>
    </row>
    <row r="82">
      <c r="A82" t="inlineStr">
        <is>
          <t>Upside vs TEM.NZ price</t>
        </is>
      </c>
      <c r="B82" s="9">
        <f>B81/$B$7-1</f>
        <v/>
      </c>
      <c r="C82" s="9">
        <f>C81/$B$7-1</f>
        <v/>
      </c>
      <c r="D82" s="9">
        <f>D81/$B$7-1</f>
        <v/>
      </c>
    </row>
    <row r="83">
      <c r="A83" t="inlineStr">
        <is>
          <t>Upside vs TEM.L price</t>
        </is>
      </c>
      <c r="B83" s="9">
        <f>B80/$B$6-1</f>
        <v/>
      </c>
      <c r="C83" s="9">
        <f>C80/$B$6-1</f>
        <v/>
      </c>
      <c r="D83" s="9">
        <f>D80/$B$6-1</f>
        <v/>
      </c>
    </row>
    <row r="84">
      <c r="A84" t="inlineStr">
        <is>
          <t>Exit value % of IV</t>
        </is>
      </c>
      <c r="B84" s="9">
        <f>B78/B80</f>
        <v/>
      </c>
      <c r="C84" s="9">
        <f>C78/C80</f>
        <v/>
      </c>
      <c r="D84" s="9">
        <f>D78/D80</f>
        <v/>
      </c>
    </row>
    <row r="85">
      <c r="A85" t="inlineStr">
        <is>
          <t>IV-implied P/NAV today</t>
        </is>
      </c>
      <c r="B85" s="14">
        <f>B80/$B$8</f>
        <v/>
      </c>
      <c r="C85" s="14">
        <f>C80/$B$8</f>
        <v/>
      </c>
      <c r="D85" s="14">
        <f>D80/$B$8</f>
        <v/>
      </c>
    </row>
    <row r="86">
      <c r="A86" t="inlineStr">
        <is>
          <t>Static: NAV today x (1 - discount) (GBp)</t>
        </is>
      </c>
      <c r="B86" s="11">
        <f>$B$8*(1-B$23)</f>
        <v/>
      </c>
      <c r="C86" s="11">
        <f>$B$8*(1-C$23)</f>
        <v/>
      </c>
      <c r="D86" s="11">
        <f>$B$8*(1-D$23)</f>
        <v/>
      </c>
    </row>
    <row r="87">
      <c r="A87" t="inlineStr">
        <is>
          <t>Static (NZD)</t>
        </is>
      </c>
      <c r="B87" s="10">
        <f>B86/100*$B$12</f>
        <v/>
      </c>
      <c r="C87" s="10">
        <f>C86/100*$B$12</f>
        <v/>
      </c>
      <c r="D87" s="10">
        <f>D86/100*$B$12</f>
        <v/>
      </c>
    </row>
    <row r="88">
      <c r="A88" t="inlineStr">
        <is>
          <t>ENTRY PRICE @ hurdle: PV exit (GBp)</t>
        </is>
      </c>
      <c r="B88" s="11">
        <f>B77*F41</f>
        <v/>
      </c>
      <c r="C88" s="11">
        <f>C77*F56</f>
        <v/>
      </c>
      <c r="D88" s="11">
        <f>D77*F71</f>
        <v/>
      </c>
    </row>
    <row r="89">
      <c r="A89" t="inlineStr">
        <is>
          <t>ENTRY PRICE @ hurdle: PV dividends (GBp)</t>
        </is>
      </c>
      <c r="B89" s="11">
        <f>SUM(B42:F42)</f>
        <v/>
      </c>
      <c r="C89" s="11">
        <f>SUM(B57:F57)</f>
        <v/>
      </c>
      <c r="D89" s="11">
        <f>SUM(B72:F72)</f>
        <v/>
      </c>
    </row>
    <row r="90">
      <c r="A90" t="inlineStr">
        <is>
          <t>Entry price (GBp)</t>
        </is>
      </c>
      <c r="B90" s="12">
        <f>B88+B89</f>
        <v/>
      </c>
      <c r="C90" s="12">
        <f>C88+C89</f>
        <v/>
      </c>
      <c r="D90" s="12">
        <f>D88+D89</f>
        <v/>
      </c>
    </row>
    <row r="91">
      <c r="A91" t="inlineStr">
        <is>
          <t>Entry price (NZD)</t>
        </is>
      </c>
      <c r="B91" s="13">
        <f>B90/100*$B$12</f>
        <v/>
      </c>
      <c r="C91" s="13">
        <f>C90/100*$B$12</f>
        <v/>
      </c>
      <c r="D91" s="13">
        <f>D90/100*$B$12</f>
        <v/>
      </c>
    </row>
    <row r="92">
      <c r="A92" t="inlineStr">
        <is>
          <t>Entry vs current NZD price</t>
        </is>
      </c>
      <c r="B92" s="9">
        <f>B91/$B$7-1</f>
        <v/>
      </c>
      <c r="C92" s="9">
        <f>C91/$B$7-1</f>
        <v/>
      </c>
      <c r="D92" s="9">
        <f>D91/$B$7-1</f>
        <v/>
      </c>
    </row>
    <row r="94">
      <c r="A94" s="2" t="inlineStr">
        <is>
          <t>PROBABILITY-WEIGHTED</t>
        </is>
      </c>
    </row>
    <row r="95">
      <c r="A95" t="inlineStr">
        <is>
          <t>Weighted IV (GBp)</t>
        </is>
      </c>
      <c r="B95" s="12">
        <f>SUMPRODUCT(B26:D26,B80:D80)</f>
        <v/>
      </c>
    </row>
    <row r="96">
      <c r="A96" t="inlineStr">
        <is>
          <t>Weighted IV (NZD)</t>
        </is>
      </c>
      <c r="B96" s="13">
        <f>B95/100*$B$12</f>
        <v/>
      </c>
    </row>
    <row r="97">
      <c r="A97" t="inlineStr">
        <is>
          <t>Weighted upside vs TEM.NZ</t>
        </is>
      </c>
      <c r="B97" s="9">
        <f>B96/$B$7-1</f>
        <v/>
      </c>
    </row>
    <row r="98">
      <c r="A98" t="inlineStr">
        <is>
          <t>Weighted entry price (GBp)</t>
        </is>
      </c>
      <c r="B98" s="12">
        <f>SUMPRODUCT(B26:D26,B90:D90)</f>
        <v/>
      </c>
    </row>
    <row r="99">
      <c r="A99" t="inlineStr">
        <is>
          <t>Weighted entry price (NZD)</t>
        </is>
      </c>
      <c r="B99" s="13">
        <f>B98/100*$B$12</f>
        <v/>
      </c>
    </row>
    <row r="101">
      <c r="A101" s="2" t="inlineStr">
        <is>
          <t>JSON cross-check (values written by build script)</t>
        </is>
      </c>
    </row>
    <row r="102">
      <c r="A102" t="inlineStr">
        <is>
          <t>Base IV (GBp) per JSON</t>
        </is>
      </c>
      <c r="B102" t="n">
        <v>279.94</v>
      </c>
    </row>
    <row r="103">
      <c r="A103" t="inlineStr">
        <is>
          <t>Weighted IV (NZD) per JSON</t>
        </is>
      </c>
      <c r="B103" t="n">
        <v>6.3092</v>
      </c>
    </row>
    <row r="104">
      <c r="A104" t="inlineStr">
        <is>
          <t>Base entry (GBp) per JSON</t>
        </is>
      </c>
      <c r="B104" t="n">
        <v>235.95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Sensitivity -- base-case 5-year build, intrinsic value in NZD (GBP pence in brackets sheet section below)</t>
        </is>
      </c>
    </row>
    <row r="3">
      <c r="A3" t="inlineStr">
        <is>
          <t>CoE \ Exit discount</t>
        </is>
      </c>
      <c r="B3" s="15" t="n">
        <v>0.05</v>
      </c>
      <c r="C3" s="15" t="n">
        <v>0.075</v>
      </c>
      <c r="D3" s="15" t="n">
        <v>0.1</v>
      </c>
      <c r="E3" s="15" t="n">
        <v>0.125</v>
      </c>
      <c r="F3" s="15" t="n">
        <v>0.15</v>
      </c>
    </row>
    <row r="4">
      <c r="A4" s="15" t="n">
        <v>0.09</v>
      </c>
      <c r="B4" s="16" t="n">
        <v>7.3973</v>
      </c>
      <c r="C4" s="16" t="n">
        <v>7.2167</v>
      </c>
      <c r="D4" s="16" t="n">
        <v>7.036</v>
      </c>
      <c r="E4" s="16" t="n">
        <v>6.8553</v>
      </c>
      <c r="F4" s="16" t="n">
        <v>6.6746</v>
      </c>
    </row>
    <row r="5">
      <c r="A5" s="15" t="n">
        <v>0.1</v>
      </c>
      <c r="B5" s="16" t="n">
        <v>7.0767</v>
      </c>
      <c r="C5" s="16" t="n">
        <v>6.9041</v>
      </c>
      <c r="D5" s="16" t="n">
        <v>6.7315</v>
      </c>
      <c r="E5" s="16" t="n">
        <v>6.5589</v>
      </c>
      <c r="F5" s="16" t="n">
        <v>6.3862</v>
      </c>
    </row>
    <row r="6">
      <c r="A6" s="15" t="n">
        <v>0.11</v>
      </c>
      <c r="B6" s="16" t="n">
        <v>6.7729</v>
      </c>
      <c r="C6" s="16" t="n">
        <v>6.6081</v>
      </c>
      <c r="D6" s="16" t="n">
        <v>6.4431</v>
      </c>
      <c r="E6" s="16" t="n">
        <v>6.2781</v>
      </c>
      <c r="F6" s="16" t="n">
        <v>6.1133</v>
      </c>
    </row>
    <row r="7">
      <c r="A7" s="15" t="n">
        <v>0.12</v>
      </c>
      <c r="B7" s="16" t="n">
        <v>6.4852</v>
      </c>
      <c r="C7" s="16" t="n">
        <v>6.3273</v>
      </c>
      <c r="D7" s="16" t="n">
        <v>6.1697</v>
      </c>
      <c r="E7" s="16" t="n">
        <v>6.012</v>
      </c>
      <c r="F7" s="16" t="n">
        <v>5.8543</v>
      </c>
    </row>
    <row r="8">
      <c r="A8" s="15" t="n">
        <v>0.13</v>
      </c>
      <c r="B8" s="16" t="n">
        <v>6.212</v>
      </c>
      <c r="C8" s="16" t="n">
        <v>6.0613</v>
      </c>
      <c r="D8" s="16" t="n">
        <v>5.9103</v>
      </c>
      <c r="E8" s="16" t="n">
        <v>5.7595</v>
      </c>
      <c r="F8" s="16" t="n">
        <v>5.6085</v>
      </c>
    </row>
    <row r="11">
      <c r="A11" t="inlineStr">
        <is>
          <t>Gross return \ Exit discount (CoE 11%)</t>
        </is>
      </c>
      <c r="B11" s="15" t="n">
        <v>0.05</v>
      </c>
      <c r="C11" s="15" t="n">
        <v>0.075</v>
      </c>
      <c r="D11" s="15" t="n">
        <v>0.1</v>
      </c>
      <c r="E11" s="15" t="n">
        <v>0.125</v>
      </c>
      <c r="F11" s="15" t="n">
        <v>0.15</v>
      </c>
    </row>
    <row r="12">
      <c r="A12" s="15" t="n">
        <v>0.045</v>
      </c>
      <c r="B12" s="16" t="n">
        <v>5.647</v>
      </c>
      <c r="C12" s="16" t="n">
        <v>5.5107</v>
      </c>
      <c r="D12" s="16" t="n">
        <v>5.3745</v>
      </c>
      <c r="E12" s="16" t="n">
        <v>5.2382</v>
      </c>
      <c r="F12" s="16" t="n">
        <v>5.102</v>
      </c>
    </row>
    <row r="13">
      <c r="A13" s="15" t="n">
        <v>0.065</v>
      </c>
      <c r="B13" s="16" t="n">
        <v>6.1888</v>
      </c>
      <c r="C13" s="16" t="n">
        <v>6.0387</v>
      </c>
      <c r="D13" s="16" t="n">
        <v>5.8886</v>
      </c>
      <c r="E13" s="16" t="n">
        <v>5.7386</v>
      </c>
      <c r="F13" s="16" t="n">
        <v>5.5885</v>
      </c>
    </row>
    <row r="14">
      <c r="A14" s="15" t="n">
        <v>0.08500000000000001</v>
      </c>
      <c r="B14" s="16" t="n">
        <v>6.7729</v>
      </c>
      <c r="C14" s="16" t="n">
        <v>6.6081</v>
      </c>
      <c r="D14" s="16" t="n">
        <v>6.4431</v>
      </c>
      <c r="E14" s="16" t="n">
        <v>6.2781</v>
      </c>
      <c r="F14" s="16" t="n">
        <v>6.1133</v>
      </c>
    </row>
    <row r="15">
      <c r="A15" s="15" t="n">
        <v>0.105</v>
      </c>
      <c r="B15" s="16" t="n">
        <v>7.4019</v>
      </c>
      <c r="C15" s="16" t="n">
        <v>7.221</v>
      </c>
      <c r="D15" s="16" t="n">
        <v>7.0399</v>
      </c>
      <c r="E15" s="16" t="n">
        <v>6.859</v>
      </c>
      <c r="F15" s="16" t="n">
        <v>6.6779</v>
      </c>
    </row>
    <row r="16">
      <c r="A16" s="15" t="n">
        <v>0.125</v>
      </c>
      <c r="B16" s="16" t="n">
        <v>8.0784</v>
      </c>
      <c r="C16" s="16" t="n">
        <v>7.8802</v>
      </c>
      <c r="D16" s="16" t="n">
        <v>7.6818</v>
      </c>
      <c r="E16" s="16" t="n">
        <v>7.4834</v>
      </c>
      <c r="F16" s="16" t="n">
        <v>7.2853</v>
      </c>
    </row>
    <row r="19">
      <c r="A19" s="2" t="inlineStr">
        <is>
          <t>Same grids in GBP pence</t>
        </is>
      </c>
    </row>
    <row r="20">
      <c r="A20" t="inlineStr">
        <is>
          <t>CoE \ Exit discount</t>
        </is>
      </c>
      <c r="B20" s="15" t="n">
        <v>0.05</v>
      </c>
      <c r="C20" s="15" t="n">
        <v>0.075</v>
      </c>
      <c r="D20" s="15" t="n">
        <v>0.1</v>
      </c>
      <c r="E20" s="15" t="n">
        <v>0.125</v>
      </c>
      <c r="F20" s="15" t="n">
        <v>0.15</v>
      </c>
    </row>
    <row r="21">
      <c r="A21" s="15" t="n">
        <v>0.09</v>
      </c>
      <c r="B21" s="17" t="n">
        <v>321.4</v>
      </c>
      <c r="C21" s="17" t="n">
        <v>313.55</v>
      </c>
      <c r="D21" s="17" t="n">
        <v>305.7</v>
      </c>
      <c r="E21" s="17" t="n">
        <v>297.85</v>
      </c>
      <c r="F21" s="17" t="n">
        <v>290</v>
      </c>
    </row>
    <row r="22">
      <c r="A22" s="15" t="n">
        <v>0.1</v>
      </c>
      <c r="B22" s="17" t="n">
        <v>307.47</v>
      </c>
      <c r="C22" s="17" t="n">
        <v>299.97</v>
      </c>
      <c r="D22" s="17" t="n">
        <v>292.47</v>
      </c>
      <c r="E22" s="17" t="n">
        <v>284.97</v>
      </c>
      <c r="F22" s="17" t="n">
        <v>277.47</v>
      </c>
    </row>
    <row r="23">
      <c r="A23" s="15" t="n">
        <v>0.11</v>
      </c>
      <c r="B23" s="17" t="n">
        <v>294.27</v>
      </c>
      <c r="C23" s="17" t="n">
        <v>287.11</v>
      </c>
      <c r="D23" s="17" t="n">
        <v>279.94</v>
      </c>
      <c r="E23" s="17" t="n">
        <v>272.77</v>
      </c>
      <c r="F23" s="17" t="n">
        <v>265.61</v>
      </c>
    </row>
    <row r="24">
      <c r="A24" s="15" t="n">
        <v>0.12</v>
      </c>
      <c r="B24" s="17" t="n">
        <v>281.77</v>
      </c>
      <c r="C24" s="17" t="n">
        <v>274.91</v>
      </c>
      <c r="D24" s="17" t="n">
        <v>268.06</v>
      </c>
      <c r="E24" s="17" t="n">
        <v>261.21</v>
      </c>
      <c r="F24" s="17" t="n">
        <v>254.36</v>
      </c>
    </row>
    <row r="25">
      <c r="A25" s="15" t="n">
        <v>0.13</v>
      </c>
      <c r="B25" s="17" t="n">
        <v>269.9</v>
      </c>
      <c r="C25" s="17" t="n">
        <v>263.35</v>
      </c>
      <c r="D25" s="17" t="n">
        <v>256.79</v>
      </c>
      <c r="E25" s="17" t="n">
        <v>250.24</v>
      </c>
      <c r="F25" s="17" t="n">
        <v>243.68</v>
      </c>
    </row>
    <row r="27">
      <c r="A27" t="inlineStr">
        <is>
          <t>Gross return \ Exit discount (CoE 11%)</t>
        </is>
      </c>
      <c r="B27" s="15" t="n">
        <v>0.05</v>
      </c>
      <c r="C27" s="15" t="n">
        <v>0.075</v>
      </c>
      <c r="D27" s="15" t="n">
        <v>0.1</v>
      </c>
      <c r="E27" s="15" t="n">
        <v>0.125</v>
      </c>
      <c r="F27" s="15" t="n">
        <v>0.15</v>
      </c>
    </row>
    <row r="28">
      <c r="A28" s="15" t="n">
        <v>0.045</v>
      </c>
      <c r="B28" s="17" t="n">
        <v>245.35</v>
      </c>
      <c r="C28" s="17" t="n">
        <v>239.43</v>
      </c>
      <c r="D28" s="17" t="n">
        <v>233.51</v>
      </c>
      <c r="E28" s="17" t="n">
        <v>227.59</v>
      </c>
      <c r="F28" s="17" t="n">
        <v>221.67</v>
      </c>
    </row>
    <row r="29">
      <c r="A29" s="15" t="n">
        <v>0.065</v>
      </c>
      <c r="B29" s="17" t="n">
        <v>268.89</v>
      </c>
      <c r="C29" s="17" t="n">
        <v>262.37</v>
      </c>
      <c r="D29" s="17" t="n">
        <v>255.85</v>
      </c>
      <c r="E29" s="17" t="n">
        <v>249.33</v>
      </c>
      <c r="F29" s="17" t="n">
        <v>242.81</v>
      </c>
    </row>
    <row r="30">
      <c r="A30" s="15" t="n">
        <v>0.08500000000000001</v>
      </c>
      <c r="B30" s="17" t="n">
        <v>294.27</v>
      </c>
      <c r="C30" s="17" t="n">
        <v>287.11</v>
      </c>
      <c r="D30" s="17" t="n">
        <v>279.94</v>
      </c>
      <c r="E30" s="17" t="n">
        <v>272.77</v>
      </c>
      <c r="F30" s="17" t="n">
        <v>265.61</v>
      </c>
    </row>
    <row r="31">
      <c r="A31" s="15" t="n">
        <v>0.105</v>
      </c>
      <c r="B31" s="17" t="n">
        <v>321.6</v>
      </c>
      <c r="C31" s="17" t="n">
        <v>313.74</v>
      </c>
      <c r="D31" s="17" t="n">
        <v>305.87</v>
      </c>
      <c r="E31" s="17" t="n">
        <v>298.01</v>
      </c>
      <c r="F31" s="17" t="n">
        <v>290.14</v>
      </c>
    </row>
    <row r="32">
      <c r="A32" s="15" t="n">
        <v>0.125</v>
      </c>
      <c r="B32" s="17" t="n">
        <v>350.99</v>
      </c>
      <c r="C32" s="17" t="n">
        <v>342.38</v>
      </c>
      <c r="D32" s="17" t="n">
        <v>333.76</v>
      </c>
      <c r="E32" s="17" t="n">
        <v>325.14</v>
      </c>
      <c r="F32" s="17" t="n">
        <v>316.53</v>
      </c>
    </row>
    <row r="34">
      <c r="A34" s="2" t="inlineStr">
        <is>
          <t>Required-return table (base): rate -&gt; value (GBp / NZD)</t>
        </is>
      </c>
    </row>
    <row r="35">
      <c r="A35" s="15" t="n">
        <v>0.08</v>
      </c>
      <c r="B35" s="17" t="n">
        <v>319.67</v>
      </c>
      <c r="C35" s="16" t="n">
        <v>7.3575</v>
      </c>
    </row>
    <row r="36">
      <c r="A36" s="15" t="n">
        <v>0.09</v>
      </c>
      <c r="B36" s="17" t="n">
        <v>305.7</v>
      </c>
      <c r="C36" s="16" t="n">
        <v>7.036</v>
      </c>
    </row>
    <row r="37">
      <c r="A37" s="15" t="n">
        <v>0.1</v>
      </c>
      <c r="B37" s="17" t="n">
        <v>292.47</v>
      </c>
      <c r="C37" s="16" t="n">
        <v>6.7315</v>
      </c>
    </row>
    <row r="38">
      <c r="A38" s="15" t="n">
        <v>0.11</v>
      </c>
      <c r="B38" s="17" t="n">
        <v>279.94</v>
      </c>
      <c r="C38" s="16" t="n">
        <v>6.4431</v>
      </c>
    </row>
    <row r="39">
      <c r="A39" s="15" t="n">
        <v>0.12</v>
      </c>
      <c r="B39" s="17" t="n">
        <v>268.06</v>
      </c>
      <c r="C39" s="16" t="n">
        <v>6.1697</v>
      </c>
    </row>
    <row r="40">
      <c r="A40" s="15" t="n">
        <v>0.15</v>
      </c>
      <c r="B40" s="17" t="n">
        <v>235.95</v>
      </c>
      <c r="C40" s="16" t="n">
        <v>5.4306</v>
      </c>
    </row>
    <row r="42">
      <c r="A42" t="inlineStr">
        <is>
          <t>Current TEM.NZ price NZ$7.386; current NAV 351.03p; static values are computed on the NAV Model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Historical NAV, price, discount and returns (FY ends 31 March; FY2016-FY2020 split-adjusted where shown)</t>
        </is>
      </c>
    </row>
    <row r="3">
      <c r="A3" s="2" t="inlineStr">
        <is>
          <t>Fiscal year</t>
        </is>
      </c>
      <c r="B3" s="2" t="inlineStr">
        <is>
          <t>NAV/share GBp (as filed)</t>
        </is>
      </c>
      <c r="C3" s="2" t="inlineStr">
        <is>
          <t>Share price GBp (as filed)</t>
        </is>
      </c>
      <c r="D3" s="2" t="inlineStr">
        <is>
          <t>Year-end discount</t>
        </is>
      </c>
      <c r="E3" s="2" t="inlineStr">
        <is>
          <t>NAV total return</t>
        </is>
      </c>
      <c r="F3" s="2" t="inlineStr">
        <is>
          <t>MSCI EM (net) return</t>
        </is>
      </c>
      <c r="G3" s="2" t="inlineStr">
        <is>
          <t>OCR</t>
        </is>
      </c>
      <c r="H3" s="2" t="inlineStr">
        <is>
          <t>DPS GBp</t>
        </is>
      </c>
      <c r="I3" s="2" t="inlineStr">
        <is>
          <t>Buybacks GBP m</t>
        </is>
      </c>
    </row>
    <row r="4">
      <c r="A4" t="inlineStr">
        <is>
          <t>FY2016</t>
        </is>
      </c>
      <c r="C4" t="n">
        <v>90.8</v>
      </c>
      <c r="D4" s="15" t="n">
        <v>0.134</v>
      </c>
      <c r="G4" s="15" t="n">
        <v>0.0122</v>
      </c>
    </row>
    <row r="5">
      <c r="A5" t="inlineStr">
        <is>
          <t>FY2017</t>
        </is>
      </c>
      <c r="B5" t="n">
        <v>763</v>
      </c>
      <c r="C5" t="n">
        <v>132.3</v>
      </c>
      <c r="D5" s="15" t="n">
        <v>0.133</v>
      </c>
      <c r="E5" s="15" t="n">
        <v>0.478</v>
      </c>
      <c r="F5" s="15" t="n">
        <v>0.352</v>
      </c>
      <c r="G5" s="15" t="n">
        <v>0.012</v>
      </c>
      <c r="H5" t="n">
        <v>8.25</v>
      </c>
    </row>
    <row r="6">
      <c r="A6" t="inlineStr">
        <is>
          <t>FY2018</t>
        </is>
      </c>
      <c r="B6" t="n">
        <v>846</v>
      </c>
      <c r="C6" t="n">
        <v>148.6</v>
      </c>
      <c r="D6" s="15" t="n">
        <v>0.122</v>
      </c>
      <c r="E6" s="15" t="n">
        <v>0.124</v>
      </c>
      <c r="F6" s="15" t="n">
        <v>0.118</v>
      </c>
      <c r="G6" s="15" t="n">
        <v>0.0112</v>
      </c>
      <c r="H6" t="n">
        <v>15</v>
      </c>
      <c r="I6" t="n">
        <v>72.5</v>
      </c>
    </row>
    <row r="7">
      <c r="A7" t="inlineStr">
        <is>
          <t>FY2019</t>
        </is>
      </c>
      <c r="B7" t="n">
        <v>842.5</v>
      </c>
      <c r="C7" t="n">
        <v>766</v>
      </c>
      <c r="D7" s="15" t="n">
        <v>0.091</v>
      </c>
      <c r="E7" s="15" t="n">
        <v>0.018</v>
      </c>
      <c r="F7" s="15" t="n">
        <v>0.001</v>
      </c>
      <c r="G7" s="15" t="n">
        <v>0.0102</v>
      </c>
      <c r="H7" t="n">
        <v>16</v>
      </c>
      <c r="I7" t="n">
        <v>147.5</v>
      </c>
    </row>
    <row r="8">
      <c r="A8" t="inlineStr">
        <is>
          <t>FY2020</t>
        </is>
      </c>
      <c r="B8" t="n">
        <v>732.3</v>
      </c>
      <c r="C8" t="n">
        <v>657</v>
      </c>
      <c r="D8" s="15" t="n">
        <v>0.103</v>
      </c>
      <c r="E8" s="15" t="n">
        <v>-0.112</v>
      </c>
      <c r="F8" s="15" t="n">
        <v>-0.132</v>
      </c>
      <c r="G8" s="15" t="n">
        <v>0.0102</v>
      </c>
      <c r="H8" t="n">
        <v>19</v>
      </c>
      <c r="I8" t="n">
        <v>69.90000000000001</v>
      </c>
    </row>
    <row r="9">
      <c r="A9" t="inlineStr">
        <is>
          <t>FY2021</t>
        </is>
      </c>
      <c r="B9" t="n">
        <v>219.4</v>
      </c>
      <c r="C9" t="n">
        <v>202.4</v>
      </c>
      <c r="D9" s="15" t="n">
        <v>0.077</v>
      </c>
      <c r="E9" s="15" t="n">
        <v>0.545</v>
      </c>
      <c r="F9" s="15" t="n">
        <v>0.428</v>
      </c>
      <c r="G9" s="15" t="n">
        <v>0.0097</v>
      </c>
      <c r="H9" t="n">
        <v>3.8</v>
      </c>
      <c r="I9" t="n">
        <v>49.6</v>
      </c>
    </row>
    <row r="10">
      <c r="A10" t="inlineStr">
        <is>
          <t>FY2022</t>
        </is>
      </c>
      <c r="B10" t="n">
        <v>178.2</v>
      </c>
      <c r="C10" t="n">
        <v>156.4</v>
      </c>
      <c r="D10" s="15" t="n">
        <v>0.122</v>
      </c>
      <c r="E10" s="15" t="n">
        <v>-0.173</v>
      </c>
      <c r="F10" s="15" t="n">
        <v>-0.068</v>
      </c>
      <c r="G10" s="15" t="n">
        <v>0.0097</v>
      </c>
      <c r="H10" t="n">
        <v>3.8</v>
      </c>
      <c r="I10" t="n">
        <v>3.6</v>
      </c>
    </row>
    <row r="11">
      <c r="A11" t="inlineStr">
        <is>
          <t>FY2023</t>
        </is>
      </c>
      <c r="B11" t="n">
        <v>174.1</v>
      </c>
      <c r="C11" t="n">
        <v>152.2</v>
      </c>
      <c r="D11" s="15" t="n">
        <v>0.126</v>
      </c>
      <c r="E11" s="15" t="n">
        <v>0.008</v>
      </c>
      <c r="F11" s="15" t="n">
        <v>-0.045</v>
      </c>
      <c r="G11" s="15" t="n">
        <v>0.0098</v>
      </c>
      <c r="H11" t="n">
        <v>5</v>
      </c>
      <c r="I11" t="n">
        <v>29.2</v>
      </c>
    </row>
    <row r="12">
      <c r="A12" t="inlineStr">
        <is>
          <t>FY2024</t>
        </is>
      </c>
      <c r="B12" t="n">
        <v>182.5</v>
      </c>
      <c r="C12" t="n">
        <v>154.4</v>
      </c>
      <c r="D12" s="15" t="n">
        <v>0.154</v>
      </c>
      <c r="E12" s="15" t="n">
        <v>0.079</v>
      </c>
      <c r="F12" s="15" t="n">
        <v>0.059</v>
      </c>
      <c r="G12" s="15" t="n">
        <v>0.0097</v>
      </c>
      <c r="H12" t="n">
        <v>5</v>
      </c>
      <c r="I12" t="n">
        <v>65.90000000000001</v>
      </c>
    </row>
    <row r="13">
      <c r="A13" t="inlineStr">
        <is>
          <t>FY2025</t>
        </is>
      </c>
      <c r="B13" t="n">
        <v>193.7</v>
      </c>
      <c r="C13" t="n">
        <v>169.6</v>
      </c>
      <c r="D13" s="15" t="n">
        <v>0.124</v>
      </c>
      <c r="E13" s="15" t="n">
        <v>0.08800000000000001</v>
      </c>
      <c r="F13" s="15" t="n">
        <v>0.058</v>
      </c>
      <c r="G13" s="15" t="n">
        <v>0.0095</v>
      </c>
      <c r="H13" t="n">
        <v>5.25</v>
      </c>
      <c r="I13" t="n">
        <v>149.2</v>
      </c>
    </row>
    <row r="14">
      <c r="A14" t="inlineStr">
        <is>
          <t>FY2026</t>
        </is>
      </c>
      <c r="B14" t="n">
        <v>267.3</v>
      </c>
      <c r="C14" t="n">
        <v>245.5</v>
      </c>
      <c r="D14" s="15" t="n">
        <v>0.08199999999999999</v>
      </c>
      <c r="E14" s="15" t="n">
        <v>0.413</v>
      </c>
      <c r="F14" s="15" t="n">
        <v>0.268</v>
      </c>
      <c r="G14" s="15" t="n">
        <v>0.0086</v>
      </c>
      <c r="H14" t="n">
        <v>5.25</v>
      </c>
      <c r="I14" t="n">
        <v>166.7</v>
      </c>
    </row>
    <row r="16">
      <c r="A16" t="inlineStr">
        <is>
          <t>Note: FY2016-FY2020 NAV/price/DPS are as filed PRE the 5-for-1 sub-division of 26-Jul-2021 (divide by 5 to compare); FY2017-18 share price column in the source kpis is on a different basis and is not used.</t>
        </is>
      </c>
    </row>
    <row r="17">
      <c r="A17" t="inlineStr">
        <is>
          <t>10-yr average discount FY2017-FY2026:</t>
        </is>
      </c>
      <c r="B17" s="15" t="n">
        <v>0.1134</v>
      </c>
    </row>
    <row r="18">
      <c r="A18" t="inlineStr">
        <is>
          <t>5-yr average discount FY2022-FY2026:</t>
        </is>
      </c>
      <c r="B18" s="15" t="n">
        <v>0.1216</v>
      </c>
    </row>
    <row r="19">
      <c r="A19" t="inlineStr">
        <is>
          <t>Range (narrow / wide):</t>
        </is>
      </c>
      <c r="B19" t="inlineStr">
        <is>
          <t>7.7% (FY2021) / 15.4% (FY2024)</t>
        </is>
      </c>
    </row>
    <row r="20">
      <c r="A20" t="inlineStr">
        <is>
          <t>Current (TEM.L 319.0p vs 351.03p, 3-Sep-2026):</t>
        </is>
      </c>
      <c r="B20" s="15" t="n">
        <v>0.0912</v>
      </c>
    </row>
    <row r="22">
      <c r="A22" t="inlineStr">
        <is>
          <t>Post-year-end NAV path (cum-income, pence): 30-Mar-26 271.22 (daily) | 31-Mar-26 267.3 (audited) | 20-May-26 329.88 (daily) | 21-May-26 340.8 (AR note 22) | 1-Sep-26 351.03 (daily)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2" t="inlineStr">
        <is>
          <t>Ticker</t>
        </is>
      </c>
      <c r="B1" s="18" t="inlineStr">
        <is>
          <t>TEM.NZ (NZX secondary, NZD) / TEM.L (LSE primary, GBp)</t>
        </is>
      </c>
    </row>
    <row r="3">
      <c r="A3" s="2" t="inlineStr">
        <is>
          <t>Company</t>
        </is>
      </c>
      <c r="B3" s="18" t="inlineStr">
        <is>
          <t>Templeton Emerging Markets Investment Trust plc (TEMIT), managed by Franklin Templeton / Templeton Global Investments</t>
        </is>
      </c>
    </row>
    <row r="5">
      <c r="A5" s="2" t="inlineStr">
        <is>
          <t>Model type</t>
        </is>
      </c>
      <c r="B5" s="18" t="inlineStr">
        <is>
          <t>NAV-compounding + exit-discount, discounted at cost of equity. NOT an FCF/WACC DCF -- see valuation_philosophy in TEM.NZ_DCF.json.</t>
        </is>
      </c>
    </row>
    <row r="7">
      <c r="A7" s="2" t="inlineStr">
        <is>
          <t>Built by</t>
        </is>
      </c>
      <c r="B7" s="18" t="inlineStr">
        <is>
          <t>dcf-analyst agent, 2026-09-03, following the AFI.NZ / BIT.NZ / MLN.NZ LIC schema.</t>
        </is>
      </c>
    </row>
    <row r="9">
      <c r="A9" s="2" t="inlineStr">
        <is>
          <t>Data vintage</t>
        </is>
      </c>
      <c r="B9" s="18" t="inlineStr">
        <is>
          <t>NAV 351.03p cum-income at 1-Sep-2026 (NZX daily NAV ann. 479076); shares 913,638,293 at 1-Sep-2026 (ann. 478994); TEM.L 319.0p and GBPNZD 2.3016 at 2026-09-03 ~10:00Z; TEM.NZ NZ$7.386 at 2026-09-03 04:27Z. FY2026 annual report (31-Mar-2026) for OCR, gearing, dividends, discount history.</t>
        </is>
      </c>
    </row>
    <row r="11">
      <c r="A11" s="2" t="inlineStr">
        <is>
          <t>Key choices</t>
        </is>
      </c>
      <c r="B11" s="18" t="inlineStr">
        <is>
          <t>(1) Anchor on the current daily NAV, not the audited March NAV (NAV +31% since). (2) Base return 8.5% gross = through-cycle EM ~7.5% + 1pp alpha; FY2026's +41.3% not extrapolated. (3) Base exit discount 10% ~ current 9.1% drifting toward the 11.3% 10-yr average; no further narrowing assumed. (4) Dividends deducted from NAV and paid to the holder -- once. (5) Net debt NOT subtracted: NAV is net of the RCF. (6) CoE 11% GBP = 4.5% gilt + 5% ERP + 1.5% EM premium. (7) Entry price: same exit P/NAV, discounted at 15%.</t>
        </is>
      </c>
    </row>
    <row r="13">
      <c r="A13" s="2" t="inlineStr">
        <is>
          <t>Refresh</t>
        </is>
      </c>
      <c r="B13" s="18" t="inlineStr">
        <is>
          <t>Daily NAV from the NZX 'Net Asset Value(s)' announcements; H1 FY2027 (30-Sep-2026) in ~Nov-2026; FY2027 annual ~Jun-2027.</t>
        </is>
      </c>
    </row>
    <row r="15">
      <c r="A15" s="2" t="inlineStr">
        <is>
          <t>Cell conventions</t>
        </is>
      </c>
      <c r="B15" s="18" t="inlineStr">
        <is>
          <t>Gray = inputs; bordered white = formulas; green = headline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2026-09-03T10:35:34Z</dcterms:created>
  <dcterms:modified xsi:type="dcterms:W3CDTF">2026-09-03T10:35:34Z</dcterms:modified>
</cp:coreProperties>
</file>