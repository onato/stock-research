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<sst xmlns="http://schemas.openxmlformats.org/spreadsheetml/2006/main" count="357" uniqueCount="164">
  <si>
    <t xml:space="preserve">Ticker</t>
  </si>
  <si>
    <t xml:space="preserve">CARR</t>
  </si>
  <si>
    <t xml:space="preserve">Company</t>
  </si>
  <si>
    <t xml:space="preserve">Carrier Global Corporation</t>
  </si>
  <si>
    <t xml:space="preserve">Valuation date</t>
  </si>
  <si>
    <t xml:space="preserve">2026-09-26</t>
  </si>
  <si>
    <t xml:space="preserve">Current price</t>
  </si>
  <si>
    <t xml:space="preserve">Price as of</t>
  </si>
  <si>
    <t xml:space="preserve">2026-09-25T20:00:03Z regular close</t>
  </si>
  <si>
    <t xml:space="preserve">Balance sheet date</t>
  </si>
  <si>
    <t xml:space="preserve">2026-03-31</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</si>
  <si>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</si>
  <si>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</si>
  <si>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</si>
  <si>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</si>
  <si>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</si>
  <si>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</si>
  <si>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</si>
  <si>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</si>
  <si>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</si>
  <si>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</si>
  <si>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2026-09-26T00:24:27Z</t>
  </si>
  <si>
    <t xml:space="preserve">Drivers file</t>
  </si>
  <si>
    <t xml:space="preserve">CARR_Drivers.json</t>
  </si>
  <si>
    <t xml:space="preserve">Convention</t>
  </si>
  <si>
    <t xml:space="preserve">Percents stored as percents; formulas divide by 100. Blue = input, green = link, black = formula.</t>
  </si>
  <si>
    <t xml:space="preserve">Methodology</t>
  </si>
  <si>
    <t xml:space="preserve">summary: Carrier is a structurally repositioned industrial: post-Viessmann/post-divestiture, it is a larger, more Europe-exposed, more heat-pump/electrification-levered HVAC pure-play with a genuinely new and fast-scaling AI data-center cooling growth vector layered on top of a still-cyclical residential core. The valuation question is not whether the growth drivers are real (order growth and backlog data corroborate them) but whether management converts revenue growth into margin recovery on its own guided timeline, given two consecutive quarters of margin disappointment against tariff and mix headwinds even as revenue beat. The current price (~$56) sits well below the average sell-side target (~$78), which is either a genuine value gap on an unrecognized data-center story or a rational discount for integration/execution risk that has already shown up twice in 2026 earnings prints.
key_risks_to_valuation: Margin-recovery execution: two consecutive quarters of adjusted EPS decline despite revenue beats (tariff timing, unfavorable mix, lower JV income) directly threaten the base case's EBITDA-margin ramp to 17.5%; AI data-center capex cycle dependency: the most valuable growth narrative rests on continued hyperscaler capital spending and Carrier's unproven-at-scale ZutaCore liquid-cooling technology against Vertiv/JCI/Trane/Daikin; Residential HVAC cyclicality: high-single-digit declines from channel destocking are a direct offset to commercial/data-center strength and the largest swing factor in consolidated organic growth; Post-Viessmann leverage (~2.3x net debt/EBITDA) and simultaneous multi-transaction portfolio restructuring (Riello sale, NORESCO exit) create ongoing execution and one-time-cost risk layered on top of integration risk; Tariff and trade-policy exposure given Carrier's global manufacturing/sourcing footprint, with management's own commentary showing pricing has repeatedly lagged cost increases rather than fully offsetting them</t>
  </si>
  <si>
    <t xml:space="preserve">Data sources</t>
  </si>
  <si>
    <t xml:space="preserve">price: Yahoo Finance chart API at inputs.price_as_of; 52-week range 50.24-76.76
financials: research/CARR/Reports/CARR_Metrics.csv (core_metrics-derived) cross-checked against SEC XBRL companyconcept API (CIK0001783180): ShareBasedCompensation, WeightedAverageNumberOfDilutedSharesOutstanding, PaymentsForRepurchaseOfCommonStock, LongTermDebtNoncurrent/Current, CommercialPaper, CashAndCashEquivalentsAtCarryingValue, DepreciationAmortizationAndAccretionNet, Depreciation, AmortizationOfIntangibleAssets
qualitative: research/CARR/Reports/CARR_Analysis.json (2026-09-26) -- Viessmann acquisition, Fire&amp;Security/Commercial Refrigeration/Riello divestitures, data-center cooling growth driver, FY2026 guidance, bull/bear case</t>
  </si>
  <si>
    <t xml:space="preserve">Scenario narrative: bear</t>
  </si>
  <si>
    <t xml:space="preserve">Residential destocking persists, tariff costs are never fully passed through, an AI-capex slowdown removes the data-center catalyst amid intensifying Vertiv/JCI/Trane/Daikin competition, and Viessmann/divestiture integration costs recur rather than rolling off -- EBITDA margin holds near 15.5% and leverage constrains capital return.</t>
  </si>
  <si>
    <t xml:space="preserve">Scenario narrative: base</t>
  </si>
  <si>
    <t xml:space="preserve">Guidance is met on roughly its own timeline: mid-single-digit revenue growth decelerating to a 4% terminal rate as electrification/A2L-transition and data-center secular demand offset residential cyclicality; EBITDA margin ramps from 15.85% to a mature 17.5% as tariff pass-through completes and the $400M 2026 productivity program lands; cash tax normalizes from FY2025's divestiture-inflated 33.6% to a 25% steady rate.</t>
  </si>
  <si>
    <t xml:space="preserve">Scenario narrative: bull</t>
  </si>
  <si>
    <t xml:space="preserve">AI data-center cooling keeps doubling past FY2026, commercial HVAC's &gt;$8B backlog converts at high-single-digit growth, and full tariff/productivity pass-through pushes EBITDA margin to ~19.5% -- the market's ~$78 average analyst price target scenario.</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</si>
  <si>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</si>
  <si>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</si>
  <si>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</si>
  <si>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</si>
  <si>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</si>
  <si>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</si>
  <si>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</si>
  <si>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</si>
  <si>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</si>
  <si>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</si>
  <si>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</si>
  <si>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</si>
  <si>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</si>
  <si>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</si>
  <si>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</si>
  <si>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</si>
  <si>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</si>
  <si>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</si>
  <si>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</si>
  <si>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</si>
  <si>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</si>
  <si>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</si>
  <si>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</si>
  <si>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</si>
  <si>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</si>
  <si>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</si>
  <si>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</si>
  <si>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</si>
  <si>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</si>
  <si>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</si>
  <si>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</si>
  <si>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</si>
  <si>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</si>
  <si>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</si>
  <si>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</si>
  <si>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</si>
  <si>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</si>
  <si>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</si>
  <si>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</si>
  <si>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</si>
  <si>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</si>
  <si>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</si>
  <si>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</si>
  <si>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</si>
  <si>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</si>
  <si>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</si>
  <si>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</si>
  <si>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</si>
  <si>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</si>
  <si>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</si>
  <si>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</si>
  <si>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</si>
  <si>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</si>
  <si>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</si>
  <si>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</si>
  <si>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</si>
  <si>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</si>
  <si>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</si>
  <si>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</si>
  <si>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</si>
  <si>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</si>
  <si>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</si>
  <si>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</si>
  <si>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</si>
  <si>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</si>
  <si>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</si>
  <si>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</si>
  <si>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</si>
  <si>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</si>
  <si>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</si>
  <si>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</si>
  <si>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</si>
  <si>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</si>
  <si>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CARR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</si>
  <si>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</si>
  <si>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</si>
  <si>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</si>
  <si>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</si>
  <si>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</si>
  <si>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</si>
  <si>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</si>
  <si>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</si>
  <si>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</si>
  <si>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</si>
  <si>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</si>
  <si>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</si>
  <si>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</si>
  <si>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</si>
  <si>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</si>
  <si>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</si>
  <si>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</si>
  <si>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</si>
  <si>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</si>
  <si>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</si>
  <si>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</si>
  <si>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</si>
  <si>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</si>
  <si>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</si>
  <si>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</si>
  <si>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</si>
  <si>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</si>
  <si>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</si>
  <si>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</si>
  <si>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</si>
  <si>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CARR owner-FCF component DCF: base case (millions, USD)</t>
  </si>
  <si>
    <t xml:space="preserve">CARR owner-FCF component DCF: bull case (millions, USD)</t>
  </si>
  <si>
    <t xml:space="preserve">CARR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</si>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</sst>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56.37</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14784</v>
      </c>
      <c r="AA2" s="0" t="s">
        <v>17</v>
      </c>
      <c r="AB2" s="0" t="s">
        <v>14</v>
      </c>
    </row>
    <row r="3" customFormat="false" ht="15" hidden="false" customHeight="false" outlineLevel="0" collapsed="false">
      <c r="A3" s="0" t="s">
        <v>64</v>
      </c>
      <c r="B3" s="0" t="n">
        <v>18914</v>
      </c>
      <c r="F3" s="0" t="n">
        <v>3637</v>
      </c>
      <c r="G3" s="0" t="n">
        <v>19.2291424341757</v>
      </c>
      <c r="H3" s="0" t="n">
        <v>3994</v>
      </c>
      <c r="I3" s="0" t="n">
        <v>2769</v>
      </c>
      <c r="J3" s="0" t="n">
        <v>14.6399492439463</v>
      </c>
      <c r="K3" s="0" t="n">
        <v>3.16</v>
      </c>
      <c r="L3" s="0" t="n">
        <v>2055</v>
      </c>
      <c r="M3" s="0" t="n">
        <v>263</v>
      </c>
      <c r="N3" s="0" t="n">
        <v>1792</v>
      </c>
      <c r="O3" s="0" t="n">
        <v>14269</v>
      </c>
      <c r="S3" s="0" t="n">
        <v>1129</v>
      </c>
      <c r="T3" s="0" t="n">
        <v>866.2</v>
      </c>
      <c r="U3" s="0" t="n">
        <v>44</v>
      </c>
      <c r="AA3" s="0" t="s">
        <v>17</v>
      </c>
      <c r="AB3" s="0" t="s">
        <v>14</v>
      </c>
    </row>
    <row r="4" customFormat="false" ht="15" hidden="false" customHeight="false" outlineLevel="0" collapsed="false">
      <c r="A4" s="0" t="s">
        <v>65</v>
      </c>
      <c r="B4" s="0" t="n">
        <v>18608</v>
      </c>
      <c r="F4" s="0" t="n">
        <v>2491</v>
      </c>
      <c r="G4" s="0" t="n">
        <v>13.3867153912296</v>
      </c>
      <c r="H4" s="0" t="n">
        <v>2826</v>
      </c>
      <c r="I4" s="0" t="n">
        <v>2155</v>
      </c>
      <c r="J4" s="0" t="n">
        <v>11.5810404127257</v>
      </c>
      <c r="K4" s="0" t="n">
        <v>2.44</v>
      </c>
      <c r="L4" s="0" t="n">
        <v>2063</v>
      </c>
      <c r="M4" s="0" t="n">
        <v>243</v>
      </c>
      <c r="N4" s="0" t="n">
        <v>1820</v>
      </c>
      <c r="O4" s="0" t="n">
        <v>14435</v>
      </c>
      <c r="P4" s="0" t="n">
        <v>22406</v>
      </c>
      <c r="Q4" s="0" t="n">
        <v>7971</v>
      </c>
      <c r="R4" s="0" t="n">
        <v>556</v>
      </c>
      <c r="S4" s="0" t="n">
        <v>952</v>
      </c>
      <c r="T4" s="0" t="n">
        <v>866.2</v>
      </c>
      <c r="U4" s="0" t="n">
        <v>58</v>
      </c>
      <c r="AA4" s="0" t="s">
        <v>17</v>
      </c>
      <c r="AB4" s="0" t="s">
        <v>14</v>
      </c>
    </row>
    <row r="5" customFormat="false" ht="15" hidden="false" customHeight="false" outlineLevel="0" collapsed="false">
      <c r="A5" s="0" t="s">
        <v>66</v>
      </c>
      <c r="B5" s="0" t="n">
        <v>17456</v>
      </c>
      <c r="F5" s="0" t="n">
        <v>3083</v>
      </c>
      <c r="G5" s="0" t="n">
        <v>17.6615490375802</v>
      </c>
      <c r="H5" s="0" t="n">
        <v>3419</v>
      </c>
      <c r="I5" s="0" t="n">
        <v>2006</v>
      </c>
      <c r="J5" s="0" t="n">
        <v>11.4917506874427</v>
      </c>
      <c r="K5" s="0" t="n">
        <v>2.29</v>
      </c>
      <c r="L5" s="0" t="n">
        <v>1692</v>
      </c>
      <c r="M5" s="0" t="n">
        <v>312</v>
      </c>
      <c r="N5" s="0" t="n">
        <v>1380</v>
      </c>
      <c r="O5" s="0" t="n">
        <v>6578</v>
      </c>
      <c r="P5" s="0" t="n">
        <v>25093</v>
      </c>
      <c r="Q5" s="0" t="n">
        <v>18515</v>
      </c>
      <c r="R5" s="0" t="n">
        <v>10227</v>
      </c>
      <c r="S5" s="0" t="n">
        <v>3115</v>
      </c>
      <c r="T5" s="0" t="n">
        <v>880.2</v>
      </c>
      <c r="U5" s="0" t="n">
        <v>88</v>
      </c>
      <c r="V5" s="0" t="n">
        <v>0.28</v>
      </c>
      <c r="AA5" s="0" t="s">
        <v>17</v>
      </c>
      <c r="AB5" s="0" t="s">
        <v>14</v>
      </c>
    </row>
    <row r="6" customFormat="false" ht="15" hidden="false" customHeight="false" outlineLevel="0" collapsed="false">
      <c r="A6" s="0" t="s">
        <v>67</v>
      </c>
      <c r="B6" s="0" t="n">
        <v>20613</v>
      </c>
      <c r="F6" s="0" t="n">
        <v>2645</v>
      </c>
      <c r="G6" s="0" t="n">
        <v>12.8317081453452</v>
      </c>
      <c r="H6" s="0" t="n">
        <v>2983</v>
      </c>
      <c r="I6" s="0" t="n">
        <v>1701</v>
      </c>
      <c r="J6" s="0" t="n">
        <v>8.25207393392519</v>
      </c>
      <c r="K6" s="0" t="n">
        <v>1.92</v>
      </c>
      <c r="L6" s="0" t="n">
        <v>2237</v>
      </c>
      <c r="M6" s="0" t="n">
        <v>344</v>
      </c>
      <c r="N6" s="0" t="n">
        <v>1893</v>
      </c>
      <c r="O6" s="0" t="n">
        <v>7094</v>
      </c>
      <c r="P6" s="0" t="n">
        <v>26172</v>
      </c>
      <c r="Q6" s="0" t="n">
        <v>19078</v>
      </c>
      <c r="R6" s="0" t="n">
        <v>9696</v>
      </c>
      <c r="S6" s="0" t="n">
        <v>2987</v>
      </c>
      <c r="T6" s="0" t="n">
        <v>890.3</v>
      </c>
      <c r="U6" s="0" t="n">
        <v>111</v>
      </c>
      <c r="V6" s="0" t="n">
        <v>0.51</v>
      </c>
      <c r="AA6" s="0" t="s">
        <v>17</v>
      </c>
      <c r="AB6" s="0" t="s">
        <v>14</v>
      </c>
    </row>
    <row r="7" customFormat="false" ht="15" hidden="false" customHeight="false" outlineLevel="0" collapsed="false">
      <c r="A7" s="0" t="s">
        <v>68</v>
      </c>
      <c r="B7" s="0" t="n">
        <v>17288</v>
      </c>
      <c r="C7" s="0" t="n">
        <v>12991</v>
      </c>
      <c r="F7" s="0" t="n">
        <v>3984</v>
      </c>
      <c r="G7" s="0" t="n">
        <v>23.0448866265618</v>
      </c>
      <c r="H7" s="0" t="n">
        <v>4312</v>
      </c>
      <c r="I7" s="0" t="n">
        <v>3584</v>
      </c>
      <c r="J7" s="0" t="n">
        <v>20.7311429893568</v>
      </c>
      <c r="K7" s="0" t="n">
        <v>4.19</v>
      </c>
      <c r="L7" s="0" t="n">
        <v>1743</v>
      </c>
      <c r="M7" s="0" t="n">
        <v>317</v>
      </c>
      <c r="N7" s="0" t="n">
        <v>1426</v>
      </c>
      <c r="O7" s="0" t="n">
        <v>8076</v>
      </c>
      <c r="P7" s="0" t="n">
        <v>26086</v>
      </c>
      <c r="Q7" s="0" t="n">
        <v>18010</v>
      </c>
      <c r="R7" s="0" t="n">
        <v>8842</v>
      </c>
      <c r="S7" s="0" t="n">
        <v>3298</v>
      </c>
      <c r="T7" s="0" t="n">
        <v>861.2</v>
      </c>
      <c r="U7" s="0" t="n">
        <v>77</v>
      </c>
      <c r="V7" s="0" t="n">
        <v>0.635</v>
      </c>
      <c r="AA7" s="0" t="s">
        <v>17</v>
      </c>
      <c r="AB7" s="0" t="s">
        <v>14</v>
      </c>
    </row>
    <row r="8" customFormat="false" ht="15" hidden="false" customHeight="false" outlineLevel="0" collapsed="false">
      <c r="A8" s="0" t="s">
        <v>69</v>
      </c>
      <c r="B8" s="0" t="n">
        <v>18951</v>
      </c>
      <c r="C8" s="0" t="n">
        <v>13789</v>
      </c>
      <c r="F8" s="0" t="n">
        <v>2160</v>
      </c>
      <c r="G8" s="0" t="n">
        <v>11.3978154187114</v>
      </c>
      <c r="H8" s="0" t="n">
        <v>2651</v>
      </c>
      <c r="I8" s="0" t="n">
        <v>1440</v>
      </c>
      <c r="J8" s="0" t="n">
        <v>7.59854361247428</v>
      </c>
      <c r="K8" s="0" t="n">
        <v>1.61</v>
      </c>
      <c r="L8" s="0" t="n">
        <v>2607</v>
      </c>
      <c r="M8" s="0" t="n">
        <v>439</v>
      </c>
      <c r="N8" s="0" t="n">
        <v>2168</v>
      </c>
      <c r="O8" s="0" t="n">
        <v>9005</v>
      </c>
      <c r="P8" s="0" t="n">
        <v>32822</v>
      </c>
      <c r="Q8" s="0" t="n">
        <v>23817</v>
      </c>
      <c r="R8" s="0" t="n">
        <v>14293</v>
      </c>
      <c r="S8" s="0" t="n">
        <v>9852</v>
      </c>
      <c r="T8" s="0" t="n">
        <v>853</v>
      </c>
      <c r="U8" s="0" t="n">
        <v>84</v>
      </c>
      <c r="V8" s="0" t="n">
        <v>0.745</v>
      </c>
      <c r="AA8" s="0" t="s">
        <v>17</v>
      </c>
      <c r="AB8" s="0" t="s">
        <v>14</v>
      </c>
    </row>
    <row r="9" customFormat="false" ht="15" hidden="false" customHeight="false" outlineLevel="0" collapsed="false">
      <c r="A9" s="0" t="s">
        <v>70</v>
      </c>
      <c r="B9" s="0" t="n">
        <v>22486</v>
      </c>
      <c r="C9" s="0" t="n">
        <v>16505</v>
      </c>
      <c r="F9" s="0" t="n">
        <v>2646</v>
      </c>
      <c r="G9" s="0" t="n">
        <v>11.7673218891755</v>
      </c>
      <c r="H9" s="0" t="n">
        <v>3878</v>
      </c>
      <c r="I9" s="0" t="n">
        <v>5708</v>
      </c>
      <c r="J9" s="0" t="n">
        <v>25.3846838032554</v>
      </c>
      <c r="K9" s="0" t="n">
        <v>6.24</v>
      </c>
      <c r="L9" s="0" t="n">
        <v>563</v>
      </c>
      <c r="M9" s="0" t="n">
        <v>519</v>
      </c>
      <c r="N9" s="0" t="n">
        <v>44</v>
      </c>
      <c r="O9" s="0" t="n">
        <v>14395</v>
      </c>
      <c r="P9" s="0" t="n">
        <v>37403</v>
      </c>
      <c r="Q9" s="0" t="n">
        <v>23008</v>
      </c>
      <c r="R9" s="0" t="n">
        <v>12362</v>
      </c>
      <c r="S9" s="0" t="n">
        <v>3969</v>
      </c>
      <c r="T9" s="0" t="n">
        <v>911.7</v>
      </c>
      <c r="U9" s="0" t="n">
        <v>100</v>
      </c>
      <c r="V9" s="0" t="n">
        <v>0.795</v>
      </c>
      <c r="AA9" s="0" t="s">
        <v>17</v>
      </c>
      <c r="AB9" s="0" t="s">
        <v>14</v>
      </c>
    </row>
    <row r="10" customFormat="false" ht="15" hidden="false" customHeight="false" outlineLevel="0" collapsed="false">
      <c r="A10" s="0" t="s">
        <v>71</v>
      </c>
      <c r="B10" s="0" t="n">
        <v>21747</v>
      </c>
      <c r="F10" s="0" t="n">
        <v>2172</v>
      </c>
      <c r="G10" s="0" t="n">
        <v>9.98758449441302</v>
      </c>
      <c r="H10" s="0" t="n">
        <v>3446</v>
      </c>
      <c r="I10" s="0" t="n">
        <v>1587</v>
      </c>
      <c r="J10" s="0" t="n">
        <v>7.29755828390123</v>
      </c>
      <c r="K10" s="0" t="n">
        <v>1.74</v>
      </c>
      <c r="L10" s="0" t="n">
        <v>2513</v>
      </c>
      <c r="M10" s="0" t="n">
        <v>392</v>
      </c>
      <c r="N10" s="0" t="n">
        <v>2121</v>
      </c>
      <c r="O10" s="0" t="n">
        <v>14128</v>
      </c>
      <c r="P10" s="0" t="n">
        <v>37190</v>
      </c>
      <c r="Q10" s="0" t="n">
        <v>23062</v>
      </c>
      <c r="R10" s="0" t="n">
        <v>11833</v>
      </c>
      <c r="S10" s="0" t="n">
        <v>1555</v>
      </c>
      <c r="T10" s="0" t="n">
        <v>862.4</v>
      </c>
      <c r="U10" s="0" t="n">
        <v>74</v>
      </c>
      <c r="V10" s="0" t="n">
        <v>0.675</v>
      </c>
      <c r="AA10" s="0" t="s">
        <v>17</v>
      </c>
      <c r="AB10"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72</v>
      </c>
      <c r="B1" s="2" t="s">
        <v>73</v>
      </c>
    </row>
    <row r="2" customFormat="false" ht="15" hidden="false" customHeight="false" outlineLevel="0" collapsed="false">
      <c r="A2" s="0" t="s">
        <v>74</v>
      </c>
      <c r="B2" s="3" t="n">
        <v>56.37</v>
      </c>
    </row>
    <row r="3" customFormat="false" ht="15" hidden="false" customHeight="false" outlineLevel="0" collapsed="false">
      <c r="A3" s="0" t="s">
        <v>75</v>
      </c>
      <c r="B3" s="3" t="n">
        <v>842.8</v>
      </c>
    </row>
    <row r="4" customFormat="false" ht="15" hidden="false" customHeight="false" outlineLevel="0" collapsed="false">
      <c r="A4" s="0" t="s">
        <v>76</v>
      </c>
      <c r="B4" s="3" t="n">
        <v>10787</v>
      </c>
    </row>
    <row r="5" customFormat="false" ht="15" hidden="false" customHeight="false" outlineLevel="0" collapsed="false">
      <c r="A5" s="0" t="s">
        <v>77</v>
      </c>
      <c r="B5" s="3" t="n">
        <v>0</v>
      </c>
    </row>
    <row r="6" customFormat="false" ht="15" hidden="false" customHeight="false" outlineLevel="0" collapsed="false">
      <c r="A6" s="0" t="s">
        <v>78</v>
      </c>
      <c r="B6" s="3" t="n">
        <v>15</v>
      </c>
    </row>
    <row r="7" customFormat="false" ht="15" hidden="false" customHeight="false" outlineLevel="0" collapsed="false">
      <c r="A7" s="0" t="s">
        <v>79</v>
      </c>
      <c r="B7" s="3" t="n">
        <v>21747</v>
      </c>
    </row>
    <row r="8" customFormat="false" ht="15" hidden="false" customHeight="false" outlineLevel="0" collapsed="false">
      <c r="A8" s="0" t="s">
        <v>80</v>
      </c>
      <c r="B8" s="3" t="s">
        <v>71</v>
      </c>
    </row>
    <row r="9" customFormat="false" ht="15" hidden="false" customHeight="false" outlineLevel="0" collapsed="false">
      <c r="A9" s="0" t="s">
        <v>81</v>
      </c>
      <c r="B9" s="3" t="s">
        <v>82</v>
      </c>
    </row>
    <row r="10" customFormat="false" ht="15" hidden="false" customHeight="false" outlineLevel="0" collapsed="false">
      <c r="A10" s="0" t="s">
        <v>83</v>
      </c>
      <c r="B10" s="3" t="n">
        <v>1</v>
      </c>
    </row>
    <row r="12" customFormat="false" ht="15" hidden="false" customHeight="false" outlineLevel="0" collapsed="false">
      <c r="A12" s="2" t="s">
        <v>84</v>
      </c>
      <c r="C12" s="2" t="s">
        <v>85</v>
      </c>
      <c r="D12" s="2" t="s">
        <v>86</v>
      </c>
      <c r="E12" s="2" t="s">
        <v>87</v>
      </c>
      <c r="F12" s="2" t="s">
        <v>88</v>
      </c>
      <c r="G12" s="2" t="s">
        <v>89</v>
      </c>
      <c r="H12" s="2" t="s">
        <v>90</v>
      </c>
      <c r="I12" s="2" t="s">
        <v>91</v>
      </c>
      <c r="J12" s="2" t="s">
        <v>92</v>
      </c>
      <c r="K12" s="2" t="s">
        <v>93</v>
      </c>
      <c r="L12" s="2" t="s">
        <v>94</v>
      </c>
    </row>
    <row r="13" customFormat="false" ht="15" hidden="false" customHeight="false" outlineLevel="0" collapsed="false">
      <c r="A13" s="0" t="s">
        <v>95</v>
      </c>
      <c r="C13" s="3" t="n">
        <v>3</v>
      </c>
      <c r="D13" s="3" t="n">
        <v>2</v>
      </c>
      <c r="E13" s="3" t="n">
        <v>2</v>
      </c>
      <c r="F13" s="3" t="n">
        <v>2.5</v>
      </c>
      <c r="G13" s="3" t="n">
        <v>2.5</v>
      </c>
      <c r="H13" s="3" t="n">
        <v>3</v>
      </c>
      <c r="I13" s="3" t="n">
        <v>3</v>
      </c>
      <c r="J13" s="3" t="n">
        <v>3</v>
      </c>
      <c r="K13" s="3" t="n">
        <v>3</v>
      </c>
      <c r="L13" s="3" t="n">
        <v>3</v>
      </c>
    </row>
    <row r="14" customFormat="false" ht="15" hidden="false" customHeight="false" outlineLevel="0" collapsed="false">
      <c r="A14" s="0" t="s">
        <v>96</v>
      </c>
      <c r="C14" s="3" t="n">
        <v>15</v>
      </c>
      <c r="D14" s="3" t="n">
        <v>14.5</v>
      </c>
      <c r="E14" s="3" t="n">
        <v>14.5</v>
      </c>
      <c r="F14" s="3" t="n">
        <v>15</v>
      </c>
      <c r="G14" s="3" t="n">
        <v>15.3</v>
      </c>
      <c r="H14" s="3" t="n">
        <v>15.5</v>
      </c>
      <c r="I14" s="3" t="n">
        <v>15.5</v>
      </c>
      <c r="J14" s="3" t="n">
        <v>15.5</v>
      </c>
      <c r="K14" s="3" t="n">
        <v>15.5</v>
      </c>
      <c r="L14" s="3" t="n">
        <v>15.5</v>
      </c>
    </row>
    <row r="15" customFormat="false" ht="15" hidden="false" customHeight="false" outlineLevel="0" collapsed="false">
      <c r="A15" s="0" t="s">
        <v>97</v>
      </c>
      <c r="C15" s="3" t="n">
        <v>0.4</v>
      </c>
      <c r="D15" s="3" t="n">
        <v>0.4</v>
      </c>
      <c r="E15" s="3" t="n">
        <v>0.4</v>
      </c>
      <c r="F15" s="3" t="n">
        <v>0.4</v>
      </c>
      <c r="G15" s="3" t="n">
        <v>0.4</v>
      </c>
      <c r="H15" s="3" t="n">
        <v>0.4</v>
      </c>
      <c r="I15" s="3" t="n">
        <v>0.4</v>
      </c>
      <c r="J15" s="3" t="n">
        <v>0.4</v>
      </c>
      <c r="K15" s="3" t="n">
        <v>0.4</v>
      </c>
      <c r="L15" s="3" t="n">
        <v>0.4</v>
      </c>
    </row>
    <row r="16" customFormat="false" ht="15" hidden="false" customHeight="false" outlineLevel="0" collapsed="false">
      <c r="A16" s="0" t="s">
        <v>98</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99</v>
      </c>
      <c r="C17" s="3" t="n">
        <v>6</v>
      </c>
      <c r="D17" s="3" t="n">
        <v>5.9</v>
      </c>
      <c r="E17" s="3" t="n">
        <v>5.8</v>
      </c>
      <c r="F17" s="3" t="n">
        <v>5.6</v>
      </c>
      <c r="G17" s="3" t="n">
        <v>5.5</v>
      </c>
      <c r="H17" s="3" t="n">
        <v>5.4</v>
      </c>
      <c r="I17" s="3" t="n">
        <v>5.3</v>
      </c>
      <c r="J17" s="3" t="n">
        <v>5.3</v>
      </c>
      <c r="K17" s="3" t="n">
        <v>5.2</v>
      </c>
      <c r="L17" s="3" t="n">
        <v>5.2</v>
      </c>
    </row>
    <row r="18" customFormat="false" ht="15" hidden="false" customHeight="false" outlineLevel="0" collapsed="false">
      <c r="A18" s="0" t="s">
        <v>100</v>
      </c>
      <c r="C18" s="3" t="n">
        <v>2</v>
      </c>
      <c r="D18" s="3" t="n">
        <v>2</v>
      </c>
      <c r="E18" s="3" t="n">
        <v>2</v>
      </c>
      <c r="F18" s="3" t="n">
        <v>1.9</v>
      </c>
      <c r="G18" s="3" t="n">
        <v>1.8</v>
      </c>
      <c r="H18" s="3" t="n">
        <v>1.8</v>
      </c>
      <c r="I18" s="3" t="n">
        <v>1.8</v>
      </c>
      <c r="J18" s="3" t="n">
        <v>1.8</v>
      </c>
      <c r="K18" s="3" t="n">
        <v>1.8</v>
      </c>
      <c r="L18" s="3" t="n">
        <v>1.8</v>
      </c>
    </row>
    <row r="19" customFormat="false" ht="15" hidden="false" customHeight="false" outlineLevel="0" collapsed="false">
      <c r="A19" s="0" t="s">
        <v>101</v>
      </c>
      <c r="C19" s="3" t="n">
        <v>32</v>
      </c>
      <c r="D19" s="3" t="n">
        <v>30</v>
      </c>
      <c r="E19" s="3" t="n">
        <v>28</v>
      </c>
      <c r="F19" s="3" t="n">
        <v>27</v>
      </c>
      <c r="G19" s="3" t="n">
        <v>26</v>
      </c>
      <c r="H19" s="3" t="n">
        <v>26</v>
      </c>
      <c r="I19" s="3" t="n">
        <v>26</v>
      </c>
      <c r="J19" s="3" t="n">
        <v>26</v>
      </c>
      <c r="K19" s="3" t="n">
        <v>26</v>
      </c>
      <c r="L19" s="3" t="n">
        <v>26</v>
      </c>
    </row>
    <row r="20" customFormat="false" ht="15" hidden="false" customHeight="false" outlineLevel="0" collapsed="false">
      <c r="A20" s="0" t="s">
        <v>102</v>
      </c>
      <c r="B20" s="3" t="n">
        <v>8.5</v>
      </c>
    </row>
    <row r="21" customFormat="false" ht="15" hidden="false" customHeight="false" outlineLevel="0" collapsed="false">
      <c r="A21" s="0" t="s">
        <v>103</v>
      </c>
      <c r="B21" s="3" t="n">
        <v>2</v>
      </c>
    </row>
    <row r="22" customFormat="false" ht="15" hidden="false" customHeight="false" outlineLevel="0" collapsed="false">
      <c r="A22" s="0" t="s">
        <v>104</v>
      </c>
      <c r="B22" s="3" t="n">
        <v>12</v>
      </c>
    </row>
    <row r="23" customFormat="false" ht="15" hidden="false" customHeight="false" outlineLevel="0" collapsed="false">
      <c r="A23" s="0" t="s">
        <v>105</v>
      </c>
      <c r="B23" s="3" t="n">
        <v>-16</v>
      </c>
    </row>
    <row r="24" customFormat="false" ht="15" hidden="false" customHeight="false" outlineLevel="0" collapsed="false">
      <c r="A24" s="0" t="s">
        <v>106</v>
      </c>
      <c r="B24" s="3" t="n">
        <v>0.25</v>
      </c>
    </row>
    <row r="26" customFormat="false" ht="15" hidden="false" customHeight="false" outlineLevel="0" collapsed="false">
      <c r="A26" s="2" t="s">
        <v>107</v>
      </c>
      <c r="C26" s="2" t="s">
        <v>85</v>
      </c>
      <c r="D26" s="2" t="s">
        <v>86</v>
      </c>
      <c r="E26" s="2" t="s">
        <v>87</v>
      </c>
      <c r="F26" s="2" t="s">
        <v>88</v>
      </c>
      <c r="G26" s="2" t="s">
        <v>89</v>
      </c>
      <c r="H26" s="2" t="s">
        <v>90</v>
      </c>
      <c r="I26" s="2" t="s">
        <v>91</v>
      </c>
      <c r="J26" s="2" t="s">
        <v>92</v>
      </c>
      <c r="K26" s="2" t="s">
        <v>93</v>
      </c>
      <c r="L26" s="2" t="s">
        <v>94</v>
      </c>
    </row>
    <row r="27" customFormat="false" ht="15" hidden="false" customHeight="false" outlineLevel="0" collapsed="false">
      <c r="A27" s="0" t="s">
        <v>95</v>
      </c>
      <c r="C27" s="3" t="n">
        <v>5.8</v>
      </c>
      <c r="D27" s="3" t="n">
        <v>5.5</v>
      </c>
      <c r="E27" s="3" t="n">
        <v>5</v>
      </c>
      <c r="F27" s="3" t="n">
        <v>4.7</v>
      </c>
      <c r="G27" s="3" t="n">
        <v>4.4</v>
      </c>
      <c r="H27" s="3" t="n">
        <v>4.2</v>
      </c>
      <c r="I27" s="3" t="n">
        <v>4</v>
      </c>
      <c r="J27" s="3" t="n">
        <v>4</v>
      </c>
      <c r="K27" s="3" t="n">
        <v>4</v>
      </c>
      <c r="L27" s="3" t="n">
        <v>4</v>
      </c>
    </row>
    <row r="28" customFormat="false" ht="15" hidden="false" customHeight="false" outlineLevel="0" collapsed="false">
      <c r="A28" s="0" t="s">
        <v>96</v>
      </c>
      <c r="C28" s="3" t="n">
        <v>16.3</v>
      </c>
      <c r="D28" s="3" t="n">
        <v>16.7</v>
      </c>
      <c r="E28" s="3" t="n">
        <v>17</v>
      </c>
      <c r="F28" s="3" t="n">
        <v>17.2</v>
      </c>
      <c r="G28" s="3" t="n">
        <v>17.4</v>
      </c>
      <c r="H28" s="3" t="n">
        <v>17.5</v>
      </c>
      <c r="I28" s="3" t="n">
        <v>17.5</v>
      </c>
      <c r="J28" s="3" t="n">
        <v>17.5</v>
      </c>
      <c r="K28" s="3" t="n">
        <v>17.5</v>
      </c>
      <c r="L28" s="3" t="n">
        <v>17.5</v>
      </c>
    </row>
    <row r="29" customFormat="false" ht="15" hidden="false" customHeight="false" outlineLevel="0" collapsed="false">
      <c r="A29" s="0" t="s">
        <v>97</v>
      </c>
      <c r="C29" s="3" t="n">
        <v>0.35</v>
      </c>
      <c r="D29" s="3" t="n">
        <v>0.35</v>
      </c>
      <c r="E29" s="3" t="n">
        <v>0.35</v>
      </c>
      <c r="F29" s="3" t="n">
        <v>0.35</v>
      </c>
      <c r="G29" s="3" t="n">
        <v>0.35</v>
      </c>
      <c r="H29" s="3" t="n">
        <v>0.35</v>
      </c>
      <c r="I29" s="3" t="n">
        <v>0.35</v>
      </c>
      <c r="J29" s="3" t="n">
        <v>0.35</v>
      </c>
      <c r="K29" s="3" t="n">
        <v>0.35</v>
      </c>
      <c r="L29" s="3" t="n">
        <v>0.35</v>
      </c>
    </row>
    <row r="30" customFormat="false" ht="15" hidden="false" customHeight="false" outlineLevel="0" collapsed="false">
      <c r="A30" s="0" t="s">
        <v>98</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99</v>
      </c>
      <c r="C31" s="3" t="n">
        <v>5.6</v>
      </c>
      <c r="D31" s="3" t="n">
        <v>5.3</v>
      </c>
      <c r="E31" s="3" t="n">
        <v>5</v>
      </c>
      <c r="F31" s="3" t="n">
        <v>4.8</v>
      </c>
      <c r="G31" s="3" t="n">
        <v>4.6</v>
      </c>
      <c r="H31" s="3" t="n">
        <v>4.5</v>
      </c>
      <c r="I31" s="3" t="n">
        <v>4.4</v>
      </c>
      <c r="J31" s="3" t="n">
        <v>4.4</v>
      </c>
      <c r="K31" s="3" t="n">
        <v>4.3</v>
      </c>
      <c r="L31" s="3" t="n">
        <v>4.3</v>
      </c>
    </row>
    <row r="32" customFormat="false" ht="15" hidden="false" customHeight="false" outlineLevel="0" collapsed="false">
      <c r="A32" s="0" t="s">
        <v>100</v>
      </c>
      <c r="C32" s="3" t="n">
        <v>2.1</v>
      </c>
      <c r="D32" s="3" t="n">
        <v>2.3</v>
      </c>
      <c r="E32" s="3" t="n">
        <v>2.3</v>
      </c>
      <c r="F32" s="3" t="n">
        <v>2.1</v>
      </c>
      <c r="G32" s="3" t="n">
        <v>2</v>
      </c>
      <c r="H32" s="3" t="n">
        <v>1.9</v>
      </c>
      <c r="I32" s="3" t="n">
        <v>1.9</v>
      </c>
      <c r="J32" s="3" t="n">
        <v>1.9</v>
      </c>
      <c r="K32" s="3" t="n">
        <v>1.9</v>
      </c>
      <c r="L32" s="3" t="n">
        <v>1.9</v>
      </c>
    </row>
    <row r="33" customFormat="false" ht="15" hidden="false" customHeight="false" outlineLevel="0" collapsed="false">
      <c r="A33" s="0" t="s">
        <v>101</v>
      </c>
      <c r="C33" s="3" t="n">
        <v>30</v>
      </c>
      <c r="D33" s="3" t="n">
        <v>27.5</v>
      </c>
      <c r="E33" s="3" t="n">
        <v>26</v>
      </c>
      <c r="F33" s="3" t="n">
        <v>25</v>
      </c>
      <c r="G33" s="3" t="n">
        <v>25</v>
      </c>
      <c r="H33" s="3" t="n">
        <v>25</v>
      </c>
      <c r="I33" s="3" t="n">
        <v>25</v>
      </c>
      <c r="J33" s="3" t="n">
        <v>25</v>
      </c>
      <c r="K33" s="3" t="n">
        <v>25</v>
      </c>
      <c r="L33" s="3" t="n">
        <v>25</v>
      </c>
    </row>
    <row r="34" customFormat="false" ht="15" hidden="false" customHeight="false" outlineLevel="0" collapsed="false">
      <c r="A34" s="0" t="s">
        <v>102</v>
      </c>
      <c r="B34" s="3" t="n">
        <v>8.5</v>
      </c>
    </row>
    <row r="35" customFormat="false" ht="15" hidden="false" customHeight="false" outlineLevel="0" collapsed="false">
      <c r="A35" s="0" t="s">
        <v>103</v>
      </c>
      <c r="B35" s="3" t="n">
        <v>3</v>
      </c>
    </row>
    <row r="36" customFormat="false" ht="15" hidden="false" customHeight="false" outlineLevel="0" collapsed="false">
      <c r="A36" s="0" t="s">
        <v>104</v>
      </c>
      <c r="B36" s="3" t="n">
        <v>15</v>
      </c>
    </row>
    <row r="37" customFormat="false" ht="15" hidden="false" customHeight="false" outlineLevel="0" collapsed="false">
      <c r="A37" s="0" t="s">
        <v>105</v>
      </c>
      <c r="B37" s="3" t="n">
        <v>-12</v>
      </c>
    </row>
    <row r="38" customFormat="false" ht="15" hidden="false" customHeight="false" outlineLevel="0" collapsed="false">
      <c r="A38" s="0" t="s">
        <v>106</v>
      </c>
      <c r="B38" s="3" t="n">
        <v>0.5</v>
      </c>
    </row>
    <row r="40" customFormat="false" ht="15" hidden="false" customHeight="false" outlineLevel="0" collapsed="false">
      <c r="A40" s="2" t="s">
        <v>108</v>
      </c>
      <c r="C40" s="2" t="s">
        <v>85</v>
      </c>
      <c r="D40" s="2" t="s">
        <v>86</v>
      </c>
      <c r="E40" s="2" t="s">
        <v>87</v>
      </c>
      <c r="F40" s="2" t="s">
        <v>88</v>
      </c>
      <c r="G40" s="2" t="s">
        <v>89</v>
      </c>
      <c r="H40" s="2" t="s">
        <v>90</v>
      </c>
      <c r="I40" s="2" t="s">
        <v>91</v>
      </c>
      <c r="J40" s="2" t="s">
        <v>92</v>
      </c>
      <c r="K40" s="2" t="s">
        <v>93</v>
      </c>
      <c r="L40" s="2" t="s">
        <v>94</v>
      </c>
    </row>
    <row r="41" customFormat="false" ht="15" hidden="false" customHeight="false" outlineLevel="0" collapsed="false">
      <c r="A41" s="0" t="s">
        <v>95</v>
      </c>
      <c r="C41" s="3" t="n">
        <v>8</v>
      </c>
      <c r="D41" s="3" t="n">
        <v>8.5</v>
      </c>
      <c r="E41" s="3" t="n">
        <v>7.5</v>
      </c>
      <c r="F41" s="3" t="n">
        <v>6.5</v>
      </c>
      <c r="G41" s="3" t="n">
        <v>6</v>
      </c>
      <c r="H41" s="3" t="n">
        <v>5.5</v>
      </c>
      <c r="I41" s="3" t="n">
        <v>5</v>
      </c>
      <c r="J41" s="3" t="n">
        <v>4.5</v>
      </c>
      <c r="K41" s="3" t="n">
        <v>4.5</v>
      </c>
      <c r="L41" s="3" t="n">
        <v>4.5</v>
      </c>
    </row>
    <row r="42" customFormat="false" ht="15" hidden="false" customHeight="false" outlineLevel="0" collapsed="false">
      <c r="A42" s="0" t="s">
        <v>96</v>
      </c>
      <c r="C42" s="3" t="n">
        <v>16.8</v>
      </c>
      <c r="D42" s="3" t="n">
        <v>17.5</v>
      </c>
      <c r="E42" s="3" t="n">
        <v>18.2</v>
      </c>
      <c r="F42" s="3" t="n">
        <v>18.8</v>
      </c>
      <c r="G42" s="3" t="n">
        <v>19.2</v>
      </c>
      <c r="H42" s="3" t="n">
        <v>19.5</v>
      </c>
      <c r="I42" s="3" t="n">
        <v>19.5</v>
      </c>
      <c r="J42" s="3" t="n">
        <v>19.5</v>
      </c>
      <c r="K42" s="3" t="n">
        <v>19.5</v>
      </c>
      <c r="L42" s="3" t="n">
        <v>19.5</v>
      </c>
    </row>
    <row r="43" customFormat="false" ht="15" hidden="false" customHeight="false" outlineLevel="0" collapsed="false">
      <c r="A43" s="0" t="s">
        <v>97</v>
      </c>
      <c r="C43" s="3" t="n">
        <v>0.35</v>
      </c>
      <c r="D43" s="3" t="n">
        <v>0.35</v>
      </c>
      <c r="E43" s="3" t="n">
        <v>0.35</v>
      </c>
      <c r="F43" s="3" t="n">
        <v>0.35</v>
      </c>
      <c r="G43" s="3" t="n">
        <v>0.35</v>
      </c>
      <c r="H43" s="3" t="n">
        <v>0.35</v>
      </c>
      <c r="I43" s="3" t="n">
        <v>0.35</v>
      </c>
      <c r="J43" s="3" t="n">
        <v>0.35</v>
      </c>
      <c r="K43" s="3" t="n">
        <v>0.35</v>
      </c>
      <c r="L43" s="3" t="n">
        <v>0.35</v>
      </c>
    </row>
    <row r="44" customFormat="false" ht="15" hidden="false" customHeight="false" outlineLevel="0" collapsed="false">
      <c r="A44" s="0" t="s">
        <v>98</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99</v>
      </c>
      <c r="C45" s="3" t="n">
        <v>5.5</v>
      </c>
      <c r="D45" s="3" t="n">
        <v>5.1</v>
      </c>
      <c r="E45" s="3" t="n">
        <v>4.7</v>
      </c>
      <c r="F45" s="3" t="n">
        <v>4.4</v>
      </c>
      <c r="G45" s="3" t="n">
        <v>4.2</v>
      </c>
      <c r="H45" s="3" t="n">
        <v>4</v>
      </c>
      <c r="I45" s="3" t="n">
        <v>3.9</v>
      </c>
      <c r="J45" s="3" t="n">
        <v>3.9</v>
      </c>
      <c r="K45" s="3" t="n">
        <v>3.8</v>
      </c>
      <c r="L45" s="3" t="n">
        <v>3.8</v>
      </c>
    </row>
    <row r="46" customFormat="false" ht="15" hidden="false" customHeight="false" outlineLevel="0" collapsed="false">
      <c r="A46" s="0" t="s">
        <v>100</v>
      </c>
      <c r="C46" s="3" t="n">
        <v>2.3</v>
      </c>
      <c r="D46" s="3" t="n">
        <v>2.6</v>
      </c>
      <c r="E46" s="3" t="n">
        <v>2.6</v>
      </c>
      <c r="F46" s="3" t="n">
        <v>2.3</v>
      </c>
      <c r="G46" s="3" t="n">
        <v>2.1</v>
      </c>
      <c r="H46" s="3" t="n">
        <v>2</v>
      </c>
      <c r="I46" s="3" t="n">
        <v>2</v>
      </c>
      <c r="J46" s="3" t="n">
        <v>2</v>
      </c>
      <c r="K46" s="3" t="n">
        <v>2</v>
      </c>
      <c r="L46" s="3" t="n">
        <v>2</v>
      </c>
    </row>
    <row r="47" customFormat="false" ht="15" hidden="false" customHeight="false" outlineLevel="0" collapsed="false">
      <c r="A47" s="0" t="s">
        <v>101</v>
      </c>
      <c r="C47" s="3" t="n">
        <v>28</v>
      </c>
      <c r="D47" s="3" t="n">
        <v>26</v>
      </c>
      <c r="E47" s="3" t="n">
        <v>25</v>
      </c>
      <c r="F47" s="3" t="n">
        <v>24</v>
      </c>
      <c r="G47" s="3" t="n">
        <v>24</v>
      </c>
      <c r="H47" s="3" t="n">
        <v>24</v>
      </c>
      <c r="I47" s="3" t="n">
        <v>24</v>
      </c>
      <c r="J47" s="3" t="n">
        <v>24</v>
      </c>
      <c r="K47" s="3" t="n">
        <v>24</v>
      </c>
      <c r="L47" s="3" t="n">
        <v>24</v>
      </c>
    </row>
    <row r="48" customFormat="false" ht="15" hidden="false" customHeight="false" outlineLevel="0" collapsed="false">
      <c r="A48" s="0" t="s">
        <v>102</v>
      </c>
      <c r="B48" s="3" t="n">
        <v>8.5</v>
      </c>
    </row>
    <row r="49" customFormat="false" ht="15" hidden="false" customHeight="false" outlineLevel="0" collapsed="false">
      <c r="A49" s="0" t="s">
        <v>103</v>
      </c>
      <c r="B49" s="3" t="n">
        <v>3.5</v>
      </c>
    </row>
    <row r="50" customFormat="false" ht="15" hidden="false" customHeight="false" outlineLevel="0" collapsed="false">
      <c r="A50" s="0" t="s">
        <v>104</v>
      </c>
      <c r="B50" s="3" t="n">
        <v>17</v>
      </c>
    </row>
    <row r="51" customFormat="false" ht="15" hidden="false" customHeight="false" outlineLevel="0" collapsed="false">
      <c r="A51" s="0" t="s">
        <v>105</v>
      </c>
      <c r="B51" s="3" t="n">
        <v>-10</v>
      </c>
    </row>
    <row r="52" customFormat="false" ht="15" hidden="false" customHeight="false" outlineLevel="0" collapsed="false">
      <c r="A52" s="0" t="s">
        <v>106</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109</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Assumptions!C13</f>
        <v>3</v>
      </c>
      <c r="D5" s="4" t="n">
        <f aca="false">Assumptions!D13</f>
        <v>2</v>
      </c>
      <c r="E5" s="4" t="n">
        <f aca="false">Assumptions!E13</f>
        <v>2</v>
      </c>
      <c r="F5" s="4" t="n">
        <f aca="false">Assumptions!F13</f>
        <v>2.5</v>
      </c>
      <c r="G5" s="4" t="n">
        <f aca="false">Assumptions!G13</f>
        <v>2.5</v>
      </c>
      <c r="H5" s="4" t="n">
        <f aca="false">Assumptions!H13</f>
        <v>3</v>
      </c>
      <c r="I5" s="4" t="n">
        <f aca="false">Assumptions!I13</f>
        <v>3</v>
      </c>
      <c r="J5" s="4" t="n">
        <f aca="false">Assumptions!J13</f>
        <v>3</v>
      </c>
      <c r="K5" s="4" t="n">
        <f aca="false">Assumptions!K13</f>
        <v>3</v>
      </c>
      <c r="L5" s="4" t="n">
        <f aca="false">Assumptions!L13</f>
        <v>3</v>
      </c>
    </row>
    <row r="6" customFormat="false" ht="15" hidden="false" customHeight="false" outlineLevel="0" collapsed="false">
      <c r="A6" s="0" t="s">
        <v>37</v>
      </c>
      <c r="B6" s="3" t="n">
        <v>21747</v>
      </c>
      <c r="C6" s="0" t="n">
        <f aca="false">B6*(1+C5/100)</f>
        <v>22399.41</v>
      </c>
      <c r="D6" s="0" t="n">
        <f aca="false">C6*(1+D5/100)</f>
        <v>22847.3982</v>
      </c>
      <c r="E6" s="0" t="n">
        <f aca="false">D6*(1+E5/100)</f>
        <v>23304.346164</v>
      </c>
      <c r="F6" s="0" t="n">
        <f aca="false">E6*(1+F5/100)</f>
        <v>23886.9548181</v>
      </c>
      <c r="G6" s="0" t="n">
        <f aca="false">F6*(1+G5/100)</f>
        <v>24484.1286885525</v>
      </c>
      <c r="H6" s="0" t="n">
        <f aca="false">G6*(1+H5/100)</f>
        <v>25218.6525492091</v>
      </c>
      <c r="I6" s="0" t="n">
        <f aca="false">H6*(1+I5/100)</f>
        <v>25975.2121256853</v>
      </c>
      <c r="J6" s="0" t="n">
        <f aca="false">I6*(1+J5/100)</f>
        <v>26754.4684894559</v>
      </c>
      <c r="K6" s="0" t="n">
        <f aca="false">J6*(1+K5/100)</f>
        <v>27557.1025441396</v>
      </c>
      <c r="L6" s="0" t="n">
        <f aca="false">K6*(1+L5/100)</f>
        <v>28383.8156204638</v>
      </c>
    </row>
    <row r="7" customFormat="false" ht="15" hidden="false" customHeight="false" outlineLevel="0" collapsed="false">
      <c r="A7" s="0" t="s">
        <v>96</v>
      </c>
      <c r="C7" s="4" t="n">
        <f aca="false">Assumptions!C14</f>
        <v>15</v>
      </c>
      <c r="D7" s="4" t="n">
        <f aca="false">Assumptions!D14</f>
        <v>14.5</v>
      </c>
      <c r="E7" s="4" t="n">
        <f aca="false">Assumptions!E14</f>
        <v>14.5</v>
      </c>
      <c r="F7" s="4" t="n">
        <f aca="false">Assumptions!F14</f>
        <v>15</v>
      </c>
      <c r="G7" s="4" t="n">
        <f aca="false">Assumptions!G14</f>
        <v>15.3</v>
      </c>
      <c r="H7" s="4" t="n">
        <f aca="false">Assumptions!H14</f>
        <v>15.5</v>
      </c>
      <c r="I7" s="4" t="n">
        <f aca="false">Assumptions!I14</f>
        <v>15.5</v>
      </c>
      <c r="J7" s="4" t="n">
        <f aca="false">Assumptions!J14</f>
        <v>15.5</v>
      </c>
      <c r="K7" s="4" t="n">
        <f aca="false">Assumptions!K14</f>
        <v>15.5</v>
      </c>
      <c r="L7" s="4" t="n">
        <f aca="false">Assumptions!L14</f>
        <v>15.5</v>
      </c>
    </row>
    <row r="8" customFormat="false" ht="15" hidden="false" customHeight="false" outlineLevel="0" collapsed="false">
      <c r="A8" s="0" t="s">
        <v>43</v>
      </c>
      <c r="C8" s="0" t="n">
        <f aca="false">C6*C7/100</f>
        <v>3359.9115</v>
      </c>
      <c r="D8" s="0" t="n">
        <f aca="false">D6*D7/100</f>
        <v>3312.872739</v>
      </c>
      <c r="E8" s="0" t="n">
        <f aca="false">E6*E7/100</f>
        <v>3379.13019378</v>
      </c>
      <c r="F8" s="0" t="n">
        <f aca="false">F6*F7/100</f>
        <v>3583.043222715</v>
      </c>
      <c r="G8" s="0" t="n">
        <f aca="false">G6*G7/100</f>
        <v>3746.07168934853</v>
      </c>
      <c r="H8" s="0" t="n">
        <f aca="false">H6*H7/100</f>
        <v>3908.89114512741</v>
      </c>
      <c r="I8" s="0" t="n">
        <f aca="false">I6*I7/100</f>
        <v>4026.15787948123</v>
      </c>
      <c r="J8" s="0" t="n">
        <f aca="false">J6*J7/100</f>
        <v>4146.94261586567</v>
      </c>
      <c r="K8" s="0" t="n">
        <f aca="false">K6*K7/100</f>
        <v>4271.35089434164</v>
      </c>
      <c r="L8" s="0" t="n">
        <f aca="false">L6*L7/100</f>
        <v>4399.49142117188</v>
      </c>
    </row>
    <row r="9" customFormat="false" ht="15" hidden="false" customHeight="false" outlineLevel="0" collapsed="false">
      <c r="A9" s="0" t="s">
        <v>97</v>
      </c>
      <c r="C9" s="4" t="n">
        <f aca="false">Assumptions!C15</f>
        <v>0.4</v>
      </c>
      <c r="D9" s="4" t="n">
        <f aca="false">Assumptions!D15</f>
        <v>0.4</v>
      </c>
      <c r="E9" s="4" t="n">
        <f aca="false">Assumptions!E15</f>
        <v>0.4</v>
      </c>
      <c r="F9" s="4" t="n">
        <f aca="false">Assumptions!F15</f>
        <v>0.4</v>
      </c>
      <c r="G9" s="4" t="n">
        <f aca="false">Assumptions!G15</f>
        <v>0.4</v>
      </c>
      <c r="H9" s="4" t="n">
        <f aca="false">Assumptions!H15</f>
        <v>0.4</v>
      </c>
      <c r="I9" s="4" t="n">
        <f aca="false">Assumptions!I15</f>
        <v>0.4</v>
      </c>
      <c r="J9" s="4" t="n">
        <f aca="false">Assumptions!J15</f>
        <v>0.4</v>
      </c>
      <c r="K9" s="4" t="n">
        <f aca="false">Assumptions!K15</f>
        <v>0.4</v>
      </c>
      <c r="L9" s="4" t="n">
        <f aca="false">Assumptions!L15</f>
        <v>0.4</v>
      </c>
    </row>
    <row r="10" customFormat="false" ht="15" hidden="false" customHeight="false" outlineLevel="0" collapsed="false">
      <c r="A10" s="0" t="s">
        <v>112</v>
      </c>
      <c r="C10" s="0" t="n">
        <f aca="false">-C6*C9/100</f>
        <v>-89.59764</v>
      </c>
      <c r="D10" s="0" t="n">
        <f aca="false">-D6*D9/100</f>
        <v>-91.3895928</v>
      </c>
      <c r="E10" s="0" t="n">
        <f aca="false">-E6*E9/100</f>
        <v>-93.217384656</v>
      </c>
      <c r="F10" s="0" t="n">
        <f aca="false">-F6*F9/100</f>
        <v>-95.5478192724</v>
      </c>
      <c r="G10" s="0" t="n">
        <f aca="false">-G6*G9/100</f>
        <v>-97.93651475421</v>
      </c>
      <c r="H10" s="0" t="n">
        <f aca="false">-H6*H9/100</f>
        <v>-100.874610196836</v>
      </c>
      <c r="I10" s="0" t="n">
        <f aca="false">-I6*I9/100</f>
        <v>-103.900848502741</v>
      </c>
      <c r="J10" s="0" t="n">
        <f aca="false">-J6*J9/100</f>
        <v>-107.017873957824</v>
      </c>
      <c r="K10" s="0" t="n">
        <f aca="false">-K6*K9/100</f>
        <v>-110.228410176558</v>
      </c>
      <c r="L10" s="0" t="n">
        <f aca="false">-L6*L9/100</f>
        <v>-113.535262481855</v>
      </c>
    </row>
    <row r="11" customFormat="false" ht="15" hidden="false" customHeight="false" outlineLevel="0" collapsed="false">
      <c r="A11" s="0" t="s">
        <v>113</v>
      </c>
      <c r="C11" s="0" t="n">
        <f aca="false">C8+C10+C24</f>
        <v>3270.31386</v>
      </c>
      <c r="D11" s="0" t="n">
        <f aca="false">D8+D10+D24</f>
        <v>3221.4831462</v>
      </c>
      <c r="E11" s="0" t="n">
        <f aca="false">E8+E10+E24</f>
        <v>3285.912809124</v>
      </c>
      <c r="F11" s="0" t="n">
        <f aca="false">F8+F10+F24</f>
        <v>3487.4954034426</v>
      </c>
      <c r="G11" s="0" t="n">
        <f aca="false">G8+G10+G24</f>
        <v>3648.13517459432</v>
      </c>
      <c r="H11" s="0" t="n">
        <f aca="false">H8+H10+H24</f>
        <v>3808.01653493057</v>
      </c>
      <c r="I11" s="0" t="n">
        <f aca="false">I8+I10+I24</f>
        <v>3922.25703097849</v>
      </c>
      <c r="J11" s="0" t="n">
        <f aca="false">J8+J10+J24</f>
        <v>4039.92474190784</v>
      </c>
      <c r="K11" s="0" t="n">
        <f aca="false">K8+K10+K24</f>
        <v>4161.12248416508</v>
      </c>
      <c r="L11" s="0" t="n">
        <f aca="false">L8+L10+L24</f>
        <v>4285.95615869003</v>
      </c>
    </row>
    <row r="12" customFormat="false" ht="15" hidden="false" customHeight="false" outlineLevel="0" collapsed="false">
      <c r="A12" s="0" t="s">
        <v>114</v>
      </c>
      <c r="C12" s="4" t="n">
        <f aca="false">-C6*Assumptions!C17/100</f>
        <v>-1343.9646</v>
      </c>
      <c r="D12" s="4" t="n">
        <f aca="false">-D6*Assumptions!D17/100</f>
        <v>-1347.9964938</v>
      </c>
      <c r="E12" s="4" t="n">
        <f aca="false">-E6*Assumptions!E17/100</f>
        <v>-1351.652077512</v>
      </c>
      <c r="F12" s="4" t="n">
        <f aca="false">-F6*Assumptions!F17/100</f>
        <v>-1337.6694698136</v>
      </c>
      <c r="G12" s="4" t="n">
        <f aca="false">-G6*Assumptions!G17/100</f>
        <v>-1346.62707787039</v>
      </c>
      <c r="H12" s="4" t="n">
        <f aca="false">-H6*Assumptions!H17/100</f>
        <v>-1361.80723765729</v>
      </c>
      <c r="I12" s="4" t="n">
        <f aca="false">-I6*Assumptions!I17/100</f>
        <v>-1376.68624266132</v>
      </c>
      <c r="J12" s="4" t="n">
        <f aca="false">-J6*Assumptions!J17/100</f>
        <v>-1417.98682994116</v>
      </c>
      <c r="K12" s="4" t="n">
        <f aca="false">-K6*Assumptions!K17/100</f>
        <v>-1432.96933229526</v>
      </c>
      <c r="L12" s="4" t="n">
        <f aca="false">-L6*Assumptions!L17/100</f>
        <v>-1475.95841226412</v>
      </c>
    </row>
    <row r="13" customFormat="false" ht="15" hidden="false" customHeight="false" outlineLevel="0" collapsed="false">
      <c r="A13" s="0" t="s">
        <v>115</v>
      </c>
      <c r="C13" s="0" t="n">
        <f aca="false">C11+C12</f>
        <v>1926.34926</v>
      </c>
      <c r="D13" s="0" t="n">
        <f aca="false">D11+D12</f>
        <v>1873.4866524</v>
      </c>
      <c r="E13" s="0" t="n">
        <f aca="false">E11+E12</f>
        <v>1934.260731612</v>
      </c>
      <c r="F13" s="0" t="n">
        <f aca="false">F11+F12</f>
        <v>2149.825933629</v>
      </c>
      <c r="G13" s="0" t="n">
        <f aca="false">G11+G12</f>
        <v>2301.50809672393</v>
      </c>
      <c r="H13" s="0" t="n">
        <f aca="false">H11+H12</f>
        <v>2446.20929727328</v>
      </c>
      <c r="I13" s="0" t="n">
        <f aca="false">I11+I12</f>
        <v>2545.57078831716</v>
      </c>
      <c r="J13" s="0" t="n">
        <f aca="false">J11+J12</f>
        <v>2621.93791196668</v>
      </c>
      <c r="K13" s="0" t="n">
        <f aca="false">K11+K12</f>
        <v>2728.15315186982</v>
      </c>
      <c r="L13" s="0" t="n">
        <f aca="false">L11+L12</f>
        <v>2809.99774642591</v>
      </c>
    </row>
    <row r="14" customFormat="false" ht="15" hidden="false" customHeight="false" outlineLevel="0" collapsed="false">
      <c r="A14" s="0" t="s">
        <v>101</v>
      </c>
      <c r="C14" s="4" t="n">
        <f aca="false">Assumptions!C19</f>
        <v>32</v>
      </c>
      <c r="D14" s="4" t="n">
        <f aca="false">Assumptions!D19</f>
        <v>30</v>
      </c>
      <c r="E14" s="4" t="n">
        <f aca="false">Assumptions!E19</f>
        <v>28</v>
      </c>
      <c r="F14" s="4" t="n">
        <f aca="false">Assumptions!F19</f>
        <v>27</v>
      </c>
      <c r="G14" s="4" t="n">
        <f aca="false">Assumptions!G19</f>
        <v>26</v>
      </c>
      <c r="H14" s="4" t="n">
        <f aca="false">Assumptions!H19</f>
        <v>26</v>
      </c>
      <c r="I14" s="4" t="n">
        <f aca="false">Assumptions!I19</f>
        <v>26</v>
      </c>
      <c r="J14" s="4" t="n">
        <f aca="false">Assumptions!J19</f>
        <v>26</v>
      </c>
      <c r="K14" s="4" t="n">
        <f aca="false">Assumptions!K19</f>
        <v>26</v>
      </c>
      <c r="L14" s="4" t="n">
        <f aca="false">Assumptions!L19</f>
        <v>26</v>
      </c>
    </row>
    <row r="15" customFormat="false" ht="15" hidden="false" customHeight="false" outlineLevel="0" collapsed="false">
      <c r="A15" s="0" t="s">
        <v>116</v>
      </c>
      <c r="C15" s="0" t="n">
        <f aca="false">C13-MAX(0,C13)*C14/100</f>
        <v>1309.9174968</v>
      </c>
      <c r="D15" s="0" t="n">
        <f aca="false">D13-MAX(0,D13)*D14/100</f>
        <v>1311.44065668</v>
      </c>
      <c r="E15" s="0" t="n">
        <f aca="false">E13-MAX(0,E13)*E14/100</f>
        <v>1392.66772676064</v>
      </c>
      <c r="F15" s="0" t="n">
        <f aca="false">F13-MAX(0,F13)*F14/100</f>
        <v>1569.37293154917</v>
      </c>
      <c r="G15" s="0" t="n">
        <f aca="false">G13-MAX(0,G13)*G14/100</f>
        <v>1703.11599157571</v>
      </c>
      <c r="H15" s="0" t="n">
        <f aca="false">H13-MAX(0,H13)*H14/100</f>
        <v>1810.19487998223</v>
      </c>
      <c r="I15" s="0" t="n">
        <f aca="false">I13-MAX(0,I13)*I14/100</f>
        <v>1883.7223833547</v>
      </c>
      <c r="J15" s="0" t="n">
        <f aca="false">J13-MAX(0,J13)*J14/100</f>
        <v>1940.23405485534</v>
      </c>
      <c r="K15" s="0" t="n">
        <f aca="false">K13-MAX(0,K13)*K14/100</f>
        <v>2018.83333238367</v>
      </c>
      <c r="L15" s="0" t="n">
        <f aca="false">L13-MAX(0,L13)*L14/100</f>
        <v>2079.39833235517</v>
      </c>
    </row>
    <row r="16" customFormat="false" ht="15" hidden="false" customHeight="false" outlineLevel="0" collapsed="false">
      <c r="A16" s="0" t="s">
        <v>117</v>
      </c>
      <c r="C16" s="0" t="n">
        <f aca="false">-C12</f>
        <v>1343.9646</v>
      </c>
      <c r="D16" s="0" t="n">
        <f aca="false">-D12</f>
        <v>1347.9964938</v>
      </c>
      <c r="E16" s="0" t="n">
        <f aca="false">-E12</f>
        <v>1351.652077512</v>
      </c>
      <c r="F16" s="0" t="n">
        <f aca="false">-F12</f>
        <v>1337.6694698136</v>
      </c>
      <c r="G16" s="0" t="n">
        <f aca="false">-G12</f>
        <v>1346.62707787039</v>
      </c>
      <c r="H16" s="0" t="n">
        <f aca="false">-H12</f>
        <v>1361.80723765729</v>
      </c>
      <c r="I16" s="0" t="n">
        <f aca="false">-I12</f>
        <v>1376.68624266132</v>
      </c>
      <c r="J16" s="0" t="n">
        <f aca="false">-J12</f>
        <v>1417.98682994116</v>
      </c>
      <c r="K16" s="0" t="n">
        <f aca="false">-K12</f>
        <v>1432.96933229526</v>
      </c>
      <c r="L16" s="0" t="n">
        <f aca="false">-L12</f>
        <v>1475.95841226412</v>
      </c>
    </row>
    <row r="17" customFormat="false" ht="15" hidden="false" customHeight="false" outlineLevel="0" collapsed="false">
      <c r="A17" s="0" t="s">
        <v>118</v>
      </c>
      <c r="C17" s="4" t="n">
        <f aca="false">-C6*Assumptions!C18/100</f>
        <v>-447.9882</v>
      </c>
      <c r="D17" s="4" t="n">
        <f aca="false">-D6*Assumptions!D18/100</f>
        <v>-456.947964</v>
      </c>
      <c r="E17" s="4" t="n">
        <f aca="false">-E6*Assumptions!E18/100</f>
        <v>-466.08692328</v>
      </c>
      <c r="F17" s="4" t="n">
        <f aca="false">-F6*Assumptions!F18/100</f>
        <v>-453.8521415439</v>
      </c>
      <c r="G17" s="4" t="n">
        <f aca="false">-G6*Assumptions!G18/100</f>
        <v>-440.714316393945</v>
      </c>
      <c r="H17" s="4" t="n">
        <f aca="false">-H6*Assumptions!H18/100</f>
        <v>-453.935745885763</v>
      </c>
      <c r="I17" s="4" t="n">
        <f aca="false">-I6*Assumptions!I18/100</f>
        <v>-467.553818262336</v>
      </c>
      <c r="J17" s="4" t="n">
        <f aca="false">-J6*Assumptions!J18/100</f>
        <v>-481.580432810206</v>
      </c>
      <c r="K17" s="4" t="n">
        <f aca="false">-K6*Assumptions!K18/100</f>
        <v>-496.027845794513</v>
      </c>
      <c r="L17" s="4" t="n">
        <f aca="false">-L6*Assumptions!L18/100</f>
        <v>-510.908681168348</v>
      </c>
    </row>
    <row r="18" customFormat="false" ht="15" hidden="false" customHeight="false" outlineLevel="0" collapsed="false">
      <c r="A18" s="0" t="s">
        <v>119</v>
      </c>
      <c r="C18" s="4" t="n">
        <f aca="false">(C6-B6)*Assumptions!$B$23/100</f>
        <v>-104.3856</v>
      </c>
      <c r="D18" s="4" t="n">
        <f aca="false">(D6-C6)*Assumptions!$B$23/100</f>
        <v>-71.678112</v>
      </c>
      <c r="E18" s="4" t="n">
        <f aca="false">(E6-D6)*Assumptions!$B$23/100</f>
        <v>-73.1116742399998</v>
      </c>
      <c r="F18" s="4" t="n">
        <f aca="false">(F6-E6)*Assumptions!$B$23/100</f>
        <v>-93.2173846559995</v>
      </c>
      <c r="G18" s="4" t="n">
        <f aca="false">(G6-F6)*Assumptions!$B$23/100</f>
        <v>-95.5478192723997</v>
      </c>
      <c r="H18" s="4" t="n">
        <f aca="false">(H6-G6)*Assumptions!$B$23/100</f>
        <v>-117.523817705052</v>
      </c>
      <c r="I18" s="4" t="n">
        <f aca="false">(I6-H6)*Assumptions!$B$23/100</f>
        <v>-121.049532236204</v>
      </c>
      <c r="J18" s="4" t="n">
        <f aca="false">(J6-I6)*Assumptions!$B$23/100</f>
        <v>-124.68101820329</v>
      </c>
      <c r="K18" s="4" t="n">
        <f aca="false">(K6-J6)*Assumptions!$B$23/100</f>
        <v>-128.421448749388</v>
      </c>
      <c r="L18" s="4" t="n">
        <f aca="false">(L6-K6)*Assumptions!$B$23/100</f>
        <v>-132.27409221187</v>
      </c>
    </row>
    <row r="19" customFormat="false" ht="15" hidden="false" customHeight="false" outlineLevel="0" collapsed="false">
      <c r="A19" s="0" t="s">
        <v>120</v>
      </c>
      <c r="C19" s="0" t="n">
        <f aca="false">C15+C16+C17+C18</f>
        <v>2101.5082968</v>
      </c>
      <c r="D19" s="0" t="n">
        <f aca="false">D15+D16+D17+D18</f>
        <v>2130.81107448</v>
      </c>
      <c r="E19" s="0" t="n">
        <f aca="false">E15+E16+E17+E18</f>
        <v>2205.12120675264</v>
      </c>
      <c r="F19" s="0" t="n">
        <f aca="false">F15+F16+F17+F18</f>
        <v>2359.97287516287</v>
      </c>
      <c r="G19" s="0" t="n">
        <f aca="false">G15+G16+G17+G18</f>
        <v>2513.48093377975</v>
      </c>
      <c r="H19" s="0" t="n">
        <f aca="false">H15+H16+H17+H18</f>
        <v>2600.5425540487</v>
      </c>
      <c r="I19" s="0" t="n">
        <f aca="false">I15+I16+I17+I18</f>
        <v>2671.80527551749</v>
      </c>
      <c r="J19" s="0" t="n">
        <f aca="false">J15+J16+J17+J18</f>
        <v>2751.95943378301</v>
      </c>
      <c r="K19" s="0" t="n">
        <f aca="false">K15+K16+K17+K18</f>
        <v>2827.35337013502</v>
      </c>
      <c r="L19" s="0" t="n">
        <f aca="false">L15+L16+L17+L18</f>
        <v>2912.17397123907</v>
      </c>
    </row>
    <row r="20" customFormat="false" ht="15" hidden="false" customHeight="false" outlineLevel="0" collapsed="false">
      <c r="A20" s="0" t="s">
        <v>121</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122</v>
      </c>
      <c r="C21" s="0" t="n">
        <f aca="false">C19*C20</f>
        <v>1936.87400626728</v>
      </c>
      <c r="D21" s="0" t="n">
        <f aca="false">D19*D20</f>
        <v>1810.02873238336</v>
      </c>
      <c r="E21" s="0" t="n">
        <f aca="false">E19*E20</f>
        <v>1726.40725078798</v>
      </c>
      <c r="F21" s="0" t="n">
        <f aca="false">F19*F20</f>
        <v>1702.89573828743</v>
      </c>
      <c r="G21" s="0" t="n">
        <f aca="false">G19*G20</f>
        <v>1671.57899153297</v>
      </c>
      <c r="H21" s="0" t="n">
        <f aca="false">H19*H20</f>
        <v>1593.98979137042</v>
      </c>
      <c r="I21" s="0" t="n">
        <f aca="false">I19*I20</f>
        <v>1509.37320427344</v>
      </c>
      <c r="J21" s="0" t="n">
        <f aca="false">J19*J20</f>
        <v>1432.86119852686</v>
      </c>
      <c r="K21" s="0" t="n">
        <f aca="false">K19*K20</f>
        <v>1356.78941726125</v>
      </c>
      <c r="L21" s="0" t="n">
        <f aca="false">L19*L20</f>
        <v>1288.01207352912</v>
      </c>
    </row>
    <row r="23" customFormat="false" ht="15" hidden="false" customHeight="false" outlineLevel="0" collapsed="false">
      <c r="A23" s="0" t="s">
        <v>98</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124</v>
      </c>
    </row>
    <row r="27" customFormat="false" ht="15" hidden="false" customHeight="false" outlineLevel="0" collapsed="false">
      <c r="A27" s="0" t="s">
        <v>102</v>
      </c>
      <c r="B27" s="4" t="n">
        <f aca="false">Assumptions!$B$20</f>
        <v>8.5</v>
      </c>
    </row>
    <row r="28" customFormat="false" ht="15" hidden="false" customHeight="false" outlineLevel="0" collapsed="false">
      <c r="A28" s="0" t="s">
        <v>103</v>
      </c>
      <c r="B28" s="4" t="n">
        <f aca="false">Assumptions!$B$21</f>
        <v>2</v>
      </c>
    </row>
    <row r="29" customFormat="false" ht="15" hidden="false" customHeight="false" outlineLevel="0" collapsed="false">
      <c r="A29" s="0" t="s">
        <v>104</v>
      </c>
      <c r="B29" s="4" t="n">
        <f aca="false">Assumptions!$B$22</f>
        <v>12</v>
      </c>
    </row>
    <row r="30" customFormat="false" ht="15" hidden="false" customHeight="false" outlineLevel="0" collapsed="false">
      <c r="A30" s="0" t="s">
        <v>125</v>
      </c>
      <c r="B30" s="0" t="n">
        <f aca="false">SUM(C21:L21)</f>
        <v>16028.8104042201</v>
      </c>
    </row>
    <row r="31" customFormat="false" ht="15" hidden="false" customHeight="false" outlineLevel="0" collapsed="false">
      <c r="A31" s="0" t="s">
        <v>126</v>
      </c>
      <c r="B31" s="0" t="n">
        <f aca="false">L19</f>
        <v>2912.17397123907</v>
      </c>
    </row>
    <row r="32" customFormat="false" ht="15" hidden="false" customHeight="false" outlineLevel="0" collapsed="false">
      <c r="A32" s="0" t="s">
        <v>127</v>
      </c>
      <c r="B32" s="0" t="n">
        <f aca="false">IF(B27&gt;B28,B31*(1+B28/100)/((B27-B28)/100),B31*B29)</f>
        <v>45698.7300102132</v>
      </c>
    </row>
    <row r="33" customFormat="false" ht="15" hidden="false" customHeight="false" outlineLevel="0" collapsed="false">
      <c r="A33" s="0" t="s">
        <v>128</v>
      </c>
      <c r="B33" s="0" t="n">
        <f aca="false">B31*B29</f>
        <v>34946.0876548689</v>
      </c>
    </row>
    <row r="34" customFormat="false" ht="15" hidden="false" customHeight="false" outlineLevel="0" collapsed="false">
      <c r="A34" s="0" t="s">
        <v>129</v>
      </c>
      <c r="B34" s="0" t="n">
        <f aca="false">MAX(0,MIN(B32,B33))</f>
        <v>34946.0876548689</v>
      </c>
    </row>
    <row r="35" customFormat="false" ht="15" hidden="false" customHeight="false" outlineLevel="0" collapsed="false">
      <c r="A35" s="0" t="s">
        <v>130</v>
      </c>
      <c r="B35" s="0" t="n">
        <f aca="false">B34/(1+B27/100)^L4</f>
        <v>15456.1448823494</v>
      </c>
    </row>
    <row r="36" customFormat="false" ht="15" hidden="false" customHeight="false" outlineLevel="0" collapsed="false">
      <c r="A36" s="0" t="s">
        <v>131</v>
      </c>
      <c r="B36" s="0" t="n">
        <f aca="false">B30+B35</f>
        <v>31484.9552865695</v>
      </c>
    </row>
    <row r="37" customFormat="false" ht="15" hidden="false" customHeight="false" outlineLevel="0" collapsed="false">
      <c r="A37" s="0" t="s">
        <v>132</v>
      </c>
      <c r="B37" s="0" t="n">
        <f aca="false">B36+Assumptions!$B$5-Assumptions!$B$4</f>
        <v>20697.9552865695</v>
      </c>
    </row>
    <row r="38" customFormat="false" ht="15" hidden="false" customHeight="false" outlineLevel="0" collapsed="false">
      <c r="A38" s="0" t="s">
        <v>133</v>
      </c>
      <c r="B38" s="0" t="n">
        <f aca="false">B37/Assumptions!$B$3*Assumptions!$B$10</f>
        <v>24.5585610899022</v>
      </c>
    </row>
    <row r="39" customFormat="false" ht="15" hidden="false" customHeight="false" outlineLevel="0" collapsed="false">
      <c r="A39" s="0" t="s">
        <v>134</v>
      </c>
      <c r="B39" s="4" t="n">
        <f aca="false">B38/Assumptions!$B$2-1</f>
        <v>-0.564332781800565</v>
      </c>
    </row>
    <row r="41" customFormat="false" ht="15" hidden="false" customHeight="false" outlineLevel="0" collapsed="false">
      <c r="A41" s="0" t="s">
        <v>135</v>
      </c>
      <c r="B41" s="0" t="n">
        <f aca="false">SUMPRODUCT(-C10:L10/(1+$B$27/100)^C4:L4)</f>
        <v>646.62679436056</v>
      </c>
    </row>
    <row r="42" customFormat="false" ht="15" hidden="false" customHeight="false" outlineLevel="0" collapsed="false">
      <c r="A42" s="0" t="s">
        <v>136</v>
      </c>
      <c r="B42" s="0" t="n">
        <f aca="false">IF(B27&gt;B28,-L10*(1+B28/100)/((B27-B28)/100),-L10*20)/(1+B27/100)^L4</f>
        <v>787.98908464419</v>
      </c>
    </row>
    <row r="43" customFormat="false" ht="15" hidden="false" customHeight="false" outlineLevel="0" collapsed="false">
      <c r="A43" s="0" t="s">
        <v>137</v>
      </c>
      <c r="B43" s="0" t="n">
        <f aca="false">(B37+B41+B42)/Assumptions!$B$3*Assumptions!$B$10</f>
        <v>26.2607631295376</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22849.3650051066</v>
      </c>
    </row>
    <row r="47" customFormat="false" ht="15" hidden="false" customHeight="false" outlineLevel="0" collapsed="false">
      <c r="A47" s="0" t="s">
        <v>139</v>
      </c>
      <c r="B47" s="0" t="n">
        <f aca="false">(SUMPRODUCT(C19:L19/(1+B45/100)^C4:L4)+B46/(1+B45/100)^L4+Assumptions!$B$5-Assumptions!$B$4)/Assumptions!$B$3*Assumptions!$B$10</f>
        <v>8.18743857388421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140</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Assumptions!C27</f>
        <v>5.8</v>
      </c>
      <c r="D5" s="4" t="n">
        <f aca="false">Assumptions!D27</f>
        <v>5.5</v>
      </c>
      <c r="E5" s="4" t="n">
        <f aca="false">Assumptions!E27</f>
        <v>5</v>
      </c>
      <c r="F5" s="4" t="n">
        <f aca="false">Assumptions!F27</f>
        <v>4.7</v>
      </c>
      <c r="G5" s="4" t="n">
        <f aca="false">Assumptions!G27</f>
        <v>4.4</v>
      </c>
      <c r="H5" s="4" t="n">
        <f aca="false">Assumptions!H27</f>
        <v>4.2</v>
      </c>
      <c r="I5" s="4" t="n">
        <f aca="false">Assumptions!I27</f>
        <v>4</v>
      </c>
      <c r="J5" s="4" t="n">
        <f aca="false">Assumptions!J27</f>
        <v>4</v>
      </c>
      <c r="K5" s="4" t="n">
        <f aca="false">Assumptions!K27</f>
        <v>4</v>
      </c>
      <c r="L5" s="4" t="n">
        <f aca="false">Assumptions!L27</f>
        <v>4</v>
      </c>
    </row>
    <row r="6" customFormat="false" ht="15" hidden="false" customHeight="false" outlineLevel="0" collapsed="false">
      <c r="A6" s="0" t="s">
        <v>37</v>
      </c>
      <c r="B6" s="3" t="n">
        <v>21747</v>
      </c>
      <c r="C6" s="0" t="n">
        <f aca="false">B6*(1+C5/100)</f>
        <v>23008.326</v>
      </c>
      <c r="D6" s="0" t="n">
        <f aca="false">C6*(1+D5/100)</f>
        <v>24273.78393</v>
      </c>
      <c r="E6" s="0" t="n">
        <f aca="false">D6*(1+E5/100)</f>
        <v>25487.4731265</v>
      </c>
      <c r="F6" s="0" t="n">
        <f aca="false">E6*(1+F5/100)</f>
        <v>26685.3843634455</v>
      </c>
      <c r="G6" s="0" t="n">
        <f aca="false">F6*(1+G5/100)</f>
        <v>27859.5412754371</v>
      </c>
      <c r="H6" s="0" t="n">
        <f aca="false">G6*(1+H5/100)</f>
        <v>29029.6420090055</v>
      </c>
      <c r="I6" s="0" t="n">
        <f aca="false">H6*(1+I5/100)</f>
        <v>30190.8276893657</v>
      </c>
      <c r="J6" s="0" t="n">
        <f aca="false">I6*(1+J5/100)</f>
        <v>31398.4607969403</v>
      </c>
      <c r="K6" s="0" t="n">
        <f aca="false">J6*(1+K5/100)</f>
        <v>32654.3992288179</v>
      </c>
      <c r="L6" s="0" t="n">
        <f aca="false">K6*(1+L5/100)</f>
        <v>33960.5751979706</v>
      </c>
    </row>
    <row r="7" customFormat="false" ht="15" hidden="false" customHeight="false" outlineLevel="0" collapsed="false">
      <c r="A7" s="0" t="s">
        <v>96</v>
      </c>
      <c r="C7" s="4" t="n">
        <f aca="false">Assumptions!C28</f>
        <v>16.3</v>
      </c>
      <c r="D7" s="4" t="n">
        <f aca="false">Assumptions!D28</f>
        <v>16.7</v>
      </c>
      <c r="E7" s="4" t="n">
        <f aca="false">Assumptions!E28</f>
        <v>17</v>
      </c>
      <c r="F7" s="4" t="n">
        <f aca="false">Assumptions!F28</f>
        <v>17.2</v>
      </c>
      <c r="G7" s="4" t="n">
        <f aca="false">Assumptions!G28</f>
        <v>17.4</v>
      </c>
      <c r="H7" s="4" t="n">
        <f aca="false">Assumptions!H28</f>
        <v>17.5</v>
      </c>
      <c r="I7" s="4" t="n">
        <f aca="false">Assumptions!I28</f>
        <v>17.5</v>
      </c>
      <c r="J7" s="4" t="n">
        <f aca="false">Assumptions!J28</f>
        <v>17.5</v>
      </c>
      <c r="K7" s="4" t="n">
        <f aca="false">Assumptions!K28</f>
        <v>17.5</v>
      </c>
      <c r="L7" s="4" t="n">
        <f aca="false">Assumptions!L28</f>
        <v>17.5</v>
      </c>
    </row>
    <row r="8" customFormat="false" ht="15" hidden="false" customHeight="false" outlineLevel="0" collapsed="false">
      <c r="A8" s="0" t="s">
        <v>43</v>
      </c>
      <c r="C8" s="0" t="n">
        <f aca="false">C6*C7/100</f>
        <v>3750.357138</v>
      </c>
      <c r="D8" s="0" t="n">
        <f aca="false">D6*D7/100</f>
        <v>4053.72191631</v>
      </c>
      <c r="E8" s="0" t="n">
        <f aca="false">E6*E7/100</f>
        <v>4332.870431505</v>
      </c>
      <c r="F8" s="0" t="n">
        <f aca="false">F6*F7/100</f>
        <v>4589.88611051263</v>
      </c>
      <c r="G8" s="0" t="n">
        <f aca="false">G6*G7/100</f>
        <v>4847.56018192606</v>
      </c>
      <c r="H8" s="0" t="n">
        <f aca="false">H6*H7/100</f>
        <v>5080.18735157596</v>
      </c>
      <c r="I8" s="0" t="n">
        <f aca="false">I6*I7/100</f>
        <v>5283.39484563899</v>
      </c>
      <c r="J8" s="0" t="n">
        <f aca="false">J6*J7/100</f>
        <v>5494.73063946455</v>
      </c>
      <c r="K8" s="0" t="n">
        <f aca="false">K6*K7/100</f>
        <v>5714.51986504314</v>
      </c>
      <c r="L8" s="0" t="n">
        <f aca="false">L6*L7/100</f>
        <v>5943.10065964486</v>
      </c>
    </row>
    <row r="9" customFormat="false" ht="15" hidden="false" customHeight="false" outlineLevel="0" collapsed="false">
      <c r="A9" s="0" t="s">
        <v>97</v>
      </c>
      <c r="C9" s="4" t="n">
        <f aca="false">Assumptions!C29</f>
        <v>0.35</v>
      </c>
      <c r="D9" s="4" t="n">
        <f aca="false">Assumptions!D29</f>
        <v>0.35</v>
      </c>
      <c r="E9" s="4" t="n">
        <f aca="false">Assumptions!E29</f>
        <v>0.35</v>
      </c>
      <c r="F9" s="4" t="n">
        <f aca="false">Assumptions!F29</f>
        <v>0.35</v>
      </c>
      <c r="G9" s="4" t="n">
        <f aca="false">Assumptions!G29</f>
        <v>0.35</v>
      </c>
      <c r="H9" s="4" t="n">
        <f aca="false">Assumptions!H29</f>
        <v>0.35</v>
      </c>
      <c r="I9" s="4" t="n">
        <f aca="false">Assumptions!I29</f>
        <v>0.35</v>
      </c>
      <c r="J9" s="4" t="n">
        <f aca="false">Assumptions!J29</f>
        <v>0.35</v>
      </c>
      <c r="K9" s="4" t="n">
        <f aca="false">Assumptions!K29</f>
        <v>0.35</v>
      </c>
      <c r="L9" s="4" t="n">
        <f aca="false">Assumptions!L29</f>
        <v>0.35</v>
      </c>
    </row>
    <row r="10" customFormat="false" ht="15" hidden="false" customHeight="false" outlineLevel="0" collapsed="false">
      <c r="A10" s="0" t="s">
        <v>112</v>
      </c>
      <c r="C10" s="0" t="n">
        <f aca="false">-C6*C9/100</f>
        <v>-80.529141</v>
      </c>
      <c r="D10" s="0" t="n">
        <f aca="false">-D6*D9/100</f>
        <v>-84.958243755</v>
      </c>
      <c r="E10" s="0" t="n">
        <f aca="false">-E6*E9/100</f>
        <v>-89.20615594275</v>
      </c>
      <c r="F10" s="0" t="n">
        <f aca="false">-F6*F9/100</f>
        <v>-93.3988452720592</v>
      </c>
      <c r="G10" s="0" t="n">
        <f aca="false">-G6*G9/100</f>
        <v>-97.5083944640299</v>
      </c>
      <c r="H10" s="0" t="n">
        <f aca="false">-H6*H9/100</f>
        <v>-101.603747031519</v>
      </c>
      <c r="I10" s="0" t="n">
        <f aca="false">-I6*I9/100</f>
        <v>-105.66789691278</v>
      </c>
      <c r="J10" s="0" t="n">
        <f aca="false">-J6*J9/100</f>
        <v>-109.894612789291</v>
      </c>
      <c r="K10" s="0" t="n">
        <f aca="false">-K6*K9/100</f>
        <v>-114.290397300863</v>
      </c>
      <c r="L10" s="0" t="n">
        <f aca="false">-L6*L9/100</f>
        <v>-118.862013192897</v>
      </c>
    </row>
    <row r="11" customFormat="false" ht="15" hidden="false" customHeight="false" outlineLevel="0" collapsed="false">
      <c r="A11" s="0" t="s">
        <v>113</v>
      </c>
      <c r="C11" s="0" t="n">
        <f aca="false">C8+C10+C24</f>
        <v>3669.827997</v>
      </c>
      <c r="D11" s="0" t="n">
        <f aca="false">D8+D10+D24</f>
        <v>3968.763672555</v>
      </c>
      <c r="E11" s="0" t="n">
        <f aca="false">E8+E10+E24</f>
        <v>4243.66427556225</v>
      </c>
      <c r="F11" s="0" t="n">
        <f aca="false">F8+F10+F24</f>
        <v>4496.48726524057</v>
      </c>
      <c r="G11" s="0" t="n">
        <f aca="false">G8+G10+G24</f>
        <v>4750.05178746203</v>
      </c>
      <c r="H11" s="0" t="n">
        <f aca="false">H8+H10+H24</f>
        <v>4978.58360454444</v>
      </c>
      <c r="I11" s="0" t="n">
        <f aca="false">I8+I10+I24</f>
        <v>5177.72694872622</v>
      </c>
      <c r="J11" s="0" t="n">
        <f aca="false">J8+J10+J24</f>
        <v>5384.83602667526</v>
      </c>
      <c r="K11" s="0" t="n">
        <f aca="false">K8+K10+K24</f>
        <v>5600.22946774227</v>
      </c>
      <c r="L11" s="0" t="n">
        <f aca="false">L8+L10+L24</f>
        <v>5824.23864645197</v>
      </c>
    </row>
    <row r="12" customFormat="false" ht="15" hidden="false" customHeight="false" outlineLevel="0" collapsed="false">
      <c r="A12" s="0" t="s">
        <v>114</v>
      </c>
      <c r="C12" s="4" t="n">
        <f aca="false">-C6*Assumptions!C31/100</f>
        <v>-1288.466256</v>
      </c>
      <c r="D12" s="4" t="n">
        <f aca="false">-D6*Assumptions!D31/100</f>
        <v>-1286.51054829</v>
      </c>
      <c r="E12" s="4" t="n">
        <f aca="false">-E6*Assumptions!E31/100</f>
        <v>-1274.373656325</v>
      </c>
      <c r="F12" s="4" t="n">
        <f aca="false">-F6*Assumptions!F31/100</f>
        <v>-1280.89844944538</v>
      </c>
      <c r="G12" s="4" t="n">
        <f aca="false">-G6*Assumptions!G31/100</f>
        <v>-1281.53889867011</v>
      </c>
      <c r="H12" s="4" t="n">
        <f aca="false">-H6*Assumptions!H31/100</f>
        <v>-1306.33389040525</v>
      </c>
      <c r="I12" s="4" t="n">
        <f aca="false">-I6*Assumptions!I31/100</f>
        <v>-1328.39641833209</v>
      </c>
      <c r="J12" s="4" t="n">
        <f aca="false">-J6*Assumptions!J31/100</f>
        <v>-1381.53227506537</v>
      </c>
      <c r="K12" s="4" t="n">
        <f aca="false">-K6*Assumptions!K31/100</f>
        <v>-1404.13916683917</v>
      </c>
      <c r="L12" s="4" t="n">
        <f aca="false">-L6*Assumptions!L31/100</f>
        <v>-1460.30473351274</v>
      </c>
    </row>
    <row r="13" customFormat="false" ht="15" hidden="false" customHeight="false" outlineLevel="0" collapsed="false">
      <c r="A13" s="0" t="s">
        <v>115</v>
      </c>
      <c r="C13" s="0" t="n">
        <f aca="false">C11+C12</f>
        <v>2381.361741</v>
      </c>
      <c r="D13" s="0" t="n">
        <f aca="false">D11+D12</f>
        <v>2682.253124265</v>
      </c>
      <c r="E13" s="0" t="n">
        <f aca="false">E11+E12</f>
        <v>2969.29061923725</v>
      </c>
      <c r="F13" s="0" t="n">
        <f aca="false">F11+F12</f>
        <v>3215.58881579518</v>
      </c>
      <c r="G13" s="0" t="n">
        <f aca="false">G11+G12</f>
        <v>3468.51288879192</v>
      </c>
      <c r="H13" s="0" t="n">
        <f aca="false">H11+H12</f>
        <v>3672.24971413919</v>
      </c>
      <c r="I13" s="0" t="n">
        <f aca="false">I11+I12</f>
        <v>3849.33053039412</v>
      </c>
      <c r="J13" s="0" t="n">
        <f aca="false">J11+J12</f>
        <v>4003.30375160989</v>
      </c>
      <c r="K13" s="0" t="n">
        <f aca="false">K11+K12</f>
        <v>4196.0903009031</v>
      </c>
      <c r="L13" s="0" t="n">
        <f aca="false">L11+L12</f>
        <v>4363.93391293923</v>
      </c>
    </row>
    <row r="14" customFormat="false" ht="15" hidden="false" customHeight="false" outlineLevel="0" collapsed="false">
      <c r="A14" s="0" t="s">
        <v>101</v>
      </c>
      <c r="C14" s="4" t="n">
        <f aca="false">Assumptions!C33</f>
        <v>30</v>
      </c>
      <c r="D14" s="4" t="n">
        <f aca="false">Assumptions!D33</f>
        <v>27.5</v>
      </c>
      <c r="E14" s="4" t="n">
        <f aca="false">Assumptions!E33</f>
        <v>26</v>
      </c>
      <c r="F14" s="4" t="n">
        <f aca="false">Assumptions!F33</f>
        <v>25</v>
      </c>
      <c r="G14" s="4" t="n">
        <f aca="false">Assumptions!G33</f>
        <v>25</v>
      </c>
      <c r="H14" s="4" t="n">
        <f aca="false">Assumptions!H33</f>
        <v>25</v>
      </c>
      <c r="I14" s="4" t="n">
        <f aca="false">Assumptions!I33</f>
        <v>25</v>
      </c>
      <c r="J14" s="4" t="n">
        <f aca="false">Assumptions!J33</f>
        <v>25</v>
      </c>
      <c r="K14" s="4" t="n">
        <f aca="false">Assumptions!K33</f>
        <v>25</v>
      </c>
      <c r="L14" s="4" t="n">
        <f aca="false">Assumptions!L33</f>
        <v>25</v>
      </c>
    </row>
    <row r="15" customFormat="false" ht="15" hidden="false" customHeight="false" outlineLevel="0" collapsed="false">
      <c r="A15" s="0" t="s">
        <v>116</v>
      </c>
      <c r="C15" s="0" t="n">
        <f aca="false">C13-MAX(0,C13)*C14/100</f>
        <v>1666.9532187</v>
      </c>
      <c r="D15" s="0" t="n">
        <f aca="false">D13-MAX(0,D13)*D14/100</f>
        <v>1944.63351509213</v>
      </c>
      <c r="E15" s="0" t="n">
        <f aca="false">E13-MAX(0,E13)*E14/100</f>
        <v>2197.27505823556</v>
      </c>
      <c r="F15" s="0" t="n">
        <f aca="false">F13-MAX(0,F13)*F14/100</f>
        <v>2411.69161184639</v>
      </c>
      <c r="G15" s="0" t="n">
        <f aca="false">G13-MAX(0,G13)*G14/100</f>
        <v>2601.38466659394</v>
      </c>
      <c r="H15" s="0" t="n">
        <f aca="false">H13-MAX(0,H13)*H14/100</f>
        <v>2754.18728560439</v>
      </c>
      <c r="I15" s="0" t="n">
        <f aca="false">I13-MAX(0,I13)*I14/100</f>
        <v>2886.99789779559</v>
      </c>
      <c r="J15" s="0" t="n">
        <f aca="false">J13-MAX(0,J13)*J14/100</f>
        <v>3002.47781370742</v>
      </c>
      <c r="K15" s="0" t="n">
        <f aca="false">K13-MAX(0,K13)*K14/100</f>
        <v>3147.06772567733</v>
      </c>
      <c r="L15" s="0" t="n">
        <f aca="false">L13-MAX(0,L13)*L14/100</f>
        <v>3272.95043470442</v>
      </c>
    </row>
    <row r="16" customFormat="false" ht="15" hidden="false" customHeight="false" outlineLevel="0" collapsed="false">
      <c r="A16" s="0" t="s">
        <v>117</v>
      </c>
      <c r="C16" s="0" t="n">
        <f aca="false">-C12</f>
        <v>1288.466256</v>
      </c>
      <c r="D16" s="0" t="n">
        <f aca="false">-D12</f>
        <v>1286.51054829</v>
      </c>
      <c r="E16" s="0" t="n">
        <f aca="false">-E12</f>
        <v>1274.373656325</v>
      </c>
      <c r="F16" s="0" t="n">
        <f aca="false">-F12</f>
        <v>1280.89844944538</v>
      </c>
      <c r="G16" s="0" t="n">
        <f aca="false">-G12</f>
        <v>1281.53889867011</v>
      </c>
      <c r="H16" s="0" t="n">
        <f aca="false">-H12</f>
        <v>1306.33389040525</v>
      </c>
      <c r="I16" s="0" t="n">
        <f aca="false">-I12</f>
        <v>1328.39641833209</v>
      </c>
      <c r="J16" s="0" t="n">
        <f aca="false">-J12</f>
        <v>1381.53227506537</v>
      </c>
      <c r="K16" s="0" t="n">
        <f aca="false">-K12</f>
        <v>1404.13916683917</v>
      </c>
      <c r="L16" s="0" t="n">
        <f aca="false">-L12</f>
        <v>1460.30473351274</v>
      </c>
    </row>
    <row r="17" customFormat="false" ht="15" hidden="false" customHeight="false" outlineLevel="0" collapsed="false">
      <c r="A17" s="0" t="s">
        <v>118</v>
      </c>
      <c r="C17" s="4" t="n">
        <f aca="false">-C6*Assumptions!C32/100</f>
        <v>-483.174846</v>
      </c>
      <c r="D17" s="4" t="n">
        <f aca="false">-D6*Assumptions!D32/100</f>
        <v>-558.29703039</v>
      </c>
      <c r="E17" s="4" t="n">
        <f aca="false">-E6*Assumptions!E32/100</f>
        <v>-586.2118819095</v>
      </c>
      <c r="F17" s="4" t="n">
        <f aca="false">-F6*Assumptions!F32/100</f>
        <v>-560.393071632356</v>
      </c>
      <c r="G17" s="4" t="n">
        <f aca="false">-G6*Assumptions!G32/100</f>
        <v>-557.190825508742</v>
      </c>
      <c r="H17" s="4" t="n">
        <f aca="false">-H6*Assumptions!H32/100</f>
        <v>-551.563198171104</v>
      </c>
      <c r="I17" s="4" t="n">
        <f aca="false">-I6*Assumptions!I32/100</f>
        <v>-573.625726097948</v>
      </c>
      <c r="J17" s="4" t="n">
        <f aca="false">-J6*Assumptions!J32/100</f>
        <v>-596.570755141866</v>
      </c>
      <c r="K17" s="4" t="n">
        <f aca="false">-K6*Assumptions!K32/100</f>
        <v>-620.433585347541</v>
      </c>
      <c r="L17" s="4" t="n">
        <f aca="false">-L6*Assumptions!L32/100</f>
        <v>-645.250928761442</v>
      </c>
    </row>
    <row r="18" customFormat="false" ht="15" hidden="false" customHeight="false" outlineLevel="0" collapsed="false">
      <c r="A18" s="0" t="s">
        <v>119</v>
      </c>
      <c r="C18" s="4" t="n">
        <f aca="false">(C6-B6)*Assumptions!$B$37/100</f>
        <v>-151.35912</v>
      </c>
      <c r="D18" s="4" t="n">
        <f aca="false">(D6-C6)*Assumptions!$B$37/100</f>
        <v>-151.8549516</v>
      </c>
      <c r="E18" s="4" t="n">
        <f aca="false">(E6-D6)*Assumptions!$B$37/100</f>
        <v>-145.64270358</v>
      </c>
      <c r="F18" s="4" t="n">
        <f aca="false">(F6-E6)*Assumptions!$B$37/100</f>
        <v>-143.74934843346</v>
      </c>
      <c r="G18" s="4" t="n">
        <f aca="false">(G6-F6)*Assumptions!$B$37/100</f>
        <v>-140.898829438992</v>
      </c>
      <c r="H18" s="4" t="n">
        <f aca="false">(H6-G6)*Assumptions!$B$37/100</f>
        <v>-140.412088028203</v>
      </c>
      <c r="I18" s="4" t="n">
        <f aca="false">(I6-H6)*Assumptions!$B$37/100</f>
        <v>-139.342281643226</v>
      </c>
      <c r="J18" s="4" t="n">
        <f aca="false">(J6-I6)*Assumptions!$B$37/100</f>
        <v>-144.915972908955</v>
      </c>
      <c r="K18" s="4" t="n">
        <f aca="false">(K6-J6)*Assumptions!$B$37/100</f>
        <v>-150.712611825314</v>
      </c>
      <c r="L18" s="4" t="n">
        <f aca="false">(L6-K6)*Assumptions!$B$37/100</f>
        <v>-156.741116298326</v>
      </c>
    </row>
    <row r="19" customFormat="false" ht="15" hidden="false" customHeight="false" outlineLevel="0" collapsed="false">
      <c r="A19" s="0" t="s">
        <v>120</v>
      </c>
      <c r="C19" s="0" t="n">
        <f aca="false">C15+C16+C17+C18</f>
        <v>2320.8855087</v>
      </c>
      <c r="D19" s="0" t="n">
        <f aca="false">D15+D16+D17+D18</f>
        <v>2520.99208139213</v>
      </c>
      <c r="E19" s="0" t="n">
        <f aca="false">E15+E16+E17+E18</f>
        <v>2739.79412907106</v>
      </c>
      <c r="F19" s="0" t="n">
        <f aca="false">F15+F16+F17+F18</f>
        <v>2988.44764122595</v>
      </c>
      <c r="G19" s="0" t="n">
        <f aca="false">G15+G16+G17+G18</f>
        <v>3184.83391031631</v>
      </c>
      <c r="H19" s="0" t="n">
        <f aca="false">H15+H16+H17+H18</f>
        <v>3368.54588981033</v>
      </c>
      <c r="I19" s="0" t="n">
        <f aca="false">I15+I16+I17+I18</f>
        <v>3502.42630838651</v>
      </c>
      <c r="J19" s="0" t="n">
        <f aca="false">J15+J16+J17+J18</f>
        <v>3642.52336072197</v>
      </c>
      <c r="K19" s="0" t="n">
        <f aca="false">K15+K16+K17+K18</f>
        <v>3780.06069534364</v>
      </c>
      <c r="L19" s="0" t="n">
        <f aca="false">L15+L16+L17+L18</f>
        <v>3931.26312315739</v>
      </c>
    </row>
    <row r="20" customFormat="false" ht="15" hidden="false" customHeight="false" outlineLevel="0" collapsed="false">
      <c r="A20" s="0" t="s">
        <v>121</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122</v>
      </c>
      <c r="C21" s="0" t="n">
        <f aca="false">C19*C20</f>
        <v>2139.06498497696</v>
      </c>
      <c r="D21" s="0" t="n">
        <f aca="false">D19*D20</f>
        <v>2141.47005151277</v>
      </c>
      <c r="E21" s="0" t="n">
        <f aca="false">E19*E20</f>
        <v>2145.0070116827</v>
      </c>
      <c r="F21" s="0" t="n">
        <f aca="false">F19*F20</f>
        <v>2156.38696778987</v>
      </c>
      <c r="G21" s="0" t="n">
        <f aca="false">G19*G20</f>
        <v>2118.05921598968</v>
      </c>
      <c r="H21" s="0" t="n">
        <f aca="false">H19*H20</f>
        <v>2064.73366558104</v>
      </c>
      <c r="I21" s="0" t="n">
        <f aca="false">I19*I20</f>
        <v>1978.61291324722</v>
      </c>
      <c r="J21" s="0" t="n">
        <f aca="false">J19*J20</f>
        <v>1896.55062652268</v>
      </c>
      <c r="K21" s="0" t="n">
        <f aca="false">K19*K20</f>
        <v>1813.97429915262</v>
      </c>
      <c r="L21" s="0" t="n">
        <f aca="false">L19*L20</f>
        <v>1738.74034204491</v>
      </c>
    </row>
    <row r="23" customFormat="false" ht="15" hidden="false" customHeight="false" outlineLevel="0" collapsed="false">
      <c r="A23" s="0" t="s">
        <v>98</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124</v>
      </c>
    </row>
    <row r="27" customFormat="false" ht="15" hidden="false" customHeight="false" outlineLevel="0" collapsed="false">
      <c r="A27" s="0" t="s">
        <v>102</v>
      </c>
      <c r="B27" s="4" t="n">
        <f aca="false">Assumptions!$B$34</f>
        <v>8.5</v>
      </c>
    </row>
    <row r="28" customFormat="false" ht="15" hidden="false" customHeight="false" outlineLevel="0" collapsed="false">
      <c r="A28" s="0" t="s">
        <v>103</v>
      </c>
      <c r="B28" s="4" t="n">
        <f aca="false">Assumptions!$B$35</f>
        <v>3</v>
      </c>
    </row>
    <row r="29" customFormat="false" ht="15" hidden="false" customHeight="false" outlineLevel="0" collapsed="false">
      <c r="A29" s="0" t="s">
        <v>104</v>
      </c>
      <c r="B29" s="4" t="n">
        <f aca="false">Assumptions!$B$36</f>
        <v>15</v>
      </c>
    </row>
    <row r="30" customFormat="false" ht="15" hidden="false" customHeight="false" outlineLevel="0" collapsed="false">
      <c r="A30" s="0" t="s">
        <v>125</v>
      </c>
      <c r="B30" s="0" t="n">
        <f aca="false">SUM(C21:L21)</f>
        <v>20192.6000785005</v>
      </c>
    </row>
    <row r="31" customFormat="false" ht="15" hidden="false" customHeight="false" outlineLevel="0" collapsed="false">
      <c r="A31" s="0" t="s">
        <v>126</v>
      </c>
      <c r="B31" s="0" t="n">
        <f aca="false">L19</f>
        <v>3931.26312315739</v>
      </c>
    </row>
    <row r="32" customFormat="false" ht="15" hidden="false" customHeight="false" outlineLevel="0" collapsed="false">
      <c r="A32" s="0" t="s">
        <v>127</v>
      </c>
      <c r="B32" s="0" t="n">
        <f aca="false">IF(B27&gt;B28,B31*(1+B28/100)/((B27-B28)/100),B31*B29)</f>
        <v>73621.8366700384</v>
      </c>
    </row>
    <row r="33" customFormat="false" ht="15" hidden="false" customHeight="false" outlineLevel="0" collapsed="false">
      <c r="A33" s="0" t="s">
        <v>128</v>
      </c>
      <c r="B33" s="0" t="n">
        <f aca="false">B31*B29</f>
        <v>58968.9468473608</v>
      </c>
    </row>
    <row r="34" customFormat="false" ht="15" hidden="false" customHeight="false" outlineLevel="0" collapsed="false">
      <c r="A34" s="0" t="s">
        <v>129</v>
      </c>
      <c r="B34" s="0" t="n">
        <f aca="false">MAX(0,MIN(B32,B33))</f>
        <v>58968.9468473608</v>
      </c>
    </row>
    <row r="35" customFormat="false" ht="15" hidden="false" customHeight="false" outlineLevel="0" collapsed="false">
      <c r="A35" s="0" t="s">
        <v>130</v>
      </c>
      <c r="B35" s="0" t="n">
        <f aca="false">B34/(1+B27/100)^L4</f>
        <v>26081.1051306736</v>
      </c>
    </row>
    <row r="36" customFormat="false" ht="15" hidden="false" customHeight="false" outlineLevel="0" collapsed="false">
      <c r="A36" s="0" t="s">
        <v>131</v>
      </c>
      <c r="B36" s="0" t="n">
        <f aca="false">B30+B35</f>
        <v>46273.7052091741</v>
      </c>
    </row>
    <row r="37" customFormat="false" ht="15" hidden="false" customHeight="false" outlineLevel="0" collapsed="false">
      <c r="A37" s="0" t="s">
        <v>132</v>
      </c>
      <c r="B37" s="0" t="n">
        <f aca="false">B36+Assumptions!$B$5-Assumptions!$B$4</f>
        <v>35486.7052091741</v>
      </c>
    </row>
    <row r="38" customFormat="false" ht="15" hidden="false" customHeight="false" outlineLevel="0" collapsed="false">
      <c r="A38" s="0" t="s">
        <v>133</v>
      </c>
      <c r="B38" s="0" t="n">
        <f aca="false">B37/Assumptions!$B$3*Assumptions!$B$10</f>
        <v>42.1057252125938</v>
      </c>
    </row>
    <row r="39" customFormat="false" ht="15" hidden="false" customHeight="false" outlineLevel="0" collapsed="false">
      <c r="A39" s="0" t="s">
        <v>134</v>
      </c>
      <c r="B39" s="4" t="n">
        <f aca="false">B38/Assumptions!$B$2-1</f>
        <v>-0.253047273148947</v>
      </c>
    </row>
    <row r="41" customFormat="false" ht="15" hidden="false" customHeight="false" outlineLevel="0" collapsed="false">
      <c r="A41" s="0" t="s">
        <v>135</v>
      </c>
      <c r="B41" s="0" t="n">
        <f aca="false">SUMPRODUCT(-C10:L10/(1+$B$27/100)^C4:L4)</f>
        <v>635.078012341597</v>
      </c>
    </row>
    <row r="42" customFormat="false" ht="15" hidden="false" customHeight="false" outlineLevel="0" collapsed="false">
      <c r="A42" s="0" t="s">
        <v>136</v>
      </c>
      <c r="B42" s="0" t="n">
        <f aca="false">IF(B27&gt;B28,-L10*(1+B28/100)/((B27-B28)/100),-L10*20)/(1+B27/100)^L4</f>
        <v>984.510234222831</v>
      </c>
    </row>
    <row r="43" customFormat="false" ht="15" hidden="false" customHeight="false" outlineLevel="0" collapsed="false">
      <c r="A43" s="0" t="s">
        <v>137</v>
      </c>
      <c r="B43" s="0" t="n">
        <f aca="false">(B37+B41+B42)/Assumptions!$B$3*Assumptions!$B$10</f>
        <v>44.0274008729693</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33743.3418071009</v>
      </c>
    </row>
    <row r="47" customFormat="false" ht="15" hidden="false" customHeight="false" outlineLevel="0" collapsed="false">
      <c r="A47" s="0" t="s">
        <v>139</v>
      </c>
      <c r="B47" s="0" t="n">
        <f aca="false">(SUMPRODUCT(C19:L19/(1+B45/100)^C4:L4)+B46/(1+B45/100)^L4+Assumptions!$B$5-Assumptions!$B$4)/Assumptions!$B$3*Assumptions!$B$10</f>
        <v>14.9285742513553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Assumptions!C41</f>
        <v>8</v>
      </c>
      <c r="D5" s="4" t="n">
        <f aca="false">Assumptions!D41</f>
        <v>8.5</v>
      </c>
      <c r="E5" s="4" t="n">
        <f aca="false">Assumptions!E41</f>
        <v>7.5</v>
      </c>
      <c r="F5" s="4" t="n">
        <f aca="false">Assumptions!F41</f>
        <v>6.5</v>
      </c>
      <c r="G5" s="4" t="n">
        <f aca="false">Assumptions!G41</f>
        <v>6</v>
      </c>
      <c r="H5" s="4" t="n">
        <f aca="false">Assumptions!H41</f>
        <v>5.5</v>
      </c>
      <c r="I5" s="4" t="n">
        <f aca="false">Assumptions!I41</f>
        <v>5</v>
      </c>
      <c r="J5" s="4" t="n">
        <f aca="false">Assumptions!J41</f>
        <v>4.5</v>
      </c>
      <c r="K5" s="4" t="n">
        <f aca="false">Assumptions!K41</f>
        <v>4.5</v>
      </c>
      <c r="L5" s="4" t="n">
        <f aca="false">Assumptions!L41</f>
        <v>4.5</v>
      </c>
    </row>
    <row r="6" customFormat="false" ht="15" hidden="false" customHeight="false" outlineLevel="0" collapsed="false">
      <c r="A6" s="0" t="s">
        <v>37</v>
      </c>
      <c r="B6" s="3" t="n">
        <v>21747</v>
      </c>
      <c r="C6" s="0" t="n">
        <f aca="false">B6*(1+C5/100)</f>
        <v>23486.76</v>
      </c>
      <c r="D6" s="0" t="n">
        <f aca="false">C6*(1+D5/100)</f>
        <v>25483.1346</v>
      </c>
      <c r="E6" s="0" t="n">
        <f aca="false">D6*(1+E5/100)</f>
        <v>27394.369695</v>
      </c>
      <c r="F6" s="0" t="n">
        <f aca="false">E6*(1+F5/100)</f>
        <v>29175.003725175</v>
      </c>
      <c r="G6" s="0" t="n">
        <f aca="false">F6*(1+G5/100)</f>
        <v>30925.5039486855</v>
      </c>
      <c r="H6" s="0" t="n">
        <f aca="false">G6*(1+H5/100)</f>
        <v>32626.4066658632</v>
      </c>
      <c r="I6" s="0" t="n">
        <f aca="false">H6*(1+I5/100)</f>
        <v>34257.7269991564</v>
      </c>
      <c r="J6" s="0" t="n">
        <f aca="false">I6*(1+J5/100)</f>
        <v>35799.3247141184</v>
      </c>
      <c r="K6" s="0" t="n">
        <f aca="false">J6*(1+K5/100)</f>
        <v>37410.2943262537</v>
      </c>
      <c r="L6" s="0" t="n">
        <f aca="false">K6*(1+L5/100)</f>
        <v>39093.7575709351</v>
      </c>
    </row>
    <row r="7" customFormat="false" ht="15" hidden="false" customHeight="false" outlineLevel="0" collapsed="false">
      <c r="A7" s="0" t="s">
        <v>96</v>
      </c>
      <c r="C7" s="4" t="n">
        <f aca="false">Assumptions!C42</f>
        <v>16.8</v>
      </c>
      <c r="D7" s="4" t="n">
        <f aca="false">Assumptions!D42</f>
        <v>17.5</v>
      </c>
      <c r="E7" s="4" t="n">
        <f aca="false">Assumptions!E42</f>
        <v>18.2</v>
      </c>
      <c r="F7" s="4" t="n">
        <f aca="false">Assumptions!F42</f>
        <v>18.8</v>
      </c>
      <c r="G7" s="4" t="n">
        <f aca="false">Assumptions!G42</f>
        <v>19.2</v>
      </c>
      <c r="H7" s="4" t="n">
        <f aca="false">Assumptions!H42</f>
        <v>19.5</v>
      </c>
      <c r="I7" s="4" t="n">
        <f aca="false">Assumptions!I42</f>
        <v>19.5</v>
      </c>
      <c r="J7" s="4" t="n">
        <f aca="false">Assumptions!J42</f>
        <v>19.5</v>
      </c>
      <c r="K7" s="4" t="n">
        <f aca="false">Assumptions!K42</f>
        <v>19.5</v>
      </c>
      <c r="L7" s="4" t="n">
        <f aca="false">Assumptions!L42</f>
        <v>19.5</v>
      </c>
    </row>
    <row r="8" customFormat="false" ht="15" hidden="false" customHeight="false" outlineLevel="0" collapsed="false">
      <c r="A8" s="0" t="s">
        <v>43</v>
      </c>
      <c r="C8" s="0" t="n">
        <f aca="false">C6*C7/100</f>
        <v>3945.77568</v>
      </c>
      <c r="D8" s="0" t="n">
        <f aca="false">D6*D7/100</f>
        <v>4459.548555</v>
      </c>
      <c r="E8" s="0" t="n">
        <f aca="false">E6*E7/100</f>
        <v>4985.77528449</v>
      </c>
      <c r="F8" s="0" t="n">
        <f aca="false">F6*F7/100</f>
        <v>5484.9007003329</v>
      </c>
      <c r="G8" s="0" t="n">
        <f aca="false">G6*G7/100</f>
        <v>5937.69675814762</v>
      </c>
      <c r="H8" s="0" t="n">
        <f aca="false">H6*H7/100</f>
        <v>6362.14929984333</v>
      </c>
      <c r="I8" s="0" t="n">
        <f aca="false">I6*I7/100</f>
        <v>6680.25676483549</v>
      </c>
      <c r="J8" s="0" t="n">
        <f aca="false">J6*J7/100</f>
        <v>6980.86831925309</v>
      </c>
      <c r="K8" s="0" t="n">
        <f aca="false">K6*K7/100</f>
        <v>7295.00739361948</v>
      </c>
      <c r="L8" s="0" t="n">
        <f aca="false">L6*L7/100</f>
        <v>7623.28272633235</v>
      </c>
    </row>
    <row r="9" customFormat="false" ht="15" hidden="false" customHeight="false" outlineLevel="0" collapsed="false">
      <c r="A9" s="0" t="s">
        <v>97</v>
      </c>
      <c r="C9" s="4" t="n">
        <f aca="false">Assumptions!C43</f>
        <v>0.35</v>
      </c>
      <c r="D9" s="4" t="n">
        <f aca="false">Assumptions!D43</f>
        <v>0.35</v>
      </c>
      <c r="E9" s="4" t="n">
        <f aca="false">Assumptions!E43</f>
        <v>0.35</v>
      </c>
      <c r="F9" s="4" t="n">
        <f aca="false">Assumptions!F43</f>
        <v>0.35</v>
      </c>
      <c r="G9" s="4" t="n">
        <f aca="false">Assumptions!G43</f>
        <v>0.35</v>
      </c>
      <c r="H9" s="4" t="n">
        <f aca="false">Assumptions!H43</f>
        <v>0.35</v>
      </c>
      <c r="I9" s="4" t="n">
        <f aca="false">Assumptions!I43</f>
        <v>0.35</v>
      </c>
      <c r="J9" s="4" t="n">
        <f aca="false">Assumptions!J43</f>
        <v>0.35</v>
      </c>
      <c r="K9" s="4" t="n">
        <f aca="false">Assumptions!K43</f>
        <v>0.35</v>
      </c>
      <c r="L9" s="4" t="n">
        <f aca="false">Assumptions!L43</f>
        <v>0.35</v>
      </c>
    </row>
    <row r="10" customFormat="false" ht="15" hidden="false" customHeight="false" outlineLevel="0" collapsed="false">
      <c r="A10" s="0" t="s">
        <v>112</v>
      </c>
      <c r="C10" s="0" t="n">
        <f aca="false">-C6*C9/100</f>
        <v>-82.20366</v>
      </c>
      <c r="D10" s="0" t="n">
        <f aca="false">-D6*D9/100</f>
        <v>-89.1909711</v>
      </c>
      <c r="E10" s="0" t="n">
        <f aca="false">-E6*E9/100</f>
        <v>-95.8802939325</v>
      </c>
      <c r="F10" s="0" t="n">
        <f aca="false">-F6*F9/100</f>
        <v>-102.112513038113</v>
      </c>
      <c r="G10" s="0" t="n">
        <f aca="false">-G6*G9/100</f>
        <v>-108.239263820399</v>
      </c>
      <c r="H10" s="0" t="n">
        <f aca="false">-H6*H9/100</f>
        <v>-114.192423330521</v>
      </c>
      <c r="I10" s="0" t="n">
        <f aca="false">-I6*I9/100</f>
        <v>-119.902044497047</v>
      </c>
      <c r="J10" s="0" t="n">
        <f aca="false">-J6*J9/100</f>
        <v>-125.297636499414</v>
      </c>
      <c r="K10" s="0" t="n">
        <f aca="false">-K6*K9/100</f>
        <v>-130.936030141888</v>
      </c>
      <c r="L10" s="0" t="n">
        <f aca="false">-L6*L9/100</f>
        <v>-136.828151498273</v>
      </c>
    </row>
    <row r="11" customFormat="false" ht="15" hidden="false" customHeight="false" outlineLevel="0" collapsed="false">
      <c r="A11" s="0" t="s">
        <v>113</v>
      </c>
      <c r="C11" s="0" t="n">
        <f aca="false">C8+C10+C24</f>
        <v>3863.57202</v>
      </c>
      <c r="D11" s="0" t="n">
        <f aca="false">D8+D10+D24</f>
        <v>4370.3575839</v>
      </c>
      <c r="E11" s="0" t="n">
        <f aca="false">E8+E10+E24</f>
        <v>4889.8949905575</v>
      </c>
      <c r="F11" s="0" t="n">
        <f aca="false">F8+F10+F24</f>
        <v>5382.78818729479</v>
      </c>
      <c r="G11" s="0" t="n">
        <f aca="false">G8+G10+G24</f>
        <v>5829.45749432722</v>
      </c>
      <c r="H11" s="0" t="n">
        <f aca="false">H8+H10+H24</f>
        <v>6247.9568765128</v>
      </c>
      <c r="I11" s="0" t="n">
        <f aca="false">I8+I10+I24</f>
        <v>6560.35472033844</v>
      </c>
      <c r="J11" s="0" t="n">
        <f aca="false">J8+J10+J24</f>
        <v>6855.57068275367</v>
      </c>
      <c r="K11" s="0" t="n">
        <f aca="false">K8+K10+K24</f>
        <v>7164.07136347759</v>
      </c>
      <c r="L11" s="0" t="n">
        <f aca="false">L8+L10+L24</f>
        <v>7486.45457483408</v>
      </c>
    </row>
    <row r="12" customFormat="false" ht="15" hidden="false" customHeight="false" outlineLevel="0" collapsed="false">
      <c r="A12" s="0" t="s">
        <v>114</v>
      </c>
      <c r="C12" s="4" t="n">
        <f aca="false">-C6*Assumptions!C45/100</f>
        <v>-1291.7718</v>
      </c>
      <c r="D12" s="4" t="n">
        <f aca="false">-D6*Assumptions!D45/100</f>
        <v>-1299.6398646</v>
      </c>
      <c r="E12" s="4" t="n">
        <f aca="false">-E6*Assumptions!E45/100</f>
        <v>-1287.535375665</v>
      </c>
      <c r="F12" s="4" t="n">
        <f aca="false">-F6*Assumptions!F45/100</f>
        <v>-1283.7001639077</v>
      </c>
      <c r="G12" s="4" t="n">
        <f aca="false">-G6*Assumptions!G45/100</f>
        <v>-1298.87116584479</v>
      </c>
      <c r="H12" s="4" t="n">
        <f aca="false">-H6*Assumptions!H45/100</f>
        <v>-1305.05626663453</v>
      </c>
      <c r="I12" s="4" t="n">
        <f aca="false">-I6*Assumptions!I45/100</f>
        <v>-1336.0513529671</v>
      </c>
      <c r="J12" s="4" t="n">
        <f aca="false">-J6*Assumptions!J45/100</f>
        <v>-1396.17366385062</v>
      </c>
      <c r="K12" s="4" t="n">
        <f aca="false">-K6*Assumptions!K45/100</f>
        <v>-1421.59118439764</v>
      </c>
      <c r="L12" s="4" t="n">
        <f aca="false">-L6*Assumptions!L45/100</f>
        <v>-1485.56278769554</v>
      </c>
    </row>
    <row r="13" customFormat="false" ht="15" hidden="false" customHeight="false" outlineLevel="0" collapsed="false">
      <c r="A13" s="0" t="s">
        <v>115</v>
      </c>
      <c r="C13" s="0" t="n">
        <f aca="false">C11+C12</f>
        <v>2571.80022</v>
      </c>
      <c r="D13" s="0" t="n">
        <f aca="false">D11+D12</f>
        <v>3070.7177193</v>
      </c>
      <c r="E13" s="0" t="n">
        <f aca="false">E11+E12</f>
        <v>3602.3596148925</v>
      </c>
      <c r="F13" s="0" t="n">
        <f aca="false">F11+F12</f>
        <v>4099.08802338709</v>
      </c>
      <c r="G13" s="0" t="n">
        <f aca="false">G11+G12</f>
        <v>4530.58632848243</v>
      </c>
      <c r="H13" s="0" t="n">
        <f aca="false">H11+H12</f>
        <v>4942.90060987828</v>
      </c>
      <c r="I13" s="0" t="n">
        <f aca="false">I11+I12</f>
        <v>5224.30336737135</v>
      </c>
      <c r="J13" s="0" t="n">
        <f aca="false">J11+J12</f>
        <v>5459.39701890306</v>
      </c>
      <c r="K13" s="0" t="n">
        <f aca="false">K11+K12</f>
        <v>5742.48017907995</v>
      </c>
      <c r="L13" s="0" t="n">
        <f aca="false">L11+L12</f>
        <v>6000.89178713855</v>
      </c>
    </row>
    <row r="14" customFormat="false" ht="15" hidden="false" customHeight="false" outlineLevel="0" collapsed="false">
      <c r="A14" s="0" t="s">
        <v>101</v>
      </c>
      <c r="C14" s="4" t="n">
        <f aca="false">Assumptions!C47</f>
        <v>28</v>
      </c>
      <c r="D14" s="4" t="n">
        <f aca="false">Assumptions!D47</f>
        <v>26</v>
      </c>
      <c r="E14" s="4" t="n">
        <f aca="false">Assumptions!E47</f>
        <v>25</v>
      </c>
      <c r="F14" s="4" t="n">
        <f aca="false">Assumptions!F47</f>
        <v>24</v>
      </c>
      <c r="G14" s="4" t="n">
        <f aca="false">Assumptions!G47</f>
        <v>24</v>
      </c>
      <c r="H14" s="4" t="n">
        <f aca="false">Assumptions!H47</f>
        <v>24</v>
      </c>
      <c r="I14" s="4" t="n">
        <f aca="false">Assumptions!I47</f>
        <v>24</v>
      </c>
      <c r="J14" s="4" t="n">
        <f aca="false">Assumptions!J47</f>
        <v>24</v>
      </c>
      <c r="K14" s="4" t="n">
        <f aca="false">Assumptions!K47</f>
        <v>24</v>
      </c>
      <c r="L14" s="4" t="n">
        <f aca="false">Assumptions!L47</f>
        <v>24</v>
      </c>
    </row>
    <row r="15" customFormat="false" ht="15" hidden="false" customHeight="false" outlineLevel="0" collapsed="false">
      <c r="A15" s="0" t="s">
        <v>116</v>
      </c>
      <c r="C15" s="0" t="n">
        <f aca="false">C13-MAX(0,C13)*C14/100</f>
        <v>1851.6961584</v>
      </c>
      <c r="D15" s="0" t="n">
        <f aca="false">D13-MAX(0,D13)*D14/100</f>
        <v>2272.331112282</v>
      </c>
      <c r="E15" s="0" t="n">
        <f aca="false">E13-MAX(0,E13)*E14/100</f>
        <v>2701.76971116937</v>
      </c>
      <c r="F15" s="0" t="n">
        <f aca="false">F13-MAX(0,F13)*F14/100</f>
        <v>3115.30689777419</v>
      </c>
      <c r="G15" s="0" t="n">
        <f aca="false">G13-MAX(0,G13)*G14/100</f>
        <v>3443.24560964664</v>
      </c>
      <c r="H15" s="0" t="n">
        <f aca="false">H13-MAX(0,H13)*H14/100</f>
        <v>3756.60446350749</v>
      </c>
      <c r="I15" s="0" t="n">
        <f aca="false">I13-MAX(0,I13)*I14/100</f>
        <v>3970.47055920222</v>
      </c>
      <c r="J15" s="0" t="n">
        <f aca="false">J13-MAX(0,J13)*J14/100</f>
        <v>4149.14173436632</v>
      </c>
      <c r="K15" s="0" t="n">
        <f aca="false">K13-MAX(0,K13)*K14/100</f>
        <v>4364.28493610076</v>
      </c>
      <c r="L15" s="0" t="n">
        <f aca="false">L13-MAX(0,L13)*L14/100</f>
        <v>4560.67775822529</v>
      </c>
    </row>
    <row r="16" customFormat="false" ht="15" hidden="false" customHeight="false" outlineLevel="0" collapsed="false">
      <c r="A16" s="0" t="s">
        <v>117</v>
      </c>
      <c r="C16" s="0" t="n">
        <f aca="false">-C12</f>
        <v>1291.7718</v>
      </c>
      <c r="D16" s="0" t="n">
        <f aca="false">-D12</f>
        <v>1299.6398646</v>
      </c>
      <c r="E16" s="0" t="n">
        <f aca="false">-E12</f>
        <v>1287.535375665</v>
      </c>
      <c r="F16" s="0" t="n">
        <f aca="false">-F12</f>
        <v>1283.7001639077</v>
      </c>
      <c r="G16" s="0" t="n">
        <f aca="false">-G12</f>
        <v>1298.87116584479</v>
      </c>
      <c r="H16" s="0" t="n">
        <f aca="false">-H12</f>
        <v>1305.05626663453</v>
      </c>
      <c r="I16" s="0" t="n">
        <f aca="false">-I12</f>
        <v>1336.0513529671</v>
      </c>
      <c r="J16" s="0" t="n">
        <f aca="false">-J12</f>
        <v>1396.17366385062</v>
      </c>
      <c r="K16" s="0" t="n">
        <f aca="false">-K12</f>
        <v>1421.59118439764</v>
      </c>
      <c r="L16" s="0" t="n">
        <f aca="false">-L12</f>
        <v>1485.56278769554</v>
      </c>
    </row>
    <row r="17" customFormat="false" ht="15" hidden="false" customHeight="false" outlineLevel="0" collapsed="false">
      <c r="A17" s="0" t="s">
        <v>118</v>
      </c>
      <c r="C17" s="4" t="n">
        <f aca="false">-C6*Assumptions!C46/100</f>
        <v>-540.19548</v>
      </c>
      <c r="D17" s="4" t="n">
        <f aca="false">-D6*Assumptions!D46/100</f>
        <v>-662.5614996</v>
      </c>
      <c r="E17" s="4" t="n">
        <f aca="false">-E6*Assumptions!E46/100</f>
        <v>-712.25361207</v>
      </c>
      <c r="F17" s="4" t="n">
        <f aca="false">-F6*Assumptions!F46/100</f>
        <v>-671.025085679025</v>
      </c>
      <c r="G17" s="4" t="n">
        <f aca="false">-G6*Assumptions!G46/100</f>
        <v>-649.435582922396</v>
      </c>
      <c r="H17" s="4" t="n">
        <f aca="false">-H6*Assumptions!H46/100</f>
        <v>-652.528133317264</v>
      </c>
      <c r="I17" s="4" t="n">
        <f aca="false">-I6*Assumptions!I46/100</f>
        <v>-685.154539983127</v>
      </c>
      <c r="J17" s="4" t="n">
        <f aca="false">-J6*Assumptions!J46/100</f>
        <v>-715.986494282368</v>
      </c>
      <c r="K17" s="4" t="n">
        <f aca="false">-K6*Assumptions!K46/100</f>
        <v>-748.205886525075</v>
      </c>
      <c r="L17" s="4" t="n">
        <f aca="false">-L6*Assumptions!L46/100</f>
        <v>-781.875151418703</v>
      </c>
    </row>
    <row r="18" customFormat="false" ht="15" hidden="false" customHeight="false" outlineLevel="0" collapsed="false">
      <c r="A18" s="0" t="s">
        <v>119</v>
      </c>
      <c r="C18" s="4" t="n">
        <f aca="false">(C6-B6)*Assumptions!$B$51/100</f>
        <v>-173.976</v>
      </c>
      <c r="D18" s="4" t="n">
        <f aca="false">(D6-C6)*Assumptions!$B$51/100</f>
        <v>-199.63746</v>
      </c>
      <c r="E18" s="4" t="n">
        <f aca="false">(E6-D6)*Assumptions!$B$51/100</f>
        <v>-191.1235095</v>
      </c>
      <c r="F18" s="4" t="n">
        <f aca="false">(F6-E6)*Assumptions!$B$51/100</f>
        <v>-178.0634030175</v>
      </c>
      <c r="G18" s="4" t="n">
        <f aca="false">(G6-F6)*Assumptions!$B$51/100</f>
        <v>-175.05002235105</v>
      </c>
      <c r="H18" s="4" t="n">
        <f aca="false">(H6-G6)*Assumptions!$B$51/100</f>
        <v>-170.09027171777</v>
      </c>
      <c r="I18" s="4" t="n">
        <f aca="false">(I6-H6)*Assumptions!$B$51/100</f>
        <v>-163.132033329316</v>
      </c>
      <c r="J18" s="4" t="n">
        <f aca="false">(J6-I6)*Assumptions!$B$51/100</f>
        <v>-154.159771496204</v>
      </c>
      <c r="K18" s="4" t="n">
        <f aca="false">(K6-J6)*Assumptions!$B$51/100</f>
        <v>-161.096961213533</v>
      </c>
      <c r="L18" s="4" t="n">
        <f aca="false">(L6-K6)*Assumptions!$B$51/100</f>
        <v>-168.346324468141</v>
      </c>
    </row>
    <row r="19" customFormat="false" ht="15" hidden="false" customHeight="false" outlineLevel="0" collapsed="false">
      <c r="A19" s="0" t="s">
        <v>120</v>
      </c>
      <c r="C19" s="0" t="n">
        <f aca="false">C15+C16+C17+C18</f>
        <v>2429.2964784</v>
      </c>
      <c r="D19" s="0" t="n">
        <f aca="false">D15+D16+D17+D18</f>
        <v>2709.772017282</v>
      </c>
      <c r="E19" s="0" t="n">
        <f aca="false">E15+E16+E17+E18</f>
        <v>3085.92796526437</v>
      </c>
      <c r="F19" s="0" t="n">
        <f aca="false">F15+F16+F17+F18</f>
        <v>3549.91857298536</v>
      </c>
      <c r="G19" s="0" t="n">
        <f aca="false">G15+G16+G17+G18</f>
        <v>3917.63117021799</v>
      </c>
      <c r="H19" s="0" t="n">
        <f aca="false">H15+H16+H17+H18</f>
        <v>4239.04232510698</v>
      </c>
      <c r="I19" s="0" t="n">
        <f aca="false">I15+I16+I17+I18</f>
        <v>4458.23533885688</v>
      </c>
      <c r="J19" s="0" t="n">
        <f aca="false">J15+J16+J17+J18</f>
        <v>4675.16913243837</v>
      </c>
      <c r="K19" s="0" t="n">
        <f aca="false">K15+K16+K17+K18</f>
        <v>4876.5732727598</v>
      </c>
      <c r="L19" s="0" t="n">
        <f aca="false">L15+L16+L17+L18</f>
        <v>5096.01907003399</v>
      </c>
    </row>
    <row r="20" customFormat="false" ht="15" hidden="false" customHeight="false" outlineLevel="0" collapsed="false">
      <c r="A20" s="0" t="s">
        <v>121</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122</v>
      </c>
      <c r="C21" s="0" t="n">
        <f aca="false">C19*C20</f>
        <v>2238.98292940092</v>
      </c>
      <c r="D21" s="0" t="n">
        <f aca="false">D19*D20</f>
        <v>2301.83016609569</v>
      </c>
      <c r="E21" s="0" t="n">
        <f aca="false">E19*E20</f>
        <v>2415.99799517934</v>
      </c>
      <c r="F21" s="0" t="n">
        <f aca="false">F19*F20</f>
        <v>2561.52995351143</v>
      </c>
      <c r="G21" s="0" t="n">
        <f aca="false">G19*G20</f>
        <v>2605.40267988559</v>
      </c>
      <c r="H21" s="0" t="n">
        <f aca="false">H19*H20</f>
        <v>2598.30018197085</v>
      </c>
      <c r="I21" s="0" t="n">
        <f aca="false">I19*I20</f>
        <v>2518.57462086648</v>
      </c>
      <c r="J21" s="0" t="n">
        <f aca="false">J19*J20</f>
        <v>2434.21773016936</v>
      </c>
      <c r="K21" s="0" t="n">
        <f aca="false">K19*K20</f>
        <v>2340.16839878193</v>
      </c>
      <c r="L21" s="0" t="n">
        <f aca="false">L19*L20</f>
        <v>2253.89490942592</v>
      </c>
    </row>
    <row r="23" customFormat="false" ht="15" hidden="false" customHeight="false" outlineLevel="0" collapsed="false">
      <c r="A23" s="0" t="s">
        <v>98</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124</v>
      </c>
    </row>
    <row r="27" customFormat="false" ht="15" hidden="false" customHeight="false" outlineLevel="0" collapsed="false">
      <c r="A27" s="0" t="s">
        <v>102</v>
      </c>
      <c r="B27" s="4" t="n">
        <f aca="false">Assumptions!$B$48</f>
        <v>8.5</v>
      </c>
    </row>
    <row r="28" customFormat="false" ht="15" hidden="false" customHeight="false" outlineLevel="0" collapsed="false">
      <c r="A28" s="0" t="s">
        <v>103</v>
      </c>
      <c r="B28" s="4" t="n">
        <f aca="false">Assumptions!$B$49</f>
        <v>3.5</v>
      </c>
    </row>
    <row r="29" customFormat="false" ht="15" hidden="false" customHeight="false" outlineLevel="0" collapsed="false">
      <c r="A29" s="0" t="s">
        <v>104</v>
      </c>
      <c r="B29" s="4" t="n">
        <f aca="false">Assumptions!$B$50</f>
        <v>17</v>
      </c>
    </row>
    <row r="30" customFormat="false" ht="15" hidden="false" customHeight="false" outlineLevel="0" collapsed="false">
      <c r="A30" s="0" t="s">
        <v>125</v>
      </c>
      <c r="B30" s="0" t="n">
        <f aca="false">SUM(C21:L21)</f>
        <v>24268.8995652875</v>
      </c>
    </row>
    <row r="31" customFormat="false" ht="15" hidden="false" customHeight="false" outlineLevel="0" collapsed="false">
      <c r="A31" s="0" t="s">
        <v>126</v>
      </c>
      <c r="B31" s="0" t="n">
        <f aca="false">L19</f>
        <v>5096.01907003399</v>
      </c>
    </row>
    <row r="32" customFormat="false" ht="15" hidden="false" customHeight="false" outlineLevel="0" collapsed="false">
      <c r="A32" s="0" t="s">
        <v>127</v>
      </c>
      <c r="B32" s="0" t="n">
        <f aca="false">IF(B27&gt;B28,B31*(1+B28/100)/((B27-B28)/100),B31*B29)</f>
        <v>105487.594749704</v>
      </c>
    </row>
    <row r="33" customFormat="false" ht="15" hidden="false" customHeight="false" outlineLevel="0" collapsed="false">
      <c r="A33" s="0" t="s">
        <v>128</v>
      </c>
      <c r="B33" s="0" t="n">
        <f aca="false">B31*B29</f>
        <v>86632.3241905778</v>
      </c>
    </row>
    <row r="34" customFormat="false" ht="15" hidden="false" customHeight="false" outlineLevel="0" collapsed="false">
      <c r="A34" s="0" t="s">
        <v>129</v>
      </c>
      <c r="B34" s="0" t="n">
        <f aca="false">MAX(0,MIN(B32,B33))</f>
        <v>86632.3241905778</v>
      </c>
    </row>
    <row r="35" customFormat="false" ht="15" hidden="false" customHeight="false" outlineLevel="0" collapsed="false">
      <c r="A35" s="0" t="s">
        <v>130</v>
      </c>
      <c r="B35" s="0" t="n">
        <f aca="false">B34/(1+B27/100)^L4</f>
        <v>38316.2134602406</v>
      </c>
    </row>
    <row r="36" customFormat="false" ht="15" hidden="false" customHeight="false" outlineLevel="0" collapsed="false">
      <c r="A36" s="0" t="s">
        <v>131</v>
      </c>
      <c r="B36" s="0" t="n">
        <f aca="false">B30+B35</f>
        <v>62585.1130255281</v>
      </c>
    </row>
    <row r="37" customFormat="false" ht="15" hidden="false" customHeight="false" outlineLevel="0" collapsed="false">
      <c r="A37" s="0" t="s">
        <v>132</v>
      </c>
      <c r="B37" s="0" t="n">
        <f aca="false">B36+Assumptions!$B$5-Assumptions!$B$4</f>
        <v>51798.1130255281</v>
      </c>
    </row>
    <row r="38" customFormat="false" ht="15" hidden="false" customHeight="false" outlineLevel="0" collapsed="false">
      <c r="A38" s="0" t="s">
        <v>133</v>
      </c>
      <c r="B38" s="0" t="n">
        <f aca="false">B37/Assumptions!$B$3*Assumptions!$B$10</f>
        <v>61.4595550848696</v>
      </c>
    </row>
    <row r="39" customFormat="false" ht="15" hidden="false" customHeight="false" outlineLevel="0" collapsed="false">
      <c r="A39" s="0" t="s">
        <v>134</v>
      </c>
      <c r="B39" s="4" t="n">
        <f aca="false">B38/Assumptions!$B$2-1</f>
        <v>0.0902883641098025</v>
      </c>
    </row>
    <row r="41" customFormat="false" ht="15" hidden="false" customHeight="false" outlineLevel="0" collapsed="false">
      <c r="A41" s="0" t="s">
        <v>135</v>
      </c>
      <c r="B41" s="0" t="n">
        <f aca="false">SUMPRODUCT(-C10:L10/(1+$B$27/100)^C4:L4)</f>
        <v>698.577529317575</v>
      </c>
    </row>
    <row r="42" customFormat="false" ht="15" hidden="false" customHeight="false" outlineLevel="0" collapsed="false">
      <c r="A42" s="0" t="s">
        <v>136</v>
      </c>
      <c r="B42" s="0" t="n">
        <f aca="false">IF(B27&gt;B28,-L10*(1+B28/100)/((B27-B28)/100),-L10*20)/(1+B27/100)^L4</f>
        <v>1252.7038825248</v>
      </c>
    </row>
    <row r="43" customFormat="false" ht="15" hidden="false" customHeight="false" outlineLevel="0" collapsed="false">
      <c r="A43" s="0" t="s">
        <v>137</v>
      </c>
      <c r="B43" s="0" t="n">
        <f aca="false">(B37+B41+B42)/Assumptions!$B$3*Assumptions!$B$10</f>
        <v>63.7747916912321</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45864.1716303059</v>
      </c>
    </row>
    <row r="47" customFormat="false" ht="15" hidden="false" customHeight="false" outlineLevel="0" collapsed="false">
      <c r="A47" s="0" t="s">
        <v>139</v>
      </c>
      <c r="B47" s="0" t="n">
        <f aca="false">(SUMPRODUCT(C19:L19/(1+B45/100)^C4:L4)+B46/(1+B45/100)^L4+Assumptions!$B$5-Assumptions!$B$4)/Assumptions!$B$3*Assumptions!$B$10</f>
        <v>21.8328037979083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142</v>
      </c>
    </row>
    <row r="3" customFormat="false" ht="15" hidden="false" customHeight="false" outlineLevel="0" collapsed="false">
      <c r="A3" s="2" t="s">
        <v>143</v>
      </c>
      <c r="B3" s="2" t="s">
        <v>144</v>
      </c>
      <c r="C3" s="2" t="s">
        <v>134</v>
      </c>
      <c r="D3" s="2" t="s">
        <v>145</v>
      </c>
      <c r="E3" s="2" t="s">
        <v>137</v>
      </c>
      <c r="F3" s="2" t="s">
        <v>146</v>
      </c>
    </row>
    <row r="4" customFormat="false" ht="15" hidden="false" customHeight="false" outlineLevel="0" collapsed="false">
      <c r="A4" s="0" t="s">
        <v>147</v>
      </c>
      <c r="B4" s="4" t="n">
        <f aca="false">DCF_Bear!$B$38</f>
        <v>24.5585610899022</v>
      </c>
      <c r="C4" s="0" t="n">
        <f aca="false">B4/Assumptions!$B$2-1</f>
        <v>-0.564332781800565</v>
      </c>
      <c r="D4" s="4" t="n">
        <f aca="false">Assumptions!$B$24</f>
        <v>0.25</v>
      </c>
      <c r="E4" s="4" t="n">
        <f aca="false">DCF_Bear!$B$43</f>
        <v>26.2607631295376</v>
      </c>
      <c r="F4" s="4" t="n">
        <f aca="false">DCF_Bear!$B$47</f>
        <v>8.18743857388421</v>
      </c>
    </row>
    <row r="5" customFormat="false" ht="15" hidden="false" customHeight="false" outlineLevel="0" collapsed="false">
      <c r="A5" s="0" t="s">
        <v>148</v>
      </c>
      <c r="B5" s="4" t="n">
        <f aca="false">DCF_Base!$B$38</f>
        <v>42.1057252125938</v>
      </c>
      <c r="C5" s="0" t="n">
        <f aca="false">B5/Assumptions!$B$2-1</f>
        <v>-0.253047273148947</v>
      </c>
      <c r="D5" s="4" t="n">
        <f aca="false">Assumptions!$B$38</f>
        <v>0.5</v>
      </c>
      <c r="E5" s="4" t="n">
        <f aca="false">DCF_Base!$B$43</f>
        <v>44.0274008729693</v>
      </c>
      <c r="F5" s="4" t="n">
        <f aca="false">DCF_Base!$B$47</f>
        <v>14.9285742513553</v>
      </c>
    </row>
    <row r="6" customFormat="false" ht="15" hidden="false" customHeight="false" outlineLevel="0" collapsed="false">
      <c r="A6" s="0" t="s">
        <v>149</v>
      </c>
      <c r="B6" s="4" t="n">
        <f aca="false">DCF_Bull!$B$38</f>
        <v>61.4595550848696</v>
      </c>
      <c r="C6" s="0" t="n">
        <f aca="false">B6/Assumptions!$B$2-1</f>
        <v>0.0902883641098025</v>
      </c>
      <c r="D6" s="4" t="n">
        <f aca="false">Assumptions!$B$52</f>
        <v>0.25</v>
      </c>
      <c r="E6" s="4" t="n">
        <f aca="false">DCF_Bull!$B$43</f>
        <v>63.7747916912321</v>
      </c>
      <c r="F6" s="4" t="n">
        <f aca="false">DCF_Bull!$B$47</f>
        <v>21.8328037979083</v>
      </c>
    </row>
    <row r="8" customFormat="false" ht="15" hidden="false" customHeight="false" outlineLevel="0" collapsed="false">
      <c r="A8" s="0" t="s">
        <v>150</v>
      </c>
      <c r="B8" s="0" t="n">
        <f aca="false">SUMPRODUCT(B4:B6,D4:D6)</f>
        <v>42.5573916499898</v>
      </c>
    </row>
    <row r="9" customFormat="false" ht="15" hidden="false" customHeight="false" outlineLevel="0" collapsed="false">
      <c r="A9" s="0" t="s">
        <v>151</v>
      </c>
      <c r="B9" s="0" t="n">
        <f aca="false">SUMPRODUCT(E4:E6,D4:D6)</f>
        <v>44.5225891416771</v>
      </c>
    </row>
    <row r="10" customFormat="false" ht="15" hidden="false" customHeight="false" outlineLevel="0" collapsed="false">
      <c r="A10" s="0" t="s">
        <v>152</v>
      </c>
      <c r="B10" s="0" t="n">
        <f aca="false">1-Assumptions!$B$2/B8</f>
        <v>-0.324564260507574</v>
      </c>
    </row>
    <row r="11" customFormat="false" ht="15" hidden="false" customHeight="false" outlineLevel="0" collapsed="false">
      <c r="A11" s="0" t="s">
        <v>153</v>
      </c>
      <c r="B11" s="0" t="n">
        <f aca="false">IF(ABS(B9-B8)&gt;0.01*ABS(B8),(Assumptions!$B$2-B8)/(B9-B8)*100,"n/a")</f>
        <v>702.861081821923</v>
      </c>
    </row>
    <row r="12" customFormat="false" ht="15" hidden="false" customHeight="false" outlineLevel="0" collapsed="false">
      <c r="A12" s="0" t="s">
        <v>154</v>
      </c>
      <c r="B12" s="0" t="n">
        <f aca="false">SUMPRODUCT(F4:F6,D4:D6)</f>
        <v>14.9693477186258</v>
      </c>
    </row>
    <row r="14" customFormat="false" ht="15" hidden="false" customHeight="false" outlineLevel="0" collapsed="false">
      <c r="A14" s="2" t="s">
        <v>155</v>
      </c>
      <c r="C14" s="0" t="s">
        <v>156</v>
      </c>
    </row>
    <row r="15" customFormat="false" ht="15" hidden="false" customHeight="false" outlineLevel="0" collapsed="false">
      <c r="A15" s="0" t="s">
        <v>157</v>
      </c>
      <c r="B15" s="0" t="n">
        <f aca="false">(SUMPRODUCT(DCF_Base!$C$19:$L$19/(1+$C$15/100)^DCF_Base!$C$4:$L$4)+MAX(0,MIN(IF($C$15&gt;DCF_Base!$B$28,DCF_Base!$L$19*(1+DCF_Base!$B$28/100)/(($C$15-DCF_Base!$B$28)/100),DCF_Base!$L$19*DCF_Base!$B$29),DCF_Base!$L$19*DCF_Base!$B$29))/(1+$C$15/100)^DCF_Base!$L$4+Assumptions!$B$5-Assumptions!$B$4)/Assumptions!$B$3*Assumptions!$B$10</f>
        <v>42.1057252125938</v>
      </c>
      <c r="C15" s="3" t="n">
        <v>8.5</v>
      </c>
    </row>
    <row r="16" customFormat="false" ht="15" hidden="false" customHeight="false" outlineLevel="0" collapsed="false">
      <c r="A16" s="0" t="s">
        <v>158</v>
      </c>
      <c r="B16" s="0" t="n">
        <f aca="false">(SUMPRODUCT(DCF_Base!$C$19:$L$19/(1+$C$16/100)^DCF_Base!$C$4:$L$4)+MAX(0,MIN(IF($C$16&gt;DCF_Base!$B$28,DCF_Base!$L$19*(1+DCF_Base!$B$28/100)/(($C$16-DCF_Base!$B$28)/100),DCF_Base!$L$19*DCF_Base!$B$29),DCF_Base!$L$19*DCF_Base!$B$29))/(1+$C$16/100)^DCF_Base!$L$4+Assumptions!$B$5-Assumptions!$B$4)/Assumptions!$B$3*Assumptions!$B$10</f>
        <v>40.139409497613</v>
      </c>
      <c r="C16" s="3" t="n">
        <v>9</v>
      </c>
    </row>
    <row r="17" customFormat="false" ht="15" hidden="false" customHeight="false" outlineLevel="0" collapsed="false">
      <c r="A17" s="0" t="s">
        <v>159</v>
      </c>
      <c r="B17" s="0" t="n">
        <f aca="false">(SUMPRODUCT(DCF_Base!$C$19:$L$19/(1+$C$17/100)^DCF_Base!$C$4:$L$4)+MAX(0,MIN(IF($C$17&gt;DCF_Base!$B$28,DCF_Base!$L$19*(1+DCF_Base!$B$28/100)/(($C$17-DCF_Base!$B$28)/100),DCF_Base!$L$19*DCF_Base!$B$29),DCF_Base!$L$19*DCF_Base!$B$29))/(1+$C$17/100)^DCF_Base!$L$4+Assumptions!$B$5-Assumptions!$B$4)/Assumptions!$B$3*Assumptions!$B$10</f>
        <v>35.9543519739095</v>
      </c>
      <c r="C17" s="3" t="n">
        <v>10</v>
      </c>
    </row>
    <row r="18" customFormat="false" ht="15" hidden="false" customHeight="false" outlineLevel="0" collapsed="false">
      <c r="A18" s="0" t="s">
        <v>160</v>
      </c>
      <c r="B18" s="0" t="n">
        <f aca="false">(SUMPRODUCT(DCF_Base!$C$19:$L$19/(1+$C$18/100)^DCF_Base!$C$4:$L$4)+MAX(0,MIN(IF($C$18&gt;DCF_Base!$B$28,DCF_Base!$L$19*(1+DCF_Base!$B$28/100)/(($C$18-DCF_Base!$B$28)/100),DCF_Base!$L$19*DCF_Base!$B$29),DCF_Base!$L$19*DCF_Base!$B$29))/(1+$C$18/100)^DCF_Base!$L$4+Assumptions!$B$5-Assumptions!$B$4)/Assumptions!$B$3*Assumptions!$B$10</f>
        <v>29.6256717296578</v>
      </c>
      <c r="C18" s="3" t="n">
        <v>11</v>
      </c>
    </row>
    <row r="19" customFormat="false" ht="15" hidden="false" customHeight="false" outlineLevel="0" collapsed="false">
      <c r="A19" s="0" t="s">
        <v>161</v>
      </c>
      <c r="B19" s="0" t="n">
        <f aca="false">(SUMPRODUCT(DCF_Base!$C$19:$L$19/(1+$C$19/100)^DCF_Base!$C$4:$L$4)+MAX(0,MIN(IF($C$19&gt;DCF_Base!$B$28,DCF_Base!$L$19*(1+DCF_Base!$B$28/100)/(($C$19-DCF_Base!$B$28)/100),DCF_Base!$L$19*DCF_Base!$B$29),DCF_Base!$L$19*DCF_Base!$B$29))/(1+$C$19/100)^DCF_Base!$L$4+Assumptions!$B$5-Assumptions!$B$4)/Assumptions!$B$3*Assumptions!$B$10</f>
        <v>24.713281270418</v>
      </c>
      <c r="C19" s="3" t="n">
        <v>12</v>
      </c>
    </row>
    <row r="20" customFormat="false" ht="15" hidden="false" customHeight="false" outlineLevel="0" collapsed="false">
      <c r="A20" s="0" t="s">
        <v>162</v>
      </c>
      <c r="B20" s="0" t="n">
        <f aca="false">(SUMPRODUCT(DCF_Base!$C$19:$L$19/(1+$C$20/100)^DCF_Base!$C$4:$L$4)+MAX(0,MIN(IF($C$20&gt;DCF_Base!$B$28,DCF_Base!$L$19*(1+DCF_Base!$B$28/100)/(($C$20-DCF_Base!$B$28)/100),DCF_Base!$L$19*DCF_Base!$B$29),DCF_Base!$L$19*DCF_Base!$B$29))/(1+$C$20/100)^DCF_Base!$L$4+Assumptions!$B$5-Assumptions!$B$4)/Assumptions!$B$3*Assumptions!$B$10</f>
        <v>14.9285742513553</v>
      </c>
      <c r="C20" s="3" t="n">
        <v>15</v>
      </c>
    </row>
    <row r="22" customFormat="false" ht="15" hidden="false" customHeight="false" outlineLevel="0" collapsed="false">
      <c r="A22" s="2" t="s">
        <v>163</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6.5</v>
      </c>
      <c r="B24" s="0" t="n">
        <f aca="false">(SUMPRODUCT(DCF_Base!$C$19:$L$19/(1+$A$24/100)^DCF_Base!$C$4:$L$4)+MAX(0,MIN(IF($A$24&gt;$B$23,DCF_Base!$L$19*(1+$B$23/100)/(($A$24-$B$23)/100),DCF_Base!$L$19*DCF_Base!$B$29),DCF_Base!$L$19*DCF_Base!$B$29))/(1+$A$24/100)^DCF_Base!$L$4+Assumptions!$B$5-Assumptions!$B$4)/Assumptions!$B$3*Assumptions!$B$10</f>
        <v>50.9576576138856</v>
      </c>
      <c r="C24" s="0" t="n">
        <f aca="false">(SUMPRODUCT(DCF_Base!$C$19:$L$19/(1+$A$24/100)^DCF_Base!$C$4:$L$4)+MAX(0,MIN(IF($A$24&gt;$C$23,DCF_Base!$L$19*(1+$C$23/100)/(($A$24-$C$23)/100),DCF_Base!$L$19*DCF_Base!$B$29),DCF_Base!$L$19*DCF_Base!$B$29))/(1+$A$24/100)^DCF_Base!$L$4+Assumptions!$B$5-Assumptions!$B$4)/Assumptions!$B$3*Assumptions!$B$10</f>
        <v>50.9576576138856</v>
      </c>
      <c r="D24" s="0" t="n">
        <f aca="false">(SUMPRODUCT(DCF_Base!$C$19:$L$19/(1+$A$24/100)^DCF_Base!$C$4:$L$4)+MAX(0,MIN(IF($A$24&gt;$D$23,DCF_Base!$L$19*(1+$D$23/100)/(($A$24-$D$23)/100),DCF_Base!$L$19*DCF_Base!$B$29),DCF_Base!$L$19*DCF_Base!$B$29))/(1+$A$24/100)^DCF_Base!$L$4+Assumptions!$B$5-Assumptions!$B$4)/Assumptions!$B$3*Assumptions!$B$10</f>
        <v>50.9576576138856</v>
      </c>
      <c r="E24" s="0" t="n">
        <f aca="false">(SUMPRODUCT(DCF_Base!$C$19:$L$19/(1+$A$24/100)^DCF_Base!$C$4:$L$4)+MAX(0,MIN(IF($A$24&gt;$E$23,DCF_Base!$L$19*(1+$E$23/100)/(($A$24-$E$23)/100),DCF_Base!$L$19*DCF_Base!$B$29),DCF_Base!$L$19*DCF_Base!$B$29))/(1+$A$24/100)^DCF_Base!$L$4+Assumptions!$B$5-Assumptions!$B$4)/Assumptions!$B$3*Assumptions!$B$10</f>
        <v>50.9576576138856</v>
      </c>
      <c r="F24" s="0" t="n">
        <f aca="false">(SUMPRODUCT(DCF_Base!$C$19:$L$19/(1+$A$24/100)^DCF_Base!$C$4:$L$4)+MAX(0,MIN(IF($A$24&gt;$F$23,DCF_Base!$L$19*(1+$F$23/100)/(($A$24-$F$23)/100),DCF_Base!$L$19*DCF_Base!$B$29),DCF_Base!$L$19*DCF_Base!$B$29))/(1+$A$24/100)^DCF_Base!$L$4+Assumptions!$B$5-Assumptions!$B$4)/Assumptions!$B$3*Assumptions!$B$10</f>
        <v>50.9576576138856</v>
      </c>
    </row>
    <row r="25" customFormat="false" ht="15" hidden="false" customHeight="false" outlineLevel="0" collapsed="false">
      <c r="A25" s="3" t="n">
        <v>7.5</v>
      </c>
      <c r="B25" s="0" t="n">
        <f aca="false">(SUMPRODUCT(DCF_Base!$C$19:$L$19/(1+$A$25/100)^DCF_Base!$C$4:$L$4)+MAX(0,MIN(IF($A$25&gt;$B$23,DCF_Base!$L$19*(1+$B$23/100)/(($A$25-$B$23)/100),DCF_Base!$L$19*DCF_Base!$B$29),DCF_Base!$L$19*DCF_Base!$B$29))/(1+$A$25/100)^DCF_Base!$L$4+Assumptions!$B$5-Assumptions!$B$4)/Assumptions!$B$3*Assumptions!$B$10</f>
        <v>46.3237325190098</v>
      </c>
      <c r="C25" s="0" t="n">
        <f aca="false">(SUMPRODUCT(DCF_Base!$C$19:$L$19/(1+$A$25/100)^DCF_Base!$C$4:$L$4)+MAX(0,MIN(IF($A$25&gt;$C$23,DCF_Base!$L$19*(1+$C$23/100)/(($A$25-$C$23)/100),DCF_Base!$L$19*DCF_Base!$B$29),DCF_Base!$L$19*DCF_Base!$B$29))/(1+$A$25/100)^DCF_Base!$L$4+Assumptions!$B$5-Assumptions!$B$4)/Assumptions!$B$3*Assumptions!$B$10</f>
        <v>46.3237325190098</v>
      </c>
      <c r="D25" s="0" t="n">
        <f aca="false">(SUMPRODUCT(DCF_Base!$C$19:$L$19/(1+$A$25/100)^DCF_Base!$C$4:$L$4)+MAX(0,MIN(IF($A$25&gt;$D$23,DCF_Base!$L$19*(1+$D$23/100)/(($A$25-$D$23)/100),DCF_Base!$L$19*DCF_Base!$B$29),DCF_Base!$L$19*DCF_Base!$B$29))/(1+$A$25/100)^DCF_Base!$L$4+Assumptions!$B$5-Assumptions!$B$4)/Assumptions!$B$3*Assumptions!$B$10</f>
        <v>46.3237325190098</v>
      </c>
      <c r="E25" s="0" t="n">
        <f aca="false">(SUMPRODUCT(DCF_Base!$C$19:$L$19/(1+$A$25/100)^DCF_Base!$C$4:$L$4)+MAX(0,MIN(IF($A$25&gt;$E$23,DCF_Base!$L$19*(1+$E$23/100)/(($A$25-$E$23)/100),DCF_Base!$L$19*DCF_Base!$B$29),DCF_Base!$L$19*DCF_Base!$B$29))/(1+$A$25/100)^DCF_Base!$L$4+Assumptions!$B$5-Assumptions!$B$4)/Assumptions!$B$3*Assumptions!$B$10</f>
        <v>46.3237325190098</v>
      </c>
      <c r="F25" s="0" t="n">
        <f aca="false">(SUMPRODUCT(DCF_Base!$C$19:$L$19/(1+$A$25/100)^DCF_Base!$C$4:$L$4)+MAX(0,MIN(IF($A$25&gt;$F$23,DCF_Base!$L$19*(1+$F$23/100)/(($A$25-$F$23)/100),DCF_Base!$L$19*DCF_Base!$B$29),DCF_Base!$L$19*DCF_Base!$B$29))/(1+$A$25/100)^DCF_Base!$L$4+Assumptions!$B$5-Assumptions!$B$4)/Assumptions!$B$3*Assumptions!$B$10</f>
        <v>46.3237325190098</v>
      </c>
    </row>
    <row r="26" customFormat="false" ht="15" hidden="false" customHeight="false" outlineLevel="0" collapsed="false">
      <c r="A26" s="3" t="n">
        <v>8.5</v>
      </c>
      <c r="B26" s="0" t="n">
        <f aca="false">(SUMPRODUCT(DCF_Base!$C$19:$L$19/(1+$A$26/100)^DCF_Base!$C$4:$L$4)+MAX(0,MIN(IF($A$26&gt;$B$23,DCF_Base!$L$19*(1+$B$23/100)/(($A$26-$B$23)/100),DCF_Base!$L$19*DCF_Base!$B$29),DCF_Base!$L$19*DCF_Base!$B$29))/(1+$A$26/100)^DCF_Base!$L$4+Assumptions!$B$5-Assumptions!$B$4)/Assumptions!$B$3*Assumptions!$B$10</f>
        <v>42.1057252125938</v>
      </c>
      <c r="C26" s="0" t="n">
        <f aca="false">(SUMPRODUCT(DCF_Base!$C$19:$L$19/(1+$A$26/100)^DCF_Base!$C$4:$L$4)+MAX(0,MIN(IF($A$26&gt;$C$23,DCF_Base!$L$19*(1+$C$23/100)/(($A$26-$C$23)/100),DCF_Base!$L$19*DCF_Base!$B$29),DCF_Base!$L$19*DCF_Base!$B$29))/(1+$A$26/100)^DCF_Base!$L$4+Assumptions!$B$5-Assumptions!$B$4)/Assumptions!$B$3*Assumptions!$B$10</f>
        <v>42.1057252125938</v>
      </c>
      <c r="D26" s="0" t="n">
        <f aca="false">(SUMPRODUCT(DCF_Base!$C$19:$L$19/(1+$A$26/100)^DCF_Base!$C$4:$L$4)+MAX(0,MIN(IF($A$26&gt;$D$23,DCF_Base!$L$19*(1+$D$23/100)/(($A$26-$D$23)/100),DCF_Base!$L$19*DCF_Base!$B$29),DCF_Base!$L$19*DCF_Base!$B$29))/(1+$A$26/100)^DCF_Base!$L$4+Assumptions!$B$5-Assumptions!$B$4)/Assumptions!$B$3*Assumptions!$B$10</f>
        <v>42.1057252125938</v>
      </c>
      <c r="E26" s="0" t="n">
        <f aca="false">(SUMPRODUCT(DCF_Base!$C$19:$L$19/(1+$A$26/100)^DCF_Base!$C$4:$L$4)+MAX(0,MIN(IF($A$26&gt;$E$23,DCF_Base!$L$19*(1+$E$23/100)/(($A$26-$E$23)/100),DCF_Base!$L$19*DCF_Base!$B$29),DCF_Base!$L$19*DCF_Base!$B$29))/(1+$A$26/100)^DCF_Base!$L$4+Assumptions!$B$5-Assumptions!$B$4)/Assumptions!$B$3*Assumptions!$B$10</f>
        <v>42.1057252125938</v>
      </c>
      <c r="F26" s="0" t="n">
        <f aca="false">(SUMPRODUCT(DCF_Base!$C$19:$L$19/(1+$A$26/100)^DCF_Base!$C$4:$L$4)+MAX(0,MIN(IF($A$26&gt;$F$23,DCF_Base!$L$19*(1+$F$23/100)/(($A$26-$F$23)/100),DCF_Base!$L$19*DCF_Base!$B$29),DCF_Base!$L$19*DCF_Base!$B$29))/(1+$A$26/100)^DCF_Base!$L$4+Assumptions!$B$5-Assumptions!$B$4)/Assumptions!$B$3*Assumptions!$B$10</f>
        <v>42.1057252125938</v>
      </c>
    </row>
    <row r="27" customFormat="false" ht="15" hidden="false" customHeight="false" outlineLevel="0" collapsed="false">
      <c r="A27" s="3" t="n">
        <v>9.5</v>
      </c>
      <c r="B27" s="0" t="n">
        <f aca="false">(SUMPRODUCT(DCF_Base!$C$19:$L$19/(1+$A$27/100)^DCF_Base!$C$4:$L$4)+MAX(0,MIN(IF($A$27&gt;$B$23,DCF_Base!$L$19*(1+$B$23/100)/(($A$27-$B$23)/100),DCF_Base!$L$19*DCF_Base!$B$29),DCF_Base!$L$19*DCF_Base!$B$29))/(1+$A$27/100)^DCF_Base!$L$4+Assumptions!$B$5-Assumptions!$B$4)/Assumptions!$B$3*Assumptions!$B$10</f>
        <v>35.6266495270527</v>
      </c>
      <c r="C27" s="0" t="n">
        <f aca="false">(SUMPRODUCT(DCF_Base!$C$19:$L$19/(1+$A$27/100)^DCF_Base!$C$4:$L$4)+MAX(0,MIN(IF($A$27&gt;$C$23,DCF_Base!$L$19*(1+$C$23/100)/(($A$27-$C$23)/100),DCF_Base!$L$19*DCF_Base!$B$29),DCF_Base!$L$19*DCF_Base!$B$29))/(1+$A$27/100)^DCF_Base!$L$4+Assumptions!$B$5-Assumptions!$B$4)/Assumptions!$B$3*Assumptions!$B$10</f>
        <v>37.5895180650209</v>
      </c>
      <c r="D27" s="0" t="n">
        <f aca="false">(SUMPRODUCT(DCF_Base!$C$19:$L$19/(1+$A$27/100)^DCF_Base!$C$4:$L$4)+MAX(0,MIN(IF($A$27&gt;$D$23,DCF_Base!$L$19*(1+$D$23/100)/(($A$27-$D$23)/100),DCF_Base!$L$19*DCF_Base!$B$29),DCF_Base!$L$19*DCF_Base!$B$29))/(1+$A$27/100)^DCF_Base!$L$4+Assumptions!$B$5-Assumptions!$B$4)/Assumptions!$B$3*Assumptions!$B$10</f>
        <v>38.2617333177497</v>
      </c>
      <c r="E27" s="0" t="n">
        <f aca="false">(SUMPRODUCT(DCF_Base!$C$19:$L$19/(1+$A$27/100)^DCF_Base!$C$4:$L$4)+MAX(0,MIN(IF($A$27&gt;$E$23,DCF_Base!$L$19*(1+$E$23/100)/(($A$27-$E$23)/100),DCF_Base!$L$19*DCF_Base!$B$29),DCF_Base!$L$19*DCF_Base!$B$29))/(1+$A$27/100)^DCF_Base!$L$4+Assumptions!$B$5-Assumptions!$B$4)/Assumptions!$B$3*Assumptions!$B$10</f>
        <v>38.2617333177497</v>
      </c>
      <c r="F27" s="0" t="n">
        <f aca="false">(SUMPRODUCT(DCF_Base!$C$19:$L$19/(1+$A$27/100)^DCF_Base!$C$4:$L$4)+MAX(0,MIN(IF($A$27&gt;$F$23,DCF_Base!$L$19*(1+$F$23/100)/(($A$27-$F$23)/100),DCF_Base!$L$19*DCF_Base!$B$29),DCF_Base!$L$19*DCF_Base!$B$29))/(1+$A$27/100)^DCF_Base!$L$4+Assumptions!$B$5-Assumptions!$B$4)/Assumptions!$B$3*Assumptions!$B$10</f>
        <v>38.2617333177497</v>
      </c>
    </row>
    <row r="28" customFormat="false" ht="15" hidden="false" customHeight="false" outlineLevel="0" collapsed="false">
      <c r="A28" s="3" t="n">
        <v>10.5</v>
      </c>
      <c r="B28" s="0" t="n">
        <f aca="false">(SUMPRODUCT(DCF_Base!$C$19:$L$19/(1+$A$28/100)^DCF_Base!$C$4:$L$4)+MAX(0,MIN(IF($A$28&gt;$B$23,DCF_Base!$L$19*(1+$B$23/100)/(($A$28-$B$23)/100),DCF_Base!$L$19*DCF_Base!$B$29),DCF_Base!$L$19*DCF_Base!$B$29))/(1+$A$28/100)^DCF_Base!$L$4+Assumptions!$B$5-Assumptions!$B$4)/Assumptions!$B$3*Assumptions!$B$10</f>
        <v>29.5985433909907</v>
      </c>
      <c r="C28" s="0" t="n">
        <f aca="false">(SUMPRODUCT(DCF_Base!$C$19:$L$19/(1+$A$28/100)^DCF_Base!$C$4:$L$4)+MAX(0,MIN(IF($A$28&gt;$C$23,DCF_Base!$L$19*(1+$C$23/100)/(($A$28-$C$23)/100),DCF_Base!$L$19*DCF_Base!$B$29),DCF_Base!$L$19*DCF_Base!$B$29))/(1+$A$28/100)^DCF_Base!$L$4+Assumptions!$B$5-Assumptions!$B$4)/Assumptions!$B$3*Assumptions!$B$10</f>
        <v>30.9949380371377</v>
      </c>
      <c r="D28" s="0" t="n">
        <f aca="false">(SUMPRODUCT(DCF_Base!$C$19:$L$19/(1+$A$28/100)^DCF_Base!$C$4:$L$4)+MAX(0,MIN(IF($A$28&gt;$D$23,DCF_Base!$L$19*(1+$D$23/100)/(($A$28-$D$23)/100),DCF_Base!$L$19*DCF_Base!$B$29),DCF_Base!$L$19*DCF_Base!$B$29))/(1+$A$28/100)^DCF_Base!$L$4+Assumptions!$B$5-Assumptions!$B$4)/Assumptions!$B$3*Assumptions!$B$10</f>
        <v>32.5775186361044</v>
      </c>
      <c r="E28" s="0" t="n">
        <f aca="false">(SUMPRODUCT(DCF_Base!$C$19:$L$19/(1+$A$28/100)^DCF_Base!$C$4:$L$4)+MAX(0,MIN(IF($A$28&gt;$E$23,DCF_Base!$L$19*(1+$E$23/100)/(($A$28-$E$23)/100),DCF_Base!$L$19*DCF_Base!$B$29),DCF_Base!$L$19*DCF_Base!$B$29))/(1+$A$28/100)^DCF_Base!$L$4+Assumptions!$B$5-Assumptions!$B$4)/Assumptions!$B$3*Assumptions!$B$10</f>
        <v>34.3861821777807</v>
      </c>
      <c r="F28" s="0" t="n">
        <f aca="false">(SUMPRODUCT(DCF_Base!$C$19:$L$19/(1+$A$28/100)^DCF_Base!$C$4:$L$4)+MAX(0,MIN(IF($A$28&gt;$F$23,DCF_Base!$L$19*(1+$F$23/100)/(($A$28-$F$23)/100),DCF_Base!$L$19*DCF_Base!$B$29),DCF_Base!$L$19*DCF_Base!$B$29))/(1+$A$28/100)^DCF_Base!$L$4+Assumptions!$B$5-Assumptions!$B$4)/Assumptions!$B$3*Assumptions!$B$10</f>
        <v>34.7544620844568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2026-09-26T00:24:27Z</dcterms:created>
  <dc:creator>openpyxl</dc:creator>
  <dc:description/>
  <dc:language>en-NZ</dc:language>
  <cp:lastModifiedBy/>
  <dcterms:modified xsi:type="dcterms:W3CDTF">2026-09-26T00:24:27Z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