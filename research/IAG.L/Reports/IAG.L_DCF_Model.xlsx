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<sst xmlns="http://schemas.openxmlformats.org/spreadsheetml/2006/main" count="354" uniqueCount="166">
  <si>
    <t xml:space="preserve">Ticker</t>
  </si>
  <si>
    <t xml:space="preserve">IAG.L</t>
  </si>
  <si>
    <t xml:space="preserve">Company</t>
  </si>
  <si>
    <t xml:space="preserve">International Consolidated Airlines Group, S.A.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</si>
  <si>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</si>
  <si>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</si>
  <si>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</si>
  <si>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</si>
  <si>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2026-10-09T15:36:23Z (LSE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</si>
  <si>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</si>
  <si>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</si>
  <si>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</si>
  <si>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</si>
  <si>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</si>
  <si>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</si>
  <si>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</si>
  <si>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</si>
  <si>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</si>
  <si>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</si>
  <si>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</si>
  <si>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</si>
  <si>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</si>
  <si>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2026-10-09T23:32:39Z</t>
  </si>
  <si>
    <t xml:space="preserve">Drivers file</t>
  </si>
  <si>
    <t xml:space="preserve">IAG.L_Drivers.json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</si>
  <si>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</si>
  <si>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</si>
  <si>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</si>
  <si>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IAG is valued as a cyclical operating company on an owner-FCF basis, with IFRS-16 leases charged as an operating cost (treatment B) and lease liabilities excluded from net debt, which leaves the Group in a EUR 2.2bn net cash position ex-lease. The anchor is a mid-cycle margin, not the record FY2025 print: the base case assumes the business earns the middle of management's 12-15% operating-margin range across the cycle, with a one-in-ten-years downturn given 30% weight. Risk is charged once, in the scenario flows and weights, at a single 9% EUR WACC. The terminal value is capped at 12x owner FCF, appropriate for an airline; the Heathrow slot moat, the AA transatlantic joint business and the capital-light Loyalty business are what justify a cap at the top of the cyclical range rather than below it.
key_risks_to_valuation: Fuel: FY2026 fuel guided at EUR 8.3-8.6bn vs ~EUR 7.0-7.4bn originally, with only ~60% recovered through pricing and cost actions; a sustained jet-fuel spike compresses margins far faster than the base path assumes; Cycle timing: the model assumes FY2025 was the peak; if a downturn arrives earlier or is deeper than the bear's -6% revenue / 15.5% EBITDA margin, the weighted value falls further; Lease-to-owned fleet shift: the model glides lease cash down and holds capex at ~10%; if fleet renewal (A321XLR, 787, 737) pushes combined fleet cash above the ~15% of revenue assumed, owner FCF is overstated; Cash tax normalisation: FY2025 cash tax was ~11% of EBIT on unwinding deferred tax assets; the ramp to 23% is a judgment and a faster unwind cuts value; Short-haul competition and Aer Lingus: structural LCC capacity growth and a failed Aer Lingus restructuring would hold the Group below its 12-15% margin range, which is the bear's terminal state; Currency: flows are EUR, the quote is GBp; a 5% move in EUR/GBP moves the pence value ~5% with no change in the business</t>
  </si>
  <si>
    <t xml:space="preserve">Data sources</t>
  </si>
  <si>
    <t xml:space="preserve">price: Yahoo Finance chart API for IAG.L at inputs.price_as_of (LSE regular close); 52-week range 332.7-492.9p; EUR/GBP and the IAG.MC parity check in inputs.fx_note
financials: IAG.L_Metrics.csv and the kpis table (make dcf-context), anchored to IAG.L_Annual_FY2025.txt (SBC :12346, ROU depreciation :12288, lease interest :13009 and :15267, diluted shares :12760, borrowings :10729/10738) and IAG.L_HalfYear_H1-2026.txt (borrowings note 11 :1880-1887, lease cash-flow note :1928-1940, shares in issue and treasury :1798-1806, diluted-share reconciliation :1784-1787, liquidity :864)
qualitative: IAG.L_Analysis.json (2026-10-10): FY2026 guidance (flat capacity, fuel EUR 8.3-8.6bn, capex ~EUR 3.4bn, FCF below EUR 3.0bn, 12-15% margin range), Middle East route suspensions, Loyalty ~EUR 1bn target, Aer Lingus restructuring, EUR 1.5bn excess-cash return</t>
  </si>
  <si>
    <t xml:space="preserve">Scenario narrative: bear</t>
  </si>
  <si>
    <t xml:space="preserve">Cyclical downturn in FY2027 (revenue -6%, op margin ~7%) on recession plus a prolonged fuel shock, with contractual fleet capex and leases uncuttable; recovery to an ~11% op margin (pre-SBC EBITDA 19.5%), below the target range, as LCC short-haul pressure, Aer Lingus and Heathrow/ETS/SAF costs cap pricing power. Owner FCF is negative in the downturn year but the balance sheet carries it.</t>
  </si>
  <si>
    <t xml:space="preserve">Scenario narrative: base</t>
  </si>
  <si>
    <t xml:space="preserve">Mid-cycle airline: FY2026 absorbs the fuel shock at a ~13% operating margin, capacity growth of 3-3.5% resumes in FY2027-28, and the Group settles at an op margin of ~12.8% (pre-SBC EBITDA 21.0%), the middle of its 12-15% range, rather than the 15.1% FY2025 peak. Lease cash glides from 5.4% to 4.5% of revenue as the fleet shifts to owned aircraft while capex holds at ~10%; cash tax ramps 12% -&gt; 23%.</t>
  </si>
  <si>
    <t xml:space="preserve">Scenario narrative: bull</t>
  </si>
  <si>
    <t xml:space="preserve">Fuel and airspace normalise, capacity grows 4.5-5% for three years on Iberia's XLR network and Vueling's 737 plan, Loyalty reaches ~EUR 1bn profit and Aer Lingus is fixed, so the ~15% FY2025 operating margin becomes the sustained level (pre-SBC EBITDA 23%) and capex eases to 9.5% of revenue as fleet renewal matures.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</si>
  <si>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</si>
  <si>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</si>
  <si>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</si>
  <si>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</si>
  <si>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</si>
  <si>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</si>
  <si>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</si>
  <si>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</si>
  <si>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</si>
  <si>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</si>
  <si>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</si>
  <si>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</si>
  <si>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</si>
  <si>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</si>
  <si>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</si>
  <si>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</si>
  <si>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</si>
  <si>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</si>
  <si>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</si>
  <si>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</si>
  <si>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</si>
  <si>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</si>
  <si>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</si>
  <si>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</si>
  <si>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</si>
  <si>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</si>
  <si>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</si>
  <si>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ASK</t>
  </si>
  <si>
    <t xml:space="preserve">AdjustedOperatingProfit</t>
  </si>
  <si>
    <t xml:space="preserve">LeasePrincipalPaid</t>
  </si>
  <si>
    <t xml:space="preserve">LoadFactor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</si>
  <si>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</si>
  <si>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</si>
  <si>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</si>
  <si>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</si>
  <si>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</si>
  <si>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</si>
  <si>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</si>
  <si>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</si>
  <si>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</si>
  <si>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</si>
  <si>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</si>
  <si>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</si>
  <si>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</si>
  <si>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</si>
  <si>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</si>
  <si>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</si>
  <si>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</si>
  <si>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</si>
  <si>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</si>
  <si>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</si>
  <si>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</si>
  <si>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</si>
  <si>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</si>
  <si>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</si>
  <si>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</si>
  <si>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</si>
  <si>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</si>
  <si>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</si>
  <si>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</si>
  <si>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</si>
  <si>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</si>
  <si>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</si>
  <si>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</si>
  <si>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</si>
  <si>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</si>
  <si>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</si>
  <si>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</si>
  <si>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</si>
  <si>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</si>
  <si>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</si>
  <si>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</si>
  <si>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</si>
  <si>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</si>
  <si>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</si>
  <si>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IAG.L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</si>
  <si>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</si>
  <si>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</si>
  <si>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</si>
  <si>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</si>
  <si>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</si>
  <si>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</si>
  <si>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</si>
  <si>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</si>
  <si>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</si>
  <si>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</si>
  <si>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</si>
  <si>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</si>
  <si>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</si>
  <si>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</si>
  <si>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</si>
  <si>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</si>
  <si>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</si>
  <si>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</si>
  <si>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</si>
  <si>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</si>
  <si>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</si>
  <si>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</si>
  <si>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</si>
  <si>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</si>
  <si>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</si>
  <si>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</si>
  <si>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</si>
  <si>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</si>
  <si>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</si>
  <si>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</si>
  <si>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IAG.L owner-FCF component DCF: base case (millions, EUR)</t>
  </si>
  <si>
    <t xml:space="preserve">IAG.L owner-FCF component DCF: bull case (millions, EUR)</t>
  </si>
  <si>
    <t xml:space="preserve">IAG.L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</si>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</sst>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415.9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25506</v>
      </c>
      <c r="F2" s="0" t="n">
        <v>2613</v>
      </c>
      <c r="G2" s="0" t="n">
        <v>10.2</v>
      </c>
      <c r="H2" s="0" t="n">
        <v>4724</v>
      </c>
      <c r="I2" s="0" t="n">
        <v>1715</v>
      </c>
      <c r="J2" s="0" t="n">
        <v>6.7</v>
      </c>
      <c r="K2" s="0" t="n">
        <v>0.561</v>
      </c>
      <c r="L2" s="0" t="n">
        <v>4002</v>
      </c>
      <c r="M2" s="0" t="n">
        <v>3465</v>
      </c>
      <c r="N2" s="0" t="n">
        <v>537</v>
      </c>
      <c r="O2" s="0" t="n">
        <v>6823</v>
      </c>
      <c r="P2" s="0" t="n">
        <v>35661</v>
      </c>
      <c r="Q2" s="0" t="n">
        <v>28832</v>
      </c>
      <c r="R2" s="0" t="n">
        <v>14254</v>
      </c>
      <c r="S2" s="0" t="n">
        <v>4062</v>
      </c>
      <c r="T2" s="0" t="n">
        <v>3137.341</v>
      </c>
      <c r="U2" s="0" t="n">
        <v>34</v>
      </c>
      <c r="W2" s="0" t="n">
        <v>5396</v>
      </c>
      <c r="AA2" s="0" t="s">
        <v>18</v>
      </c>
      <c r="AB2" s="0" t="s">
        <v>14</v>
      </c>
      <c r="AE2" s="0" t="n">
        <v>1507</v>
      </c>
    </row>
    <row r="3" customFormat="false" ht="15" hidden="false" customHeight="false" outlineLevel="0" collapsed="false">
      <c r="A3" s="0" t="s">
        <v>69</v>
      </c>
      <c r="B3" s="0" t="n">
        <v>7806</v>
      </c>
      <c r="F3" s="0" t="n">
        <v>-7426</v>
      </c>
      <c r="G3" s="0" t="n">
        <v>-95.1</v>
      </c>
      <c r="H3" s="0" t="n">
        <v>-4471</v>
      </c>
      <c r="I3" s="0" t="n">
        <v>-6923</v>
      </c>
      <c r="J3" s="0" t="n">
        <v>-88.7</v>
      </c>
      <c r="K3" s="0" t="n">
        <v>-1.962</v>
      </c>
      <c r="L3" s="0" t="n">
        <v>-3296</v>
      </c>
      <c r="M3" s="0" t="n">
        <v>1939</v>
      </c>
      <c r="N3" s="0" t="n">
        <v>-5235</v>
      </c>
      <c r="O3" s="0" t="n">
        <v>1310</v>
      </c>
      <c r="P3" s="0" t="n">
        <v>30264</v>
      </c>
      <c r="Q3" s="0" t="n">
        <v>28948</v>
      </c>
      <c r="R3" s="0" t="n">
        <v>15679</v>
      </c>
      <c r="S3" s="0" t="n">
        <v>5774</v>
      </c>
      <c r="T3" s="0" t="n">
        <v>3528.052</v>
      </c>
      <c r="U3" s="0" t="n">
        <v>-8</v>
      </c>
      <c r="AA3" s="0" t="s">
        <v>18</v>
      </c>
      <c r="AB3" s="0" t="s">
        <v>14</v>
      </c>
      <c r="AE3" s="0" t="n">
        <v>1536</v>
      </c>
    </row>
    <row r="4" customFormat="false" ht="15" hidden="false" customHeight="false" outlineLevel="0" collapsed="false">
      <c r="A4" s="0" t="s">
        <v>70</v>
      </c>
      <c r="B4" s="0" t="n">
        <v>8455</v>
      </c>
      <c r="F4" s="0" t="n">
        <v>-2765</v>
      </c>
      <c r="G4" s="0" t="n">
        <v>-32.7</v>
      </c>
      <c r="H4" s="0" t="n">
        <v>-833</v>
      </c>
      <c r="I4" s="0" t="n">
        <v>-2933</v>
      </c>
      <c r="J4" s="0" t="n">
        <v>-34.7</v>
      </c>
      <c r="K4" s="0" t="n">
        <v>-0.591</v>
      </c>
      <c r="L4" s="0" t="n">
        <v>-141</v>
      </c>
      <c r="M4" s="0" t="n">
        <v>744</v>
      </c>
      <c r="N4" s="0" t="n">
        <v>-885</v>
      </c>
      <c r="O4" s="0" t="n">
        <v>840</v>
      </c>
      <c r="P4" s="0" t="n">
        <v>34406</v>
      </c>
      <c r="Q4" s="0" t="n">
        <v>33560</v>
      </c>
      <c r="R4" s="0" t="n">
        <v>19610</v>
      </c>
      <c r="S4" s="0" t="n">
        <v>7892</v>
      </c>
      <c r="T4" s="0" t="n">
        <v>4963.945</v>
      </c>
      <c r="U4" s="0" t="n">
        <v>23</v>
      </c>
      <c r="AA4" s="0" t="s">
        <v>18</v>
      </c>
      <c r="AB4" s="0" t="s">
        <v>14</v>
      </c>
      <c r="AE4" s="0" t="n">
        <v>1481</v>
      </c>
    </row>
    <row r="5" customFormat="false" ht="15" hidden="false" customHeight="false" outlineLevel="0" collapsed="false">
      <c r="A5" s="0" t="s">
        <v>71</v>
      </c>
      <c r="B5" s="0" t="n">
        <v>23066</v>
      </c>
      <c r="F5" s="0" t="n">
        <v>1256</v>
      </c>
      <c r="G5" s="0" t="n">
        <v>5.4</v>
      </c>
      <c r="H5" s="0" t="n">
        <v>3326</v>
      </c>
      <c r="I5" s="0" t="n">
        <v>431</v>
      </c>
      <c r="J5" s="0" t="n">
        <v>1.9</v>
      </c>
      <c r="K5" s="0" t="n">
        <v>0.087</v>
      </c>
      <c r="L5" s="0" t="n">
        <v>4835</v>
      </c>
      <c r="M5" s="0" t="n">
        <v>3875</v>
      </c>
      <c r="N5" s="0" t="n">
        <v>960</v>
      </c>
      <c r="O5" s="0" t="n">
        <v>2016</v>
      </c>
      <c r="P5" s="0" t="n">
        <v>39303</v>
      </c>
      <c r="Q5" s="0" t="n">
        <v>37281</v>
      </c>
      <c r="R5" s="0" t="n">
        <v>19984</v>
      </c>
      <c r="S5" s="0" t="n">
        <v>9196</v>
      </c>
      <c r="T5" s="0" t="n">
        <v>5344.152</v>
      </c>
      <c r="U5" s="0" t="n">
        <v>39</v>
      </c>
      <c r="AA5" s="0" t="s">
        <v>18</v>
      </c>
      <c r="AB5" s="0" t="s">
        <v>14</v>
      </c>
      <c r="AE5" s="0" t="n">
        <v>1455</v>
      </c>
    </row>
    <row r="6" customFormat="false" ht="15" hidden="false" customHeight="false" outlineLevel="0" collapsed="false">
      <c r="A6" s="0" t="s">
        <v>72</v>
      </c>
      <c r="B6" s="0" t="n">
        <v>29453</v>
      </c>
      <c r="F6" s="0" t="n">
        <v>3507</v>
      </c>
      <c r="G6" s="0" t="n">
        <v>11.9</v>
      </c>
      <c r="H6" s="0" t="n">
        <v>5570</v>
      </c>
      <c r="I6" s="0" t="n">
        <v>2655</v>
      </c>
      <c r="J6" s="0" t="n">
        <v>9</v>
      </c>
      <c r="K6" s="0" t="n">
        <v>0.538</v>
      </c>
      <c r="L6" s="0" t="n">
        <v>4602</v>
      </c>
      <c r="M6" s="0" t="n">
        <v>3282</v>
      </c>
      <c r="N6" s="0" t="n">
        <v>1320</v>
      </c>
      <c r="O6" s="0" t="n">
        <v>3272</v>
      </c>
      <c r="P6" s="0" t="n">
        <v>37680</v>
      </c>
      <c r="Q6" s="0" t="n">
        <v>34402</v>
      </c>
      <c r="R6" s="0" t="n">
        <v>16082</v>
      </c>
      <c r="S6" s="0" t="n">
        <v>5441</v>
      </c>
      <c r="T6" s="0" t="n">
        <v>5276.575</v>
      </c>
      <c r="U6" s="0" t="n">
        <v>52</v>
      </c>
      <c r="W6" s="0" t="n">
        <v>5570</v>
      </c>
      <c r="AA6" s="0" t="s">
        <v>18</v>
      </c>
      <c r="AB6" s="0" t="s">
        <v>14</v>
      </c>
      <c r="AE6" s="0" t="n">
        <v>1731</v>
      </c>
    </row>
    <row r="7" customFormat="false" ht="15" hidden="false" customHeight="false" outlineLevel="0" collapsed="false">
      <c r="A7" s="0" t="s">
        <v>73</v>
      </c>
      <c r="B7" s="0" t="n">
        <v>32100</v>
      </c>
      <c r="F7" s="0" t="n">
        <v>4283</v>
      </c>
      <c r="G7" s="0" t="n">
        <v>13.3</v>
      </c>
      <c r="H7" s="0" t="n">
        <v>6647</v>
      </c>
      <c r="I7" s="0" t="n">
        <v>2732</v>
      </c>
      <c r="J7" s="0" t="n">
        <v>8.5</v>
      </c>
      <c r="K7" s="0" t="n">
        <v>0.557</v>
      </c>
      <c r="L7" s="0" t="n">
        <v>6372</v>
      </c>
      <c r="M7" s="0" t="n">
        <v>2816</v>
      </c>
      <c r="N7" s="0" t="n">
        <v>3556</v>
      </c>
      <c r="O7" s="0" t="n">
        <v>6170</v>
      </c>
      <c r="P7" s="0" t="n">
        <v>43804</v>
      </c>
      <c r="Q7" s="0" t="n">
        <v>37628</v>
      </c>
      <c r="R7" s="0" t="n">
        <v>17345</v>
      </c>
      <c r="S7" s="0" t="n">
        <v>8189</v>
      </c>
      <c r="T7" s="0" t="n">
        <v>5259.658</v>
      </c>
      <c r="U7" s="0" t="n">
        <v>72</v>
      </c>
      <c r="V7" s="0" t="n">
        <v>0.09</v>
      </c>
      <c r="W7" s="0" t="n">
        <v>6647</v>
      </c>
      <c r="AA7" s="0" t="s">
        <v>18</v>
      </c>
      <c r="AB7" s="0" t="s">
        <v>14</v>
      </c>
      <c r="AD7" s="0" t="n">
        <v>4443</v>
      </c>
      <c r="AE7" s="0" t="n">
        <v>1737</v>
      </c>
      <c r="AF7" s="0" t="n">
        <v>84.7</v>
      </c>
    </row>
    <row r="8" customFormat="false" ht="15" hidden="false" customHeight="false" outlineLevel="0" collapsed="false">
      <c r="A8" s="0" t="s">
        <v>74</v>
      </c>
      <c r="B8" s="0" t="n">
        <v>33213</v>
      </c>
      <c r="F8" s="0" t="n">
        <v>5024</v>
      </c>
      <c r="G8" s="0" t="n">
        <v>15.1</v>
      </c>
      <c r="H8" s="0" t="n">
        <v>7652</v>
      </c>
      <c r="I8" s="0" t="n">
        <v>3342</v>
      </c>
      <c r="J8" s="0" t="n">
        <v>10.1</v>
      </c>
      <c r="K8" s="0" t="n">
        <v>0.713</v>
      </c>
      <c r="L8" s="0" t="n">
        <v>6588</v>
      </c>
      <c r="M8" s="0" t="n">
        <v>3442</v>
      </c>
      <c r="N8" s="0" t="n">
        <v>3146</v>
      </c>
      <c r="O8" s="0" t="n">
        <v>7588</v>
      </c>
      <c r="P8" s="0" t="n">
        <v>42849</v>
      </c>
      <c r="Q8" s="0" t="n">
        <v>35255</v>
      </c>
      <c r="R8" s="0" t="n">
        <v>14267</v>
      </c>
      <c r="S8" s="0" t="n">
        <v>7421</v>
      </c>
      <c r="T8" s="0" t="n">
        <v>5031.98</v>
      </c>
      <c r="U8" s="0" t="n">
        <v>58</v>
      </c>
      <c r="V8" s="0" t="n">
        <v>0.098</v>
      </c>
      <c r="W8" s="0" t="n">
        <v>7652</v>
      </c>
      <c r="AA8" s="0" t="s">
        <v>18</v>
      </c>
      <c r="AB8" s="0" t="s">
        <v>14</v>
      </c>
      <c r="AD8" s="0" t="n">
        <v>5024</v>
      </c>
      <c r="AE8" s="0" t="n">
        <v>1344</v>
      </c>
      <c r="AF8" s="0" t="n">
        <v>85.6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415.9</v>
      </c>
    </row>
    <row r="3" customFormat="false" ht="15" hidden="false" customHeight="false" outlineLevel="0" collapsed="false">
      <c r="A3" s="0" t="s">
        <v>78</v>
      </c>
      <c r="B3" s="3" t="n">
        <v>4504</v>
      </c>
    </row>
    <row r="4" customFormat="false" ht="15" hidden="false" customHeight="false" outlineLevel="0" collapsed="false">
      <c r="A4" s="0" t="s">
        <v>79</v>
      </c>
      <c r="B4" s="3" t="n">
        <v>-2215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33213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84.61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0</v>
      </c>
      <c r="D13" s="3" t="n">
        <v>-6</v>
      </c>
      <c r="E13" s="3" t="n">
        <v>2</v>
      </c>
      <c r="F13" s="3" t="n">
        <v>5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21</v>
      </c>
      <c r="D14" s="3" t="n">
        <v>15.5</v>
      </c>
      <c r="E14" s="3" t="n">
        <v>17.5</v>
      </c>
      <c r="F14" s="3" t="n">
        <v>19</v>
      </c>
      <c r="G14" s="3" t="n">
        <v>19.5</v>
      </c>
      <c r="H14" s="3" t="n">
        <v>19.5</v>
      </c>
      <c r="I14" s="3" t="n">
        <v>19.5</v>
      </c>
      <c r="J14" s="3" t="n">
        <v>19.5</v>
      </c>
      <c r="K14" s="3" t="n">
        <v>19.5</v>
      </c>
      <c r="L14" s="3" t="n">
        <v>19.5</v>
      </c>
    </row>
    <row r="15" customFormat="false" ht="15" hidden="false" customHeight="false" outlineLevel="0" collapsed="false">
      <c r="A15" s="0" t="s">
        <v>100</v>
      </c>
      <c r="C15" s="3" t="n">
        <v>0.17</v>
      </c>
      <c r="D15" s="3" t="n">
        <v>0.17</v>
      </c>
      <c r="E15" s="3" t="n">
        <v>0.17</v>
      </c>
      <c r="F15" s="3" t="n">
        <v>0.17</v>
      </c>
      <c r="G15" s="3" t="n">
        <v>0.17</v>
      </c>
      <c r="H15" s="3" t="n">
        <v>0.17</v>
      </c>
      <c r="I15" s="3" t="n">
        <v>0.17</v>
      </c>
      <c r="J15" s="3" t="n">
        <v>0.17</v>
      </c>
      <c r="K15" s="3" t="n">
        <v>0.17</v>
      </c>
      <c r="L15" s="3" t="n">
        <v>0.17</v>
      </c>
    </row>
    <row r="16" customFormat="false" ht="15" hidden="false" customHeight="false" outlineLevel="0" collapsed="false">
      <c r="A16" s="0" t="s">
        <v>101</v>
      </c>
      <c r="C16" s="3" t="n">
        <v>5.4</v>
      </c>
      <c r="D16" s="3" t="n">
        <v>5.5</v>
      </c>
      <c r="E16" s="3" t="n">
        <v>5.3</v>
      </c>
      <c r="F16" s="3" t="n">
        <v>5</v>
      </c>
      <c r="G16" s="3" t="n">
        <v>4.8</v>
      </c>
      <c r="H16" s="3" t="n">
        <v>4.7</v>
      </c>
      <c r="I16" s="3" t="n">
        <v>4.6</v>
      </c>
      <c r="J16" s="3" t="n">
        <v>4.6</v>
      </c>
      <c r="K16" s="3" t="n">
        <v>4.6</v>
      </c>
      <c r="L16" s="3" t="n">
        <v>4.6</v>
      </c>
    </row>
    <row r="17" customFormat="false" ht="15" hidden="false" customHeight="false" outlineLevel="0" collapsed="false">
      <c r="A17" s="0" t="s">
        <v>102</v>
      </c>
      <c r="C17" s="3" t="n">
        <v>4.9</v>
      </c>
      <c r="D17" s="3" t="n">
        <v>5.2</v>
      </c>
      <c r="E17" s="3" t="n">
        <v>5.2</v>
      </c>
      <c r="F17" s="3" t="n">
        <v>5.2</v>
      </c>
      <c r="G17" s="3" t="n">
        <v>5.3</v>
      </c>
      <c r="H17" s="3" t="n">
        <v>5.4</v>
      </c>
      <c r="I17" s="3" t="n">
        <v>5.4</v>
      </c>
      <c r="J17" s="3" t="n">
        <v>5.4</v>
      </c>
      <c r="K17" s="3" t="n">
        <v>5.4</v>
      </c>
      <c r="L17" s="3" t="n">
        <v>5.4</v>
      </c>
    </row>
    <row r="18" customFormat="false" ht="15" hidden="false" customHeight="false" outlineLevel="0" collapsed="false">
      <c r="A18" s="0" t="s">
        <v>103</v>
      </c>
      <c r="C18" s="3" t="n">
        <v>10.1</v>
      </c>
      <c r="D18" s="3" t="n">
        <v>10.5</v>
      </c>
      <c r="E18" s="3" t="n">
        <v>10.5</v>
      </c>
      <c r="F18" s="3" t="n">
        <v>10.2</v>
      </c>
      <c r="G18" s="3" t="n">
        <v>10</v>
      </c>
      <c r="H18" s="3" t="n">
        <v>10</v>
      </c>
      <c r="I18" s="3" t="n">
        <v>10</v>
      </c>
      <c r="J18" s="3" t="n">
        <v>10</v>
      </c>
      <c r="K18" s="3" t="n">
        <v>10</v>
      </c>
      <c r="L18" s="3" t="n">
        <v>10</v>
      </c>
    </row>
    <row r="19" customFormat="false" ht="15" hidden="false" customHeight="false" outlineLevel="0" collapsed="false">
      <c r="A19" s="0" t="s">
        <v>104</v>
      </c>
      <c r="C19" s="3" t="n">
        <v>12</v>
      </c>
      <c r="D19" s="3" t="n">
        <v>5</v>
      </c>
      <c r="E19" s="3" t="n">
        <v>10</v>
      </c>
      <c r="F19" s="3" t="n">
        <v>15</v>
      </c>
      <c r="G19" s="3" t="n">
        <v>18</v>
      </c>
      <c r="H19" s="3" t="n">
        <v>20</v>
      </c>
      <c r="I19" s="3" t="n">
        <v>22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10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1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21.8</v>
      </c>
      <c r="D28" s="3" t="n">
        <v>22</v>
      </c>
      <c r="E28" s="3" t="n">
        <v>22</v>
      </c>
      <c r="F28" s="3" t="n">
        <v>21.5</v>
      </c>
      <c r="G28" s="3" t="n">
        <v>21.5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100</v>
      </c>
      <c r="C29" s="3" t="n">
        <v>0.17</v>
      </c>
      <c r="D29" s="3" t="n">
        <v>0.17</v>
      </c>
      <c r="E29" s="3" t="n">
        <v>0.17</v>
      </c>
      <c r="F29" s="3" t="n">
        <v>0.17</v>
      </c>
      <c r="G29" s="3" t="n">
        <v>0.17</v>
      </c>
      <c r="H29" s="3" t="n">
        <v>0.17</v>
      </c>
      <c r="I29" s="3" t="n">
        <v>0.17</v>
      </c>
      <c r="J29" s="3" t="n">
        <v>0.17</v>
      </c>
      <c r="K29" s="3" t="n">
        <v>0.17</v>
      </c>
      <c r="L29" s="3" t="n">
        <v>0.17</v>
      </c>
    </row>
    <row r="30" customFormat="false" ht="15" hidden="false" customHeight="false" outlineLevel="0" collapsed="false">
      <c r="A30" s="0" t="s">
        <v>101</v>
      </c>
      <c r="C30" s="3" t="n">
        <v>5.4</v>
      </c>
      <c r="D30" s="3" t="n">
        <v>5.2</v>
      </c>
      <c r="E30" s="3" t="n">
        <v>5</v>
      </c>
      <c r="F30" s="3" t="n">
        <v>4.8</v>
      </c>
      <c r="G30" s="3" t="n">
        <v>4.7</v>
      </c>
      <c r="H30" s="3" t="n">
        <v>4.6</v>
      </c>
      <c r="I30" s="3" t="n">
        <v>4.5</v>
      </c>
      <c r="J30" s="3" t="n">
        <v>4.5</v>
      </c>
      <c r="K30" s="3" t="n">
        <v>4.5</v>
      </c>
      <c r="L30" s="3" t="n">
        <v>4.5</v>
      </c>
    </row>
    <row r="31" customFormat="false" ht="15" hidden="false" customHeight="false" outlineLevel="0" collapsed="false">
      <c r="A31" s="0" t="s">
        <v>102</v>
      </c>
      <c r="C31" s="3" t="n">
        <v>4.9</v>
      </c>
      <c r="D31" s="3" t="n">
        <v>5</v>
      </c>
      <c r="E31" s="3" t="n">
        <v>5.1</v>
      </c>
      <c r="F31" s="3" t="n">
        <v>5.2</v>
      </c>
      <c r="G31" s="3" t="n">
        <v>5.3</v>
      </c>
      <c r="H31" s="3" t="n">
        <v>5.4</v>
      </c>
      <c r="I31" s="3" t="n">
        <v>5.4</v>
      </c>
      <c r="J31" s="3" t="n">
        <v>5.4</v>
      </c>
      <c r="K31" s="3" t="n">
        <v>5.4</v>
      </c>
      <c r="L31" s="3" t="n">
        <v>5.4</v>
      </c>
    </row>
    <row r="32" customFormat="false" ht="15" hidden="false" customHeight="false" outlineLevel="0" collapsed="false">
      <c r="A32" s="0" t="s">
        <v>103</v>
      </c>
      <c r="C32" s="3" t="n">
        <v>10.1</v>
      </c>
      <c r="D32" s="3" t="n">
        <v>10.3</v>
      </c>
      <c r="E32" s="3" t="n">
        <v>10.3</v>
      </c>
      <c r="F32" s="3" t="n">
        <v>10.2</v>
      </c>
      <c r="G32" s="3" t="n">
        <v>10</v>
      </c>
      <c r="H32" s="3" t="n">
        <v>10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104</v>
      </c>
      <c r="C33" s="3" t="n">
        <v>12</v>
      </c>
      <c r="D33" s="3" t="n">
        <v>14</v>
      </c>
      <c r="E33" s="3" t="n">
        <v>16</v>
      </c>
      <c r="F33" s="3" t="n">
        <v>18</v>
      </c>
      <c r="G33" s="3" t="n">
        <v>20</v>
      </c>
      <c r="H33" s="3" t="n">
        <v>22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10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22.3</v>
      </c>
      <c r="D42" s="3" t="n">
        <v>23</v>
      </c>
      <c r="E42" s="3" t="n">
        <v>23.5</v>
      </c>
      <c r="F42" s="3" t="n">
        <v>23.5</v>
      </c>
      <c r="G42" s="3" t="n">
        <v>23.5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100</v>
      </c>
      <c r="C43" s="3" t="n">
        <v>0.17</v>
      </c>
      <c r="D43" s="3" t="n">
        <v>0.17</v>
      </c>
      <c r="E43" s="3" t="n">
        <v>0.17</v>
      </c>
      <c r="F43" s="3" t="n">
        <v>0.17</v>
      </c>
      <c r="G43" s="3" t="n">
        <v>0.17</v>
      </c>
      <c r="H43" s="3" t="n">
        <v>0.17</v>
      </c>
      <c r="I43" s="3" t="n">
        <v>0.17</v>
      </c>
      <c r="J43" s="3" t="n">
        <v>0.17</v>
      </c>
      <c r="K43" s="3" t="n">
        <v>0.17</v>
      </c>
      <c r="L43" s="3" t="n">
        <v>0.17</v>
      </c>
    </row>
    <row r="44" customFormat="false" ht="15" hidden="false" customHeight="false" outlineLevel="0" collapsed="false">
      <c r="A44" s="0" t="s">
        <v>101</v>
      </c>
      <c r="C44" s="3" t="n">
        <v>5.4</v>
      </c>
      <c r="D44" s="3" t="n">
        <v>5.2</v>
      </c>
      <c r="E44" s="3" t="n">
        <v>5</v>
      </c>
      <c r="F44" s="3" t="n">
        <v>4.8</v>
      </c>
      <c r="G44" s="3" t="n">
        <v>4.7</v>
      </c>
      <c r="H44" s="3" t="n">
        <v>4.6</v>
      </c>
      <c r="I44" s="3" t="n">
        <v>4.5</v>
      </c>
      <c r="J44" s="3" t="n">
        <v>4.5</v>
      </c>
      <c r="K44" s="3" t="n">
        <v>4.5</v>
      </c>
      <c r="L44" s="3" t="n">
        <v>4.5</v>
      </c>
    </row>
    <row r="45" customFormat="false" ht="15" hidden="false" customHeight="false" outlineLevel="0" collapsed="false">
      <c r="A45" s="0" t="s">
        <v>102</v>
      </c>
      <c r="C45" s="3" t="n">
        <v>4.9</v>
      </c>
      <c r="D45" s="3" t="n">
        <v>5</v>
      </c>
      <c r="E45" s="3" t="n">
        <v>5.1</v>
      </c>
      <c r="F45" s="3" t="n">
        <v>5.2</v>
      </c>
      <c r="G45" s="3" t="n">
        <v>5.3</v>
      </c>
      <c r="H45" s="3" t="n">
        <v>5.4</v>
      </c>
      <c r="I45" s="3" t="n">
        <v>5.4</v>
      </c>
      <c r="J45" s="3" t="n">
        <v>5.4</v>
      </c>
      <c r="K45" s="3" t="n">
        <v>5.4</v>
      </c>
      <c r="L45" s="3" t="n">
        <v>5.4</v>
      </c>
    </row>
    <row r="46" customFormat="false" ht="15" hidden="false" customHeight="false" outlineLevel="0" collapsed="false">
      <c r="A46" s="0" t="s">
        <v>103</v>
      </c>
      <c r="C46" s="3" t="n">
        <v>10.1</v>
      </c>
      <c r="D46" s="3" t="n">
        <v>10.3</v>
      </c>
      <c r="E46" s="3" t="n">
        <v>10.3</v>
      </c>
      <c r="F46" s="3" t="n">
        <v>10</v>
      </c>
      <c r="G46" s="3" t="n">
        <v>9.8</v>
      </c>
      <c r="H46" s="3" t="n">
        <v>9.5</v>
      </c>
      <c r="I46" s="3" t="n">
        <v>9.5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104</v>
      </c>
      <c r="C47" s="3" t="n">
        <v>12</v>
      </c>
      <c r="D47" s="3" t="n">
        <v>14</v>
      </c>
      <c r="E47" s="3" t="n">
        <v>16</v>
      </c>
      <c r="F47" s="3" t="n">
        <v>18</v>
      </c>
      <c r="G47" s="3" t="n">
        <v>20</v>
      </c>
      <c r="H47" s="3" t="n">
        <v>22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2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10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0</v>
      </c>
      <c r="D5" s="4" t="n">
        <f aca="false">Assumptions!D13</f>
        <v>-6</v>
      </c>
      <c r="E5" s="4" t="n">
        <f aca="false">Assumptions!E13</f>
        <v>2</v>
      </c>
      <c r="F5" s="4" t="n">
        <f aca="false">Assumptions!F13</f>
        <v>5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33213</v>
      </c>
      <c r="C6" s="0" t="n">
        <f aca="false">B6*(1+C5/100)</f>
        <v>33213</v>
      </c>
      <c r="D6" s="0" t="n">
        <f aca="false">C6*(1+D5/100)</f>
        <v>31220.22</v>
      </c>
      <c r="E6" s="0" t="n">
        <f aca="false">D6*(1+E5/100)</f>
        <v>31844.6244</v>
      </c>
      <c r="F6" s="0" t="n">
        <f aca="false">E6*(1+F5/100)</f>
        <v>33436.85562</v>
      </c>
      <c r="G6" s="0" t="n">
        <f aca="false">F6*(1+G5/100)</f>
        <v>34439.9612886</v>
      </c>
      <c r="H6" s="0" t="n">
        <f aca="false">G6*(1+H5/100)</f>
        <v>35300.960320815</v>
      </c>
      <c r="I6" s="0" t="n">
        <f aca="false">H6*(1+I5/100)</f>
        <v>36006.9795272313</v>
      </c>
      <c r="J6" s="0" t="n">
        <f aca="false">I6*(1+J5/100)</f>
        <v>36727.1191177759</v>
      </c>
      <c r="K6" s="0" t="n">
        <f aca="false">J6*(1+K5/100)</f>
        <v>37461.6615001314</v>
      </c>
      <c r="L6" s="0" t="n">
        <f aca="false">K6*(1+L5/100)</f>
        <v>38210.8947301341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21</v>
      </c>
      <c r="D7" s="4" t="n">
        <f aca="false">Assumptions!D14</f>
        <v>15.5</v>
      </c>
      <c r="E7" s="4" t="n">
        <f aca="false">Assumptions!E14</f>
        <v>17.5</v>
      </c>
      <c r="F7" s="4" t="n">
        <f aca="false">Assumptions!F14</f>
        <v>19</v>
      </c>
      <c r="G7" s="4" t="n">
        <f aca="false">Assumptions!G14</f>
        <v>19.5</v>
      </c>
      <c r="H7" s="4" t="n">
        <f aca="false">Assumptions!H14</f>
        <v>19.5</v>
      </c>
      <c r="I7" s="4" t="n">
        <f aca="false">Assumptions!I14</f>
        <v>19.5</v>
      </c>
      <c r="J7" s="4" t="n">
        <f aca="false">Assumptions!J14</f>
        <v>19.5</v>
      </c>
      <c r="K7" s="4" t="n">
        <f aca="false">Assumptions!K14</f>
        <v>19.5</v>
      </c>
      <c r="L7" s="4" t="n">
        <f aca="false">Assumptions!L14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6974.73</v>
      </c>
      <c r="D8" s="0" t="n">
        <f aca="false">D6*D7/100</f>
        <v>4839.1341</v>
      </c>
      <c r="E8" s="0" t="n">
        <f aca="false">E6*E7/100</f>
        <v>5572.80927</v>
      </c>
      <c r="F8" s="0" t="n">
        <f aca="false">F6*F7/100</f>
        <v>6353.0025678</v>
      </c>
      <c r="G8" s="0" t="n">
        <f aca="false">G6*G7/100</f>
        <v>6715.792451277</v>
      </c>
      <c r="H8" s="0" t="n">
        <f aca="false">H6*H7/100</f>
        <v>6883.68726255892</v>
      </c>
      <c r="I8" s="0" t="n">
        <f aca="false">I6*I7/100</f>
        <v>7021.3610078101</v>
      </c>
      <c r="J8" s="0" t="n">
        <f aca="false">J6*J7/100</f>
        <v>7161.7882279663</v>
      </c>
      <c r="K8" s="0" t="n">
        <f aca="false">K6*K7/100</f>
        <v>7305.02399252563</v>
      </c>
      <c r="L8" s="0" t="n">
        <f aca="false">L6*L7/100</f>
        <v>7451.12447237614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0.17</v>
      </c>
      <c r="D9" s="4" t="n">
        <f aca="false">Assumptions!D15</f>
        <v>0.17</v>
      </c>
      <c r="E9" s="4" t="n">
        <f aca="false">Assumptions!E15</f>
        <v>0.17</v>
      </c>
      <c r="F9" s="4" t="n">
        <f aca="false">Assumptions!F15</f>
        <v>0.17</v>
      </c>
      <c r="G9" s="4" t="n">
        <f aca="false">Assumptions!G15</f>
        <v>0.17</v>
      </c>
      <c r="H9" s="4" t="n">
        <f aca="false">Assumptions!H15</f>
        <v>0.17</v>
      </c>
      <c r="I9" s="4" t="n">
        <f aca="false">Assumptions!I15</f>
        <v>0.17</v>
      </c>
      <c r="J9" s="4" t="n">
        <f aca="false">Assumptions!J15</f>
        <v>0.17</v>
      </c>
      <c r="K9" s="4" t="n">
        <f aca="false">Assumptions!K15</f>
        <v>0.17</v>
      </c>
      <c r="L9" s="4" t="n">
        <f aca="false">Assumptions!L15</f>
        <v>0.17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-56.4621</v>
      </c>
      <c r="D10" s="0" t="n">
        <f aca="false">-D6*D9/100</f>
        <v>-53.074374</v>
      </c>
      <c r="E10" s="0" t="n">
        <f aca="false">-E6*E9/100</f>
        <v>-54.13586148</v>
      </c>
      <c r="F10" s="0" t="n">
        <f aca="false">-F6*F9/100</f>
        <v>-56.842654554</v>
      </c>
      <c r="G10" s="0" t="n">
        <f aca="false">-G6*G9/100</f>
        <v>-58.54793419062</v>
      </c>
      <c r="H10" s="0" t="n">
        <f aca="false">-H6*H9/100</f>
        <v>-60.0116325453855</v>
      </c>
      <c r="I10" s="0" t="n">
        <f aca="false">-I6*I9/100</f>
        <v>-61.2118651962932</v>
      </c>
      <c r="J10" s="0" t="n">
        <f aca="false">-J6*J9/100</f>
        <v>-62.4361025002191</v>
      </c>
      <c r="K10" s="0" t="n">
        <f aca="false">-K6*K9/100</f>
        <v>-63.6848245502234</v>
      </c>
      <c r="L10" s="0" t="n">
        <f aca="false">-L6*L9/100</f>
        <v>-64.9585210412279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5124.7659</v>
      </c>
      <c r="D11" s="0" t="n">
        <f aca="false">D8+D10+D24</f>
        <v>3068.947626</v>
      </c>
      <c r="E11" s="0" t="n">
        <f aca="false">E8+E10+E24</f>
        <v>3830.90831532</v>
      </c>
      <c r="F11" s="0" t="n">
        <f aca="false">F8+F10+F24</f>
        <v>4624.317132246</v>
      </c>
      <c r="G11" s="0" t="n">
        <f aca="false">G8+G10+G24</f>
        <v>5004.12637523358</v>
      </c>
      <c r="H11" s="0" t="n">
        <f aca="false">H8+H10+H24</f>
        <v>5164.53049493523</v>
      </c>
      <c r="I11" s="0" t="n">
        <f aca="false">I8+I10+I24</f>
        <v>5303.82808436117</v>
      </c>
      <c r="J11" s="0" t="n">
        <f aca="false">J8+J10+J24</f>
        <v>5409.90464604839</v>
      </c>
      <c r="K11" s="0" t="n">
        <f aca="false">K8+K10+K24</f>
        <v>5518.10273896936</v>
      </c>
      <c r="L11" s="0" t="n">
        <f aca="false">L8+L10+L24</f>
        <v>5628.46479374875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-1627.437</v>
      </c>
      <c r="D12" s="4" t="n">
        <f aca="false">-D6*Assumptions!D17/100</f>
        <v>-1623.45144</v>
      </c>
      <c r="E12" s="4" t="n">
        <f aca="false">-E6*Assumptions!E17/100</f>
        <v>-1655.9204688</v>
      </c>
      <c r="F12" s="4" t="n">
        <f aca="false">-F6*Assumptions!F17/100</f>
        <v>-1738.71649224</v>
      </c>
      <c r="G12" s="4" t="n">
        <f aca="false">-G6*Assumptions!G17/100</f>
        <v>-1825.3179482958</v>
      </c>
      <c r="H12" s="4" t="n">
        <f aca="false">-H6*Assumptions!H17/100</f>
        <v>-1906.25185732401</v>
      </c>
      <c r="I12" s="4" t="n">
        <f aca="false">-I6*Assumptions!I17/100</f>
        <v>-1944.37689447049</v>
      </c>
      <c r="J12" s="4" t="n">
        <f aca="false">-J6*Assumptions!J17/100</f>
        <v>-1983.2644323599</v>
      </c>
      <c r="K12" s="4" t="n">
        <f aca="false">-K6*Assumptions!K17/100</f>
        <v>-2022.9297210071</v>
      </c>
      <c r="L12" s="4" t="n">
        <f aca="false">-L6*Assumptions!L17/100</f>
        <v>-2063.38831542724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3497.3289</v>
      </c>
      <c r="D13" s="0" t="n">
        <f aca="false">D11+D12</f>
        <v>1445.496186</v>
      </c>
      <c r="E13" s="0" t="n">
        <f aca="false">E11+E12</f>
        <v>2174.98784652</v>
      </c>
      <c r="F13" s="0" t="n">
        <f aca="false">F11+F12</f>
        <v>2885.600640006</v>
      </c>
      <c r="G13" s="0" t="n">
        <f aca="false">G11+G12</f>
        <v>3178.80842693778</v>
      </c>
      <c r="H13" s="0" t="n">
        <f aca="false">H11+H12</f>
        <v>3258.27863761122</v>
      </c>
      <c r="I13" s="0" t="n">
        <f aca="false">I11+I12</f>
        <v>3359.45118989068</v>
      </c>
      <c r="J13" s="0" t="n">
        <f aca="false">J11+J12</f>
        <v>3426.64021368849</v>
      </c>
      <c r="K13" s="0" t="n">
        <f aca="false">K11+K12</f>
        <v>3495.17301796226</v>
      </c>
      <c r="L13" s="0" t="n">
        <f aca="false">L11+L12</f>
        <v>3565.07647832151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12</v>
      </c>
      <c r="D14" s="4" t="n">
        <f aca="false">Assumptions!D19</f>
        <v>5</v>
      </c>
      <c r="E14" s="4" t="n">
        <f aca="false">Assumptions!E19</f>
        <v>10</v>
      </c>
      <c r="F14" s="4" t="n">
        <f aca="false">Assumptions!F19</f>
        <v>15</v>
      </c>
      <c r="G14" s="4" t="n">
        <f aca="false">Assumptions!G19</f>
        <v>18</v>
      </c>
      <c r="H14" s="4" t="n">
        <f aca="false">Assumptions!H19</f>
        <v>20</v>
      </c>
      <c r="I14" s="4" t="n">
        <f aca="false">Assumptions!I19</f>
        <v>22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3077.649432</v>
      </c>
      <c r="D15" s="0" t="n">
        <f aca="false">D13-MAX(0,D13)*D14/100</f>
        <v>1373.2213767</v>
      </c>
      <c r="E15" s="0" t="n">
        <f aca="false">E13-MAX(0,E13)*E14/100</f>
        <v>1957.489061868</v>
      </c>
      <c r="F15" s="0" t="n">
        <f aca="false">F13-MAX(0,F13)*F14/100</f>
        <v>2452.7605440051</v>
      </c>
      <c r="G15" s="0" t="n">
        <f aca="false">G13-MAX(0,G13)*G14/100</f>
        <v>2606.62291008898</v>
      </c>
      <c r="H15" s="0" t="n">
        <f aca="false">H13-MAX(0,H13)*H14/100</f>
        <v>2606.62291008898</v>
      </c>
      <c r="I15" s="0" t="n">
        <f aca="false">I13-MAX(0,I13)*I14/100</f>
        <v>2620.37192811473</v>
      </c>
      <c r="J15" s="0" t="n">
        <f aca="false">J13-MAX(0,J13)*J14/100</f>
        <v>2638.51296454014</v>
      </c>
      <c r="K15" s="0" t="n">
        <f aca="false">K13-MAX(0,K13)*K14/100</f>
        <v>2691.28322383094</v>
      </c>
      <c r="L15" s="0" t="n">
        <f aca="false">L13-MAX(0,L13)*L14/100</f>
        <v>2745.10888830756</v>
      </c>
    </row>
    <row r="16" customFormat="false" ht="15" hidden="false" customHeight="false" outlineLevel="0" collapsed="false">
      <c r="A16" s="0" t="s">
        <v>120</v>
      </c>
      <c r="C16" s="0" t="n">
        <f aca="false">-C12</f>
        <v>1627.437</v>
      </c>
      <c r="D16" s="0" t="n">
        <f aca="false">-D12</f>
        <v>1623.45144</v>
      </c>
      <c r="E16" s="0" t="n">
        <f aca="false">-E12</f>
        <v>1655.9204688</v>
      </c>
      <c r="F16" s="0" t="n">
        <f aca="false">-F12</f>
        <v>1738.71649224</v>
      </c>
      <c r="G16" s="0" t="n">
        <f aca="false">-G12</f>
        <v>1825.3179482958</v>
      </c>
      <c r="H16" s="0" t="n">
        <f aca="false">-H12</f>
        <v>1906.25185732401</v>
      </c>
      <c r="I16" s="0" t="n">
        <f aca="false">-I12</f>
        <v>1944.37689447049</v>
      </c>
      <c r="J16" s="0" t="n">
        <f aca="false">-J12</f>
        <v>1983.2644323599</v>
      </c>
      <c r="K16" s="0" t="n">
        <f aca="false">-K12</f>
        <v>2022.9297210071</v>
      </c>
      <c r="L16" s="0" t="n">
        <f aca="false">-L12</f>
        <v>2063.38831542724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-3354.513</v>
      </c>
      <c r="D17" s="4" t="n">
        <f aca="false">-D6*Assumptions!D18/100</f>
        <v>-3278.1231</v>
      </c>
      <c r="E17" s="4" t="n">
        <f aca="false">-E6*Assumptions!E18/100</f>
        <v>-3343.685562</v>
      </c>
      <c r="F17" s="4" t="n">
        <f aca="false">-F6*Assumptions!F18/100</f>
        <v>-3410.55927324</v>
      </c>
      <c r="G17" s="4" t="n">
        <f aca="false">-G6*Assumptions!G18/100</f>
        <v>-3443.99612886</v>
      </c>
      <c r="H17" s="4" t="n">
        <f aca="false">-H6*Assumptions!H18/100</f>
        <v>-3530.0960320815</v>
      </c>
      <c r="I17" s="4" t="n">
        <f aca="false">-I6*Assumptions!I18/100</f>
        <v>-3600.69795272313</v>
      </c>
      <c r="J17" s="4" t="n">
        <f aca="false">-J6*Assumptions!J18/100</f>
        <v>-3672.71191177759</v>
      </c>
      <c r="K17" s="4" t="n">
        <f aca="false">-K6*Assumptions!K18/100</f>
        <v>-3746.16615001314</v>
      </c>
      <c r="L17" s="4" t="n">
        <f aca="false">-L6*Assumptions!L18/100</f>
        <v>-3821.08947301341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-199.278</v>
      </c>
      <c r="E18" s="4" t="n">
        <f aca="false">(E6-D6)*Assumptions!$B$23/100</f>
        <v>62.4404399999999</v>
      </c>
      <c r="F18" s="4" t="n">
        <f aca="false">(F6-E6)*Assumptions!$B$23/100</f>
        <v>159.223122</v>
      </c>
      <c r="G18" s="4" t="n">
        <f aca="false">(G6-F6)*Assumptions!$B$23/100</f>
        <v>100.31056686</v>
      </c>
      <c r="H18" s="4" t="n">
        <f aca="false">(H6-G6)*Assumptions!$B$23/100</f>
        <v>86.0999032214997</v>
      </c>
      <c r="I18" s="4" t="n">
        <f aca="false">(I6-H6)*Assumptions!$B$23/100</f>
        <v>70.6019206416299</v>
      </c>
      <c r="J18" s="4" t="n">
        <f aca="false">(J6-I6)*Assumptions!$B$23/100</f>
        <v>72.0139590544626</v>
      </c>
      <c r="K18" s="4" t="n">
        <f aca="false">(K6-J6)*Assumptions!$B$23/100</f>
        <v>73.4542382355517</v>
      </c>
      <c r="L18" s="4" t="n">
        <f aca="false">(L6-K6)*Assumptions!$B$23/100</f>
        <v>74.9233230002632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1350.573432</v>
      </c>
      <c r="D19" s="0" t="n">
        <f aca="false">D15+D16+D17+D18</f>
        <v>-480.7282833</v>
      </c>
      <c r="E19" s="0" t="n">
        <f aca="false">E15+E16+E17+E18</f>
        <v>332.164408667999</v>
      </c>
      <c r="F19" s="0" t="n">
        <f aca="false">F15+F16+F17+F18</f>
        <v>940.140885005101</v>
      </c>
      <c r="G19" s="0" t="n">
        <f aca="false">G15+G16+G17+G18</f>
        <v>1088.25529638478</v>
      </c>
      <c r="H19" s="0" t="n">
        <f aca="false">H15+H16+H17+H18</f>
        <v>1068.87863855299</v>
      </c>
      <c r="I19" s="0" t="n">
        <f aca="false">I15+I16+I17+I18</f>
        <v>1034.65279050372</v>
      </c>
      <c r="J19" s="0" t="n">
        <f aca="false">J15+J16+J17+J18</f>
        <v>1021.07944417691</v>
      </c>
      <c r="K19" s="0" t="n">
        <f aca="false">K15+K16+K17+K18</f>
        <v>1041.50103306045</v>
      </c>
      <c r="L19" s="0" t="n">
        <f aca="false">L15+L16+L17+L18</f>
        <v>1062.33105372166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1239.05819449541</v>
      </c>
      <c r="D21" s="0" t="n">
        <f aca="false">D19*D20</f>
        <v>-404.619378250989</v>
      </c>
      <c r="E21" s="0" t="n">
        <f aca="false">E19*E20</f>
        <v>256.491869037681</v>
      </c>
      <c r="F21" s="0" t="n">
        <f aca="false">F19*F20</f>
        <v>666.019504890759</v>
      </c>
      <c r="G21" s="0" t="n">
        <f aca="false">G19*G20</f>
        <v>707.291273425877</v>
      </c>
      <c r="H21" s="0" t="n">
        <f aca="false">H19*H20</f>
        <v>637.337408568286</v>
      </c>
      <c r="I21" s="0" t="n">
        <f aca="false">I19*I20</f>
        <v>565.990507928234</v>
      </c>
      <c r="J21" s="0" t="n">
        <f aca="false">J19*J20</f>
        <v>512.445341899404</v>
      </c>
      <c r="K21" s="0" t="n">
        <f aca="false">K19*K20</f>
        <v>479.536008015956</v>
      </c>
      <c r="L21" s="0" t="n">
        <f aca="false">L19*L20</f>
        <v>448.740117592913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5.4</v>
      </c>
      <c r="D23" s="4" t="n">
        <f aca="false">Assumptions!D16</f>
        <v>5.5</v>
      </c>
      <c r="E23" s="4" t="n">
        <f aca="false">Assumptions!E16</f>
        <v>5.3</v>
      </c>
      <c r="F23" s="4" t="n">
        <f aca="false">Assumptions!F16</f>
        <v>5</v>
      </c>
      <c r="G23" s="4" t="n">
        <f aca="false">Assumptions!G16</f>
        <v>4.8</v>
      </c>
      <c r="H23" s="4" t="n">
        <f aca="false">Assumptions!H16</f>
        <v>4.7</v>
      </c>
      <c r="I23" s="4" t="n">
        <f aca="false">Assumptions!I16</f>
        <v>4.6</v>
      </c>
      <c r="J23" s="4" t="n">
        <f aca="false">Assumptions!J16</f>
        <v>4.6</v>
      </c>
      <c r="K23" s="4" t="n">
        <f aca="false">Assumptions!K16</f>
        <v>4.6</v>
      </c>
      <c r="L23" s="4" t="n">
        <f aca="false">Assumptions!L16</f>
        <v>4.6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-1793.502</v>
      </c>
      <c r="D24" s="0" t="n">
        <f aca="false">-D6*D23/100</f>
        <v>-1717.1121</v>
      </c>
      <c r="E24" s="0" t="n">
        <f aca="false">-E6*E23/100</f>
        <v>-1687.7650932</v>
      </c>
      <c r="F24" s="0" t="n">
        <f aca="false">-F6*F23/100</f>
        <v>-1671.842781</v>
      </c>
      <c r="G24" s="0" t="n">
        <f aca="false">-G6*G23/100</f>
        <v>-1653.1181418528</v>
      </c>
      <c r="H24" s="0" t="n">
        <f aca="false">-H6*H23/100</f>
        <v>-1659.1451350783</v>
      </c>
      <c r="I24" s="0" t="n">
        <f aca="false">-I6*I23/100</f>
        <v>-1656.32105825264</v>
      </c>
      <c r="J24" s="0" t="n">
        <f aca="false">-J6*J23/100</f>
        <v>-1689.44747941769</v>
      </c>
      <c r="K24" s="0" t="n">
        <f aca="false">-K6*K23/100</f>
        <v>-1723.23642900605</v>
      </c>
      <c r="L24" s="0" t="n">
        <f aca="false">-L6*L23/100</f>
        <v>-1757.70115758617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5108.29084760353</v>
      </c>
    </row>
    <row r="31" customFormat="false" ht="15" hidden="false" customHeight="false" outlineLevel="0" collapsed="false">
      <c r="A31" s="0" t="s">
        <v>129</v>
      </c>
      <c r="B31" s="0" t="n">
        <f aca="false">L19</f>
        <v>1062.33105372166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15479.6810685156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12747.9726446599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12747.9726446599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5384.88141111496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10493.1722587185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12708.1722587185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238.729674691424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-0.425992607137717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373.959438287106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399.828070193303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253.26567848639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8335.21288304686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152.665271915603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1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33213</v>
      </c>
      <c r="C6" s="0" t="n">
        <f aca="false">B6*(1+C5/100)</f>
        <v>33545.13</v>
      </c>
      <c r="D6" s="0" t="n">
        <f aca="false">C6*(1+D5/100)</f>
        <v>34719.20955</v>
      </c>
      <c r="E6" s="0" t="n">
        <f aca="false">D6*(1+E5/100)</f>
        <v>35934.38188425</v>
      </c>
      <c r="F6" s="0" t="n">
        <f aca="false">E6*(1+F5/100)</f>
        <v>37012.4133407775</v>
      </c>
      <c r="G6" s="0" t="n">
        <f aca="false">F6*(1+G5/100)</f>
        <v>38122.7857410008</v>
      </c>
      <c r="H6" s="0" t="n">
        <f aca="false">G6*(1+H5/100)</f>
        <v>39075.8553845258</v>
      </c>
      <c r="I6" s="0" t="n">
        <f aca="false">H6*(1+I5/100)</f>
        <v>40052.751769139</v>
      </c>
      <c r="J6" s="0" t="n">
        <f aca="false">I6*(1+J5/100)</f>
        <v>41054.0705633675</v>
      </c>
      <c r="K6" s="0" t="n">
        <f aca="false">J6*(1+K5/100)</f>
        <v>41875.1519746348</v>
      </c>
      <c r="L6" s="0" t="n">
        <f aca="false">K6*(1+L5/100)</f>
        <v>42712.6550141275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21.8</v>
      </c>
      <c r="D7" s="4" t="n">
        <f aca="false">Assumptions!D28</f>
        <v>22</v>
      </c>
      <c r="E7" s="4" t="n">
        <f aca="false">Assumptions!E28</f>
        <v>22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7312.83834</v>
      </c>
      <c r="D8" s="0" t="n">
        <f aca="false">D6*D7/100</f>
        <v>7638.226101</v>
      </c>
      <c r="E8" s="0" t="n">
        <f aca="false">E6*E7/100</f>
        <v>7905.564014535</v>
      </c>
      <c r="F8" s="0" t="n">
        <f aca="false">F6*F7/100</f>
        <v>7957.66886826716</v>
      </c>
      <c r="G8" s="0" t="n">
        <f aca="false">G6*G7/100</f>
        <v>8196.39893431518</v>
      </c>
      <c r="H8" s="0" t="n">
        <f aca="false">H6*H7/100</f>
        <v>8205.92963075043</v>
      </c>
      <c r="I8" s="0" t="n">
        <f aca="false">I6*I7/100</f>
        <v>8411.07787151919</v>
      </c>
      <c r="J8" s="0" t="n">
        <f aca="false">J6*J7/100</f>
        <v>8621.35481830717</v>
      </c>
      <c r="K8" s="0" t="n">
        <f aca="false">K6*K7/100</f>
        <v>8793.78191467331</v>
      </c>
      <c r="L8" s="0" t="n">
        <f aca="false">L6*L7/100</f>
        <v>8969.65755296677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0.17</v>
      </c>
      <c r="D9" s="4" t="n">
        <f aca="false">Assumptions!D29</f>
        <v>0.17</v>
      </c>
      <c r="E9" s="4" t="n">
        <f aca="false">Assumptions!E29</f>
        <v>0.17</v>
      </c>
      <c r="F9" s="4" t="n">
        <f aca="false">Assumptions!F29</f>
        <v>0.17</v>
      </c>
      <c r="G9" s="4" t="n">
        <f aca="false">Assumptions!G29</f>
        <v>0.17</v>
      </c>
      <c r="H9" s="4" t="n">
        <f aca="false">Assumptions!H29</f>
        <v>0.17</v>
      </c>
      <c r="I9" s="4" t="n">
        <f aca="false">Assumptions!I29</f>
        <v>0.17</v>
      </c>
      <c r="J9" s="4" t="n">
        <f aca="false">Assumptions!J29</f>
        <v>0.17</v>
      </c>
      <c r="K9" s="4" t="n">
        <f aca="false">Assumptions!K29</f>
        <v>0.17</v>
      </c>
      <c r="L9" s="4" t="n">
        <f aca="false">Assumptions!L29</f>
        <v>0.17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-57.026721</v>
      </c>
      <c r="D10" s="0" t="n">
        <f aca="false">-D6*D9/100</f>
        <v>-59.022656235</v>
      </c>
      <c r="E10" s="0" t="n">
        <f aca="false">-E6*E9/100</f>
        <v>-61.088449203225</v>
      </c>
      <c r="F10" s="0" t="n">
        <f aca="false">-F6*F9/100</f>
        <v>-62.9211026793217</v>
      </c>
      <c r="G10" s="0" t="n">
        <f aca="false">-G6*G9/100</f>
        <v>-64.8087357597014</v>
      </c>
      <c r="H10" s="0" t="n">
        <f aca="false">-H6*H9/100</f>
        <v>-66.4289541536939</v>
      </c>
      <c r="I10" s="0" t="n">
        <f aca="false">-I6*I9/100</f>
        <v>-68.0896780075363</v>
      </c>
      <c r="J10" s="0" t="n">
        <f aca="false">-J6*J9/100</f>
        <v>-69.7919199577247</v>
      </c>
      <c r="K10" s="0" t="n">
        <f aca="false">-K6*K9/100</f>
        <v>-71.1877583568792</v>
      </c>
      <c r="L10" s="0" t="n">
        <f aca="false">-L6*L9/100</f>
        <v>-72.6115135240167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5444.374599</v>
      </c>
      <c r="D11" s="0" t="n">
        <f aca="false">D8+D10+D24</f>
        <v>5773.804548165</v>
      </c>
      <c r="E11" s="0" t="n">
        <f aca="false">E8+E10+E24</f>
        <v>6047.75647111927</v>
      </c>
      <c r="F11" s="0" t="n">
        <f aca="false">F8+F10+F24</f>
        <v>6118.15192523052</v>
      </c>
      <c r="G11" s="0" t="n">
        <f aca="false">G8+G10+G24</f>
        <v>6339.81926872844</v>
      </c>
      <c r="H11" s="0" t="n">
        <f aca="false">H8+H10+H24</f>
        <v>6342.01132890854</v>
      </c>
      <c r="I11" s="0" t="n">
        <f aca="false">I8+I10+I24</f>
        <v>6540.6143639004</v>
      </c>
      <c r="J11" s="0" t="n">
        <f aca="false">J8+J10+J24</f>
        <v>6704.12972299791</v>
      </c>
      <c r="K11" s="0" t="n">
        <f aca="false">K8+K10+K24</f>
        <v>6838.21231745786</v>
      </c>
      <c r="L11" s="0" t="n">
        <f aca="false">L8+L10+L24</f>
        <v>6974.97656380702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-1643.71137</v>
      </c>
      <c r="D12" s="4" t="n">
        <f aca="false">-D6*Assumptions!D31/100</f>
        <v>-1735.9604775</v>
      </c>
      <c r="E12" s="4" t="n">
        <f aca="false">-E6*Assumptions!E31/100</f>
        <v>-1832.65347609675</v>
      </c>
      <c r="F12" s="4" t="n">
        <f aca="false">-F6*Assumptions!F31/100</f>
        <v>-1924.64549372043</v>
      </c>
      <c r="G12" s="4" t="n">
        <f aca="false">-G6*Assumptions!G31/100</f>
        <v>-2020.50764427304</v>
      </c>
      <c r="H12" s="4" t="n">
        <f aca="false">-H6*Assumptions!H31/100</f>
        <v>-2110.0961907644</v>
      </c>
      <c r="I12" s="4" t="n">
        <f aca="false">-I6*Assumptions!I31/100</f>
        <v>-2162.84859553351</v>
      </c>
      <c r="J12" s="4" t="n">
        <f aca="false">-J6*Assumptions!J31/100</f>
        <v>-2216.91981042184</v>
      </c>
      <c r="K12" s="4" t="n">
        <f aca="false">-K6*Assumptions!K31/100</f>
        <v>-2261.25820663028</v>
      </c>
      <c r="L12" s="4" t="n">
        <f aca="false">-L6*Assumptions!L31/100</f>
        <v>-2306.48337076288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3800.663229</v>
      </c>
      <c r="D13" s="0" t="n">
        <f aca="false">D11+D12</f>
        <v>4037.844070665</v>
      </c>
      <c r="E13" s="0" t="n">
        <f aca="false">E11+E12</f>
        <v>4215.10299502252</v>
      </c>
      <c r="F13" s="0" t="n">
        <f aca="false">F11+F12</f>
        <v>4193.50643151009</v>
      </c>
      <c r="G13" s="0" t="n">
        <f aca="false">G11+G12</f>
        <v>4319.31162445539</v>
      </c>
      <c r="H13" s="0" t="n">
        <f aca="false">H11+H12</f>
        <v>4231.91513814415</v>
      </c>
      <c r="I13" s="0" t="n">
        <f aca="false">I11+I12</f>
        <v>4377.76576836689</v>
      </c>
      <c r="J13" s="0" t="n">
        <f aca="false">J11+J12</f>
        <v>4487.20991257606</v>
      </c>
      <c r="K13" s="0" t="n">
        <f aca="false">K11+K12</f>
        <v>4576.95411082758</v>
      </c>
      <c r="L13" s="0" t="n">
        <f aca="false">L11+L12</f>
        <v>4668.49319304414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12</v>
      </c>
      <c r="D14" s="4" t="n">
        <f aca="false">Assumptions!D33</f>
        <v>14</v>
      </c>
      <c r="E14" s="4" t="n">
        <f aca="false">Assumptions!E33</f>
        <v>16</v>
      </c>
      <c r="F14" s="4" t="n">
        <f aca="false">Assumptions!F33</f>
        <v>18</v>
      </c>
      <c r="G14" s="4" t="n">
        <f aca="false">Assumptions!G33</f>
        <v>20</v>
      </c>
      <c r="H14" s="4" t="n">
        <f aca="false">Assumptions!H33</f>
        <v>22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3344.58364152</v>
      </c>
      <c r="D15" s="0" t="n">
        <f aca="false">D13-MAX(0,D13)*D14/100</f>
        <v>3472.5459007719</v>
      </c>
      <c r="E15" s="0" t="n">
        <f aca="false">E13-MAX(0,E13)*E14/100</f>
        <v>3540.68651581892</v>
      </c>
      <c r="F15" s="0" t="n">
        <f aca="false">F13-MAX(0,F13)*F14/100</f>
        <v>3438.67527383827</v>
      </c>
      <c r="G15" s="0" t="n">
        <f aca="false">G13-MAX(0,G13)*G14/100</f>
        <v>3455.44929956432</v>
      </c>
      <c r="H15" s="0" t="n">
        <f aca="false">H13-MAX(0,H13)*H14/100</f>
        <v>3300.89380775244</v>
      </c>
      <c r="I15" s="0" t="n">
        <f aca="false">I13-MAX(0,I13)*I14/100</f>
        <v>3370.87964164251</v>
      </c>
      <c r="J15" s="0" t="n">
        <f aca="false">J13-MAX(0,J13)*J14/100</f>
        <v>3455.15163268357</v>
      </c>
      <c r="K15" s="0" t="n">
        <f aca="false">K13-MAX(0,K13)*K14/100</f>
        <v>3524.25466533724</v>
      </c>
      <c r="L15" s="0" t="n">
        <f aca="false">L13-MAX(0,L13)*L14/100</f>
        <v>3594.73975864398</v>
      </c>
    </row>
    <row r="16" customFormat="false" ht="15" hidden="false" customHeight="false" outlineLevel="0" collapsed="false">
      <c r="A16" s="0" t="s">
        <v>120</v>
      </c>
      <c r="C16" s="0" t="n">
        <f aca="false">-C12</f>
        <v>1643.71137</v>
      </c>
      <c r="D16" s="0" t="n">
        <f aca="false">-D12</f>
        <v>1735.9604775</v>
      </c>
      <c r="E16" s="0" t="n">
        <f aca="false">-E12</f>
        <v>1832.65347609675</v>
      </c>
      <c r="F16" s="0" t="n">
        <f aca="false">-F12</f>
        <v>1924.64549372043</v>
      </c>
      <c r="G16" s="0" t="n">
        <f aca="false">-G12</f>
        <v>2020.50764427304</v>
      </c>
      <c r="H16" s="0" t="n">
        <f aca="false">-H12</f>
        <v>2110.0961907644</v>
      </c>
      <c r="I16" s="0" t="n">
        <f aca="false">-I12</f>
        <v>2162.84859553351</v>
      </c>
      <c r="J16" s="0" t="n">
        <f aca="false">-J12</f>
        <v>2216.91981042184</v>
      </c>
      <c r="K16" s="0" t="n">
        <f aca="false">-K12</f>
        <v>2261.25820663028</v>
      </c>
      <c r="L16" s="0" t="n">
        <f aca="false">-L12</f>
        <v>2306.48337076288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-3388.05813</v>
      </c>
      <c r="D17" s="4" t="n">
        <f aca="false">-D6*Assumptions!D32/100</f>
        <v>-3576.07858365</v>
      </c>
      <c r="E17" s="4" t="n">
        <f aca="false">-E6*Assumptions!E32/100</f>
        <v>-3701.24133407775</v>
      </c>
      <c r="F17" s="4" t="n">
        <f aca="false">-F6*Assumptions!F32/100</f>
        <v>-3775.2661607593</v>
      </c>
      <c r="G17" s="4" t="n">
        <f aca="false">-G6*Assumptions!G32/100</f>
        <v>-3812.27857410008</v>
      </c>
      <c r="H17" s="4" t="n">
        <f aca="false">-H6*Assumptions!H32/100</f>
        <v>-3907.58553845258</v>
      </c>
      <c r="I17" s="4" t="n">
        <f aca="false">-I6*Assumptions!I32/100</f>
        <v>-4005.2751769139</v>
      </c>
      <c r="J17" s="4" t="n">
        <f aca="false">-J6*Assumptions!J32/100</f>
        <v>-4105.40705633675</v>
      </c>
      <c r="K17" s="4" t="n">
        <f aca="false">-K6*Assumptions!K32/100</f>
        <v>-4187.51519746348</v>
      </c>
      <c r="L17" s="4" t="n">
        <f aca="false">-L6*Assumptions!L32/100</f>
        <v>-4271.26550141275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33.2129999999997</v>
      </c>
      <c r="D18" s="4" t="n">
        <f aca="false">(D6-C6)*Assumptions!$B$37/100</f>
        <v>117.407954999999</v>
      </c>
      <c r="E18" s="4" t="n">
        <f aca="false">(E6-D6)*Assumptions!$B$37/100</f>
        <v>121.517233425</v>
      </c>
      <c r="F18" s="4" t="n">
        <f aca="false">(F6-E6)*Assumptions!$B$37/100</f>
        <v>107.80314565275</v>
      </c>
      <c r="G18" s="4" t="n">
        <f aca="false">(G6-F6)*Assumptions!$B$37/100</f>
        <v>111.037240022333</v>
      </c>
      <c r="H18" s="4" t="n">
        <f aca="false">(H6-G6)*Assumptions!$B$37/100</f>
        <v>95.3069643525014</v>
      </c>
      <c r="I18" s="4" t="n">
        <f aca="false">(I6-H6)*Assumptions!$B$37/100</f>
        <v>97.6896384613145</v>
      </c>
      <c r="J18" s="4" t="n">
        <f aca="false">(J6-I6)*Assumptions!$B$37/100</f>
        <v>100.131879422847</v>
      </c>
      <c r="K18" s="4" t="n">
        <f aca="false">(K6-J6)*Assumptions!$B$37/100</f>
        <v>82.1081411267347</v>
      </c>
      <c r="L18" s="4" t="n">
        <f aca="false">(L6-K6)*Assumptions!$B$37/100</f>
        <v>83.7503039492694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1633.44988152</v>
      </c>
      <c r="D19" s="0" t="n">
        <f aca="false">D15+D16+D17+D18</f>
        <v>1749.8357496219</v>
      </c>
      <c r="E19" s="0" t="n">
        <f aca="false">E15+E16+E17+E18</f>
        <v>1793.61589126292</v>
      </c>
      <c r="F19" s="0" t="n">
        <f aca="false">F15+F16+F17+F18</f>
        <v>1695.85775245215</v>
      </c>
      <c r="G19" s="0" t="n">
        <f aca="false">G15+G16+G17+G18</f>
        <v>1774.71560975961</v>
      </c>
      <c r="H19" s="0" t="n">
        <f aca="false">H15+H16+H17+H18</f>
        <v>1598.71142441675</v>
      </c>
      <c r="I19" s="0" t="n">
        <f aca="false">I15+I16+I17+I18</f>
        <v>1626.14269872343</v>
      </c>
      <c r="J19" s="0" t="n">
        <f aca="false">J15+J16+J17+J18</f>
        <v>1666.79626619151</v>
      </c>
      <c r="K19" s="0" t="n">
        <f aca="false">K15+K16+K17+K18</f>
        <v>1680.10581563077</v>
      </c>
      <c r="L19" s="0" t="n">
        <f aca="false">L15+L16+L17+L18</f>
        <v>1713.70793194339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1498.57787295413</v>
      </c>
      <c r="D21" s="0" t="n">
        <f aca="false">D19*D20</f>
        <v>1472.80174195935</v>
      </c>
      <c r="E21" s="0" t="n">
        <f aca="false">E19*E20</f>
        <v>1385.00056080823</v>
      </c>
      <c r="F21" s="0" t="n">
        <f aca="false">F19*F20</f>
        <v>1201.38838621746</v>
      </c>
      <c r="G21" s="0" t="n">
        <f aca="false">G19*G20</f>
        <v>1153.44337653638</v>
      </c>
      <c r="H21" s="0" t="n">
        <f aca="false">H19*H20</f>
        <v>953.259387488238</v>
      </c>
      <c r="I21" s="0" t="n">
        <f aca="false">I19*I20</f>
        <v>889.555743203644</v>
      </c>
      <c r="J21" s="0" t="n">
        <f aca="false">J19*J20</f>
        <v>836.508841085995</v>
      </c>
      <c r="K21" s="0" t="n">
        <f aca="false">K19*K20</f>
        <v>773.5673900433</v>
      </c>
      <c r="L21" s="0" t="n">
        <f aca="false">L19*L20</f>
        <v>723.88875031575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5.4</v>
      </c>
      <c r="D23" s="4" t="n">
        <f aca="false">Assumptions!D30</f>
        <v>5.2</v>
      </c>
      <c r="E23" s="4" t="n">
        <f aca="false">Assumptions!E30</f>
        <v>5</v>
      </c>
      <c r="F23" s="4" t="n">
        <f aca="false">Assumptions!F30</f>
        <v>4.8</v>
      </c>
      <c r="G23" s="4" t="n">
        <f aca="false">Assumptions!G30</f>
        <v>4.7</v>
      </c>
      <c r="H23" s="4" t="n">
        <f aca="false">Assumptions!H30</f>
        <v>4.6</v>
      </c>
      <c r="I23" s="4" t="n">
        <f aca="false">Assumptions!I30</f>
        <v>4.5</v>
      </c>
      <c r="J23" s="4" t="n">
        <f aca="false">Assumptions!J30</f>
        <v>4.5</v>
      </c>
      <c r="K23" s="4" t="n">
        <f aca="false">Assumptions!K30</f>
        <v>4.5</v>
      </c>
      <c r="L23" s="4" t="n">
        <f aca="false">Assumptions!L30</f>
        <v>4.5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-1811.43702</v>
      </c>
      <c r="D24" s="0" t="n">
        <f aca="false">-D6*D23/100</f>
        <v>-1805.3988966</v>
      </c>
      <c r="E24" s="0" t="n">
        <f aca="false">-E6*E23/100</f>
        <v>-1796.7190942125</v>
      </c>
      <c r="F24" s="0" t="n">
        <f aca="false">-F6*F23/100</f>
        <v>-1776.59584035732</v>
      </c>
      <c r="G24" s="0" t="n">
        <f aca="false">-G6*G23/100</f>
        <v>-1791.77092982704</v>
      </c>
      <c r="H24" s="0" t="n">
        <f aca="false">-H6*H23/100</f>
        <v>-1797.48934768819</v>
      </c>
      <c r="I24" s="0" t="n">
        <f aca="false">-I6*I23/100</f>
        <v>-1802.37382961125</v>
      </c>
      <c r="J24" s="0" t="n">
        <f aca="false">-J6*J23/100</f>
        <v>-1847.43317535154</v>
      </c>
      <c r="K24" s="0" t="n">
        <f aca="false">-K6*K23/100</f>
        <v>-1884.38183885857</v>
      </c>
      <c r="L24" s="0" t="n">
        <f aca="false">-L6*L23/100</f>
        <v>-1922.06947563574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10887.9920506125</v>
      </c>
    </row>
    <row r="31" customFormat="false" ht="15" hidden="false" customHeight="false" outlineLevel="0" collapsed="false">
      <c r="A31" s="0" t="s">
        <v>129</v>
      </c>
      <c r="B31" s="0" t="n">
        <f aca="false">L19</f>
        <v>1713.70793194339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24971.1727226037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20564.4951833207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20564.4951833207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8686.66500378899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19574.6570544015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21789.6570544015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409.330125082795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-0.0157967658504574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411.195621040962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446.933225399273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425.4505251044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13446.016081402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264.162513923735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33213</v>
      </c>
      <c r="C6" s="0" t="n">
        <f aca="false">B6*(1+C5/100)</f>
        <v>33877.26</v>
      </c>
      <c r="D6" s="0" t="n">
        <f aca="false">C6*(1+D5/100)</f>
        <v>35571.123</v>
      </c>
      <c r="E6" s="0" t="n">
        <f aca="false">D6*(1+E5/100)</f>
        <v>37349.67915</v>
      </c>
      <c r="F6" s="0" t="n">
        <f aca="false">E6*(1+F5/100)</f>
        <v>39030.41471175</v>
      </c>
      <c r="G6" s="0" t="n">
        <f aca="false">F6*(1+G5/100)</f>
        <v>40591.63130022</v>
      </c>
      <c r="H6" s="0" t="n">
        <f aca="false">G6*(1+H5/100)</f>
        <v>42012.3383957277</v>
      </c>
      <c r="I6" s="0" t="n">
        <f aca="false">H6*(1+I5/100)</f>
        <v>43272.7085475995</v>
      </c>
      <c r="J6" s="0" t="n">
        <f aca="false">I6*(1+J5/100)</f>
        <v>44570.8898040275</v>
      </c>
      <c r="K6" s="0" t="n">
        <f aca="false">J6*(1+K5/100)</f>
        <v>45685.1620491282</v>
      </c>
      <c r="L6" s="0" t="n">
        <f aca="false">K6*(1+L5/100)</f>
        <v>46827.2911003564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22.3</v>
      </c>
      <c r="D7" s="4" t="n">
        <f aca="false">Assumptions!D42</f>
        <v>23</v>
      </c>
      <c r="E7" s="4" t="n">
        <f aca="false">Assumptions!E42</f>
        <v>23.5</v>
      </c>
      <c r="F7" s="4" t="n">
        <f aca="false">Assumptions!F42</f>
        <v>23.5</v>
      </c>
      <c r="G7" s="4" t="n">
        <f aca="false">Assumptions!G42</f>
        <v>23.5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7554.62898</v>
      </c>
      <c r="D8" s="0" t="n">
        <f aca="false">D6*D7/100</f>
        <v>8181.35829</v>
      </c>
      <c r="E8" s="0" t="n">
        <f aca="false">E6*E7/100</f>
        <v>8777.17460025</v>
      </c>
      <c r="F8" s="0" t="n">
        <f aca="false">F6*F7/100</f>
        <v>9172.14745726125</v>
      </c>
      <c r="G8" s="0" t="n">
        <f aca="false">G6*G7/100</f>
        <v>9539.0333555517</v>
      </c>
      <c r="H8" s="0" t="n">
        <f aca="false">H6*H7/100</f>
        <v>9662.83783101737</v>
      </c>
      <c r="I8" s="0" t="n">
        <f aca="false">I6*I7/100</f>
        <v>9952.72296594789</v>
      </c>
      <c r="J8" s="0" t="n">
        <f aca="false">J6*J7/100</f>
        <v>10251.3046549263</v>
      </c>
      <c r="K8" s="0" t="n">
        <f aca="false">K6*K7/100</f>
        <v>10507.5872712995</v>
      </c>
      <c r="L8" s="0" t="n">
        <f aca="false">L6*L7/100</f>
        <v>10770.276953082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0.17</v>
      </c>
      <c r="D9" s="4" t="n">
        <f aca="false">Assumptions!D43</f>
        <v>0.17</v>
      </c>
      <c r="E9" s="4" t="n">
        <f aca="false">Assumptions!E43</f>
        <v>0.17</v>
      </c>
      <c r="F9" s="4" t="n">
        <f aca="false">Assumptions!F43</f>
        <v>0.17</v>
      </c>
      <c r="G9" s="4" t="n">
        <f aca="false">Assumptions!G43</f>
        <v>0.17</v>
      </c>
      <c r="H9" s="4" t="n">
        <f aca="false">Assumptions!H43</f>
        <v>0.17</v>
      </c>
      <c r="I9" s="4" t="n">
        <f aca="false">Assumptions!I43</f>
        <v>0.17</v>
      </c>
      <c r="J9" s="4" t="n">
        <f aca="false">Assumptions!J43</f>
        <v>0.17</v>
      </c>
      <c r="K9" s="4" t="n">
        <f aca="false">Assumptions!K43</f>
        <v>0.17</v>
      </c>
      <c r="L9" s="4" t="n">
        <f aca="false">Assumptions!L43</f>
        <v>0.17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-57.591342</v>
      </c>
      <c r="D10" s="0" t="n">
        <f aca="false">-D6*D9/100</f>
        <v>-60.4709091</v>
      </c>
      <c r="E10" s="0" t="n">
        <f aca="false">-E6*E9/100</f>
        <v>-63.494454555</v>
      </c>
      <c r="F10" s="0" t="n">
        <f aca="false">-F6*F9/100</f>
        <v>-66.351705009975</v>
      </c>
      <c r="G10" s="0" t="n">
        <f aca="false">-G6*G9/100</f>
        <v>-69.005773210374</v>
      </c>
      <c r="H10" s="0" t="n">
        <f aca="false">-H6*H9/100</f>
        <v>-71.4209752727371</v>
      </c>
      <c r="I10" s="0" t="n">
        <f aca="false">-I6*I9/100</f>
        <v>-73.5636045309192</v>
      </c>
      <c r="J10" s="0" t="n">
        <f aca="false">-J6*J9/100</f>
        <v>-75.7705126668468</v>
      </c>
      <c r="K10" s="0" t="n">
        <f aca="false">-K6*K9/100</f>
        <v>-77.664775483518</v>
      </c>
      <c r="L10" s="0" t="n">
        <f aca="false">-L6*L9/100</f>
        <v>-79.6063948706059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5667.665598</v>
      </c>
      <c r="D11" s="0" t="n">
        <f aca="false">D8+D10+D24</f>
        <v>6271.1889849</v>
      </c>
      <c r="E11" s="0" t="n">
        <f aca="false">E8+E10+E24</f>
        <v>6846.196188195</v>
      </c>
      <c r="F11" s="0" t="n">
        <f aca="false">F8+F10+F24</f>
        <v>7232.33584608728</v>
      </c>
      <c r="G11" s="0" t="n">
        <f aca="false">G8+G10+G24</f>
        <v>7562.22091123099</v>
      </c>
      <c r="H11" s="0" t="n">
        <f aca="false">H8+H10+H24</f>
        <v>7658.84928954116</v>
      </c>
      <c r="I11" s="0" t="n">
        <f aca="false">I8+I10+I24</f>
        <v>7931.887476775</v>
      </c>
      <c r="J11" s="0" t="n">
        <f aca="false">J8+J10+J24</f>
        <v>8169.84410107825</v>
      </c>
      <c r="K11" s="0" t="n">
        <f aca="false">K8+K10+K24</f>
        <v>8374.0902036052</v>
      </c>
      <c r="L11" s="0" t="n">
        <f aca="false">L8+L10+L24</f>
        <v>8583.44245869533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-1659.98574</v>
      </c>
      <c r="D12" s="4" t="n">
        <f aca="false">-D6*Assumptions!D45/100</f>
        <v>-1778.55615</v>
      </c>
      <c r="E12" s="4" t="n">
        <f aca="false">-E6*Assumptions!E45/100</f>
        <v>-1904.83363665</v>
      </c>
      <c r="F12" s="4" t="n">
        <f aca="false">-F6*Assumptions!F45/100</f>
        <v>-2029.581565011</v>
      </c>
      <c r="G12" s="4" t="n">
        <f aca="false">-G6*Assumptions!G45/100</f>
        <v>-2151.35645891166</v>
      </c>
      <c r="H12" s="4" t="n">
        <f aca="false">-H6*Assumptions!H45/100</f>
        <v>-2268.6662733693</v>
      </c>
      <c r="I12" s="4" t="n">
        <f aca="false">-I6*Assumptions!I45/100</f>
        <v>-2336.72626157038</v>
      </c>
      <c r="J12" s="4" t="n">
        <f aca="false">-J6*Assumptions!J45/100</f>
        <v>-2406.82804941749</v>
      </c>
      <c r="K12" s="4" t="n">
        <f aca="false">-K6*Assumptions!K45/100</f>
        <v>-2466.99875065292</v>
      </c>
      <c r="L12" s="4" t="n">
        <f aca="false">-L6*Assumptions!L45/100</f>
        <v>-2528.67371941925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4007.679858</v>
      </c>
      <c r="D13" s="0" t="n">
        <f aca="false">D11+D12</f>
        <v>4492.6328349</v>
      </c>
      <c r="E13" s="0" t="n">
        <f aca="false">E11+E12</f>
        <v>4941.362551545</v>
      </c>
      <c r="F13" s="0" t="n">
        <f aca="false">F11+F12</f>
        <v>5202.75428107628</v>
      </c>
      <c r="G13" s="0" t="n">
        <f aca="false">G11+G12</f>
        <v>5410.86445231933</v>
      </c>
      <c r="H13" s="0" t="n">
        <f aca="false">H11+H12</f>
        <v>5390.18301617187</v>
      </c>
      <c r="I13" s="0" t="n">
        <f aca="false">I11+I12</f>
        <v>5595.16121520462</v>
      </c>
      <c r="J13" s="0" t="n">
        <f aca="false">J11+J12</f>
        <v>5763.01605166076</v>
      </c>
      <c r="K13" s="0" t="n">
        <f aca="false">K11+K12</f>
        <v>5907.09145295228</v>
      </c>
      <c r="L13" s="0" t="n">
        <f aca="false">L11+L12</f>
        <v>6054.76873927609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12</v>
      </c>
      <c r="D14" s="4" t="n">
        <f aca="false">Assumptions!D47</f>
        <v>14</v>
      </c>
      <c r="E14" s="4" t="n">
        <f aca="false">Assumptions!E47</f>
        <v>16</v>
      </c>
      <c r="F14" s="4" t="n">
        <f aca="false">Assumptions!F47</f>
        <v>18</v>
      </c>
      <c r="G14" s="4" t="n">
        <f aca="false">Assumptions!G47</f>
        <v>20</v>
      </c>
      <c r="H14" s="4" t="n">
        <f aca="false">Assumptions!H47</f>
        <v>22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3526.75827504</v>
      </c>
      <c r="D15" s="0" t="n">
        <f aca="false">D13-MAX(0,D13)*D14/100</f>
        <v>3863.664238014</v>
      </c>
      <c r="E15" s="0" t="n">
        <f aca="false">E13-MAX(0,E13)*E14/100</f>
        <v>4150.7445432978</v>
      </c>
      <c r="F15" s="0" t="n">
        <f aca="false">F13-MAX(0,F13)*F14/100</f>
        <v>4266.25851048255</v>
      </c>
      <c r="G15" s="0" t="n">
        <f aca="false">G13-MAX(0,G13)*G14/100</f>
        <v>4328.69156185546</v>
      </c>
      <c r="H15" s="0" t="n">
        <f aca="false">H13-MAX(0,H13)*H14/100</f>
        <v>4204.34275261406</v>
      </c>
      <c r="I15" s="0" t="n">
        <f aca="false">I13-MAX(0,I13)*I14/100</f>
        <v>4308.27413570756</v>
      </c>
      <c r="J15" s="0" t="n">
        <f aca="false">J13-MAX(0,J13)*J14/100</f>
        <v>4437.52235977878</v>
      </c>
      <c r="K15" s="0" t="n">
        <f aca="false">K13-MAX(0,K13)*K14/100</f>
        <v>4548.46041877326</v>
      </c>
      <c r="L15" s="0" t="n">
        <f aca="false">L13-MAX(0,L13)*L14/100</f>
        <v>4662.17192924259</v>
      </c>
    </row>
    <row r="16" customFormat="false" ht="15" hidden="false" customHeight="false" outlineLevel="0" collapsed="false">
      <c r="A16" s="0" t="s">
        <v>120</v>
      </c>
      <c r="C16" s="0" t="n">
        <f aca="false">-C12</f>
        <v>1659.98574</v>
      </c>
      <c r="D16" s="0" t="n">
        <f aca="false">-D12</f>
        <v>1778.55615</v>
      </c>
      <c r="E16" s="0" t="n">
        <f aca="false">-E12</f>
        <v>1904.83363665</v>
      </c>
      <c r="F16" s="0" t="n">
        <f aca="false">-F12</f>
        <v>2029.581565011</v>
      </c>
      <c r="G16" s="0" t="n">
        <f aca="false">-G12</f>
        <v>2151.35645891166</v>
      </c>
      <c r="H16" s="0" t="n">
        <f aca="false">-H12</f>
        <v>2268.6662733693</v>
      </c>
      <c r="I16" s="0" t="n">
        <f aca="false">-I12</f>
        <v>2336.72626157038</v>
      </c>
      <c r="J16" s="0" t="n">
        <f aca="false">-J12</f>
        <v>2406.82804941749</v>
      </c>
      <c r="K16" s="0" t="n">
        <f aca="false">-K12</f>
        <v>2466.99875065292</v>
      </c>
      <c r="L16" s="0" t="n">
        <f aca="false">-L12</f>
        <v>2528.67371941925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-3421.60326</v>
      </c>
      <c r="D17" s="4" t="n">
        <f aca="false">-D6*Assumptions!D46/100</f>
        <v>-3663.825669</v>
      </c>
      <c r="E17" s="4" t="n">
        <f aca="false">-E6*Assumptions!E46/100</f>
        <v>-3847.01695245</v>
      </c>
      <c r="F17" s="4" t="n">
        <f aca="false">-F6*Assumptions!F46/100</f>
        <v>-3903.041471175</v>
      </c>
      <c r="G17" s="4" t="n">
        <f aca="false">-G6*Assumptions!G46/100</f>
        <v>-3977.97986742156</v>
      </c>
      <c r="H17" s="4" t="n">
        <f aca="false">-H6*Assumptions!H46/100</f>
        <v>-3991.17214759413</v>
      </c>
      <c r="I17" s="4" t="n">
        <f aca="false">-I6*Assumptions!I46/100</f>
        <v>-4110.90731202196</v>
      </c>
      <c r="J17" s="4" t="n">
        <f aca="false">-J6*Assumptions!J46/100</f>
        <v>-4234.23453138262</v>
      </c>
      <c r="K17" s="4" t="n">
        <f aca="false">-K6*Assumptions!K46/100</f>
        <v>-4340.09039466718</v>
      </c>
      <c r="L17" s="4" t="n">
        <f aca="false">-L6*Assumptions!L46/100</f>
        <v>-4448.59265453386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66.4260000000002</v>
      </c>
      <c r="D18" s="4" t="n">
        <f aca="false">(D6-C6)*Assumptions!$B$51/100</f>
        <v>169.386300000001</v>
      </c>
      <c r="E18" s="4" t="n">
        <f aca="false">(E6-D6)*Assumptions!$B$51/100</f>
        <v>177.855615</v>
      </c>
      <c r="F18" s="4" t="n">
        <f aca="false">(F6-E6)*Assumptions!$B$51/100</f>
        <v>168.073556175</v>
      </c>
      <c r="G18" s="4" t="n">
        <f aca="false">(G6-F6)*Assumptions!$B$51/100</f>
        <v>156.121658847</v>
      </c>
      <c r="H18" s="4" t="n">
        <f aca="false">(H6-G6)*Assumptions!$B$51/100</f>
        <v>142.07070955077</v>
      </c>
      <c r="I18" s="4" t="n">
        <f aca="false">(I6-H6)*Assumptions!$B$51/100</f>
        <v>126.037015187183</v>
      </c>
      <c r="J18" s="4" t="n">
        <f aca="false">(J6-I6)*Assumptions!$B$51/100</f>
        <v>129.818125642799</v>
      </c>
      <c r="K18" s="4" t="n">
        <f aca="false">(K6-J6)*Assumptions!$B$51/100</f>
        <v>111.427224510068</v>
      </c>
      <c r="L18" s="4" t="n">
        <f aca="false">(L6-K6)*Assumptions!$B$51/100</f>
        <v>114.21290512282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1831.56675504</v>
      </c>
      <c r="D19" s="0" t="n">
        <f aca="false">D15+D16+D17+D18</f>
        <v>2147.781019014</v>
      </c>
      <c r="E19" s="0" t="n">
        <f aca="false">E15+E16+E17+E18</f>
        <v>2386.4168424978</v>
      </c>
      <c r="F19" s="0" t="n">
        <f aca="false">F15+F16+F17+F18</f>
        <v>2560.87216049355</v>
      </c>
      <c r="G19" s="0" t="n">
        <f aca="false">G15+G16+G17+G18</f>
        <v>2658.18981219256</v>
      </c>
      <c r="H19" s="0" t="n">
        <f aca="false">H15+H16+H17+H18</f>
        <v>2623.90758793999</v>
      </c>
      <c r="I19" s="0" t="n">
        <f aca="false">I15+I16+I17+I18</f>
        <v>2660.13010044316</v>
      </c>
      <c r="J19" s="0" t="n">
        <f aca="false">J15+J16+J17+J18</f>
        <v>2739.93400345646</v>
      </c>
      <c r="K19" s="0" t="n">
        <f aca="false">K15+K16+K17+K18</f>
        <v>2786.79599926907</v>
      </c>
      <c r="L19" s="0" t="n">
        <f aca="false">L15+L16+L17+L18</f>
        <v>2856.46589925079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1680.33647251376</v>
      </c>
      <c r="D21" s="0" t="n">
        <f aca="false">D19*D20</f>
        <v>1807.74431362175</v>
      </c>
      <c r="E21" s="0" t="n">
        <f aca="false">E19*E20</f>
        <v>1842.75166231629</v>
      </c>
      <c r="F21" s="0" t="n">
        <f aca="false">F19*F20</f>
        <v>1814.18640080863</v>
      </c>
      <c r="G21" s="0" t="n">
        <f aca="false">G19*G20</f>
        <v>1727.64098968245</v>
      </c>
      <c r="H21" s="0" t="n">
        <f aca="false">H19*H20</f>
        <v>1564.55036343907</v>
      </c>
      <c r="I21" s="0" t="n">
        <f aca="false">I19*I20</f>
        <v>1455.1822606809</v>
      </c>
      <c r="J21" s="0" t="n">
        <f aca="false">J19*J20</f>
        <v>1375.0804848636</v>
      </c>
      <c r="K21" s="0" t="n">
        <f aca="false">K19*K20</f>
        <v>1283.11829390837</v>
      </c>
      <c r="L21" s="0" t="n">
        <f aca="false">L19*L20</f>
        <v>1206.60206537255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5.4</v>
      </c>
      <c r="D23" s="4" t="n">
        <f aca="false">Assumptions!D44</f>
        <v>5.2</v>
      </c>
      <c r="E23" s="4" t="n">
        <f aca="false">Assumptions!E44</f>
        <v>5</v>
      </c>
      <c r="F23" s="4" t="n">
        <f aca="false">Assumptions!F44</f>
        <v>4.8</v>
      </c>
      <c r="G23" s="4" t="n">
        <f aca="false">Assumptions!G44</f>
        <v>4.7</v>
      </c>
      <c r="H23" s="4" t="n">
        <f aca="false">Assumptions!H44</f>
        <v>4.6</v>
      </c>
      <c r="I23" s="4" t="n">
        <f aca="false">Assumptions!I44</f>
        <v>4.5</v>
      </c>
      <c r="J23" s="4" t="n">
        <f aca="false">Assumptions!J44</f>
        <v>4.5</v>
      </c>
      <c r="K23" s="4" t="n">
        <f aca="false">Assumptions!K44</f>
        <v>4.5</v>
      </c>
      <c r="L23" s="4" t="n">
        <f aca="false">Assumptions!L44</f>
        <v>4.5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-1829.37204</v>
      </c>
      <c r="D24" s="0" t="n">
        <f aca="false">-D6*D23/100</f>
        <v>-1849.698396</v>
      </c>
      <c r="E24" s="0" t="n">
        <f aca="false">-E6*E23/100</f>
        <v>-1867.4839575</v>
      </c>
      <c r="F24" s="0" t="n">
        <f aca="false">-F6*F23/100</f>
        <v>-1873.459906164</v>
      </c>
      <c r="G24" s="0" t="n">
        <f aca="false">-G6*G23/100</f>
        <v>-1907.80667111034</v>
      </c>
      <c r="H24" s="0" t="n">
        <f aca="false">-H6*H23/100</f>
        <v>-1932.56756620347</v>
      </c>
      <c r="I24" s="0" t="n">
        <f aca="false">-I6*I23/100</f>
        <v>-1947.27188464198</v>
      </c>
      <c r="J24" s="0" t="n">
        <f aca="false">-J6*J23/100</f>
        <v>-2005.69004118124</v>
      </c>
      <c r="K24" s="0" t="n">
        <f aca="false">-K6*K23/100</f>
        <v>-2055.83229221077</v>
      </c>
      <c r="L24" s="0" t="n">
        <f aca="false">-L6*L23/100</f>
        <v>-2107.22809951604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15757.1933072074</v>
      </c>
    </row>
    <row r="31" customFormat="false" ht="15" hidden="false" customHeight="false" outlineLevel="0" collapsed="false">
      <c r="A31" s="0" t="s">
        <v>129</v>
      </c>
      <c r="B31" s="0" t="n">
        <f aca="false">L19</f>
        <v>2856.46589925079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41622.7888176544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34277.5907910095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34277.5907910095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14479.2247844706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30236.4180916779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32451.4180916779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609.616892703568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0.465777573223293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434.856947072758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489.987621731092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626.99058252739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22412.2709018139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372.985220158844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238.729674691424</v>
      </c>
      <c r="C4" s="0" t="n">
        <f aca="false">B4/Assumptions!$B$2-1</f>
        <v>-0.425992607137717</v>
      </c>
      <c r="D4" s="4" t="n">
        <f aca="false">Assumptions!$B$24</f>
        <v>0.3</v>
      </c>
      <c r="E4" s="4" t="n">
        <f aca="false">DCF_Bear!$B$43</f>
        <v>253.26567848639</v>
      </c>
      <c r="F4" s="4" t="n">
        <f aca="false">DCF_Bear!$B$47</f>
        <v>152.665271915603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409.330125082795</v>
      </c>
      <c r="C5" s="0" t="n">
        <f aca="false">B5/Assumptions!$B$2-1</f>
        <v>-0.0157967658504574</v>
      </c>
      <c r="D5" s="4" t="n">
        <f aca="false">Assumptions!$B$38</f>
        <v>0.5</v>
      </c>
      <c r="E5" s="4" t="n">
        <f aca="false">DCF_Base!$B$43</f>
        <v>425.4505251044</v>
      </c>
      <c r="F5" s="4" t="n">
        <f aca="false">DCF_Base!$B$47</f>
        <v>264.162513923735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609.616892703568</v>
      </c>
      <c r="C6" s="0" t="n">
        <f aca="false">B6/Assumptions!$B$2-1</f>
        <v>0.465777573223293</v>
      </c>
      <c r="D6" s="4" t="n">
        <f aca="false">Assumptions!$B$52</f>
        <v>0.2</v>
      </c>
      <c r="E6" s="4" t="n">
        <f aca="false">DCF_Bull!$B$43</f>
        <v>626.99058252739</v>
      </c>
      <c r="F6" s="4" t="n">
        <f aca="false">DCF_Bull!$B$47</f>
        <v>372.985220158844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398.207343489538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414.103082603595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-0.0444307640221278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111.304396628001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252.477882568317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409.330125082795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386.420761911679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357.869876721656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327.511026532447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264.162513923735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461.752533768893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461.752533768893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461.752533768893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461.752533768893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461.752533768893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434.363385073371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434.363385073371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434.363385073371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434.363385073371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434.363385073371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409.330125082795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409.330125082795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409.330125082795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409.330125082795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409.330125082795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376.76717304015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385.690658551648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386.420761911679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386.420761911679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386.420761911679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343.886540454396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350.510226054677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357.869876721656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365.42843686612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365.42843686612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2026-10-09T23:32:39Z</dcterms:created>
  <dc:creator>openpyxl</dc:creator>
  <dc:description/>
  <dc:language>en-NZ</dc:language>
  <cp:lastModifiedBy/>
  <dcterms:modified xsi:type="dcterms:W3CDTF">2026-10-09T23:32:39Z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