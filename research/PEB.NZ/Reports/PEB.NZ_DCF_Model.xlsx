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ase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Bear_Scenario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CC"/>
    </font>
    <font>
      <color rgb="00007700"/>
    </font>
  </fonts>
  <fills count="4">
    <fill>
      <patternFill/>
    </fill>
    <fill>
      <patternFill patternType="gray125"/>
    </fill>
    <fill>
      <patternFill patternType="solid">
        <fgColor rgb="00FFF2AA"/>
      </patternFill>
    </fill>
    <fill>
      <patternFill patternType="solid">
        <fgColor rgb="00C9F0C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164" fontId="3" fillId="2" borderId="0" pivotButton="0" quotePrefix="0" xfId="0"/>
    <xf numFmtId="0" fontId="4" fillId="0" borderId="0" pivotButton="0" quotePrefix="0" xfId="0"/>
    <xf numFmtId="9" fontId="3" fillId="2" borderId="0" pivotButton="0" quotePrefix="0" xfId="0"/>
    <xf numFmtId="165" fontId="4" fillId="0" borderId="0" pivotButton="0" quotePrefix="0" xfId="0"/>
    <xf numFmtId="164" fontId="0" fillId="0" borderId="0" pivotButton="0" quotePrefix="0" xfId="0"/>
    <xf numFmtId="165" fontId="2" fillId="3" borderId="0" pivotButton="0" quotePrefix="0" xfId="0"/>
    <xf numFmtId="165" fontId="0" fillId="0" borderId="0" pivotButton="0" quotePrefix="0" xfId="0"/>
    <xf numFmtId="9" fontId="0" fillId="0" borderId="0" pivotButton="0" quotePrefix="0" xfId="0"/>
    <xf numFmtId="9" fontId="3" fillId="0" borderId="0" pivotButton="0" quotePrefix="0" xfId="0"/>
    <xf numFmtId="164" fontId="3" fillId="0" borderId="0" pivotButton="0" quotePrefix="0" xfId="0"/>
    <xf numFmtId="165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PACIFIC EDGE LIMITED (PEB.NZ) - DCF MODEL - version 1.0 (fresh build, supersedes nothing)</t>
        </is>
      </c>
    </row>
    <row r="2">
      <c r="A2" t="inlineStr">
        <is>
          <t>Built by: dcf-analyst agent (Claude Fable 5), 2026-08-24, at the user's request via the research pipeline.</t>
        </is>
      </c>
    </row>
    <row r="3">
      <c r="A3" t="inlineStr"/>
    </row>
    <row r="4">
      <c r="A4" t="inlineStr">
        <is>
          <t>DATA VINTAGE - these figures go stale:</t>
        </is>
      </c>
    </row>
    <row r="5">
      <c r="A5" t="inlineStr">
        <is>
          <t>Price NZ$0.25 - NZX close 2026-08-21 16:59 NZT (Yahoo Finance, verified live). Quote and financials both NZD.</t>
        </is>
      </c>
    </row>
    <row r="6">
      <c r="A6" t="inlineStr">
        <is>
          <t>Balance sheet 31-Mar-2026 (FY2026 Annual Report): cash+ST deposits NZ$7.776m; IFRS-16 lease liabilities NZ$1.285m (no other debt).</t>
        </is>
      </c>
    </row>
    <row r="7">
      <c r="A7" t="inlineStr">
        <is>
          <t>Cash anchor NZ$41.9m = 7.776 + est. NZ$34.1m net from the May-2026 NZ$25.4m placement and June-2026 NZ$10.7m retail offer; paired with FULL FY2027 flows so no burn is double-counted.</t>
        </is>
      </c>
    </row>
    <row r="8">
      <c r="A8" t="inlineStr">
        <is>
          <t>Shares 1,263.3m EST = 1,022.632m on issue 31-Mar-2026 (AR note 18; the Metrics.csv 944.5m is the FY2026 weighted average) + est. 240.7m from the NZ$36.1m raise at an ESTIMATED NZ$0.15/share (issue price not stated in the AR; pre-draft-LCD price was NZ$0.174). Range 1,235-1,324m.</t>
        </is>
      </c>
    </row>
    <row r="9">
      <c r="A9" t="inlineStr">
        <is>
          <t>Guidance: FY2027 target cash burn NZ$2.5m/month; LCD finalization expected end-CY2026 (company) to mid-CY2027 (Novitas 365-day outside date + 45-day effectiveness).</t>
        </is>
      </c>
    </row>
    <row r="10">
      <c r="A10" t="inlineStr"/>
    </row>
    <row r="11">
      <c r="A11" t="inlineStr">
        <is>
          <t>METHODOLOGY (one line each):</t>
        </is>
      </c>
    </row>
    <row r="12">
      <c r="A12" t="inlineStr">
        <is>
          <t>Model: scenario-weighted BINARY-EVENT valuation (Novitas draft LCD DL40378 finalizes vs fails) - the deal-completes/deal-breaks pattern applied to a reimbursement decision, because PEB is pre-profit (owner FCF negative every year FY2019-FY2026) and a historical-FCF DCF would be meaningless.</t>
        </is>
      </c>
    </row>
    <row r="13">
      <c r="A13" t="inlineStr">
        <is>
          <t>Bull/Base: forward COMPONENT-BUILT 10-year owner-FCF DCFs (FY2027-FY2036); nothing extrapolated from the burned FY2026 base.</t>
        </is>
      </c>
    </row>
    <row r="14">
      <c r="A14" t="inlineStr">
        <is>
          <t>Bear: wind-down asset/scenario value (NZ/APAC business + IP salvage + residual cash - restructuring), NOT a growth DCF; near zero by design.</t>
        </is>
      </c>
    </row>
    <row r="15">
      <c r="A15" t="inlineStr">
        <is>
          <t>WACC 16% NZD-built: 11% NZ small-cap CoE + 2.0% micro-cap illiquidity + 1.5% single-product + 1.5% pre-profit financing risk. The LCD binary is charged ONCE, in scenario weights (20/45/35), never also in WACC.</t>
        </is>
      </c>
    </row>
    <row r="16">
      <c r="A16" t="inlineStr">
        <is>
          <t>Dilution: SBC expensed in flows with count flat (charge-once); the equity RAISES are genuine non-SBC issuance modelled explicitly per scenario (shares added + proceeds PV'd in).</t>
        </is>
      </c>
    </row>
    <row r="17">
      <c r="A17" t="inlineStr">
        <is>
          <t>Leases: treatment (A) - NZ$1.285m lease liabilities in net debt, no flow adjustment (immaterial).</t>
        </is>
      </c>
    </row>
    <row r="18">
      <c r="A18" t="inlineStr">
        <is>
          <t>Terminal: max(0, min(Gordon 3%, 15x cap)) - Gordon binds in both DCF scenarios.</t>
        </is>
      </c>
    </row>
    <row r="19">
      <c r="A19" t="inlineStr">
        <is>
          <t>Scenario drivers are the dcf-analyst agent's judgment, set 2026-08-24 from the FY2026 AR, draft LCD DL40378 and Q1-FY27 update.</t>
        </is>
      </c>
    </row>
    <row r="20">
      <c r="A20" t="inlineStr"/>
    </row>
    <row r="21">
      <c r="A21" t="inlineStr">
        <is>
          <t>REFRESH AFTER: final LCD publication (the dominant input - re-weight scenarios immediately); H1-FY2027 results (Nov-2026: claim-by-claim Medicare receipts, burn rate, actual share count on issue); any further capital raise.</t>
        </is>
      </c>
    </row>
    <row r="22">
      <c r="A22" t="inlineStr"/>
    </row>
    <row r="23">
      <c r="A23" t="inlineStr">
        <is>
          <t>CELL COLOURS: blue font = hardcoded input; yellow fill = key driver lever; black = formula; green font = cross-sheet link; green fill = headline value.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Reported history (source: PEB.NZ_Metrics.csv from FY2020-FY2026 Annual Reports; NZ$m)</t>
        </is>
      </c>
    </row>
    <row r="2">
      <c r="B2" s="2" t="inlineStr">
        <is>
          <t>FY2019</t>
        </is>
      </c>
      <c r="C2" s="2" t="inlineStr">
        <is>
          <t>FY2020</t>
        </is>
      </c>
      <c r="D2" s="2" t="inlineStr">
        <is>
          <t>FY2021</t>
        </is>
      </c>
      <c r="E2" s="2" t="inlineStr">
        <is>
          <t>FY2022</t>
        </is>
      </c>
      <c r="F2" s="2" t="inlineStr">
        <is>
          <t>FY2023</t>
        </is>
      </c>
      <c r="G2" s="2" t="inlineStr">
        <is>
          <t>FY2024</t>
        </is>
      </c>
      <c r="H2" s="2" t="inlineStr">
        <is>
          <t>FY2025</t>
        </is>
      </c>
      <c r="I2" s="2" t="inlineStr">
        <is>
          <t>FY2026</t>
        </is>
      </c>
    </row>
    <row r="3">
      <c r="A3" t="inlineStr">
        <is>
          <t>Revenue (NZ$m)</t>
        </is>
      </c>
      <c r="B3" s="3" t="n">
        <v>3.817</v>
      </c>
      <c r="C3" s="3" t="n">
        <v>4.37</v>
      </c>
      <c r="D3" s="3" t="n">
        <v>7.701</v>
      </c>
      <c r="E3" s="3" t="n">
        <v>11.445</v>
      </c>
      <c r="F3" s="3" t="n">
        <v>19.616</v>
      </c>
      <c r="G3" s="3" t="n">
        <v>23.907</v>
      </c>
      <c r="H3" s="3" t="n">
        <v>21.846</v>
      </c>
      <c r="I3" s="3" t="n">
        <v>11.499</v>
      </c>
    </row>
    <row r="4">
      <c r="A4" t="inlineStr">
        <is>
          <t>Net income</t>
        </is>
      </c>
      <c r="B4" s="3" t="n">
        <v>-17.918</v>
      </c>
      <c r="C4" s="3" t="n">
        <v>-18.886</v>
      </c>
      <c r="D4" s="3" t="n">
        <v>-14.223</v>
      </c>
      <c r="E4" s="3" t="n">
        <v>-19.788</v>
      </c>
      <c r="F4" s="3" t="n">
        <v>-26.965</v>
      </c>
      <c r="G4" s="3" t="n">
        <v>-29.535</v>
      </c>
      <c r="H4" s="3" t="n">
        <v>-29.936</v>
      </c>
      <c r="I4" s="3" t="n">
        <v>-35.778</v>
      </c>
    </row>
    <row r="5">
      <c r="A5" t="inlineStr">
        <is>
          <t>Operating cash flow</t>
        </is>
      </c>
      <c r="B5" s="3" t="n">
        <v>-17.507</v>
      </c>
      <c r="C5" s="3" t="n">
        <v>-15.385</v>
      </c>
      <c r="D5" s="3" t="n">
        <v>-13.57</v>
      </c>
      <c r="E5" s="3" t="n">
        <v>-17.552</v>
      </c>
      <c r="F5" s="3" t="n">
        <v>-25.575</v>
      </c>
      <c r="G5" s="3" t="n">
        <v>-25.75</v>
      </c>
      <c r="H5" s="3" t="n">
        <v>-24.74</v>
      </c>
      <c r="I5" s="3" t="n">
        <v>-31.938</v>
      </c>
    </row>
    <row r="6">
      <c r="A6" t="inlineStr">
        <is>
          <t>Capex</t>
        </is>
      </c>
      <c r="B6" s="3" t="n">
        <v>0.156</v>
      </c>
      <c r="C6" s="3" t="n">
        <v>0.183</v>
      </c>
      <c r="D6" s="3" t="n">
        <v>0.378</v>
      </c>
      <c r="E6" s="3" t="n">
        <v>1.126</v>
      </c>
      <c r="F6" s="3" t="n">
        <v>2.909</v>
      </c>
      <c r="G6" s="3" t="n">
        <v>1.372</v>
      </c>
      <c r="H6" s="3" t="n">
        <v>1.273</v>
      </c>
      <c r="I6" s="3" t="n">
        <v>0.132</v>
      </c>
    </row>
    <row r="7">
      <c r="A7" t="inlineStr">
        <is>
          <t>Reported FCF</t>
        </is>
      </c>
      <c r="B7" s="3" t="n">
        <v>-17.663</v>
      </c>
      <c r="C7" s="3" t="n">
        <v>-15.568</v>
      </c>
      <c r="D7" s="3" t="n">
        <v>-13.948</v>
      </c>
      <c r="E7" s="3" t="n">
        <v>-18.678</v>
      </c>
      <c r="F7" s="3" t="n">
        <v>-28.484</v>
      </c>
      <c r="G7" s="3" t="n">
        <v>-27.122</v>
      </c>
      <c r="H7" s="3" t="n">
        <v>-26.013</v>
      </c>
      <c r="I7" s="3" t="n">
        <v>-32.07</v>
      </c>
    </row>
    <row r="8">
      <c r="A8" t="inlineStr">
        <is>
          <t>Shareholders' equity</t>
        </is>
      </c>
      <c r="B8" s="3" t="n">
        <v>13.91</v>
      </c>
      <c r="C8" s="3" t="n">
        <v>14.504</v>
      </c>
      <c r="D8" s="3" t="n">
        <v>25.109</v>
      </c>
      <c r="E8" s="3" t="n">
        <v>108.376</v>
      </c>
      <c r="F8" s="3" t="n">
        <v>82.76300000000001</v>
      </c>
      <c r="G8" s="3" t="n">
        <v>54.622</v>
      </c>
      <c r="H8" s="3" t="n">
        <v>26.085</v>
      </c>
      <c r="I8" s="3" t="n">
        <v>10.659</v>
      </c>
    </row>
    <row r="9">
      <c r="A9" t="inlineStr">
        <is>
          <t>Cash + ST deposits</t>
        </is>
      </c>
      <c r="B9" s="3" t="n">
        <v>12.847</v>
      </c>
      <c r="C9" s="3" t="n">
        <v>14.784</v>
      </c>
      <c r="D9" s="3" t="n">
        <v>23.129</v>
      </c>
      <c r="E9" s="3" t="n">
        <v>105.412</v>
      </c>
      <c r="F9" s="3" t="n">
        <v>77.791</v>
      </c>
      <c r="G9" s="3" t="n">
        <v>50.261</v>
      </c>
      <c r="H9" s="3" t="n">
        <v>22.568</v>
      </c>
      <c r="I9" s="3" t="n">
        <v>7.776</v>
      </c>
    </row>
    <row r="10">
      <c r="A10" t="inlineStr">
        <is>
          <t>Lease liabilities (only debt)</t>
        </is>
      </c>
      <c r="B10" s="3" t="n">
        <v>0.08400000000000001</v>
      </c>
      <c r="C10" s="3" t="n">
        <v>1.554</v>
      </c>
      <c r="D10" s="3" t="n">
        <v>2.878</v>
      </c>
      <c r="E10" s="3" t="n">
        <v>1.923</v>
      </c>
      <c r="F10" s="3" t="n">
        <v>1.222</v>
      </c>
      <c r="G10" s="3" t="n">
        <v>4.073</v>
      </c>
      <c r="H10" s="3" t="n">
        <v>2.901</v>
      </c>
      <c r="I10" s="3" t="n">
        <v>1.285</v>
      </c>
    </row>
    <row r="11">
      <c r="A11" t="inlineStr">
        <is>
          <t>Weighted avg shares (m)</t>
        </is>
      </c>
      <c r="B11" s="3" t="n">
        <v>504.426</v>
      </c>
      <c r="C11" s="3" t="n">
        <v>581.3440000000001</v>
      </c>
      <c r="D11" s="3" t="n">
        <v>714.0309999999999</v>
      </c>
      <c r="E11" s="3" t="n">
        <v>767.924</v>
      </c>
      <c r="F11" s="3" t="n">
        <v>810.226</v>
      </c>
      <c r="G11" s="3" t="n">
        <v>810.727</v>
      </c>
      <c r="H11" s="3" t="n">
        <v>811.736</v>
      </c>
      <c r="I11" s="3" t="n">
        <v>944.534</v>
      </c>
    </row>
    <row r="12">
      <c r="A12" t="inlineStr">
        <is>
          <t>FY-end share price (NZ$)</t>
        </is>
      </c>
      <c r="B12" s="3" t="n">
        <v>0.253</v>
      </c>
      <c r="C12" s="3" t="n">
        <v>0.103</v>
      </c>
      <c r="D12" s="3" t="n">
        <v>1.15</v>
      </c>
      <c r="E12" s="3" t="n">
        <v>0.9</v>
      </c>
      <c r="F12" s="3" t="n">
        <v>0.465</v>
      </c>
      <c r="G12" s="3" t="n">
        <v>0.093</v>
      </c>
      <c r="H12" s="3" t="n">
        <v>0.098</v>
      </c>
      <c r="I12" s="3" t="n">
        <v>0.17</v>
      </c>
    </row>
    <row r="14">
      <c r="A14" t="inlineStr">
        <is>
          <t>Balance-sheet snapshot / share count: 1,022,631,578 shares ON ISSUE at 31-Mar-2026 (AR note 18). Aug-2025 raise: 207.3m shares at NZ$0.100 (NZ$20.7m). May/Jun-2026 raise: NZ$36.1m, est. NZ$0.15/share, est. +240.7m shares. Buybacks: none, ever.</t>
        </is>
      </c>
    </row>
    <row r="15">
      <c r="A15" t="inlineStr">
        <is>
          <t>Guidance: FY2027 cash-burn target NZ$2.5m/month; runway 'over 12 months' from the raise, explicitly conditioned on Medicare progress. No revenue/EPS guidance issued.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3" max="3"/>
  </cols>
  <sheetData>
    <row r="1">
      <c r="A1" s="1" t="inlineStr">
        <is>
          <t>Global assumptions</t>
        </is>
      </c>
    </row>
    <row r="3">
      <c r="A3" t="inlineStr">
        <is>
          <t>WACC (NZD-built)</t>
        </is>
      </c>
      <c r="B3" s="4" t="n">
        <v>0.16</v>
      </c>
      <c r="C3" t="inlineStr">
        <is>
          <t>11% NZ small-cap CoE + 2% illiquidity + 1.5% single-product + 1.5% pre-profit financing. LCD binary charged in weights, not here.</t>
        </is>
      </c>
    </row>
    <row r="4">
      <c r="A4" t="inlineStr">
        <is>
          <t>Terminal growth</t>
        </is>
      </c>
      <c r="B4" s="4" t="n">
        <v>0.03</v>
      </c>
      <c r="C4" t="inlineStr">
        <is>
          <t>Population/incidence + price; applies to bull and base.</t>
        </is>
      </c>
    </row>
    <row r="5">
      <c r="A5" t="inlineStr">
        <is>
          <t>TV cap multiple (x FCF10)</t>
        </is>
      </c>
      <c r="B5" s="4" t="n">
        <v>15</v>
      </c>
      <c r="C5" t="inlineStr">
        <is>
          <t>Diagnostics, not a mature compounder; Gordon binds in both scenarios anyway.</t>
        </is>
      </c>
    </row>
    <row r="6">
      <c r="A6" t="inlineStr">
        <is>
          <t>D&amp;A % of revenue</t>
        </is>
      </c>
      <c r="B6" s="4" t="n">
        <v>0.02</v>
      </c>
      <c r="C6" t="inlineStr">
        <is>
          <t>Lab equipment + ROU amortisation.</t>
        </is>
      </c>
    </row>
    <row r="7">
      <c r="A7" t="inlineStr">
        <is>
          <t>Capex % of revenue</t>
        </is>
      </c>
      <c r="B7" s="4" t="n">
        <v>0.025</v>
      </c>
      <c r="C7" t="inlineStr">
        <is>
          <t>Lab capacity rebuild as volumes recover.</t>
        </is>
      </c>
    </row>
    <row r="8">
      <c r="A8" t="inlineStr">
        <is>
          <t>WC capture (on chg in revenue)</t>
        </is>
      </c>
      <c r="B8" s="4" t="n">
        <v>-0.05</v>
      </c>
      <c r="C8" t="inlineStr">
        <is>
          <t>NEGATIVE: receivables build with growth (Medicare claim-by-claim pays slowly).</t>
        </is>
      </c>
    </row>
    <row r="9">
      <c r="A9" t="inlineStr">
        <is>
          <t>Net cash (NZ$m, post-raise)</t>
        </is>
      </c>
      <c r="B9" s="4" t="n">
        <v>40.59</v>
      </c>
      <c r="C9" t="inlineStr">
        <is>
          <t>Cash 7.776 (31-Mar-26) + 34.1 est. net raise - 1.285 leases. Paired with FULL FY2027 flows.</t>
        </is>
      </c>
    </row>
    <row r="10">
      <c r="A10" t="inlineStr">
        <is>
          <t>Current price (NZ$)</t>
        </is>
      </c>
      <c r="B10" s="4" t="n">
        <v>0.25</v>
      </c>
      <c r="C10" t="inlineStr">
        <is>
          <t>NZX close 2026-08-21 (Yahoo, verified live).</t>
        </is>
      </c>
    </row>
    <row r="11">
      <c r="A11" t="inlineStr">
        <is>
          <t>Current shares (m, est.)</t>
        </is>
      </c>
      <c r="B11" s="4" t="n">
        <v>1263.3</v>
      </c>
      <c r="C11" t="inlineStr">
        <is>
          <t>1,022.6m at 31-Mar-26 + est. 240.7m from NZ$36.1m raise at est. NZ$0.15.</t>
        </is>
      </c>
    </row>
    <row r="13">
      <c r="A13" s="2" t="inlineStr">
        <is>
          <t>Per scenario</t>
        </is>
      </c>
      <c r="B13" s="2" t="inlineStr">
        <is>
          <t>Bear</t>
        </is>
      </c>
      <c r="C13" s="2" t="inlineStr">
        <is>
          <t>Base</t>
        </is>
      </c>
      <c r="D13" s="2" t="inlineStr">
        <is>
          <t>Bull</t>
        </is>
      </c>
    </row>
    <row r="14">
      <c r="A14" t="inlineStr">
        <is>
          <t>Probability weight</t>
        </is>
      </c>
      <c r="B14" s="4" t="n">
        <v>0.2</v>
      </c>
      <c r="C14" s="4" t="n">
        <v>0.45</v>
      </c>
      <c r="D14" s="4" t="n">
        <v>0.35</v>
      </c>
      <c r="E14">
        <f>SUM(B14:D14)</f>
        <v/>
      </c>
      <c r="F14" t="inlineStr">
        <is>
          <t>check: must equal 1.00</t>
        </is>
      </c>
    </row>
    <row r="15">
      <c r="A15" t="inlineStr">
        <is>
          <t>Scenario shares (m)</t>
        </is>
      </c>
      <c r="B15" s="3" t="n">
        <v>1463.3</v>
      </c>
      <c r="C15" s="3" t="n">
        <v>1383.3</v>
      </c>
      <c r="D15" s="3" t="n">
        <v>1306.2</v>
      </c>
    </row>
    <row r="16">
      <c r="A16" t="inlineStr">
        <is>
          <t>Raise net proceeds (NZ$m)</t>
        </is>
      </c>
      <c r="B16" s="3" t="n">
        <v>10</v>
      </c>
      <c r="C16" s="3" t="n">
        <v>24</v>
      </c>
      <c r="D16" s="3" t="n">
        <v>15</v>
      </c>
    </row>
    <row r="17">
      <c r="A17" t="inlineStr">
        <is>
          <t>Raise year index</t>
        </is>
      </c>
      <c r="B17" s="3" t="n">
        <v>2</v>
      </c>
      <c r="C17" s="3" t="n">
        <v>2</v>
      </c>
      <c r="D17" s="3" t="n">
        <v>2</v>
      </c>
    </row>
    <row r="18">
      <c r="A18" t="inlineStr">
        <is>
          <t>Raise price (NZ$)</t>
        </is>
      </c>
      <c r="B18" s="3" t="n">
        <v>0.05</v>
      </c>
      <c r="C18" s="3" t="n">
        <v>0.2</v>
      </c>
      <c r="D18" s="3" t="n">
        <v>0.35</v>
      </c>
    </row>
    <row r="20">
      <c r="A20" t="inlineStr">
        <is>
          <t>Scenario shares basis: current 1,263.3m + bear 200m emergency raise at ~$0.05 / base 120m at ~$0.20 / bull 42.9m at ~$0.35 (all FY2028).</t>
        </is>
      </c>
    </row>
    <row r="22">
      <c r="A22" t="inlineStr">
        <is>
          <t>BULL (35%): LCD DL40378 finalized broadly as drafted by ~end-CY2026; Cxbladder Triage/Triage Plus the ONLY covered urine biomarkers (de facto moat) at US$1,328; salesforce rebuilt; Surveillance Plus adds a leg from FY2029. Revenue NZ$15m -&gt; NZ$166m by FY2036, mature EBITDA margin 30%.</t>
        </is>
      </c>
    </row>
    <row r="23">
      <c r="A23" t="inlineStr">
        <is>
          <t>BASE (45%): LCD finalized LATE (toward the May-2027 outside date) and/or narrowed; slow US rebuild off 8-12 sales FTE; commercial payers + NZ/APAC carry the interim; one further NZ$25m raise FY2028. Revenue NZ$12.5m -&gt; NZ$89m by FY2036, mature margin 26%.</t>
        </is>
      </c>
    </row>
    <row r="24">
      <c r="A24" t="inlineStr">
        <is>
          <t>BEAR (20%): draft LCD retired or excludes Cxbladder (Novitas has reversed on this product before); cash ~NZ$4.4m at mid-2027 clarity; US wound down; residual = NZ/APAC (~NZ$8m) + IP salvage (~NZ$7m) + emergency raise; heavy dilution. See Bear_Scenario tab.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DCF_Base - component-built owner-FCF DCF, FY2027-FY2036 (NZ$m)</t>
        </is>
      </c>
    </row>
    <row r="3">
      <c r="B3" s="2" t="inlineStr">
        <is>
          <t>2026A</t>
        </is>
      </c>
      <c r="C3" s="2" t="inlineStr">
        <is>
          <t>FY2027E</t>
        </is>
      </c>
      <c r="D3" s="2" t="inlineStr">
        <is>
          <t>FY2028E</t>
        </is>
      </c>
      <c r="E3" s="2" t="inlineStr">
        <is>
          <t>FY2029E</t>
        </is>
      </c>
      <c r="F3" s="2" t="inlineStr">
        <is>
          <t>FY2030E</t>
        </is>
      </c>
      <c r="G3" s="2" t="inlineStr">
        <is>
          <t>FY2031E</t>
        </is>
      </c>
      <c r="H3" s="2" t="inlineStr">
        <is>
          <t>FY2032E</t>
        </is>
      </c>
      <c r="I3" s="2" t="inlineStr">
        <is>
          <t>FY2033E</t>
        </is>
      </c>
      <c r="J3" s="2" t="inlineStr">
        <is>
          <t>FY2034E</t>
        </is>
      </c>
      <c r="K3" s="2" t="inlineStr">
        <is>
          <t>FY2035E</t>
        </is>
      </c>
      <c r="L3" s="2" t="inlineStr">
        <is>
          <t>FY2036E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0.087051</v>
      </c>
      <c r="D5" s="5" t="n">
        <v>0.6</v>
      </c>
      <c r="E5" s="5" t="n">
        <v>0.6</v>
      </c>
      <c r="F5" s="5" t="n">
        <v>0.375</v>
      </c>
      <c r="G5" s="5" t="n">
        <v>0.25</v>
      </c>
      <c r="H5" s="5" t="n">
        <v>0.181818</v>
      </c>
      <c r="I5" s="5" t="n">
        <v>0.123077</v>
      </c>
      <c r="J5" s="5" t="n">
        <v>0.09589</v>
      </c>
      <c r="K5" s="5" t="n">
        <v>0.0625</v>
      </c>
      <c r="L5" s="5" t="n">
        <v>0.047059</v>
      </c>
    </row>
    <row r="6">
      <c r="A6" t="inlineStr">
        <is>
          <t>Revenue</t>
        </is>
      </c>
      <c r="B6" s="3" t="n">
        <v>11.499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C7" s="5" t="n">
        <v>-2</v>
      </c>
      <c r="D7" s="5" t="n">
        <v>-0.8</v>
      </c>
      <c r="E7" s="5" t="n">
        <v>-0.2</v>
      </c>
      <c r="F7" s="5" t="n">
        <v>0.02</v>
      </c>
      <c r="G7" s="5" t="n">
        <v>0.1</v>
      </c>
      <c r="H7" s="5" t="n">
        <v>0.16</v>
      </c>
      <c r="I7" s="5" t="n">
        <v>0.2</v>
      </c>
      <c r="J7" s="5" t="n">
        <v>0.23</v>
      </c>
      <c r="K7" s="5" t="n">
        <v>0.25</v>
      </c>
      <c r="L7" s="5" t="n">
        <v>0.26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5" t="n">
        <v>0.02</v>
      </c>
      <c r="D9" s="5" t="n">
        <v>0.017</v>
      </c>
      <c r="E9" s="5" t="n">
        <v>0.015</v>
      </c>
      <c r="F9" s="5" t="n">
        <v>0.015</v>
      </c>
      <c r="G9" s="5" t="n">
        <v>0.015</v>
      </c>
      <c r="H9" s="5" t="n">
        <v>0.015</v>
      </c>
      <c r="I9" s="5" t="n">
        <v>0.015</v>
      </c>
      <c r="J9" s="5" t="n">
        <v>0.015</v>
      </c>
      <c r="K9" s="5" t="n">
        <v>0.015</v>
      </c>
      <c r="L9" s="5" t="n">
        <v>0.015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(negative)</t>
        </is>
      </c>
      <c r="C12" s="6">
        <f>-C6*Assumptions!$B$6</f>
        <v/>
      </c>
      <c r="D12" s="6">
        <f>-D6*Assumptions!$B$6</f>
        <v/>
      </c>
      <c r="E12" s="6">
        <f>-E6*Assumptions!$B$6</f>
        <v/>
      </c>
      <c r="F12" s="6">
        <f>-F6*Assumptions!$B$6</f>
        <v/>
      </c>
      <c r="G12" s="6">
        <f>-G6*Assumptions!$B$6</f>
        <v/>
      </c>
      <c r="H12" s="6">
        <f>-H6*Assumptions!$B$6</f>
        <v/>
      </c>
      <c r="I12" s="6">
        <f>-I6*Assumptions!$B$6</f>
        <v/>
      </c>
      <c r="J12" s="6">
        <f>-J6*Assumptions!$B$6</f>
        <v/>
      </c>
      <c r="K12" s="6">
        <f>-K6*Assumptions!$B$6</f>
        <v/>
      </c>
      <c r="L12" s="6">
        <f>-L6*Assumptions!$B$6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0.1</v>
      </c>
      <c r="J14" s="7" t="n">
        <v>0.15</v>
      </c>
      <c r="K14" s="7" t="n">
        <v>0.2</v>
      </c>
      <c r="L14" s="7" t="n">
        <v>0.25</v>
      </c>
    </row>
    <row r="15">
      <c r="A15" t="inlineStr">
        <is>
          <t>NOPAT (tax on positive EBIT only)</t>
        </is>
      </c>
      <c r="C15">
        <f>IF(C13&gt;0,C13*(1-C14),C13)</f>
        <v/>
      </c>
      <c r="D15">
        <f>IF(D13&gt;0,D13*(1-D14),D13)</f>
        <v/>
      </c>
      <c r="E15">
        <f>IF(E13&gt;0,E13*(1-E14),E13)</f>
        <v/>
      </c>
      <c r="F15">
        <f>IF(F13&gt;0,F13*(1-F14),F13)</f>
        <v/>
      </c>
      <c r="G15">
        <f>IF(G13&gt;0,G13*(1-G14),G13)</f>
        <v/>
      </c>
      <c r="H15">
        <f>IF(H13&gt;0,H13*(1-H14),H13)</f>
        <v/>
      </c>
      <c r="I15">
        <f>IF(I13&gt;0,I13*(1-I14),I13)</f>
        <v/>
      </c>
      <c r="J15">
        <f>IF(J13&gt;0,J13*(1-J14),J13)</f>
        <v/>
      </c>
      <c r="K15">
        <f>IF(K13&gt;0,K13*(1-K14),K13)</f>
        <v/>
      </c>
      <c r="L15">
        <f>IF(L13&gt;0,L13*(1-L14),L13)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</t>
        </is>
      </c>
      <c r="C17" s="6">
        <f>-C6*Assumptions!$B$7</f>
        <v/>
      </c>
      <c r="D17" s="6">
        <f>-D6*Assumptions!$B$7</f>
        <v/>
      </c>
      <c r="E17" s="6">
        <f>-E6*Assumptions!$B$7</f>
        <v/>
      </c>
      <c r="F17" s="6">
        <f>-F6*Assumptions!$B$7</f>
        <v/>
      </c>
      <c r="G17" s="6">
        <f>-G6*Assumptions!$B$7</f>
        <v/>
      </c>
      <c r="H17" s="6">
        <f>-H6*Assumptions!$B$7</f>
        <v/>
      </c>
      <c r="I17" s="6">
        <f>-I6*Assumptions!$B$7</f>
        <v/>
      </c>
      <c r="J17" s="6">
        <f>-J6*Assumptions!$B$7</f>
        <v/>
      </c>
      <c r="K17" s="6">
        <f>-K6*Assumptions!$B$7</f>
        <v/>
      </c>
      <c r="L17" s="6">
        <f>-L6*Assumptions!$B$7</f>
        <v/>
      </c>
    </row>
    <row r="18">
      <c r="A18" t="inlineStr">
        <is>
          <t>add working capital</t>
        </is>
      </c>
      <c r="C18" s="6">
        <f>Assumptions!$B$8*(C6-B6)</f>
        <v/>
      </c>
      <c r="D18" s="6">
        <f>Assumptions!$B$8*(D6-C6)</f>
        <v/>
      </c>
      <c r="E18" s="6">
        <f>Assumptions!$B$8*(E6-D6)</f>
        <v/>
      </c>
      <c r="F18" s="6">
        <f>Assumptions!$B$8*(F6-E6)</f>
        <v/>
      </c>
      <c r="G18" s="6">
        <f>Assumptions!$B$8*(G6-F6)</f>
        <v/>
      </c>
      <c r="H18" s="6">
        <f>Assumptions!$B$8*(H6-G6)</f>
        <v/>
      </c>
      <c r="I18" s="6">
        <f>Assumptions!$B$8*(I6-H6)</f>
        <v/>
      </c>
      <c r="J18" s="6">
        <f>Assumptions!$B$8*(J6-I6)</f>
        <v/>
      </c>
      <c r="K18" s="6">
        <f>Assumptions!$B$8*(K6-J6)</f>
        <v/>
      </c>
      <c r="L18" s="6">
        <f>Assumptions!$B$8*(L6-K6)</f>
        <v/>
      </c>
    </row>
    <row r="19">
      <c r="A19" t="inlineStr">
        <is>
          <t>Unlevered owner FCF</t>
        </is>
      </c>
      <c r="C19" s="2">
        <f>C15+C16+C17+C18</f>
        <v/>
      </c>
      <c r="D19" s="2">
        <f>D15+D16+D17+D18</f>
        <v/>
      </c>
      <c r="E19" s="2">
        <f>E15+E16+E17+E18</f>
        <v/>
      </c>
      <c r="F19" s="2">
        <f>F15+F16+F17+F18</f>
        <v/>
      </c>
      <c r="G19" s="2">
        <f>G15+G16+G17+G18</f>
        <v/>
      </c>
      <c r="H19" s="2">
        <f>H15+H16+H17+H18</f>
        <v/>
      </c>
      <c r="I19" s="2">
        <f>I15+I16+I17+I18</f>
        <v/>
      </c>
      <c r="J19" s="2">
        <f>J15+J16+J17+J18</f>
        <v/>
      </c>
      <c r="K19" s="2">
        <f>K15+K16+K17+K18</f>
        <v/>
      </c>
      <c r="L19" s="2">
        <f>L15+L16+L17+L18</f>
        <v/>
      </c>
    </row>
    <row r="20">
      <c r="A20" t="inlineStr">
        <is>
          <t>Discount factor</t>
        </is>
      </c>
      <c r="C20" s="8">
        <f>1/(1+Assumptions!$B$3)^C4</f>
        <v/>
      </c>
      <c r="D20" s="8">
        <f>1/(1+Assumptions!$B$3)^D4</f>
        <v/>
      </c>
      <c r="E20" s="8">
        <f>1/(1+Assumptions!$B$3)^E4</f>
        <v/>
      </c>
      <c r="F20" s="8">
        <f>1/(1+Assumptions!$B$3)^F4</f>
        <v/>
      </c>
      <c r="G20" s="8">
        <f>1/(1+Assumptions!$B$3)^G4</f>
        <v/>
      </c>
      <c r="H20" s="8">
        <f>1/(1+Assumptions!$B$3)^H4</f>
        <v/>
      </c>
      <c r="I20" s="8">
        <f>1/(1+Assumptions!$B$3)^I4</f>
        <v/>
      </c>
      <c r="J20" s="8">
        <f>1/(1+Assumptions!$B$3)^J4</f>
        <v/>
      </c>
      <c r="K20" s="8">
        <f>1/(1+Assumptions!$B$3)^K4</f>
        <v/>
      </c>
      <c r="L20" s="8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implied owner-FCF margin</t>
        </is>
      </c>
      <c r="C24" s="9">
        <f>C19/C6</f>
        <v/>
      </c>
      <c r="D24" s="9">
        <f>D19/D6</f>
        <v/>
      </c>
      <c r="E24" s="9">
        <f>E19/E6</f>
        <v/>
      </c>
      <c r="F24" s="9">
        <f>F19/F6</f>
        <v/>
      </c>
      <c r="G24" s="9">
        <f>G19/G6</f>
        <v/>
      </c>
      <c r="H24" s="9">
        <f>H19/H6</f>
        <v/>
      </c>
      <c r="I24" s="9">
        <f>I19/I6</f>
        <v/>
      </c>
      <c r="J24" s="9">
        <f>J19/J6</f>
        <v/>
      </c>
      <c r="K24" s="9">
        <f>K19/K6</f>
        <v/>
      </c>
      <c r="L24" s="9">
        <f>L19/L6</f>
        <v/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6">
        <f>Assumptions!$B$4</f>
        <v/>
      </c>
    </row>
    <row r="28">
      <c r="A28" t="inlineStr">
        <is>
          <t>Terminal FCF (FY2036 x (1+g))</t>
        </is>
      </c>
      <c r="B28">
        <f>L19*(1+B27)</f>
        <v/>
      </c>
    </row>
    <row r="29">
      <c r="A29" t="inlineStr">
        <is>
          <t>Gordon TV</t>
        </is>
      </c>
      <c r="B29">
        <f>IF(Assumptions!$B$3&gt;B27,B28/(Assumptions!$B$3-B27),9.9E+99)</f>
        <v/>
      </c>
    </row>
    <row r="30">
      <c r="A30" t="inlineStr">
        <is>
          <t>Cap TV (15x FCF10)</t>
        </is>
      </c>
      <c r="B30">
        <f>Assumptions!$B$5*L19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(TV/FCF10)</t>
        </is>
      </c>
      <c r="B32">
        <f>IF(L19&gt;0,B31/L19,"n/a")</f>
        <v/>
      </c>
    </row>
    <row r="33">
      <c r="A33" t="inlineStr">
        <is>
          <t>PV of TV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 s="6">
        <f>Assumptions!$B$9</f>
        <v/>
      </c>
    </row>
    <row r="36">
      <c r="A36" t="inlineStr">
        <is>
          <t>add PV of FY2028 raise proceeds</t>
        </is>
      </c>
      <c r="B36">
        <f>Assumptions!C16/(1+Assumptions!$B$3)^Assumptions!C17</f>
        <v/>
      </c>
    </row>
    <row r="37">
      <c r="A37" t="inlineStr">
        <is>
          <t>Equity value</t>
        </is>
      </c>
      <c r="B37">
        <f>B34+B35+B36</f>
        <v/>
      </c>
    </row>
    <row r="38">
      <c r="A38" t="inlineStr">
        <is>
          <t>Scenario diluted shares (m)</t>
        </is>
      </c>
      <c r="B38" s="6">
        <f>Assumptions!C15</f>
        <v/>
      </c>
    </row>
    <row r="39">
      <c r="A39" t="inlineStr">
        <is>
          <t>VALUE PER SHARE (NZ$)</t>
        </is>
      </c>
      <c r="B39" s="10">
        <f>B37/B38</f>
        <v/>
      </c>
    </row>
    <row r="40">
      <c r="A40" t="inlineStr">
        <is>
          <t>Upside vs price</t>
        </is>
      </c>
      <c r="B40" s="9">
        <f>B39/Assumptions!$B$10-1</f>
        <v/>
      </c>
    </row>
    <row r="42">
      <c r="A42" t="inlineStr">
        <is>
          <t>Street memo (SBC as non-cash add-back)</t>
        </is>
      </c>
      <c r="B42">
        <f>SUMPRODUCT(-C10:L10/(1+Assumptions!$B$3)^C4:L4)</f>
        <v/>
      </c>
    </row>
    <row r="43">
      <c r="A43" t="inlineStr">
        <is>
          <t>PV of terminal SBC</t>
        </is>
      </c>
      <c r="B43">
        <f>(-L10)*(1+B27)/(Assumptions!$B$3-B27)*L20</f>
        <v/>
      </c>
    </row>
    <row r="44">
      <c r="A44" t="inlineStr">
        <is>
          <t>Street value per share</t>
        </is>
      </c>
      <c r="B44" s="11">
        <f>(B37+B42+B43)/B38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DCF_Bull - component-built owner-FCF DCF, FY2027-FY2036 (NZ$m)</t>
        </is>
      </c>
    </row>
    <row r="3">
      <c r="B3" s="2" t="inlineStr">
        <is>
          <t>2026A</t>
        </is>
      </c>
      <c r="C3" s="2" t="inlineStr">
        <is>
          <t>FY2027E</t>
        </is>
      </c>
      <c r="D3" s="2" t="inlineStr">
        <is>
          <t>FY2028E</t>
        </is>
      </c>
      <c r="E3" s="2" t="inlineStr">
        <is>
          <t>FY2029E</t>
        </is>
      </c>
      <c r="F3" s="2" t="inlineStr">
        <is>
          <t>FY2030E</t>
        </is>
      </c>
      <c r="G3" s="2" t="inlineStr">
        <is>
          <t>FY2031E</t>
        </is>
      </c>
      <c r="H3" s="2" t="inlineStr">
        <is>
          <t>FY2032E</t>
        </is>
      </c>
      <c r="I3" s="2" t="inlineStr">
        <is>
          <t>FY2033E</t>
        </is>
      </c>
      <c r="J3" s="2" t="inlineStr">
        <is>
          <t>FY2034E</t>
        </is>
      </c>
      <c r="K3" s="2" t="inlineStr">
        <is>
          <t>FY2035E</t>
        </is>
      </c>
      <c r="L3" s="2" t="inlineStr">
        <is>
          <t>FY2036E</t>
        </is>
      </c>
    </row>
    <row r="4"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C5" s="5" t="n">
        <v>0.304461</v>
      </c>
      <c r="D5" s="5" t="n">
        <v>1.266667</v>
      </c>
      <c r="E5" s="5" t="n">
        <v>0.6176469999999999</v>
      </c>
      <c r="F5" s="5" t="n">
        <v>0.418182</v>
      </c>
      <c r="G5" s="5" t="n">
        <v>0.25641</v>
      </c>
      <c r="H5" s="5" t="n">
        <v>0.204082</v>
      </c>
      <c r="I5" s="5" t="n">
        <v>0.135593</v>
      </c>
      <c r="J5" s="5" t="n">
        <v>0.104478</v>
      </c>
      <c r="K5" s="5" t="n">
        <v>0.067568</v>
      </c>
      <c r="L5" s="5" t="n">
        <v>0.050633</v>
      </c>
    </row>
    <row r="6">
      <c r="A6" t="inlineStr">
        <is>
          <t>Revenue</t>
        </is>
      </c>
      <c r="B6" s="3" t="n">
        <v>11.499</v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  <c r="L6">
        <f>K6*(1+L5)</f>
        <v/>
      </c>
    </row>
    <row r="7">
      <c r="A7" t="inlineStr">
        <is>
          <t>Adj EBITDA margin</t>
        </is>
      </c>
      <c r="C7" s="5" t="n">
        <v>-1.7</v>
      </c>
      <c r="D7" s="5" t="n">
        <v>-0.35</v>
      </c>
      <c r="E7" s="5" t="n">
        <v>0.03</v>
      </c>
      <c r="F7" s="5" t="n">
        <v>0.12</v>
      </c>
      <c r="G7" s="5" t="n">
        <v>0.19</v>
      </c>
      <c r="H7" s="5" t="n">
        <v>0.24</v>
      </c>
      <c r="I7" s="5" t="n">
        <v>0.27</v>
      </c>
      <c r="J7" s="5" t="n">
        <v>0.29</v>
      </c>
      <c r="K7" s="5" t="n">
        <v>0.3</v>
      </c>
      <c r="L7" s="5" t="n">
        <v>0.3</v>
      </c>
    </row>
    <row r="8">
      <c r="A8" t="inlineStr">
        <is>
          <t>Adjusted EBITDA</t>
        </is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  <c r="L8">
        <f>L6*L7</f>
        <v/>
      </c>
    </row>
    <row r="9">
      <c r="A9" t="inlineStr">
        <is>
          <t>SBC % of revenue</t>
        </is>
      </c>
      <c r="C9" s="5" t="n">
        <v>0.02</v>
      </c>
      <c r="D9" s="5" t="n">
        <v>0.017</v>
      </c>
      <c r="E9" s="5" t="n">
        <v>0.015</v>
      </c>
      <c r="F9" s="5" t="n">
        <v>0.015</v>
      </c>
      <c r="G9" s="5" t="n">
        <v>0.015</v>
      </c>
      <c r="H9" s="5" t="n">
        <v>0.015</v>
      </c>
      <c r="I9" s="5" t="n">
        <v>0.015</v>
      </c>
      <c r="J9" s="5" t="n">
        <v>0.015</v>
      </c>
      <c r="K9" s="5" t="n">
        <v>0.015</v>
      </c>
      <c r="L9" s="5" t="n">
        <v>0.015</v>
      </c>
    </row>
    <row r="10">
      <c r="A10" t="inlineStr">
        <is>
          <t>SBC (negative)</t>
        </is>
      </c>
      <c r="C10">
        <f>-C6*C9</f>
        <v/>
      </c>
      <c r="D10">
        <f>-D6*D9</f>
        <v/>
      </c>
      <c r="E10">
        <f>-E6*E9</f>
        <v/>
      </c>
      <c r="F10">
        <f>-F6*F9</f>
        <v/>
      </c>
      <c r="G10">
        <f>-G6*G9</f>
        <v/>
      </c>
      <c r="H10">
        <f>-H6*H9</f>
        <v/>
      </c>
      <c r="I10">
        <f>-I6*I9</f>
        <v/>
      </c>
      <c r="J10">
        <f>-J6*J9</f>
        <v/>
      </c>
      <c r="K10">
        <f>-K6*K9</f>
        <v/>
      </c>
      <c r="L10">
        <f>-L6*L9</f>
        <v/>
      </c>
    </row>
    <row r="11">
      <c r="A11" t="inlineStr">
        <is>
          <t>Owner EBITDA</t>
        </is>
      </c>
      <c r="C11">
        <f>C8+C10</f>
        <v/>
      </c>
      <c r="D11">
        <f>D8+D10</f>
        <v/>
      </c>
      <c r="E11">
        <f>E8+E10</f>
        <v/>
      </c>
      <c r="F11">
        <f>F8+F10</f>
        <v/>
      </c>
      <c r="G11">
        <f>G8+G10</f>
        <v/>
      </c>
      <c r="H11">
        <f>H8+H10</f>
        <v/>
      </c>
      <c r="I11">
        <f>I8+I10</f>
        <v/>
      </c>
      <c r="J11">
        <f>J8+J10</f>
        <v/>
      </c>
      <c r="K11">
        <f>K8+K10</f>
        <v/>
      </c>
      <c r="L11">
        <f>L8+L10</f>
        <v/>
      </c>
    </row>
    <row r="12">
      <c r="A12" t="inlineStr">
        <is>
          <t>D&amp;A (negative)</t>
        </is>
      </c>
      <c r="C12" s="6">
        <f>-C6*Assumptions!$B$6</f>
        <v/>
      </c>
      <c r="D12" s="6">
        <f>-D6*Assumptions!$B$6</f>
        <v/>
      </c>
      <c r="E12" s="6">
        <f>-E6*Assumptions!$B$6</f>
        <v/>
      </c>
      <c r="F12" s="6">
        <f>-F6*Assumptions!$B$6</f>
        <v/>
      </c>
      <c r="G12" s="6">
        <f>-G6*Assumptions!$B$6</f>
        <v/>
      </c>
      <c r="H12" s="6">
        <f>-H6*Assumptions!$B$6</f>
        <v/>
      </c>
      <c r="I12" s="6">
        <f>-I6*Assumptions!$B$6</f>
        <v/>
      </c>
      <c r="J12" s="6">
        <f>-J6*Assumptions!$B$6</f>
        <v/>
      </c>
      <c r="K12" s="6">
        <f>-K6*Assumptions!$B$6</f>
        <v/>
      </c>
      <c r="L12" s="6">
        <f>-L6*Assumptions!$B$6</f>
        <v/>
      </c>
    </row>
    <row r="13">
      <c r="A13" t="inlineStr">
        <is>
          <t>EBIT (SBC expensed)</t>
        </is>
      </c>
      <c r="C13">
        <f>C11+C12</f>
        <v/>
      </c>
      <c r="D13">
        <f>D11+D12</f>
        <v/>
      </c>
      <c r="E13">
        <f>E11+E12</f>
        <v/>
      </c>
      <c r="F13">
        <f>F11+F12</f>
        <v/>
      </c>
      <c r="G13">
        <f>G11+G12</f>
        <v/>
      </c>
      <c r="H13">
        <f>H11+H12</f>
        <v/>
      </c>
      <c r="I13">
        <f>I11+I12</f>
        <v/>
      </c>
      <c r="J13">
        <f>J11+J12</f>
        <v/>
      </c>
      <c r="K13">
        <f>K11+K12</f>
        <v/>
      </c>
      <c r="L13">
        <f>L11+L12</f>
        <v/>
      </c>
    </row>
    <row r="14">
      <c r="A14" t="inlineStr">
        <is>
          <t>Cash tax rate</t>
        </is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0.1</v>
      </c>
      <c r="H14" s="7" t="n">
        <v>0.15</v>
      </c>
      <c r="I14" s="7" t="n">
        <v>0.2</v>
      </c>
      <c r="J14" s="7" t="n">
        <v>0.24</v>
      </c>
      <c r="K14" s="7" t="n">
        <v>0.28</v>
      </c>
      <c r="L14" s="7" t="n">
        <v>0.28</v>
      </c>
    </row>
    <row r="15">
      <c r="A15" t="inlineStr">
        <is>
          <t>NOPAT (tax on positive EBIT only)</t>
        </is>
      </c>
      <c r="C15">
        <f>IF(C13&gt;0,C13*(1-C14),C13)</f>
        <v/>
      </c>
      <c r="D15">
        <f>IF(D13&gt;0,D13*(1-D14),D13)</f>
        <v/>
      </c>
      <c r="E15">
        <f>IF(E13&gt;0,E13*(1-E14),E13)</f>
        <v/>
      </c>
      <c r="F15">
        <f>IF(F13&gt;0,F13*(1-F14),F13)</f>
        <v/>
      </c>
      <c r="G15">
        <f>IF(G13&gt;0,G13*(1-G14),G13)</f>
        <v/>
      </c>
      <c r="H15">
        <f>IF(H13&gt;0,H13*(1-H14),H13)</f>
        <v/>
      </c>
      <c r="I15">
        <f>IF(I13&gt;0,I13*(1-I14),I13)</f>
        <v/>
      </c>
      <c r="J15">
        <f>IF(J13&gt;0,J13*(1-J14),J13)</f>
        <v/>
      </c>
      <c r="K15">
        <f>IF(K13&gt;0,K13*(1-K14),K13)</f>
        <v/>
      </c>
      <c r="L15">
        <f>IF(L13&gt;0,L13*(1-L14),L13)</f>
        <v/>
      </c>
    </row>
    <row r="16">
      <c r="A16" t="inlineStr">
        <is>
          <t>add back D&amp;A</t>
        </is>
      </c>
      <c r="C16">
        <f>-C12</f>
        <v/>
      </c>
      <c r="D16">
        <f>-D12</f>
        <v/>
      </c>
      <c r="E16">
        <f>-E12</f>
        <v/>
      </c>
      <c r="F16">
        <f>-F12</f>
        <v/>
      </c>
      <c r="G16">
        <f>-G12</f>
        <v/>
      </c>
      <c r="H16">
        <f>-H12</f>
        <v/>
      </c>
      <c r="I16">
        <f>-I12</f>
        <v/>
      </c>
      <c r="J16">
        <f>-J12</f>
        <v/>
      </c>
      <c r="K16">
        <f>-K12</f>
        <v/>
      </c>
      <c r="L16">
        <f>-L12</f>
        <v/>
      </c>
    </row>
    <row r="17">
      <c r="A17" t="inlineStr">
        <is>
          <t>less capex</t>
        </is>
      </c>
      <c r="C17" s="6">
        <f>-C6*Assumptions!$B$7</f>
        <v/>
      </c>
      <c r="D17" s="6">
        <f>-D6*Assumptions!$B$7</f>
        <v/>
      </c>
      <c r="E17" s="6">
        <f>-E6*Assumptions!$B$7</f>
        <v/>
      </c>
      <c r="F17" s="6">
        <f>-F6*Assumptions!$B$7</f>
        <v/>
      </c>
      <c r="G17" s="6">
        <f>-G6*Assumptions!$B$7</f>
        <v/>
      </c>
      <c r="H17" s="6">
        <f>-H6*Assumptions!$B$7</f>
        <v/>
      </c>
      <c r="I17" s="6">
        <f>-I6*Assumptions!$B$7</f>
        <v/>
      </c>
      <c r="J17" s="6">
        <f>-J6*Assumptions!$B$7</f>
        <v/>
      </c>
      <c r="K17" s="6">
        <f>-K6*Assumptions!$B$7</f>
        <v/>
      </c>
      <c r="L17" s="6">
        <f>-L6*Assumptions!$B$7</f>
        <v/>
      </c>
    </row>
    <row r="18">
      <c r="A18" t="inlineStr">
        <is>
          <t>add working capital</t>
        </is>
      </c>
      <c r="C18" s="6">
        <f>Assumptions!$B$8*(C6-B6)</f>
        <v/>
      </c>
      <c r="D18" s="6">
        <f>Assumptions!$B$8*(D6-C6)</f>
        <v/>
      </c>
      <c r="E18" s="6">
        <f>Assumptions!$B$8*(E6-D6)</f>
        <v/>
      </c>
      <c r="F18" s="6">
        <f>Assumptions!$B$8*(F6-E6)</f>
        <v/>
      </c>
      <c r="G18" s="6">
        <f>Assumptions!$B$8*(G6-F6)</f>
        <v/>
      </c>
      <c r="H18" s="6">
        <f>Assumptions!$B$8*(H6-G6)</f>
        <v/>
      </c>
      <c r="I18" s="6">
        <f>Assumptions!$B$8*(I6-H6)</f>
        <v/>
      </c>
      <c r="J18" s="6">
        <f>Assumptions!$B$8*(J6-I6)</f>
        <v/>
      </c>
      <c r="K18" s="6">
        <f>Assumptions!$B$8*(K6-J6)</f>
        <v/>
      </c>
      <c r="L18" s="6">
        <f>Assumptions!$B$8*(L6-K6)</f>
        <v/>
      </c>
    </row>
    <row r="19">
      <c r="A19" t="inlineStr">
        <is>
          <t>Unlevered owner FCF</t>
        </is>
      </c>
      <c r="C19" s="2">
        <f>C15+C16+C17+C18</f>
        <v/>
      </c>
      <c r="D19" s="2">
        <f>D15+D16+D17+D18</f>
        <v/>
      </c>
      <c r="E19" s="2">
        <f>E15+E16+E17+E18</f>
        <v/>
      </c>
      <c r="F19" s="2">
        <f>F15+F16+F17+F18</f>
        <v/>
      </c>
      <c r="G19" s="2">
        <f>G15+G16+G17+G18</f>
        <v/>
      </c>
      <c r="H19" s="2">
        <f>H15+H16+H17+H18</f>
        <v/>
      </c>
      <c r="I19" s="2">
        <f>I15+I16+I17+I18</f>
        <v/>
      </c>
      <c r="J19" s="2">
        <f>J15+J16+J17+J18</f>
        <v/>
      </c>
      <c r="K19" s="2">
        <f>K15+K16+K17+K18</f>
        <v/>
      </c>
      <c r="L19" s="2">
        <f>L15+L16+L17+L18</f>
        <v/>
      </c>
    </row>
    <row r="20">
      <c r="A20" t="inlineStr">
        <is>
          <t>Discount factor</t>
        </is>
      </c>
      <c r="C20" s="8">
        <f>1/(1+Assumptions!$B$3)^C4</f>
        <v/>
      </c>
      <c r="D20" s="8">
        <f>1/(1+Assumptions!$B$3)^D4</f>
        <v/>
      </c>
      <c r="E20" s="8">
        <f>1/(1+Assumptions!$B$3)^E4</f>
        <v/>
      </c>
      <c r="F20" s="8">
        <f>1/(1+Assumptions!$B$3)^F4</f>
        <v/>
      </c>
      <c r="G20" s="8">
        <f>1/(1+Assumptions!$B$3)^G4</f>
        <v/>
      </c>
      <c r="H20" s="8">
        <f>1/(1+Assumptions!$B$3)^H4</f>
        <v/>
      </c>
      <c r="I20" s="8">
        <f>1/(1+Assumptions!$B$3)^I4</f>
        <v/>
      </c>
      <c r="J20" s="8">
        <f>1/(1+Assumptions!$B$3)^J4</f>
        <v/>
      </c>
      <c r="K20" s="8">
        <f>1/(1+Assumptions!$B$3)^K4</f>
        <v/>
      </c>
      <c r="L20" s="8">
        <f>1/(1+Assumptions!$B$3)^L4</f>
        <v/>
      </c>
    </row>
    <row r="21">
      <c r="A21" t="inlineStr">
        <is>
          <t>PV of FCF</t>
        </is>
      </c>
      <c r="C21">
        <f>C19*C20</f>
        <v/>
      </c>
      <c r="D21">
        <f>D19*D20</f>
        <v/>
      </c>
      <c r="E21">
        <f>E19*E20</f>
        <v/>
      </c>
      <c r="F21">
        <f>F19*F20</f>
        <v/>
      </c>
      <c r="G21">
        <f>G19*G20</f>
        <v/>
      </c>
      <c r="H21">
        <f>H19*H20</f>
        <v/>
      </c>
      <c r="I21">
        <f>I19*I20</f>
        <v/>
      </c>
      <c r="J21">
        <f>J19*J20</f>
        <v/>
      </c>
      <c r="K21">
        <f>K19*K20</f>
        <v/>
      </c>
      <c r="L21">
        <f>L19*L20</f>
        <v/>
      </c>
    </row>
    <row r="23">
      <c r="A23" t="inlineStr">
        <is>
          <t>Memo: FCF before SBC (company-style)</t>
        </is>
      </c>
      <c r="C23">
        <f>C19-C10</f>
        <v/>
      </c>
      <c r="D23">
        <f>D19-D10</f>
        <v/>
      </c>
      <c r="E23">
        <f>E19-E10</f>
        <v/>
      </c>
      <c r="F23">
        <f>F19-F10</f>
        <v/>
      </c>
      <c r="G23">
        <f>G19-G10</f>
        <v/>
      </c>
      <c r="H23">
        <f>H19-H10</f>
        <v/>
      </c>
      <c r="I23">
        <f>I19-I10</f>
        <v/>
      </c>
      <c r="J23">
        <f>J19-J10</f>
        <v/>
      </c>
      <c r="K23">
        <f>K19-K10</f>
        <v/>
      </c>
      <c r="L23">
        <f>L19-L10</f>
        <v/>
      </c>
    </row>
    <row r="24">
      <c r="A24" t="inlineStr">
        <is>
          <t>Memo: implied owner-FCF margin</t>
        </is>
      </c>
      <c r="C24" s="9">
        <f>C19/C6</f>
        <v/>
      </c>
      <c r="D24" s="9">
        <f>D19/D6</f>
        <v/>
      </c>
      <c r="E24" s="9">
        <f>E19/E6</f>
        <v/>
      </c>
      <c r="F24" s="9">
        <f>F19/F6</f>
        <v/>
      </c>
      <c r="G24" s="9">
        <f>G19/G6</f>
        <v/>
      </c>
      <c r="H24" s="9">
        <f>H19/H6</f>
        <v/>
      </c>
      <c r="I24" s="9">
        <f>I19/I6</f>
        <v/>
      </c>
      <c r="J24" s="9">
        <f>J19/J6</f>
        <v/>
      </c>
      <c r="K24" s="9">
        <f>K19/K6</f>
        <v/>
      </c>
      <c r="L24" s="9">
        <f>L19/L6</f>
        <v/>
      </c>
    </row>
    <row r="26">
      <c r="A26" t="inlineStr">
        <is>
          <t>Sum of PV of FCF</t>
        </is>
      </c>
      <c r="B26">
        <f>SUM(C21:L21)</f>
        <v/>
      </c>
    </row>
    <row r="27">
      <c r="A27" t="inlineStr">
        <is>
          <t>Terminal growth</t>
        </is>
      </c>
      <c r="B27" s="6">
        <f>Assumptions!$B$4</f>
        <v/>
      </c>
    </row>
    <row r="28">
      <c r="A28" t="inlineStr">
        <is>
          <t>Terminal FCF (FY2036 x (1+g))</t>
        </is>
      </c>
      <c r="B28">
        <f>L19*(1+B27)</f>
        <v/>
      </c>
    </row>
    <row r="29">
      <c r="A29" t="inlineStr">
        <is>
          <t>Gordon TV</t>
        </is>
      </c>
      <c r="B29">
        <f>IF(Assumptions!$B$3&gt;B27,B28/(Assumptions!$B$3-B27),9.9E+99)</f>
        <v/>
      </c>
    </row>
    <row r="30">
      <c r="A30" t="inlineStr">
        <is>
          <t>Cap TV (15x FCF10)</t>
        </is>
      </c>
      <c r="B30">
        <f>Assumptions!$B$5*L19</f>
        <v/>
      </c>
    </row>
    <row r="31">
      <c r="A31" t="inlineStr">
        <is>
          <t>TV used = MAX(0,MIN(Gordon,Cap))</t>
        </is>
      </c>
      <c r="B31">
        <f>MAX(0,MIN(B29,B30))</f>
        <v/>
      </c>
    </row>
    <row r="32">
      <c r="A32" t="inlineStr">
        <is>
          <t>Implied exit multiple (TV/FCF10)</t>
        </is>
      </c>
      <c r="B32">
        <f>IF(L19&gt;0,B31/L19,"n/a")</f>
        <v/>
      </c>
    </row>
    <row r="33">
      <c r="A33" t="inlineStr">
        <is>
          <t>PV of TV</t>
        </is>
      </c>
      <c r="B33">
        <f>B31*L20</f>
        <v/>
      </c>
    </row>
    <row r="34">
      <c r="A34" t="inlineStr">
        <is>
          <t>Enterprise value</t>
        </is>
      </c>
      <c r="B34">
        <f>B26+B33</f>
        <v/>
      </c>
    </row>
    <row r="35">
      <c r="A35" t="inlineStr">
        <is>
          <t>add net cash</t>
        </is>
      </c>
      <c r="B35" s="6">
        <f>Assumptions!$B$9</f>
        <v/>
      </c>
    </row>
    <row r="36">
      <c r="A36" t="inlineStr">
        <is>
          <t>add PV of FY2028 raise proceeds</t>
        </is>
      </c>
      <c r="B36">
        <f>Assumptions!D16/(1+Assumptions!$B$3)^Assumptions!D17</f>
        <v/>
      </c>
    </row>
    <row r="37">
      <c r="A37" t="inlineStr">
        <is>
          <t>Equity value</t>
        </is>
      </c>
      <c r="B37">
        <f>B34+B35+B36</f>
        <v/>
      </c>
    </row>
    <row r="38">
      <c r="A38" t="inlineStr">
        <is>
          <t>Scenario diluted shares (m)</t>
        </is>
      </c>
      <c r="B38" s="6">
        <f>Assumptions!D15</f>
        <v/>
      </c>
    </row>
    <row r="39">
      <c r="A39" t="inlineStr">
        <is>
          <t>VALUE PER SHARE (NZ$)</t>
        </is>
      </c>
      <c r="B39" s="10">
        <f>B37/B38</f>
        <v/>
      </c>
    </row>
    <row r="40">
      <c r="A40" t="inlineStr">
        <is>
          <t>Upside vs price</t>
        </is>
      </c>
      <c r="B40" s="9">
        <f>B39/Assumptions!$B$10-1</f>
        <v/>
      </c>
    </row>
    <row r="42">
      <c r="A42" t="inlineStr">
        <is>
          <t>Street memo (SBC as non-cash add-back)</t>
        </is>
      </c>
      <c r="B42">
        <f>SUMPRODUCT(-C10:L10/(1+Assumptions!$B$3)^C4:L4)</f>
        <v/>
      </c>
    </row>
    <row r="43">
      <c r="A43" t="inlineStr">
        <is>
          <t>PV of terminal SBC</t>
        </is>
      </c>
      <c r="B43">
        <f>(-L10)*(1+B27)/(Assumptions!$B$3-B27)*L20</f>
        <v/>
      </c>
    </row>
    <row r="44">
      <c r="A44" t="inlineStr">
        <is>
          <t>Street value per share</t>
        </is>
      </c>
      <c r="B44" s="11">
        <f>(B37+B42+B43)/B38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4" customWidth="1" min="1" max="1"/>
    <col width="70" customWidth="1" min="3" max="3"/>
  </cols>
  <sheetData>
    <row r="1">
      <c r="A1" s="1" t="inlineStr">
        <is>
          <t>Bear: LCD retired / Cxbladder excluded - wind-down scenario value (NOT a growth DCF)</t>
        </is>
      </c>
    </row>
    <row r="3">
      <c r="A3" t="inlineStr">
        <is>
          <t>Cash anchor post-raise (NZ$m)</t>
        </is>
      </c>
      <c r="B3" s="4" t="n">
        <v>41.9</v>
      </c>
      <c r="C3" t="inlineStr">
        <is>
          <t>7.776 at 31-Mar-26 + est. 34.1 net raise</t>
        </is>
      </c>
    </row>
    <row r="4">
      <c r="A4" t="inlineStr">
        <is>
          <t>Burn per month to clarity (NZ$m)</t>
        </is>
      </c>
      <c r="B4" s="4" t="n">
        <v>2.5</v>
      </c>
      <c r="C4" t="inlineStr">
        <is>
          <t>FY2027 management target</t>
        </is>
      </c>
    </row>
    <row r="5">
      <c r="A5" t="inlineStr">
        <is>
          <t>Months to LCD failure clarity</t>
        </is>
      </c>
      <c r="B5" s="4" t="n">
        <v>15</v>
      </c>
      <c r="C5" t="inlineStr">
        <is>
          <t>Apr-2026 -&gt; ~mid-CY2027 (Novitas outside date + effectiveness lag)</t>
        </is>
      </c>
    </row>
    <row r="6">
      <c r="A6" t="inlineStr">
        <is>
          <t>Cash remaining at failure clarity</t>
        </is>
      </c>
      <c r="B6">
        <f>B3-B4*B5</f>
        <v/>
      </c>
    </row>
    <row r="7">
      <c r="A7" t="inlineStr">
        <is>
          <t>US wind-down cost</t>
        </is>
      </c>
      <c r="B7" s="3" t="n">
        <v>-5</v>
      </c>
      <c r="C7" t="inlineStr">
        <is>
          <t>redundancies, lab exit, contracts</t>
        </is>
      </c>
    </row>
    <row r="8">
      <c r="A8" t="inlineStr">
        <is>
          <t>NZ/APAC business value</t>
        </is>
      </c>
      <c r="B8" s="3" t="n">
        <v>8</v>
      </c>
      <c r="C8" t="inlineStr">
        <is>
          <t>~NZ$2.5-3m revenue, market-dominant NZ, near regional profitability, ~3x sales</t>
        </is>
      </c>
    </row>
    <row r="9">
      <c r="A9" t="inlineStr">
        <is>
          <t>IP / clinical-evidence salvage</t>
        </is>
      </c>
      <c r="B9" s="3" t="n">
        <v>7</v>
      </c>
      <c r="C9" t="inlineStr">
        <is>
          <t>STRATA/DRIVE evidence base + Cxbladder IP to an acquirer</t>
        </is>
      </c>
    </row>
    <row r="10">
      <c r="A10" t="inlineStr">
        <is>
          <t>Emergency raise net proceeds</t>
        </is>
      </c>
      <c r="B10" s="3" t="n">
        <v>10</v>
      </c>
      <c r="C10" t="inlineStr">
        <is>
          <t>at ~NZ$0.05; +200m shares already in the scenario count</t>
        </is>
      </c>
    </row>
    <row r="11">
      <c r="A11" t="inlineStr">
        <is>
          <t>less lease liabilities</t>
        </is>
      </c>
      <c r="B11" s="3" t="n">
        <v>-1.285</v>
      </c>
      <c r="C11" t="inlineStr">
        <is>
          <t>IFRS-16</t>
        </is>
      </c>
    </row>
    <row r="12">
      <c r="A12" t="inlineStr">
        <is>
          <t>Bear equity value</t>
        </is>
      </c>
      <c r="B12" s="2">
        <f>B6+B7+B8+B9+B10+B11</f>
        <v/>
      </c>
    </row>
    <row r="13">
      <c r="A13" t="inlineStr">
        <is>
          <t>Bear scenario shares (m)</t>
        </is>
      </c>
      <c r="B13" s="6">
        <f>Assumptions!B15</f>
        <v/>
      </c>
    </row>
    <row r="14">
      <c r="A14" t="inlineStr">
        <is>
          <t>BEAR VALUE PER SHARE (NZ$)</t>
        </is>
      </c>
      <c r="B14" s="10">
        <f>B12/B13</f>
        <v/>
      </c>
    </row>
    <row r="15">
      <c r="A15" t="inlineStr">
        <is>
          <t>Bear entry price (15% IRR, ~1yr to crystallization)</t>
        </is>
      </c>
      <c r="B15" s="11">
        <f>B14/1.15</f>
        <v/>
      </c>
    </row>
    <row r="17">
      <c r="A17" t="inlineStr">
        <is>
          <t>Deliberately near zero and not floored: management itself warns of 'significant restructuring' and further capital if the draft LCD is not finalized.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2" t="inlineStr">
        <is>
          <t>Reported FCF reconciled to owner FCF (NZ$m). SBC FY2019-FY2022 are estimates (equity-statement rows incomplete in extracts); FY2023-FY2026 from the statements of changes in equity.</t>
        </is>
      </c>
    </row>
    <row r="2">
      <c r="B2" s="2" t="inlineStr">
        <is>
          <t>FY2019</t>
        </is>
      </c>
      <c r="C2" s="2" t="inlineStr">
        <is>
          <t>FY2020</t>
        </is>
      </c>
      <c r="D2" s="2" t="inlineStr">
        <is>
          <t>FY2021</t>
        </is>
      </c>
      <c r="E2" s="2" t="inlineStr">
        <is>
          <t>FY2022</t>
        </is>
      </c>
      <c r="F2" s="2" t="inlineStr">
        <is>
          <t>FY2023</t>
        </is>
      </c>
      <c r="G2" s="2" t="inlineStr">
        <is>
          <t>FY2024</t>
        </is>
      </c>
      <c r="H2" s="2" t="inlineStr">
        <is>
          <t>FY2025</t>
        </is>
      </c>
      <c r="I2" s="2" t="inlineStr">
        <is>
          <t>FY2026</t>
        </is>
      </c>
    </row>
    <row r="3">
      <c r="A3" t="inlineStr">
        <is>
          <t>Free cash flow (company definition)</t>
        </is>
      </c>
      <c r="B3" s="3" t="n">
        <v>-17.663</v>
      </c>
      <c r="C3" s="3" t="n">
        <v>-15.568</v>
      </c>
      <c r="D3" s="3" t="n">
        <v>-13.948</v>
      </c>
      <c r="E3" s="3" t="n">
        <v>-18.678</v>
      </c>
      <c r="F3" s="3" t="n">
        <v>-28.484</v>
      </c>
      <c r="G3" s="3" t="n">
        <v>-27.122</v>
      </c>
      <c r="H3" s="3" t="n">
        <v>-26.013</v>
      </c>
      <c r="I3" s="3" t="n">
        <v>-32.07</v>
      </c>
    </row>
    <row r="4">
      <c r="A4" t="inlineStr">
        <is>
          <t>less: SBC (P&amp;L charge)</t>
        </is>
      </c>
      <c r="B4" s="3" t="n">
        <v>0.4</v>
      </c>
      <c r="C4" s="3" t="n">
        <v>0.5</v>
      </c>
      <c r="D4" s="3" t="n">
        <v>2.82</v>
      </c>
      <c r="E4" s="3" t="n">
        <v>2.5</v>
      </c>
      <c r="F4" s="3" t="n">
        <v>1.455</v>
      </c>
      <c r="G4" s="3" t="n">
        <v>1.272</v>
      </c>
      <c r="H4" s="3" t="n">
        <v>1.374</v>
      </c>
      <c r="I4" s="3" t="n">
        <v>0.991</v>
      </c>
    </row>
    <row r="5">
      <c r="A5" t="inlineStr">
        <is>
          <t>less: interest income</t>
        </is>
      </c>
      <c r="B5" s="3" t="n">
        <v>0.323</v>
      </c>
      <c r="C5" s="3" t="n">
        <v>0.249</v>
      </c>
      <c r="D5" s="3" t="n">
        <v>0.351</v>
      </c>
      <c r="E5" s="3" t="n">
        <v>0.549</v>
      </c>
      <c r="F5" s="3" t="n">
        <v>2.761</v>
      </c>
      <c r="G5" s="3" t="n">
        <v>3.433</v>
      </c>
      <c r="H5" s="3" t="n">
        <v>1.925</v>
      </c>
      <c r="I5" s="3" t="n">
        <v>0.521</v>
      </c>
    </row>
    <row r="6">
      <c r="A6" t="inlineStr">
        <is>
          <t>Owner FCF</t>
        </is>
      </c>
      <c r="B6" s="2">
        <f>B3-B4-B5</f>
        <v/>
      </c>
      <c r="C6" s="2">
        <f>C3-C4-C5</f>
        <v/>
      </c>
      <c r="D6" s="2">
        <f>D3-D4-D5</f>
        <v/>
      </c>
      <c r="E6" s="2">
        <f>E3-E4-E5</f>
        <v/>
      </c>
      <c r="F6" s="2">
        <f>F3-F4-F5</f>
        <v/>
      </c>
      <c r="G6" s="2">
        <f>G3-G4-G5</f>
        <v/>
      </c>
      <c r="H6" s="2">
        <f>H3-H4-H5</f>
        <v/>
      </c>
      <c r="I6" s="2">
        <f>I3-I4-I5</f>
        <v/>
      </c>
    </row>
    <row r="7">
      <c r="A7" t="inlineStr">
        <is>
          <t>Revenue</t>
        </is>
      </c>
      <c r="B7" s="3" t="n">
        <v>3.817</v>
      </c>
      <c r="C7" s="3" t="n">
        <v>4.37</v>
      </c>
      <c r="D7" s="3" t="n">
        <v>7.701</v>
      </c>
      <c r="E7" s="3" t="n">
        <v>11.445</v>
      </c>
      <c r="F7" s="3" t="n">
        <v>19.616</v>
      </c>
      <c r="G7" s="3" t="n">
        <v>23.907</v>
      </c>
      <c r="H7" s="3" t="n">
        <v>21.846</v>
      </c>
      <c r="I7" s="3" t="n">
        <v>11.499</v>
      </c>
    </row>
    <row r="8">
      <c r="A8" t="inlineStr">
        <is>
          <t>Reported FCF margin</t>
        </is>
      </c>
      <c r="B8" s="12">
        <f>B3/B7</f>
        <v/>
      </c>
      <c r="C8" s="12">
        <f>C3/C7</f>
        <v/>
      </c>
      <c r="D8" s="12">
        <f>D3/D7</f>
        <v/>
      </c>
      <c r="E8" s="12">
        <f>E3/E7</f>
        <v/>
      </c>
      <c r="F8" s="12">
        <f>F3/F7</f>
        <v/>
      </c>
      <c r="G8" s="12">
        <f>G3/G7</f>
        <v/>
      </c>
      <c r="H8" s="12">
        <f>H3/H7</f>
        <v/>
      </c>
      <c r="I8" s="12">
        <f>I3/I7</f>
        <v/>
      </c>
    </row>
    <row r="9">
      <c r="A9" t="inlineStr">
        <is>
          <t>Owner FCF margin</t>
        </is>
      </c>
      <c r="B9" s="12">
        <f>B6/B7</f>
        <v/>
      </c>
      <c r="C9" s="12">
        <f>C6/C7</f>
        <v/>
      </c>
      <c r="D9" s="12">
        <f>D6/D7</f>
        <v/>
      </c>
      <c r="E9" s="12">
        <f>E6/E7</f>
        <v/>
      </c>
      <c r="F9" s="12">
        <f>F6/F7</f>
        <v/>
      </c>
      <c r="G9" s="12">
        <f>G6/G7</f>
        <v/>
      </c>
      <c r="H9" s="12">
        <f>H6/H7</f>
        <v/>
      </c>
      <c r="I9" s="12">
        <f>I6/I7</f>
        <v/>
      </c>
    </row>
    <row r="11">
      <c r="A11" t="inlineStr">
        <is>
          <t>Memo: no deferred-revenue tailwind exists (fee-per-test, no subscriptions). Cash tax rate 0% throughout - NZ tax losses accumulate; continuity of the NOL pool across repeated raises is uncertain, hence the projected tax ramp.</t>
        </is>
      </c>
    </row>
    <row r="12">
      <c r="A12" t="inlineStr">
        <is>
          <t>Memo: interest income peaked FY2024 (NZ$3.4m) on the FY2022 NZ$100m raise pile - stripping it matters because the cash is separately added in the bridge.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Valuation summary (NZ$; probability-weighted binary-event model)</t>
        </is>
      </c>
    </row>
    <row r="3">
      <c r="A3" s="2" t="inlineStr">
        <is>
          <t>Scenario</t>
        </is>
      </c>
      <c r="B3" s="2" t="inlineStr">
        <is>
          <t>Value/share</t>
        </is>
      </c>
      <c r="C3" s="2" t="inlineStr">
        <is>
          <t>Upside vs price</t>
        </is>
      </c>
      <c r="D3" s="2" t="inlineStr">
        <is>
          <t>Weight</t>
        </is>
      </c>
      <c r="E3" s="2" t="inlineStr">
        <is>
          <t>Street value/share</t>
        </is>
      </c>
    </row>
    <row r="4">
      <c r="A4" t="inlineStr">
        <is>
          <t>Bear (LCD fails)</t>
        </is>
      </c>
      <c r="B4" s="8">
        <f>Bear_Scenario!B14</f>
        <v/>
      </c>
      <c r="C4" s="9">
        <f>B4/Assumptions!$B$10-1</f>
        <v/>
      </c>
      <c r="D4" s="6">
        <f>Assumptions!B14</f>
        <v/>
      </c>
      <c r="E4" s="8">
        <f>Bear_Scenario!B14</f>
        <v/>
      </c>
    </row>
    <row r="5">
      <c r="A5" t="inlineStr">
        <is>
          <t>Base (late/partial)</t>
        </is>
      </c>
      <c r="B5" s="8">
        <f>DCF_Base!B39</f>
        <v/>
      </c>
      <c r="C5" s="9">
        <f>B5/Assumptions!$B$10-1</f>
        <v/>
      </c>
      <c r="D5" s="6">
        <f>Assumptions!C14</f>
        <v/>
      </c>
      <c r="E5" s="8">
        <f>DCF_Base!B44</f>
        <v/>
      </c>
    </row>
    <row r="6">
      <c r="A6" t="inlineStr">
        <is>
          <t>Bull (as drafted)</t>
        </is>
      </c>
      <c r="B6" s="8">
        <f>DCF_Bull!B39</f>
        <v/>
      </c>
      <c r="C6" s="9">
        <f>B6/Assumptions!$B$10-1</f>
        <v/>
      </c>
      <c r="D6" s="6">
        <f>Assumptions!D14</f>
        <v/>
      </c>
      <c r="E6" s="8">
        <f>DCF_Bull!B44</f>
        <v/>
      </c>
    </row>
    <row r="8">
      <c r="A8" t="inlineStr">
        <is>
          <t>PROBABILITY-WEIGHTED IV</t>
        </is>
      </c>
      <c r="B8" s="10">
        <f>SUMPRODUCT(B4:B6,D4:D6)</f>
        <v/>
      </c>
    </row>
    <row r="9">
      <c r="A9" t="inlineStr">
        <is>
          <t>Street weighted IV</t>
        </is>
      </c>
      <c r="B9" s="11">
        <f>SUMPRODUCT(E4:E6,D4:D6)</f>
        <v/>
      </c>
    </row>
    <row r="10">
      <c r="A10" t="inlineStr">
        <is>
          <t>Margin of safety at current price</t>
        </is>
      </c>
      <c r="B10" s="9">
        <f>1-Assumptions!$B$10/B8</f>
        <v/>
      </c>
    </row>
    <row r="11">
      <c r="A11" t="inlineStr">
        <is>
          <t>Band position (price-house)/(street-house)</t>
        </is>
      </c>
      <c r="B11">
        <f>(Assumptions!$B$10-B8)/(B9-B8)</f>
        <v/>
      </c>
    </row>
    <row r="12">
      <c r="A12" t="inlineStr">
        <is>
          <t>Band note: degenerate by design - SBC ~1.5-2% of revenue makes the band ~NZ$0.005 wide; the price sits ~42 band-widths above the street ceiling. SBC treatment is not the debate here; the LCD probability is.</t>
        </is>
      </c>
    </row>
    <row r="15">
      <c r="A15" s="2" t="inlineStr">
        <is>
          <t>15%-hurdle entry prices (TV at WACC, discounted at 15%)</t>
        </is>
      </c>
    </row>
    <row r="16">
      <c r="A16" t="inlineStr">
        <is>
          <t>Bear</t>
        </is>
      </c>
      <c r="B16" s="11">
        <f>Bear_Scenario!B15</f>
        <v/>
      </c>
    </row>
    <row r="17">
      <c r="A17" t="inlineStr">
        <is>
          <t>Base</t>
        </is>
      </c>
      <c r="B17" s="11">
        <f>(SUMPRODUCT(DCF_Base!$C$19:$L$19/1.15^DCF_Base!$C$4:$L$4)+DCF_Base!$B$31/1.15^10+Assumptions!$B$9+Assumptions!$C$16/1.15^Assumptions!$C$17)/Assumptions!$C$15</f>
        <v/>
      </c>
    </row>
    <row r="18">
      <c r="A18" t="inlineStr">
        <is>
          <t>Bull</t>
        </is>
      </c>
      <c r="B18" s="11">
        <f>(SUMPRODUCT(DCF_Bull!$C$19:$L$19/1.15^DCF_Bull!$C$4:$L$4)+DCF_Bull!$B$31/1.15^10+Assumptions!$B$9+Assumptions!$D$16/1.15^Assumptions!$D$17)/Assumptions!$D$15</f>
        <v/>
      </c>
    </row>
    <row r="19">
      <c r="A19" t="inlineStr">
        <is>
          <t>WEIGHTED ENTRY (buy-below) PRICE</t>
        </is>
      </c>
      <c r="B19" s="10">
        <f>SUMPRODUCT(B16:B18,D4:D6)</f>
        <v/>
      </c>
    </row>
    <row r="22">
      <c r="A22" s="2" t="inlineStr">
        <is>
          <t>Required-return table (base case; Gordon TV at the same rate, 15x cap)</t>
        </is>
      </c>
    </row>
    <row r="23">
      <c r="A23" s="2" t="inlineStr">
        <is>
          <t>Required return</t>
        </is>
      </c>
      <c r="B23" s="2" t="inlineStr">
        <is>
          <t>Value/share</t>
        </is>
      </c>
    </row>
    <row r="24">
      <c r="A24" s="13" t="n">
        <v>0.09</v>
      </c>
      <c r="B24" s="11">
        <f>IF($A24&gt;Assumptions!$B$4,(SUMPRODUCT(DCF_Base!$C$19:$L$19/(1+$A24)^DCF_Base!$C$4:$L$4)+MAX(0,MIN(DCF_Base!$L$19*(1+Assumptions!$B$4)/($A24-Assumptions!$B$4),Assumptions!$B$5*DCF_Base!$L$19))/(1+$A24)^10+Assumptions!$B$9+Assumptions!$C$16/(1+$A24)^Assumptions!$C$17)/Assumptions!$C$15,"n/a")</f>
        <v/>
      </c>
    </row>
    <row r="25">
      <c r="A25" s="13" t="n">
        <v>0.1</v>
      </c>
      <c r="B25" s="11">
        <f>IF($A25&gt;Assumptions!$B$4,(SUMPRODUCT(DCF_Base!$C$19:$L$19/(1+$A25)^DCF_Base!$C$4:$L$4)+MAX(0,MIN(DCF_Base!$L$19*(1+Assumptions!$B$4)/($A25-Assumptions!$B$4),Assumptions!$B$5*DCF_Base!$L$19))/(1+$A25)^10+Assumptions!$B$9+Assumptions!$C$16/(1+$A25)^Assumptions!$C$17)/Assumptions!$C$15,"n/a")</f>
        <v/>
      </c>
    </row>
    <row r="26">
      <c r="A26" s="13" t="n">
        <v>0.11</v>
      </c>
      <c r="B26" s="11">
        <f>IF($A26&gt;Assumptions!$B$4,(SUMPRODUCT(DCF_Base!$C$19:$L$19/(1+$A26)^DCF_Base!$C$4:$L$4)+MAX(0,MIN(DCF_Base!$L$19*(1+Assumptions!$B$4)/($A26-Assumptions!$B$4),Assumptions!$B$5*DCF_Base!$L$19))/(1+$A26)^10+Assumptions!$B$9+Assumptions!$C$16/(1+$A26)^Assumptions!$C$17)/Assumptions!$C$15,"n/a")</f>
        <v/>
      </c>
    </row>
    <row r="27">
      <c r="A27" s="13" t="n">
        <v>0.12</v>
      </c>
      <c r="B27" s="11">
        <f>IF($A27&gt;Assumptions!$B$4,(SUMPRODUCT(DCF_Base!$C$19:$L$19/(1+$A27)^DCF_Base!$C$4:$L$4)+MAX(0,MIN(DCF_Base!$L$19*(1+Assumptions!$B$4)/($A27-Assumptions!$B$4),Assumptions!$B$5*DCF_Base!$L$19))/(1+$A27)^10+Assumptions!$B$9+Assumptions!$C$16/(1+$A27)^Assumptions!$C$17)/Assumptions!$C$15,"n/a")</f>
        <v/>
      </c>
    </row>
    <row r="28">
      <c r="A28" s="13" t="n">
        <v>0.15</v>
      </c>
      <c r="B28" s="11">
        <f>IF($A28&gt;Assumptions!$B$4,(SUMPRODUCT(DCF_Base!$C$19:$L$19/(1+$A28)^DCF_Base!$C$4:$L$4)+MAX(0,MIN(DCF_Base!$L$19*(1+Assumptions!$B$4)/($A28-Assumptions!$B$4),Assumptions!$B$5*DCF_Base!$L$19))/(1+$A28)^10+Assumptions!$B$9+Assumptions!$C$16/(1+$A28)^Assumptions!$C$17)/Assumptions!$C$15,"n/a")</f>
        <v/>
      </c>
    </row>
    <row r="29">
      <c r="A29" s="13" t="n">
        <v>0.16</v>
      </c>
      <c r="B29" s="11">
        <f>IF($A29&gt;Assumptions!$B$4,(SUMPRODUCT(DCF_Base!$C$19:$L$19/(1+$A29)^DCF_Base!$C$4:$L$4)+MAX(0,MIN(DCF_Base!$L$19*(1+Assumptions!$B$4)/($A29-Assumptions!$B$4),Assumptions!$B$5*DCF_Base!$L$19))/(1+$A29)^10+Assumptions!$B$9+Assumptions!$C$16/(1+$A29)^Assumptions!$C$17)/Assumptions!$C$15,"n/a")</f>
        <v/>
      </c>
    </row>
    <row r="32">
      <c r="A32" s="2" t="inlineStr">
        <is>
          <t>Sensitivity: base value/share, WACC x terminal growth</t>
        </is>
      </c>
    </row>
    <row r="33">
      <c r="B33" s="14" t="n">
        <v>0.02</v>
      </c>
      <c r="C33" s="14" t="n">
        <v>0.025</v>
      </c>
      <c r="D33" s="14" t="n">
        <v>0.03</v>
      </c>
      <c r="E33" s="14" t="n">
        <v>0.035</v>
      </c>
      <c r="F33" s="14" t="n">
        <v>0.04</v>
      </c>
    </row>
    <row r="34">
      <c r="A34" s="13" t="n">
        <v>0.14</v>
      </c>
      <c r="B34" s="11">
        <f>IF($A34&gt;B$33,(SUMPRODUCT(DCF_Base!$C$19:$L$19/(1+$A34)^DCF_Base!$C$4:$L$4)+MAX(0,MIN(DCF_Base!$L$19*(1+B$33)/($A34-B$33),Assumptions!$B$5*DCF_Base!$L$19))/(1+$A34)^10+Assumptions!$B$9+Assumptions!$C$16/(1+$A34)^Assumptions!$C$17)/Assumptions!$C$15,"n/a")</f>
        <v/>
      </c>
      <c r="C34" s="11">
        <f>IF($A34&gt;C$33,(SUMPRODUCT(DCF_Base!$C$19:$L$19/(1+$A34)^DCF_Base!$C$4:$L$4)+MAX(0,MIN(DCF_Base!$L$19*(1+C$33)/($A34-C$33),Assumptions!$B$5*DCF_Base!$L$19))/(1+$A34)^10+Assumptions!$B$9+Assumptions!$C$16/(1+$A34)^Assumptions!$C$17)/Assumptions!$C$15,"n/a")</f>
        <v/>
      </c>
      <c r="D34" s="11">
        <f>IF($A34&gt;D$33,(SUMPRODUCT(DCF_Base!$C$19:$L$19/(1+$A34)^DCF_Base!$C$4:$L$4)+MAX(0,MIN(DCF_Base!$L$19*(1+D$33)/($A34-D$33),Assumptions!$B$5*DCF_Base!$L$19))/(1+$A34)^10+Assumptions!$B$9+Assumptions!$C$16/(1+$A34)^Assumptions!$C$17)/Assumptions!$C$15,"n/a")</f>
        <v/>
      </c>
      <c r="E34" s="11">
        <f>IF($A34&gt;E$33,(SUMPRODUCT(DCF_Base!$C$19:$L$19/(1+$A34)^DCF_Base!$C$4:$L$4)+MAX(0,MIN(DCF_Base!$L$19*(1+E$33)/($A34-E$33),Assumptions!$B$5*DCF_Base!$L$19))/(1+$A34)^10+Assumptions!$B$9+Assumptions!$C$16/(1+$A34)^Assumptions!$C$17)/Assumptions!$C$15,"n/a")</f>
        <v/>
      </c>
      <c r="F34" s="11">
        <f>IF($A34&gt;F$33,(SUMPRODUCT(DCF_Base!$C$19:$L$19/(1+$A34)^DCF_Base!$C$4:$L$4)+MAX(0,MIN(DCF_Base!$L$19*(1+F$33)/($A34-F$33),Assumptions!$B$5*DCF_Base!$L$19))/(1+$A34)^10+Assumptions!$B$9+Assumptions!$C$16/(1+$A34)^Assumptions!$C$17)/Assumptions!$C$15,"n/a")</f>
        <v/>
      </c>
    </row>
    <row r="35">
      <c r="A35" s="13" t="n">
        <v>0.15</v>
      </c>
      <c r="B35" s="11">
        <f>IF($A35&gt;B$33,(SUMPRODUCT(DCF_Base!$C$19:$L$19/(1+$A35)^DCF_Base!$C$4:$L$4)+MAX(0,MIN(DCF_Base!$L$19*(1+B$33)/($A35-B$33),Assumptions!$B$5*DCF_Base!$L$19))/(1+$A35)^10+Assumptions!$B$9+Assumptions!$C$16/(1+$A35)^Assumptions!$C$17)/Assumptions!$C$15,"n/a")</f>
        <v/>
      </c>
      <c r="C35" s="11">
        <f>IF($A35&gt;C$33,(SUMPRODUCT(DCF_Base!$C$19:$L$19/(1+$A35)^DCF_Base!$C$4:$L$4)+MAX(0,MIN(DCF_Base!$L$19*(1+C$33)/($A35-C$33),Assumptions!$B$5*DCF_Base!$L$19))/(1+$A35)^10+Assumptions!$B$9+Assumptions!$C$16/(1+$A35)^Assumptions!$C$17)/Assumptions!$C$15,"n/a")</f>
        <v/>
      </c>
      <c r="D35" s="11">
        <f>IF($A35&gt;D$33,(SUMPRODUCT(DCF_Base!$C$19:$L$19/(1+$A35)^DCF_Base!$C$4:$L$4)+MAX(0,MIN(DCF_Base!$L$19*(1+D$33)/($A35-D$33),Assumptions!$B$5*DCF_Base!$L$19))/(1+$A35)^10+Assumptions!$B$9+Assumptions!$C$16/(1+$A35)^Assumptions!$C$17)/Assumptions!$C$15,"n/a")</f>
        <v/>
      </c>
      <c r="E35" s="11">
        <f>IF($A35&gt;E$33,(SUMPRODUCT(DCF_Base!$C$19:$L$19/(1+$A35)^DCF_Base!$C$4:$L$4)+MAX(0,MIN(DCF_Base!$L$19*(1+E$33)/($A35-E$33),Assumptions!$B$5*DCF_Base!$L$19))/(1+$A35)^10+Assumptions!$B$9+Assumptions!$C$16/(1+$A35)^Assumptions!$C$17)/Assumptions!$C$15,"n/a")</f>
        <v/>
      </c>
      <c r="F35" s="11">
        <f>IF($A35&gt;F$33,(SUMPRODUCT(DCF_Base!$C$19:$L$19/(1+$A35)^DCF_Base!$C$4:$L$4)+MAX(0,MIN(DCF_Base!$L$19*(1+F$33)/($A35-F$33),Assumptions!$B$5*DCF_Base!$L$19))/(1+$A35)^10+Assumptions!$B$9+Assumptions!$C$16/(1+$A35)^Assumptions!$C$17)/Assumptions!$C$15,"n/a")</f>
        <v/>
      </c>
    </row>
    <row r="36">
      <c r="A36" s="13" t="n">
        <v>0.16</v>
      </c>
      <c r="B36" s="11">
        <f>IF($A36&gt;B$33,(SUMPRODUCT(DCF_Base!$C$19:$L$19/(1+$A36)^DCF_Base!$C$4:$L$4)+MAX(0,MIN(DCF_Base!$L$19*(1+B$33)/($A36-B$33),Assumptions!$B$5*DCF_Base!$L$19))/(1+$A36)^10+Assumptions!$B$9+Assumptions!$C$16/(1+$A36)^Assumptions!$C$17)/Assumptions!$C$15,"n/a")</f>
        <v/>
      </c>
      <c r="C36" s="11">
        <f>IF($A36&gt;C$33,(SUMPRODUCT(DCF_Base!$C$19:$L$19/(1+$A36)^DCF_Base!$C$4:$L$4)+MAX(0,MIN(DCF_Base!$L$19*(1+C$33)/($A36-C$33),Assumptions!$B$5*DCF_Base!$L$19))/(1+$A36)^10+Assumptions!$B$9+Assumptions!$C$16/(1+$A36)^Assumptions!$C$17)/Assumptions!$C$15,"n/a")</f>
        <v/>
      </c>
      <c r="D36" s="15">
        <f>IF($A36&gt;D$33,(SUMPRODUCT(DCF_Base!$C$19:$L$19/(1+$A36)^DCF_Base!$C$4:$L$4)+MAX(0,MIN(DCF_Base!$L$19*(1+D$33)/($A36-D$33),Assumptions!$B$5*DCF_Base!$L$19))/(1+$A36)^10+Assumptions!$B$9+Assumptions!$C$16/(1+$A36)^Assumptions!$C$17)/Assumptions!$C$15,"n/a")</f>
        <v/>
      </c>
      <c r="E36" s="11">
        <f>IF($A36&gt;E$33,(SUMPRODUCT(DCF_Base!$C$19:$L$19/(1+$A36)^DCF_Base!$C$4:$L$4)+MAX(0,MIN(DCF_Base!$L$19*(1+E$33)/($A36-E$33),Assumptions!$B$5*DCF_Base!$L$19))/(1+$A36)^10+Assumptions!$B$9+Assumptions!$C$16/(1+$A36)^Assumptions!$C$17)/Assumptions!$C$15,"n/a")</f>
        <v/>
      </c>
      <c r="F36" s="11">
        <f>IF($A36&gt;F$33,(SUMPRODUCT(DCF_Base!$C$19:$L$19/(1+$A36)^DCF_Base!$C$4:$L$4)+MAX(0,MIN(DCF_Base!$L$19*(1+F$33)/($A36-F$33),Assumptions!$B$5*DCF_Base!$L$19))/(1+$A36)^10+Assumptions!$B$9+Assumptions!$C$16/(1+$A36)^Assumptions!$C$17)/Assumptions!$C$15,"n/a")</f>
        <v/>
      </c>
    </row>
    <row r="37">
      <c r="A37" s="13" t="n">
        <v>0.17</v>
      </c>
      <c r="B37" s="11">
        <f>IF($A37&gt;B$33,(SUMPRODUCT(DCF_Base!$C$19:$L$19/(1+$A37)^DCF_Base!$C$4:$L$4)+MAX(0,MIN(DCF_Base!$L$19*(1+B$33)/($A37-B$33),Assumptions!$B$5*DCF_Base!$L$19))/(1+$A37)^10+Assumptions!$B$9+Assumptions!$C$16/(1+$A37)^Assumptions!$C$17)/Assumptions!$C$15,"n/a")</f>
        <v/>
      </c>
      <c r="C37" s="11">
        <f>IF($A37&gt;C$33,(SUMPRODUCT(DCF_Base!$C$19:$L$19/(1+$A37)^DCF_Base!$C$4:$L$4)+MAX(0,MIN(DCF_Base!$L$19*(1+C$33)/($A37-C$33),Assumptions!$B$5*DCF_Base!$L$19))/(1+$A37)^10+Assumptions!$B$9+Assumptions!$C$16/(1+$A37)^Assumptions!$C$17)/Assumptions!$C$15,"n/a")</f>
        <v/>
      </c>
      <c r="D37" s="11">
        <f>IF($A37&gt;D$33,(SUMPRODUCT(DCF_Base!$C$19:$L$19/(1+$A37)^DCF_Base!$C$4:$L$4)+MAX(0,MIN(DCF_Base!$L$19*(1+D$33)/($A37-D$33),Assumptions!$B$5*DCF_Base!$L$19))/(1+$A37)^10+Assumptions!$B$9+Assumptions!$C$16/(1+$A37)^Assumptions!$C$17)/Assumptions!$C$15,"n/a")</f>
        <v/>
      </c>
      <c r="E37" s="11">
        <f>IF($A37&gt;E$33,(SUMPRODUCT(DCF_Base!$C$19:$L$19/(1+$A37)^DCF_Base!$C$4:$L$4)+MAX(0,MIN(DCF_Base!$L$19*(1+E$33)/($A37-E$33),Assumptions!$B$5*DCF_Base!$L$19))/(1+$A37)^10+Assumptions!$B$9+Assumptions!$C$16/(1+$A37)^Assumptions!$C$17)/Assumptions!$C$15,"n/a")</f>
        <v/>
      </c>
      <c r="F37" s="11">
        <f>IF($A37&gt;F$33,(SUMPRODUCT(DCF_Base!$C$19:$L$19/(1+$A37)^DCF_Base!$C$4:$L$4)+MAX(0,MIN(DCF_Base!$L$19*(1+F$33)/($A37-F$33),Assumptions!$B$5*DCF_Base!$L$19))/(1+$A37)^10+Assumptions!$B$9+Assumptions!$C$16/(1+$A37)^Assumptions!$C$17)/Assumptions!$C$15,"n/a")</f>
        <v/>
      </c>
    </row>
    <row r="38">
      <c r="A38" s="13" t="n">
        <v>0.18</v>
      </c>
      <c r="B38" s="11">
        <f>IF($A38&gt;B$33,(SUMPRODUCT(DCF_Base!$C$19:$L$19/(1+$A38)^DCF_Base!$C$4:$L$4)+MAX(0,MIN(DCF_Base!$L$19*(1+B$33)/($A38-B$33),Assumptions!$B$5*DCF_Base!$L$19))/(1+$A38)^10+Assumptions!$B$9+Assumptions!$C$16/(1+$A38)^Assumptions!$C$17)/Assumptions!$C$15,"n/a")</f>
        <v/>
      </c>
      <c r="C38" s="11">
        <f>IF($A38&gt;C$33,(SUMPRODUCT(DCF_Base!$C$19:$L$19/(1+$A38)^DCF_Base!$C$4:$L$4)+MAX(0,MIN(DCF_Base!$L$19*(1+C$33)/($A38-C$33),Assumptions!$B$5*DCF_Base!$L$19))/(1+$A38)^10+Assumptions!$B$9+Assumptions!$C$16/(1+$A38)^Assumptions!$C$17)/Assumptions!$C$15,"n/a")</f>
        <v/>
      </c>
      <c r="D38" s="11">
        <f>IF($A38&gt;D$33,(SUMPRODUCT(DCF_Base!$C$19:$L$19/(1+$A38)^DCF_Base!$C$4:$L$4)+MAX(0,MIN(DCF_Base!$L$19*(1+D$33)/($A38-D$33),Assumptions!$B$5*DCF_Base!$L$19))/(1+$A38)^10+Assumptions!$B$9+Assumptions!$C$16/(1+$A38)^Assumptions!$C$17)/Assumptions!$C$15,"n/a")</f>
        <v/>
      </c>
      <c r="E38" s="11">
        <f>IF($A38&gt;E$33,(SUMPRODUCT(DCF_Base!$C$19:$L$19/(1+$A38)^DCF_Base!$C$4:$L$4)+MAX(0,MIN(DCF_Base!$L$19*(1+E$33)/($A38-E$33),Assumptions!$B$5*DCF_Base!$L$19))/(1+$A38)^10+Assumptions!$B$9+Assumptions!$C$16/(1+$A38)^Assumptions!$C$17)/Assumptions!$C$15,"n/a")</f>
        <v/>
      </c>
      <c r="F38" s="11">
        <f>IF($A38&gt;F$33,(SUMPRODUCT(DCF_Base!$C$19:$L$19/(1+$A38)^DCF_Base!$C$4:$L$4)+MAX(0,MIN(DCF_Base!$L$19*(1+F$33)/($A38-F$33),Assumptions!$B$5*DCF_Base!$L$19))/(1+$A38)^10+Assumptions!$B$9+Assumptions!$C$16/(1+$A38)^Assumptions!$C$17)/Assumptions!$C$15,"n/a")</f>
        <v/>
      </c>
    </row>
    <row r="41">
      <c r="A41" t="inlineStr">
        <is>
          <t>Current price NZ$0.25 for reference</t>
        </is>
      </c>
      <c r="B41" s="6">
        <f>Assumptions!$B$10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2026-08-23T21:46:04Z</dcterms:created>
  <dcterms:modified xsi:type="dcterms:W3CDTF">2026-08-23T21:46:04Z</dcterms:modified>
</cp:coreProperties>
</file>