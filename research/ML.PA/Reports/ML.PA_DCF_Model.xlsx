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<sst xmlns="http://schemas.openxmlformats.org/spreadsheetml/2006/main" count="363" uniqueCount="168">
  <si>
    <t xml:space="preserve">Ticker</t>
  </si>
  <si>
    <t xml:space="preserve">ML.PA</t>
  </si>
  <si>
    <t xml:space="preserve">Company</t>
  </si>
  <si>
    <t xml:space="preserve">Compagnie Générale des Établissements Michelin SCA</t>
  </si>
  <si>
    <t xml:space="preserve">Valuation date</t>
  </si>
  <si>
    <t xml:space="preserve">2026-10-26</t>
  </si>
  <si>
    <t xml:space="preserve">Current price</t>
  </si>
  <si>
    <t xml:space="preserve">Price as of</t>
  </si>
  <si>
    <t xml:space="preserve">2026-10-23T15:35:17Z</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</si>
  <si>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</si>
  <si>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</si>
  <si>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</si>
  <si>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</si>
  <si>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</si>
  <si>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</si>
  <si>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</si>
  <si>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</si>
  <si>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</si>
  <si>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</si>
  <si>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</si>
  <si>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</si>
  <si>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2026-10-25T16:21:49Z</t>
  </si>
  <si>
    <t xml:space="preserve">Drivers file</t>
  </si>
  <si>
    <t xml:space="preserve">ML.PA_Drivers.json</t>
  </si>
  <si>
    <t xml:space="preserve">Convention</t>
  </si>
  <si>
    <t xml:space="preserve">Percents stored as percents; formulas divide by 100. Blue = input, green = link, black = formula.</t>
  </si>
  <si>
    <t xml:space="preserve">Methodology</t>
  </si>
  <si>
    <t xml:space="preserve">summary: Michelin is valued as a mature, capital-intensive cyclical on a strict owner-FCF basis: segment EBITDA is haircut for the restructuring and employee-benefit cash the company excludes from its own measure, leases are expensed in full, SBC is charged, working capital consumes cash with growth, and the terminal multiple is capped at 15x FCF rather than letting an 8%/2% Gordon value (17x) run. The FY2025 base year is below mid-cycle (segment margin 17.9% vs a 19.1% ten-year average), so the base case recovers margin rather than extrapolating the trough, but takes no credit for the Michelin in Motion 2030 ambition beyond mid-cycle. Net debt is the 30 June 2026 figure (post dividend, post EUR 300m buyback, post Cooley/Flexitallic), with the unexecuted EUR 453m buyback liability stripped and Tex Tech deducted; equity-accounted investments are added at book because their income is outside the flows.
key_risks_to_valuation: Owner EBITDA margin assumption: each 1pp of terminal margin is worth roughly EUR 3-4/share; the bear case's 16% is below any year since 2016 except 2020, the bull's 19% has been reached twice in ten years; Restructuring recurrence: the model charges ~1.3% of revenue every year; if Michelin's cash restructuring genuinely ends after Tuscaloosa (2028), value is understated by ~EUR 3/share; if it runs higher than 2025's EUR 430m, overstated; FX translation: ~40% of revenue is USD; a 7% EUR appreciation took ~3pts off reported FY2026 H1 growth and the model's EUR flows carry that exposure unhedged; Terminal cap: 15x binds in the base case; a buyer granting Gordon (17x) adds ~EUR 2/share, a buyer granting 13x (bear) removes ~EUR 2; Working-capital sign: 2022 showed a EUR 1.9bn build on a raw-material spike; the -15% capture assumes orderly growth, not another inventory shock; Net-debt vintage: 30 June 2026 is after the annual dividend (EUR 944m) and seasonally peaked inventories; December net debt is typically EUR 1-2bn lower, so the mid-year anchor is conservative by ~EUR 1.5-2.5/share relative to a year-end anchor</t>
  </si>
  <si>
    <t xml:space="preserve">Data sources</t>
  </si>
  <si>
    <t xml:space="preserve">price: Yahoo Finance chart API regularMarketPrice at inputs.price_as_of (Euronext Paris regular close); 52-week range 26.90-35.72
financials: ML.PA_Metrics.csv (FY2016-FY2025 annual, H1-2016 to H1-2026 interim, EUR millions, post-split share basis); FY2025 Universal Registration Document (ML.PA_Annual_FY2025.txt: cash-flow note 10, net-debt note 9.3, ROU note 13, share table note 15, dilutive-instruments statement); H1-2026 Rapport financier semestriel (ML.PA_HalfYear_H1-2026.txt: endettement net note 8.2/8.3, share table note 11, cash flow libre 1.5.3, perspectives 1.6)
qualitative: ML.PA_Analysis.json (2026-10-26): business model, competitive position, H1 2026 guidance reaffirmation, bull/bear axes</t>
  </si>
  <si>
    <t xml:space="preserve">Scenario narrative: bear</t>
  </si>
  <si>
    <t xml:space="preserve">Chinese Tier 2/3 tires and Chinese EV-OE fitments permanently compress price/mix; the Western OE downturn extends through 2027 with no recovery catalyst; the flagged EUR 400m raw-material inflation hits before pricing responds; restructuring charges prove recurring rather than one-off. Revenue grows 1.5% nominal and owner EBITDA settles at 16% - below even the FY2025 trough. Balance-sheet risk is low (ND/EBITDA ~1x even after the 2026 dividend, buyback and M&amp;A), so this is a margin and multiple (13x) story, not a solvency one.</t>
  </si>
  <si>
    <t xml:space="preserve">Scenario narrative: base</t>
  </si>
  <si>
    <t xml:space="preserve">Michelin stays the #1 premium tire maker in a flat-volume market: FY2026 revenue dips ~1% on FX with segment operating income up at constant scope, as guided; FY2027-29 revenue grows ~3% nominal from 18-inch+ mix, modest pricing and the Polymer Composite bolt-ons; owner EBITDA margin recovers from the FY2025 trough (17.9% segment, 16.6% owner) to the ten-year mid-cycle (~19.3% segment, 18.0% owner) by FY2030 as Tuscaloosa and the European footprint programme complete; capex normalises to ~7.2% of sales; growth consumes working capital. Terminal value is bound by the 15x cap, not Gordon.</t>
  </si>
  <si>
    <t xml:space="preserve">Scenario narrative: bull</t>
  </si>
  <si>
    <t xml:space="preserve">The OE cycle turns in 2027 (NA Class 8 trucks, European passenger OE), EU anti-dumping duties on Chinese passenger tires protect European price/mix, China replacement share gains and EV tire wear lift volumes, and Polymer Composite Solutions compounds at high single digits into aerospace, energy and defense. Owner EBITDA reaches 19% (segment ~20.3%, the FY2021/FY2024 level) and capex eases to 7.0% once the restructuring programme ends; the market grants a 16x exit on a less cyclical mix.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</si>
  <si>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</si>
  <si>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</si>
  <si>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</si>
  <si>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</si>
  <si>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</si>
  <si>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</si>
  <si>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</si>
  <si>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</si>
  <si>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</si>
  <si>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</si>
  <si>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</si>
  <si>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</si>
  <si>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</si>
  <si>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</si>
  <si>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</si>
  <si>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</si>
  <si>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</si>
  <si>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</si>
  <si>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</si>
  <si>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</si>
  <si>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</si>
  <si>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</si>
  <si>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</si>
  <si>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</si>
  <si>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</si>
  <si>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</si>
  <si>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</si>
  <si>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SegmentRevenueEurope</t>
  </si>
  <si>
    <t xml:space="preserve">SegmentRevenueNorthAmerica</t>
  </si>
  <si>
    <t xml:space="preserve">SegmentRevenueOthers</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</si>
  <si>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</si>
  <si>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</si>
  <si>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</si>
  <si>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</si>
  <si>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</si>
  <si>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</si>
  <si>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</si>
  <si>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</si>
  <si>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</si>
  <si>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</si>
  <si>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</si>
  <si>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</si>
  <si>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</si>
  <si>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</si>
  <si>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</si>
  <si>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</si>
  <si>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</si>
  <si>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</si>
  <si>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</si>
  <si>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</si>
  <si>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</si>
  <si>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</si>
  <si>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</si>
  <si>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</si>
  <si>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</si>
  <si>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</si>
  <si>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</si>
  <si>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</si>
  <si>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</si>
  <si>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</si>
  <si>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</si>
  <si>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</si>
  <si>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</si>
  <si>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</si>
  <si>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</si>
  <si>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</si>
  <si>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</si>
  <si>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</si>
  <si>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</si>
  <si>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</si>
  <si>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</si>
  <si>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</si>
  <si>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</si>
  <si>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</si>
  <si>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</si>
  <si>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</si>
  <si>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</si>
  <si>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ML.PA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</si>
  <si>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</si>
  <si>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</si>
  <si>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</si>
  <si>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</si>
  <si>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</si>
  <si>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</si>
  <si>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</si>
  <si>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</si>
  <si>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</si>
  <si>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</si>
  <si>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</si>
  <si>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</si>
  <si>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</si>
  <si>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</si>
  <si>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</si>
  <si>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</si>
  <si>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</si>
  <si>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</si>
  <si>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</si>
  <si>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</si>
  <si>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</si>
  <si>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</si>
  <si>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</si>
  <si>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</si>
  <si>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</si>
  <si>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</si>
  <si>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</si>
  <si>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</si>
  <si>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</si>
  <si>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</si>
  <si>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ML.PA owner-FCF component DCF: base case (millions, EUR)</t>
  </si>
  <si>
    <t xml:space="preserve">ML.PA owner-FCF component DCF: bull case (millions, EUR)</t>
  </si>
  <si>
    <t xml:space="preserve">ML.PA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</si>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</sst>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31.27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row>
    <row r="2" customFormat="false" ht="15" hidden="false" customHeight="false" outlineLevel="0" collapsed="false">
      <c r="A2" s="0" t="s">
        <v>66</v>
      </c>
      <c r="B2" s="0" t="n">
        <v>20907</v>
      </c>
      <c r="C2" s="0" t="n">
        <v>13810</v>
      </c>
      <c r="D2" s="0" t="n">
        <v>7097</v>
      </c>
      <c r="E2" s="0" t="n">
        <v>33.9456</v>
      </c>
      <c r="F2" s="0" t="n">
        <v>2791</v>
      </c>
      <c r="G2" s="0" t="n">
        <v>13.3496</v>
      </c>
      <c r="H2" s="0" t="n">
        <v>4084</v>
      </c>
      <c r="I2" s="0" t="n">
        <v>1667</v>
      </c>
      <c r="J2" s="0" t="n">
        <v>7.9734</v>
      </c>
      <c r="K2" s="0" t="n">
        <v>2.2575</v>
      </c>
      <c r="L2" s="0" t="n">
        <v>2765</v>
      </c>
      <c r="M2" s="0" t="n">
        <v>1815</v>
      </c>
      <c r="N2" s="0" t="n">
        <v>950</v>
      </c>
      <c r="O2" s="0" t="n">
        <v>10646</v>
      </c>
      <c r="P2" s="0" t="n">
        <v>25322</v>
      </c>
      <c r="Q2" s="0" t="n">
        <v>14676</v>
      </c>
      <c r="R2" s="0" t="n">
        <v>3093</v>
      </c>
      <c r="S2" s="0" t="n">
        <v>1826</v>
      </c>
      <c r="T2" s="0" t="n">
        <v>749.736</v>
      </c>
      <c r="U2" s="0" t="n">
        <v>5</v>
      </c>
      <c r="AA2" s="0" t="s">
        <v>17</v>
      </c>
      <c r="AB2" s="0" t="s">
        <v>14</v>
      </c>
      <c r="AC2" s="0" t="n">
        <v>8101</v>
      </c>
      <c r="AD2" s="0" t="n">
        <v>7792</v>
      </c>
      <c r="AE2" s="0" t="n">
        <v>5014</v>
      </c>
    </row>
    <row r="3" customFormat="false" ht="15" hidden="false" customHeight="false" outlineLevel="0" collapsed="false">
      <c r="A3" s="0" t="s">
        <v>67</v>
      </c>
      <c r="B3" s="0" t="n">
        <v>21960</v>
      </c>
      <c r="C3" s="0" t="n">
        <v>14815</v>
      </c>
      <c r="D3" s="0" t="n">
        <v>7145</v>
      </c>
      <c r="E3" s="0" t="n">
        <v>32.5364</v>
      </c>
      <c r="F3" s="0" t="n">
        <v>2631</v>
      </c>
      <c r="G3" s="0" t="n">
        <v>11.9809</v>
      </c>
      <c r="H3" s="0" t="n">
        <v>4087</v>
      </c>
      <c r="I3" s="0" t="n">
        <v>1693</v>
      </c>
      <c r="J3" s="0" t="n">
        <v>7.7095</v>
      </c>
      <c r="K3" s="0" t="n">
        <v>2.335</v>
      </c>
      <c r="L3" s="0" t="n">
        <v>2741</v>
      </c>
      <c r="M3" s="0" t="n">
        <v>1668</v>
      </c>
      <c r="N3" s="0" t="n">
        <v>1073</v>
      </c>
      <c r="O3" s="0" t="n">
        <v>11261</v>
      </c>
      <c r="P3" s="0" t="n">
        <v>25267</v>
      </c>
      <c r="Q3" s="0" t="n">
        <v>14006</v>
      </c>
      <c r="R3" s="0" t="n">
        <v>2859</v>
      </c>
      <c r="S3" s="0" t="n">
        <v>1773</v>
      </c>
      <c r="T3" s="0" t="n">
        <v>723.34</v>
      </c>
      <c r="U3" s="0" t="n">
        <v>7</v>
      </c>
      <c r="AA3" s="0" t="s">
        <v>17</v>
      </c>
      <c r="AB3" s="0" t="s">
        <v>14</v>
      </c>
      <c r="AC3" s="0" t="n">
        <v>8315</v>
      </c>
      <c r="AD3" s="0" t="n">
        <v>8056</v>
      </c>
      <c r="AE3" s="0" t="n">
        <v>5589</v>
      </c>
    </row>
    <row r="4" customFormat="false" ht="15" hidden="false" customHeight="false" outlineLevel="0" collapsed="false">
      <c r="A4" s="0" t="s">
        <v>68</v>
      </c>
      <c r="B4" s="0" t="n">
        <v>22028</v>
      </c>
      <c r="C4" s="0" t="n">
        <v>15517</v>
      </c>
      <c r="D4" s="0" t="n">
        <v>6511</v>
      </c>
      <c r="E4" s="0" t="n">
        <v>29.5578</v>
      </c>
      <c r="F4" s="0" t="n">
        <v>2550</v>
      </c>
      <c r="G4" s="0" t="n">
        <v>11.5762</v>
      </c>
      <c r="H4" s="0" t="n">
        <v>4119</v>
      </c>
      <c r="I4" s="0" t="n">
        <v>1660</v>
      </c>
      <c r="J4" s="0" t="n">
        <v>7.5359</v>
      </c>
      <c r="K4" s="0" t="n">
        <v>2.3125</v>
      </c>
      <c r="L4" s="0" t="n">
        <v>2831</v>
      </c>
      <c r="M4" s="0" t="n">
        <v>1716</v>
      </c>
      <c r="N4" s="0" t="n">
        <v>1115</v>
      </c>
      <c r="O4" s="0" t="n">
        <v>12181</v>
      </c>
      <c r="P4" s="0" t="n">
        <v>30126</v>
      </c>
      <c r="Q4" s="0" t="n">
        <v>17945</v>
      </c>
      <c r="R4" s="0" t="n">
        <v>6524</v>
      </c>
      <c r="S4" s="0" t="n">
        <v>2128</v>
      </c>
      <c r="T4" s="0" t="n">
        <v>719.904</v>
      </c>
      <c r="U4" s="0" t="n">
        <v>7</v>
      </c>
      <c r="AA4" s="0" t="s">
        <v>17</v>
      </c>
      <c r="AB4" s="0" t="s">
        <v>14</v>
      </c>
      <c r="AC4" s="0" t="n">
        <v>8570</v>
      </c>
      <c r="AD4" s="0" t="n">
        <v>7824</v>
      </c>
      <c r="AE4" s="0" t="n">
        <v>5634</v>
      </c>
    </row>
    <row r="5" customFormat="false" ht="15" hidden="false" customHeight="false" outlineLevel="0" collapsed="false">
      <c r="A5" s="0" t="s">
        <v>69</v>
      </c>
      <c r="B5" s="0" t="n">
        <v>24135</v>
      </c>
      <c r="C5" s="0" t="n">
        <v>17053</v>
      </c>
      <c r="D5" s="0" t="n">
        <v>7082</v>
      </c>
      <c r="E5" s="0" t="n">
        <v>29.3433</v>
      </c>
      <c r="F5" s="0" t="n">
        <v>2691</v>
      </c>
      <c r="G5" s="0" t="n">
        <v>11.1498</v>
      </c>
      <c r="H5" s="0" t="n">
        <v>4763</v>
      </c>
      <c r="I5" s="0" t="n">
        <v>1730</v>
      </c>
      <c r="J5" s="0" t="n">
        <v>7.168</v>
      </c>
      <c r="K5" s="0" t="n">
        <v>2.415</v>
      </c>
      <c r="L5" s="0" t="n">
        <v>3321</v>
      </c>
      <c r="M5" s="0" t="n">
        <v>1782</v>
      </c>
      <c r="N5" s="0" t="n">
        <v>1539</v>
      </c>
      <c r="O5" s="0" t="n">
        <v>13229</v>
      </c>
      <c r="P5" s="0" t="n">
        <v>31677</v>
      </c>
      <c r="Q5" s="0" t="n">
        <v>18448</v>
      </c>
      <c r="R5" s="0" t="n">
        <v>7081</v>
      </c>
      <c r="S5" s="0" t="n">
        <v>1466</v>
      </c>
      <c r="T5" s="0" t="n">
        <v>720.612</v>
      </c>
      <c r="U5" s="0" t="n">
        <v>7</v>
      </c>
      <c r="AA5" s="0" t="s">
        <v>17</v>
      </c>
      <c r="AB5" s="0" t="s">
        <v>14</v>
      </c>
      <c r="AC5" s="0" t="n">
        <v>8847</v>
      </c>
      <c r="AD5" s="0" t="n">
        <v>8902</v>
      </c>
      <c r="AE5" s="0" t="n">
        <v>6386</v>
      </c>
    </row>
    <row r="6" customFormat="false" ht="15" hidden="false" customHeight="false" outlineLevel="0" collapsed="false">
      <c r="A6" s="0" t="s">
        <v>70</v>
      </c>
      <c r="B6" s="0" t="n">
        <v>20469</v>
      </c>
      <c r="C6" s="0" t="n">
        <v>14754</v>
      </c>
      <c r="D6" s="0" t="n">
        <v>5715</v>
      </c>
      <c r="E6" s="0" t="n">
        <v>27.9203</v>
      </c>
      <c r="F6" s="0" t="n">
        <v>1403</v>
      </c>
      <c r="G6" s="0" t="n">
        <v>6.8543</v>
      </c>
      <c r="H6" s="0" t="n">
        <v>3631</v>
      </c>
      <c r="I6" s="0" t="n">
        <v>625</v>
      </c>
      <c r="J6" s="0" t="n">
        <v>3.0534</v>
      </c>
      <c r="K6" s="0" t="n">
        <v>0.8775</v>
      </c>
      <c r="L6" s="0" t="n">
        <v>3366</v>
      </c>
      <c r="M6" s="0" t="n">
        <v>1369</v>
      </c>
      <c r="N6" s="0" t="n">
        <v>1997</v>
      </c>
      <c r="O6" s="0" t="n">
        <v>12631</v>
      </c>
      <c r="P6" s="0" t="n">
        <v>31637</v>
      </c>
      <c r="Q6" s="0" t="n">
        <v>19006</v>
      </c>
      <c r="R6" s="0" t="n">
        <v>8738</v>
      </c>
      <c r="S6" s="0" t="n">
        <v>4747</v>
      </c>
      <c r="T6" s="0" t="n">
        <v>716.68</v>
      </c>
      <c r="U6" s="0" t="n">
        <v>14</v>
      </c>
      <c r="AA6" s="0" t="s">
        <v>17</v>
      </c>
      <c r="AB6" s="0" t="s">
        <v>14</v>
      </c>
      <c r="AC6" s="0" t="n">
        <v>7640</v>
      </c>
      <c r="AD6" s="0" t="n">
        <v>7102</v>
      </c>
      <c r="AE6" s="0" t="n">
        <v>5727</v>
      </c>
    </row>
    <row r="7" customFormat="false" ht="15" hidden="false" customHeight="false" outlineLevel="0" collapsed="false">
      <c r="A7" s="0" t="s">
        <v>71</v>
      </c>
      <c r="B7" s="0" t="n">
        <v>23795</v>
      </c>
      <c r="C7" s="0" t="n">
        <v>16810</v>
      </c>
      <c r="D7" s="0" t="n">
        <v>6985</v>
      </c>
      <c r="E7" s="0" t="n">
        <v>29.3549</v>
      </c>
      <c r="F7" s="0" t="n">
        <v>2777</v>
      </c>
      <c r="G7" s="0" t="n">
        <v>11.6705</v>
      </c>
      <c r="H7" s="0" t="n">
        <v>4700</v>
      </c>
      <c r="I7" s="0" t="n">
        <v>1845</v>
      </c>
      <c r="J7" s="0" t="n">
        <v>7.7537</v>
      </c>
      <c r="K7" s="0" t="n">
        <v>2.56</v>
      </c>
      <c r="L7" s="0" t="n">
        <v>2906</v>
      </c>
      <c r="M7" s="0" t="n">
        <v>1479</v>
      </c>
      <c r="N7" s="0" t="n">
        <v>1427</v>
      </c>
      <c r="O7" s="0" t="n">
        <v>14971</v>
      </c>
      <c r="P7" s="0" t="n">
        <v>34701</v>
      </c>
      <c r="Q7" s="0" t="n">
        <v>19730</v>
      </c>
      <c r="R7" s="0" t="n">
        <v>8002</v>
      </c>
      <c r="S7" s="0" t="n">
        <v>4482</v>
      </c>
      <c r="T7" s="0" t="n">
        <v>718.32</v>
      </c>
      <c r="U7" s="0" t="n">
        <v>21</v>
      </c>
      <c r="AA7" s="0" t="s">
        <v>17</v>
      </c>
      <c r="AB7" s="0" t="s">
        <v>14</v>
      </c>
      <c r="AC7" s="0" t="n">
        <v>9014</v>
      </c>
      <c r="AD7" s="0" t="n">
        <v>8389</v>
      </c>
      <c r="AE7" s="0" t="n">
        <v>6392</v>
      </c>
    </row>
    <row r="8" customFormat="false" ht="15" hidden="false" customHeight="false" outlineLevel="0" collapsed="false">
      <c r="A8" s="0" t="s">
        <v>72</v>
      </c>
      <c r="B8" s="0" t="n">
        <v>28590</v>
      </c>
      <c r="C8" s="0" t="n">
        <v>21052</v>
      </c>
      <c r="D8" s="0" t="n">
        <v>7538</v>
      </c>
      <c r="E8" s="0" t="n">
        <v>26.3659</v>
      </c>
      <c r="F8" s="0" t="n">
        <v>3021</v>
      </c>
      <c r="G8" s="0" t="n">
        <v>10.5666</v>
      </c>
      <c r="H8" s="0" t="n">
        <v>5262</v>
      </c>
      <c r="I8" s="0" t="n">
        <v>2009</v>
      </c>
      <c r="J8" s="0" t="n">
        <v>7.0269</v>
      </c>
      <c r="K8" s="0" t="n">
        <v>2.79</v>
      </c>
      <c r="L8" s="0" t="n">
        <v>1931</v>
      </c>
      <c r="M8" s="0" t="n">
        <v>2041</v>
      </c>
      <c r="N8" s="0" t="n">
        <v>-110</v>
      </c>
      <c r="O8" s="0" t="n">
        <v>17116</v>
      </c>
      <c r="P8" s="0" t="n">
        <v>35346</v>
      </c>
      <c r="Q8" s="0" t="n">
        <v>18230</v>
      </c>
      <c r="R8" s="0" t="n">
        <v>7454</v>
      </c>
      <c r="S8" s="0" t="n">
        <v>2584</v>
      </c>
      <c r="T8" s="0" t="n">
        <v>717.25</v>
      </c>
      <c r="U8" s="0" t="n">
        <v>20</v>
      </c>
      <c r="AA8" s="0" t="s">
        <v>17</v>
      </c>
      <c r="AB8" s="0" t="s">
        <v>14</v>
      </c>
    </row>
    <row r="9" customFormat="false" ht="15" hidden="false" customHeight="false" outlineLevel="0" collapsed="false">
      <c r="A9" s="0" t="s">
        <v>73</v>
      </c>
      <c r="B9" s="0" t="n">
        <v>28343</v>
      </c>
      <c r="C9" s="0" t="n">
        <v>20395</v>
      </c>
      <c r="D9" s="0" t="n">
        <v>7948</v>
      </c>
      <c r="E9" s="0" t="n">
        <v>28.0422</v>
      </c>
      <c r="F9" s="0" t="n">
        <v>2652</v>
      </c>
      <c r="G9" s="0" t="n">
        <v>9.3568</v>
      </c>
      <c r="H9" s="0" t="n">
        <v>5489</v>
      </c>
      <c r="I9" s="0" t="n">
        <v>1983</v>
      </c>
      <c r="J9" s="0" t="n">
        <v>6.9964</v>
      </c>
      <c r="K9" s="0" t="n">
        <v>2.75</v>
      </c>
      <c r="L9" s="0" t="n">
        <v>5287</v>
      </c>
      <c r="M9" s="0" t="n">
        <v>2268</v>
      </c>
      <c r="N9" s="0" t="n">
        <v>3019</v>
      </c>
      <c r="O9" s="0" t="n">
        <v>17958</v>
      </c>
      <c r="P9" s="0" t="n">
        <v>35195</v>
      </c>
      <c r="Q9" s="0" t="n">
        <v>17237</v>
      </c>
      <c r="R9" s="0" t="n">
        <v>6242</v>
      </c>
      <c r="S9" s="0" t="n">
        <v>2515</v>
      </c>
      <c r="T9" s="0" t="n">
        <v>719.638</v>
      </c>
      <c r="U9" s="0" t="n">
        <v>30</v>
      </c>
      <c r="AA9" s="0" t="s">
        <v>17</v>
      </c>
      <c r="AB9" s="0" t="s">
        <v>14</v>
      </c>
    </row>
    <row r="10" customFormat="false" ht="15" hidden="false" customHeight="false" outlineLevel="0" collapsed="false">
      <c r="A10" s="0" t="s">
        <v>74</v>
      </c>
      <c r="B10" s="0" t="n">
        <v>27193</v>
      </c>
      <c r="C10" s="0" t="n">
        <v>19445</v>
      </c>
      <c r="D10" s="0" t="n">
        <v>7748</v>
      </c>
      <c r="E10" s="0" t="n">
        <v>28.4926</v>
      </c>
      <c r="F10" s="0" t="n">
        <v>2631</v>
      </c>
      <c r="G10" s="0" t="n">
        <v>9.6753</v>
      </c>
      <c r="H10" s="0" t="n">
        <v>5361</v>
      </c>
      <c r="I10" s="0" t="n">
        <v>1890</v>
      </c>
      <c r="J10" s="0" t="n">
        <v>6.9503</v>
      </c>
      <c r="K10" s="0" t="n">
        <v>2.62</v>
      </c>
      <c r="L10" s="0" t="n">
        <v>4336</v>
      </c>
      <c r="M10" s="0" t="n">
        <v>2250</v>
      </c>
      <c r="N10" s="0" t="n">
        <v>2086</v>
      </c>
      <c r="O10" s="0" t="n">
        <v>18634</v>
      </c>
      <c r="P10" s="0" t="n">
        <v>37352</v>
      </c>
      <c r="Q10" s="0" t="n">
        <v>18718</v>
      </c>
      <c r="R10" s="0" t="n">
        <v>7439</v>
      </c>
      <c r="S10" s="0" t="n">
        <v>3936</v>
      </c>
      <c r="T10" s="0" t="n">
        <v>716.96</v>
      </c>
      <c r="U10" s="0" t="n">
        <v>61</v>
      </c>
      <c r="AA10" s="0" t="s">
        <v>17</v>
      </c>
      <c r="AB10" s="0" t="s">
        <v>14</v>
      </c>
    </row>
    <row r="11" customFormat="false" ht="15" hidden="false" customHeight="false" outlineLevel="0" collapsed="false">
      <c r="A11" s="0" t="s">
        <v>75</v>
      </c>
      <c r="B11" s="0" t="n">
        <v>25992</v>
      </c>
      <c r="C11" s="0" t="n">
        <v>18973</v>
      </c>
      <c r="D11" s="0" t="n">
        <v>7019</v>
      </c>
      <c r="E11" s="0" t="n">
        <v>27.0045</v>
      </c>
      <c r="F11" s="0" t="n">
        <v>2366</v>
      </c>
      <c r="G11" s="0" t="n">
        <v>9.1028</v>
      </c>
      <c r="H11" s="0" t="n">
        <v>4663</v>
      </c>
      <c r="I11" s="0" t="n">
        <v>1664</v>
      </c>
      <c r="J11" s="0" t="n">
        <v>6.402</v>
      </c>
      <c r="K11" s="0" t="n">
        <v>2.33</v>
      </c>
      <c r="L11" s="0" t="n">
        <v>3819</v>
      </c>
      <c r="M11" s="0" t="n">
        <v>2017</v>
      </c>
      <c r="N11" s="0" t="n">
        <v>1802</v>
      </c>
      <c r="O11" s="0" t="n">
        <v>18076</v>
      </c>
      <c r="P11" s="0" t="n">
        <v>35018</v>
      </c>
      <c r="Q11" s="0" t="n">
        <v>16942</v>
      </c>
      <c r="R11" s="0" t="n">
        <v>6645</v>
      </c>
      <c r="S11" s="0" t="n">
        <v>3877</v>
      </c>
      <c r="T11" s="0" t="n">
        <v>713.093</v>
      </c>
      <c r="U11" s="0" t="n">
        <v>61</v>
      </c>
      <c r="AA11" s="0" t="s">
        <v>17</v>
      </c>
      <c r="AB1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31.27</v>
      </c>
    </row>
    <row r="3" customFormat="false" ht="15" hidden="false" customHeight="false" outlineLevel="0" collapsed="false">
      <c r="A3" s="0" t="s">
        <v>79</v>
      </c>
      <c r="B3" s="3" t="n">
        <v>679.1</v>
      </c>
    </row>
    <row r="4" customFormat="false" ht="15" hidden="false" customHeight="false" outlineLevel="0" collapsed="false">
      <c r="A4" s="0" t="s">
        <v>80</v>
      </c>
      <c r="B4" s="3" t="n">
        <v>3130</v>
      </c>
    </row>
    <row r="5" customFormat="false" ht="15" hidden="false" customHeight="false" outlineLevel="0" collapsed="false">
      <c r="A5" s="0" t="s">
        <v>81</v>
      </c>
      <c r="B5" s="3" t="n">
        <v>511</v>
      </c>
    </row>
    <row r="6" customFormat="false" ht="15" hidden="false" customHeight="false" outlineLevel="0" collapsed="false">
      <c r="A6" s="0" t="s">
        <v>82</v>
      </c>
      <c r="B6" s="3" t="n">
        <v>15</v>
      </c>
    </row>
    <row r="7" customFormat="false" ht="15" hidden="false" customHeight="false" outlineLevel="0" collapsed="false">
      <c r="A7" s="0" t="s">
        <v>83</v>
      </c>
      <c r="B7" s="3" t="n">
        <v>25992</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-3</v>
      </c>
      <c r="D13" s="3" t="n">
        <v>0</v>
      </c>
      <c r="E13" s="3" t="n">
        <v>1</v>
      </c>
      <c r="F13" s="3" t="n">
        <v>1.5</v>
      </c>
      <c r="G13" s="3" t="n">
        <v>1.5</v>
      </c>
      <c r="H13" s="3" t="n">
        <v>1.5</v>
      </c>
      <c r="I13" s="3" t="n">
        <v>1.5</v>
      </c>
      <c r="J13" s="3" t="n">
        <v>1.5</v>
      </c>
      <c r="K13" s="3" t="n">
        <v>1.5</v>
      </c>
      <c r="L13" s="3" t="n">
        <v>1.5</v>
      </c>
    </row>
    <row r="14" customFormat="false" ht="15" hidden="false" customHeight="false" outlineLevel="0" collapsed="false">
      <c r="A14" s="0" t="s">
        <v>100</v>
      </c>
      <c r="C14" s="3" t="n">
        <v>16.8</v>
      </c>
      <c r="D14" s="3" t="n">
        <v>16.3</v>
      </c>
      <c r="E14" s="3" t="n">
        <v>16</v>
      </c>
      <c r="F14" s="3" t="n">
        <v>16</v>
      </c>
      <c r="G14" s="3" t="n">
        <v>16</v>
      </c>
      <c r="H14" s="3" t="n">
        <v>16</v>
      </c>
      <c r="I14" s="3" t="n">
        <v>16</v>
      </c>
      <c r="J14" s="3" t="n">
        <v>16</v>
      </c>
      <c r="K14" s="3" t="n">
        <v>16</v>
      </c>
      <c r="L14" s="3" t="n">
        <v>16</v>
      </c>
    </row>
    <row r="15" customFormat="false" ht="15" hidden="false" customHeight="false" outlineLevel="0" collapsed="false">
      <c r="A15" s="0" t="s">
        <v>101</v>
      </c>
      <c r="C15" s="3" t="n">
        <v>0.23</v>
      </c>
      <c r="D15" s="3" t="n">
        <v>0.23</v>
      </c>
      <c r="E15" s="3" t="n">
        <v>0.23</v>
      </c>
      <c r="F15" s="3" t="n">
        <v>0.23</v>
      </c>
      <c r="G15" s="3" t="n">
        <v>0.23</v>
      </c>
      <c r="H15" s="3" t="n">
        <v>0.23</v>
      </c>
      <c r="I15" s="3" t="n">
        <v>0.23</v>
      </c>
      <c r="J15" s="3" t="n">
        <v>0.23</v>
      </c>
      <c r="K15" s="3" t="n">
        <v>0.23</v>
      </c>
      <c r="L15" s="3" t="n">
        <v>0.23</v>
      </c>
    </row>
    <row r="16" customFormat="false" ht="15" hidden="false" customHeight="false" outlineLevel="0" collapsed="false">
      <c r="A16" s="0" t="s">
        <v>102</v>
      </c>
      <c r="C16" s="3" t="n">
        <v>1.3</v>
      </c>
      <c r="D16" s="3" t="n">
        <v>1.3</v>
      </c>
      <c r="E16" s="3" t="n">
        <v>1.3</v>
      </c>
      <c r="F16" s="3" t="n">
        <v>1.3</v>
      </c>
      <c r="G16" s="3" t="n">
        <v>1.3</v>
      </c>
      <c r="H16" s="3" t="n">
        <v>1.3</v>
      </c>
      <c r="I16" s="3" t="n">
        <v>1.3</v>
      </c>
      <c r="J16" s="3" t="n">
        <v>1.3</v>
      </c>
      <c r="K16" s="3" t="n">
        <v>1.3</v>
      </c>
      <c r="L16" s="3" t="n">
        <v>1.3</v>
      </c>
    </row>
    <row r="17" customFormat="false" ht="15" hidden="false" customHeight="false" outlineLevel="0" collapsed="false">
      <c r="A17" s="0" t="s">
        <v>103</v>
      </c>
      <c r="C17" s="3" t="n">
        <v>6.9</v>
      </c>
      <c r="D17" s="3" t="n">
        <v>6.9</v>
      </c>
      <c r="E17" s="3" t="n">
        <v>7</v>
      </c>
      <c r="F17" s="3" t="n">
        <v>7</v>
      </c>
      <c r="G17" s="3" t="n">
        <v>7</v>
      </c>
      <c r="H17" s="3" t="n">
        <v>7</v>
      </c>
      <c r="I17" s="3" t="n">
        <v>7</v>
      </c>
      <c r="J17" s="3" t="n">
        <v>7</v>
      </c>
      <c r="K17" s="3" t="n">
        <v>7</v>
      </c>
      <c r="L17" s="3" t="n">
        <v>7</v>
      </c>
    </row>
    <row r="18" customFormat="false" ht="15" hidden="false" customHeight="false" outlineLevel="0" collapsed="false">
      <c r="A18" s="0" t="s">
        <v>104</v>
      </c>
      <c r="C18" s="3" t="n">
        <v>7.4</v>
      </c>
      <c r="D18" s="3" t="n">
        <v>7.5</v>
      </c>
      <c r="E18" s="3" t="n">
        <v>7.5</v>
      </c>
      <c r="F18" s="3" t="n">
        <v>7.5</v>
      </c>
      <c r="G18" s="3" t="n">
        <v>7.5</v>
      </c>
      <c r="H18" s="3" t="n">
        <v>7.5</v>
      </c>
      <c r="I18" s="3" t="n">
        <v>7.5</v>
      </c>
      <c r="J18" s="3" t="n">
        <v>7.5</v>
      </c>
      <c r="K18" s="3" t="n">
        <v>7.5</v>
      </c>
      <c r="L18" s="3" t="n">
        <v>7.5</v>
      </c>
    </row>
    <row r="19" customFormat="false" ht="15" hidden="false" customHeight="false" outlineLevel="0" collapsed="false">
      <c r="A19" s="0" t="s">
        <v>105</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106</v>
      </c>
      <c r="B20" s="3" t="n">
        <v>8</v>
      </c>
    </row>
    <row r="21" customFormat="false" ht="15" hidden="false" customHeight="false" outlineLevel="0" collapsed="false">
      <c r="A21" s="0" t="s">
        <v>107</v>
      </c>
      <c r="B21" s="3" t="n">
        <v>1.5</v>
      </c>
    </row>
    <row r="22" customFormat="false" ht="15" hidden="false" customHeight="false" outlineLevel="0" collapsed="false">
      <c r="A22" s="0" t="s">
        <v>108</v>
      </c>
      <c r="B22" s="3" t="n">
        <v>13</v>
      </c>
    </row>
    <row r="23" customFormat="false" ht="15" hidden="false" customHeight="false" outlineLevel="0" collapsed="false">
      <c r="A23" s="0" t="s">
        <v>109</v>
      </c>
      <c r="B23" s="3" t="n">
        <v>-15</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-1</v>
      </c>
      <c r="D27" s="3" t="n">
        <v>3</v>
      </c>
      <c r="E27" s="3" t="n">
        <v>3</v>
      </c>
      <c r="F27" s="3" t="n">
        <v>3</v>
      </c>
      <c r="G27" s="3" t="n">
        <v>2.5</v>
      </c>
      <c r="H27" s="3" t="n">
        <v>2.5</v>
      </c>
      <c r="I27" s="3" t="n">
        <v>2.5</v>
      </c>
      <c r="J27" s="3" t="n">
        <v>2</v>
      </c>
      <c r="K27" s="3" t="n">
        <v>2</v>
      </c>
      <c r="L27" s="3" t="n">
        <v>2</v>
      </c>
    </row>
    <row r="28" customFormat="false" ht="15" hidden="false" customHeight="false" outlineLevel="0" collapsed="false">
      <c r="A28" s="0" t="s">
        <v>100</v>
      </c>
      <c r="C28" s="3" t="n">
        <v>17.3</v>
      </c>
      <c r="D28" s="3" t="n">
        <v>17.5</v>
      </c>
      <c r="E28" s="3" t="n">
        <v>17.7</v>
      </c>
      <c r="F28" s="3" t="n">
        <v>17.9</v>
      </c>
      <c r="G28" s="3" t="n">
        <v>18</v>
      </c>
      <c r="H28" s="3" t="n">
        <v>18</v>
      </c>
      <c r="I28" s="3" t="n">
        <v>18</v>
      </c>
      <c r="J28" s="3" t="n">
        <v>18</v>
      </c>
      <c r="K28" s="3" t="n">
        <v>18</v>
      </c>
      <c r="L28" s="3" t="n">
        <v>18</v>
      </c>
    </row>
    <row r="29" customFormat="false" ht="15" hidden="false" customHeight="false" outlineLevel="0" collapsed="false">
      <c r="A29" s="0" t="s">
        <v>101</v>
      </c>
      <c r="C29" s="3" t="n">
        <v>0.23</v>
      </c>
      <c r="D29" s="3" t="n">
        <v>0.23</v>
      </c>
      <c r="E29" s="3" t="n">
        <v>0.23</v>
      </c>
      <c r="F29" s="3" t="n">
        <v>0.23</v>
      </c>
      <c r="G29" s="3" t="n">
        <v>0.23</v>
      </c>
      <c r="H29" s="3" t="n">
        <v>0.23</v>
      </c>
      <c r="I29" s="3" t="n">
        <v>0.23</v>
      </c>
      <c r="J29" s="3" t="n">
        <v>0.23</v>
      </c>
      <c r="K29" s="3" t="n">
        <v>0.23</v>
      </c>
      <c r="L29" s="3" t="n">
        <v>0.23</v>
      </c>
    </row>
    <row r="30" customFormat="false" ht="15" hidden="false" customHeight="false" outlineLevel="0" collapsed="false">
      <c r="A30" s="0" t="s">
        <v>102</v>
      </c>
      <c r="C30" s="3" t="n">
        <v>1.3</v>
      </c>
      <c r="D30" s="3" t="n">
        <v>1.3</v>
      </c>
      <c r="E30" s="3" t="n">
        <v>1.3</v>
      </c>
      <c r="F30" s="3" t="n">
        <v>1.3</v>
      </c>
      <c r="G30" s="3" t="n">
        <v>1.3</v>
      </c>
      <c r="H30" s="3" t="n">
        <v>1.3</v>
      </c>
      <c r="I30" s="3" t="n">
        <v>1.3</v>
      </c>
      <c r="J30" s="3" t="n">
        <v>1.3</v>
      </c>
      <c r="K30" s="3" t="n">
        <v>1.3</v>
      </c>
      <c r="L30" s="3" t="n">
        <v>1.3</v>
      </c>
    </row>
    <row r="31" customFormat="false" ht="15" hidden="false" customHeight="false" outlineLevel="0" collapsed="false">
      <c r="A31" s="0" t="s">
        <v>103</v>
      </c>
      <c r="C31" s="3" t="n">
        <v>6.9</v>
      </c>
      <c r="D31" s="3" t="n">
        <v>6.9</v>
      </c>
      <c r="E31" s="3" t="n">
        <v>6.9</v>
      </c>
      <c r="F31" s="3" t="n">
        <v>6.9</v>
      </c>
      <c r="G31" s="3" t="n">
        <v>6.9</v>
      </c>
      <c r="H31" s="3" t="n">
        <v>6.9</v>
      </c>
      <c r="I31" s="3" t="n">
        <v>6.9</v>
      </c>
      <c r="J31" s="3" t="n">
        <v>6.9</v>
      </c>
      <c r="K31" s="3" t="n">
        <v>6.9</v>
      </c>
      <c r="L31" s="3" t="n">
        <v>6.9</v>
      </c>
    </row>
    <row r="32" customFormat="false" ht="15" hidden="false" customHeight="false" outlineLevel="0" collapsed="false">
      <c r="A32" s="0" t="s">
        <v>104</v>
      </c>
      <c r="C32" s="3" t="n">
        <v>7.2</v>
      </c>
      <c r="D32" s="3" t="n">
        <v>7.3</v>
      </c>
      <c r="E32" s="3" t="n">
        <v>7.3</v>
      </c>
      <c r="F32" s="3" t="n">
        <v>7.3</v>
      </c>
      <c r="G32" s="3" t="n">
        <v>7.2</v>
      </c>
      <c r="H32" s="3" t="n">
        <v>7.2</v>
      </c>
      <c r="I32" s="3" t="n">
        <v>7.2</v>
      </c>
      <c r="J32" s="3" t="n">
        <v>7.2</v>
      </c>
      <c r="K32" s="3" t="n">
        <v>7.2</v>
      </c>
      <c r="L32" s="3" t="n">
        <v>7.2</v>
      </c>
    </row>
    <row r="33" customFormat="false" ht="15" hidden="false" customHeight="false" outlineLevel="0" collapsed="false">
      <c r="A33" s="0" t="s">
        <v>105</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106</v>
      </c>
      <c r="B34" s="3" t="n">
        <v>8</v>
      </c>
    </row>
    <row r="35" customFormat="false" ht="15" hidden="false" customHeight="false" outlineLevel="0" collapsed="false">
      <c r="A35" s="0" t="s">
        <v>107</v>
      </c>
      <c r="B35" s="3" t="n">
        <v>2</v>
      </c>
    </row>
    <row r="36" customFormat="false" ht="15" hidden="false" customHeight="false" outlineLevel="0" collapsed="false">
      <c r="A36" s="0" t="s">
        <v>108</v>
      </c>
      <c r="B36" s="3" t="n">
        <v>15</v>
      </c>
    </row>
    <row r="37" customFormat="false" ht="15" hidden="false" customHeight="false" outlineLevel="0" collapsed="false">
      <c r="A37" s="0" t="s">
        <v>109</v>
      </c>
      <c r="B37" s="3" t="n">
        <v>-15</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0</v>
      </c>
      <c r="D41" s="3" t="n">
        <v>4</v>
      </c>
      <c r="E41" s="3" t="n">
        <v>4</v>
      </c>
      <c r="F41" s="3" t="n">
        <v>4</v>
      </c>
      <c r="G41" s="3" t="n">
        <v>3.5</v>
      </c>
      <c r="H41" s="3" t="n">
        <v>3</v>
      </c>
      <c r="I41" s="3" t="n">
        <v>3</v>
      </c>
      <c r="J41" s="3" t="n">
        <v>2.5</v>
      </c>
      <c r="K41" s="3" t="n">
        <v>2.5</v>
      </c>
      <c r="L41" s="3" t="n">
        <v>2.5</v>
      </c>
    </row>
    <row r="42" customFormat="false" ht="15" hidden="false" customHeight="false" outlineLevel="0" collapsed="false">
      <c r="A42" s="0" t="s">
        <v>100</v>
      </c>
      <c r="C42" s="3" t="n">
        <v>17.5</v>
      </c>
      <c r="D42" s="3" t="n">
        <v>18</v>
      </c>
      <c r="E42" s="3" t="n">
        <v>18.5</v>
      </c>
      <c r="F42" s="3" t="n">
        <v>18.8</v>
      </c>
      <c r="G42" s="3" t="n">
        <v>19</v>
      </c>
      <c r="H42" s="3" t="n">
        <v>19</v>
      </c>
      <c r="I42" s="3" t="n">
        <v>19</v>
      </c>
      <c r="J42" s="3" t="n">
        <v>19</v>
      </c>
      <c r="K42" s="3" t="n">
        <v>19</v>
      </c>
      <c r="L42" s="3" t="n">
        <v>19</v>
      </c>
    </row>
    <row r="43" customFormat="false" ht="15" hidden="false" customHeight="false" outlineLevel="0" collapsed="false">
      <c r="A43" s="0" t="s">
        <v>101</v>
      </c>
      <c r="C43" s="3" t="n">
        <v>0.23</v>
      </c>
      <c r="D43" s="3" t="n">
        <v>0.23</v>
      </c>
      <c r="E43" s="3" t="n">
        <v>0.23</v>
      </c>
      <c r="F43" s="3" t="n">
        <v>0.23</v>
      </c>
      <c r="G43" s="3" t="n">
        <v>0.23</v>
      </c>
      <c r="H43" s="3" t="n">
        <v>0.23</v>
      </c>
      <c r="I43" s="3" t="n">
        <v>0.23</v>
      </c>
      <c r="J43" s="3" t="n">
        <v>0.23</v>
      </c>
      <c r="K43" s="3" t="n">
        <v>0.23</v>
      </c>
      <c r="L43" s="3" t="n">
        <v>0.23</v>
      </c>
    </row>
    <row r="44" customFormat="false" ht="15" hidden="false" customHeight="false" outlineLevel="0" collapsed="false">
      <c r="A44" s="0" t="s">
        <v>102</v>
      </c>
      <c r="C44" s="3" t="n">
        <v>1.3</v>
      </c>
      <c r="D44" s="3" t="n">
        <v>1.3</v>
      </c>
      <c r="E44" s="3" t="n">
        <v>1.3</v>
      </c>
      <c r="F44" s="3" t="n">
        <v>1.3</v>
      </c>
      <c r="G44" s="3" t="n">
        <v>1.3</v>
      </c>
      <c r="H44" s="3" t="n">
        <v>1.3</v>
      </c>
      <c r="I44" s="3" t="n">
        <v>1.3</v>
      </c>
      <c r="J44" s="3" t="n">
        <v>1.3</v>
      </c>
      <c r="K44" s="3" t="n">
        <v>1.3</v>
      </c>
      <c r="L44" s="3" t="n">
        <v>1.3</v>
      </c>
    </row>
    <row r="45" customFormat="false" ht="15" hidden="false" customHeight="false" outlineLevel="0" collapsed="false">
      <c r="A45" s="0" t="s">
        <v>103</v>
      </c>
      <c r="C45" s="3" t="n">
        <v>6.9</v>
      </c>
      <c r="D45" s="3" t="n">
        <v>6.9</v>
      </c>
      <c r="E45" s="3" t="n">
        <v>6.9</v>
      </c>
      <c r="F45" s="3" t="n">
        <v>6.8</v>
      </c>
      <c r="G45" s="3" t="n">
        <v>6.8</v>
      </c>
      <c r="H45" s="3" t="n">
        <v>6.8</v>
      </c>
      <c r="I45" s="3" t="n">
        <v>6.8</v>
      </c>
      <c r="J45" s="3" t="n">
        <v>6.8</v>
      </c>
      <c r="K45" s="3" t="n">
        <v>6.8</v>
      </c>
      <c r="L45" s="3" t="n">
        <v>6.8</v>
      </c>
    </row>
    <row r="46" customFormat="false" ht="15" hidden="false" customHeight="false" outlineLevel="0" collapsed="false">
      <c r="A46" s="0" t="s">
        <v>104</v>
      </c>
      <c r="C46" s="3" t="n">
        <v>7.2</v>
      </c>
      <c r="D46" s="3" t="n">
        <v>7.2</v>
      </c>
      <c r="E46" s="3" t="n">
        <v>7.1</v>
      </c>
      <c r="F46" s="3" t="n">
        <v>7</v>
      </c>
      <c r="G46" s="3" t="n">
        <v>7</v>
      </c>
      <c r="H46" s="3" t="n">
        <v>7</v>
      </c>
      <c r="I46" s="3" t="n">
        <v>7</v>
      </c>
      <c r="J46" s="3" t="n">
        <v>7</v>
      </c>
      <c r="K46" s="3" t="n">
        <v>7</v>
      </c>
      <c r="L46" s="3" t="n">
        <v>7</v>
      </c>
    </row>
    <row r="47" customFormat="false" ht="15" hidden="false" customHeight="false" outlineLevel="0" collapsed="false">
      <c r="A47" s="0" t="s">
        <v>105</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106</v>
      </c>
      <c r="B48" s="3" t="n">
        <v>8</v>
      </c>
    </row>
    <row r="49" customFormat="false" ht="15" hidden="false" customHeight="false" outlineLevel="0" collapsed="false">
      <c r="A49" s="0" t="s">
        <v>107</v>
      </c>
      <c r="B49" s="3" t="n">
        <v>2.5</v>
      </c>
    </row>
    <row r="50" customFormat="false" ht="15" hidden="false" customHeight="false" outlineLevel="0" collapsed="false">
      <c r="A50" s="0" t="s">
        <v>108</v>
      </c>
      <c r="B50" s="3" t="n">
        <v>16</v>
      </c>
    </row>
    <row r="51" customFormat="false" ht="15" hidden="false" customHeight="false" outlineLevel="0" collapsed="false">
      <c r="A51" s="0" t="s">
        <v>109</v>
      </c>
      <c r="B51" s="3" t="n">
        <v>-15</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-3</v>
      </c>
      <c r="D5" s="4" t="n">
        <f aca="false">Assumptions!D13</f>
        <v>0</v>
      </c>
      <c r="E5" s="4" t="n">
        <f aca="false">Assumptions!E13</f>
        <v>1</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25992</v>
      </c>
      <c r="C6" s="0" t="n">
        <f aca="false">B6*(1+C5/100)</f>
        <v>25212.24</v>
      </c>
      <c r="D6" s="0" t="n">
        <f aca="false">C6*(1+D5/100)</f>
        <v>25212.24</v>
      </c>
      <c r="E6" s="0" t="n">
        <f aca="false">D6*(1+E5/100)</f>
        <v>25464.3624</v>
      </c>
      <c r="F6" s="0" t="n">
        <f aca="false">E6*(1+F5/100)</f>
        <v>25846.327836</v>
      </c>
      <c r="G6" s="0" t="n">
        <f aca="false">F6*(1+G5/100)</f>
        <v>26234.02275354</v>
      </c>
      <c r="H6" s="0" t="n">
        <f aca="false">G6*(1+H5/100)</f>
        <v>26627.5330948431</v>
      </c>
      <c r="I6" s="0" t="n">
        <f aca="false">H6*(1+I5/100)</f>
        <v>27026.9460912657</v>
      </c>
      <c r="J6" s="0" t="n">
        <f aca="false">I6*(1+J5/100)</f>
        <v>27432.3502826347</v>
      </c>
      <c r="K6" s="0" t="n">
        <f aca="false">J6*(1+K5/100)</f>
        <v>27843.8355368742</v>
      </c>
      <c r="L6" s="0" t="n">
        <f aca="false">K6*(1+L5/100)</f>
        <v>28261.4930699273</v>
      </c>
    </row>
    <row r="7" customFormat="false" ht="15" hidden="false" customHeight="false" outlineLevel="0" collapsed="false">
      <c r="A7" s="0" t="s">
        <v>100</v>
      </c>
      <c r="C7" s="4" t="n">
        <f aca="false">Assumptions!C14</f>
        <v>16.8</v>
      </c>
      <c r="D7" s="4" t="n">
        <f aca="false">Assumptions!D14</f>
        <v>16.3</v>
      </c>
      <c r="E7" s="4" t="n">
        <f aca="false">Assumptions!E14</f>
        <v>16</v>
      </c>
      <c r="F7" s="4" t="n">
        <f aca="false">Assumptions!F14</f>
        <v>16</v>
      </c>
      <c r="G7" s="4" t="n">
        <f aca="false">Assumptions!G14</f>
        <v>16</v>
      </c>
      <c r="H7" s="4" t="n">
        <f aca="false">Assumptions!H14</f>
        <v>16</v>
      </c>
      <c r="I7" s="4" t="n">
        <f aca="false">Assumptions!I14</f>
        <v>16</v>
      </c>
      <c r="J7" s="4" t="n">
        <f aca="false">Assumptions!J14</f>
        <v>16</v>
      </c>
      <c r="K7" s="4" t="n">
        <f aca="false">Assumptions!K14</f>
        <v>16</v>
      </c>
      <c r="L7" s="4" t="n">
        <f aca="false">Assumptions!L14</f>
        <v>16</v>
      </c>
    </row>
    <row r="8" customFormat="false" ht="15" hidden="false" customHeight="false" outlineLevel="0" collapsed="false">
      <c r="A8" s="0" t="s">
        <v>43</v>
      </c>
      <c r="C8" s="0" t="n">
        <f aca="false">C6*C7/100</f>
        <v>4235.65632</v>
      </c>
      <c r="D8" s="0" t="n">
        <f aca="false">D6*D7/100</f>
        <v>4109.59512</v>
      </c>
      <c r="E8" s="0" t="n">
        <f aca="false">E6*E7/100</f>
        <v>4074.297984</v>
      </c>
      <c r="F8" s="0" t="n">
        <f aca="false">F6*F7/100</f>
        <v>4135.41245376</v>
      </c>
      <c r="G8" s="0" t="n">
        <f aca="false">G6*G7/100</f>
        <v>4197.4436405664</v>
      </c>
      <c r="H8" s="0" t="n">
        <f aca="false">H6*H7/100</f>
        <v>4260.40529517489</v>
      </c>
      <c r="I8" s="0" t="n">
        <f aca="false">I6*I7/100</f>
        <v>4324.31137460252</v>
      </c>
      <c r="J8" s="0" t="n">
        <f aca="false">J6*J7/100</f>
        <v>4389.17604522156</v>
      </c>
      <c r="K8" s="0" t="n">
        <f aca="false">K6*K7/100</f>
        <v>4455.01368589988</v>
      </c>
      <c r="L8" s="0" t="n">
        <f aca="false">L6*L7/100</f>
        <v>4521.83889118838</v>
      </c>
    </row>
    <row r="9" customFormat="false" ht="15" hidden="false" customHeight="false" outlineLevel="0" collapsed="false">
      <c r="A9" s="0" t="s">
        <v>101</v>
      </c>
      <c r="C9" s="4" t="n">
        <f aca="false">Assumptions!C15</f>
        <v>0.23</v>
      </c>
      <c r="D9" s="4" t="n">
        <f aca="false">Assumptions!D15</f>
        <v>0.23</v>
      </c>
      <c r="E9" s="4" t="n">
        <f aca="false">Assumptions!E15</f>
        <v>0.23</v>
      </c>
      <c r="F9" s="4" t="n">
        <f aca="false">Assumptions!F15</f>
        <v>0.23</v>
      </c>
      <c r="G9" s="4" t="n">
        <f aca="false">Assumptions!G15</f>
        <v>0.23</v>
      </c>
      <c r="H9" s="4" t="n">
        <f aca="false">Assumptions!H15</f>
        <v>0.23</v>
      </c>
      <c r="I9" s="4" t="n">
        <f aca="false">Assumptions!I15</f>
        <v>0.23</v>
      </c>
      <c r="J9" s="4" t="n">
        <f aca="false">Assumptions!J15</f>
        <v>0.23</v>
      </c>
      <c r="K9" s="4" t="n">
        <f aca="false">Assumptions!K15</f>
        <v>0.23</v>
      </c>
      <c r="L9" s="4" t="n">
        <f aca="false">Assumptions!L15</f>
        <v>0.23</v>
      </c>
    </row>
    <row r="10" customFormat="false" ht="15" hidden="false" customHeight="false" outlineLevel="0" collapsed="false">
      <c r="A10" s="0" t="s">
        <v>116</v>
      </c>
      <c r="C10" s="0" t="n">
        <f aca="false">-C6*C9/100</f>
        <v>-57.988152</v>
      </c>
      <c r="D10" s="0" t="n">
        <f aca="false">-D6*D9/100</f>
        <v>-57.988152</v>
      </c>
      <c r="E10" s="0" t="n">
        <f aca="false">-E6*E9/100</f>
        <v>-58.56803352</v>
      </c>
      <c r="F10" s="0" t="n">
        <f aca="false">-F6*F9/100</f>
        <v>-59.4465540228</v>
      </c>
      <c r="G10" s="0" t="n">
        <f aca="false">-G6*G9/100</f>
        <v>-60.338252333142</v>
      </c>
      <c r="H10" s="0" t="n">
        <f aca="false">-H6*H9/100</f>
        <v>-61.2433261181391</v>
      </c>
      <c r="I10" s="0" t="n">
        <f aca="false">-I6*I9/100</f>
        <v>-62.1619760099112</v>
      </c>
      <c r="J10" s="0" t="n">
        <f aca="false">-J6*J9/100</f>
        <v>-63.0944056500599</v>
      </c>
      <c r="K10" s="0" t="n">
        <f aca="false">-K6*K9/100</f>
        <v>-64.0408217348108</v>
      </c>
      <c r="L10" s="0" t="n">
        <f aca="false">-L6*L9/100</f>
        <v>-65.0014340608329</v>
      </c>
    </row>
    <row r="11" customFormat="false" ht="15" hidden="false" customHeight="false" outlineLevel="0" collapsed="false">
      <c r="A11" s="0" t="s">
        <v>117</v>
      </c>
      <c r="C11" s="0" t="n">
        <f aca="false">C8+C10+C24</f>
        <v>3849.909048</v>
      </c>
      <c r="D11" s="0" t="n">
        <f aca="false">D8+D10+D24</f>
        <v>3723.847848</v>
      </c>
      <c r="E11" s="0" t="n">
        <f aca="false">E8+E10+E24</f>
        <v>3684.69323928</v>
      </c>
      <c r="F11" s="0" t="n">
        <f aca="false">F8+F10+F24</f>
        <v>3739.9636378692</v>
      </c>
      <c r="G11" s="0" t="n">
        <f aca="false">G8+G10+G24</f>
        <v>3796.06309243724</v>
      </c>
      <c r="H11" s="0" t="n">
        <f aca="false">H8+H10+H24</f>
        <v>3853.0040388238</v>
      </c>
      <c r="I11" s="0" t="n">
        <f aca="false">I8+I10+I24</f>
        <v>3910.79909940615</v>
      </c>
      <c r="J11" s="0" t="n">
        <f aca="false">J8+J10+J24</f>
        <v>3969.46108589724</v>
      </c>
      <c r="K11" s="0" t="n">
        <f aca="false">K8+K10+K24</f>
        <v>4029.0030021857</v>
      </c>
      <c r="L11" s="0" t="n">
        <f aca="false">L8+L10+L24</f>
        <v>4089.43804721849</v>
      </c>
    </row>
    <row r="12" customFormat="false" ht="15" hidden="false" customHeight="false" outlineLevel="0" collapsed="false">
      <c r="A12" s="0" t="s">
        <v>118</v>
      </c>
      <c r="C12" s="4" t="n">
        <f aca="false">-C6*Assumptions!C17/100</f>
        <v>-1739.64456</v>
      </c>
      <c r="D12" s="4" t="n">
        <f aca="false">-D6*Assumptions!D17/100</f>
        <v>-1739.64456</v>
      </c>
      <c r="E12" s="4" t="n">
        <f aca="false">-E6*Assumptions!E17/100</f>
        <v>-1782.505368</v>
      </c>
      <c r="F12" s="4" t="n">
        <f aca="false">-F6*Assumptions!F17/100</f>
        <v>-1809.24294852</v>
      </c>
      <c r="G12" s="4" t="n">
        <f aca="false">-G6*Assumptions!G17/100</f>
        <v>-1836.3815927478</v>
      </c>
      <c r="H12" s="4" t="n">
        <f aca="false">-H6*Assumptions!H17/100</f>
        <v>-1863.92731663902</v>
      </c>
      <c r="I12" s="4" t="n">
        <f aca="false">-I6*Assumptions!I17/100</f>
        <v>-1891.8862263886</v>
      </c>
      <c r="J12" s="4" t="n">
        <f aca="false">-J6*Assumptions!J17/100</f>
        <v>-1920.26451978443</v>
      </c>
      <c r="K12" s="4" t="n">
        <f aca="false">-K6*Assumptions!K17/100</f>
        <v>-1949.0684875812</v>
      </c>
      <c r="L12" s="4" t="n">
        <f aca="false">-L6*Assumptions!L17/100</f>
        <v>-1978.30451489491</v>
      </c>
    </row>
    <row r="13" customFormat="false" ht="15" hidden="false" customHeight="false" outlineLevel="0" collapsed="false">
      <c r="A13" s="0" t="s">
        <v>119</v>
      </c>
      <c r="C13" s="0" t="n">
        <f aca="false">C11+C12</f>
        <v>2110.264488</v>
      </c>
      <c r="D13" s="0" t="n">
        <f aca="false">D11+D12</f>
        <v>1984.203288</v>
      </c>
      <c r="E13" s="0" t="n">
        <f aca="false">E11+E12</f>
        <v>1902.18787128</v>
      </c>
      <c r="F13" s="0" t="n">
        <f aca="false">F11+F12</f>
        <v>1930.7206893492</v>
      </c>
      <c r="G13" s="0" t="n">
        <f aca="false">G11+G12</f>
        <v>1959.68149968944</v>
      </c>
      <c r="H13" s="0" t="n">
        <f aca="false">H11+H12</f>
        <v>1989.07672218478</v>
      </c>
      <c r="I13" s="0" t="n">
        <f aca="false">I11+I12</f>
        <v>2018.91287301755</v>
      </c>
      <c r="J13" s="0" t="n">
        <f aca="false">J11+J12</f>
        <v>2049.19656611281</v>
      </c>
      <c r="K13" s="0" t="n">
        <f aca="false">K11+K12</f>
        <v>2079.93451460451</v>
      </c>
      <c r="L13" s="0" t="n">
        <f aca="false">L11+L12</f>
        <v>2111.13353232357</v>
      </c>
    </row>
    <row r="14" customFormat="false" ht="15" hidden="false" customHeight="false" outlineLevel="0" collapsed="false">
      <c r="A14" s="0" t="s">
        <v>105</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120</v>
      </c>
      <c r="C15" s="0" t="n">
        <f aca="false">C13-MAX(0,C13)*C14/100</f>
        <v>1582.698366</v>
      </c>
      <c r="D15" s="0" t="n">
        <f aca="false">D13-MAX(0,D13)*D14/100</f>
        <v>1488.152466</v>
      </c>
      <c r="E15" s="0" t="n">
        <f aca="false">E13-MAX(0,E13)*E14/100</f>
        <v>1426.64090346</v>
      </c>
      <c r="F15" s="0" t="n">
        <f aca="false">F13-MAX(0,F13)*F14/100</f>
        <v>1448.0405170119</v>
      </c>
      <c r="G15" s="0" t="n">
        <f aca="false">G13-MAX(0,G13)*G14/100</f>
        <v>1469.76112476708</v>
      </c>
      <c r="H15" s="0" t="n">
        <f aca="false">H13-MAX(0,H13)*H14/100</f>
        <v>1491.80754163858</v>
      </c>
      <c r="I15" s="0" t="n">
        <f aca="false">I13-MAX(0,I13)*I14/100</f>
        <v>1514.18465476316</v>
      </c>
      <c r="J15" s="0" t="n">
        <f aca="false">J13-MAX(0,J13)*J14/100</f>
        <v>1536.89742458461</v>
      </c>
      <c r="K15" s="0" t="n">
        <f aca="false">K13-MAX(0,K13)*K14/100</f>
        <v>1559.95088595338</v>
      </c>
      <c r="L15" s="0" t="n">
        <f aca="false">L13-MAX(0,L13)*L14/100</f>
        <v>1583.35014924268</v>
      </c>
    </row>
    <row r="16" customFormat="false" ht="15" hidden="false" customHeight="false" outlineLevel="0" collapsed="false">
      <c r="A16" s="0" t="s">
        <v>121</v>
      </c>
      <c r="C16" s="0" t="n">
        <f aca="false">-C12</f>
        <v>1739.64456</v>
      </c>
      <c r="D16" s="0" t="n">
        <f aca="false">-D12</f>
        <v>1739.64456</v>
      </c>
      <c r="E16" s="0" t="n">
        <f aca="false">-E12</f>
        <v>1782.505368</v>
      </c>
      <c r="F16" s="0" t="n">
        <f aca="false">-F12</f>
        <v>1809.24294852</v>
      </c>
      <c r="G16" s="0" t="n">
        <f aca="false">-G12</f>
        <v>1836.3815927478</v>
      </c>
      <c r="H16" s="0" t="n">
        <f aca="false">-H12</f>
        <v>1863.92731663902</v>
      </c>
      <c r="I16" s="0" t="n">
        <f aca="false">-I12</f>
        <v>1891.8862263886</v>
      </c>
      <c r="J16" s="0" t="n">
        <f aca="false">-J12</f>
        <v>1920.26451978443</v>
      </c>
      <c r="K16" s="0" t="n">
        <f aca="false">-K12</f>
        <v>1949.0684875812</v>
      </c>
      <c r="L16" s="0" t="n">
        <f aca="false">-L12</f>
        <v>1978.30451489491</v>
      </c>
    </row>
    <row r="17" customFormat="false" ht="15" hidden="false" customHeight="false" outlineLevel="0" collapsed="false">
      <c r="A17" s="0" t="s">
        <v>122</v>
      </c>
      <c r="C17" s="4" t="n">
        <f aca="false">-C6*Assumptions!C18/100</f>
        <v>-1865.70576</v>
      </c>
      <c r="D17" s="4" t="n">
        <f aca="false">-D6*Assumptions!D18/100</f>
        <v>-1890.918</v>
      </c>
      <c r="E17" s="4" t="n">
        <f aca="false">-E6*Assumptions!E18/100</f>
        <v>-1909.82718</v>
      </c>
      <c r="F17" s="4" t="n">
        <f aca="false">-F6*Assumptions!F18/100</f>
        <v>-1938.4745877</v>
      </c>
      <c r="G17" s="4" t="n">
        <f aca="false">-G6*Assumptions!G18/100</f>
        <v>-1967.5517065155</v>
      </c>
      <c r="H17" s="4" t="n">
        <f aca="false">-H6*Assumptions!H18/100</f>
        <v>-1997.06498211323</v>
      </c>
      <c r="I17" s="4" t="n">
        <f aca="false">-I6*Assumptions!I18/100</f>
        <v>-2027.02095684493</v>
      </c>
      <c r="J17" s="4" t="n">
        <f aca="false">-J6*Assumptions!J18/100</f>
        <v>-2057.4262711976</v>
      </c>
      <c r="K17" s="4" t="n">
        <f aca="false">-K6*Assumptions!K18/100</f>
        <v>-2088.28766526557</v>
      </c>
      <c r="L17" s="4" t="n">
        <f aca="false">-L6*Assumptions!L18/100</f>
        <v>-2119.61198024455</v>
      </c>
    </row>
    <row r="18" customFormat="false" ht="15" hidden="false" customHeight="false" outlineLevel="0" collapsed="false">
      <c r="A18" s="0" t="s">
        <v>123</v>
      </c>
      <c r="C18" s="4" t="n">
        <f aca="false">(C6-B6)*Assumptions!$B$23/100</f>
        <v>116.964</v>
      </c>
      <c r="D18" s="4" t="n">
        <f aca="false">(D6-C6)*Assumptions!$B$23/100</f>
        <v>-0</v>
      </c>
      <c r="E18" s="4" t="n">
        <f aca="false">(E6-D6)*Assumptions!$B$23/100</f>
        <v>-37.81836</v>
      </c>
      <c r="F18" s="4" t="n">
        <f aca="false">(F6-E6)*Assumptions!$B$23/100</f>
        <v>-57.2948153999998</v>
      </c>
      <c r="G18" s="4" t="n">
        <f aca="false">(G6-F6)*Assumptions!$B$23/100</f>
        <v>-58.1542376309995</v>
      </c>
      <c r="H18" s="4" t="n">
        <f aca="false">(H6-G6)*Assumptions!$B$23/100</f>
        <v>-59.0265511954643</v>
      </c>
      <c r="I18" s="4" t="n">
        <f aca="false">(I6-H6)*Assumptions!$B$23/100</f>
        <v>-59.9119494633967</v>
      </c>
      <c r="J18" s="4" t="n">
        <f aca="false">(J6-I6)*Assumptions!$B$23/100</f>
        <v>-60.8106287053475</v>
      </c>
      <c r="K18" s="4" t="n">
        <f aca="false">(K6-J6)*Assumptions!$B$23/100</f>
        <v>-61.7227881359275</v>
      </c>
      <c r="L18" s="4" t="n">
        <f aca="false">(L6-K6)*Assumptions!$B$23/100</f>
        <v>-62.6486299579668</v>
      </c>
    </row>
    <row r="19" customFormat="false" ht="15" hidden="false" customHeight="false" outlineLevel="0" collapsed="false">
      <c r="A19" s="0" t="s">
        <v>124</v>
      </c>
      <c r="C19" s="0" t="n">
        <f aca="false">C15+C16+C17+C18</f>
        <v>1573.601166</v>
      </c>
      <c r="D19" s="0" t="n">
        <f aca="false">D15+D16+D17+D18</f>
        <v>1336.879026</v>
      </c>
      <c r="E19" s="0" t="n">
        <f aca="false">E15+E16+E17+E18</f>
        <v>1261.50073146</v>
      </c>
      <c r="F19" s="0" t="n">
        <f aca="false">F15+F16+F17+F18</f>
        <v>1261.5140624319</v>
      </c>
      <c r="G19" s="0" t="n">
        <f aca="false">G15+G16+G17+G18</f>
        <v>1280.43677336838</v>
      </c>
      <c r="H19" s="0" t="n">
        <f aca="false">H15+H16+H17+H18</f>
        <v>1299.6433249689</v>
      </c>
      <c r="I19" s="0" t="n">
        <f aca="false">I15+I16+I17+I18</f>
        <v>1319.13797484344</v>
      </c>
      <c r="J19" s="0" t="n">
        <f aca="false">J15+J16+J17+J18</f>
        <v>1338.92504446609</v>
      </c>
      <c r="K19" s="0" t="n">
        <f aca="false">K15+K16+K17+K18</f>
        <v>1359.00892013308</v>
      </c>
      <c r="L19" s="0" t="n">
        <f aca="false">L15+L16+L17+L18</f>
        <v>1379.39405393508</v>
      </c>
    </row>
    <row r="20" customFormat="false" ht="15" hidden="false" customHeight="false" outlineLevel="0" collapsed="false">
      <c r="A20" s="0" t="s">
        <v>125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126</v>
      </c>
      <c r="C21" s="0" t="n">
        <f aca="false">C19*C20</f>
        <v>1457.03811666667</v>
      </c>
      <c r="D21" s="0" t="n">
        <f aca="false">D19*D20</f>
        <v>1146.15828703704</v>
      </c>
      <c r="E21" s="0" t="n">
        <f aca="false">E19*E20</f>
        <v>1001.41995270348</v>
      </c>
      <c r="F21" s="0" t="n">
        <f aca="false">F19*F20</f>
        <v>927.250495609975</v>
      </c>
      <c r="G21" s="0" t="n">
        <f aca="false">G19*G20</f>
        <v>871.443752818634</v>
      </c>
      <c r="H21" s="0" t="n">
        <f aca="false">H19*H20</f>
        <v>818.995749176772</v>
      </c>
      <c r="I21" s="0" t="n">
        <f aca="false">I19*I20</f>
        <v>769.704338346688</v>
      </c>
      <c r="J21" s="0" t="n">
        <f aca="false">J19*J20</f>
        <v>723.379540205452</v>
      </c>
      <c r="K21" s="0" t="n">
        <f aca="false">K19*K20</f>
        <v>679.842808619013</v>
      </c>
      <c r="L21" s="0" t="n">
        <f aca="false">L19*L20</f>
        <v>638.926343285461</v>
      </c>
    </row>
    <row r="23" customFormat="false" ht="15" hidden="false" customHeight="false" outlineLevel="0" collapsed="false">
      <c r="A23" s="0" t="s">
        <v>102</v>
      </c>
      <c r="C23" s="4" t="n">
        <f aca="false">Assumptions!C16</f>
        <v>1.3</v>
      </c>
      <c r="D23" s="4" t="n">
        <f aca="false">Assumptions!D16</f>
        <v>1.3</v>
      </c>
      <c r="E23" s="4" t="n">
        <f aca="false">Assumptions!E16</f>
        <v>1.3</v>
      </c>
      <c r="F23" s="4" t="n">
        <f aca="false">Assumptions!F16</f>
        <v>1.3</v>
      </c>
      <c r="G23" s="4" t="n">
        <f aca="false">Assumptions!G16</f>
        <v>1.3</v>
      </c>
      <c r="H23" s="4" t="n">
        <f aca="false">Assumptions!H16</f>
        <v>1.3</v>
      </c>
      <c r="I23" s="4" t="n">
        <f aca="false">Assumptions!I16</f>
        <v>1.3</v>
      </c>
      <c r="J23" s="4" t="n">
        <f aca="false">Assumptions!J16</f>
        <v>1.3</v>
      </c>
      <c r="K23" s="4" t="n">
        <f aca="false">Assumptions!K16</f>
        <v>1.3</v>
      </c>
      <c r="L23" s="4" t="n">
        <f aca="false">Assumptions!L16</f>
        <v>1.3</v>
      </c>
    </row>
    <row r="24" customFormat="false" ht="15" hidden="false" customHeight="false" outlineLevel="0" collapsed="false">
      <c r="A24" s="0" t="s">
        <v>127</v>
      </c>
      <c r="C24" s="0" t="n">
        <f aca="false">-C6*C23/100</f>
        <v>-327.75912</v>
      </c>
      <c r="D24" s="0" t="n">
        <f aca="false">-D6*D23/100</f>
        <v>-327.75912</v>
      </c>
      <c r="E24" s="0" t="n">
        <f aca="false">-E6*E23/100</f>
        <v>-331.0367112</v>
      </c>
      <c r="F24" s="0" t="n">
        <f aca="false">-F6*F23/100</f>
        <v>-336.002261868</v>
      </c>
      <c r="G24" s="0" t="n">
        <f aca="false">-G6*G23/100</f>
        <v>-341.04229579602</v>
      </c>
      <c r="H24" s="0" t="n">
        <f aca="false">-H6*H23/100</f>
        <v>-346.15793023296</v>
      </c>
      <c r="I24" s="0" t="n">
        <f aca="false">-I6*I23/100</f>
        <v>-351.350299186455</v>
      </c>
      <c r="J24" s="0" t="n">
        <f aca="false">-J6*J23/100</f>
        <v>-356.620553674251</v>
      </c>
      <c r="K24" s="0" t="n">
        <f aca="false">-K6*K23/100</f>
        <v>-361.969861979365</v>
      </c>
      <c r="L24" s="0" t="n">
        <f aca="false">-L6*L23/100</f>
        <v>-367.399409909056</v>
      </c>
    </row>
    <row r="26" customFormat="false" ht="15" hidden="false" customHeight="false" outlineLevel="0" collapsed="false">
      <c r="A26" s="2" t="s">
        <v>128</v>
      </c>
    </row>
    <row r="27" customFormat="false" ht="15" hidden="false" customHeight="false" outlineLevel="0" collapsed="false">
      <c r="A27" s="0" t="s">
        <v>106</v>
      </c>
      <c r="B27" s="4" t="n">
        <f aca="false">Assumptions!$B$20</f>
        <v>8</v>
      </c>
    </row>
    <row r="28" customFormat="false" ht="15" hidden="false" customHeight="false" outlineLevel="0" collapsed="false">
      <c r="A28" s="0" t="s">
        <v>107</v>
      </c>
      <c r="B28" s="4" t="n">
        <f aca="false">Assumptions!$B$21</f>
        <v>1.5</v>
      </c>
    </row>
    <row r="29" customFormat="false" ht="15" hidden="false" customHeight="false" outlineLevel="0" collapsed="false">
      <c r="A29" s="0" t="s">
        <v>108</v>
      </c>
      <c r="B29" s="4" t="n">
        <f aca="false">Assumptions!$B$22</f>
        <v>13</v>
      </c>
    </row>
    <row r="30" customFormat="false" ht="15" hidden="false" customHeight="false" outlineLevel="0" collapsed="false">
      <c r="A30" s="0" t="s">
        <v>129</v>
      </c>
      <c r="B30" s="0" t="n">
        <f aca="false">SUM(C21:L21)</f>
        <v>9034.15938446917</v>
      </c>
    </row>
    <row r="31" customFormat="false" ht="15" hidden="false" customHeight="false" outlineLevel="0" collapsed="false">
      <c r="A31" s="0" t="s">
        <v>130</v>
      </c>
      <c r="B31" s="0" t="n">
        <f aca="false">L19</f>
        <v>1379.39405393508</v>
      </c>
    </row>
    <row r="32" customFormat="false" ht="15" hidden="false" customHeight="false" outlineLevel="0" collapsed="false">
      <c r="A32" s="0" t="s">
        <v>131</v>
      </c>
      <c r="B32" s="0" t="n">
        <f aca="false">IF(B27&gt;B28,B31*(1+B28/100)/((B27-B28)/100),B31*B29)</f>
        <v>21539.7686883708</v>
      </c>
    </row>
    <row r="33" customFormat="false" ht="15" hidden="false" customHeight="false" outlineLevel="0" collapsed="false">
      <c r="A33" s="0" t="s">
        <v>132</v>
      </c>
      <c r="B33" s="0" t="n">
        <f aca="false">B31*B29</f>
        <v>17932.122701156</v>
      </c>
    </row>
    <row r="34" customFormat="false" ht="15" hidden="false" customHeight="false" outlineLevel="0" collapsed="false">
      <c r="A34" s="0" t="s">
        <v>133</v>
      </c>
      <c r="B34" s="0" t="n">
        <f aca="false">MAX(0,MIN(B32,B33))</f>
        <v>17932.122701156</v>
      </c>
    </row>
    <row r="35" customFormat="false" ht="15" hidden="false" customHeight="false" outlineLevel="0" collapsed="false">
      <c r="A35" s="0" t="s">
        <v>134</v>
      </c>
      <c r="B35" s="0" t="n">
        <f aca="false">B34/(1+B27/100)^L4</f>
        <v>8306.04246271099</v>
      </c>
    </row>
    <row r="36" customFormat="false" ht="15" hidden="false" customHeight="false" outlineLevel="0" collapsed="false">
      <c r="A36" s="0" t="s">
        <v>135</v>
      </c>
      <c r="B36" s="0" t="n">
        <f aca="false">B30+B35</f>
        <v>17340.2018471802</v>
      </c>
    </row>
    <row r="37" customFormat="false" ht="15" hidden="false" customHeight="false" outlineLevel="0" collapsed="false">
      <c r="A37" s="0" t="s">
        <v>136</v>
      </c>
      <c r="B37" s="0" t="n">
        <f aca="false">B36+Assumptions!$B$5-Assumptions!$B$4</f>
        <v>14721.2018471802</v>
      </c>
    </row>
    <row r="38" customFormat="false" ht="15" hidden="false" customHeight="false" outlineLevel="0" collapsed="false">
      <c r="A38" s="0" t="s">
        <v>137</v>
      </c>
      <c r="B38" s="0" t="n">
        <f aca="false">B37/Assumptions!$B$3*Assumptions!$B$10</f>
        <v>21.677517077279</v>
      </c>
    </row>
    <row r="39" customFormat="false" ht="15" hidden="false" customHeight="false" outlineLevel="0" collapsed="false">
      <c r="A39" s="0" t="s">
        <v>138</v>
      </c>
      <c r="B39" s="4" t="n">
        <f aca="false">B38/Assumptions!$B$2-1</f>
        <v>-0.306763125126991</v>
      </c>
    </row>
    <row r="41" customFormat="false" ht="15" hidden="false" customHeight="false" outlineLevel="0" collapsed="false">
      <c r="A41" s="0" t="s">
        <v>139</v>
      </c>
      <c r="B41" s="0" t="n">
        <f aca="false">SUMPRODUCT(-C10:L10/(1+$B$27/100)^C4:L4)</f>
        <v>405.758752971126</v>
      </c>
    </row>
    <row r="42" customFormat="false" ht="15" hidden="false" customHeight="false" outlineLevel="0" collapsed="false">
      <c r="A42" s="0" t="s">
        <v>140</v>
      </c>
      <c r="B42" s="0" t="n">
        <f aca="false">IF(B27&gt;B28,-L10*(1+B28/100)/((B27-B28)/100),-L10*20)/(1+B27/100)^L4</f>
        <v>470.151762888322</v>
      </c>
    </row>
    <row r="43" customFormat="false" ht="15" hidden="false" customHeight="false" outlineLevel="0" collapsed="false">
      <c r="A43" s="0" t="s">
        <v>141</v>
      </c>
      <c r="B43" s="0" t="n">
        <f aca="false">(B37+B41+B42)/Assumptions!$B$3*Assumptions!$B$10</f>
        <v>22.9673278796048</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10370.9997388452</v>
      </c>
    </row>
    <row r="47" customFormat="false" ht="15" hidden="false" customHeight="false" outlineLevel="0" collapsed="false">
      <c r="A47" s="0" t="s">
        <v>143</v>
      </c>
      <c r="B47" s="0" t="n">
        <f aca="false">(SUMPRODUCT(C19:L19/(1+B45/100)^C4:L4)+B46/(1+B45/100)^L4+Assumptions!$B$5-Assumptions!$B$4)/Assumptions!$B$3*Assumptions!$B$10</f>
        <v>9.91587550262883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-1</v>
      </c>
      <c r="D5" s="4" t="n">
        <f aca="false">Assumptions!D27</f>
        <v>3</v>
      </c>
      <c r="E5" s="4" t="n">
        <f aca="false">Assumptions!E27</f>
        <v>3</v>
      </c>
      <c r="F5" s="4" t="n">
        <f aca="false">Assumptions!F27</f>
        <v>3</v>
      </c>
      <c r="G5" s="4" t="n">
        <f aca="false">Assumptions!G27</f>
        <v>2.5</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25992</v>
      </c>
      <c r="C6" s="0" t="n">
        <f aca="false">B6*(1+C5/100)</f>
        <v>25732.08</v>
      </c>
      <c r="D6" s="0" t="n">
        <f aca="false">C6*(1+D5/100)</f>
        <v>26504.0424</v>
      </c>
      <c r="E6" s="0" t="n">
        <f aca="false">D6*(1+E5/100)</f>
        <v>27299.163672</v>
      </c>
      <c r="F6" s="0" t="n">
        <f aca="false">E6*(1+F5/100)</f>
        <v>28118.13858216</v>
      </c>
      <c r="G6" s="0" t="n">
        <f aca="false">F6*(1+G5/100)</f>
        <v>28821.092046714</v>
      </c>
      <c r="H6" s="0" t="n">
        <f aca="false">G6*(1+H5/100)</f>
        <v>29541.6193478818</v>
      </c>
      <c r="I6" s="0" t="n">
        <f aca="false">H6*(1+I5/100)</f>
        <v>30280.1598315789</v>
      </c>
      <c r="J6" s="0" t="n">
        <f aca="false">I6*(1+J5/100)</f>
        <v>30885.7630282105</v>
      </c>
      <c r="K6" s="0" t="n">
        <f aca="false">J6*(1+K5/100)</f>
        <v>31503.4782887747</v>
      </c>
      <c r="L6" s="0" t="n">
        <f aca="false">K6*(1+L5/100)</f>
        <v>32133.5478545502</v>
      </c>
    </row>
    <row r="7" customFormat="false" ht="15" hidden="false" customHeight="false" outlineLevel="0" collapsed="false">
      <c r="A7" s="0" t="s">
        <v>100</v>
      </c>
      <c r="C7" s="4" t="n">
        <f aca="false">Assumptions!C28</f>
        <v>17.3</v>
      </c>
      <c r="D7" s="4" t="n">
        <f aca="false">Assumptions!D28</f>
        <v>17.5</v>
      </c>
      <c r="E7" s="4" t="n">
        <f aca="false">Assumptions!E28</f>
        <v>17.7</v>
      </c>
      <c r="F7" s="4" t="n">
        <f aca="false">Assumptions!F28</f>
        <v>17.9</v>
      </c>
      <c r="G7" s="4" t="n">
        <f aca="false">Assumptions!G28</f>
        <v>18</v>
      </c>
      <c r="H7" s="4" t="n">
        <f aca="false">Assumptions!H28</f>
        <v>18</v>
      </c>
      <c r="I7" s="4" t="n">
        <f aca="false">Assumptions!I28</f>
        <v>18</v>
      </c>
      <c r="J7" s="4" t="n">
        <f aca="false">Assumptions!J28</f>
        <v>18</v>
      </c>
      <c r="K7" s="4" t="n">
        <f aca="false">Assumptions!K28</f>
        <v>18</v>
      </c>
      <c r="L7" s="4" t="n">
        <f aca="false">Assumptions!L28</f>
        <v>18</v>
      </c>
    </row>
    <row r="8" customFormat="false" ht="15" hidden="false" customHeight="false" outlineLevel="0" collapsed="false">
      <c r="A8" s="0" t="s">
        <v>43</v>
      </c>
      <c r="C8" s="0" t="n">
        <f aca="false">C6*C7/100</f>
        <v>4451.64984</v>
      </c>
      <c r="D8" s="0" t="n">
        <f aca="false">D6*D7/100</f>
        <v>4638.20742</v>
      </c>
      <c r="E8" s="0" t="n">
        <f aca="false">E6*E7/100</f>
        <v>4831.951969944</v>
      </c>
      <c r="F8" s="0" t="n">
        <f aca="false">F6*F7/100</f>
        <v>5033.14680620664</v>
      </c>
      <c r="G8" s="0" t="n">
        <f aca="false">G6*G7/100</f>
        <v>5187.79656840852</v>
      </c>
      <c r="H8" s="0" t="n">
        <f aca="false">H6*H7/100</f>
        <v>5317.49148261873</v>
      </c>
      <c r="I8" s="0" t="n">
        <f aca="false">I6*I7/100</f>
        <v>5450.4287696842</v>
      </c>
      <c r="J8" s="0" t="n">
        <f aca="false">J6*J7/100</f>
        <v>5559.43734507788</v>
      </c>
      <c r="K8" s="0" t="n">
        <f aca="false">K6*K7/100</f>
        <v>5670.62609197944</v>
      </c>
      <c r="L8" s="0" t="n">
        <f aca="false">L6*L7/100</f>
        <v>5784.03861381903</v>
      </c>
    </row>
    <row r="9" customFormat="false" ht="15" hidden="false" customHeight="false" outlineLevel="0" collapsed="false">
      <c r="A9" s="0" t="s">
        <v>101</v>
      </c>
      <c r="C9" s="4" t="n">
        <f aca="false">Assumptions!C29</f>
        <v>0.23</v>
      </c>
      <c r="D9" s="4" t="n">
        <f aca="false">Assumptions!D29</f>
        <v>0.23</v>
      </c>
      <c r="E9" s="4" t="n">
        <f aca="false">Assumptions!E29</f>
        <v>0.23</v>
      </c>
      <c r="F9" s="4" t="n">
        <f aca="false">Assumptions!F29</f>
        <v>0.23</v>
      </c>
      <c r="G9" s="4" t="n">
        <f aca="false">Assumptions!G29</f>
        <v>0.23</v>
      </c>
      <c r="H9" s="4" t="n">
        <f aca="false">Assumptions!H29</f>
        <v>0.23</v>
      </c>
      <c r="I9" s="4" t="n">
        <f aca="false">Assumptions!I29</f>
        <v>0.23</v>
      </c>
      <c r="J9" s="4" t="n">
        <f aca="false">Assumptions!J29</f>
        <v>0.23</v>
      </c>
      <c r="K9" s="4" t="n">
        <f aca="false">Assumptions!K29</f>
        <v>0.23</v>
      </c>
      <c r="L9" s="4" t="n">
        <f aca="false">Assumptions!L29</f>
        <v>0.23</v>
      </c>
    </row>
    <row r="10" customFormat="false" ht="15" hidden="false" customHeight="false" outlineLevel="0" collapsed="false">
      <c r="A10" s="0" t="s">
        <v>116</v>
      </c>
      <c r="C10" s="0" t="n">
        <f aca="false">-C6*C9/100</f>
        <v>-59.183784</v>
      </c>
      <c r="D10" s="0" t="n">
        <f aca="false">-D6*D9/100</f>
        <v>-60.95929752</v>
      </c>
      <c r="E10" s="0" t="n">
        <f aca="false">-E6*E9/100</f>
        <v>-62.7880764456</v>
      </c>
      <c r="F10" s="0" t="n">
        <f aca="false">-F6*F9/100</f>
        <v>-64.671718738968</v>
      </c>
      <c r="G10" s="0" t="n">
        <f aca="false">-G6*G9/100</f>
        <v>-66.2885117074422</v>
      </c>
      <c r="H10" s="0" t="n">
        <f aca="false">-H6*H9/100</f>
        <v>-67.9457245001283</v>
      </c>
      <c r="I10" s="0" t="n">
        <f aca="false">-I6*I9/100</f>
        <v>-69.6443676126314</v>
      </c>
      <c r="J10" s="0" t="n">
        <f aca="false">-J6*J9/100</f>
        <v>-71.0372549648841</v>
      </c>
      <c r="K10" s="0" t="n">
        <f aca="false">-K6*K9/100</f>
        <v>-72.4580000641818</v>
      </c>
      <c r="L10" s="0" t="n">
        <f aca="false">-L6*L9/100</f>
        <v>-73.9071600654654</v>
      </c>
    </row>
    <row r="11" customFormat="false" ht="15" hidden="false" customHeight="false" outlineLevel="0" collapsed="false">
      <c r="A11" s="0" t="s">
        <v>117</v>
      </c>
      <c r="C11" s="0" t="n">
        <f aca="false">C8+C10+C24</f>
        <v>4057.949016</v>
      </c>
      <c r="D11" s="0" t="n">
        <f aca="false">D8+D10+D24</f>
        <v>4232.69557128</v>
      </c>
      <c r="E11" s="0" t="n">
        <f aca="false">E8+E10+E24</f>
        <v>4414.2747657624</v>
      </c>
      <c r="F11" s="0" t="n">
        <f aca="false">F8+F10+F24</f>
        <v>4602.93928589959</v>
      </c>
      <c r="G11" s="0" t="n">
        <f aca="false">G8+G10+G24</f>
        <v>4746.83386009379</v>
      </c>
      <c r="H11" s="0" t="n">
        <f aca="false">H8+H10+H24</f>
        <v>4865.50470659614</v>
      </c>
      <c r="I11" s="0" t="n">
        <f aca="false">I8+I10+I24</f>
        <v>4987.14232426104</v>
      </c>
      <c r="J11" s="0" t="n">
        <f aca="false">J8+J10+J24</f>
        <v>5086.88517074626</v>
      </c>
      <c r="K11" s="0" t="n">
        <f aca="false">K8+K10+K24</f>
        <v>5188.62287416119</v>
      </c>
      <c r="L11" s="0" t="n">
        <f aca="false">L8+L10+L24</f>
        <v>5292.39533164441</v>
      </c>
    </row>
    <row r="12" customFormat="false" ht="15" hidden="false" customHeight="false" outlineLevel="0" collapsed="false">
      <c r="A12" s="0" t="s">
        <v>118</v>
      </c>
      <c r="C12" s="4" t="n">
        <f aca="false">-C6*Assumptions!C31/100</f>
        <v>-1775.51352</v>
      </c>
      <c r="D12" s="4" t="n">
        <f aca="false">-D6*Assumptions!D31/100</f>
        <v>-1828.7789256</v>
      </c>
      <c r="E12" s="4" t="n">
        <f aca="false">-E6*Assumptions!E31/100</f>
        <v>-1883.642293368</v>
      </c>
      <c r="F12" s="4" t="n">
        <f aca="false">-F6*Assumptions!F31/100</f>
        <v>-1940.15156216904</v>
      </c>
      <c r="G12" s="4" t="n">
        <f aca="false">-G6*Assumptions!G31/100</f>
        <v>-1988.65535122327</v>
      </c>
      <c r="H12" s="4" t="n">
        <f aca="false">-H6*Assumptions!H31/100</f>
        <v>-2038.37173500385</v>
      </c>
      <c r="I12" s="4" t="n">
        <f aca="false">-I6*Assumptions!I31/100</f>
        <v>-2089.33102837894</v>
      </c>
      <c r="J12" s="4" t="n">
        <f aca="false">-J6*Assumptions!J31/100</f>
        <v>-2131.11764894652</v>
      </c>
      <c r="K12" s="4" t="n">
        <f aca="false">-K6*Assumptions!K31/100</f>
        <v>-2173.74000192545</v>
      </c>
      <c r="L12" s="4" t="n">
        <f aca="false">-L6*Assumptions!L31/100</f>
        <v>-2217.21480196396</v>
      </c>
    </row>
    <row r="13" customFormat="false" ht="15" hidden="false" customHeight="false" outlineLevel="0" collapsed="false">
      <c r="A13" s="0" t="s">
        <v>119</v>
      </c>
      <c r="C13" s="0" t="n">
        <f aca="false">C11+C12</f>
        <v>2282.435496</v>
      </c>
      <c r="D13" s="0" t="n">
        <f aca="false">D11+D12</f>
        <v>2403.91664568</v>
      </c>
      <c r="E13" s="0" t="n">
        <f aca="false">E11+E12</f>
        <v>2530.6324723944</v>
      </c>
      <c r="F13" s="0" t="n">
        <f aca="false">F11+F12</f>
        <v>2662.78772373055</v>
      </c>
      <c r="G13" s="0" t="n">
        <f aca="false">G11+G12</f>
        <v>2758.17850887053</v>
      </c>
      <c r="H13" s="0" t="n">
        <f aca="false">H11+H12</f>
        <v>2827.13297159229</v>
      </c>
      <c r="I13" s="0" t="n">
        <f aca="false">I11+I12</f>
        <v>2897.8112958821</v>
      </c>
      <c r="J13" s="0" t="n">
        <f aca="false">J11+J12</f>
        <v>2955.76752179974</v>
      </c>
      <c r="K13" s="0" t="n">
        <f aca="false">K11+K12</f>
        <v>3014.88287223574</v>
      </c>
      <c r="L13" s="0" t="n">
        <f aca="false">L11+L12</f>
        <v>3075.18052968045</v>
      </c>
    </row>
    <row r="14" customFormat="false" ht="15" hidden="false" customHeight="false" outlineLevel="0" collapsed="false">
      <c r="A14" s="0" t="s">
        <v>105</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120</v>
      </c>
      <c r="C15" s="0" t="n">
        <f aca="false">C13-MAX(0,C13)*C14/100</f>
        <v>1711.826622</v>
      </c>
      <c r="D15" s="0" t="n">
        <f aca="false">D13-MAX(0,D13)*D14/100</f>
        <v>1802.93748426</v>
      </c>
      <c r="E15" s="0" t="n">
        <f aca="false">E13-MAX(0,E13)*E14/100</f>
        <v>1897.9743542958</v>
      </c>
      <c r="F15" s="0" t="n">
        <f aca="false">F13-MAX(0,F13)*F14/100</f>
        <v>1997.09079279791</v>
      </c>
      <c r="G15" s="0" t="n">
        <f aca="false">G13-MAX(0,G13)*G14/100</f>
        <v>2068.6338816529</v>
      </c>
      <c r="H15" s="0" t="n">
        <f aca="false">H13-MAX(0,H13)*H14/100</f>
        <v>2120.34972869422</v>
      </c>
      <c r="I15" s="0" t="n">
        <f aca="false">I13-MAX(0,I13)*I14/100</f>
        <v>2173.35847191157</v>
      </c>
      <c r="J15" s="0" t="n">
        <f aca="false">J13-MAX(0,J13)*J14/100</f>
        <v>2216.82564134981</v>
      </c>
      <c r="K15" s="0" t="n">
        <f aca="false">K13-MAX(0,K13)*K14/100</f>
        <v>2261.1621541768</v>
      </c>
      <c r="L15" s="0" t="n">
        <f aca="false">L13-MAX(0,L13)*L14/100</f>
        <v>2306.38539726034</v>
      </c>
    </row>
    <row r="16" customFormat="false" ht="15" hidden="false" customHeight="false" outlineLevel="0" collapsed="false">
      <c r="A16" s="0" t="s">
        <v>121</v>
      </c>
      <c r="C16" s="0" t="n">
        <f aca="false">-C12</f>
        <v>1775.51352</v>
      </c>
      <c r="D16" s="0" t="n">
        <f aca="false">-D12</f>
        <v>1828.7789256</v>
      </c>
      <c r="E16" s="0" t="n">
        <f aca="false">-E12</f>
        <v>1883.642293368</v>
      </c>
      <c r="F16" s="0" t="n">
        <f aca="false">-F12</f>
        <v>1940.15156216904</v>
      </c>
      <c r="G16" s="0" t="n">
        <f aca="false">-G12</f>
        <v>1988.65535122327</v>
      </c>
      <c r="H16" s="0" t="n">
        <f aca="false">-H12</f>
        <v>2038.37173500385</v>
      </c>
      <c r="I16" s="0" t="n">
        <f aca="false">-I12</f>
        <v>2089.33102837894</v>
      </c>
      <c r="J16" s="0" t="n">
        <f aca="false">-J12</f>
        <v>2131.11764894652</v>
      </c>
      <c r="K16" s="0" t="n">
        <f aca="false">-K12</f>
        <v>2173.74000192545</v>
      </c>
      <c r="L16" s="0" t="n">
        <f aca="false">-L12</f>
        <v>2217.21480196396</v>
      </c>
    </row>
    <row r="17" customFormat="false" ht="15" hidden="false" customHeight="false" outlineLevel="0" collapsed="false">
      <c r="A17" s="0" t="s">
        <v>122</v>
      </c>
      <c r="C17" s="4" t="n">
        <f aca="false">-C6*Assumptions!C32/100</f>
        <v>-1852.70976</v>
      </c>
      <c r="D17" s="4" t="n">
        <f aca="false">-D6*Assumptions!D32/100</f>
        <v>-1934.7950952</v>
      </c>
      <c r="E17" s="4" t="n">
        <f aca="false">-E6*Assumptions!E32/100</f>
        <v>-1992.838948056</v>
      </c>
      <c r="F17" s="4" t="n">
        <f aca="false">-F6*Assumptions!F32/100</f>
        <v>-2052.62411649768</v>
      </c>
      <c r="G17" s="4" t="n">
        <f aca="false">-G6*Assumptions!G32/100</f>
        <v>-2075.11862736341</v>
      </c>
      <c r="H17" s="4" t="n">
        <f aca="false">-H6*Assumptions!H32/100</f>
        <v>-2126.99659304749</v>
      </c>
      <c r="I17" s="4" t="n">
        <f aca="false">-I6*Assumptions!I32/100</f>
        <v>-2180.17150787368</v>
      </c>
      <c r="J17" s="4" t="n">
        <f aca="false">-J6*Assumptions!J32/100</f>
        <v>-2223.77493803115</v>
      </c>
      <c r="K17" s="4" t="n">
        <f aca="false">-K6*Assumptions!K32/100</f>
        <v>-2268.25043679178</v>
      </c>
      <c r="L17" s="4" t="n">
        <f aca="false">-L6*Assumptions!L32/100</f>
        <v>-2313.61544552761</v>
      </c>
    </row>
    <row r="18" customFormat="false" ht="15" hidden="false" customHeight="false" outlineLevel="0" collapsed="false">
      <c r="A18" s="0" t="s">
        <v>123</v>
      </c>
      <c r="C18" s="4" t="n">
        <f aca="false">(C6-B6)*Assumptions!$B$37/100</f>
        <v>38.9880000000003</v>
      </c>
      <c r="D18" s="4" t="n">
        <f aca="false">(D6-C6)*Assumptions!$B$37/100</f>
        <v>-115.79436</v>
      </c>
      <c r="E18" s="4" t="n">
        <f aca="false">(E6-D6)*Assumptions!$B$37/100</f>
        <v>-119.2681908</v>
      </c>
      <c r="F18" s="4" t="n">
        <f aca="false">(F6-E6)*Assumptions!$B$37/100</f>
        <v>-122.846236524</v>
      </c>
      <c r="G18" s="4" t="n">
        <f aca="false">(G6-F6)*Assumptions!$B$37/100</f>
        <v>-105.4430196831</v>
      </c>
      <c r="H18" s="4" t="n">
        <f aca="false">(H6-G6)*Assumptions!$B$37/100</f>
        <v>-108.079095175177</v>
      </c>
      <c r="I18" s="4" t="n">
        <f aca="false">(I6-H6)*Assumptions!$B$37/100</f>
        <v>-110.781072554557</v>
      </c>
      <c r="J18" s="4" t="n">
        <f aca="false">(J6-I6)*Assumptions!$B$37/100</f>
        <v>-90.8404794947368</v>
      </c>
      <c r="K18" s="4" t="n">
        <f aca="false">(K6-J6)*Assumptions!$B$37/100</f>
        <v>-92.6572890846317</v>
      </c>
      <c r="L18" s="4" t="n">
        <f aca="false">(L6-K6)*Assumptions!$B$37/100</f>
        <v>-94.5104348663243</v>
      </c>
    </row>
    <row r="19" customFormat="false" ht="15" hidden="false" customHeight="false" outlineLevel="0" collapsed="false">
      <c r="A19" s="0" t="s">
        <v>124</v>
      </c>
      <c r="C19" s="0" t="n">
        <f aca="false">C15+C16+C17+C18</f>
        <v>1673.618382</v>
      </c>
      <c r="D19" s="0" t="n">
        <f aca="false">D15+D16+D17+D18</f>
        <v>1581.12695466</v>
      </c>
      <c r="E19" s="0" t="n">
        <f aca="false">E15+E16+E17+E18</f>
        <v>1669.5095088078</v>
      </c>
      <c r="F19" s="0" t="n">
        <f aca="false">F15+F16+F17+F18</f>
        <v>1761.77200194527</v>
      </c>
      <c r="G19" s="0" t="n">
        <f aca="false">G15+G16+G17+G18</f>
        <v>1876.72758582965</v>
      </c>
      <c r="H19" s="0" t="n">
        <f aca="false">H15+H16+H17+H18</f>
        <v>1923.6457754754</v>
      </c>
      <c r="I19" s="0" t="n">
        <f aca="false">I15+I16+I17+I18</f>
        <v>1971.73691986228</v>
      </c>
      <c r="J19" s="0" t="n">
        <f aca="false">J15+J16+J17+J18</f>
        <v>2033.32787277044</v>
      </c>
      <c r="K19" s="0" t="n">
        <f aca="false">K15+K16+K17+K18</f>
        <v>2073.99443022585</v>
      </c>
      <c r="L19" s="0" t="n">
        <f aca="false">L15+L16+L17+L18</f>
        <v>2115.47431883036</v>
      </c>
    </row>
    <row r="20" customFormat="false" ht="15" hidden="false" customHeight="false" outlineLevel="0" collapsed="false">
      <c r="A20" s="0" t="s">
        <v>125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126</v>
      </c>
      <c r="C21" s="0" t="n">
        <f aca="false">C19*C20</f>
        <v>1549.64665</v>
      </c>
      <c r="D21" s="0" t="n">
        <f aca="false">D19*D20</f>
        <v>1355.56151805555</v>
      </c>
      <c r="E21" s="0" t="n">
        <f aca="false">E19*E20</f>
        <v>1325.31047478138</v>
      </c>
      <c r="F21" s="0" t="n">
        <f aca="false">F19*F20</f>
        <v>1294.95501525075</v>
      </c>
      <c r="G21" s="0" t="n">
        <f aca="false">G19*G20</f>
        <v>1277.26926032538</v>
      </c>
      <c r="H21" s="0" t="n">
        <f aca="false">H19*H20</f>
        <v>1212.22314058659</v>
      </c>
      <c r="I21" s="0" t="n">
        <f aca="false">I19*I20</f>
        <v>1150.48955472339</v>
      </c>
      <c r="J21" s="0" t="n">
        <f aca="false">J19*J20</f>
        <v>1098.54378164846</v>
      </c>
      <c r="K21" s="0" t="n">
        <f aca="false">K19*K20</f>
        <v>1037.51357155688</v>
      </c>
      <c r="L21" s="0" t="n">
        <f aca="false">L19*L20</f>
        <v>979.873928692607</v>
      </c>
    </row>
    <row r="23" customFormat="false" ht="15" hidden="false" customHeight="false" outlineLevel="0" collapsed="false">
      <c r="A23" s="0" t="s">
        <v>102</v>
      </c>
      <c r="C23" s="4" t="n">
        <f aca="false">Assumptions!C30</f>
        <v>1.3</v>
      </c>
      <c r="D23" s="4" t="n">
        <f aca="false">Assumptions!D30</f>
        <v>1.3</v>
      </c>
      <c r="E23" s="4" t="n">
        <f aca="false">Assumptions!E30</f>
        <v>1.3</v>
      </c>
      <c r="F23" s="4" t="n">
        <f aca="false">Assumptions!F30</f>
        <v>1.3</v>
      </c>
      <c r="G23" s="4" t="n">
        <f aca="false">Assumptions!G30</f>
        <v>1.3</v>
      </c>
      <c r="H23" s="4" t="n">
        <f aca="false">Assumptions!H30</f>
        <v>1.3</v>
      </c>
      <c r="I23" s="4" t="n">
        <f aca="false">Assumptions!I30</f>
        <v>1.3</v>
      </c>
      <c r="J23" s="4" t="n">
        <f aca="false">Assumptions!J30</f>
        <v>1.3</v>
      </c>
      <c r="K23" s="4" t="n">
        <f aca="false">Assumptions!K30</f>
        <v>1.3</v>
      </c>
      <c r="L23" s="4" t="n">
        <f aca="false">Assumptions!L30</f>
        <v>1.3</v>
      </c>
    </row>
    <row r="24" customFormat="false" ht="15" hidden="false" customHeight="false" outlineLevel="0" collapsed="false">
      <c r="A24" s="0" t="s">
        <v>127</v>
      </c>
      <c r="C24" s="0" t="n">
        <f aca="false">-C6*C23/100</f>
        <v>-334.51704</v>
      </c>
      <c r="D24" s="0" t="n">
        <f aca="false">-D6*D23/100</f>
        <v>-344.5525512</v>
      </c>
      <c r="E24" s="0" t="n">
        <f aca="false">-E6*E23/100</f>
        <v>-354.889127736</v>
      </c>
      <c r="F24" s="0" t="n">
        <f aca="false">-F6*F23/100</f>
        <v>-365.53580156808</v>
      </c>
      <c r="G24" s="0" t="n">
        <f aca="false">-G6*G23/100</f>
        <v>-374.674196607282</v>
      </c>
      <c r="H24" s="0" t="n">
        <f aca="false">-H6*H23/100</f>
        <v>-384.041051522464</v>
      </c>
      <c r="I24" s="0" t="n">
        <f aca="false">-I6*I23/100</f>
        <v>-393.642077810526</v>
      </c>
      <c r="J24" s="0" t="n">
        <f aca="false">-J6*J23/100</f>
        <v>-401.514919366736</v>
      </c>
      <c r="K24" s="0" t="n">
        <f aca="false">-K6*K23/100</f>
        <v>-409.545217754071</v>
      </c>
      <c r="L24" s="0" t="n">
        <f aca="false">-L6*L23/100</f>
        <v>-417.736122109152</v>
      </c>
    </row>
    <row r="26" customFormat="false" ht="15" hidden="false" customHeight="false" outlineLevel="0" collapsed="false">
      <c r="A26" s="2" t="s">
        <v>128</v>
      </c>
    </row>
    <row r="27" customFormat="false" ht="15" hidden="false" customHeight="false" outlineLevel="0" collapsed="false">
      <c r="A27" s="0" t="s">
        <v>106</v>
      </c>
      <c r="B27" s="4" t="n">
        <f aca="false">Assumptions!$B$34</f>
        <v>8</v>
      </c>
    </row>
    <row r="28" customFormat="false" ht="15" hidden="false" customHeight="false" outlineLevel="0" collapsed="false">
      <c r="A28" s="0" t="s">
        <v>107</v>
      </c>
      <c r="B28" s="4" t="n">
        <f aca="false">Assumptions!$B$35</f>
        <v>2</v>
      </c>
    </row>
    <row r="29" customFormat="false" ht="15" hidden="false" customHeight="false" outlineLevel="0" collapsed="false">
      <c r="A29" s="0" t="s">
        <v>108</v>
      </c>
      <c r="B29" s="4" t="n">
        <f aca="false">Assumptions!$B$36</f>
        <v>15</v>
      </c>
    </row>
    <row r="30" customFormat="false" ht="15" hidden="false" customHeight="false" outlineLevel="0" collapsed="false">
      <c r="A30" s="0" t="s">
        <v>129</v>
      </c>
      <c r="B30" s="0" t="n">
        <f aca="false">SUM(C21:L21)</f>
        <v>12281.386895621</v>
      </c>
    </row>
    <row r="31" customFormat="false" ht="15" hidden="false" customHeight="false" outlineLevel="0" collapsed="false">
      <c r="A31" s="0" t="s">
        <v>130</v>
      </c>
      <c r="B31" s="0" t="n">
        <f aca="false">L19</f>
        <v>2115.47431883036</v>
      </c>
    </row>
    <row r="32" customFormat="false" ht="15" hidden="false" customHeight="false" outlineLevel="0" collapsed="false">
      <c r="A32" s="0" t="s">
        <v>131</v>
      </c>
      <c r="B32" s="0" t="n">
        <f aca="false">IF(B27&gt;B28,B31*(1+B28/100)/((B27-B28)/100),B31*B29)</f>
        <v>35963.0634201162</v>
      </c>
    </row>
    <row r="33" customFormat="false" ht="15" hidden="false" customHeight="false" outlineLevel="0" collapsed="false">
      <c r="A33" s="0" t="s">
        <v>132</v>
      </c>
      <c r="B33" s="0" t="n">
        <f aca="false">B31*B29</f>
        <v>31732.1147824555</v>
      </c>
    </row>
    <row r="34" customFormat="false" ht="15" hidden="false" customHeight="false" outlineLevel="0" collapsed="false">
      <c r="A34" s="0" t="s">
        <v>133</v>
      </c>
      <c r="B34" s="0" t="n">
        <f aca="false">MAX(0,MIN(B32,B33))</f>
        <v>31732.1147824555</v>
      </c>
    </row>
    <row r="35" customFormat="false" ht="15" hidden="false" customHeight="false" outlineLevel="0" collapsed="false">
      <c r="A35" s="0" t="s">
        <v>134</v>
      </c>
      <c r="B35" s="0" t="n">
        <f aca="false">B34/(1+B27/100)^L4</f>
        <v>14698.1089303891</v>
      </c>
    </row>
    <row r="36" customFormat="false" ht="15" hidden="false" customHeight="false" outlineLevel="0" collapsed="false">
      <c r="A36" s="0" t="s">
        <v>135</v>
      </c>
      <c r="B36" s="0" t="n">
        <f aca="false">B30+B35</f>
        <v>26979.4958260101</v>
      </c>
    </row>
    <row r="37" customFormat="false" ht="15" hidden="false" customHeight="false" outlineLevel="0" collapsed="false">
      <c r="A37" s="0" t="s">
        <v>136</v>
      </c>
      <c r="B37" s="0" t="n">
        <f aca="false">B36+Assumptions!$B$5-Assumptions!$B$4</f>
        <v>24360.4958260101</v>
      </c>
    </row>
    <row r="38" customFormat="false" ht="15" hidden="false" customHeight="false" outlineLevel="0" collapsed="false">
      <c r="A38" s="0" t="s">
        <v>137</v>
      </c>
      <c r="B38" s="0" t="n">
        <f aca="false">B37/Assumptions!$B$3*Assumptions!$B$10</f>
        <v>35.8717358651305</v>
      </c>
    </row>
    <row r="39" customFormat="false" ht="15" hidden="false" customHeight="false" outlineLevel="0" collapsed="false">
      <c r="A39" s="0" t="s">
        <v>138</v>
      </c>
      <c r="B39" s="4" t="n">
        <f aca="false">B38/Assumptions!$B$2-1</f>
        <v>0.147161364410952</v>
      </c>
    </row>
    <row r="41" customFormat="false" ht="15" hidden="false" customHeight="false" outlineLevel="0" collapsed="false">
      <c r="A41" s="0" t="s">
        <v>139</v>
      </c>
      <c r="B41" s="0" t="n">
        <f aca="false">SUMPRODUCT(-C10:L10/(1+$B$27/100)^C4:L4)</f>
        <v>441.869987683894</v>
      </c>
    </row>
    <row r="42" customFormat="false" ht="15" hidden="false" customHeight="false" outlineLevel="0" collapsed="false">
      <c r="A42" s="0" t="s">
        <v>140</v>
      </c>
      <c r="B42" s="0" t="n">
        <f aca="false">IF(B27&gt;B28,-L10*(1+B28/100)/((B27-B28)/100),-L10*20)/(1+B27/100)^L4</f>
        <v>581.966359507652</v>
      </c>
    </row>
    <row r="43" customFormat="false" ht="15" hidden="false" customHeight="false" outlineLevel="0" collapsed="false">
      <c r="A43" s="0" t="s">
        <v>141</v>
      </c>
      <c r="B43" s="0" t="n">
        <f aca="false">(B37+B41+B42)/Assumptions!$B$3*Assumptions!$B$10</f>
        <v>37.3793729542065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16598.3369631305</v>
      </c>
    </row>
    <row r="47" customFormat="false" ht="15" hidden="false" customHeight="false" outlineLevel="0" collapsed="false">
      <c r="A47" s="0" t="s">
        <v>143</v>
      </c>
      <c r="B47" s="0" t="n">
        <f aca="false">(SUMPRODUCT(C19:L19/(1+B45/100)^C4:L4)+B46/(1+B45/100)^L4+Assumptions!$B$5-Assumptions!$B$4)/Assumptions!$B$3*Assumptions!$B$10</f>
        <v>15.4953503271519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0</v>
      </c>
      <c r="D5" s="4" t="n">
        <f aca="false">Assumptions!D41</f>
        <v>4</v>
      </c>
      <c r="E5" s="4" t="n">
        <f aca="false">Assumptions!E41</f>
        <v>4</v>
      </c>
      <c r="F5" s="4" t="n">
        <f aca="false">Assumptions!F41</f>
        <v>4</v>
      </c>
      <c r="G5" s="4" t="n">
        <f aca="false">Assumptions!G41</f>
        <v>3.5</v>
      </c>
      <c r="H5" s="4" t="n">
        <f aca="false">Assumptions!H41</f>
        <v>3</v>
      </c>
      <c r="I5" s="4" t="n">
        <f aca="false">Assumptions!I41</f>
        <v>3</v>
      </c>
      <c r="J5" s="4" t="n">
        <f aca="false">Assumptions!J41</f>
        <v>2.5</v>
      </c>
      <c r="K5" s="4" t="n">
        <f aca="false">Assumptions!K41</f>
        <v>2.5</v>
      </c>
      <c r="L5" s="4" t="n">
        <f aca="false">Assumptions!L41</f>
        <v>2.5</v>
      </c>
    </row>
    <row r="6" customFormat="false" ht="15" hidden="false" customHeight="false" outlineLevel="0" collapsed="false">
      <c r="A6" s="0" t="s">
        <v>37</v>
      </c>
      <c r="B6" s="3" t="n">
        <v>25992</v>
      </c>
      <c r="C6" s="0" t="n">
        <f aca="false">B6*(1+C5/100)</f>
        <v>25992</v>
      </c>
      <c r="D6" s="0" t="n">
        <f aca="false">C6*(1+D5/100)</f>
        <v>27031.68</v>
      </c>
      <c r="E6" s="0" t="n">
        <f aca="false">D6*(1+E5/100)</f>
        <v>28112.9472</v>
      </c>
      <c r="F6" s="0" t="n">
        <f aca="false">E6*(1+F5/100)</f>
        <v>29237.465088</v>
      </c>
      <c r="G6" s="0" t="n">
        <f aca="false">F6*(1+G5/100)</f>
        <v>30260.77636608</v>
      </c>
      <c r="H6" s="0" t="n">
        <f aca="false">G6*(1+H5/100)</f>
        <v>31168.5996570624</v>
      </c>
      <c r="I6" s="0" t="n">
        <f aca="false">H6*(1+I5/100)</f>
        <v>32103.6576467743</v>
      </c>
      <c r="J6" s="0" t="n">
        <f aca="false">I6*(1+J5/100)</f>
        <v>32906.2490879436</v>
      </c>
      <c r="K6" s="0" t="n">
        <f aca="false">J6*(1+K5/100)</f>
        <v>33728.9053151422</v>
      </c>
      <c r="L6" s="0" t="n">
        <f aca="false">K6*(1+L5/100)</f>
        <v>34572.1279480208</v>
      </c>
    </row>
    <row r="7" customFormat="false" ht="15" hidden="false" customHeight="false" outlineLevel="0" collapsed="false">
      <c r="A7" s="0" t="s">
        <v>100</v>
      </c>
      <c r="C7" s="4" t="n">
        <f aca="false">Assumptions!C42</f>
        <v>17.5</v>
      </c>
      <c r="D7" s="4" t="n">
        <f aca="false">Assumptions!D42</f>
        <v>18</v>
      </c>
      <c r="E7" s="4" t="n">
        <f aca="false">Assumptions!E42</f>
        <v>18.5</v>
      </c>
      <c r="F7" s="4" t="n">
        <f aca="false">Assumptions!F42</f>
        <v>18.8</v>
      </c>
      <c r="G7" s="4" t="n">
        <f aca="false">Assumptions!G42</f>
        <v>19</v>
      </c>
      <c r="H7" s="4" t="n">
        <f aca="false">Assumptions!H42</f>
        <v>19</v>
      </c>
      <c r="I7" s="4" t="n">
        <f aca="false">Assumptions!I42</f>
        <v>19</v>
      </c>
      <c r="J7" s="4" t="n">
        <f aca="false">Assumptions!J42</f>
        <v>19</v>
      </c>
      <c r="K7" s="4" t="n">
        <f aca="false">Assumptions!K42</f>
        <v>19</v>
      </c>
      <c r="L7" s="4" t="n">
        <f aca="false">Assumptions!L42</f>
        <v>19</v>
      </c>
    </row>
    <row r="8" customFormat="false" ht="15" hidden="false" customHeight="false" outlineLevel="0" collapsed="false">
      <c r="A8" s="0" t="s">
        <v>43</v>
      </c>
      <c r="C8" s="0" t="n">
        <f aca="false">C6*C7/100</f>
        <v>4548.6</v>
      </c>
      <c r="D8" s="0" t="n">
        <f aca="false">D6*D7/100</f>
        <v>4865.7024</v>
      </c>
      <c r="E8" s="0" t="n">
        <f aca="false">E6*E7/100</f>
        <v>5200.895232</v>
      </c>
      <c r="F8" s="0" t="n">
        <f aca="false">F6*F7/100</f>
        <v>5496.643436544</v>
      </c>
      <c r="G8" s="0" t="n">
        <f aca="false">G6*G7/100</f>
        <v>5749.5475095552</v>
      </c>
      <c r="H8" s="0" t="n">
        <f aca="false">H6*H7/100</f>
        <v>5922.03393484186</v>
      </c>
      <c r="I8" s="0" t="n">
        <f aca="false">I6*I7/100</f>
        <v>6099.69495288711</v>
      </c>
      <c r="J8" s="0" t="n">
        <f aca="false">J6*J7/100</f>
        <v>6252.18732670929</v>
      </c>
      <c r="K8" s="0" t="n">
        <f aca="false">K6*K7/100</f>
        <v>6408.49200987702</v>
      </c>
      <c r="L8" s="0" t="n">
        <f aca="false">L6*L7/100</f>
        <v>6568.70431012395</v>
      </c>
    </row>
    <row r="9" customFormat="false" ht="15" hidden="false" customHeight="false" outlineLevel="0" collapsed="false">
      <c r="A9" s="0" t="s">
        <v>101</v>
      </c>
      <c r="C9" s="4" t="n">
        <f aca="false">Assumptions!C43</f>
        <v>0.23</v>
      </c>
      <c r="D9" s="4" t="n">
        <f aca="false">Assumptions!D43</f>
        <v>0.23</v>
      </c>
      <c r="E9" s="4" t="n">
        <f aca="false">Assumptions!E43</f>
        <v>0.23</v>
      </c>
      <c r="F9" s="4" t="n">
        <f aca="false">Assumptions!F43</f>
        <v>0.23</v>
      </c>
      <c r="G9" s="4" t="n">
        <f aca="false">Assumptions!G43</f>
        <v>0.23</v>
      </c>
      <c r="H9" s="4" t="n">
        <f aca="false">Assumptions!H43</f>
        <v>0.23</v>
      </c>
      <c r="I9" s="4" t="n">
        <f aca="false">Assumptions!I43</f>
        <v>0.23</v>
      </c>
      <c r="J9" s="4" t="n">
        <f aca="false">Assumptions!J43</f>
        <v>0.23</v>
      </c>
      <c r="K9" s="4" t="n">
        <f aca="false">Assumptions!K43</f>
        <v>0.23</v>
      </c>
      <c r="L9" s="4" t="n">
        <f aca="false">Assumptions!L43</f>
        <v>0.23</v>
      </c>
    </row>
    <row r="10" customFormat="false" ht="15" hidden="false" customHeight="false" outlineLevel="0" collapsed="false">
      <c r="A10" s="0" t="s">
        <v>116</v>
      </c>
      <c r="C10" s="0" t="n">
        <f aca="false">-C6*C9/100</f>
        <v>-59.7816</v>
      </c>
      <c r="D10" s="0" t="n">
        <f aca="false">-D6*D9/100</f>
        <v>-62.172864</v>
      </c>
      <c r="E10" s="0" t="n">
        <f aca="false">-E6*E9/100</f>
        <v>-64.65977856</v>
      </c>
      <c r="F10" s="0" t="n">
        <f aca="false">-F6*F9/100</f>
        <v>-67.2461697024</v>
      </c>
      <c r="G10" s="0" t="n">
        <f aca="false">-G6*G9/100</f>
        <v>-69.599785641984</v>
      </c>
      <c r="H10" s="0" t="n">
        <f aca="false">-H6*H9/100</f>
        <v>-71.6877792112435</v>
      </c>
      <c r="I10" s="0" t="n">
        <f aca="false">-I6*I9/100</f>
        <v>-73.8384125875808</v>
      </c>
      <c r="J10" s="0" t="n">
        <f aca="false">-J6*J9/100</f>
        <v>-75.6843729022704</v>
      </c>
      <c r="K10" s="0" t="n">
        <f aca="false">-K6*K9/100</f>
        <v>-77.5764822248271</v>
      </c>
      <c r="L10" s="0" t="n">
        <f aca="false">-L6*L9/100</f>
        <v>-79.5158942804478</v>
      </c>
    </row>
    <row r="11" customFormat="false" ht="15" hidden="false" customHeight="false" outlineLevel="0" collapsed="false">
      <c r="A11" s="0" t="s">
        <v>117</v>
      </c>
      <c r="C11" s="0" t="n">
        <f aca="false">C8+C10+C24</f>
        <v>4150.9224</v>
      </c>
      <c r="D11" s="0" t="n">
        <f aca="false">D8+D10+D24</f>
        <v>4452.117696</v>
      </c>
      <c r="E11" s="0" t="n">
        <f aca="false">E8+E10+E24</f>
        <v>4770.76713984</v>
      </c>
      <c r="F11" s="0" t="n">
        <f aca="false">F8+F10+F24</f>
        <v>5049.3102206976</v>
      </c>
      <c r="G11" s="0" t="n">
        <f aca="false">G8+G10+G24</f>
        <v>5286.55763115417</v>
      </c>
      <c r="H11" s="0" t="n">
        <f aca="false">H8+H10+H24</f>
        <v>5445.1543600888</v>
      </c>
      <c r="I11" s="0" t="n">
        <f aca="false">I8+I10+I24</f>
        <v>5608.50899089147</v>
      </c>
      <c r="J11" s="0" t="n">
        <f aca="false">J8+J10+J24</f>
        <v>5748.72171566375</v>
      </c>
      <c r="K11" s="0" t="n">
        <f aca="false">K8+K10+K24</f>
        <v>5892.43975855534</v>
      </c>
      <c r="L11" s="0" t="n">
        <f aca="false">L8+L10+L24</f>
        <v>6039.75075251923</v>
      </c>
    </row>
    <row r="12" customFormat="false" ht="15" hidden="false" customHeight="false" outlineLevel="0" collapsed="false">
      <c r="A12" s="0" t="s">
        <v>118</v>
      </c>
      <c r="C12" s="4" t="n">
        <f aca="false">-C6*Assumptions!C45/100</f>
        <v>-1793.448</v>
      </c>
      <c r="D12" s="4" t="n">
        <f aca="false">-D6*Assumptions!D45/100</f>
        <v>-1865.18592</v>
      </c>
      <c r="E12" s="4" t="n">
        <f aca="false">-E6*Assumptions!E45/100</f>
        <v>-1939.7933568</v>
      </c>
      <c r="F12" s="4" t="n">
        <f aca="false">-F6*Assumptions!F45/100</f>
        <v>-1988.147625984</v>
      </c>
      <c r="G12" s="4" t="n">
        <f aca="false">-G6*Assumptions!G45/100</f>
        <v>-2057.73279289344</v>
      </c>
      <c r="H12" s="4" t="n">
        <f aca="false">-H6*Assumptions!H45/100</f>
        <v>-2119.46477668024</v>
      </c>
      <c r="I12" s="4" t="n">
        <f aca="false">-I6*Assumptions!I45/100</f>
        <v>-2183.04871998065</v>
      </c>
      <c r="J12" s="4" t="n">
        <f aca="false">-J6*Assumptions!J45/100</f>
        <v>-2237.62493798017</v>
      </c>
      <c r="K12" s="4" t="n">
        <f aca="false">-K6*Assumptions!K45/100</f>
        <v>-2293.56556142967</v>
      </c>
      <c r="L12" s="4" t="n">
        <f aca="false">-L6*Assumptions!L45/100</f>
        <v>-2350.90470046541</v>
      </c>
    </row>
    <row r="13" customFormat="false" ht="15" hidden="false" customHeight="false" outlineLevel="0" collapsed="false">
      <c r="A13" s="0" t="s">
        <v>119</v>
      </c>
      <c r="C13" s="0" t="n">
        <f aca="false">C11+C12</f>
        <v>2357.4744</v>
      </c>
      <c r="D13" s="0" t="n">
        <f aca="false">D11+D12</f>
        <v>2586.931776</v>
      </c>
      <c r="E13" s="0" t="n">
        <f aca="false">E11+E12</f>
        <v>2830.97378304</v>
      </c>
      <c r="F13" s="0" t="n">
        <f aca="false">F11+F12</f>
        <v>3061.1625947136</v>
      </c>
      <c r="G13" s="0" t="n">
        <f aca="false">G11+G12</f>
        <v>3228.82483826073</v>
      </c>
      <c r="H13" s="0" t="n">
        <f aca="false">H11+H12</f>
        <v>3325.68958340856</v>
      </c>
      <c r="I13" s="0" t="n">
        <f aca="false">I11+I12</f>
        <v>3425.46027091081</v>
      </c>
      <c r="J13" s="0" t="n">
        <f aca="false">J11+J12</f>
        <v>3511.09677768359</v>
      </c>
      <c r="K13" s="0" t="n">
        <f aca="false">K11+K12</f>
        <v>3598.87419712567</v>
      </c>
      <c r="L13" s="0" t="n">
        <f aca="false">L11+L12</f>
        <v>3688.84605205382</v>
      </c>
    </row>
    <row r="14" customFormat="false" ht="15" hidden="false" customHeight="false" outlineLevel="0" collapsed="false">
      <c r="A14" s="0" t="s">
        <v>105</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120</v>
      </c>
      <c r="C15" s="0" t="n">
        <f aca="false">C13-MAX(0,C13)*C14/100</f>
        <v>1768.1058</v>
      </c>
      <c r="D15" s="0" t="n">
        <f aca="false">D13-MAX(0,D13)*D14/100</f>
        <v>1940.198832</v>
      </c>
      <c r="E15" s="0" t="n">
        <f aca="false">E13-MAX(0,E13)*E14/100</f>
        <v>2123.23033728</v>
      </c>
      <c r="F15" s="0" t="n">
        <f aca="false">F13-MAX(0,F13)*F14/100</f>
        <v>2295.8719460352</v>
      </c>
      <c r="G15" s="0" t="n">
        <f aca="false">G13-MAX(0,G13)*G14/100</f>
        <v>2421.61862869555</v>
      </c>
      <c r="H15" s="0" t="n">
        <f aca="false">H13-MAX(0,H13)*H14/100</f>
        <v>2494.26718755642</v>
      </c>
      <c r="I15" s="0" t="n">
        <f aca="false">I13-MAX(0,I13)*I14/100</f>
        <v>2569.09520318311</v>
      </c>
      <c r="J15" s="0" t="n">
        <f aca="false">J13-MAX(0,J13)*J14/100</f>
        <v>2633.32258326269</v>
      </c>
      <c r="K15" s="0" t="n">
        <f aca="false">K13-MAX(0,K13)*K14/100</f>
        <v>2699.15564784426</v>
      </c>
      <c r="L15" s="0" t="n">
        <f aca="false">L13-MAX(0,L13)*L14/100</f>
        <v>2766.63453904036</v>
      </c>
    </row>
    <row r="16" customFormat="false" ht="15" hidden="false" customHeight="false" outlineLevel="0" collapsed="false">
      <c r="A16" s="0" t="s">
        <v>121</v>
      </c>
      <c r="C16" s="0" t="n">
        <f aca="false">-C12</f>
        <v>1793.448</v>
      </c>
      <c r="D16" s="0" t="n">
        <f aca="false">-D12</f>
        <v>1865.18592</v>
      </c>
      <c r="E16" s="0" t="n">
        <f aca="false">-E12</f>
        <v>1939.7933568</v>
      </c>
      <c r="F16" s="0" t="n">
        <f aca="false">-F12</f>
        <v>1988.147625984</v>
      </c>
      <c r="G16" s="0" t="n">
        <f aca="false">-G12</f>
        <v>2057.73279289344</v>
      </c>
      <c r="H16" s="0" t="n">
        <f aca="false">-H12</f>
        <v>2119.46477668024</v>
      </c>
      <c r="I16" s="0" t="n">
        <f aca="false">-I12</f>
        <v>2183.04871998065</v>
      </c>
      <c r="J16" s="0" t="n">
        <f aca="false">-J12</f>
        <v>2237.62493798017</v>
      </c>
      <c r="K16" s="0" t="n">
        <f aca="false">-K12</f>
        <v>2293.56556142967</v>
      </c>
      <c r="L16" s="0" t="n">
        <f aca="false">-L12</f>
        <v>2350.90470046541</v>
      </c>
    </row>
    <row r="17" customFormat="false" ht="15" hidden="false" customHeight="false" outlineLevel="0" collapsed="false">
      <c r="A17" s="0" t="s">
        <v>122</v>
      </c>
      <c r="C17" s="4" t="n">
        <f aca="false">-C6*Assumptions!C46/100</f>
        <v>-1871.424</v>
      </c>
      <c r="D17" s="4" t="n">
        <f aca="false">-D6*Assumptions!D46/100</f>
        <v>-1946.28096</v>
      </c>
      <c r="E17" s="4" t="n">
        <f aca="false">-E6*Assumptions!E46/100</f>
        <v>-1996.0192512</v>
      </c>
      <c r="F17" s="4" t="n">
        <f aca="false">-F6*Assumptions!F46/100</f>
        <v>-2046.62255616</v>
      </c>
      <c r="G17" s="4" t="n">
        <f aca="false">-G6*Assumptions!G46/100</f>
        <v>-2118.2543456256</v>
      </c>
      <c r="H17" s="4" t="n">
        <f aca="false">-H6*Assumptions!H46/100</f>
        <v>-2181.80197599437</v>
      </c>
      <c r="I17" s="4" t="n">
        <f aca="false">-I6*Assumptions!I46/100</f>
        <v>-2247.2560352742</v>
      </c>
      <c r="J17" s="4" t="n">
        <f aca="false">-J6*Assumptions!J46/100</f>
        <v>-2303.43743615605</v>
      </c>
      <c r="K17" s="4" t="n">
        <f aca="false">-K6*Assumptions!K46/100</f>
        <v>-2361.02337205996</v>
      </c>
      <c r="L17" s="4" t="n">
        <f aca="false">-L6*Assumptions!L46/100</f>
        <v>-2420.04895636145</v>
      </c>
    </row>
    <row r="18" customFormat="false" ht="15" hidden="false" customHeight="false" outlineLevel="0" collapsed="false">
      <c r="A18" s="0" t="s">
        <v>123</v>
      </c>
      <c r="C18" s="4" t="n">
        <f aca="false">(C6-B6)*Assumptions!$B$51/100</f>
        <v>-0</v>
      </c>
      <c r="D18" s="4" t="n">
        <f aca="false">(D6-C6)*Assumptions!$B$51/100</f>
        <v>-155.952</v>
      </c>
      <c r="E18" s="4" t="n">
        <f aca="false">(E6-D6)*Assumptions!$B$51/100</f>
        <v>-162.19008</v>
      </c>
      <c r="F18" s="4" t="n">
        <f aca="false">(F6-E6)*Assumptions!$B$51/100</f>
        <v>-168.6776832</v>
      </c>
      <c r="G18" s="4" t="n">
        <f aca="false">(G6-F6)*Assumptions!$B$51/100</f>
        <v>-153.496691712</v>
      </c>
      <c r="H18" s="4" t="n">
        <f aca="false">(H6-G6)*Assumptions!$B$51/100</f>
        <v>-136.17349364736</v>
      </c>
      <c r="I18" s="4" t="n">
        <f aca="false">(I6-H6)*Assumptions!$B$51/100</f>
        <v>-140.258698456781</v>
      </c>
      <c r="J18" s="4" t="n">
        <f aca="false">(J6-I6)*Assumptions!$B$51/100</f>
        <v>-120.388716175403</v>
      </c>
      <c r="K18" s="4" t="n">
        <f aca="false">(K6-J6)*Assumptions!$B$51/100</f>
        <v>-123.398434079788</v>
      </c>
      <c r="L18" s="4" t="n">
        <f aca="false">(L6-K6)*Assumptions!$B$51/100</f>
        <v>-126.483394931783</v>
      </c>
    </row>
    <row r="19" customFormat="false" ht="15" hidden="false" customHeight="false" outlineLevel="0" collapsed="false">
      <c r="A19" s="0" t="s">
        <v>124</v>
      </c>
      <c r="C19" s="0" t="n">
        <f aca="false">C15+C16+C17+C18</f>
        <v>1690.1298</v>
      </c>
      <c r="D19" s="0" t="n">
        <f aca="false">D15+D16+D17+D18</f>
        <v>1703.151792</v>
      </c>
      <c r="E19" s="0" t="n">
        <f aca="false">E15+E16+E17+E18</f>
        <v>1904.81436288</v>
      </c>
      <c r="F19" s="0" t="n">
        <f aca="false">F15+F16+F17+F18</f>
        <v>2068.7193326592</v>
      </c>
      <c r="G19" s="0" t="n">
        <f aca="false">G15+G16+G17+G18</f>
        <v>2207.60038425139</v>
      </c>
      <c r="H19" s="0" t="n">
        <f aca="false">H15+H16+H17+H18</f>
        <v>2295.75649459493</v>
      </c>
      <c r="I19" s="0" t="n">
        <f aca="false">I15+I16+I17+I18</f>
        <v>2364.62918943278</v>
      </c>
      <c r="J19" s="0" t="n">
        <f aca="false">J15+J16+J17+J18</f>
        <v>2447.1213689114</v>
      </c>
      <c r="K19" s="0" t="n">
        <f aca="false">K15+K16+K17+K18</f>
        <v>2508.29940313418</v>
      </c>
      <c r="L19" s="0" t="n">
        <f aca="false">L15+L16+L17+L18</f>
        <v>2571.00688821254</v>
      </c>
    </row>
    <row r="20" customFormat="false" ht="15" hidden="false" customHeight="false" outlineLevel="0" collapsed="false">
      <c r="A20" s="0" t="s">
        <v>125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126</v>
      </c>
      <c r="C21" s="0" t="n">
        <f aca="false">C19*C20</f>
        <v>1564.935</v>
      </c>
      <c r="D21" s="0" t="n">
        <f aca="false">D19*D20</f>
        <v>1460.17814814815</v>
      </c>
      <c r="E21" s="0" t="n">
        <f aca="false">E19*E20</f>
        <v>1512.10305441244</v>
      </c>
      <c r="F21" s="0" t="n">
        <f aca="false">F19*F20</f>
        <v>1520.57046656167</v>
      </c>
      <c r="G21" s="0" t="n">
        <f aca="false">G19*G20</f>
        <v>1502.45572728675</v>
      </c>
      <c r="H21" s="0" t="n">
        <f aca="false">H19*H20</f>
        <v>1446.71601361335</v>
      </c>
      <c r="I21" s="0" t="n">
        <f aca="false">I19*I20</f>
        <v>1379.73842039051</v>
      </c>
      <c r="J21" s="0" t="n">
        <f aca="false">J19*J20</f>
        <v>1322.10353222271</v>
      </c>
      <c r="K21" s="0" t="n">
        <f aca="false">K19*K20</f>
        <v>1254.77418567433</v>
      </c>
      <c r="L21" s="0" t="n">
        <f aca="false">L19*L20</f>
        <v>1190.87364844092</v>
      </c>
    </row>
    <row r="23" customFormat="false" ht="15" hidden="false" customHeight="false" outlineLevel="0" collapsed="false">
      <c r="A23" s="0" t="s">
        <v>102</v>
      </c>
      <c r="C23" s="4" t="n">
        <f aca="false">Assumptions!C44</f>
        <v>1.3</v>
      </c>
      <c r="D23" s="4" t="n">
        <f aca="false">Assumptions!D44</f>
        <v>1.3</v>
      </c>
      <c r="E23" s="4" t="n">
        <f aca="false">Assumptions!E44</f>
        <v>1.3</v>
      </c>
      <c r="F23" s="4" t="n">
        <f aca="false">Assumptions!F44</f>
        <v>1.3</v>
      </c>
      <c r="G23" s="4" t="n">
        <f aca="false">Assumptions!G44</f>
        <v>1.3</v>
      </c>
      <c r="H23" s="4" t="n">
        <f aca="false">Assumptions!H44</f>
        <v>1.3</v>
      </c>
      <c r="I23" s="4" t="n">
        <f aca="false">Assumptions!I44</f>
        <v>1.3</v>
      </c>
      <c r="J23" s="4" t="n">
        <f aca="false">Assumptions!J44</f>
        <v>1.3</v>
      </c>
      <c r="K23" s="4" t="n">
        <f aca="false">Assumptions!K44</f>
        <v>1.3</v>
      </c>
      <c r="L23" s="4" t="n">
        <f aca="false">Assumptions!L44</f>
        <v>1.3</v>
      </c>
    </row>
    <row r="24" customFormat="false" ht="15" hidden="false" customHeight="false" outlineLevel="0" collapsed="false">
      <c r="A24" s="0" t="s">
        <v>127</v>
      </c>
      <c r="C24" s="0" t="n">
        <f aca="false">-C6*C23/100</f>
        <v>-337.896</v>
      </c>
      <c r="D24" s="0" t="n">
        <f aca="false">-D6*D23/100</f>
        <v>-351.41184</v>
      </c>
      <c r="E24" s="0" t="n">
        <f aca="false">-E6*E23/100</f>
        <v>-365.4683136</v>
      </c>
      <c r="F24" s="0" t="n">
        <f aca="false">-F6*F23/100</f>
        <v>-380.087046144</v>
      </c>
      <c r="G24" s="0" t="n">
        <f aca="false">-G6*G23/100</f>
        <v>-393.39009275904</v>
      </c>
      <c r="H24" s="0" t="n">
        <f aca="false">-H6*H23/100</f>
        <v>-405.191795541811</v>
      </c>
      <c r="I24" s="0" t="n">
        <f aca="false">-I6*I23/100</f>
        <v>-417.347549408066</v>
      </c>
      <c r="J24" s="0" t="n">
        <f aca="false">-J6*J23/100</f>
        <v>-427.781238143267</v>
      </c>
      <c r="K24" s="0" t="n">
        <f aca="false">-K6*K23/100</f>
        <v>-438.475769096849</v>
      </c>
      <c r="L24" s="0" t="n">
        <f aca="false">-L6*L23/100</f>
        <v>-449.43766332427</v>
      </c>
    </row>
    <row r="26" customFormat="false" ht="15" hidden="false" customHeight="false" outlineLevel="0" collapsed="false">
      <c r="A26" s="2" t="s">
        <v>128</v>
      </c>
    </row>
    <row r="27" customFormat="false" ht="15" hidden="false" customHeight="false" outlineLevel="0" collapsed="false">
      <c r="A27" s="0" t="s">
        <v>106</v>
      </c>
      <c r="B27" s="4" t="n">
        <f aca="false">Assumptions!$B$48</f>
        <v>8</v>
      </c>
    </row>
    <row r="28" customFormat="false" ht="15" hidden="false" customHeight="false" outlineLevel="0" collapsed="false">
      <c r="A28" s="0" t="s">
        <v>107</v>
      </c>
      <c r="B28" s="4" t="n">
        <f aca="false">Assumptions!$B$49</f>
        <v>2.5</v>
      </c>
    </row>
    <row r="29" customFormat="false" ht="15" hidden="false" customHeight="false" outlineLevel="0" collapsed="false">
      <c r="A29" s="0" t="s">
        <v>108</v>
      </c>
      <c r="B29" s="4" t="n">
        <f aca="false">Assumptions!$B$50</f>
        <v>16</v>
      </c>
    </row>
    <row r="30" customFormat="false" ht="15" hidden="false" customHeight="false" outlineLevel="0" collapsed="false">
      <c r="A30" s="0" t="s">
        <v>129</v>
      </c>
      <c r="B30" s="0" t="n">
        <f aca="false">SUM(C21:L21)</f>
        <v>14154.4481967508</v>
      </c>
    </row>
    <row r="31" customFormat="false" ht="15" hidden="false" customHeight="false" outlineLevel="0" collapsed="false">
      <c r="A31" s="0" t="s">
        <v>130</v>
      </c>
      <c r="B31" s="0" t="n">
        <f aca="false">L19</f>
        <v>2571.00688821254</v>
      </c>
    </row>
    <row r="32" customFormat="false" ht="15" hidden="false" customHeight="false" outlineLevel="0" collapsed="false">
      <c r="A32" s="0" t="s">
        <v>131</v>
      </c>
      <c r="B32" s="0" t="n">
        <f aca="false">IF(B27&gt;B28,B31*(1+B28/100)/((B27-B28)/100),B31*B29)</f>
        <v>47914.2192803246</v>
      </c>
    </row>
    <row r="33" customFormat="false" ht="15" hidden="false" customHeight="false" outlineLevel="0" collapsed="false">
      <c r="A33" s="0" t="s">
        <v>132</v>
      </c>
      <c r="B33" s="0" t="n">
        <f aca="false">B31*B29</f>
        <v>41136.1102114006</v>
      </c>
    </row>
    <row r="34" customFormat="false" ht="15" hidden="false" customHeight="false" outlineLevel="0" collapsed="false">
      <c r="A34" s="0" t="s">
        <v>133</v>
      </c>
      <c r="B34" s="0" t="n">
        <f aca="false">MAX(0,MIN(B32,B33))</f>
        <v>41136.1102114006</v>
      </c>
    </row>
    <row r="35" customFormat="false" ht="15" hidden="false" customHeight="false" outlineLevel="0" collapsed="false">
      <c r="A35" s="0" t="s">
        <v>134</v>
      </c>
      <c r="B35" s="0" t="n">
        <f aca="false">B34/(1+B27/100)^L4</f>
        <v>19053.9783750546</v>
      </c>
    </row>
    <row r="36" customFormat="false" ht="15" hidden="false" customHeight="false" outlineLevel="0" collapsed="false">
      <c r="A36" s="0" t="s">
        <v>135</v>
      </c>
      <c r="B36" s="0" t="n">
        <f aca="false">B30+B35</f>
        <v>33208.4265718055</v>
      </c>
    </row>
    <row r="37" customFormat="false" ht="15" hidden="false" customHeight="false" outlineLevel="0" collapsed="false">
      <c r="A37" s="0" t="s">
        <v>136</v>
      </c>
      <c r="B37" s="0" t="n">
        <f aca="false">B36+Assumptions!$B$5-Assumptions!$B$4</f>
        <v>30589.4265718055</v>
      </c>
    </row>
    <row r="38" customFormat="false" ht="15" hidden="false" customHeight="false" outlineLevel="0" collapsed="false">
      <c r="A38" s="0" t="s">
        <v>137</v>
      </c>
      <c r="B38" s="0" t="n">
        <f aca="false">B37/Assumptions!$B$3*Assumptions!$B$10</f>
        <v>45.0440679897003</v>
      </c>
    </row>
    <row r="39" customFormat="false" ht="15" hidden="false" customHeight="false" outlineLevel="0" collapsed="false">
      <c r="A39" s="0" t="s">
        <v>138</v>
      </c>
      <c r="B39" s="4" t="n">
        <f aca="false">B38/Assumptions!$B$2-1</f>
        <v>0.440488263181973</v>
      </c>
    </row>
    <row r="41" customFormat="false" ht="15" hidden="false" customHeight="false" outlineLevel="0" collapsed="false">
      <c r="A41" s="0" t="s">
        <v>139</v>
      </c>
      <c r="B41" s="0" t="n">
        <f aca="false">SUMPRODUCT(-C10:L10/(1+$B$27/100)^C4:L4)</f>
        <v>461.570123853215</v>
      </c>
    </row>
    <row r="42" customFormat="false" ht="15" hidden="false" customHeight="false" outlineLevel="0" collapsed="false">
      <c r="A42" s="0" t="s">
        <v>140</v>
      </c>
      <c r="B42" s="0" t="n">
        <f aca="false">IF(B27&gt;B28,-L10*(1+B28/100)/((B27-B28)/100),-L10*20)/(1+B27/100)^L4</f>
        <v>686.400464376035</v>
      </c>
    </row>
    <row r="43" customFormat="false" ht="15" hidden="false" customHeight="false" outlineLevel="0" collapsed="false">
      <c r="A43" s="0" t="s">
        <v>141</v>
      </c>
      <c r="B43" s="0" t="n">
        <f aca="false">(B37+B41+B42)/Assumptions!$B$3*Assumptions!$B$10</f>
        <v>46.7344973642096</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21082.2564833428</v>
      </c>
    </row>
    <row r="47" customFormat="false" ht="15" hidden="false" customHeight="false" outlineLevel="0" collapsed="false">
      <c r="A47" s="0" t="s">
        <v>143</v>
      </c>
      <c r="B47" s="0" t="n">
        <f aca="false">(SUMPRODUCT(C19:L19/(1+B45/100)^C4:L4)+B46/(1+B45/100)^L4+Assumptions!$B$5-Assumptions!$B$4)/Assumptions!$B$3*Assumptions!$B$10</f>
        <v>19.0141297762133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21.677517077279</v>
      </c>
      <c r="C4" s="0" t="n">
        <f aca="false">B4/Assumptions!$B$2-1</f>
        <v>-0.306763125126991</v>
      </c>
      <c r="D4" s="4" t="n">
        <f aca="false">Assumptions!$B$24</f>
        <v>0.25</v>
      </c>
      <c r="E4" s="4" t="n">
        <f aca="false">DCF_Bear!$B$43</f>
        <v>22.9673278796048</v>
      </c>
      <c r="F4" s="4" t="n">
        <f aca="false">DCF_Bear!$B$47</f>
        <v>9.91587550262883</v>
      </c>
    </row>
    <row r="5" customFormat="false" ht="15" hidden="false" customHeight="false" outlineLevel="0" collapsed="false">
      <c r="A5" s="0" t="s">
        <v>152</v>
      </c>
      <c r="B5" s="4" t="n">
        <f aca="false">DCF_Base!$B$38</f>
        <v>35.8717358651305</v>
      </c>
      <c r="C5" s="0" t="n">
        <f aca="false">B5/Assumptions!$B$2-1</f>
        <v>0.147161364410952</v>
      </c>
      <c r="D5" s="4" t="n">
        <f aca="false">Assumptions!$B$38</f>
        <v>0.5</v>
      </c>
      <c r="E5" s="4" t="n">
        <f aca="false">DCF_Base!$B$43</f>
        <v>37.3793729542065</v>
      </c>
      <c r="F5" s="4" t="n">
        <f aca="false">DCF_Base!$B$47</f>
        <v>15.4953503271519</v>
      </c>
    </row>
    <row r="6" customFormat="false" ht="15" hidden="false" customHeight="false" outlineLevel="0" collapsed="false">
      <c r="A6" s="0" t="s">
        <v>153</v>
      </c>
      <c r="B6" s="4" t="n">
        <f aca="false">DCF_Bull!$B$38</f>
        <v>45.0440679897003</v>
      </c>
      <c r="C6" s="0" t="n">
        <f aca="false">B6/Assumptions!$B$2-1</f>
        <v>0.440488263181973</v>
      </c>
      <c r="D6" s="4" t="n">
        <f aca="false">Assumptions!$B$52</f>
        <v>0.25</v>
      </c>
      <c r="E6" s="4" t="n">
        <f aca="false">DCF_Bull!$B$43</f>
        <v>46.7344973642096</v>
      </c>
      <c r="F6" s="4" t="n">
        <f aca="false">DCF_Bull!$B$47</f>
        <v>19.0141297762133</v>
      </c>
    </row>
    <row r="8" customFormat="false" ht="15" hidden="false" customHeight="false" outlineLevel="0" collapsed="false">
      <c r="A8" s="0" t="s">
        <v>154</v>
      </c>
      <c r="B8" s="0" t="n">
        <f aca="false">SUMPRODUCT(B4:B6,D4:D6)</f>
        <v>34.6162641993101</v>
      </c>
    </row>
    <row r="9" customFormat="false" ht="15" hidden="false" customHeight="false" outlineLevel="0" collapsed="false">
      <c r="A9" s="0" t="s">
        <v>155</v>
      </c>
      <c r="B9" s="0" t="n">
        <f aca="false">SUMPRODUCT(E4:E6,D4:D6)</f>
        <v>36.1151427880568</v>
      </c>
    </row>
    <row r="10" customFormat="false" ht="15" hidden="false" customHeight="false" outlineLevel="0" collapsed="false">
      <c r="A10" s="0" t="s">
        <v>156</v>
      </c>
      <c r="B10" s="0" t="n">
        <f aca="false">1-Assumptions!$B$2/B8</f>
        <v>0.096667398308589</v>
      </c>
    </row>
    <row r="11" customFormat="false" ht="15" hidden="false" customHeight="false" outlineLevel="0" collapsed="false">
      <c r="A11" s="0" t="s">
        <v>157</v>
      </c>
      <c r="B11" s="0" t="n">
        <f aca="false">IF(ABS(B9-B8)&gt;0.01*ABS(B8),(Assumptions!$B$2-B8)/(B9-B8)*100,"n/a")</f>
        <v>-223.251184214183</v>
      </c>
    </row>
    <row r="12" customFormat="false" ht="15" hidden="false" customHeight="false" outlineLevel="0" collapsed="false">
      <c r="A12" s="0" t="s">
        <v>158</v>
      </c>
      <c r="B12" s="0" t="n">
        <f aca="false">SUMPRODUCT(F4:F6,D4:D6)</f>
        <v>14.9801764832865</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35.8717358651305</v>
      </c>
      <c r="C15" s="3" t="n">
        <v>8</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32.5722906460562</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27.9377464590318</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24.336769140212</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21.4590921501105</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15.4953503271519</v>
      </c>
      <c r="C20" s="3" t="n">
        <v>15</v>
      </c>
    </row>
    <row r="22" customFormat="false" ht="15" hidden="false" customHeight="false" outlineLevel="0" collapsed="false">
      <c r="A22" s="2" t="s">
        <v>167</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42.1701982680307</v>
      </c>
      <c r="C24" s="0" t="n">
        <f aca="false">(SUMPRODUCT(DCF_Base!$C$19:$L$19/(1+$A$24/100)^DCF_Base!$C$4:$L$4)+MAX(0,MIN(IF($A$24&gt;$C$23,DCF_Base!$L$19*(1+$C$23/100)/(($A$24-$C$23)/100),DCF_Base!$L$19*DCF_Base!$B$29),DCF_Base!$L$19*DCF_Base!$B$29))/(1+$A$24/100)^DCF_Base!$L$4+Assumptions!$B$5-Assumptions!$B$4)/Assumptions!$B$3*Assumptions!$B$10</f>
        <v>42.1701982680307</v>
      </c>
      <c r="D24" s="0" t="n">
        <f aca="false">(SUMPRODUCT(DCF_Base!$C$19:$L$19/(1+$A$24/100)^DCF_Base!$C$4:$L$4)+MAX(0,MIN(IF($A$24&gt;$D$23,DCF_Base!$L$19*(1+$D$23/100)/(($A$24-$D$23)/100),DCF_Base!$L$19*DCF_Base!$B$29),DCF_Base!$L$19*DCF_Base!$B$29))/(1+$A$24/100)^DCF_Base!$L$4+Assumptions!$B$5-Assumptions!$B$4)/Assumptions!$B$3*Assumptions!$B$10</f>
        <v>42.1701982680307</v>
      </c>
      <c r="E24" s="0" t="n">
        <f aca="false">(SUMPRODUCT(DCF_Base!$C$19:$L$19/(1+$A$24/100)^DCF_Base!$C$4:$L$4)+MAX(0,MIN(IF($A$24&gt;$E$23,DCF_Base!$L$19*(1+$E$23/100)/(($A$24-$E$23)/100),DCF_Base!$L$19*DCF_Base!$B$29),DCF_Base!$L$19*DCF_Base!$B$29))/(1+$A$24/100)^DCF_Base!$L$4+Assumptions!$B$5-Assumptions!$B$4)/Assumptions!$B$3*Assumptions!$B$10</f>
        <v>42.1701982680307</v>
      </c>
      <c r="F24" s="0" t="n">
        <f aca="false">(SUMPRODUCT(DCF_Base!$C$19:$L$19/(1+$A$24/100)^DCF_Base!$C$4:$L$4)+MAX(0,MIN(IF($A$24&gt;$F$23,DCF_Base!$L$19*(1+$F$23/100)/(($A$24-$F$23)/100),DCF_Base!$L$19*DCF_Base!$B$29),DCF_Base!$L$19*DCF_Base!$B$29))/(1+$A$24/100)^DCF_Base!$L$4+Assumptions!$B$5-Assumptions!$B$4)/Assumptions!$B$3*Assumptions!$B$10</f>
        <v>42.1701982680307</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38.8731056961603</v>
      </c>
      <c r="C25" s="0" t="n">
        <f aca="false">(SUMPRODUCT(DCF_Base!$C$19:$L$19/(1+$A$25/100)^DCF_Base!$C$4:$L$4)+MAX(0,MIN(IF($A$25&gt;$C$23,DCF_Base!$L$19*(1+$C$23/100)/(($A$25-$C$23)/100),DCF_Base!$L$19*DCF_Base!$B$29),DCF_Base!$L$19*DCF_Base!$B$29))/(1+$A$25/100)^DCF_Base!$L$4+Assumptions!$B$5-Assumptions!$B$4)/Assumptions!$B$3*Assumptions!$B$10</f>
        <v>38.8731056961603</v>
      </c>
      <c r="D25" s="0" t="n">
        <f aca="false">(SUMPRODUCT(DCF_Base!$C$19:$L$19/(1+$A$25/100)^DCF_Base!$C$4:$L$4)+MAX(0,MIN(IF($A$25&gt;$D$23,DCF_Base!$L$19*(1+$D$23/100)/(($A$25-$D$23)/100),DCF_Base!$L$19*DCF_Base!$B$29),DCF_Base!$L$19*DCF_Base!$B$29))/(1+$A$25/100)^DCF_Base!$L$4+Assumptions!$B$5-Assumptions!$B$4)/Assumptions!$B$3*Assumptions!$B$10</f>
        <v>38.8731056961603</v>
      </c>
      <c r="E25" s="0" t="n">
        <f aca="false">(SUMPRODUCT(DCF_Base!$C$19:$L$19/(1+$A$25/100)^DCF_Base!$C$4:$L$4)+MAX(0,MIN(IF($A$25&gt;$E$23,DCF_Base!$L$19*(1+$E$23/100)/(($A$25-$E$23)/100),DCF_Base!$L$19*DCF_Base!$B$29),DCF_Base!$L$19*DCF_Base!$B$29))/(1+$A$25/100)^DCF_Base!$L$4+Assumptions!$B$5-Assumptions!$B$4)/Assumptions!$B$3*Assumptions!$B$10</f>
        <v>38.8731056961603</v>
      </c>
      <c r="F25" s="0" t="n">
        <f aca="false">(SUMPRODUCT(DCF_Base!$C$19:$L$19/(1+$A$25/100)^DCF_Base!$C$4:$L$4)+MAX(0,MIN(IF($A$25&gt;$F$23,DCF_Base!$L$19*(1+$F$23/100)/(($A$25-$F$23)/100),DCF_Base!$L$19*DCF_Base!$B$29),DCF_Base!$L$19*DCF_Base!$B$29))/(1+$A$25/100)^DCF_Base!$L$4+Assumptions!$B$5-Assumptions!$B$4)/Assumptions!$B$3*Assumptions!$B$10</f>
        <v>38.8731056961603</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35.0472211261334</v>
      </c>
      <c r="C26" s="0" t="n">
        <f aca="false">(SUMPRODUCT(DCF_Base!$C$19:$L$19/(1+$A$26/100)^DCF_Base!$C$4:$L$4)+MAX(0,MIN(IF($A$26&gt;$C$23,DCF_Base!$L$19*(1+$C$23/100)/(($A$26-$C$23)/100),DCF_Base!$L$19*DCF_Base!$B$29),DCF_Base!$L$19*DCF_Base!$B$29))/(1+$A$26/100)^DCF_Base!$L$4+Assumptions!$B$5-Assumptions!$B$4)/Assumptions!$B$3*Assumptions!$B$10</f>
        <v>35.8717358651305</v>
      </c>
      <c r="D26" s="0" t="n">
        <f aca="false">(SUMPRODUCT(DCF_Base!$C$19:$L$19/(1+$A$26/100)^DCF_Base!$C$4:$L$4)+MAX(0,MIN(IF($A$26&gt;$D$23,DCF_Base!$L$19*(1+$D$23/100)/(($A$26-$D$23)/100),DCF_Base!$L$19*DCF_Base!$B$29),DCF_Base!$L$19*DCF_Base!$B$29))/(1+$A$26/100)^DCF_Base!$L$4+Assumptions!$B$5-Assumptions!$B$4)/Assumptions!$B$3*Assumptions!$B$10</f>
        <v>35.8717358651305</v>
      </c>
      <c r="E26" s="0" t="n">
        <f aca="false">(SUMPRODUCT(DCF_Base!$C$19:$L$19/(1+$A$26/100)^DCF_Base!$C$4:$L$4)+MAX(0,MIN(IF($A$26&gt;$E$23,DCF_Base!$L$19*(1+$E$23/100)/(($A$26-$E$23)/100),DCF_Base!$L$19*DCF_Base!$B$29),DCF_Base!$L$19*DCF_Base!$B$29))/(1+$A$26/100)^DCF_Base!$L$4+Assumptions!$B$5-Assumptions!$B$4)/Assumptions!$B$3*Assumptions!$B$10</f>
        <v>35.8717358651305</v>
      </c>
      <c r="F26" s="0" t="n">
        <f aca="false">(SUMPRODUCT(DCF_Base!$C$19:$L$19/(1+$A$26/100)^DCF_Base!$C$4:$L$4)+MAX(0,MIN(IF($A$26&gt;$F$23,DCF_Base!$L$19*(1+$F$23/100)/(($A$26-$F$23)/100),DCF_Base!$L$19*DCF_Base!$B$29),DCF_Base!$L$19*DCF_Base!$B$29))/(1+$A$26/100)^DCF_Base!$L$4+Assumptions!$B$5-Assumptions!$B$4)/Assumptions!$B$3*Assumptions!$B$10</f>
        <v>35.8717358651305</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30.0110669065406</v>
      </c>
      <c r="C27" s="0" t="n">
        <f aca="false">(SUMPRODUCT(DCF_Base!$C$19:$L$19/(1+$A$27/100)^DCF_Base!$C$4:$L$4)+MAX(0,MIN(IF($A$27&gt;$C$23,DCF_Base!$L$19*(1+$C$23/100)/(($A$27-$C$23)/100),DCF_Base!$L$19*DCF_Base!$B$29),DCF_Base!$L$19*DCF_Base!$B$29))/(1+$A$27/100)^DCF_Base!$L$4+Assumptions!$B$5-Assumptions!$B$4)/Assumptions!$B$3*Assumptions!$B$10</f>
        <v>31.2063046516479</v>
      </c>
      <c r="D27" s="0" t="n">
        <f aca="false">(SUMPRODUCT(DCF_Base!$C$19:$L$19/(1+$A$27/100)^DCF_Base!$C$4:$L$4)+MAX(0,MIN(IF($A$27&gt;$D$23,DCF_Base!$L$19*(1+$D$23/100)/(($A$27-$D$23)/100),DCF_Base!$L$19*DCF_Base!$B$29),DCF_Base!$L$19*DCF_Base!$B$29))/(1+$A$27/100)^DCF_Base!$L$4+Assumptions!$B$5-Assumptions!$B$4)/Assumptions!$B$3*Assumptions!$B$10</f>
        <v>32.5722906460562</v>
      </c>
      <c r="E27" s="0" t="n">
        <f aca="false">(SUMPRODUCT(DCF_Base!$C$19:$L$19/(1+$A$27/100)^DCF_Base!$C$4:$L$4)+MAX(0,MIN(IF($A$27&gt;$E$23,DCF_Base!$L$19*(1+$E$23/100)/(($A$27-$E$23)/100),DCF_Base!$L$19*DCF_Base!$B$29),DCF_Base!$L$19*DCF_Base!$B$29))/(1+$A$27/100)^DCF_Base!$L$4+Assumptions!$B$5-Assumptions!$B$4)/Assumptions!$B$3*Assumptions!$B$10</f>
        <v>33.1362298180597</v>
      </c>
      <c r="F27" s="0" t="n">
        <f aca="false">(SUMPRODUCT(DCF_Base!$C$19:$L$19/(1+$A$27/100)^DCF_Base!$C$4:$L$4)+MAX(0,MIN(IF($A$27&gt;$F$23,DCF_Base!$L$19*(1+$F$23/100)/(($A$27-$F$23)/100),DCF_Base!$L$19*DCF_Base!$B$29),DCF_Base!$L$19*DCF_Base!$B$29))/(1+$A$27/100)^DCF_Base!$L$4+Assumptions!$B$5-Assumptions!$B$4)/Assumptions!$B$3*Assumptions!$B$10</f>
        <v>33.1362298180597</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26.1028677381264</v>
      </c>
      <c r="C28" s="0" t="n">
        <f aca="false">(SUMPRODUCT(DCF_Base!$C$19:$L$19/(1+$A$28/100)^DCF_Base!$C$4:$L$4)+MAX(0,MIN(IF($A$28&gt;$C$23,DCF_Base!$L$19*(1+$C$23/100)/(($A$28-$C$23)/100),DCF_Base!$L$19*DCF_Base!$B$29),DCF_Base!$L$19*DCF_Base!$B$29))/(1+$A$28/100)^DCF_Base!$L$4+Assumptions!$B$5-Assumptions!$B$4)/Assumptions!$B$3*Assumptions!$B$10</f>
        <v>26.966340077376</v>
      </c>
      <c r="D28" s="0" t="n">
        <f aca="false">(SUMPRODUCT(DCF_Base!$C$19:$L$19/(1+$A$28/100)^DCF_Base!$C$4:$L$4)+MAX(0,MIN(IF($A$28&gt;$D$23,DCF_Base!$L$19*(1+$D$23/100)/(($A$28-$D$23)/100),DCF_Base!$L$19*DCF_Base!$B$29),DCF_Base!$L$19*DCF_Base!$B$29))/(1+$A$28/100)^DCF_Base!$L$4+Assumptions!$B$5-Assumptions!$B$4)/Assumptions!$B$3*Assumptions!$B$10</f>
        <v>27.9377464590318</v>
      </c>
      <c r="E28" s="0" t="n">
        <f aca="false">(SUMPRODUCT(DCF_Base!$C$19:$L$19/(1+$A$28/100)^DCF_Base!$C$4:$L$4)+MAX(0,MIN(IF($A$28&gt;$E$23,DCF_Base!$L$19*(1+$E$23/100)/(($A$28-$E$23)/100),DCF_Base!$L$19*DCF_Base!$B$29),DCF_Base!$L$19*DCF_Base!$B$29))/(1+$A$28/100)^DCF_Base!$L$4+Assumptions!$B$5-Assumptions!$B$4)/Assumptions!$B$3*Assumptions!$B$10</f>
        <v>29.038673691575</v>
      </c>
      <c r="F28" s="0" t="n">
        <f aca="false">(SUMPRODUCT(DCF_Base!$C$19:$L$19/(1+$A$28/100)^DCF_Base!$C$4:$L$4)+MAX(0,MIN(IF($A$28&gt;$F$23,DCF_Base!$L$19*(1+$F$23/100)/(($A$28-$F$23)/100),DCF_Base!$L$19*DCF_Base!$B$29),DCF_Base!$L$19*DCF_Base!$B$29))/(1+$A$28/100)^DCF_Base!$L$4+Assumptions!$B$5-Assumptions!$B$4)/Assumptions!$B$3*Assumptions!$B$10</f>
        <v>30.2968762430529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2026-10-25T16:21:49Z</dcterms:created>
  <dc:creator>openpyxl</dc:creator>
  <dc:description/>
  <dc:language>en-NZ</dc:language>
  <cp:lastModifiedBy/>
  <dcterms:modified xsi:type="dcterms:W3CDTF">2026-10-25T16:21:49Z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