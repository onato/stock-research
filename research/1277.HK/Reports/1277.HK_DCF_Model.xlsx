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<sst xmlns="http://schemas.openxmlformats.org/spreadsheetml/2006/main" count="354" uniqueCount="164">
  <si>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</si>
  <si>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1277.HK</t>
  </si>
  <si>
    <t xml:space="preserve">Company</t>
  </si>
  <si>
    <t xml:space="preserve">Kinetic Development Group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</si>
  <si>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</si>
  <si>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</si>
  <si>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</si>
  <si>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</si>
  <si>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2026-10-16T07:21:12Z (15:21 HKT, intraday during the HKEX regular session)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</si>
  <si>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</si>
  <si>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</si>
  <si>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</si>
  <si>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</si>
  <si>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</si>
  <si>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</si>
  <si>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</si>
  <si>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</si>
  <si>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</si>
  <si>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</si>
  <si>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</si>
  <si>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</si>
  <si>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</si>
  <si>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2026-10-16T07:46:19Z</t>
  </si>
  <si>
    <t xml:space="preserve">Drivers file</t>
  </si>
  <si>
    <t xml:space="preserve">1277.HK_Drivers.json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</si>
  <si>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</si>
  <si>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</si>
  <si>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</si>
  <si>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coal miner is valued on mid-cycle cash flow, not on the latest half. FY2025 was the trough and H1 FY2026 a near-peak half; the base case sits between them on price, haircuts every guided volume ramp, carries the ancillary losses permanently, caps the terminal at 12x FCF with 1% growth for thermal coal's structural decline, deducts the MC Mining minority at book, and gives zero value to RMB1.35bn of related-party acquisition prepayments. Risk is charged once: in the scenario flows and a 30% bear weight, not in a scenario-specific WACC.
sanity_check_response: The Step 8c implied-multiples check tripped on P/E only (20.7x printed vs a 6.0x 10-year average; P/B, EV/EBITDA and P/Sales inside their historical ranges). Two-thirds of that figure is denominator: the check divides the IV by FY2025 EPS, which is the cycle trough (ASP RMB603/t, -20% YoY) and carries ~RMB400m of ancillary impairments -- H1 FY2026 alone earned 86% of FY2025's full-year profit. On the base case's FY2026E net income (~RMB1.5bn, consistent with H1 FY2026 annualised) the base IV implies roughly 9-10x and the market price roughly 8-9x. The printed figures are also ~17% too high on both the implied and historical sides because the script divides an HKD value by CNY per-share earnings (ratio-invariant, so the trip test is unaffected). The remaining, genuine signal is that even a ~9-10x normalised P/E is roughly double what the market paid for this company in FY2018-24, and the price sits at 90% of its 10-year range. That gap is about who owns the cash flow, not how much of it there is, so the fix is in the discount rate, not the flows: WACC raised from 10.0% to 11.5% in all three scenarios (+1.0pp single-mine concentration, +0.5pp governance / connected-party capital allocation / free float), with the growth, margin, capex, tax and terminal paths left exactly as built. This does not clear the script's rule -- nothing short of an IV below ~HK$1.24 (12x trough EPS) would, which would assert the shares are worth a third less than the market price in the half-year that profit doubled -- so the residual trip is recorded as a trough-denominator artifact rather than iterated away. Investment framing: a mid-cycle commodity producer whose upside needs a re-rating the market has only paid for in the last 18 months; the weighted IV is at or below the price, so the return is the coal price and the mine ramps, not multiple expansion.
key_risks_to_valuation: Coal price: every RMB50/t on Dafanpu's ~7.5mt is roughly RMB375m of revenue and, at ~27% cash tax, ~RMB270m of owner FCF (~HK$0.04/share/yr capitalised at 12x = ~HK$0.45/share) -- the single dominant sensitivity; MC Mining / Makhado: going-concern doubt at the 51% subsidiary; the base case assumes continued Kinetic funding and a partial ramp. Failure removes the Makhado revenue in FY2027-29 but also leaves the RMB1.19bn NCI deduction (which would then be overstated) -- the bear case carries this; Ningxia coking mines (Yong'an, Weiyi): timelines have slipped at each report; a further year's delay is ~RMB1bn of FY2027 revenue; Related-party acquisition prepayments (RMB1.35bn to Guizhou Liliang / Seedland entities) and the ancillary real estate, agriculture and tobacco ventures: capital allocation outside the core, impaired in FY2025, carried at zero here; Liquidity: net current liabilities of RMB239m at 30 June 2026 and directors' going-concern wording now conditional on operating inflows and bank access; a RMB1.0bn net-debt position is low (gearing 9%) but rising; Structural thermal coal decline and PRC safety/environmental regulation: both the terminal growth (1%) and the 12x cap embed this; a faster policy shift is the bear terminal of 0%; FX: CNY flows against an HKD quote; a 5% CNY move is ~5% on every HKD value in this file and refresh_price.py does not move fx_rate</t>
  </si>
  <si>
    <t xml:space="preserve">Data sources</t>
  </si>
  <si>
    <t xml:space="preserve">price: Yahoo Finance chart API for 1277.HK at inputs.price_as_of (intraday HKEX session); 52-week range HK$1.29-2.70. FX: Yahoo CNYHKD=X same day, cross-checked against USDCNY=X and USDHKD=X.
financials: 1277.HK_Metrics.csv / core_metrics (FY2018-FY2025 annual, H1 FY2024-H1 FY2026 interims) from the HKEX annual and interim reports in research/1277.HK/Extracted/; balance-sheet and NCI anchors from the H1 FY2026 interim report (30 June 2026); segment profit and ASP/volume commentary from the FY2025 annual report and H1 FY2026 interim report.
qualitative: 1277.HK_Analysis.json (2026-10-16): business model, Makhado/MC Mining developments, guidance table, bull/bear cases.</t>
  </si>
  <si>
    <t xml:space="preserve">Scenario narrative: bear</t>
  </si>
  <si>
    <t xml:space="preserve">Domestic coal prices give back the H1 2026 rally and settle at or below the FY2025 trough (~RMB600/t) as supply quotas normalise and steel/cement demand keeps contracting, so Dafanpu revenue falls in FY2026-27 and margins sit near FY2025's ex-impairment ~37% before drifting to 33% as the loss-making ancillaries persist. MC Mining's going-concern doubt crystallises: Makhado never reaches nameplate, Kinetic funds further emergency loans and subscriptions (capex 13% in FY2027) for little revenue, and the RMB1.19bn of NCI recognised on consolidation is matched by equally impaired assets. Yong'an and Weiyi slip a further year, and the RMB1.35bn of related-party acquisition prepayments remain unrecovered. Terminal growth 0% reflecting thermal coal's structural decline in a China decarbonising faster than assumed.</t>
  </si>
  <si>
    <t xml:space="preserve">Scenario narrative: base</t>
  </si>
  <si>
    <t xml:space="preserve">Dafanpu keeps selling ~7-8mt/yr of branded 5,000 kcal thermal coal at a mid-cycle ASP of roughly RMB680-700/t (between the FY2025 trough of RMB603 and FY2024's RMB752; H1 FY2026 printed RMB694). The 'anti-involution' safety-driven supply tightening supports H2 2026 prices but is not extrapolated into a new supercycle. Yong'an (1.2mt coking) reaches official production in H1 2027 and Weiyi (0.9mt) in H2 2027-2028; Makhado ramps, but only to about two-thirds of the guided 2027-28 volumes given the commissioning history (flooding, Eskom grid), and MC Mining stays funded by Kinetic's loans and subscriptions. Consolidated EBITDA margin normalises from 46% in FY2026 to 41%, below the Dafanpu-only historical average because the real-estate/agriculture/tobacco segments remain a drag and the coking mines and South Africa earn lower margins. Capex runs at 16%/12%/9% of revenue over FY2026-28 then 6% sustaining. Thermal coal's structural decline caps terminal growth at 1% nominal and the terminal multiple at 12x FCF.</t>
  </si>
  <si>
    <t xml:space="preserve">Scenario narrative: bull</t>
  </si>
  <si>
    <t xml:space="preserve">The post-Shanxi-accident safety regime and reduced Indonesian exports keep the domestic market in deficit for several years; Dafanpu's ASP returns to and holds near FY2024's RMB750/t with unit costs continuing to fall (H1 FY2026 -9-12% YoY), lifting the coal-segment margin back toward 60%. Yong'an, Weiyi and Makhado all hit guided timelines, Makhado reaches its 2.2mt coking + 1.8mt thermal capacity by 2028 and MC Mining's going-concern issue is resolved by production cash flow, so consolidated revenue roughly doubles by FY2029 and the group becomes a diversified thermal-plus-coking producer with a 45% mature margin. The ancillary businesses mature to break-even. Terminal growth 1.5%.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</si>
  <si>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</si>
  <si>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</si>
  <si>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</si>
  <si>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</si>
  <si>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</si>
  <si>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</si>
  <si>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</si>
  <si>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</si>
  <si>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</si>
  <si>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</si>
  <si>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</si>
  <si>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</si>
  <si>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</si>
  <si>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</si>
  <si>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</si>
  <si>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</si>
  <si>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</si>
  <si>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</si>
  <si>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</si>
  <si>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</si>
  <si>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</si>
  <si>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</si>
  <si>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</si>
  <si>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</si>
  <si>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</si>
  <si>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</si>
  <si>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</si>
  <si>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</si>
  <si>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</si>
  <si>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</si>
  <si>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</si>
  <si>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</si>
  <si>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</si>
  <si>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</si>
  <si>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</si>
  <si>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</si>
  <si>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</si>
  <si>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</si>
  <si>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</si>
  <si>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</si>
  <si>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</si>
  <si>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</si>
  <si>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</si>
  <si>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</si>
  <si>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</si>
  <si>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</si>
  <si>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</si>
  <si>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</si>
  <si>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</si>
  <si>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</si>
  <si>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</si>
  <si>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</si>
  <si>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</si>
  <si>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</si>
  <si>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</si>
  <si>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</si>
  <si>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</si>
  <si>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</si>
  <si>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</si>
  <si>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</si>
  <si>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</si>
  <si>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</si>
  <si>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</si>
  <si>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</si>
  <si>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</si>
  <si>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</si>
  <si>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</si>
  <si>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</si>
  <si>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</si>
  <si>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</si>
  <si>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</si>
  <si>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</si>
  <si>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1277.HK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</si>
  <si>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</si>
  <si>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</si>
  <si>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</si>
  <si>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</si>
  <si>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</si>
  <si>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</si>
  <si>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</si>
  <si>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</si>
  <si>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</si>
  <si>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</si>
  <si>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</si>
  <si>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</si>
  <si>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</si>
  <si>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</si>
  <si>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</si>
  <si>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</si>
  <si>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</si>
  <si>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</si>
  <si>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</si>
  <si>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</si>
  <si>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</si>
  <si>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</si>
  <si>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</si>
  <si>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</si>
  <si>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</si>
  <si>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</si>
  <si>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</si>
  <si>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</si>
  <si>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</si>
  <si>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</si>
  <si>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1277.HK owner-FCF component DCF: base case (millions, CNY)</t>
  </si>
  <si>
    <t xml:space="preserve">1277.HK owner-FCF component DCF: bull case (millions, CNY)</t>
  </si>
  <si>
    <t xml:space="preserve">1277.HK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</si>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</sst>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1.81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2443.435</v>
      </c>
      <c r="C2" s="0" t="n">
        <v>1347.19</v>
      </c>
      <c r="D2" s="0" t="n">
        <v>1096.245</v>
      </c>
      <c r="E2" s="0" t="n">
        <v>44.9</v>
      </c>
      <c r="F2" s="0" t="n">
        <v>1067.817</v>
      </c>
      <c r="G2" s="0" t="n">
        <v>43.7</v>
      </c>
      <c r="H2" s="0" t="n">
        <v>1227.202</v>
      </c>
      <c r="I2" s="0" t="n">
        <v>806.971</v>
      </c>
      <c r="J2" s="0" t="n">
        <v>33</v>
      </c>
      <c r="K2" s="0" t="n">
        <v>0.0957</v>
      </c>
      <c r="L2" s="0" t="n">
        <v>1085.755</v>
      </c>
      <c r="M2" s="0" t="n">
        <v>103.725</v>
      </c>
      <c r="N2" s="0" t="n">
        <v>982.03</v>
      </c>
      <c r="O2" s="0" t="n">
        <v>1776</v>
      </c>
      <c r="P2" s="0" t="n">
        <v>2755.002</v>
      </c>
      <c r="Q2" s="0" t="n">
        <v>979.002</v>
      </c>
      <c r="R2" s="0" t="n">
        <v>473.062</v>
      </c>
      <c r="S2" s="0" t="n">
        <v>275.846</v>
      </c>
      <c r="T2" s="0" t="n">
        <v>8432.3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2736.109</v>
      </c>
      <c r="C3" s="0" t="n">
        <v>1668.281</v>
      </c>
      <c r="D3" s="0" t="n">
        <v>1067.828</v>
      </c>
      <c r="E3" s="0" t="n">
        <v>39</v>
      </c>
      <c r="F3" s="0" t="n">
        <v>1022.51</v>
      </c>
      <c r="G3" s="0" t="n">
        <v>37.4</v>
      </c>
      <c r="H3" s="0" t="n">
        <v>1142.787</v>
      </c>
      <c r="I3" s="0" t="n">
        <v>833.303</v>
      </c>
      <c r="J3" s="0" t="n">
        <v>30.5</v>
      </c>
      <c r="K3" s="0" t="n">
        <v>0.0988</v>
      </c>
      <c r="L3" s="0" t="n">
        <v>862.316</v>
      </c>
      <c r="M3" s="0" t="n">
        <v>95.067</v>
      </c>
      <c r="N3" s="0" t="n">
        <v>767.249</v>
      </c>
      <c r="O3" s="0" t="n">
        <v>2258.863</v>
      </c>
      <c r="P3" s="0" t="n">
        <v>3105.77</v>
      </c>
      <c r="Q3" s="0" t="n">
        <v>846.907</v>
      </c>
      <c r="R3" s="0" t="n">
        <v>357.652</v>
      </c>
      <c r="S3" s="0" t="n">
        <v>497.192</v>
      </c>
      <c r="T3" s="0" t="n">
        <v>8434.2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2961.404</v>
      </c>
      <c r="C4" s="0" t="n">
        <v>1679.187</v>
      </c>
      <c r="D4" s="0" t="n">
        <v>1282.217</v>
      </c>
      <c r="E4" s="0" t="n">
        <v>43.3</v>
      </c>
      <c r="F4" s="0" t="n">
        <v>1218.091</v>
      </c>
      <c r="G4" s="0" t="n">
        <v>41.1</v>
      </c>
      <c r="H4" s="0" t="n">
        <v>1333.791</v>
      </c>
      <c r="I4" s="0" t="n">
        <v>814.796</v>
      </c>
      <c r="J4" s="0" t="n">
        <v>27.5</v>
      </c>
      <c r="K4" s="0" t="n">
        <v>0.0967</v>
      </c>
      <c r="L4" s="0" t="n">
        <v>1195.97</v>
      </c>
      <c r="M4" s="0" t="n">
        <v>85.832</v>
      </c>
      <c r="N4" s="0" t="n">
        <v>1110.138</v>
      </c>
      <c r="O4" s="0" t="n">
        <v>2759.72</v>
      </c>
      <c r="P4" s="0" t="n">
        <v>3672.65</v>
      </c>
      <c r="Q4" s="0" t="n">
        <v>912.93</v>
      </c>
      <c r="R4" s="0" t="n">
        <v>210.41</v>
      </c>
      <c r="S4" s="0" t="n">
        <v>877.745</v>
      </c>
      <c r="T4" s="0" t="n">
        <v>8426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5580.702</v>
      </c>
      <c r="C5" s="0" t="n">
        <v>1976.544</v>
      </c>
      <c r="D5" s="0" t="n">
        <v>3604.158</v>
      </c>
      <c r="E5" s="0" t="n">
        <v>64.6</v>
      </c>
      <c r="F5" s="0" t="n">
        <v>3415.195</v>
      </c>
      <c r="G5" s="0" t="n">
        <v>61.2</v>
      </c>
      <c r="H5" s="0" t="n">
        <v>3538.277</v>
      </c>
      <c r="I5" s="0" t="n">
        <v>2468.626</v>
      </c>
      <c r="J5" s="0" t="n">
        <v>44.2</v>
      </c>
      <c r="K5" s="0" t="n">
        <v>0.2928</v>
      </c>
      <c r="L5" s="0" t="n">
        <v>3030.173</v>
      </c>
      <c r="M5" s="0" t="n">
        <v>180.746</v>
      </c>
      <c r="N5" s="0" t="n">
        <v>2849.427</v>
      </c>
      <c r="O5" s="0" t="n">
        <v>4575.828</v>
      </c>
      <c r="P5" s="0" t="n">
        <v>6042.211</v>
      </c>
      <c r="Q5" s="0" t="n">
        <v>1470.169</v>
      </c>
      <c r="R5" s="0" t="n">
        <v>275.695</v>
      </c>
      <c r="S5" s="0" t="n">
        <v>2387.239</v>
      </c>
      <c r="T5" s="0" t="n">
        <v>8431.1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6155.83</v>
      </c>
      <c r="C6" s="0" t="n">
        <v>2132.372</v>
      </c>
      <c r="D6" s="0" t="n">
        <v>4023.458</v>
      </c>
      <c r="E6" s="0" t="n">
        <v>65.4</v>
      </c>
      <c r="F6" s="0" t="n">
        <v>3669.382</v>
      </c>
      <c r="G6" s="0" t="n">
        <v>59.6</v>
      </c>
      <c r="H6" s="0" t="n">
        <v>3805.651</v>
      </c>
      <c r="I6" s="0" t="n">
        <v>2664.533</v>
      </c>
      <c r="J6" s="0" t="n">
        <v>43.3</v>
      </c>
      <c r="K6" s="0" t="n">
        <v>0.3161</v>
      </c>
      <c r="L6" s="0" t="n">
        <v>3094.173</v>
      </c>
      <c r="M6" s="0" t="n">
        <v>816.678</v>
      </c>
      <c r="N6" s="0" t="n">
        <v>2277.495</v>
      </c>
      <c r="O6" s="0" t="n">
        <v>6328.794</v>
      </c>
      <c r="P6" s="0" t="n">
        <v>9492.641</v>
      </c>
      <c r="Q6" s="0" t="n">
        <v>3175.851</v>
      </c>
      <c r="R6" s="0" t="n">
        <v>883</v>
      </c>
      <c r="S6" s="0" t="n">
        <v>551.866</v>
      </c>
      <c r="T6" s="0" t="n">
        <v>8429.4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4745.069</v>
      </c>
      <c r="C7" s="0" t="n">
        <v>1942.031</v>
      </c>
      <c r="D7" s="0" t="n">
        <v>2803.038</v>
      </c>
      <c r="E7" s="0" t="n">
        <v>59.1</v>
      </c>
      <c r="F7" s="0" t="n">
        <v>2531.232</v>
      </c>
      <c r="G7" s="0" t="n">
        <v>53.3</v>
      </c>
      <c r="H7" s="0" t="n">
        <v>2670.476</v>
      </c>
      <c r="I7" s="0" t="n">
        <v>2077.831</v>
      </c>
      <c r="J7" s="0" t="n">
        <v>43.8</v>
      </c>
      <c r="K7" s="0" t="n">
        <v>0.2465</v>
      </c>
      <c r="L7" s="0" t="n">
        <v>1711.806</v>
      </c>
      <c r="M7" s="0" t="n">
        <v>490.004</v>
      </c>
      <c r="N7" s="0" t="n">
        <v>1221.802</v>
      </c>
      <c r="O7" s="0" t="n">
        <v>7367.85</v>
      </c>
      <c r="P7" s="0" t="n">
        <v>10937.914</v>
      </c>
      <c r="Q7" s="0" t="n">
        <v>3517.715</v>
      </c>
      <c r="R7" s="0" t="n">
        <v>1302.8</v>
      </c>
      <c r="S7" s="0" t="n">
        <v>734.143</v>
      </c>
      <c r="T7" s="0" t="n">
        <v>8429.3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5655.829</v>
      </c>
      <c r="C8" s="0" t="n">
        <v>2532.609</v>
      </c>
      <c r="D8" s="0" t="n">
        <v>3123.22</v>
      </c>
      <c r="E8" s="0" t="n">
        <v>55.2</v>
      </c>
      <c r="F8" s="0" t="n">
        <v>2808.622</v>
      </c>
      <c r="G8" s="0" t="n">
        <v>49.7</v>
      </c>
      <c r="H8" s="0" t="n">
        <v>2984.406</v>
      </c>
      <c r="I8" s="0" t="n">
        <v>2109.787</v>
      </c>
      <c r="J8" s="0" t="n">
        <v>37.3</v>
      </c>
      <c r="K8" s="0" t="n">
        <v>0.2506</v>
      </c>
      <c r="L8" s="0" t="n">
        <v>2349.74</v>
      </c>
      <c r="M8" s="0" t="n">
        <v>454.174</v>
      </c>
      <c r="N8" s="0" t="n">
        <v>1895.566</v>
      </c>
      <c r="O8" s="0" t="n">
        <v>8228.276</v>
      </c>
      <c r="P8" s="0" t="n">
        <v>12990.726</v>
      </c>
      <c r="Q8" s="0" t="n">
        <v>4715.979</v>
      </c>
      <c r="R8" s="0" t="n">
        <v>878.32</v>
      </c>
      <c r="S8" s="0" t="n">
        <v>629.937</v>
      </c>
      <c r="T8" s="0" t="n">
        <v>8418.9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5293.266</v>
      </c>
      <c r="C9" s="0" t="n">
        <v>3262.96</v>
      </c>
      <c r="D9" s="0" t="n">
        <v>2030.306</v>
      </c>
      <c r="E9" s="0" t="n">
        <v>38.4</v>
      </c>
      <c r="F9" s="0" t="n">
        <v>1364.172</v>
      </c>
      <c r="G9" s="0" t="n">
        <v>25.8</v>
      </c>
      <c r="H9" s="0" t="n">
        <v>1587.42</v>
      </c>
      <c r="I9" s="0" t="n">
        <v>895.798</v>
      </c>
      <c r="J9" s="0" t="n">
        <v>16.9</v>
      </c>
      <c r="K9" s="0" t="n">
        <v>0.1057</v>
      </c>
      <c r="L9" s="0" t="n">
        <v>1103.615</v>
      </c>
      <c r="M9" s="0" t="n">
        <v>268.918</v>
      </c>
      <c r="N9" s="0" t="n">
        <v>834.697</v>
      </c>
      <c r="O9" s="0" t="n">
        <v>8158.742</v>
      </c>
      <c r="P9" s="0" t="n">
        <v>13608.339</v>
      </c>
      <c r="Q9" s="0" t="n">
        <v>5395.828</v>
      </c>
      <c r="R9" s="0" t="n">
        <v>872</v>
      </c>
      <c r="S9" s="0" t="n">
        <v>81.586</v>
      </c>
      <c r="T9" s="0" t="n">
        <v>8474.9</v>
      </c>
      <c r="U9" s="0" t="n">
        <v>18.611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1.81</v>
      </c>
    </row>
    <row r="3" customFormat="false" ht="15" hidden="false" customHeight="false" outlineLevel="0" collapsed="false">
      <c r="A3" s="0" t="s">
        <v>75</v>
      </c>
      <c r="B3" s="3" t="n">
        <v>8718</v>
      </c>
    </row>
    <row r="4" customFormat="false" ht="15" hidden="false" customHeight="false" outlineLevel="0" collapsed="false">
      <c r="A4" s="0" t="s">
        <v>76</v>
      </c>
      <c r="B4" s="3" t="n">
        <v>1045</v>
      </c>
    </row>
    <row r="5" customFormat="false" ht="15" hidden="false" customHeight="false" outlineLevel="0" collapsed="false">
      <c r="A5" s="0" t="s">
        <v>77</v>
      </c>
      <c r="B5" s="3" t="n">
        <v>-1227.899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5293.266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1.1731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-2</v>
      </c>
      <c r="D13" s="3" t="n">
        <v>2</v>
      </c>
      <c r="E13" s="3" t="n">
        <v>4</v>
      </c>
      <c r="F13" s="3" t="n">
        <v>2</v>
      </c>
      <c r="G13" s="3" t="n">
        <v>2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42</v>
      </c>
      <c r="D14" s="3" t="n">
        <v>36</v>
      </c>
      <c r="E14" s="3" t="n">
        <v>34</v>
      </c>
      <c r="F14" s="3" t="n">
        <v>33</v>
      </c>
      <c r="G14" s="3" t="n">
        <v>33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97</v>
      </c>
      <c r="C15" s="3" t="n">
        <v>1.2</v>
      </c>
      <c r="D15" s="3" t="n">
        <v>1.1</v>
      </c>
      <c r="E15" s="3" t="n">
        <v>0.5</v>
      </c>
      <c r="F15" s="3" t="n">
        <v>0.5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4.5</v>
      </c>
      <c r="D17" s="3" t="n">
        <v>5</v>
      </c>
      <c r="E17" s="3" t="n">
        <v>5.5</v>
      </c>
      <c r="F17" s="3" t="n">
        <v>5.5</v>
      </c>
      <c r="G17" s="3" t="n">
        <v>5.5</v>
      </c>
      <c r="H17" s="3" t="n">
        <v>5.5</v>
      </c>
      <c r="I17" s="3" t="n">
        <v>5.5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100</v>
      </c>
      <c r="C18" s="3" t="n">
        <v>16</v>
      </c>
      <c r="D18" s="3" t="n">
        <v>13</v>
      </c>
      <c r="E18" s="3" t="n">
        <v>9</v>
      </c>
      <c r="F18" s="3" t="n">
        <v>7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101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102</v>
      </c>
      <c r="B20" s="3" t="n">
        <v>11.5</v>
      </c>
    </row>
    <row r="21" customFormat="false" ht="15" hidden="false" customHeight="false" outlineLevel="0" collapsed="false">
      <c r="A21" s="0" t="s">
        <v>103</v>
      </c>
      <c r="B21" s="3" t="n">
        <v>0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</v>
      </c>
      <c r="D27" s="3" t="n">
        <v>12</v>
      </c>
      <c r="E27" s="3" t="n">
        <v>8</v>
      </c>
      <c r="F27" s="3" t="n">
        <v>4</v>
      </c>
      <c r="G27" s="3" t="n">
        <v>3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46</v>
      </c>
      <c r="D28" s="3" t="n">
        <v>44</v>
      </c>
      <c r="E28" s="3" t="n">
        <v>43</v>
      </c>
      <c r="F28" s="3" t="n">
        <v>42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97</v>
      </c>
      <c r="C29" s="3" t="n">
        <v>1.2</v>
      </c>
      <c r="D29" s="3" t="n">
        <v>1.1</v>
      </c>
      <c r="E29" s="3" t="n">
        <v>0.5</v>
      </c>
      <c r="F29" s="3" t="n">
        <v>0.5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4.5</v>
      </c>
      <c r="D31" s="3" t="n">
        <v>5</v>
      </c>
      <c r="E31" s="3" t="n">
        <v>5.5</v>
      </c>
      <c r="F31" s="3" t="n">
        <v>5.5</v>
      </c>
      <c r="G31" s="3" t="n">
        <v>5.5</v>
      </c>
      <c r="H31" s="3" t="n">
        <v>5.5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100</v>
      </c>
      <c r="C32" s="3" t="n">
        <v>16</v>
      </c>
      <c r="D32" s="3" t="n">
        <v>12</v>
      </c>
      <c r="E32" s="3" t="n">
        <v>9</v>
      </c>
      <c r="F32" s="3" t="n">
        <v>7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101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102</v>
      </c>
      <c r="B34" s="3" t="n">
        <v>11.5</v>
      </c>
    </row>
    <row r="35" customFormat="false" ht="15" hidden="false" customHeight="false" outlineLevel="0" collapsed="false">
      <c r="A35" s="0" t="s">
        <v>103</v>
      </c>
      <c r="B35" s="3" t="n">
        <v>1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6</v>
      </c>
      <c r="D41" s="3" t="n">
        <v>18</v>
      </c>
      <c r="E41" s="3" t="n">
        <v>14</v>
      </c>
      <c r="F41" s="3" t="n">
        <v>8</v>
      </c>
      <c r="G41" s="3" t="n">
        <v>5</v>
      </c>
      <c r="H41" s="3" t="n">
        <v>3</v>
      </c>
      <c r="I41" s="3" t="n">
        <v>3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96</v>
      </c>
      <c r="C42" s="3" t="n">
        <v>50</v>
      </c>
      <c r="D42" s="3" t="n">
        <v>49</v>
      </c>
      <c r="E42" s="3" t="n">
        <v>48</v>
      </c>
      <c r="F42" s="3" t="n">
        <v>47</v>
      </c>
      <c r="G42" s="3" t="n">
        <v>46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97</v>
      </c>
      <c r="C43" s="3" t="n">
        <v>1.2</v>
      </c>
      <c r="D43" s="3" t="n">
        <v>1.1</v>
      </c>
      <c r="E43" s="3" t="n">
        <v>0.5</v>
      </c>
      <c r="F43" s="3" t="n">
        <v>0.5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4.5</v>
      </c>
      <c r="D45" s="3" t="n">
        <v>5</v>
      </c>
      <c r="E45" s="3" t="n">
        <v>5.5</v>
      </c>
      <c r="F45" s="3" t="n">
        <v>5.5</v>
      </c>
      <c r="G45" s="3" t="n">
        <v>5.5</v>
      </c>
      <c r="H45" s="3" t="n">
        <v>5.5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100</v>
      </c>
      <c r="C46" s="3" t="n">
        <v>16</v>
      </c>
      <c r="D46" s="3" t="n">
        <v>12</v>
      </c>
      <c r="E46" s="3" t="n">
        <v>9</v>
      </c>
      <c r="F46" s="3" t="n">
        <v>7</v>
      </c>
      <c r="G46" s="3" t="n">
        <v>6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101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102</v>
      </c>
      <c r="B48" s="3" t="n">
        <v>11.5</v>
      </c>
    </row>
    <row r="49" customFormat="false" ht="15" hidden="false" customHeight="false" outlineLevel="0" collapsed="false">
      <c r="A49" s="0" t="s">
        <v>103</v>
      </c>
      <c r="B49" s="3" t="n">
        <v>1.5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-2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5293.266</v>
      </c>
      <c r="C6" s="0" t="n">
        <f aca="false">B6*(1+C5/100)</f>
        <v>5187.40068</v>
      </c>
      <c r="D6" s="0" t="n">
        <f aca="false">C6*(1+D5/100)</f>
        <v>5291.1486936</v>
      </c>
      <c r="E6" s="0" t="n">
        <f aca="false">D6*(1+E5/100)</f>
        <v>5502.794641344</v>
      </c>
      <c r="F6" s="0" t="n">
        <f aca="false">E6*(1+F5/100)</f>
        <v>5612.85053417088</v>
      </c>
      <c r="G6" s="0" t="n">
        <f aca="false">F6*(1+G5/100)</f>
        <v>5725.1075448543</v>
      </c>
      <c r="H6" s="0" t="n">
        <f aca="false">G6*(1+H5/100)</f>
        <v>5782.35862030284</v>
      </c>
      <c r="I6" s="0" t="n">
        <f aca="false">H6*(1+I5/100)</f>
        <v>5840.18220650587</v>
      </c>
      <c r="J6" s="0" t="n">
        <f aca="false">I6*(1+J5/100)</f>
        <v>5898.58402857093</v>
      </c>
      <c r="K6" s="0" t="n">
        <f aca="false">J6*(1+K5/100)</f>
        <v>5957.56986885664</v>
      </c>
      <c r="L6" s="0" t="n">
        <f aca="false">K6*(1+L5/100)</f>
        <v>6017.1455675452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42</v>
      </c>
      <c r="D7" s="4" t="n">
        <f aca="false">Assumptions!D14</f>
        <v>36</v>
      </c>
      <c r="E7" s="4" t="n">
        <f aca="false">Assumptions!E14</f>
        <v>34</v>
      </c>
      <c r="F7" s="4" t="n">
        <f aca="false">Assumptions!F14</f>
        <v>33</v>
      </c>
      <c r="G7" s="4" t="n">
        <f aca="false">Assumptions!G14</f>
        <v>33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2178.7082856</v>
      </c>
      <c r="D8" s="0" t="n">
        <f aca="false">D6*D7/100</f>
        <v>1904.813529696</v>
      </c>
      <c r="E8" s="0" t="n">
        <f aca="false">E6*E7/100</f>
        <v>1870.95017805696</v>
      </c>
      <c r="F8" s="0" t="n">
        <f aca="false">F6*F7/100</f>
        <v>1852.24067627639</v>
      </c>
      <c r="G8" s="0" t="n">
        <f aca="false">G6*G7/100</f>
        <v>1889.28548980192</v>
      </c>
      <c r="H8" s="0" t="n">
        <f aca="false">H6*H7/100</f>
        <v>1908.17834469994</v>
      </c>
      <c r="I8" s="0" t="n">
        <f aca="false">I6*I7/100</f>
        <v>1927.26012814694</v>
      </c>
      <c r="J8" s="0" t="n">
        <f aca="false">J6*J7/100</f>
        <v>1946.53272942841</v>
      </c>
      <c r="K8" s="0" t="n">
        <f aca="false">K6*K7/100</f>
        <v>1965.99805672269</v>
      </c>
      <c r="L8" s="0" t="n">
        <f aca="false">L6*L7/100</f>
        <v>1985.65803728992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1.2</v>
      </c>
      <c r="D9" s="4" t="n">
        <f aca="false">Assumptions!D15</f>
        <v>1.1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-62.24880816</v>
      </c>
      <c r="D10" s="0" t="n">
        <f aca="false">-D6*D9/100</f>
        <v>-58.2026356296</v>
      </c>
      <c r="E10" s="0" t="n">
        <f aca="false">-E6*E9/100</f>
        <v>-27.51397320672</v>
      </c>
      <c r="F10" s="0" t="n">
        <f aca="false">-F6*F9/100</f>
        <v>-28.0642526708544</v>
      </c>
      <c r="G10" s="0" t="n">
        <f aca="false">-G6*G9/100</f>
        <v>-22.9004301794172</v>
      </c>
      <c r="H10" s="0" t="n">
        <f aca="false">-H6*H9/100</f>
        <v>-23.1294344812114</v>
      </c>
      <c r="I10" s="0" t="n">
        <f aca="false">-I6*I9/100</f>
        <v>-23.3607288260235</v>
      </c>
      <c r="J10" s="0" t="n">
        <f aca="false">-J6*J9/100</f>
        <v>-23.5943361142837</v>
      </c>
      <c r="K10" s="0" t="n">
        <f aca="false">-K6*K9/100</f>
        <v>-23.8302794754266</v>
      </c>
      <c r="L10" s="0" t="n">
        <f aca="false">-L6*L9/100</f>
        <v>-24.0685822701808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2116.45947744</v>
      </c>
      <c r="D11" s="0" t="n">
        <f aca="false">D8+D10+D24</f>
        <v>1846.6108940664</v>
      </c>
      <c r="E11" s="0" t="n">
        <f aca="false">E8+E10+E24</f>
        <v>1843.43620485024</v>
      </c>
      <c r="F11" s="0" t="n">
        <f aca="false">F8+F10+F24</f>
        <v>1824.17642360554</v>
      </c>
      <c r="G11" s="0" t="n">
        <f aca="false">G8+G10+G24</f>
        <v>1866.3850596225</v>
      </c>
      <c r="H11" s="0" t="n">
        <f aca="false">H8+H10+H24</f>
        <v>1885.04891021873</v>
      </c>
      <c r="I11" s="0" t="n">
        <f aca="false">I8+I10+I24</f>
        <v>1903.89939932091</v>
      </c>
      <c r="J11" s="0" t="n">
        <f aca="false">J8+J10+J24</f>
        <v>1922.93839331412</v>
      </c>
      <c r="K11" s="0" t="n">
        <f aca="false">K8+K10+K24</f>
        <v>1942.16777724726</v>
      </c>
      <c r="L11" s="0" t="n">
        <f aca="false">L8+L10+L24</f>
        <v>1961.58945501974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-233.4330306</v>
      </c>
      <c r="D12" s="4" t="n">
        <f aca="false">-D6*Assumptions!D17/100</f>
        <v>-264.55743468</v>
      </c>
      <c r="E12" s="4" t="n">
        <f aca="false">-E6*Assumptions!E17/100</f>
        <v>-302.65370527392</v>
      </c>
      <c r="F12" s="4" t="n">
        <f aca="false">-F6*Assumptions!F17/100</f>
        <v>-308.706779379398</v>
      </c>
      <c r="G12" s="4" t="n">
        <f aca="false">-G6*Assumptions!G17/100</f>
        <v>-314.880914966986</v>
      </c>
      <c r="H12" s="4" t="n">
        <f aca="false">-H6*Assumptions!H17/100</f>
        <v>-318.029724116656</v>
      </c>
      <c r="I12" s="4" t="n">
        <f aca="false">-I6*Assumptions!I17/100</f>
        <v>-321.210021357823</v>
      </c>
      <c r="J12" s="4" t="n">
        <f aca="false">-J6*Assumptions!J17/100</f>
        <v>-324.422121571401</v>
      </c>
      <c r="K12" s="4" t="n">
        <f aca="false">-K6*Assumptions!K17/100</f>
        <v>-327.666342787115</v>
      </c>
      <c r="L12" s="4" t="n">
        <f aca="false">-L6*Assumptions!L17/100</f>
        <v>-330.943006214986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1883.02644684</v>
      </c>
      <c r="D13" s="0" t="n">
        <f aca="false">D11+D12</f>
        <v>1582.0534593864</v>
      </c>
      <c r="E13" s="0" t="n">
        <f aca="false">E11+E12</f>
        <v>1540.78249957632</v>
      </c>
      <c r="F13" s="0" t="n">
        <f aca="false">F11+F12</f>
        <v>1515.46964422614</v>
      </c>
      <c r="G13" s="0" t="n">
        <f aca="false">G11+G12</f>
        <v>1551.50414465551</v>
      </c>
      <c r="H13" s="0" t="n">
        <f aca="false">H11+H12</f>
        <v>1567.01918610207</v>
      </c>
      <c r="I13" s="0" t="n">
        <f aca="false">I11+I12</f>
        <v>1582.68937796309</v>
      </c>
      <c r="J13" s="0" t="n">
        <f aca="false">J11+J12</f>
        <v>1598.51627174272</v>
      </c>
      <c r="K13" s="0" t="n">
        <f aca="false">K11+K12</f>
        <v>1614.50143446015</v>
      </c>
      <c r="L13" s="0" t="n">
        <f aca="false">L11+L12</f>
        <v>1630.64644880475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1374.6093061932</v>
      </c>
      <c r="D15" s="0" t="n">
        <f aca="false">D13-MAX(0,D13)*D14/100</f>
        <v>1154.89902535207</v>
      </c>
      <c r="E15" s="0" t="n">
        <f aca="false">E13-MAX(0,E13)*E14/100</f>
        <v>1124.77122469071</v>
      </c>
      <c r="F15" s="0" t="n">
        <f aca="false">F13-MAX(0,F13)*F14/100</f>
        <v>1106.29284028508</v>
      </c>
      <c r="G15" s="0" t="n">
        <f aca="false">G13-MAX(0,G13)*G14/100</f>
        <v>1132.59802559853</v>
      </c>
      <c r="H15" s="0" t="n">
        <f aca="false">H13-MAX(0,H13)*H14/100</f>
        <v>1143.92400585451</v>
      </c>
      <c r="I15" s="0" t="n">
        <f aca="false">I13-MAX(0,I13)*I14/100</f>
        <v>1155.36324591306</v>
      </c>
      <c r="J15" s="0" t="n">
        <f aca="false">J13-MAX(0,J13)*J14/100</f>
        <v>1166.91687837219</v>
      </c>
      <c r="K15" s="0" t="n">
        <f aca="false">K13-MAX(0,K13)*K14/100</f>
        <v>1178.58604715591</v>
      </c>
      <c r="L15" s="0" t="n">
        <f aca="false">L13-MAX(0,L13)*L14/100</f>
        <v>1190.37190762747</v>
      </c>
    </row>
    <row r="16" customFormat="false" ht="15" hidden="false" customHeight="false" outlineLevel="0" collapsed="false">
      <c r="A16" s="0" t="s">
        <v>117</v>
      </c>
      <c r="C16" s="0" t="n">
        <f aca="false">-C12</f>
        <v>233.4330306</v>
      </c>
      <c r="D16" s="0" t="n">
        <f aca="false">-D12</f>
        <v>264.55743468</v>
      </c>
      <c r="E16" s="0" t="n">
        <f aca="false">-E12</f>
        <v>302.65370527392</v>
      </c>
      <c r="F16" s="0" t="n">
        <f aca="false">-F12</f>
        <v>308.706779379398</v>
      </c>
      <c r="G16" s="0" t="n">
        <f aca="false">-G12</f>
        <v>314.880914966986</v>
      </c>
      <c r="H16" s="0" t="n">
        <f aca="false">-H12</f>
        <v>318.029724116656</v>
      </c>
      <c r="I16" s="0" t="n">
        <f aca="false">-I12</f>
        <v>321.210021357823</v>
      </c>
      <c r="J16" s="0" t="n">
        <f aca="false">-J12</f>
        <v>324.422121571401</v>
      </c>
      <c r="K16" s="0" t="n">
        <f aca="false">-K12</f>
        <v>327.666342787115</v>
      </c>
      <c r="L16" s="0" t="n">
        <f aca="false">-L12</f>
        <v>330.943006214986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-829.9841088</v>
      </c>
      <c r="D17" s="4" t="n">
        <f aca="false">-D6*Assumptions!D18/100</f>
        <v>-687.849330168</v>
      </c>
      <c r="E17" s="4" t="n">
        <f aca="false">-E6*Assumptions!E18/100</f>
        <v>-495.25151772096</v>
      </c>
      <c r="F17" s="4" t="n">
        <f aca="false">-F6*Assumptions!F18/100</f>
        <v>-392.899537391962</v>
      </c>
      <c r="G17" s="4" t="n">
        <f aca="false">-G6*Assumptions!G18/100</f>
        <v>-343.506452691258</v>
      </c>
      <c r="H17" s="4" t="n">
        <f aca="false">-H6*Assumptions!H18/100</f>
        <v>-346.941517218171</v>
      </c>
      <c r="I17" s="4" t="n">
        <f aca="false">-I6*Assumptions!I18/100</f>
        <v>-350.410932390352</v>
      </c>
      <c r="J17" s="4" t="n">
        <f aca="false">-J6*Assumptions!J18/100</f>
        <v>-353.915041714256</v>
      </c>
      <c r="K17" s="4" t="n">
        <f aca="false">-K6*Assumptions!K18/100</f>
        <v>-357.454192131398</v>
      </c>
      <c r="L17" s="4" t="n">
        <f aca="false">-L6*Assumptions!L18/100</f>
        <v>-361.028734052712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5.29326599999999</v>
      </c>
      <c r="D18" s="4" t="n">
        <f aca="false">(D6-C6)*Assumptions!$B$23/100</f>
        <v>-5.18740068000002</v>
      </c>
      <c r="E18" s="4" t="n">
        <f aca="false">(E6-D6)*Assumptions!$B$23/100</f>
        <v>-10.5822973872</v>
      </c>
      <c r="F18" s="4" t="n">
        <f aca="false">(F6-E6)*Assumptions!$B$23/100</f>
        <v>-5.50279464134401</v>
      </c>
      <c r="G18" s="4" t="n">
        <f aca="false">(G6-F6)*Assumptions!$B$23/100</f>
        <v>-5.61285053417087</v>
      </c>
      <c r="H18" s="4" t="n">
        <f aca="false">(H6-G6)*Assumptions!$B$23/100</f>
        <v>-2.86255377242715</v>
      </c>
      <c r="I18" s="4" t="n">
        <f aca="false">(I6-H6)*Assumptions!$B$23/100</f>
        <v>-2.89117931015144</v>
      </c>
      <c r="J18" s="4" t="n">
        <f aca="false">(J6-I6)*Assumptions!$B$23/100</f>
        <v>-2.92009110325294</v>
      </c>
      <c r="K18" s="4" t="n">
        <f aca="false">(K6-J6)*Assumptions!$B$23/100</f>
        <v>-2.94929201428545</v>
      </c>
      <c r="L18" s="4" t="n">
        <f aca="false">(L6-K6)*Assumptions!$B$23/100</f>
        <v>-2.97878493442831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783.3514939932</v>
      </c>
      <c r="D19" s="0" t="n">
        <f aca="false">D15+D16+D17+D18</f>
        <v>726.419729184072</v>
      </c>
      <c r="E19" s="0" t="n">
        <f aca="false">E15+E16+E17+E18</f>
        <v>921.591114856474</v>
      </c>
      <c r="F19" s="0" t="n">
        <f aca="false">F15+F16+F17+F18</f>
        <v>1016.59728763117</v>
      </c>
      <c r="G19" s="0" t="n">
        <f aca="false">G15+G16+G17+G18</f>
        <v>1098.35963734008</v>
      </c>
      <c r="H19" s="0" t="n">
        <f aca="false">H15+H16+H17+H18</f>
        <v>1112.14965898057</v>
      </c>
      <c r="I19" s="0" t="n">
        <f aca="false">I15+I16+I17+I18</f>
        <v>1123.27115557038</v>
      </c>
      <c r="J19" s="0" t="n">
        <f aca="false">J15+J16+J17+J18</f>
        <v>1134.50386712608</v>
      </c>
      <c r="K19" s="0" t="n">
        <f aca="false">K15+K16+K17+K18</f>
        <v>1145.84890579734</v>
      </c>
      <c r="L19" s="0" t="n">
        <f aca="false">L15+L16+L17+L18</f>
        <v>1157.30739485531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702.557393715874</v>
      </c>
      <c r="D21" s="0" t="n">
        <f aca="false">D19*D20</f>
        <v>584.302704002953</v>
      </c>
      <c r="E21" s="0" t="n">
        <f aca="false">E19*E20</f>
        <v>664.834697229548</v>
      </c>
      <c r="F21" s="0" t="n">
        <f aca="false">F19*F20</f>
        <v>657.732765440515</v>
      </c>
      <c r="G21" s="0" t="n">
        <f aca="false">G19*G20</f>
        <v>637.338608880483</v>
      </c>
      <c r="H21" s="0" t="n">
        <f aca="false">H19*H20</f>
        <v>578.78068399466</v>
      </c>
      <c r="I21" s="0" t="n">
        <f aca="false">I19*I20</f>
        <v>524.276673394266</v>
      </c>
      <c r="J21" s="0" t="n">
        <f aca="false">J19*J20</f>
        <v>474.905327469246</v>
      </c>
      <c r="K21" s="0" t="n">
        <f aca="false">K19*K20</f>
        <v>430.18330111564</v>
      </c>
      <c r="L21" s="0" t="n">
        <f aca="false">L19*L20</f>
        <v>389.672766033001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5644.58492127619</v>
      </c>
    </row>
    <row r="31" customFormat="false" ht="15" hidden="false" customHeight="false" outlineLevel="0" collapsed="false">
      <c r="A31" s="0" t="s">
        <v>126</v>
      </c>
      <c r="B31" s="0" t="n">
        <f aca="false">L19</f>
        <v>1157.30739485531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10063.5425639592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13887.6887382638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10063.5425639592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3388.45883506957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9033.04375634576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6760.14475634576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0.909649668922828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-0.497431122142084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203.806197033476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70.4699551765926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0.94655645421276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7715.38263236875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0.603331770627785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</v>
      </c>
      <c r="D5" s="4" t="n">
        <f aca="false">Assumptions!D27</f>
        <v>12</v>
      </c>
      <c r="E5" s="4" t="n">
        <f aca="false">Assumptions!E27</f>
        <v>8</v>
      </c>
      <c r="F5" s="4" t="n">
        <f aca="false">Assumptions!F27</f>
        <v>4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5293.266</v>
      </c>
      <c r="C6" s="0" t="n">
        <f aca="false">B6*(1+C5/100)</f>
        <v>5452.06398</v>
      </c>
      <c r="D6" s="0" t="n">
        <f aca="false">C6*(1+D5/100)</f>
        <v>6106.3116576</v>
      </c>
      <c r="E6" s="0" t="n">
        <f aca="false">D6*(1+E5/100)</f>
        <v>6594.816590208</v>
      </c>
      <c r="F6" s="0" t="n">
        <f aca="false">E6*(1+F5/100)</f>
        <v>6858.60925381632</v>
      </c>
      <c r="G6" s="0" t="n">
        <f aca="false">F6*(1+G5/100)</f>
        <v>7064.36753143081</v>
      </c>
      <c r="H6" s="0" t="n">
        <f aca="false">G6*(1+H5/100)</f>
        <v>7240.97671971658</v>
      </c>
      <c r="I6" s="0" t="n">
        <f aca="false">H6*(1+I5/100)</f>
        <v>7385.79625411091</v>
      </c>
      <c r="J6" s="0" t="n">
        <f aca="false">I6*(1+J5/100)</f>
        <v>7533.51217919313</v>
      </c>
      <c r="K6" s="0" t="n">
        <f aca="false">J6*(1+K5/100)</f>
        <v>7684.18242277699</v>
      </c>
      <c r="L6" s="0" t="n">
        <f aca="false">K6*(1+L5/100)</f>
        <v>7837.86607123253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46</v>
      </c>
      <c r="D7" s="4" t="n">
        <f aca="false">Assumptions!D28</f>
        <v>44</v>
      </c>
      <c r="E7" s="4" t="n">
        <f aca="false">Assumptions!E28</f>
        <v>43</v>
      </c>
      <c r="F7" s="4" t="n">
        <f aca="false">Assumptions!F28</f>
        <v>42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2507.9494308</v>
      </c>
      <c r="D8" s="0" t="n">
        <f aca="false">D6*D7/100</f>
        <v>2686.777129344</v>
      </c>
      <c r="E8" s="0" t="n">
        <f aca="false">E6*E7/100</f>
        <v>2835.77113378944</v>
      </c>
      <c r="F8" s="0" t="n">
        <f aca="false">F6*F7/100</f>
        <v>2880.61588660285</v>
      </c>
      <c r="G8" s="0" t="n">
        <f aca="false">G6*G7/100</f>
        <v>2896.39068788663</v>
      </c>
      <c r="H8" s="0" t="n">
        <f aca="false">H6*H7/100</f>
        <v>2968.8004550838</v>
      </c>
      <c r="I8" s="0" t="n">
        <f aca="false">I6*I7/100</f>
        <v>3028.17646418547</v>
      </c>
      <c r="J8" s="0" t="n">
        <f aca="false">J6*J7/100</f>
        <v>3088.73999346918</v>
      </c>
      <c r="K8" s="0" t="n">
        <f aca="false">K6*K7/100</f>
        <v>3150.51479333857</v>
      </c>
      <c r="L8" s="0" t="n">
        <f aca="false">L6*L7/100</f>
        <v>3213.52508920534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1.2</v>
      </c>
      <c r="D9" s="4" t="n">
        <f aca="false">Assumptions!D29</f>
        <v>1.1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-65.42476776</v>
      </c>
      <c r="D10" s="0" t="n">
        <f aca="false">-D6*D9/100</f>
        <v>-67.1694282336</v>
      </c>
      <c r="E10" s="0" t="n">
        <f aca="false">-E6*E9/100</f>
        <v>-32.97408295104</v>
      </c>
      <c r="F10" s="0" t="n">
        <f aca="false">-F6*F9/100</f>
        <v>-34.2930462690816</v>
      </c>
      <c r="G10" s="0" t="n">
        <f aca="false">-G6*G9/100</f>
        <v>-28.2574701257233</v>
      </c>
      <c r="H10" s="0" t="n">
        <f aca="false">-H6*H9/100</f>
        <v>-28.9639068788663</v>
      </c>
      <c r="I10" s="0" t="n">
        <f aca="false">-I6*I9/100</f>
        <v>-29.5431850164437</v>
      </c>
      <c r="J10" s="0" t="n">
        <f aca="false">-J6*J9/100</f>
        <v>-30.1340487167725</v>
      </c>
      <c r="K10" s="0" t="n">
        <f aca="false">-K6*K9/100</f>
        <v>-30.736729691108</v>
      </c>
      <c r="L10" s="0" t="n">
        <f aca="false">-L6*L9/100</f>
        <v>-31.3514642849301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2442.52466304</v>
      </c>
      <c r="D11" s="0" t="n">
        <f aca="false">D8+D10+D24</f>
        <v>2619.6077011104</v>
      </c>
      <c r="E11" s="0" t="n">
        <f aca="false">E8+E10+E24</f>
        <v>2802.7970508384</v>
      </c>
      <c r="F11" s="0" t="n">
        <f aca="false">F8+F10+F24</f>
        <v>2846.32284033377</v>
      </c>
      <c r="G11" s="0" t="n">
        <f aca="false">G8+G10+G24</f>
        <v>2868.13321776091</v>
      </c>
      <c r="H11" s="0" t="n">
        <f aca="false">H8+H10+H24</f>
        <v>2939.83654820493</v>
      </c>
      <c r="I11" s="0" t="n">
        <f aca="false">I8+I10+I24</f>
        <v>2998.63327916903</v>
      </c>
      <c r="J11" s="0" t="n">
        <f aca="false">J8+J10+J24</f>
        <v>3058.60594475241</v>
      </c>
      <c r="K11" s="0" t="n">
        <f aca="false">K8+K10+K24</f>
        <v>3119.77806364746</v>
      </c>
      <c r="L11" s="0" t="n">
        <f aca="false">L8+L10+L24</f>
        <v>3182.17362492041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-245.3428791</v>
      </c>
      <c r="D12" s="4" t="n">
        <f aca="false">-D6*Assumptions!D31/100</f>
        <v>-305.31558288</v>
      </c>
      <c r="E12" s="4" t="n">
        <f aca="false">-E6*Assumptions!E31/100</f>
        <v>-362.71491246144</v>
      </c>
      <c r="F12" s="4" t="n">
        <f aca="false">-F6*Assumptions!F31/100</f>
        <v>-377.223508959898</v>
      </c>
      <c r="G12" s="4" t="n">
        <f aca="false">-G6*Assumptions!G31/100</f>
        <v>-388.540214228695</v>
      </c>
      <c r="H12" s="4" t="n">
        <f aca="false">-H6*Assumptions!H31/100</f>
        <v>-398.253719584412</v>
      </c>
      <c r="I12" s="4" t="n">
        <f aca="false">-I6*Assumptions!I31/100</f>
        <v>-406.2187939761</v>
      </c>
      <c r="J12" s="4" t="n">
        <f aca="false">-J6*Assumptions!J31/100</f>
        <v>-414.343169855622</v>
      </c>
      <c r="K12" s="4" t="n">
        <f aca="false">-K6*Assumptions!K31/100</f>
        <v>-422.630033252735</v>
      </c>
      <c r="L12" s="4" t="n">
        <f aca="false">-L6*Assumptions!L31/100</f>
        <v>-431.082633917789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2197.18178394</v>
      </c>
      <c r="D13" s="0" t="n">
        <f aca="false">D11+D12</f>
        <v>2314.2921182304</v>
      </c>
      <c r="E13" s="0" t="n">
        <f aca="false">E11+E12</f>
        <v>2440.08213837696</v>
      </c>
      <c r="F13" s="0" t="n">
        <f aca="false">F11+F12</f>
        <v>2469.09933137388</v>
      </c>
      <c r="G13" s="0" t="n">
        <f aca="false">G11+G12</f>
        <v>2479.59300353221</v>
      </c>
      <c r="H13" s="0" t="n">
        <f aca="false">H11+H12</f>
        <v>2541.58282862052</v>
      </c>
      <c r="I13" s="0" t="n">
        <f aca="false">I11+I12</f>
        <v>2592.41448519293</v>
      </c>
      <c r="J13" s="0" t="n">
        <f aca="false">J11+J12</f>
        <v>2644.26277489679</v>
      </c>
      <c r="K13" s="0" t="n">
        <f aca="false">K11+K12</f>
        <v>2697.14803039472</v>
      </c>
      <c r="L13" s="0" t="n">
        <f aca="false">L11+L12</f>
        <v>2751.09099100262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1603.9427022762</v>
      </c>
      <c r="D15" s="0" t="n">
        <f aca="false">D13-MAX(0,D13)*D14/100</f>
        <v>1689.43324630819</v>
      </c>
      <c r="E15" s="0" t="n">
        <f aca="false">E13-MAX(0,E13)*E14/100</f>
        <v>1781.25996101518</v>
      </c>
      <c r="F15" s="0" t="n">
        <f aca="false">F13-MAX(0,F13)*F14/100</f>
        <v>1802.44251190293</v>
      </c>
      <c r="G15" s="0" t="n">
        <f aca="false">G13-MAX(0,G13)*G14/100</f>
        <v>1810.10289257852</v>
      </c>
      <c r="H15" s="0" t="n">
        <f aca="false">H13-MAX(0,H13)*H14/100</f>
        <v>1855.35546489298</v>
      </c>
      <c r="I15" s="0" t="n">
        <f aca="false">I13-MAX(0,I13)*I14/100</f>
        <v>1892.46257419084</v>
      </c>
      <c r="J15" s="0" t="n">
        <f aca="false">J13-MAX(0,J13)*J14/100</f>
        <v>1930.31182567466</v>
      </c>
      <c r="K15" s="0" t="n">
        <f aca="false">K13-MAX(0,K13)*K14/100</f>
        <v>1968.91806218815</v>
      </c>
      <c r="L15" s="0" t="n">
        <f aca="false">L13-MAX(0,L13)*L14/100</f>
        <v>2008.29642343191</v>
      </c>
    </row>
    <row r="16" customFormat="false" ht="15" hidden="false" customHeight="false" outlineLevel="0" collapsed="false">
      <c r="A16" s="0" t="s">
        <v>117</v>
      </c>
      <c r="C16" s="0" t="n">
        <f aca="false">-C12</f>
        <v>245.3428791</v>
      </c>
      <c r="D16" s="0" t="n">
        <f aca="false">-D12</f>
        <v>305.31558288</v>
      </c>
      <c r="E16" s="0" t="n">
        <f aca="false">-E12</f>
        <v>362.71491246144</v>
      </c>
      <c r="F16" s="0" t="n">
        <f aca="false">-F12</f>
        <v>377.223508959898</v>
      </c>
      <c r="G16" s="0" t="n">
        <f aca="false">-G12</f>
        <v>388.540214228695</v>
      </c>
      <c r="H16" s="0" t="n">
        <f aca="false">-H12</f>
        <v>398.253719584412</v>
      </c>
      <c r="I16" s="0" t="n">
        <f aca="false">-I12</f>
        <v>406.2187939761</v>
      </c>
      <c r="J16" s="0" t="n">
        <f aca="false">-J12</f>
        <v>414.343169855622</v>
      </c>
      <c r="K16" s="0" t="n">
        <f aca="false">-K12</f>
        <v>422.630033252735</v>
      </c>
      <c r="L16" s="0" t="n">
        <f aca="false">-L12</f>
        <v>431.082633917789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-872.3302368</v>
      </c>
      <c r="D17" s="4" t="n">
        <f aca="false">-D6*Assumptions!D32/100</f>
        <v>-732.757398912</v>
      </c>
      <c r="E17" s="4" t="n">
        <f aca="false">-E6*Assumptions!E32/100</f>
        <v>-593.53349311872</v>
      </c>
      <c r="F17" s="4" t="n">
        <f aca="false">-F6*Assumptions!F32/100</f>
        <v>-480.102647767142</v>
      </c>
      <c r="G17" s="4" t="n">
        <f aca="false">-G6*Assumptions!G32/100</f>
        <v>-423.862051885849</v>
      </c>
      <c r="H17" s="4" t="n">
        <f aca="false">-H6*Assumptions!H32/100</f>
        <v>-434.458603182995</v>
      </c>
      <c r="I17" s="4" t="n">
        <f aca="false">-I6*Assumptions!I32/100</f>
        <v>-443.147775246655</v>
      </c>
      <c r="J17" s="4" t="n">
        <f aca="false">-J6*Assumptions!J32/100</f>
        <v>-452.010730751588</v>
      </c>
      <c r="K17" s="4" t="n">
        <f aca="false">-K6*Assumptions!K32/100</f>
        <v>-461.05094536662</v>
      </c>
      <c r="L17" s="4" t="n">
        <f aca="false">-L6*Assumptions!L32/100</f>
        <v>-470.271964273952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-7.93989900000001</v>
      </c>
      <c r="D18" s="4" t="n">
        <f aca="false">(D6-C6)*Assumptions!$B$37/100</f>
        <v>-32.71238388</v>
      </c>
      <c r="E18" s="4" t="n">
        <f aca="false">(E6-D6)*Assumptions!$B$37/100</f>
        <v>-24.4252466304</v>
      </c>
      <c r="F18" s="4" t="n">
        <f aca="false">(F6-E6)*Assumptions!$B$37/100</f>
        <v>-13.189633180416</v>
      </c>
      <c r="G18" s="4" t="n">
        <f aca="false">(G6-F6)*Assumptions!$B$37/100</f>
        <v>-10.2879138807245</v>
      </c>
      <c r="H18" s="4" t="n">
        <f aca="false">(H6-G6)*Assumptions!$B$37/100</f>
        <v>-8.8304594142885</v>
      </c>
      <c r="I18" s="4" t="n">
        <f aca="false">(I6-H6)*Assumptions!$B$37/100</f>
        <v>-7.24097671971658</v>
      </c>
      <c r="J18" s="4" t="n">
        <f aca="false">(J6-I6)*Assumptions!$B$37/100</f>
        <v>-7.38579625411094</v>
      </c>
      <c r="K18" s="4" t="n">
        <f aca="false">(K6-J6)*Assumptions!$B$37/100</f>
        <v>-7.53351217919312</v>
      </c>
      <c r="L18" s="4" t="n">
        <f aca="false">(L6-K6)*Assumptions!$B$37/100</f>
        <v>-7.68418242277699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969.0154455762</v>
      </c>
      <c r="D19" s="0" t="n">
        <f aca="false">D15+D16+D17+D18</f>
        <v>1229.27904639619</v>
      </c>
      <c r="E19" s="0" t="n">
        <f aca="false">E15+E16+E17+E18</f>
        <v>1526.0161337275</v>
      </c>
      <c r="F19" s="0" t="n">
        <f aca="false">F15+F16+F17+F18</f>
        <v>1686.37373991527</v>
      </c>
      <c r="G19" s="0" t="n">
        <f aca="false">G15+G16+G17+G18</f>
        <v>1764.49314104064</v>
      </c>
      <c r="H19" s="0" t="n">
        <f aca="false">H15+H16+H17+H18</f>
        <v>1810.32012188011</v>
      </c>
      <c r="I19" s="0" t="n">
        <f aca="false">I15+I16+I17+I18</f>
        <v>1848.29261620057</v>
      </c>
      <c r="J19" s="0" t="n">
        <f aca="false">J15+J16+J17+J18</f>
        <v>1885.25846852458</v>
      </c>
      <c r="K19" s="0" t="n">
        <f aca="false">K15+K16+K17+K18</f>
        <v>1922.96363789507</v>
      </c>
      <c r="L19" s="0" t="n">
        <f aca="false">L15+L16+L17+L18</f>
        <v>1961.42291065297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869.072148498834</v>
      </c>
      <c r="D21" s="0" t="n">
        <f aca="false">D19*D20</f>
        <v>988.782437930537</v>
      </c>
      <c r="E21" s="0" t="n">
        <f aca="false">E19*E20</f>
        <v>1100.86616274738</v>
      </c>
      <c r="F21" s="0" t="n">
        <f aca="false">F19*F20</f>
        <v>1091.07438807485</v>
      </c>
      <c r="G21" s="0" t="n">
        <f aca="false">G19*G20</f>
        <v>1023.87193197795</v>
      </c>
      <c r="H21" s="0" t="n">
        <f aca="false">H19*H20</f>
        <v>942.11989360451</v>
      </c>
      <c r="I21" s="0" t="n">
        <f aca="false">I19*I20</f>
        <v>862.673896214108</v>
      </c>
      <c r="J21" s="0" t="n">
        <f aca="false">J19*J20</f>
        <v>789.172532859543</v>
      </c>
      <c r="K21" s="0" t="n">
        <f aca="false">K19*K20</f>
        <v>721.933617503797</v>
      </c>
      <c r="L21" s="0" t="n">
        <f aca="false">L19*L20</f>
        <v>660.423578344281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9049.99058775579</v>
      </c>
    </row>
    <row r="31" customFormat="false" ht="15" hidden="false" customHeight="false" outlineLevel="0" collapsed="false">
      <c r="A31" s="0" t="s">
        <v>126</v>
      </c>
      <c r="B31" s="0" t="n">
        <f aca="false">L19</f>
        <v>1961.42291065297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18867.0203786619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23537.0749278357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18867.0203786619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6352.64584883546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15402.6364365913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13129.7374365913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1.76674638527933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-0.0238970247075522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238.649085574786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101.540951909383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1.81252258773089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14150.2652839964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1.2066118261004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6</v>
      </c>
      <c r="D5" s="4" t="n">
        <f aca="false">Assumptions!D41</f>
        <v>18</v>
      </c>
      <c r="E5" s="4" t="n">
        <f aca="false">Assumptions!E41</f>
        <v>14</v>
      </c>
      <c r="F5" s="4" t="n">
        <f aca="false">Assumptions!F41</f>
        <v>8</v>
      </c>
      <c r="G5" s="4" t="n">
        <f aca="false">Assumptions!G41</f>
        <v>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5293.266</v>
      </c>
      <c r="C6" s="0" t="n">
        <f aca="false">B6*(1+C5/100)</f>
        <v>5610.86196</v>
      </c>
      <c r="D6" s="0" t="n">
        <f aca="false">C6*(1+D5/100)</f>
        <v>6620.8171128</v>
      </c>
      <c r="E6" s="0" t="n">
        <f aca="false">D6*(1+E5/100)</f>
        <v>7547.731508592</v>
      </c>
      <c r="F6" s="0" t="n">
        <f aca="false">E6*(1+F5/100)</f>
        <v>8151.55002927936</v>
      </c>
      <c r="G6" s="0" t="n">
        <f aca="false">F6*(1+G5/100)</f>
        <v>8559.12753074333</v>
      </c>
      <c r="H6" s="0" t="n">
        <f aca="false">G6*(1+H5/100)</f>
        <v>8815.90135666563</v>
      </c>
      <c r="I6" s="0" t="n">
        <f aca="false">H6*(1+I5/100)</f>
        <v>9080.3783973656</v>
      </c>
      <c r="J6" s="0" t="n">
        <f aca="false">I6*(1+J5/100)</f>
        <v>9261.98596531291</v>
      </c>
      <c r="K6" s="0" t="n">
        <f aca="false">J6*(1+K5/100)</f>
        <v>9447.22568461917</v>
      </c>
      <c r="L6" s="0" t="n">
        <f aca="false">K6*(1+L5/100)</f>
        <v>9636.17019831155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50</v>
      </c>
      <c r="D7" s="4" t="n">
        <f aca="false">Assumptions!D42</f>
        <v>49</v>
      </c>
      <c r="E7" s="4" t="n">
        <f aca="false">Assumptions!E42</f>
        <v>48</v>
      </c>
      <c r="F7" s="4" t="n">
        <f aca="false">Assumptions!F42</f>
        <v>47</v>
      </c>
      <c r="G7" s="4" t="n">
        <f aca="false">Assumptions!G42</f>
        <v>46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2805.43098</v>
      </c>
      <c r="D8" s="0" t="n">
        <f aca="false">D6*D7/100</f>
        <v>3244.200385272</v>
      </c>
      <c r="E8" s="0" t="n">
        <f aca="false">E6*E7/100</f>
        <v>3622.91112412416</v>
      </c>
      <c r="F8" s="0" t="n">
        <f aca="false">F6*F7/100</f>
        <v>3831.2285137613</v>
      </c>
      <c r="G8" s="0" t="n">
        <f aca="false">G6*G7/100</f>
        <v>3937.19866414193</v>
      </c>
      <c r="H8" s="0" t="n">
        <f aca="false">H6*H7/100</f>
        <v>3967.15561049953</v>
      </c>
      <c r="I8" s="0" t="n">
        <f aca="false">I6*I7/100</f>
        <v>4086.17027881452</v>
      </c>
      <c r="J8" s="0" t="n">
        <f aca="false">J6*J7/100</f>
        <v>4167.89368439081</v>
      </c>
      <c r="K8" s="0" t="n">
        <f aca="false">K6*K7/100</f>
        <v>4251.25155807863</v>
      </c>
      <c r="L8" s="0" t="n">
        <f aca="false">L6*L7/100</f>
        <v>4336.2765892402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1.2</v>
      </c>
      <c r="D9" s="4" t="n">
        <f aca="false">Assumptions!D43</f>
        <v>1.1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-67.33034352</v>
      </c>
      <c r="D10" s="0" t="n">
        <f aca="false">-D6*D9/100</f>
        <v>-72.8289882408</v>
      </c>
      <c r="E10" s="0" t="n">
        <f aca="false">-E6*E9/100</f>
        <v>-37.73865754296</v>
      </c>
      <c r="F10" s="0" t="n">
        <f aca="false">-F6*F9/100</f>
        <v>-40.7577501463968</v>
      </c>
      <c r="G10" s="0" t="n">
        <f aca="false">-G6*G9/100</f>
        <v>-34.2365101229733</v>
      </c>
      <c r="H10" s="0" t="n">
        <f aca="false">-H6*H9/100</f>
        <v>-35.2636054266625</v>
      </c>
      <c r="I10" s="0" t="n">
        <f aca="false">-I6*I9/100</f>
        <v>-36.3215135894624</v>
      </c>
      <c r="J10" s="0" t="n">
        <f aca="false">-J6*J9/100</f>
        <v>-37.0479438612516</v>
      </c>
      <c r="K10" s="0" t="n">
        <f aca="false">-K6*K9/100</f>
        <v>-37.7889027384767</v>
      </c>
      <c r="L10" s="0" t="n">
        <f aca="false">-L6*L9/100</f>
        <v>-38.5446807932462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2738.10063648</v>
      </c>
      <c r="D11" s="0" t="n">
        <f aca="false">D8+D10+D24</f>
        <v>3171.3713970312</v>
      </c>
      <c r="E11" s="0" t="n">
        <f aca="false">E8+E10+E24</f>
        <v>3585.1724665812</v>
      </c>
      <c r="F11" s="0" t="n">
        <f aca="false">F8+F10+F24</f>
        <v>3790.4707636149</v>
      </c>
      <c r="G11" s="0" t="n">
        <f aca="false">G8+G10+G24</f>
        <v>3902.96215401896</v>
      </c>
      <c r="H11" s="0" t="n">
        <f aca="false">H8+H10+H24</f>
        <v>3931.89200507287</v>
      </c>
      <c r="I11" s="0" t="n">
        <f aca="false">I8+I10+I24</f>
        <v>4049.84876522506</v>
      </c>
      <c r="J11" s="0" t="n">
        <f aca="false">J8+J10+J24</f>
        <v>4130.84574052956</v>
      </c>
      <c r="K11" s="0" t="n">
        <f aca="false">K8+K10+K24</f>
        <v>4213.46265534015</v>
      </c>
      <c r="L11" s="0" t="n">
        <f aca="false">L8+L10+L24</f>
        <v>4297.73190844695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-252.4887882</v>
      </c>
      <c r="D12" s="4" t="n">
        <f aca="false">-D6*Assumptions!D45/100</f>
        <v>-331.04085564</v>
      </c>
      <c r="E12" s="4" t="n">
        <f aca="false">-E6*Assumptions!E45/100</f>
        <v>-415.12523297256</v>
      </c>
      <c r="F12" s="4" t="n">
        <f aca="false">-F6*Assumptions!F45/100</f>
        <v>-448.335251610365</v>
      </c>
      <c r="G12" s="4" t="n">
        <f aca="false">-G6*Assumptions!G45/100</f>
        <v>-470.752014190883</v>
      </c>
      <c r="H12" s="4" t="n">
        <f aca="false">-H6*Assumptions!H45/100</f>
        <v>-484.87457461661</v>
      </c>
      <c r="I12" s="4" t="n">
        <f aca="false">-I6*Assumptions!I45/100</f>
        <v>-499.420811855108</v>
      </c>
      <c r="J12" s="4" t="n">
        <f aca="false">-J6*Assumptions!J45/100</f>
        <v>-509.40922809221</v>
      </c>
      <c r="K12" s="4" t="n">
        <f aca="false">-K6*Assumptions!K45/100</f>
        <v>-519.597412654054</v>
      </c>
      <c r="L12" s="4" t="n">
        <f aca="false">-L6*Assumptions!L45/100</f>
        <v>-529.989360907135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2485.61184828</v>
      </c>
      <c r="D13" s="0" t="n">
        <f aca="false">D11+D12</f>
        <v>2840.3305413912</v>
      </c>
      <c r="E13" s="0" t="n">
        <f aca="false">E11+E12</f>
        <v>3170.04723360864</v>
      </c>
      <c r="F13" s="0" t="n">
        <f aca="false">F11+F12</f>
        <v>3342.13551200454</v>
      </c>
      <c r="G13" s="0" t="n">
        <f aca="false">G11+G12</f>
        <v>3432.21013982807</v>
      </c>
      <c r="H13" s="0" t="n">
        <f aca="false">H11+H12</f>
        <v>3447.01743045626</v>
      </c>
      <c r="I13" s="0" t="n">
        <f aca="false">I11+I12</f>
        <v>3550.42795336995</v>
      </c>
      <c r="J13" s="0" t="n">
        <f aca="false">J11+J12</f>
        <v>3621.43651243735</v>
      </c>
      <c r="K13" s="0" t="n">
        <f aca="false">K11+K12</f>
        <v>3693.8652426861</v>
      </c>
      <c r="L13" s="0" t="n">
        <f aca="false">L11+L12</f>
        <v>3767.74254753982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1814.4966492444</v>
      </c>
      <c r="D15" s="0" t="n">
        <f aca="false">D13-MAX(0,D13)*D14/100</f>
        <v>2073.44129521558</v>
      </c>
      <c r="E15" s="0" t="n">
        <f aca="false">E13-MAX(0,E13)*E14/100</f>
        <v>2314.13448053431</v>
      </c>
      <c r="F15" s="0" t="n">
        <f aca="false">F13-MAX(0,F13)*F14/100</f>
        <v>2439.75892376331</v>
      </c>
      <c r="G15" s="0" t="n">
        <f aca="false">G13-MAX(0,G13)*G14/100</f>
        <v>2505.51340207449</v>
      </c>
      <c r="H15" s="0" t="n">
        <f aca="false">H13-MAX(0,H13)*H14/100</f>
        <v>2516.32272423307</v>
      </c>
      <c r="I15" s="0" t="n">
        <f aca="false">I13-MAX(0,I13)*I14/100</f>
        <v>2591.81240596006</v>
      </c>
      <c r="J15" s="0" t="n">
        <f aca="false">J13-MAX(0,J13)*J14/100</f>
        <v>2643.64865407926</v>
      </c>
      <c r="K15" s="0" t="n">
        <f aca="false">K13-MAX(0,K13)*K14/100</f>
        <v>2696.52162716085</v>
      </c>
      <c r="L15" s="0" t="n">
        <f aca="false">L13-MAX(0,L13)*L14/100</f>
        <v>2750.45205970407</v>
      </c>
    </row>
    <row r="16" customFormat="false" ht="15" hidden="false" customHeight="false" outlineLevel="0" collapsed="false">
      <c r="A16" s="0" t="s">
        <v>117</v>
      </c>
      <c r="C16" s="0" t="n">
        <f aca="false">-C12</f>
        <v>252.4887882</v>
      </c>
      <c r="D16" s="0" t="n">
        <f aca="false">-D12</f>
        <v>331.04085564</v>
      </c>
      <c r="E16" s="0" t="n">
        <f aca="false">-E12</f>
        <v>415.12523297256</v>
      </c>
      <c r="F16" s="0" t="n">
        <f aca="false">-F12</f>
        <v>448.335251610365</v>
      </c>
      <c r="G16" s="0" t="n">
        <f aca="false">-G12</f>
        <v>470.752014190883</v>
      </c>
      <c r="H16" s="0" t="n">
        <f aca="false">-H12</f>
        <v>484.87457461661</v>
      </c>
      <c r="I16" s="0" t="n">
        <f aca="false">-I12</f>
        <v>499.420811855108</v>
      </c>
      <c r="J16" s="0" t="n">
        <f aca="false">-J12</f>
        <v>509.40922809221</v>
      </c>
      <c r="K16" s="0" t="n">
        <f aca="false">-K12</f>
        <v>519.597412654054</v>
      </c>
      <c r="L16" s="0" t="n">
        <f aca="false">-L12</f>
        <v>529.989360907135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-897.7379136</v>
      </c>
      <c r="D17" s="4" t="n">
        <f aca="false">-D6*Assumptions!D46/100</f>
        <v>-794.498053536</v>
      </c>
      <c r="E17" s="4" t="n">
        <f aca="false">-E6*Assumptions!E46/100</f>
        <v>-679.29583577328</v>
      </c>
      <c r="F17" s="4" t="n">
        <f aca="false">-F6*Assumptions!F46/100</f>
        <v>-570.608502049555</v>
      </c>
      <c r="G17" s="4" t="n">
        <f aca="false">-G6*Assumptions!G46/100</f>
        <v>-513.5476518446</v>
      </c>
      <c r="H17" s="4" t="n">
        <f aca="false">-H6*Assumptions!H46/100</f>
        <v>-528.954081399938</v>
      </c>
      <c r="I17" s="4" t="n">
        <f aca="false">-I6*Assumptions!I46/100</f>
        <v>-544.822703841936</v>
      </c>
      <c r="J17" s="4" t="n">
        <f aca="false">-J6*Assumptions!J46/100</f>
        <v>-555.719157918775</v>
      </c>
      <c r="K17" s="4" t="n">
        <f aca="false">-K6*Assumptions!K46/100</f>
        <v>-566.83354107715</v>
      </c>
      <c r="L17" s="4" t="n">
        <f aca="false">-L6*Assumptions!L46/100</f>
        <v>-578.170211898693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-15.879798</v>
      </c>
      <c r="D18" s="4" t="n">
        <f aca="false">(D6-C6)*Assumptions!$B$51/100</f>
        <v>-50.49775764</v>
      </c>
      <c r="E18" s="4" t="n">
        <f aca="false">(E6-D6)*Assumptions!$B$51/100</f>
        <v>-46.3457197896</v>
      </c>
      <c r="F18" s="4" t="n">
        <f aca="false">(F6-E6)*Assumptions!$B$51/100</f>
        <v>-30.190926034368</v>
      </c>
      <c r="G18" s="4" t="n">
        <f aca="false">(G6-F6)*Assumptions!$B$51/100</f>
        <v>-20.3788750731984</v>
      </c>
      <c r="H18" s="4" t="n">
        <f aca="false">(H6-G6)*Assumptions!$B$51/100</f>
        <v>-12.838691296115</v>
      </c>
      <c r="I18" s="4" t="n">
        <f aca="false">(I6-H6)*Assumptions!$B$51/100</f>
        <v>-13.2238520349984</v>
      </c>
      <c r="J18" s="4" t="n">
        <f aca="false">(J6-I6)*Assumptions!$B$51/100</f>
        <v>-9.08037839736562</v>
      </c>
      <c r="K18" s="4" t="n">
        <f aca="false">(K6-J6)*Assumptions!$B$51/100</f>
        <v>-9.26198596531294</v>
      </c>
      <c r="L18" s="4" t="n">
        <f aca="false">(L6-K6)*Assumptions!$B$51/100</f>
        <v>-9.44722568461921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1153.3677258444</v>
      </c>
      <c r="D19" s="0" t="n">
        <f aca="false">D15+D16+D17+D18</f>
        <v>1559.48633967958</v>
      </c>
      <c r="E19" s="0" t="n">
        <f aca="false">E15+E16+E17+E18</f>
        <v>2003.61815794399</v>
      </c>
      <c r="F19" s="0" t="n">
        <f aca="false">F15+F16+F17+F18</f>
        <v>2287.29474728975</v>
      </c>
      <c r="G19" s="0" t="n">
        <f aca="false">G15+G16+G17+G18</f>
        <v>2442.33888934758</v>
      </c>
      <c r="H19" s="0" t="n">
        <f aca="false">H15+H16+H17+H18</f>
        <v>2459.40452615363</v>
      </c>
      <c r="I19" s="0" t="n">
        <f aca="false">I15+I16+I17+I18</f>
        <v>2533.18666193824</v>
      </c>
      <c r="J19" s="0" t="n">
        <f aca="false">J15+J16+J17+J18</f>
        <v>2588.25834585533</v>
      </c>
      <c r="K19" s="0" t="n">
        <f aca="false">K15+K16+K17+K18</f>
        <v>2640.02351277244</v>
      </c>
      <c r="L19" s="0" t="n">
        <f aca="false">L15+L16+L17+L18</f>
        <v>2692.82398302789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1034.41051645238</v>
      </c>
      <c r="D21" s="0" t="n">
        <f aca="false">D19*D20</f>
        <v>1254.38785391186</v>
      </c>
      <c r="E21" s="0" t="n">
        <f aca="false">E19*E20</f>
        <v>1445.4076758409</v>
      </c>
      <c r="F21" s="0" t="n">
        <f aca="false">F19*F20</f>
        <v>1479.86692254315</v>
      </c>
      <c r="G21" s="0" t="n">
        <f aca="false">G19*G20</f>
        <v>1417.20144953717</v>
      </c>
      <c r="H21" s="0" t="n">
        <f aca="false">H19*H20</f>
        <v>1279.91392378931</v>
      </c>
      <c r="I21" s="0" t="n">
        <f aca="false">I19*I20</f>
        <v>1182.34201031658</v>
      </c>
      <c r="J21" s="0" t="n">
        <f aca="false">J19*J20</f>
        <v>1083.44952620319</v>
      </c>
      <c r="K21" s="0" t="n">
        <f aca="false">K19*K20</f>
        <v>991.137683163455</v>
      </c>
      <c r="L21" s="0" t="n">
        <f aca="false">L19*L20</f>
        <v>906.690974732488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12074.8085364905</v>
      </c>
    </row>
    <row r="31" customFormat="false" ht="15" hidden="false" customHeight="false" outlineLevel="0" collapsed="false">
      <c r="A31" s="0" t="s">
        <v>126</v>
      </c>
      <c r="B31" s="0" t="n">
        <f aca="false">L19</f>
        <v>2692.82398302789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27332.1634277331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32313.8877963347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27332.1634277331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9202.91339353475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21277.7219300252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19004.8229300252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2.55730187878098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0.412873966177337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270.405590898208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131.729129477979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2.61141339982632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20246.046983506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1.75345614861652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0.909649668922828</v>
      </c>
      <c r="C4" s="0" t="n">
        <f aca="false">B4/Assumptions!$B$2-1</f>
        <v>-0.497431122142084</v>
      </c>
      <c r="D4" s="4" t="n">
        <f aca="false">Assumptions!$B$24</f>
        <v>0.3</v>
      </c>
      <c r="E4" s="4" t="n">
        <f aca="false">DCF_Bear!$B$43</f>
        <v>0.94655645421276</v>
      </c>
      <c r="F4" s="4" t="n">
        <f aca="false">DCF_Bear!$B$47</f>
        <v>0.603331770627785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1.76674638527933</v>
      </c>
      <c r="C5" s="0" t="n">
        <f aca="false">B5/Assumptions!$B$2-1</f>
        <v>-0.0238970247075522</v>
      </c>
      <c r="D5" s="4" t="n">
        <f aca="false">Assumptions!$B$38</f>
        <v>0.5</v>
      </c>
      <c r="E5" s="4" t="n">
        <f aca="false">DCF_Base!$B$43</f>
        <v>1.81252258773089</v>
      </c>
      <c r="F5" s="4" t="n">
        <f aca="false">DCF_Base!$B$47</f>
        <v>1.2066118261004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2.55730187878098</v>
      </c>
      <c r="C6" s="0" t="n">
        <f aca="false">B6/Assumptions!$B$2-1</f>
        <v>0.412873966177337</v>
      </c>
      <c r="D6" s="4" t="n">
        <f aca="false">Assumptions!$B$52</f>
        <v>0.2</v>
      </c>
      <c r="E6" s="4" t="n">
        <f aca="false">DCF_Bull!$B$43</f>
        <v>2.61141339982632</v>
      </c>
      <c r="F6" s="4" t="n">
        <f aca="false">DCF_Bull!$B$47</f>
        <v>1.75345614861652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1.66772846907271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1.71251091009454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-0.0853085700494134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317.694899342238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1.13499667396184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2.40372305455253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2.1429956116094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1.87943835185638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1.76674638527933</v>
      </c>
      <c r="C18" s="3" t="n">
        <v>11.5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1.66445897358362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1.2066118261004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2.15394732483459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2.22214447567464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2.29836482073116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2.31089419252127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2.31089419252127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1.89645828403323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1.9476276006673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2.00418316115758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2.06702267281344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2.13725506819353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1.68468696055064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1.72385168598933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1.76674638527933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1.81393055449833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1.86608147837196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1.50760707748314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1.53808570856487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1.57121465539283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1.6073553246597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1.64693796242818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1.35746331960445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1.38151910516551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1.40749935357146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1.43564462267791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1.46623730648926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2026-10-16T07:46:19Z</dcterms:created>
  <dc:creator>openpyxl</dc:creator>
  <dc:description/>
  <dc:language>en-NZ</dc:language>
  <cp:lastModifiedBy/>
  <dcterms:modified xsi:type="dcterms:W3CDTF">2026-10-16T07:46:19Z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