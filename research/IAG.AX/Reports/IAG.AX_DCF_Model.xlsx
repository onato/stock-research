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<sst xmlns="http://schemas.openxmlformats.org/spreadsheetml/2006/main" count="364" uniqueCount="167">
  <si>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</si>
  <si>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IAG.AX</t>
  </si>
  <si>
    <t xml:space="preserve">Company</t>
  </si>
  <si>
    <t xml:space="preserve">Insurance Australia Group Limited</t>
  </si>
  <si>
    <t xml:space="preserve">Valuation date</t>
  </si>
  <si>
    <t xml:space="preserve">2026-09-23</t>
  </si>
  <si>
    <t xml:space="preserve">Current price</t>
  </si>
  <si>
    <t xml:space="preserve">Price as of</t>
  </si>
  <si>
    <t xml:space="preserve">2026-09-23T02:09:15Z (INTRADAY ASX print, 12:09 AEST, on the day the ACCC announced its Phase 2 opposition to the RAC Insurance acquisition; volatile, replace at the regular close). 52-week range 6.39-8.72.</t>
  </si>
  <si>
    <t xml:space="preserve">Balance sheet date</t>
  </si>
  <si>
    <t xml:space="preserve">2026-06-30</t>
  </si>
  <si>
    <t xml:space="preserve">Model</t>
  </si>
  <si>
    <t xml:space="preserve">General insurer free cash flow to equity capitalisation at cost of equity (engine route; attributable cash earnings after regulatory capital retention, net debt zero)</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</si>
  <si>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</si>
  <si>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</si>
  <si>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</si>
  <si>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</si>
  <si>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</si>
  <si>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</si>
  <si>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</si>
  <si>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</si>
  <si>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2026-09-23T02:35:40Z</t>
  </si>
  <si>
    <t xml:space="preserve">Drivers file</t>
  </si>
  <si>
    <t xml:space="preserve">IAG.AX_Drivers.json</t>
  </si>
  <si>
    <t xml:space="preserve">Convention</t>
  </si>
  <si>
    <t xml:space="preserve">Percents stored as percents; formulas divide by 100. Blue = input, green = link, black = formula.</t>
  </si>
  <si>
    <t xml:space="preserve">Methodology</t>
  </si>
  <si>
    <t xml:space="preserve">summary: IAG is valued on the cash it can actually pay its shareholders: attributable profit after the interest on its capital instruments and after the minority partners' share, less the equity it must retain to keep CET1 at target as premium grows, discounted at a 9% AUD cost of equity with no separate debt deduction. The base case, with the insurance margin settling at its ten-year mean of ~14.5% and growth fading to 2.5%, lands well below the current price; the market is capitalising the FY25 peak margin (17.5%, including a BI provision release) and an Ambition 2030 growth plan that assumed a WA acquisition the ACCC has now opposed. A BVPS x sustainable-P/B cross-check (ROE ~14.5%, CoE 9%, g 2.5% -&gt; ~1.85x book -&gt; ~$6) gives the same answer from the balance-sheet side.
key_risks_to_valuation: Perils experience versus allowance is the single largest swing: each $100m of pre-tax overrun is ~3c of EPS and 0.7pp of margin; the allowance itself ($1,491m FY27) has risen ~16% in two years.; The NCI leakage (RACV's 30% of IMA, RACQ's 10% of RACQI) is charged at a fixed 2.4% of NEP; if IMA outgrows the rest of the Group the leakage rises.; Capital retention is modelled at 0.35 x growth on a 28%-of-NEP PCA; an APRA capital-standard change or a shift toward long-tail lines raises the intensity and cuts FCFE.; Discount rate: the base is terminal-heavy (Gordon at 9%/2.5% binds near the 16x cap); each 1pp on the cost of equity moves the value ~15%.; Investment income on ~$4.5bn of shareholders' funds (28% growth assets) and on technical reserves moves with yields and equity markets; FY26's 4.8% technical-reserve yield was already a headwind.; RAC Insurance: a successful Public Benefit Application is upside not in base or bear; a reverse would matter only through the capital already retained for it, which the bridge treats as returnable.; The 20% Berkshire Hathaway quota share runs to 2029; renewal on worse terms would lower the retained margin.</t>
  </si>
  <si>
    <t xml:space="preserve">Data sources</t>
  </si>
  <si>
    <t xml:space="preserve">price: Yahoo Finance v8 chart API, IAG.AX regularMarketPrice at inputs.price_as_of (intraday, ACCC RAC decision day); 52-week range 6.39-8.72
financials: IAG.AX_Metrics.csv / core_metrics and kpis (H1 FY2015-FY2026); IAG.AX_Annual_FY2026.txt management P&amp;L and key metrics (lines 5580-5668), EPS note 4.3 (lines 11053-11089), dividends note 4.4 (lines 11096-11103), regulatory capital (lines 10729-10737), share buy-back note (lines 10998-11004), net investment income (lines 6025-6070), note 6.5 acquisition subject to regulatory approval (lines 11880-11892)
qualitative: IAG.AX_Analysis.json (2026-09-23); FY26 Annual Report FY27 guidance (GWP +5-8%, reported insurance margin 14.5-16.5%, perils allowance $1,491m); ACCC Phase 2 opposition to the RAC Insurance acquisition announced 2026-09-23</t>
  </si>
  <si>
    <t xml:space="preserve">Scenario narrative: bear</t>
  </si>
  <si>
    <t xml:space="preserve">FY27 comes in below guidance on both growth and margin: another perils overrun, NZ and commercial lines shrinking, affordability politics capping rate, and RAC blocked for good. A large catastrophe year in FY28 pushes the insurance margin to 12.5% and reinsurance repricing holds the long-run margin at 13%. Growth settles at 2-2.5%, buybacks stop, and capital intensity rises with the perils allowance. No solvency question (CET1 1.14x, quota-share protection), so the bear is an earnings-and-multiple case, not a survival case.</t>
  </si>
  <si>
    <t xml:space="preserve">Scenario narrative: base</t>
  </si>
  <si>
    <t xml:space="preserve">IAG delivers FY27 inside guidance (NEP +6%, reported insurance margin 15.0%, below the 15.5% midpoint because perils usually run over allowance), attributable NPAT recovers to ~$1.12bn as the RACQI book sits inside Group reinsurance for a full year, and premium growth then fades from rate-driven mid-single-digit to 2.5% by FY35. Around 80-90% of profit is distributed (60-80% dividend plus buybacks); the rest funds the regulatory capital that a growing premium base requires. RAC Insurance does not complete. The axes that matter are the perils allowance versus experience, the expense ratio, and investment yields on ~$4.5bn of shareholders' funds.</t>
  </si>
  <si>
    <t xml:space="preserve">Scenario narrative: bull</t>
  </si>
  <si>
    <t xml:space="preserve">FY27 at the top of guidance with a 16% insurance margin (the ex-RACQI underlying run-rate), the Public Benefit Application clears RAC Insurance in FY28-29, the cloud platform and AI agents cut the expense ratio toward 21%, and rate hardening continues while volumes grow through cross-sell across the multi-brand portfolio. NEP compounds high-single-digit for three years and the FY30 $25bn GWP ambition is roughly met; value is capped at an 18x terminal multiple on free cash to equity.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</si>
  <si>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</si>
  <si>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</si>
  <si>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</si>
  <si>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</si>
  <si>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</si>
  <si>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</si>
  <si>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</si>
  <si>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</si>
  <si>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</si>
  <si>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</si>
  <si>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</si>
  <si>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</si>
  <si>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</si>
  <si>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</si>
  <si>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</si>
  <si>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</si>
  <si>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</si>
  <si>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</si>
  <si>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</si>
  <si>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</si>
  <si>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</si>
  <si>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</si>
  <si>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</si>
  <si>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</si>
  <si>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</si>
  <si>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</si>
  <si>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</si>
  <si>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GrossWrittenPremium</t>
  </si>
  <si>
    <t xml:space="preserve">NetEarnedPremium</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</si>
  <si>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</si>
  <si>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</si>
  <si>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</si>
  <si>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</si>
  <si>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</si>
  <si>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</si>
  <si>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</si>
  <si>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</si>
  <si>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</si>
  <si>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</si>
  <si>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</si>
  <si>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</si>
  <si>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</si>
  <si>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</si>
  <si>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</si>
  <si>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</si>
  <si>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</si>
  <si>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</si>
  <si>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</si>
  <si>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</si>
  <si>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</si>
  <si>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</si>
  <si>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</si>
  <si>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</si>
  <si>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</si>
  <si>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</si>
  <si>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</si>
  <si>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</si>
  <si>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</si>
  <si>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</si>
  <si>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</si>
  <si>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</si>
  <si>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</si>
  <si>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</si>
  <si>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</si>
  <si>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</si>
  <si>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</si>
  <si>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</si>
  <si>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</si>
  <si>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</si>
  <si>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</si>
  <si>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</si>
  <si>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</si>
  <si>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</si>
  <si>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</si>
  <si>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</si>
  <si>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</si>
  <si>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</si>
  <si>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IAG.AX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</si>
  <si>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</si>
  <si>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</si>
  <si>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</si>
  <si>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</si>
  <si>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</si>
  <si>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</si>
  <si>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</si>
  <si>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</si>
  <si>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</si>
  <si>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</si>
  <si>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</si>
  <si>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</si>
  <si>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</si>
  <si>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</si>
  <si>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</si>
  <si>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</si>
  <si>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</si>
  <si>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</si>
  <si>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</si>
  <si>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</si>
  <si>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</si>
  <si>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</si>
  <si>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</si>
  <si>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</si>
  <si>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</si>
  <si>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</si>
  <si>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</si>
  <si>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</si>
  <si>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</si>
  <si>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</si>
  <si>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IAG.AX owner-FCF component DCF: base case (millions, AUD)</t>
  </si>
  <si>
    <t xml:space="preserve">IAG.AX owner-FCF component DCF: bull case (millions, AUD)</t>
  </si>
  <si>
    <t xml:space="preserve">IAG.AX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</si>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</sst>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7.93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11411</v>
      </c>
      <c r="I2" s="0" t="n">
        <v>625</v>
      </c>
      <c r="J2" s="0" t="n">
        <v>5.5</v>
      </c>
      <c r="K2" s="0" t="n">
        <v>0.2534</v>
      </c>
      <c r="L2" s="0" t="n">
        <v>-1946</v>
      </c>
      <c r="O2" s="0" t="n">
        <v>6563</v>
      </c>
      <c r="P2" s="0" t="n">
        <v>30030</v>
      </c>
      <c r="Q2" s="0" t="n">
        <v>23245</v>
      </c>
      <c r="R2" s="0" t="n">
        <v>1962</v>
      </c>
      <c r="S2" s="0" t="n">
        <v>1104</v>
      </c>
      <c r="T2" s="0" t="n">
        <v>2431</v>
      </c>
      <c r="U2" s="0" t="n">
        <v>29</v>
      </c>
      <c r="AA2" s="0" t="s">
        <v>17</v>
      </c>
      <c r="AB2" s="0" t="s">
        <v>14</v>
      </c>
      <c r="AC2" s="0" t="n">
        <v>11367</v>
      </c>
      <c r="AD2" s="0" t="n">
        <v>7528</v>
      </c>
    </row>
    <row r="3" customFormat="false" ht="15" hidden="false" customHeight="false" outlineLevel="0" collapsed="false">
      <c r="A3" s="0" t="s">
        <v>66</v>
      </c>
      <c r="B3" s="0" t="n">
        <v>11692</v>
      </c>
      <c r="I3" s="0" t="n">
        <v>929</v>
      </c>
      <c r="J3" s="0" t="n">
        <v>7.9</v>
      </c>
      <c r="K3" s="0" t="n">
        <v>0.3772</v>
      </c>
      <c r="L3" s="0" t="n">
        <v>636</v>
      </c>
      <c r="O3" s="0" t="n">
        <v>6562</v>
      </c>
      <c r="P3" s="0" t="n">
        <v>29597</v>
      </c>
      <c r="Q3" s="0" t="n">
        <v>22805</v>
      </c>
      <c r="R3" s="0" t="n">
        <v>1624</v>
      </c>
      <c r="S3" s="0" t="n">
        <v>1480</v>
      </c>
      <c r="T3" s="0" t="n">
        <v>2367</v>
      </c>
      <c r="U3" s="0" t="n">
        <v>25</v>
      </c>
      <c r="AA3" s="0" t="s">
        <v>17</v>
      </c>
      <c r="AB3" s="0" t="s">
        <v>14</v>
      </c>
      <c r="AC3" s="0" t="n">
        <v>11805</v>
      </c>
      <c r="AD3" s="0" t="n">
        <v>8465</v>
      </c>
    </row>
    <row r="4" customFormat="false" ht="15" hidden="false" customHeight="false" outlineLevel="0" collapsed="false">
      <c r="A4" s="0" t="s">
        <v>67</v>
      </c>
      <c r="B4" s="0" t="n">
        <v>11522</v>
      </c>
      <c r="I4" s="0" t="n">
        <v>923</v>
      </c>
      <c r="J4" s="0" t="n">
        <v>8</v>
      </c>
      <c r="K4" s="0" t="n">
        <v>0.383</v>
      </c>
      <c r="L4" s="0" t="n">
        <v>-53</v>
      </c>
      <c r="O4" s="0" t="n">
        <v>6669</v>
      </c>
      <c r="P4" s="0" t="n">
        <v>29766</v>
      </c>
      <c r="Q4" s="0" t="n">
        <v>22825</v>
      </c>
      <c r="R4" s="0" t="n">
        <v>1960</v>
      </c>
      <c r="S4" s="0" t="n">
        <v>1345</v>
      </c>
      <c r="T4" s="0" t="n">
        <v>2367</v>
      </c>
      <c r="U4" s="0" t="n">
        <v>32</v>
      </c>
      <c r="AA4" s="0" t="s">
        <v>17</v>
      </c>
      <c r="AB4" s="0" t="s">
        <v>14</v>
      </c>
      <c r="AC4" s="0" t="n">
        <v>11647</v>
      </c>
      <c r="AD4" s="0" t="n">
        <v>7671</v>
      </c>
    </row>
    <row r="5" customFormat="false" ht="15" hidden="false" customHeight="false" outlineLevel="0" collapsed="false">
      <c r="A5" s="0" t="s">
        <v>68</v>
      </c>
      <c r="B5" s="0" t="n">
        <v>11942</v>
      </c>
      <c r="I5" s="0" t="n">
        <v>1076</v>
      </c>
      <c r="J5" s="0" t="n">
        <v>9</v>
      </c>
      <c r="K5" s="0" t="n">
        <v>0.4458</v>
      </c>
      <c r="L5" s="0" t="n">
        <v>589</v>
      </c>
      <c r="O5" s="0" t="n">
        <v>6404</v>
      </c>
      <c r="P5" s="0" t="n">
        <v>29286</v>
      </c>
      <c r="Q5" s="0" t="n">
        <v>22576</v>
      </c>
      <c r="R5" s="0" t="n">
        <v>2080</v>
      </c>
      <c r="S5" s="0" t="n">
        <v>1698</v>
      </c>
      <c r="T5" s="0" t="n">
        <v>2311</v>
      </c>
      <c r="U5" s="0" t="n">
        <v>27</v>
      </c>
      <c r="AA5" s="0" t="s">
        <v>17</v>
      </c>
      <c r="AB5" s="0" t="s">
        <v>14</v>
      </c>
      <c r="AC5" s="0" t="n">
        <v>12005</v>
      </c>
      <c r="AD5" s="0" t="n">
        <v>7238</v>
      </c>
    </row>
    <row r="6" customFormat="false" ht="15" hidden="false" customHeight="false" outlineLevel="0" collapsed="false">
      <c r="A6" s="0" t="s">
        <v>69</v>
      </c>
      <c r="B6" s="0" t="n">
        <v>12014</v>
      </c>
      <c r="I6" s="0" t="n">
        <v>435</v>
      </c>
      <c r="J6" s="0" t="n">
        <v>3.6</v>
      </c>
      <c r="K6" s="0" t="n">
        <v>0.1849</v>
      </c>
      <c r="L6" s="0" t="n">
        <v>381</v>
      </c>
      <c r="O6" s="0" t="n">
        <v>6077</v>
      </c>
      <c r="P6" s="0" t="n">
        <v>29694</v>
      </c>
      <c r="Q6" s="0" t="n">
        <v>23340</v>
      </c>
      <c r="R6" s="0" t="n">
        <v>1526</v>
      </c>
      <c r="S6" s="0" t="n">
        <v>2322</v>
      </c>
      <c r="T6" s="0" t="n">
        <v>2311</v>
      </c>
      <c r="U6" s="0" t="n">
        <v>23</v>
      </c>
      <c r="AA6" s="0" t="s">
        <v>17</v>
      </c>
      <c r="AB6" s="0" t="s">
        <v>14</v>
      </c>
      <c r="AC6" s="0" t="n">
        <v>11985</v>
      </c>
      <c r="AD6" s="0" t="n">
        <v>7238</v>
      </c>
    </row>
    <row r="7" customFormat="false" ht="15" hidden="false" customHeight="false" outlineLevel="0" collapsed="false">
      <c r="A7" s="0" t="s">
        <v>70</v>
      </c>
      <c r="B7" s="0" t="n">
        <v>12288</v>
      </c>
      <c r="I7" s="0" t="n">
        <v>-427</v>
      </c>
      <c r="J7" s="0" t="n">
        <v>-3.5</v>
      </c>
      <c r="K7" s="0" t="n">
        <v>-0.1782</v>
      </c>
      <c r="L7" s="0" t="n">
        <v>1610</v>
      </c>
      <c r="O7" s="0" t="n">
        <v>6246</v>
      </c>
      <c r="P7" s="0" t="n">
        <v>33449</v>
      </c>
      <c r="Q7" s="0" t="n">
        <v>26893</v>
      </c>
      <c r="R7" s="0" t="n">
        <v>1987</v>
      </c>
      <c r="S7" s="0" t="n">
        <v>2029</v>
      </c>
      <c r="T7" s="0" t="n">
        <v>2465</v>
      </c>
      <c r="U7" s="0" t="n">
        <v>13</v>
      </c>
      <c r="AA7" s="0" t="s">
        <v>17</v>
      </c>
      <c r="AB7" s="0" t="s">
        <v>14</v>
      </c>
      <c r="AC7" s="0" t="n">
        <v>12545</v>
      </c>
      <c r="AD7" s="0" t="n">
        <v>7420</v>
      </c>
    </row>
    <row r="8" customFormat="false" ht="15" hidden="false" customHeight="false" outlineLevel="0" collapsed="false">
      <c r="A8" s="0" t="s">
        <v>71</v>
      </c>
      <c r="B8" s="0" t="n">
        <v>12972</v>
      </c>
      <c r="I8" s="0" t="n">
        <v>347</v>
      </c>
      <c r="J8" s="0" t="n">
        <v>2.7</v>
      </c>
      <c r="K8" s="0" t="n">
        <v>0.1333</v>
      </c>
      <c r="L8" s="0" t="n">
        <v>899</v>
      </c>
      <c r="O8" s="0" t="n">
        <v>6163</v>
      </c>
      <c r="P8" s="0" t="n">
        <v>34083</v>
      </c>
      <c r="Q8" s="0" t="n">
        <v>27583</v>
      </c>
      <c r="R8" s="0" t="n">
        <v>2055</v>
      </c>
      <c r="S8" s="0" t="n">
        <v>938</v>
      </c>
      <c r="T8" s="0" t="n">
        <v>2465</v>
      </c>
      <c r="U8" s="0" t="n">
        <v>15</v>
      </c>
      <c r="AA8" s="0" t="s">
        <v>17</v>
      </c>
      <c r="AB8" s="0" t="s">
        <v>14</v>
      </c>
      <c r="AC8" s="0" t="n">
        <v>13317</v>
      </c>
      <c r="AD8" s="0" t="n">
        <v>7909</v>
      </c>
    </row>
    <row r="9" customFormat="false" ht="15" hidden="false" customHeight="false" outlineLevel="0" collapsed="false">
      <c r="A9" s="0" t="s">
        <v>72</v>
      </c>
      <c r="B9" s="0" t="n">
        <v>13838</v>
      </c>
      <c r="I9" s="0" t="n">
        <v>825</v>
      </c>
      <c r="J9" s="0" t="n">
        <v>6</v>
      </c>
      <c r="K9" s="0" t="n">
        <v>0.3195</v>
      </c>
      <c r="L9" s="0" t="n">
        <v>452</v>
      </c>
      <c r="O9" s="0" t="n">
        <v>6653</v>
      </c>
      <c r="P9" s="0" t="n">
        <v>25087</v>
      </c>
      <c r="Q9" s="0" t="n">
        <v>18030</v>
      </c>
      <c r="R9" s="0" t="n">
        <v>2139</v>
      </c>
      <c r="S9" s="0" t="n">
        <v>1353</v>
      </c>
      <c r="T9" s="0" t="n">
        <v>2441</v>
      </c>
      <c r="U9" s="0" t="n">
        <v>9</v>
      </c>
      <c r="AA9" s="0" t="s">
        <v>17</v>
      </c>
      <c r="AB9" s="0" t="s">
        <v>14</v>
      </c>
      <c r="AC9" s="0" t="n">
        <v>14729</v>
      </c>
      <c r="AD9" s="0" t="n">
        <v>8326</v>
      </c>
    </row>
    <row r="10" customFormat="false" ht="15" hidden="false" customHeight="false" outlineLevel="0" collapsed="false">
      <c r="A10" s="0" t="s">
        <v>73</v>
      </c>
      <c r="B10" s="0" t="n">
        <v>15425</v>
      </c>
      <c r="I10" s="0" t="n">
        <v>898</v>
      </c>
      <c r="J10" s="0" t="n">
        <v>5.8</v>
      </c>
      <c r="K10" s="0" t="n">
        <v>0.3624</v>
      </c>
      <c r="L10" s="0" t="n">
        <v>1800</v>
      </c>
      <c r="O10" s="0" t="n">
        <v>6660</v>
      </c>
      <c r="P10" s="0" t="n">
        <v>25617</v>
      </c>
      <c r="Q10" s="0" t="n">
        <v>18500</v>
      </c>
      <c r="R10" s="0" t="n">
        <v>2499</v>
      </c>
      <c r="S10" s="0" t="n">
        <v>1841</v>
      </c>
      <c r="T10" s="0" t="n">
        <v>2407</v>
      </c>
      <c r="U10" s="0" t="n">
        <v>20</v>
      </c>
      <c r="AA10" s="0" t="s">
        <v>17</v>
      </c>
      <c r="AB10" s="0" t="s">
        <v>14</v>
      </c>
      <c r="AC10" s="0" t="n">
        <v>16400</v>
      </c>
    </row>
    <row r="11" customFormat="false" ht="15" hidden="false" customHeight="false" outlineLevel="0" collapsed="false">
      <c r="A11" s="0" t="s">
        <v>74</v>
      </c>
      <c r="B11" s="0" t="n">
        <v>16776</v>
      </c>
      <c r="I11" s="0" t="n">
        <v>1359</v>
      </c>
      <c r="J11" s="0" t="n">
        <v>8.1</v>
      </c>
      <c r="K11" s="0" t="n">
        <v>0.5614</v>
      </c>
      <c r="L11" s="0" t="n">
        <v>1352</v>
      </c>
      <c r="O11" s="0" t="n">
        <v>7329</v>
      </c>
      <c r="P11" s="0" t="n">
        <v>26309</v>
      </c>
      <c r="Q11" s="0" t="n">
        <v>18523</v>
      </c>
      <c r="R11" s="0" t="n">
        <v>2556</v>
      </c>
      <c r="S11" s="0" t="n">
        <v>2253</v>
      </c>
      <c r="T11" s="0" t="n">
        <v>2364</v>
      </c>
      <c r="U11" s="0" t="n">
        <v>48</v>
      </c>
      <c r="AA11" s="0" t="s">
        <v>17</v>
      </c>
      <c r="AB11" s="0" t="s">
        <v>14</v>
      </c>
      <c r="AC11" s="0" t="n">
        <v>17106</v>
      </c>
    </row>
    <row r="12" customFormat="false" ht="15" hidden="false" customHeight="false" outlineLevel="0" collapsed="false">
      <c r="A12" s="0" t="s">
        <v>75</v>
      </c>
      <c r="B12" s="0" t="n">
        <v>18666</v>
      </c>
      <c r="I12" s="0" t="n">
        <v>1022</v>
      </c>
      <c r="J12" s="0" t="n">
        <v>5.5</v>
      </c>
      <c r="K12" s="0" t="n">
        <v>0.4281</v>
      </c>
      <c r="L12" s="0" t="n">
        <v>1042</v>
      </c>
      <c r="O12" s="0" t="n">
        <v>7232</v>
      </c>
      <c r="P12" s="0" t="n">
        <v>27599</v>
      </c>
      <c r="Q12" s="0" t="n">
        <v>19755</v>
      </c>
      <c r="R12" s="0" t="n">
        <v>2868</v>
      </c>
      <c r="S12" s="0" t="n">
        <v>2047</v>
      </c>
      <c r="T12" s="0" t="n">
        <v>2355</v>
      </c>
      <c r="U12" s="0" t="n">
        <v>38</v>
      </c>
      <c r="AA12" s="0" t="s">
        <v>17</v>
      </c>
      <c r="AB12" s="0" t="s">
        <v>14</v>
      </c>
      <c r="AC12" s="0" t="n">
        <v>18412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7.93</v>
      </c>
    </row>
    <row r="3" customFormat="false" ht="15" hidden="false" customHeight="false" outlineLevel="0" collapsed="false">
      <c r="A3" s="0" t="s">
        <v>79</v>
      </c>
      <c r="B3" s="3" t="n">
        <v>2344</v>
      </c>
    </row>
    <row r="4" customFormat="false" ht="15" hidden="false" customHeight="false" outlineLevel="0" collapsed="false">
      <c r="A4" s="0" t="s">
        <v>80</v>
      </c>
      <c r="B4" s="3" t="n">
        <v>0</v>
      </c>
    </row>
    <row r="5" customFormat="false" ht="15" hidden="false" customHeight="false" outlineLevel="0" collapsed="false">
      <c r="A5" s="0" t="s">
        <v>81</v>
      </c>
      <c r="B5" s="3" t="n">
        <v>118</v>
      </c>
    </row>
    <row r="6" customFormat="false" ht="15" hidden="false" customHeight="false" outlineLevel="0" collapsed="false">
      <c r="A6" s="0" t="s">
        <v>82</v>
      </c>
      <c r="B6" s="3" t="n">
        <v>15</v>
      </c>
    </row>
    <row r="7" customFormat="false" ht="15" hidden="false" customHeight="false" outlineLevel="0" collapsed="false">
      <c r="A7" s="0" t="s">
        <v>83</v>
      </c>
      <c r="B7" s="3" t="n">
        <v>10523</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4</v>
      </c>
      <c r="D13" s="3" t="n">
        <v>3</v>
      </c>
      <c r="E13" s="3" t="n">
        <v>2.5</v>
      </c>
      <c r="F13" s="3" t="n">
        <v>2.5</v>
      </c>
      <c r="G13" s="3" t="n">
        <v>2.5</v>
      </c>
      <c r="H13" s="3" t="n">
        <v>2.5</v>
      </c>
      <c r="I13" s="3" t="n">
        <v>2</v>
      </c>
      <c r="J13" s="3" t="n">
        <v>2</v>
      </c>
      <c r="K13" s="3" t="n">
        <v>2</v>
      </c>
      <c r="L13" s="3" t="n">
        <v>2</v>
      </c>
    </row>
    <row r="14" customFormat="false" ht="15" hidden="false" customHeight="false" outlineLevel="0" collapsed="false">
      <c r="A14" s="0" t="s">
        <v>100</v>
      </c>
      <c r="C14" s="3" t="n">
        <v>12.1</v>
      </c>
      <c r="D14" s="3" t="n">
        <v>11.6</v>
      </c>
      <c r="E14" s="3" t="n">
        <v>12</v>
      </c>
      <c r="F14" s="3" t="n">
        <v>12</v>
      </c>
      <c r="G14" s="3" t="n">
        <v>12</v>
      </c>
      <c r="H14" s="3" t="n">
        <v>12</v>
      </c>
      <c r="I14" s="3" t="n">
        <v>11.9</v>
      </c>
      <c r="J14" s="3" t="n">
        <v>11.9</v>
      </c>
      <c r="K14" s="3" t="n">
        <v>11.9</v>
      </c>
      <c r="L14" s="3" t="n">
        <v>11.9</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104</v>
      </c>
      <c r="C18" s="3" t="n">
        <v>1.8</v>
      </c>
      <c r="D18" s="3" t="n">
        <v>1.35</v>
      </c>
      <c r="E18" s="3" t="n">
        <v>1.1</v>
      </c>
      <c r="F18" s="3" t="n">
        <v>1.1</v>
      </c>
      <c r="G18" s="3" t="n">
        <v>1.1</v>
      </c>
      <c r="H18" s="3" t="n">
        <v>1.1</v>
      </c>
      <c r="I18" s="3" t="n">
        <v>0.9</v>
      </c>
      <c r="J18" s="3" t="n">
        <v>0.9</v>
      </c>
      <c r="K18" s="3" t="n">
        <v>0.9</v>
      </c>
      <c r="L18" s="3" t="n">
        <v>0.9</v>
      </c>
    </row>
    <row r="19" customFormat="false" ht="15" hidden="false" customHeight="false" outlineLevel="0" collapsed="false">
      <c r="A19" s="0" t="s">
        <v>105</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106</v>
      </c>
      <c r="B20" s="3" t="n">
        <v>9</v>
      </c>
    </row>
    <row r="21" customFormat="false" ht="15" hidden="false" customHeight="false" outlineLevel="0" collapsed="false">
      <c r="A21" s="0" t="s">
        <v>107</v>
      </c>
      <c r="B21" s="3" t="n">
        <v>2</v>
      </c>
    </row>
    <row r="22" customFormat="false" ht="15" hidden="false" customHeight="false" outlineLevel="0" collapsed="false">
      <c r="A22" s="0" t="s">
        <v>108</v>
      </c>
      <c r="B22" s="3" t="n">
        <v>13</v>
      </c>
    </row>
    <row r="23" customFormat="false" ht="15" hidden="false" customHeight="false" outlineLevel="0" collapsed="false">
      <c r="A23" s="0" t="s">
        <v>109</v>
      </c>
      <c r="B23" s="3" t="n">
        <v>0</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6</v>
      </c>
      <c r="D27" s="3" t="n">
        <v>5</v>
      </c>
      <c r="E27" s="3" t="n">
        <v>4.5</v>
      </c>
      <c r="F27" s="3" t="n">
        <v>4</v>
      </c>
      <c r="G27" s="3" t="n">
        <v>3.5</v>
      </c>
      <c r="H27" s="3" t="n">
        <v>3</v>
      </c>
      <c r="I27" s="3" t="n">
        <v>3</v>
      </c>
      <c r="J27" s="3" t="n">
        <v>3</v>
      </c>
      <c r="K27" s="3" t="n">
        <v>2.5</v>
      </c>
      <c r="L27" s="3" t="n">
        <v>2.5</v>
      </c>
    </row>
    <row r="28" customFormat="false" ht="15" hidden="false" customHeight="false" outlineLevel="0" collapsed="false">
      <c r="A28" s="0" t="s">
        <v>100</v>
      </c>
      <c r="C28" s="3" t="n">
        <v>14.4</v>
      </c>
      <c r="D28" s="3" t="n">
        <v>14.1</v>
      </c>
      <c r="E28" s="3" t="n">
        <v>13.9</v>
      </c>
      <c r="F28" s="3" t="n">
        <v>13.8</v>
      </c>
      <c r="G28" s="3" t="n">
        <v>13.7</v>
      </c>
      <c r="H28" s="3" t="n">
        <v>13.6</v>
      </c>
      <c r="I28" s="3" t="n">
        <v>13.6</v>
      </c>
      <c r="J28" s="3" t="n">
        <v>13.6</v>
      </c>
      <c r="K28" s="3" t="n">
        <v>13.6</v>
      </c>
      <c r="L28" s="3" t="n">
        <v>13.6</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104</v>
      </c>
      <c r="C32" s="3" t="n">
        <v>2.1</v>
      </c>
      <c r="D32" s="3" t="n">
        <v>1.75</v>
      </c>
      <c r="E32" s="3" t="n">
        <v>1.6</v>
      </c>
      <c r="F32" s="3" t="n">
        <v>1.4</v>
      </c>
      <c r="G32" s="3" t="n">
        <v>1.2</v>
      </c>
      <c r="H32" s="3" t="n">
        <v>1.05</v>
      </c>
      <c r="I32" s="3" t="n">
        <v>1.05</v>
      </c>
      <c r="J32" s="3" t="n">
        <v>1.05</v>
      </c>
      <c r="K32" s="3" t="n">
        <v>0.9</v>
      </c>
      <c r="L32" s="3" t="n">
        <v>0.9</v>
      </c>
    </row>
    <row r="33" customFormat="false" ht="15" hidden="false" customHeight="false" outlineLevel="0" collapsed="false">
      <c r="A33" s="0" t="s">
        <v>105</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106</v>
      </c>
      <c r="B34" s="3" t="n">
        <v>9</v>
      </c>
    </row>
    <row r="35" customFormat="false" ht="15" hidden="false" customHeight="false" outlineLevel="0" collapsed="false">
      <c r="A35" s="0" t="s">
        <v>107</v>
      </c>
      <c r="B35" s="3" t="n">
        <v>2.5</v>
      </c>
    </row>
    <row r="36" customFormat="false" ht="15" hidden="false" customHeight="false" outlineLevel="0" collapsed="false">
      <c r="A36" s="0" t="s">
        <v>108</v>
      </c>
      <c r="B36" s="3" t="n">
        <v>16</v>
      </c>
    </row>
    <row r="37" customFormat="false" ht="15" hidden="false" customHeight="false" outlineLevel="0" collapsed="false">
      <c r="A37" s="0" t="s">
        <v>109</v>
      </c>
      <c r="B37" s="3" t="n">
        <v>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7.5</v>
      </c>
      <c r="D41" s="3" t="n">
        <v>7</v>
      </c>
      <c r="E41" s="3" t="n">
        <v>6</v>
      </c>
      <c r="F41" s="3" t="n">
        <v>5.5</v>
      </c>
      <c r="G41" s="3" t="n">
        <v>5</v>
      </c>
      <c r="H41" s="3" t="n">
        <v>4.5</v>
      </c>
      <c r="I41" s="3" t="n">
        <v>4</v>
      </c>
      <c r="J41" s="3" t="n">
        <v>3.5</v>
      </c>
      <c r="K41" s="3" t="n">
        <v>3</v>
      </c>
      <c r="L41" s="3" t="n">
        <v>3</v>
      </c>
    </row>
    <row r="42" customFormat="false" ht="15" hidden="false" customHeight="false" outlineLevel="0" collapsed="false">
      <c r="A42" s="0" t="s">
        <v>100</v>
      </c>
      <c r="C42" s="3" t="n">
        <v>15.4</v>
      </c>
      <c r="D42" s="3" t="n">
        <v>15.3</v>
      </c>
      <c r="E42" s="3" t="n">
        <v>15.2</v>
      </c>
      <c r="F42" s="3" t="n">
        <v>15.1</v>
      </c>
      <c r="G42" s="3" t="n">
        <v>15</v>
      </c>
      <c r="H42" s="3" t="n">
        <v>15</v>
      </c>
      <c r="I42" s="3" t="n">
        <v>15</v>
      </c>
      <c r="J42" s="3" t="n">
        <v>15</v>
      </c>
      <c r="K42" s="3" t="n">
        <v>15</v>
      </c>
      <c r="L42" s="3" t="n">
        <v>15</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104</v>
      </c>
      <c r="C46" s="3" t="n">
        <v>2.6</v>
      </c>
      <c r="D46" s="3" t="n">
        <v>2.45</v>
      </c>
      <c r="E46" s="3" t="n">
        <v>2.1</v>
      </c>
      <c r="F46" s="3" t="n">
        <v>1.9</v>
      </c>
      <c r="G46" s="3" t="n">
        <v>1.75</v>
      </c>
      <c r="H46" s="3" t="n">
        <v>1.6</v>
      </c>
      <c r="I46" s="3" t="n">
        <v>1.4</v>
      </c>
      <c r="J46" s="3" t="n">
        <v>1.2</v>
      </c>
      <c r="K46" s="3" t="n">
        <v>1.05</v>
      </c>
      <c r="L46" s="3" t="n">
        <v>1.05</v>
      </c>
    </row>
    <row r="47" customFormat="false" ht="15" hidden="false" customHeight="false" outlineLevel="0" collapsed="false">
      <c r="A47" s="0" t="s">
        <v>105</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106</v>
      </c>
      <c r="B48" s="3" t="n">
        <v>9</v>
      </c>
    </row>
    <row r="49" customFormat="false" ht="15" hidden="false" customHeight="false" outlineLevel="0" collapsed="false">
      <c r="A49" s="0" t="s">
        <v>107</v>
      </c>
      <c r="B49" s="3" t="n">
        <v>3</v>
      </c>
    </row>
    <row r="50" customFormat="false" ht="15" hidden="false" customHeight="false" outlineLevel="0" collapsed="false">
      <c r="A50" s="0" t="s">
        <v>108</v>
      </c>
      <c r="B50" s="3" t="n">
        <v>18</v>
      </c>
    </row>
    <row r="51" customFormat="false" ht="15" hidden="false" customHeight="false" outlineLevel="0" collapsed="false">
      <c r="A51" s="0" t="s">
        <v>109</v>
      </c>
      <c r="B51" s="3" t="n">
        <v>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4</v>
      </c>
      <c r="D5" s="4" t="n">
        <f aca="false">Assumptions!D13</f>
        <v>3</v>
      </c>
      <c r="E5" s="4" t="n">
        <f aca="false">Assumptions!E13</f>
        <v>2.5</v>
      </c>
      <c r="F5" s="4" t="n">
        <f aca="false">Assumptions!F13</f>
        <v>2.5</v>
      </c>
      <c r="G5" s="4" t="n">
        <f aca="false">Assumptions!G13</f>
        <v>2.5</v>
      </c>
      <c r="H5" s="4" t="n">
        <f aca="false">Assumptions!H13</f>
        <v>2.5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10523</v>
      </c>
      <c r="C6" s="0" t="n">
        <f aca="false">B6*(1+C5/100)</f>
        <v>10943.92</v>
      </c>
      <c r="D6" s="0" t="n">
        <f aca="false">C6*(1+D5/100)</f>
        <v>11272.2376</v>
      </c>
      <c r="E6" s="0" t="n">
        <f aca="false">D6*(1+E5/100)</f>
        <v>11554.04354</v>
      </c>
      <c r="F6" s="0" t="n">
        <f aca="false">E6*(1+F5/100)</f>
        <v>11842.8946285</v>
      </c>
      <c r="G6" s="0" t="n">
        <f aca="false">F6*(1+G5/100)</f>
        <v>12138.9669942125</v>
      </c>
      <c r="H6" s="0" t="n">
        <f aca="false">G6*(1+H5/100)</f>
        <v>12442.4411690678</v>
      </c>
      <c r="I6" s="0" t="n">
        <f aca="false">H6*(1+I5/100)</f>
        <v>12691.2899924492</v>
      </c>
      <c r="J6" s="0" t="n">
        <f aca="false">I6*(1+J5/100)</f>
        <v>12945.1157922982</v>
      </c>
      <c r="K6" s="0" t="n">
        <f aca="false">J6*(1+K5/100)</f>
        <v>13204.0181081441</v>
      </c>
      <c r="L6" s="0" t="n">
        <f aca="false">K6*(1+L5/100)</f>
        <v>13468.098470307</v>
      </c>
    </row>
    <row r="7" customFormat="false" ht="15" hidden="false" customHeight="false" outlineLevel="0" collapsed="false">
      <c r="A7" s="0" t="s">
        <v>100</v>
      </c>
      <c r="C7" s="4" t="n">
        <f aca="false">Assumptions!C14</f>
        <v>12.1</v>
      </c>
      <c r="D7" s="4" t="n">
        <f aca="false">Assumptions!D14</f>
        <v>11.6</v>
      </c>
      <c r="E7" s="4" t="n">
        <f aca="false">Assumptions!E14</f>
        <v>12</v>
      </c>
      <c r="F7" s="4" t="n">
        <f aca="false">Assumptions!F14</f>
        <v>12</v>
      </c>
      <c r="G7" s="4" t="n">
        <f aca="false">Assumptions!G14</f>
        <v>12</v>
      </c>
      <c r="H7" s="4" t="n">
        <f aca="false">Assumptions!H14</f>
        <v>12</v>
      </c>
      <c r="I7" s="4" t="n">
        <f aca="false">Assumptions!I14</f>
        <v>11.9</v>
      </c>
      <c r="J7" s="4" t="n">
        <f aca="false">Assumptions!J14</f>
        <v>11.9</v>
      </c>
      <c r="K7" s="4" t="n">
        <f aca="false">Assumptions!K14</f>
        <v>11.9</v>
      </c>
      <c r="L7" s="4" t="n">
        <f aca="false">Assumptions!L14</f>
        <v>11.9</v>
      </c>
    </row>
    <row r="8" customFormat="false" ht="15" hidden="false" customHeight="false" outlineLevel="0" collapsed="false">
      <c r="A8" s="0" t="s">
        <v>43</v>
      </c>
      <c r="C8" s="0" t="n">
        <f aca="false">C6*C7/100</f>
        <v>1324.21432</v>
      </c>
      <c r="D8" s="0" t="n">
        <f aca="false">D6*D7/100</f>
        <v>1307.5795616</v>
      </c>
      <c r="E8" s="0" t="n">
        <f aca="false">E6*E7/100</f>
        <v>1386.4852248</v>
      </c>
      <c r="F8" s="0" t="n">
        <f aca="false">F6*F7/100</f>
        <v>1421.14735542</v>
      </c>
      <c r="G8" s="0" t="n">
        <f aca="false">G6*G7/100</f>
        <v>1456.6760393055</v>
      </c>
      <c r="H8" s="0" t="n">
        <f aca="false">H6*H7/100</f>
        <v>1493.09294028814</v>
      </c>
      <c r="I8" s="0" t="n">
        <f aca="false">I6*I7/100</f>
        <v>1510.26350910145</v>
      </c>
      <c r="J8" s="0" t="n">
        <f aca="false">J6*J7/100</f>
        <v>1540.46877928348</v>
      </c>
      <c r="K8" s="0" t="n">
        <f aca="false">K6*K7/100</f>
        <v>1571.27815486915</v>
      </c>
      <c r="L8" s="0" t="n">
        <f aca="false">L6*L7/100</f>
        <v>1602.70371796653</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1324.21432</v>
      </c>
      <c r="D11" s="0" t="n">
        <f aca="false">D8+D10+D24</f>
        <v>1307.5795616</v>
      </c>
      <c r="E11" s="0" t="n">
        <f aca="false">E8+E10+E24</f>
        <v>1386.4852248</v>
      </c>
      <c r="F11" s="0" t="n">
        <f aca="false">F8+F10+F24</f>
        <v>1421.14735542</v>
      </c>
      <c r="G11" s="0" t="n">
        <f aca="false">G8+G10+G24</f>
        <v>1456.6760393055</v>
      </c>
      <c r="H11" s="0" t="n">
        <f aca="false">H8+H10+H24</f>
        <v>1493.09294028814</v>
      </c>
      <c r="I11" s="0" t="n">
        <f aca="false">I8+I10+I24</f>
        <v>1510.26350910145</v>
      </c>
      <c r="J11" s="0" t="n">
        <f aca="false">J8+J10+J24</f>
        <v>1540.46877928348</v>
      </c>
      <c r="K11" s="0" t="n">
        <f aca="false">K8+K10+K24</f>
        <v>1571.27815486915</v>
      </c>
      <c r="L11" s="0" t="n">
        <f aca="false">L8+L10+L24</f>
        <v>1602.70371796653</v>
      </c>
    </row>
    <row r="12" customFormat="false" ht="15" hidden="false" customHeight="false" outlineLevel="0" collapsed="false">
      <c r="A12" s="0" t="s">
        <v>118</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119</v>
      </c>
      <c r="C13" s="0" t="n">
        <f aca="false">C11+C12</f>
        <v>1324.21432</v>
      </c>
      <c r="D13" s="0" t="n">
        <f aca="false">D11+D12</f>
        <v>1307.5795616</v>
      </c>
      <c r="E13" s="0" t="n">
        <f aca="false">E11+E12</f>
        <v>1386.4852248</v>
      </c>
      <c r="F13" s="0" t="n">
        <f aca="false">F11+F12</f>
        <v>1421.14735542</v>
      </c>
      <c r="G13" s="0" t="n">
        <f aca="false">G11+G12</f>
        <v>1456.6760393055</v>
      </c>
      <c r="H13" s="0" t="n">
        <f aca="false">H11+H12</f>
        <v>1493.09294028814</v>
      </c>
      <c r="I13" s="0" t="n">
        <f aca="false">I11+I12</f>
        <v>1510.26350910145</v>
      </c>
      <c r="J13" s="0" t="n">
        <f aca="false">J11+J12</f>
        <v>1540.46877928348</v>
      </c>
      <c r="K13" s="0" t="n">
        <f aca="false">K11+K12</f>
        <v>1571.27815486915</v>
      </c>
      <c r="L13" s="0" t="n">
        <f aca="false">L11+L12</f>
        <v>1602.70371796653</v>
      </c>
    </row>
    <row r="14" customFormat="false" ht="15" hidden="false" customHeight="false" outlineLevel="0" collapsed="false">
      <c r="A14" s="0" t="s">
        <v>105</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120</v>
      </c>
      <c r="C15" s="0" t="n">
        <f aca="false">C13-MAX(0,C13)*C14/100</f>
        <v>926.950024</v>
      </c>
      <c r="D15" s="0" t="n">
        <f aca="false">D13-MAX(0,D13)*D14/100</f>
        <v>915.30569312</v>
      </c>
      <c r="E15" s="0" t="n">
        <f aca="false">E13-MAX(0,E13)*E14/100</f>
        <v>970.53965736</v>
      </c>
      <c r="F15" s="0" t="n">
        <f aca="false">F13-MAX(0,F13)*F14/100</f>
        <v>994.803148794</v>
      </c>
      <c r="G15" s="0" t="n">
        <f aca="false">G13-MAX(0,G13)*G14/100</f>
        <v>1019.67322751385</v>
      </c>
      <c r="H15" s="0" t="n">
        <f aca="false">H13-MAX(0,H13)*H14/100</f>
        <v>1045.1650582017</v>
      </c>
      <c r="I15" s="0" t="n">
        <f aca="false">I13-MAX(0,I13)*I14/100</f>
        <v>1057.18445637102</v>
      </c>
      <c r="J15" s="0" t="n">
        <f aca="false">J13-MAX(0,J13)*J14/100</f>
        <v>1078.32814549844</v>
      </c>
      <c r="K15" s="0" t="n">
        <f aca="false">K13-MAX(0,K13)*K14/100</f>
        <v>1099.8947084084</v>
      </c>
      <c r="L15" s="0" t="n">
        <f aca="false">L13-MAX(0,L13)*L14/100</f>
        <v>1121.89260257657</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-C6*Assumptions!C18/100</f>
        <v>-196.99056</v>
      </c>
      <c r="D17" s="4" t="n">
        <f aca="false">-D6*Assumptions!D18/100</f>
        <v>-152.1752076</v>
      </c>
      <c r="E17" s="4" t="n">
        <f aca="false">-E6*Assumptions!E18/100</f>
        <v>-127.09447894</v>
      </c>
      <c r="F17" s="4" t="n">
        <f aca="false">-F6*Assumptions!F18/100</f>
        <v>-130.2718409135</v>
      </c>
      <c r="G17" s="4" t="n">
        <f aca="false">-G6*Assumptions!G18/100</f>
        <v>-133.528636936337</v>
      </c>
      <c r="H17" s="4" t="n">
        <f aca="false">-H6*Assumptions!H18/100</f>
        <v>-136.866852859746</v>
      </c>
      <c r="I17" s="4" t="n">
        <f aca="false">-I6*Assumptions!I18/100</f>
        <v>-114.221609932042</v>
      </c>
      <c r="J17" s="4" t="n">
        <f aca="false">-J6*Assumptions!J18/100</f>
        <v>-116.506042130683</v>
      </c>
      <c r="K17" s="4" t="n">
        <f aca="false">-K6*Assumptions!K18/100</f>
        <v>-118.836162973297</v>
      </c>
      <c r="L17" s="4" t="n">
        <f aca="false">-L6*Assumptions!L18/100</f>
        <v>-121.212886232763</v>
      </c>
    </row>
    <row r="18" customFormat="false" ht="15" hidden="false" customHeight="false" outlineLevel="0" collapsed="false">
      <c r="A18" s="0" t="s">
        <v>123</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124</v>
      </c>
      <c r="C19" s="0" t="n">
        <f aca="false">C15+C16+C17+C18</f>
        <v>729.959464</v>
      </c>
      <c r="D19" s="0" t="n">
        <f aca="false">D15+D16+D17+D18</f>
        <v>763.13048552</v>
      </c>
      <c r="E19" s="0" t="n">
        <f aca="false">E15+E16+E17+E18</f>
        <v>843.44517842</v>
      </c>
      <c r="F19" s="0" t="n">
        <f aca="false">F15+F16+F17+F18</f>
        <v>864.5313078805</v>
      </c>
      <c r="G19" s="0" t="n">
        <f aca="false">G15+G16+G17+G18</f>
        <v>886.144590577512</v>
      </c>
      <c r="H19" s="0" t="n">
        <f aca="false">H15+H16+H17+H18</f>
        <v>908.29820534195</v>
      </c>
      <c r="I19" s="0" t="n">
        <f aca="false">I15+I16+I17+I18</f>
        <v>942.962846438973</v>
      </c>
      <c r="J19" s="0" t="n">
        <f aca="false">J15+J16+J17+J18</f>
        <v>961.822103367752</v>
      </c>
      <c r="K19" s="0" t="n">
        <f aca="false">K15+K16+K17+K18</f>
        <v>981.058545435108</v>
      </c>
      <c r="L19" s="0" t="n">
        <f aca="false">L15+L16+L17+L18</f>
        <v>1000.67971634381</v>
      </c>
    </row>
    <row r="20" customFormat="false" ht="15" hidden="false" customHeight="false" outlineLevel="0" collapsed="false">
      <c r="A20" s="0" t="s">
        <v>125</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126</v>
      </c>
      <c r="C21" s="0" t="n">
        <f aca="false">C19*C20</f>
        <v>669.687581651376</v>
      </c>
      <c r="D21" s="0" t="n">
        <f aca="false">D19*D20</f>
        <v>642.31166191398</v>
      </c>
      <c r="E21" s="0" t="n">
        <f aca="false">E19*E20</f>
        <v>651.294433113081</v>
      </c>
      <c r="F21" s="0" t="n">
        <f aca="false">F19*F20</f>
        <v>612.455774257713</v>
      </c>
      <c r="G21" s="0" t="n">
        <f aca="false">G19*G20</f>
        <v>575.933182214822</v>
      </c>
      <c r="H21" s="0" t="n">
        <f aca="false">H19*H20</f>
        <v>541.588542908434</v>
      </c>
      <c r="I21" s="0" t="n">
        <f aca="false">I19*I20</f>
        <v>515.832968617048</v>
      </c>
      <c r="J21" s="0" t="n">
        <f aca="false">J19*J20</f>
        <v>482.70608072421</v>
      </c>
      <c r="K21" s="0" t="n">
        <f aca="false">K19*K20</f>
        <v>451.706607650179</v>
      </c>
      <c r="L21" s="0" t="n">
        <f aca="false">L19*L20</f>
        <v>422.697926424938</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9</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13</v>
      </c>
    </row>
    <row r="30" customFormat="false" ht="15" hidden="false" customHeight="false" outlineLevel="0" collapsed="false">
      <c r="A30" s="0" t="s">
        <v>129</v>
      </c>
      <c r="B30" s="0" t="n">
        <f aca="false">SUM(C21:L21)</f>
        <v>5566.21475947578</v>
      </c>
    </row>
    <row r="31" customFormat="false" ht="15" hidden="false" customHeight="false" outlineLevel="0" collapsed="false">
      <c r="A31" s="0" t="s">
        <v>130</v>
      </c>
      <c r="B31" s="0" t="n">
        <f aca="false">L19</f>
        <v>1000.67971634381</v>
      </c>
    </row>
    <row r="32" customFormat="false" ht="15" hidden="false" customHeight="false" outlineLevel="0" collapsed="false">
      <c r="A32" s="0" t="s">
        <v>131</v>
      </c>
      <c r="B32" s="0" t="n">
        <f aca="false">IF(B27&gt;B28,B31*(1+B28/100)/((B27-B28)/100),B31*B29)</f>
        <v>14581.3330095812</v>
      </c>
    </row>
    <row r="33" customFormat="false" ht="15" hidden="false" customHeight="false" outlineLevel="0" collapsed="false">
      <c r="A33" s="0" t="s">
        <v>132</v>
      </c>
      <c r="B33" s="0" t="n">
        <f aca="false">B31*B29</f>
        <v>13008.8363124695</v>
      </c>
    </row>
    <row r="34" customFormat="false" ht="15" hidden="false" customHeight="false" outlineLevel="0" collapsed="false">
      <c r="A34" s="0" t="s">
        <v>133</v>
      </c>
      <c r="B34" s="0" t="n">
        <f aca="false">MAX(0,MIN(B32,B33))</f>
        <v>13008.8363124695</v>
      </c>
    </row>
    <row r="35" customFormat="false" ht="15" hidden="false" customHeight="false" outlineLevel="0" collapsed="false">
      <c r="A35" s="0" t="s">
        <v>134</v>
      </c>
      <c r="B35" s="0" t="n">
        <f aca="false">B34/(1+B27/100)^L4</f>
        <v>5495.07304352419</v>
      </c>
    </row>
    <row r="36" customFormat="false" ht="15" hidden="false" customHeight="false" outlineLevel="0" collapsed="false">
      <c r="A36" s="0" t="s">
        <v>135</v>
      </c>
      <c r="B36" s="0" t="n">
        <f aca="false">B30+B35</f>
        <v>11061.287803</v>
      </c>
    </row>
    <row r="37" customFormat="false" ht="15" hidden="false" customHeight="false" outlineLevel="0" collapsed="false">
      <c r="A37" s="0" t="s">
        <v>136</v>
      </c>
      <c r="B37" s="0" t="n">
        <f aca="false">B36+Assumptions!$B$5-Assumptions!$B$4</f>
        <v>11179.287803</v>
      </c>
    </row>
    <row r="38" customFormat="false" ht="15" hidden="false" customHeight="false" outlineLevel="0" collapsed="false">
      <c r="A38" s="0" t="s">
        <v>137</v>
      </c>
      <c r="B38" s="0" t="n">
        <f aca="false">B37/Assumptions!$B$3*Assumptions!$B$10</f>
        <v>4.76932073506825</v>
      </c>
    </row>
    <row r="39" customFormat="false" ht="15" hidden="false" customHeight="false" outlineLevel="0" collapsed="false">
      <c r="A39" s="0" t="s">
        <v>138</v>
      </c>
      <c r="B39" s="4" t="n">
        <f aca="false">B38/Assumptions!$B$2-1</f>
        <v>-0.398572416763147</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4.76932073506825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7851.48700515912</v>
      </c>
    </row>
    <row r="47" customFormat="false" ht="15" hidden="false" customHeight="false" outlineLevel="0" collapsed="false">
      <c r="A47" s="0" t="s">
        <v>143</v>
      </c>
      <c r="B47" s="0" t="n">
        <f aca="false">(SUMPRODUCT(C19:L19/(1+B45/100)^C4:L4)+B46/(1+B45/100)^L4+Assumptions!$B$5-Assumptions!$B$4)/Assumptions!$B$3*Assumptions!$B$10</f>
        <v>2.70811786953564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6</v>
      </c>
      <c r="D5" s="4" t="n">
        <f aca="false">Assumptions!D27</f>
        <v>5</v>
      </c>
      <c r="E5" s="4" t="n">
        <f aca="false">Assumptions!E27</f>
        <v>4.5</v>
      </c>
      <c r="F5" s="4" t="n">
        <f aca="false">Assumptions!F27</f>
        <v>4</v>
      </c>
      <c r="G5" s="4" t="n">
        <f aca="false">Assumptions!G27</f>
        <v>3.5</v>
      </c>
      <c r="H5" s="4" t="n">
        <f aca="false">Assumptions!H27</f>
        <v>3</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10523</v>
      </c>
      <c r="C6" s="0" t="n">
        <f aca="false">B6*(1+C5/100)</f>
        <v>11154.38</v>
      </c>
      <c r="D6" s="0" t="n">
        <f aca="false">C6*(1+D5/100)</f>
        <v>11712.099</v>
      </c>
      <c r="E6" s="0" t="n">
        <f aca="false">D6*(1+E5/100)</f>
        <v>12239.143455</v>
      </c>
      <c r="F6" s="0" t="n">
        <f aca="false">E6*(1+F5/100)</f>
        <v>12728.7091932</v>
      </c>
      <c r="G6" s="0" t="n">
        <f aca="false">F6*(1+G5/100)</f>
        <v>13174.214014962</v>
      </c>
      <c r="H6" s="0" t="n">
        <f aca="false">G6*(1+H5/100)</f>
        <v>13569.4404354109</v>
      </c>
      <c r="I6" s="0" t="n">
        <f aca="false">H6*(1+I5/100)</f>
        <v>13976.5236484732</v>
      </c>
      <c r="J6" s="0" t="n">
        <f aca="false">I6*(1+J5/100)</f>
        <v>14395.8193579274</v>
      </c>
      <c r="K6" s="0" t="n">
        <f aca="false">J6*(1+K5/100)</f>
        <v>14755.7148418756</v>
      </c>
      <c r="L6" s="0" t="n">
        <f aca="false">K6*(1+L5/100)</f>
        <v>15124.6077129225</v>
      </c>
    </row>
    <row r="7" customFormat="false" ht="15" hidden="false" customHeight="false" outlineLevel="0" collapsed="false">
      <c r="A7" s="0" t="s">
        <v>100</v>
      </c>
      <c r="C7" s="4" t="n">
        <f aca="false">Assumptions!C28</f>
        <v>14.4</v>
      </c>
      <c r="D7" s="4" t="n">
        <f aca="false">Assumptions!D28</f>
        <v>14.1</v>
      </c>
      <c r="E7" s="4" t="n">
        <f aca="false">Assumptions!E28</f>
        <v>13.9</v>
      </c>
      <c r="F7" s="4" t="n">
        <f aca="false">Assumptions!F28</f>
        <v>13.8</v>
      </c>
      <c r="G7" s="4" t="n">
        <f aca="false">Assumptions!G28</f>
        <v>13.7</v>
      </c>
      <c r="H7" s="4" t="n">
        <f aca="false">Assumptions!H28</f>
        <v>13.6</v>
      </c>
      <c r="I7" s="4" t="n">
        <f aca="false">Assumptions!I28</f>
        <v>13.6</v>
      </c>
      <c r="J7" s="4" t="n">
        <f aca="false">Assumptions!J28</f>
        <v>13.6</v>
      </c>
      <c r="K7" s="4" t="n">
        <f aca="false">Assumptions!K28</f>
        <v>13.6</v>
      </c>
      <c r="L7" s="4" t="n">
        <f aca="false">Assumptions!L28</f>
        <v>13.6</v>
      </c>
    </row>
    <row r="8" customFormat="false" ht="15" hidden="false" customHeight="false" outlineLevel="0" collapsed="false">
      <c r="A8" s="0" t="s">
        <v>43</v>
      </c>
      <c r="C8" s="0" t="n">
        <f aca="false">C6*C7/100</f>
        <v>1606.23072</v>
      </c>
      <c r="D8" s="0" t="n">
        <f aca="false">D6*D7/100</f>
        <v>1651.405959</v>
      </c>
      <c r="E8" s="0" t="n">
        <f aca="false">E6*E7/100</f>
        <v>1701.240940245</v>
      </c>
      <c r="F8" s="0" t="n">
        <f aca="false">F6*F7/100</f>
        <v>1756.5618686616</v>
      </c>
      <c r="G8" s="0" t="n">
        <f aca="false">G6*G7/100</f>
        <v>1804.86732004979</v>
      </c>
      <c r="H8" s="0" t="n">
        <f aca="false">H6*H7/100</f>
        <v>1845.44389921588</v>
      </c>
      <c r="I8" s="0" t="n">
        <f aca="false">I6*I7/100</f>
        <v>1900.80721619235</v>
      </c>
      <c r="J8" s="0" t="n">
        <f aca="false">J6*J7/100</f>
        <v>1957.83143267812</v>
      </c>
      <c r="K8" s="0" t="n">
        <f aca="false">K6*K7/100</f>
        <v>2006.77721849508</v>
      </c>
      <c r="L8" s="0" t="n">
        <f aca="false">L6*L7/100</f>
        <v>2056.94664895745</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1606.23072</v>
      </c>
      <c r="D11" s="0" t="n">
        <f aca="false">D8+D10+D24</f>
        <v>1651.405959</v>
      </c>
      <c r="E11" s="0" t="n">
        <f aca="false">E8+E10+E24</f>
        <v>1701.240940245</v>
      </c>
      <c r="F11" s="0" t="n">
        <f aca="false">F8+F10+F24</f>
        <v>1756.5618686616</v>
      </c>
      <c r="G11" s="0" t="n">
        <f aca="false">G8+G10+G24</f>
        <v>1804.86732004979</v>
      </c>
      <c r="H11" s="0" t="n">
        <f aca="false">H8+H10+H24</f>
        <v>1845.44389921588</v>
      </c>
      <c r="I11" s="0" t="n">
        <f aca="false">I8+I10+I24</f>
        <v>1900.80721619235</v>
      </c>
      <c r="J11" s="0" t="n">
        <f aca="false">J8+J10+J24</f>
        <v>1957.83143267812</v>
      </c>
      <c r="K11" s="0" t="n">
        <f aca="false">K8+K10+K24</f>
        <v>2006.77721849508</v>
      </c>
      <c r="L11" s="0" t="n">
        <f aca="false">L8+L10+L24</f>
        <v>2056.94664895745</v>
      </c>
    </row>
    <row r="12" customFormat="false" ht="15" hidden="false" customHeight="false" outlineLevel="0" collapsed="false">
      <c r="A12" s="0" t="s">
        <v>118</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119</v>
      </c>
      <c r="C13" s="0" t="n">
        <f aca="false">C11+C12</f>
        <v>1606.23072</v>
      </c>
      <c r="D13" s="0" t="n">
        <f aca="false">D11+D12</f>
        <v>1651.405959</v>
      </c>
      <c r="E13" s="0" t="n">
        <f aca="false">E11+E12</f>
        <v>1701.240940245</v>
      </c>
      <c r="F13" s="0" t="n">
        <f aca="false">F11+F12</f>
        <v>1756.5618686616</v>
      </c>
      <c r="G13" s="0" t="n">
        <f aca="false">G11+G12</f>
        <v>1804.86732004979</v>
      </c>
      <c r="H13" s="0" t="n">
        <f aca="false">H11+H12</f>
        <v>1845.44389921588</v>
      </c>
      <c r="I13" s="0" t="n">
        <f aca="false">I11+I12</f>
        <v>1900.80721619235</v>
      </c>
      <c r="J13" s="0" t="n">
        <f aca="false">J11+J12</f>
        <v>1957.83143267812</v>
      </c>
      <c r="K13" s="0" t="n">
        <f aca="false">K11+K12</f>
        <v>2006.77721849508</v>
      </c>
      <c r="L13" s="0" t="n">
        <f aca="false">L11+L12</f>
        <v>2056.94664895745</v>
      </c>
    </row>
    <row r="14" customFormat="false" ht="15" hidden="false" customHeight="false" outlineLevel="0" collapsed="false">
      <c r="A14" s="0" t="s">
        <v>105</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120</v>
      </c>
      <c r="C15" s="0" t="n">
        <f aca="false">C13-MAX(0,C13)*C14/100</f>
        <v>1124.361504</v>
      </c>
      <c r="D15" s="0" t="n">
        <f aca="false">D13-MAX(0,D13)*D14/100</f>
        <v>1155.9841713</v>
      </c>
      <c r="E15" s="0" t="n">
        <f aca="false">E13-MAX(0,E13)*E14/100</f>
        <v>1190.8686581715</v>
      </c>
      <c r="F15" s="0" t="n">
        <f aca="false">F13-MAX(0,F13)*F14/100</f>
        <v>1229.59330806312</v>
      </c>
      <c r="G15" s="0" t="n">
        <f aca="false">G13-MAX(0,G13)*G14/100</f>
        <v>1263.40712403486</v>
      </c>
      <c r="H15" s="0" t="n">
        <f aca="false">H13-MAX(0,H13)*H14/100</f>
        <v>1291.81072945111</v>
      </c>
      <c r="I15" s="0" t="n">
        <f aca="false">I13-MAX(0,I13)*I14/100</f>
        <v>1330.56505133465</v>
      </c>
      <c r="J15" s="0" t="n">
        <f aca="false">J13-MAX(0,J13)*J14/100</f>
        <v>1370.48200287469</v>
      </c>
      <c r="K15" s="0" t="n">
        <f aca="false">K13-MAX(0,K13)*K14/100</f>
        <v>1404.74405294655</v>
      </c>
      <c r="L15" s="0" t="n">
        <f aca="false">L13-MAX(0,L13)*L14/100</f>
        <v>1439.86265427022</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-C6*Assumptions!C32/100</f>
        <v>-234.24198</v>
      </c>
      <c r="D17" s="4" t="n">
        <f aca="false">-D6*Assumptions!D32/100</f>
        <v>-204.9617325</v>
      </c>
      <c r="E17" s="4" t="n">
        <f aca="false">-E6*Assumptions!E32/100</f>
        <v>-195.82629528</v>
      </c>
      <c r="F17" s="4" t="n">
        <f aca="false">-F6*Assumptions!F32/100</f>
        <v>-178.2019287048</v>
      </c>
      <c r="G17" s="4" t="n">
        <f aca="false">-G6*Assumptions!G32/100</f>
        <v>-158.090568179544</v>
      </c>
      <c r="H17" s="4" t="n">
        <f aca="false">-H6*Assumptions!H32/100</f>
        <v>-142.479124571814</v>
      </c>
      <c r="I17" s="4" t="n">
        <f aca="false">-I6*Assumptions!I32/100</f>
        <v>-146.753498308968</v>
      </c>
      <c r="J17" s="4" t="n">
        <f aca="false">-J6*Assumptions!J32/100</f>
        <v>-151.156103258238</v>
      </c>
      <c r="K17" s="4" t="n">
        <f aca="false">-K6*Assumptions!K32/100</f>
        <v>-132.80143357688</v>
      </c>
      <c r="L17" s="4" t="n">
        <f aca="false">-L6*Assumptions!L32/100</f>
        <v>-136.121469416302</v>
      </c>
    </row>
    <row r="18" customFormat="false" ht="15" hidden="false" customHeight="false" outlineLevel="0" collapsed="false">
      <c r="A18" s="0" t="s">
        <v>123</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124</v>
      </c>
      <c r="C19" s="0" t="n">
        <f aca="false">C15+C16+C17+C18</f>
        <v>890.119524</v>
      </c>
      <c r="D19" s="0" t="n">
        <f aca="false">D15+D16+D17+D18</f>
        <v>951.0224388</v>
      </c>
      <c r="E19" s="0" t="n">
        <f aca="false">E15+E16+E17+E18</f>
        <v>995.0423628915</v>
      </c>
      <c r="F19" s="0" t="n">
        <f aca="false">F15+F16+F17+F18</f>
        <v>1051.39137935832</v>
      </c>
      <c r="G19" s="0" t="n">
        <f aca="false">G15+G16+G17+G18</f>
        <v>1105.31655585531</v>
      </c>
      <c r="H19" s="0" t="n">
        <f aca="false">H15+H16+H17+H18</f>
        <v>1149.3316048793</v>
      </c>
      <c r="I19" s="0" t="n">
        <f aca="false">I15+I16+I17+I18</f>
        <v>1183.81155302568</v>
      </c>
      <c r="J19" s="0" t="n">
        <f aca="false">J15+J16+J17+J18</f>
        <v>1219.32589961645</v>
      </c>
      <c r="K19" s="0" t="n">
        <f aca="false">K15+K16+K17+K18</f>
        <v>1271.94261936967</v>
      </c>
      <c r="L19" s="0" t="n">
        <f aca="false">L15+L16+L17+L18</f>
        <v>1303.74118485392</v>
      </c>
    </row>
    <row r="20" customFormat="false" ht="15" hidden="false" customHeight="false" outlineLevel="0" collapsed="false">
      <c r="A20" s="0" t="s">
        <v>125</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126</v>
      </c>
      <c r="C21" s="0" t="n">
        <f aca="false">C19*C20</f>
        <v>816.623416513762</v>
      </c>
      <c r="D21" s="0" t="n">
        <f aca="false">D19*D20</f>
        <v>800.456559885531</v>
      </c>
      <c r="E21" s="0" t="n">
        <f aca="false">E19*E20</f>
        <v>768.355274585743</v>
      </c>
      <c r="F21" s="0" t="n">
        <f aca="false">F19*F20</f>
        <v>744.832159834046</v>
      </c>
      <c r="G21" s="0" t="n">
        <f aca="false">G19*G20</f>
        <v>718.379921445555</v>
      </c>
      <c r="H21" s="0" t="n">
        <f aca="false">H19*H20</f>
        <v>685.308883739179</v>
      </c>
      <c r="I21" s="0" t="n">
        <f aca="false">I19*I20</f>
        <v>647.585458946197</v>
      </c>
      <c r="J21" s="0" t="n">
        <f aca="false">J19*J20</f>
        <v>611.938552949159</v>
      </c>
      <c r="K21" s="0" t="n">
        <f aca="false">K19*K20</f>
        <v>585.637715908526</v>
      </c>
      <c r="L21" s="0" t="n">
        <f aca="false">L19*L20</f>
        <v>550.714365877284</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9</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16</v>
      </c>
    </row>
    <row r="30" customFormat="false" ht="15" hidden="false" customHeight="false" outlineLevel="0" collapsed="false">
      <c r="A30" s="0" t="s">
        <v>129</v>
      </c>
      <c r="B30" s="0" t="n">
        <f aca="false">SUM(C21:L21)</f>
        <v>6929.83230968498</v>
      </c>
    </row>
    <row r="31" customFormat="false" ht="15" hidden="false" customHeight="false" outlineLevel="0" collapsed="false">
      <c r="A31" s="0" t="s">
        <v>130</v>
      </c>
      <c r="B31" s="0" t="n">
        <f aca="false">L19</f>
        <v>1303.74118485392</v>
      </c>
    </row>
    <row r="32" customFormat="false" ht="15" hidden="false" customHeight="false" outlineLevel="0" collapsed="false">
      <c r="A32" s="0" t="s">
        <v>131</v>
      </c>
      <c r="B32" s="0" t="n">
        <f aca="false">IF(B27&gt;B28,B31*(1+B28/100)/((B27-B28)/100),B31*B29)</f>
        <v>20558.9956073117</v>
      </c>
    </row>
    <row r="33" customFormat="false" ht="15" hidden="false" customHeight="false" outlineLevel="0" collapsed="false">
      <c r="A33" s="0" t="s">
        <v>132</v>
      </c>
      <c r="B33" s="0" t="n">
        <f aca="false">B31*B29</f>
        <v>20859.8589576627</v>
      </c>
    </row>
    <row r="34" customFormat="false" ht="15" hidden="false" customHeight="false" outlineLevel="0" collapsed="false">
      <c r="A34" s="0" t="s">
        <v>133</v>
      </c>
      <c r="B34" s="0" t="n">
        <f aca="false">MAX(0,MIN(B32,B33))</f>
        <v>20558.9956073117</v>
      </c>
    </row>
    <row r="35" customFormat="false" ht="15" hidden="false" customHeight="false" outlineLevel="0" collapsed="false">
      <c r="A35" s="0" t="s">
        <v>134</v>
      </c>
      <c r="B35" s="0" t="n">
        <f aca="false">B34/(1+B27/100)^L4</f>
        <v>8684.34192344948</v>
      </c>
    </row>
    <row r="36" customFormat="false" ht="15" hidden="false" customHeight="false" outlineLevel="0" collapsed="false">
      <c r="A36" s="0" t="s">
        <v>135</v>
      </c>
      <c r="B36" s="0" t="n">
        <f aca="false">B30+B35</f>
        <v>15614.1742331345</v>
      </c>
    </row>
    <row r="37" customFormat="false" ht="15" hidden="false" customHeight="false" outlineLevel="0" collapsed="false">
      <c r="A37" s="0" t="s">
        <v>136</v>
      </c>
      <c r="B37" s="0" t="n">
        <f aca="false">B36+Assumptions!$B$5-Assumptions!$B$4</f>
        <v>15732.1742331345</v>
      </c>
    </row>
    <row r="38" customFormat="false" ht="15" hidden="false" customHeight="false" outlineLevel="0" collapsed="false">
      <c r="A38" s="0" t="s">
        <v>137</v>
      </c>
      <c r="B38" s="0" t="n">
        <f aca="false">B37/Assumptions!$B$3*Assumptions!$B$10</f>
        <v>6.71167842710514</v>
      </c>
    </row>
    <row r="39" customFormat="false" ht="15" hidden="false" customHeight="false" outlineLevel="0" collapsed="false">
      <c r="A39" s="0" t="s">
        <v>138</v>
      </c>
      <c r="B39" s="4" t="n">
        <f aca="false">B38/Assumptions!$B$2-1</f>
        <v>-0.1536344984735</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6.71167842710514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10690.6777158021</v>
      </c>
    </row>
    <row r="47" customFormat="false" ht="15" hidden="false" customHeight="false" outlineLevel="0" collapsed="false">
      <c r="A47" s="0" t="s">
        <v>143</v>
      </c>
      <c r="B47" s="0" t="n">
        <f aca="false">(SUMPRODUCT(C19:L19/(1+B45/100)^C4:L4)+B46/(1+B45/100)^L4+Assumptions!$B$5-Assumptions!$B$4)/Assumptions!$B$3*Assumptions!$B$10</f>
        <v>3.44837276278525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7.5</v>
      </c>
      <c r="D5" s="4" t="n">
        <f aca="false">Assumptions!D41</f>
        <v>7</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10523</v>
      </c>
      <c r="C6" s="0" t="n">
        <f aca="false">B6*(1+C5/100)</f>
        <v>11312.225</v>
      </c>
      <c r="D6" s="0" t="n">
        <f aca="false">C6*(1+D5/100)</f>
        <v>12104.08075</v>
      </c>
      <c r="E6" s="0" t="n">
        <f aca="false">D6*(1+E5/100)</f>
        <v>12830.325595</v>
      </c>
      <c r="F6" s="0" t="n">
        <f aca="false">E6*(1+F5/100)</f>
        <v>13535.993502725</v>
      </c>
      <c r="G6" s="0" t="n">
        <f aca="false">F6*(1+G5/100)</f>
        <v>14212.7931778613</v>
      </c>
      <c r="H6" s="0" t="n">
        <f aca="false">G6*(1+H5/100)</f>
        <v>14852.368870865</v>
      </c>
      <c r="I6" s="0" t="n">
        <f aca="false">H6*(1+I5/100)</f>
        <v>15446.4636256996</v>
      </c>
      <c r="J6" s="0" t="n">
        <f aca="false">I6*(1+J5/100)</f>
        <v>15987.0898525991</v>
      </c>
      <c r="K6" s="0" t="n">
        <f aca="false">J6*(1+K5/100)</f>
        <v>16466.7025481771</v>
      </c>
      <c r="L6" s="0" t="n">
        <f aca="false">K6*(1+L5/100)</f>
        <v>16960.7036246224</v>
      </c>
    </row>
    <row r="7" customFormat="false" ht="15" hidden="false" customHeight="false" outlineLevel="0" collapsed="false">
      <c r="A7" s="0" t="s">
        <v>100</v>
      </c>
      <c r="C7" s="4" t="n">
        <f aca="false">Assumptions!C42</f>
        <v>15.4</v>
      </c>
      <c r="D7" s="4" t="n">
        <f aca="false">Assumptions!D42</f>
        <v>15.3</v>
      </c>
      <c r="E7" s="4" t="n">
        <f aca="false">Assumptions!E42</f>
        <v>15.2</v>
      </c>
      <c r="F7" s="4" t="n">
        <f aca="false">Assumptions!F42</f>
        <v>15.1</v>
      </c>
      <c r="G7" s="4" t="n">
        <f aca="false">Assumptions!G42</f>
        <v>15</v>
      </c>
      <c r="H7" s="4" t="n">
        <f aca="false">Assumptions!H42</f>
        <v>15</v>
      </c>
      <c r="I7" s="4" t="n">
        <f aca="false">Assumptions!I42</f>
        <v>15</v>
      </c>
      <c r="J7" s="4" t="n">
        <f aca="false">Assumptions!J42</f>
        <v>15</v>
      </c>
      <c r="K7" s="4" t="n">
        <f aca="false">Assumptions!K42</f>
        <v>15</v>
      </c>
      <c r="L7" s="4" t="n">
        <f aca="false">Assumptions!L42</f>
        <v>15</v>
      </c>
    </row>
    <row r="8" customFormat="false" ht="15" hidden="false" customHeight="false" outlineLevel="0" collapsed="false">
      <c r="A8" s="0" t="s">
        <v>43</v>
      </c>
      <c r="C8" s="0" t="n">
        <f aca="false">C6*C7/100</f>
        <v>1742.08265</v>
      </c>
      <c r="D8" s="0" t="n">
        <f aca="false">D6*D7/100</f>
        <v>1851.92435475</v>
      </c>
      <c r="E8" s="0" t="n">
        <f aca="false">E6*E7/100</f>
        <v>1950.20949044</v>
      </c>
      <c r="F8" s="0" t="n">
        <f aca="false">F6*F7/100</f>
        <v>2043.93501891148</v>
      </c>
      <c r="G8" s="0" t="n">
        <f aca="false">G6*G7/100</f>
        <v>2131.91897667919</v>
      </c>
      <c r="H8" s="0" t="n">
        <f aca="false">H6*H7/100</f>
        <v>2227.85533062975</v>
      </c>
      <c r="I8" s="0" t="n">
        <f aca="false">I6*I7/100</f>
        <v>2316.96954385494</v>
      </c>
      <c r="J8" s="0" t="n">
        <f aca="false">J6*J7/100</f>
        <v>2398.06347788986</v>
      </c>
      <c r="K8" s="0" t="n">
        <f aca="false">K6*K7/100</f>
        <v>2470.00538222656</v>
      </c>
      <c r="L8" s="0" t="n">
        <f aca="false">L6*L7/100</f>
        <v>2544.10554369336</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1742.08265</v>
      </c>
      <c r="D11" s="0" t="n">
        <f aca="false">D8+D10+D24</f>
        <v>1851.92435475</v>
      </c>
      <c r="E11" s="0" t="n">
        <f aca="false">E8+E10+E24</f>
        <v>1950.20949044</v>
      </c>
      <c r="F11" s="0" t="n">
        <f aca="false">F8+F10+F24</f>
        <v>2043.93501891148</v>
      </c>
      <c r="G11" s="0" t="n">
        <f aca="false">G8+G10+G24</f>
        <v>2131.91897667919</v>
      </c>
      <c r="H11" s="0" t="n">
        <f aca="false">H8+H10+H24</f>
        <v>2227.85533062975</v>
      </c>
      <c r="I11" s="0" t="n">
        <f aca="false">I8+I10+I24</f>
        <v>2316.96954385494</v>
      </c>
      <c r="J11" s="0" t="n">
        <f aca="false">J8+J10+J24</f>
        <v>2398.06347788986</v>
      </c>
      <c r="K11" s="0" t="n">
        <f aca="false">K8+K10+K24</f>
        <v>2470.00538222656</v>
      </c>
      <c r="L11" s="0" t="n">
        <f aca="false">L8+L10+L24</f>
        <v>2544.10554369336</v>
      </c>
    </row>
    <row r="12" customFormat="false" ht="15" hidden="false" customHeight="false" outlineLevel="0" collapsed="false">
      <c r="A12" s="0" t="s">
        <v>118</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119</v>
      </c>
      <c r="C13" s="0" t="n">
        <f aca="false">C11+C12</f>
        <v>1742.08265</v>
      </c>
      <c r="D13" s="0" t="n">
        <f aca="false">D11+D12</f>
        <v>1851.92435475</v>
      </c>
      <c r="E13" s="0" t="n">
        <f aca="false">E11+E12</f>
        <v>1950.20949044</v>
      </c>
      <c r="F13" s="0" t="n">
        <f aca="false">F11+F12</f>
        <v>2043.93501891148</v>
      </c>
      <c r="G13" s="0" t="n">
        <f aca="false">G11+G12</f>
        <v>2131.91897667919</v>
      </c>
      <c r="H13" s="0" t="n">
        <f aca="false">H11+H12</f>
        <v>2227.85533062975</v>
      </c>
      <c r="I13" s="0" t="n">
        <f aca="false">I11+I12</f>
        <v>2316.96954385494</v>
      </c>
      <c r="J13" s="0" t="n">
        <f aca="false">J11+J12</f>
        <v>2398.06347788986</v>
      </c>
      <c r="K13" s="0" t="n">
        <f aca="false">K11+K12</f>
        <v>2470.00538222656</v>
      </c>
      <c r="L13" s="0" t="n">
        <f aca="false">L11+L12</f>
        <v>2544.10554369336</v>
      </c>
    </row>
    <row r="14" customFormat="false" ht="15" hidden="false" customHeight="false" outlineLevel="0" collapsed="false">
      <c r="A14" s="0" t="s">
        <v>105</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120</v>
      </c>
      <c r="C15" s="0" t="n">
        <f aca="false">C13-MAX(0,C13)*C14/100</f>
        <v>1219.457855</v>
      </c>
      <c r="D15" s="0" t="n">
        <f aca="false">D13-MAX(0,D13)*D14/100</f>
        <v>1296.347048325</v>
      </c>
      <c r="E15" s="0" t="n">
        <f aca="false">E13-MAX(0,E13)*E14/100</f>
        <v>1365.146643308</v>
      </c>
      <c r="F15" s="0" t="n">
        <f aca="false">F13-MAX(0,F13)*F14/100</f>
        <v>1430.75451323803</v>
      </c>
      <c r="G15" s="0" t="n">
        <f aca="false">G13-MAX(0,G13)*G14/100</f>
        <v>1492.34328367543</v>
      </c>
      <c r="H15" s="0" t="n">
        <f aca="false">H13-MAX(0,H13)*H14/100</f>
        <v>1559.49873144083</v>
      </c>
      <c r="I15" s="0" t="n">
        <f aca="false">I13-MAX(0,I13)*I14/100</f>
        <v>1621.87868069846</v>
      </c>
      <c r="J15" s="0" t="n">
        <f aca="false">J13-MAX(0,J13)*J14/100</f>
        <v>1678.6444345229</v>
      </c>
      <c r="K15" s="0" t="n">
        <f aca="false">K13-MAX(0,K13)*K14/100</f>
        <v>1729.00376755859</v>
      </c>
      <c r="L15" s="0" t="n">
        <f aca="false">L13-MAX(0,L13)*L14/100</f>
        <v>1780.87388058535</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-C6*Assumptions!C46/100</f>
        <v>-294.11785</v>
      </c>
      <c r="D17" s="4" t="n">
        <f aca="false">-D6*Assumptions!D46/100</f>
        <v>-296.549978375</v>
      </c>
      <c r="E17" s="4" t="n">
        <f aca="false">-E6*Assumptions!E46/100</f>
        <v>-269.436837495</v>
      </c>
      <c r="F17" s="4" t="n">
        <f aca="false">-F6*Assumptions!F46/100</f>
        <v>-257.183876551775</v>
      </c>
      <c r="G17" s="4" t="n">
        <f aca="false">-G6*Assumptions!G46/100</f>
        <v>-248.723880612572</v>
      </c>
      <c r="H17" s="4" t="n">
        <f aca="false">-H6*Assumptions!H46/100</f>
        <v>-237.63790193384</v>
      </c>
      <c r="I17" s="4" t="n">
        <f aca="false">-I6*Assumptions!I46/100</f>
        <v>-216.250490759794</v>
      </c>
      <c r="J17" s="4" t="n">
        <f aca="false">-J6*Assumptions!J46/100</f>
        <v>-191.845078231189</v>
      </c>
      <c r="K17" s="4" t="n">
        <f aca="false">-K6*Assumptions!K46/100</f>
        <v>-172.900376755859</v>
      </c>
      <c r="L17" s="4" t="n">
        <f aca="false">-L6*Assumptions!L46/100</f>
        <v>-178.087388058535</v>
      </c>
    </row>
    <row r="18" customFormat="false" ht="15" hidden="false" customHeight="false" outlineLevel="0" collapsed="false">
      <c r="A18" s="0" t="s">
        <v>123</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124</v>
      </c>
      <c r="C19" s="0" t="n">
        <f aca="false">C15+C16+C17+C18</f>
        <v>925.340005</v>
      </c>
      <c r="D19" s="0" t="n">
        <f aca="false">D15+D16+D17+D18</f>
        <v>999.79706995</v>
      </c>
      <c r="E19" s="0" t="n">
        <f aca="false">E15+E16+E17+E18</f>
        <v>1095.709805813</v>
      </c>
      <c r="F19" s="0" t="n">
        <f aca="false">F15+F16+F17+F18</f>
        <v>1173.57063668626</v>
      </c>
      <c r="G19" s="0" t="n">
        <f aca="false">G15+G16+G17+G18</f>
        <v>1243.61940306286</v>
      </c>
      <c r="H19" s="0" t="n">
        <f aca="false">H15+H16+H17+H18</f>
        <v>1321.86082950699</v>
      </c>
      <c r="I19" s="0" t="n">
        <f aca="false">I15+I16+I17+I18</f>
        <v>1405.62818993866</v>
      </c>
      <c r="J19" s="0" t="n">
        <f aca="false">J15+J16+J17+J18</f>
        <v>1486.79935629172</v>
      </c>
      <c r="K19" s="0" t="n">
        <f aca="false">K15+K16+K17+K18</f>
        <v>1556.10339080273</v>
      </c>
      <c r="L19" s="0" t="n">
        <f aca="false">L15+L16+L17+L18</f>
        <v>1602.78649252681</v>
      </c>
    </row>
    <row r="20" customFormat="false" ht="15" hidden="false" customHeight="false" outlineLevel="0" collapsed="false">
      <c r="A20" s="0" t="s">
        <v>125</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126</v>
      </c>
      <c r="C21" s="0" t="n">
        <f aca="false">C19*C20</f>
        <v>848.93578440367</v>
      </c>
      <c r="D21" s="0" t="n">
        <f aca="false">D19*D20</f>
        <v>841.509191103443</v>
      </c>
      <c r="E21" s="0" t="n">
        <f aca="false">E19*E20</f>
        <v>846.089010989715</v>
      </c>
      <c r="F21" s="0" t="n">
        <f aca="false">F19*F20</f>
        <v>831.387025994379</v>
      </c>
      <c r="G21" s="0" t="n">
        <f aca="false">G19*G20</f>
        <v>808.267282660165</v>
      </c>
      <c r="H21" s="0" t="n">
        <f aca="false">H19*H20</f>
        <v>788.182423316473</v>
      </c>
      <c r="I21" s="0" t="n">
        <f aca="false">I19*I20</f>
        <v>768.926755413576</v>
      </c>
      <c r="J21" s="0" t="n">
        <f aca="false">J19*J20</f>
        <v>746.17446156199</v>
      </c>
      <c r="K21" s="0" t="n">
        <f aca="false">K19*K20</f>
        <v>716.473228925089</v>
      </c>
      <c r="L21" s="0" t="n">
        <f aca="false">L19*L20</f>
        <v>677.034335589763</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9</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18</v>
      </c>
    </row>
    <row r="30" customFormat="false" ht="15" hidden="false" customHeight="false" outlineLevel="0" collapsed="false">
      <c r="A30" s="0" t="s">
        <v>129</v>
      </c>
      <c r="B30" s="0" t="n">
        <f aca="false">SUM(C21:L21)</f>
        <v>7872.97949995826</v>
      </c>
    </row>
    <row r="31" customFormat="false" ht="15" hidden="false" customHeight="false" outlineLevel="0" collapsed="false">
      <c r="A31" s="0" t="s">
        <v>130</v>
      </c>
      <c r="B31" s="0" t="n">
        <f aca="false">L19</f>
        <v>1602.78649252681</v>
      </c>
    </row>
    <row r="32" customFormat="false" ht="15" hidden="false" customHeight="false" outlineLevel="0" collapsed="false">
      <c r="A32" s="0" t="s">
        <v>131</v>
      </c>
      <c r="B32" s="0" t="n">
        <f aca="false">IF(B27&gt;B28,B31*(1+B28/100)/((B27-B28)/100),B31*B29)</f>
        <v>27514.5014550437</v>
      </c>
    </row>
    <row r="33" customFormat="false" ht="15" hidden="false" customHeight="false" outlineLevel="0" collapsed="false">
      <c r="A33" s="0" t="s">
        <v>132</v>
      </c>
      <c r="B33" s="0" t="n">
        <f aca="false">B31*B29</f>
        <v>28850.1568654827</v>
      </c>
    </row>
    <row r="34" customFormat="false" ht="15" hidden="false" customHeight="false" outlineLevel="0" collapsed="false">
      <c r="A34" s="0" t="s">
        <v>133</v>
      </c>
      <c r="B34" s="0" t="n">
        <f aca="false">MAX(0,MIN(B32,B33))</f>
        <v>27514.5014550437</v>
      </c>
    </row>
    <row r="35" customFormat="false" ht="15" hidden="false" customHeight="false" outlineLevel="0" collapsed="false">
      <c r="A35" s="0" t="s">
        <v>134</v>
      </c>
      <c r="B35" s="0" t="n">
        <f aca="false">B34/(1+B27/100)^L4</f>
        <v>11622.4227609576</v>
      </c>
    </row>
    <row r="36" customFormat="false" ht="15" hidden="false" customHeight="false" outlineLevel="0" collapsed="false">
      <c r="A36" s="0" t="s">
        <v>135</v>
      </c>
      <c r="B36" s="0" t="n">
        <f aca="false">B30+B35</f>
        <v>19495.4022609159</v>
      </c>
    </row>
    <row r="37" customFormat="false" ht="15" hidden="false" customHeight="false" outlineLevel="0" collapsed="false">
      <c r="A37" s="0" t="s">
        <v>136</v>
      </c>
      <c r="B37" s="0" t="n">
        <f aca="false">B36+Assumptions!$B$5-Assumptions!$B$4</f>
        <v>19613.4022609159</v>
      </c>
    </row>
    <row r="38" customFormat="false" ht="15" hidden="false" customHeight="false" outlineLevel="0" collapsed="false">
      <c r="A38" s="0" t="s">
        <v>137</v>
      </c>
      <c r="B38" s="0" t="n">
        <f aca="false">B37/Assumptions!$B$3*Assumptions!$B$10</f>
        <v>8.36749243213134</v>
      </c>
    </row>
    <row r="39" customFormat="false" ht="15" hidden="false" customHeight="false" outlineLevel="0" collapsed="false">
      <c r="A39" s="0" t="s">
        <v>138</v>
      </c>
      <c r="B39" s="4" t="n">
        <f aca="false">B38/Assumptions!$B$2-1</f>
        <v>0.0551692852624637</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8.36749243213134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13757.2507275218</v>
      </c>
    </row>
    <row r="47" customFormat="false" ht="15" hidden="false" customHeight="false" outlineLevel="0" collapsed="false">
      <c r="A47" s="0" t="s">
        <v>143</v>
      </c>
      <c r="B47" s="0" t="n">
        <f aca="false">(SUMPRODUCT(C19:L19/(1+B45/100)^C4:L4)+B46/(1+B45/100)^L4+Assumptions!$B$5-Assumptions!$B$4)/Assumptions!$B$3*Assumptions!$B$10</f>
        <v>4.05862717413066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4.76932073506825</v>
      </c>
      <c r="C4" s="0" t="n">
        <f aca="false">B4/Assumptions!$B$2-1</f>
        <v>-0.398572416763147</v>
      </c>
      <c r="D4" s="4" t="n">
        <f aca="false">Assumptions!$B$24</f>
        <v>0.25</v>
      </c>
      <c r="E4" s="4" t="n">
        <f aca="false">DCF_Bear!$B$43</f>
        <v>4.76932073506825</v>
      </c>
      <c r="F4" s="4" t="n">
        <f aca="false">DCF_Bear!$B$47</f>
        <v>2.70811786953564</v>
      </c>
    </row>
    <row r="5" customFormat="false" ht="15" hidden="false" customHeight="false" outlineLevel="0" collapsed="false">
      <c r="A5" s="0" t="s">
        <v>152</v>
      </c>
      <c r="B5" s="4" t="n">
        <f aca="false">DCF_Base!$B$38</f>
        <v>6.71167842710514</v>
      </c>
      <c r="C5" s="0" t="n">
        <f aca="false">B5/Assumptions!$B$2-1</f>
        <v>-0.1536344984735</v>
      </c>
      <c r="D5" s="4" t="n">
        <f aca="false">Assumptions!$B$38</f>
        <v>0.5</v>
      </c>
      <c r="E5" s="4" t="n">
        <f aca="false">DCF_Base!$B$43</f>
        <v>6.71167842710514</v>
      </c>
      <c r="F5" s="4" t="n">
        <f aca="false">DCF_Base!$B$47</f>
        <v>3.44837276278525</v>
      </c>
    </row>
    <row r="6" customFormat="false" ht="15" hidden="false" customHeight="false" outlineLevel="0" collapsed="false">
      <c r="A6" s="0" t="s">
        <v>153</v>
      </c>
      <c r="B6" s="4" t="n">
        <f aca="false">DCF_Bull!$B$38</f>
        <v>8.36749243213134</v>
      </c>
      <c r="C6" s="0" t="n">
        <f aca="false">B6/Assumptions!$B$2-1</f>
        <v>0.0551692852624637</v>
      </c>
      <c r="D6" s="4" t="n">
        <f aca="false">Assumptions!$B$52</f>
        <v>0.25</v>
      </c>
      <c r="E6" s="4" t="n">
        <f aca="false">DCF_Bull!$B$43</f>
        <v>8.36749243213134</v>
      </c>
      <c r="F6" s="4" t="n">
        <f aca="false">DCF_Bull!$B$47</f>
        <v>4.05862717413066</v>
      </c>
    </row>
    <row r="8" customFormat="false" ht="15" hidden="false" customHeight="false" outlineLevel="0" collapsed="false">
      <c r="A8" s="0" t="s">
        <v>154</v>
      </c>
      <c r="B8" s="0" t="n">
        <f aca="false">SUMPRODUCT(B4:B6,D4:D6)</f>
        <v>6.64004250535247</v>
      </c>
    </row>
    <row r="9" customFormat="false" ht="15" hidden="false" customHeight="false" outlineLevel="0" collapsed="false">
      <c r="A9" s="0" t="s">
        <v>155</v>
      </c>
      <c r="B9" s="0" t="n">
        <f aca="false">SUMPRODUCT(E4:E6,D4:D6)</f>
        <v>6.64004250535247</v>
      </c>
    </row>
    <row r="10" customFormat="false" ht="15" hidden="false" customHeight="false" outlineLevel="0" collapsed="false">
      <c r="A10" s="0" t="s">
        <v>156</v>
      </c>
      <c r="B10" s="0" t="n">
        <f aca="false">1-Assumptions!$B$2/B8</f>
        <v>-0.194269463427035</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3.4158726423092</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6.71167842710514</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5.80284585324839</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5.1087638019767</v>
      </c>
      <c r="C17" s="3" t="n">
        <v>11</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4.56156290041183</v>
      </c>
      <c r="C18" s="3" t="n">
        <v>12</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3.44837276278525</v>
      </c>
      <c r="C19" s="3" t="n">
        <v>15</v>
      </c>
    </row>
    <row r="21" customFormat="false" ht="15" hidden="false" customHeight="false" outlineLevel="0" collapsed="false">
      <c r="A21" s="2" t="s">
        <v>166</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7.83037684532485</v>
      </c>
      <c r="C23" s="0" t="n">
        <f aca="false">(SUMPRODUCT(DCF_Base!$C$19:$L$19/(1+$A$23/100)^DCF_Base!$C$4:$L$4)+MAX(0,MIN(IF($A$23&gt;$C$22,DCF_Base!$L$19*(1+$C$22/100)/(($A$23-$C$22)/100),DCF_Base!$L$19*DCF_Base!$B$29),DCF_Base!$L$19*DCF_Base!$B$29))/(1+$A$23/100)^DCF_Base!$L$4+Assumptions!$B$5-Assumptions!$B$4)/Assumptions!$B$3*Assumptions!$B$10</f>
        <v>7.83037684532485</v>
      </c>
      <c r="D23" s="0" t="n">
        <f aca="false">(SUMPRODUCT(DCF_Base!$C$19:$L$19/(1+$A$23/100)^DCF_Base!$C$4:$L$4)+MAX(0,MIN(IF($A$23&gt;$D$22,DCF_Base!$L$19*(1+$D$22/100)/(($A$23-$D$22)/100),DCF_Base!$L$19*DCF_Base!$B$29),DCF_Base!$L$19*DCF_Base!$B$29))/(1+$A$23/100)^DCF_Base!$L$4+Assumptions!$B$5-Assumptions!$B$4)/Assumptions!$B$3*Assumptions!$B$10</f>
        <v>7.83037684532485</v>
      </c>
      <c r="E23" s="0" t="n">
        <f aca="false">(SUMPRODUCT(DCF_Base!$C$19:$L$19/(1+$A$23/100)^DCF_Base!$C$4:$L$4)+MAX(0,MIN(IF($A$23&gt;$E$22,DCF_Base!$L$19*(1+$E$22/100)/(($A$23-$E$22)/100),DCF_Base!$L$19*DCF_Base!$B$29),DCF_Base!$L$19*DCF_Base!$B$29))/(1+$A$23/100)^DCF_Base!$L$4+Assumptions!$B$5-Assumptions!$B$4)/Assumptions!$B$3*Assumptions!$B$10</f>
        <v>7.83037684532485</v>
      </c>
      <c r="F23" s="0" t="n">
        <f aca="false">(SUMPRODUCT(DCF_Base!$C$19:$L$19/(1+$A$23/100)^DCF_Base!$C$4:$L$4)+MAX(0,MIN(IF($A$23&gt;$F$22,DCF_Base!$L$19*(1+$F$22/100)/(($A$23-$F$22)/100),DCF_Base!$L$19*DCF_Base!$B$29),DCF_Base!$L$19*DCF_Base!$B$29))/(1+$A$23/100)^DCF_Base!$L$4+Assumptions!$B$5-Assumptions!$B$4)/Assumptions!$B$3*Assumptions!$B$10</f>
        <v>7.83037684532485</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7.17420401765174</v>
      </c>
      <c r="C24" s="0" t="n">
        <f aca="false">(SUMPRODUCT(DCF_Base!$C$19:$L$19/(1+$A$24/100)^DCF_Base!$C$4:$L$4)+MAX(0,MIN(IF($A$24&gt;$C$22,DCF_Base!$L$19*(1+$C$22/100)/(($A$24-$C$22)/100),DCF_Base!$L$19*DCF_Base!$B$29),DCF_Base!$L$19*DCF_Base!$B$29))/(1+$A$24/100)^DCF_Base!$L$4+Assumptions!$B$5-Assumptions!$B$4)/Assumptions!$B$3*Assumptions!$B$10</f>
        <v>7.27329243110871</v>
      </c>
      <c r="D24" s="0" t="n">
        <f aca="false">(SUMPRODUCT(DCF_Base!$C$19:$L$19/(1+$A$24/100)^DCF_Base!$C$4:$L$4)+MAX(0,MIN(IF($A$24&gt;$D$22,DCF_Base!$L$19*(1+$D$22/100)/(($A$24-$D$22)/100),DCF_Base!$L$19*DCF_Base!$B$29),DCF_Base!$L$19*DCF_Base!$B$29))/(1+$A$24/100)^DCF_Base!$L$4+Assumptions!$B$5-Assumptions!$B$4)/Assumptions!$B$3*Assumptions!$B$10</f>
        <v>7.27329243110871</v>
      </c>
      <c r="E24" s="0" t="n">
        <f aca="false">(SUMPRODUCT(DCF_Base!$C$19:$L$19/(1+$A$24/100)^DCF_Base!$C$4:$L$4)+MAX(0,MIN(IF($A$24&gt;$E$22,DCF_Base!$L$19*(1+$E$22/100)/(($A$24-$E$22)/100),DCF_Base!$L$19*DCF_Base!$B$29),DCF_Base!$L$19*DCF_Base!$B$29))/(1+$A$24/100)^DCF_Base!$L$4+Assumptions!$B$5-Assumptions!$B$4)/Assumptions!$B$3*Assumptions!$B$10</f>
        <v>7.27329243110871</v>
      </c>
      <c r="F24" s="0" t="n">
        <f aca="false">(SUMPRODUCT(DCF_Base!$C$19:$L$19/(1+$A$24/100)^DCF_Base!$C$4:$L$4)+MAX(0,MIN(IF($A$24&gt;$F$22,DCF_Base!$L$19*(1+$F$22/100)/(($A$24-$F$22)/100),DCF_Base!$L$19*DCF_Base!$B$29),DCF_Base!$L$19*DCF_Base!$B$29))/(1+$A$24/100)^DCF_Base!$L$4+Assumptions!$B$5-Assumptions!$B$4)/Assumptions!$B$3*Assumptions!$B$10</f>
        <v>7.27329243110871</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6.18636236969179</v>
      </c>
      <c r="C25" s="0" t="n">
        <f aca="false">(SUMPRODUCT(DCF_Base!$C$19:$L$19/(1+$A$25/100)^DCF_Base!$C$4:$L$4)+MAX(0,MIN(IF($A$25&gt;$C$22,DCF_Base!$L$19*(1+$C$22/100)/(($A$25-$C$22)/100),DCF_Base!$L$19*DCF_Base!$B$29),DCF_Base!$L$19*DCF_Base!$B$29))/(1+$A$25/100)^DCF_Base!$L$4+Assumptions!$B$5-Assumptions!$B$4)/Assumptions!$B$3*Assumptions!$B$10</f>
        <v>6.43025911063371</v>
      </c>
      <c r="D25" s="0" t="n">
        <f aca="false">(SUMPRODUCT(DCF_Base!$C$19:$L$19/(1+$A$25/100)^DCF_Base!$C$4:$L$4)+MAX(0,MIN(IF($A$25&gt;$D$22,DCF_Base!$L$19*(1+$D$22/100)/(($A$25-$D$22)/100),DCF_Base!$L$19*DCF_Base!$B$29),DCF_Base!$L$19*DCF_Base!$B$29))/(1+$A$25/100)^DCF_Base!$L$4+Assumptions!$B$5-Assumptions!$B$4)/Assumptions!$B$3*Assumptions!$B$10</f>
        <v>6.71167842710514</v>
      </c>
      <c r="E25" s="0" t="n">
        <f aca="false">(SUMPRODUCT(DCF_Base!$C$19:$L$19/(1+$A$25/100)^DCF_Base!$C$4:$L$4)+MAX(0,MIN(IF($A$25&gt;$E$22,DCF_Base!$L$19*(1+$E$22/100)/(($A$25-$E$22)/100),DCF_Base!$L$19*DCF_Base!$B$29),DCF_Base!$L$19*DCF_Base!$B$29))/(1+$A$25/100)^DCF_Base!$L$4+Assumptions!$B$5-Assumptions!$B$4)/Assumptions!$B$3*Assumptions!$B$10</f>
        <v>6.76589682752625</v>
      </c>
      <c r="F25" s="0" t="n">
        <f aca="false">(SUMPRODUCT(DCF_Base!$C$19:$L$19/(1+$A$25/100)^DCF_Base!$C$4:$L$4)+MAX(0,MIN(IF($A$25&gt;$F$22,DCF_Base!$L$19*(1+$F$22/100)/(($A$25-$F$22)/100),DCF_Base!$L$19*DCF_Base!$B$29),DCF_Base!$L$19*DCF_Base!$B$29))/(1+$A$25/100)^DCF_Base!$L$4+Assumptions!$B$5-Assumptions!$B$4)/Assumptions!$B$3*Assumptions!$B$10</f>
        <v>6.76589682752625</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5.43283077497049</v>
      </c>
      <c r="C26" s="0" t="n">
        <f aca="false">(SUMPRODUCT(DCF_Base!$C$19:$L$19/(1+$A$26/100)^DCF_Base!$C$4:$L$4)+MAX(0,MIN(IF($A$26&gt;$C$22,DCF_Base!$L$19*(1+$C$22/100)/(($A$26-$C$22)/100),DCF_Base!$L$19*DCF_Base!$B$29),DCF_Base!$L$19*DCF_Base!$B$29))/(1+$A$26/100)^DCF_Base!$L$4+Assumptions!$B$5-Assumptions!$B$4)/Assumptions!$B$3*Assumptions!$B$10</f>
        <v>5.60627534291325</v>
      </c>
      <c r="D26" s="0" t="n">
        <f aca="false">(SUMPRODUCT(DCF_Base!$C$19:$L$19/(1+$A$26/100)^DCF_Base!$C$4:$L$4)+MAX(0,MIN(IF($A$26&gt;$D$22,DCF_Base!$L$19*(1+$D$22/100)/(($A$26-$D$22)/100),DCF_Base!$L$19*DCF_Base!$B$29),DCF_Base!$L$19*DCF_Base!$B$29))/(1+$A$26/100)^DCF_Base!$L$4+Assumptions!$B$5-Assumptions!$B$4)/Assumptions!$B$3*Assumptions!$B$10</f>
        <v>5.80284585324839</v>
      </c>
      <c r="E26" s="0" t="n">
        <f aca="false">(SUMPRODUCT(DCF_Base!$C$19:$L$19/(1+$A$26/100)^DCF_Base!$C$4:$L$4)+MAX(0,MIN(IF($A$26&gt;$E$22,DCF_Base!$L$19*(1+$E$22/100)/(($A$26-$E$22)/100),DCF_Base!$L$19*DCF_Base!$B$29),DCF_Base!$L$19*DCF_Base!$B$29))/(1+$A$26/100)^DCF_Base!$L$4+Assumptions!$B$5-Assumptions!$B$4)/Assumptions!$B$3*Assumptions!$B$10</f>
        <v>6.02749786505997</v>
      </c>
      <c r="F26" s="0" t="n">
        <f aca="false">(SUMPRODUCT(DCF_Base!$C$19:$L$19/(1+$A$26/100)^DCF_Base!$C$4:$L$4)+MAX(0,MIN(IF($A$26&gt;$F$22,DCF_Base!$L$19*(1+$F$22/100)/(($A$26-$F$22)/100),DCF_Base!$L$19*DCF_Base!$B$29),DCF_Base!$L$19*DCF_Base!$B$29))/(1+$A$26/100)^DCF_Base!$L$4+Assumptions!$B$5-Assumptions!$B$4)/Assumptions!$B$3*Assumptions!$B$10</f>
        <v>6.28671172484256</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4.83949599234986</v>
      </c>
      <c r="C27" s="0" t="n">
        <f aca="false">(SUMPRODUCT(DCF_Base!$C$19:$L$19/(1+$A$27/100)^DCF_Base!$C$4:$L$4)+MAX(0,MIN(IF($A$27&gt;$C$22,DCF_Base!$L$19*(1+$C$22/100)/(($A$27-$C$22)/100),DCF_Base!$L$19*DCF_Base!$B$29),DCF_Base!$L$19*DCF_Base!$B$29))/(1+$A$27/100)^DCF_Base!$L$4+Assumptions!$B$5-Assumptions!$B$4)/Assumptions!$B$3*Assumptions!$B$10</f>
        <v>4.96665023578475</v>
      </c>
      <c r="D27" s="0" t="n">
        <f aca="false">(SUMPRODUCT(DCF_Base!$C$19:$L$19/(1+$A$27/100)^DCF_Base!$C$4:$L$4)+MAX(0,MIN(IF($A$27&gt;$D$22,DCF_Base!$L$19*(1+$D$22/100)/(($A$27-$D$22)/100),DCF_Base!$L$19*DCF_Base!$B$29),DCF_Base!$L$19*DCF_Base!$B$29))/(1+$A$27/100)^DCF_Base!$L$4+Assumptions!$B$5-Assumptions!$B$4)/Assumptions!$B$3*Assumptions!$B$10</f>
        <v>5.1087638019767</v>
      </c>
      <c r="E27" s="0" t="n">
        <f aca="false">(SUMPRODUCT(DCF_Base!$C$19:$L$19/(1+$A$27/100)^DCF_Base!$C$4:$L$4)+MAX(0,MIN(IF($A$27&gt;$E$22,DCF_Base!$L$19*(1+$E$22/100)/(($A$27-$E$22)/100),DCF_Base!$L$19*DCF_Base!$B$29),DCF_Base!$L$19*DCF_Base!$B$29))/(1+$A$27/100)^DCF_Base!$L$4+Assumptions!$B$5-Assumptions!$B$4)/Assumptions!$B$3*Assumptions!$B$10</f>
        <v>5.26864156394263</v>
      </c>
      <c r="F27" s="0" t="n">
        <f aca="false">(SUMPRODUCT(DCF_Base!$C$19:$L$19/(1+$A$27/100)^DCF_Base!$C$4:$L$4)+MAX(0,MIN(IF($A$27&gt;$F$22,DCF_Base!$L$19*(1+$F$22/100)/(($A$27-$F$22)/100),DCF_Base!$L$19*DCF_Base!$B$29),DCF_Base!$L$19*DCF_Base!$B$29))/(1+$A$27/100)^DCF_Base!$L$4+Assumptions!$B$5-Assumptions!$B$4)/Assumptions!$B$3*Assumptions!$B$10</f>
        <v>5.44983636083736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2026-09-23T02:35:40Z</dcterms:created>
  <dc:creator>openpyxl</dc:creator>
  <dc:description/>
  <dc:language>en-NZ</dc:language>
  <cp:lastModifiedBy/>
  <dcterms:modified xsi:type="dcterms:W3CDTF">2026-09-23T02:35:40Z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