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<sst xmlns="http://schemas.openxmlformats.org/spreadsheetml/2006/main" count="364" uniqueCount="167">
  <si>
    <t xml:space="preserve">Ticker</t>
  </si>
  <si>
    <t xml:space="preserve">CVE.TO</t>
  </si>
  <si>
    <t xml:space="preserve">Company</t>
  </si>
  <si>
    <t xml:space="preserve">Cenovus Energy Inc.</t>
  </si>
  <si>
    <t xml:space="preserve">Valuation date</t>
  </si>
  <si>
    <t xml:space="preserve">2026-10-10</t>
  </si>
  <si>
    <t xml:space="preserve">Current price</t>
  </si>
  <si>
    <t xml:space="preserve">Price as of</t>
  </si>
  <si>
    <t xml:space="preserve">2026-10-09T20:00:00Z regular close (TSX)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</si>
  <si>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</si>
  <si>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</si>
  <si>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</si>
  <si>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</si>
  <si>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</si>
  <si>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CAD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</si>
  <si>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</si>
  <si>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</si>
  <si>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</si>
  <si>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</si>
  <si>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</si>
  <si>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</si>
  <si>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2026-10-10T08:17:41Z</t>
  </si>
  <si>
    <t xml:space="preserve">Drivers file</t>
  </si>
  <si>
    <t xml:space="preserve">CVE.TO_Drivers.json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</si>
  <si>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</si>
  <si>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</si>
  <si>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</si>
  <si>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an integrated oil producer on normalized, mid-cycle unlevered owner FCF, not on the cash flow a geopolitical price spike is producing today. FY2026's windfall is counted once (H1 already in June net debt, H2 in the year-1 flow), then revenue and margin are rebuilt from a WTI US$65 deck on the post-WRB, post-MEG portfolio. SBC is expensed and the share count held flat; leases are an operating cost and excluded from net debt; interest income is stripped; the terminal is capped at 12x FCF (~5.5x EV/EBITDA) because no buyer of a long-life but finite oil sands resource pays a Gordon multiple. Cyclicality is priced in the three scenario paths and their 25/50/25 weights, once, not again in the discount rate.
key_risks_to_valuation: Mid-cycle oil deck: every US$5/bbl on WTI held in perpetuity moves mid-cycle EBITDA by roughly C$1.5bn after royalties and the value by several dollars per share -- the base US$65 is the single assumption that matters most.; WTI-WCS differential and egress: Trans Mountain utilization, heavy-crude supply (OPEC+, Venezuela policy) and U.S. heavy refining capacity; a US$3 wider differential costs ~C$1bn/yr of upstream margin, only partly recaptured by the Lloydminster Upgrader and U.S. refineries.; Growth-project execution: West White Rose ramp, Narrows Lake / Christina Lake North, Sunrise and Foster Creek optimization carry the 2027-29 volume growth and ~C$1.3bn/yr of growth capital; slippage or cost overruns push FCF out.; Downstream reliability: U.S. refining was loss-making in FY2024-25 before the WRB sale; the base case assumes Lima/Toledo/Superior and the Upgrader earn ~C$1-1.4bn/yr of operating margin at normal cracks.; Policy and carbon: the July-2026 MOU and Pathways CCS framework are not yet definitive; federal emissions cap, carbon pricing and tariff policy could raise sustaining costs.; Timing bias: discounting from a 31-Dec-2025 origin with an Oct-2026 price understates value by ~7% (~C$3/share); the Q4-2026 refresh should roll FY0 to FY2026 and remove the H1-2026 bridge item.</t>
  </si>
  <si>
    <t xml:space="preserve">Data sources</t>
  </si>
  <si>
    <t xml:space="preserve">price: Yahoo Finance chart API (CVE.TO) at inputs.price_as_of; 52-week range 21.62-47.45. Parity: NYSE CVE (USD) x Yahoo USDCAD ties within 0.1%. WTI front-month (CL=F) and USDCAD (CAD=X) from the same API on 2026-10-09 for the H2-2026 price estimate.
financials: CVE.TO_Metrics.csv / core_metrics (FY2015-FY2025 annual, quarterlies to Q2-2026) via make dcf-context; Q2-2026 interim MD&amp;A and financial statements (net debt table, lease liabilities, diluted share note, benchmark price table, 28-Jul-2026 guidance update, cash flow statement); FY2025 annual report and MD&amp;A (WRB divestiture, MEG acquisition, 10-Dec-2025 guidance deck, lease maturity table, SBC expense, interest income, cash taxes paid).
qualitative: No CVE.TO_Analysis.json existed at build time; scenario axes come from the Q2-2026 MD&amp;A commodity outlook and policy sections and the FY2025 MD&amp;A strategy section.</t>
  </si>
  <si>
    <t xml:space="preserve">Scenario narrative: bear</t>
  </si>
  <si>
    <t xml:space="preserve">Fast unwind to the bottom of the range. WTI US$55 from 2027 (OPEC+ unwind, UAE leaves OPEC, tariff slowdown), WTI-WCS US$16, cracks normalize to US$15-18. Revenue ~C$41bn, margin 21%, FCF ~C$3bn/yr (~C$1.6/share). Growth projects slip, sustaining capital is a bigger share of revenue. No solvency risk: net debt is already below the long-term target range at US$45 WTI and the preferred shares were redeemed in Q1-2026.</t>
  </si>
  <si>
    <t xml:space="preserve">Scenario narrative: base</t>
  </si>
  <si>
    <t xml:space="preserve">Mean reversion to mid-cycle. FY2026 banks the spike (H1-2026 EBITDA ~C$10bn already realized; H2 at WTI ~US$85-90), FY2027 settles at WTI US$70, and from FY2028 the model runs on WTI US$65 / WTI-WCS US$13 / C$0.72 (WCS ~C$72/bbl, about FY2025 realized pricing) escalating 2%/yr. The portfolio is the post-WRB, post-MEG entity: ~990 MBOE/d in 2027 rising to ~1,050 by 2029 as Narrows Lake, West White Rose, Sunrise and the Foster Creek optimization deliver, then ~0.5-1%/yr; mid-cycle EBITDA C$12.5-13.5bn (26-26.5% margin, structurally above the 17-21% of FY2021-25 because refining revenue left and bitumen arrived); growth capital tapers after 2028 to total capex ~C$4.7bn. Unlevered owner FCF ~C$6bn/yr mid-cycle (~12% of revenue, ~C$3.2/share) against a 12x terminal cap (~5.5x EV/EBITDA). The axes that move this case are the mid-cycle oil deck, the WTI-WCS differential (egress: TMX utilization, heavy supply from OPEC+ and Venezuela), U.S. crack spreads at Lima/Toledo/Superior, and execution on the growth projects.</t>
  </si>
  <si>
    <t xml:space="preserve">Scenario narrative: bull</t>
  </si>
  <si>
    <t xml:space="preserve">Elevated-for-longer. Hormuz and Middle East restart constraints hold WTI near US$90 through 2026 and US$80 in 2027, with a US$72 plateau from 2028; cracks stay wide on tight global product supply; the Canada-Alberta-industry MOU (July 2026) and the Pathways framework de-risk oil sands growth and the growth plan lands on time (~1,100 MBOE/d by 2028); synergies from MEG exceed C$400m. Margin 28-28.5% mid-cycle, 3% nominal growth. Terminal still capped at 12x.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</si>
  <si>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</si>
  <si>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</si>
  <si>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</si>
  <si>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</si>
  <si>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</si>
  <si>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</si>
  <si>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</si>
  <si>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</si>
  <si>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</si>
  <si>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</si>
  <si>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</si>
  <si>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</si>
  <si>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</si>
  <si>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</si>
  <si>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</si>
  <si>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</si>
  <si>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</si>
  <si>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</si>
  <si>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</si>
  <si>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</si>
  <si>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</si>
  <si>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</si>
  <si>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</si>
  <si>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</si>
  <si>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</si>
  <si>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</si>
  <si>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</si>
  <si>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Production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</si>
  <si>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</si>
  <si>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</si>
  <si>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</si>
  <si>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</si>
  <si>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</si>
  <si>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</si>
  <si>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</si>
  <si>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</si>
  <si>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</si>
  <si>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</si>
  <si>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</si>
  <si>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</si>
  <si>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</si>
  <si>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</si>
  <si>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</si>
  <si>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</si>
  <si>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</si>
  <si>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</si>
  <si>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</si>
  <si>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</si>
  <si>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</si>
  <si>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CAD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</si>
  <si>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</si>
  <si>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</si>
  <si>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</si>
  <si>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</si>
  <si>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</si>
  <si>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</si>
  <si>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</si>
  <si>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</si>
  <si>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</si>
  <si>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</si>
  <si>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</si>
  <si>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</si>
  <si>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</si>
  <si>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</si>
  <si>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</si>
  <si>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</si>
  <si>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</si>
  <si>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</si>
  <si>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</si>
  <si>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</si>
  <si>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</si>
  <si>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</si>
  <si>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</si>
  <si>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</si>
  <si>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</si>
  <si>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</si>
  <si>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CVE.TO owner-FCF component DCF: bear case (millions, CAD)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</si>
  <si>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</si>
  <si>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</si>
  <si>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</si>
  <si>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</si>
  <si>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</si>
  <si>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</si>
  <si>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</si>
  <si>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</si>
  <si>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</si>
  <si>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</si>
  <si>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</si>
  <si>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</si>
  <si>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</si>
  <si>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</si>
  <si>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</si>
  <si>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</si>
  <si>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</si>
  <si>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</si>
  <si>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</si>
  <si>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</si>
  <si>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</si>
  <si>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</si>
  <si>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</si>
  <si>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</si>
  <si>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</si>
  <si>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</si>
  <si>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</si>
  <si>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</si>
  <si>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</si>
  <si>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</si>
  <si>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CVE.TO owner-FCF component DCF: base case (millions, CAD)</t>
  </si>
  <si>
    <t xml:space="preserve">CVE.TO owner-FCF component DCF: bull case (millions, CAD)</t>
  </si>
  <si>
    <t xml:space="preserve">CVE.TO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</si>
  <si>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</si>
  <si>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</si>
  <si>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</si>
  <si>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</si>
  <si>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</si>
  <si>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</si>
  <si>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</si>
  <si>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</si>
  <si>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</si>
  <si>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</si>
  <si>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</si>
  <si>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</si>
  <si>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</si>
  <si>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</si>
  <si>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</si>
  <si>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9.3%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</si>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</sst>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44.75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</row>
    <row r="2" customFormat="false" ht="15" hidden="false" customHeight="false" outlineLevel="0" collapsed="false">
      <c r="A2" s="0" t="s">
        <v>64</v>
      </c>
      <c r="B2" s="0" t="n">
        <v>13064</v>
      </c>
      <c r="F2" s="0" t="n">
        <v>991</v>
      </c>
      <c r="G2" s="0" t="n">
        <v>7.6</v>
      </c>
      <c r="H2" s="0" t="n">
        <v>3105</v>
      </c>
      <c r="I2" s="0" t="n">
        <v>618</v>
      </c>
      <c r="J2" s="0" t="n">
        <v>4.7</v>
      </c>
      <c r="K2" s="0" t="n">
        <v>0.75</v>
      </c>
      <c r="L2" s="0" t="n">
        <v>1474</v>
      </c>
      <c r="M2" s="0" t="n">
        <v>1714</v>
      </c>
      <c r="N2" s="0" t="n">
        <v>-240</v>
      </c>
      <c r="O2" s="0" t="n">
        <v>12391</v>
      </c>
      <c r="P2" s="0" t="n">
        <v>25791</v>
      </c>
      <c r="Q2" s="0" t="n">
        <v>13400</v>
      </c>
      <c r="R2" s="0" t="n">
        <v>6525</v>
      </c>
      <c r="S2" s="0" t="n">
        <v>4105</v>
      </c>
      <c r="T2" s="0" t="n">
        <v>818.7</v>
      </c>
      <c r="U2" s="0" t="n">
        <v>10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12134</v>
      </c>
      <c r="F3" s="0" t="n">
        <v>-487</v>
      </c>
      <c r="G3" s="0" t="n">
        <v>-4</v>
      </c>
      <c r="H3" s="0" t="n">
        <v>1011</v>
      </c>
      <c r="I3" s="0" t="n">
        <v>-545</v>
      </c>
      <c r="J3" s="0" t="n">
        <v>-4.5</v>
      </c>
      <c r="K3" s="0" t="n">
        <v>-0.65</v>
      </c>
      <c r="L3" s="0" t="n">
        <v>861</v>
      </c>
      <c r="M3" s="0" t="n">
        <v>1034</v>
      </c>
      <c r="N3" s="0" t="n">
        <v>-173</v>
      </c>
      <c r="O3" s="0" t="n">
        <v>11590</v>
      </c>
      <c r="P3" s="0" t="n">
        <v>25258</v>
      </c>
      <c r="Q3" s="0" t="n">
        <v>13668</v>
      </c>
      <c r="R3" s="0" t="n">
        <v>6332</v>
      </c>
      <c r="S3" s="0" t="n">
        <v>3720</v>
      </c>
      <c r="T3" s="0" t="n">
        <v>833.3</v>
      </c>
      <c r="U3" s="0" t="n">
        <v>47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17043</v>
      </c>
      <c r="F4" s="0" t="n">
        <v>2799</v>
      </c>
      <c r="G4" s="0" t="n">
        <v>16.4</v>
      </c>
      <c r="H4" s="0" t="n">
        <v>4637</v>
      </c>
      <c r="I4" s="0" t="n">
        <v>3366</v>
      </c>
      <c r="J4" s="0" t="n">
        <v>19.8</v>
      </c>
      <c r="K4" s="0" t="n">
        <v>3.05</v>
      </c>
      <c r="L4" s="0" t="n">
        <v>3059</v>
      </c>
      <c r="M4" s="0" t="n">
        <v>1670</v>
      </c>
      <c r="N4" s="0" t="n">
        <v>1389</v>
      </c>
      <c r="O4" s="0" t="n">
        <v>19981</v>
      </c>
      <c r="P4" s="0" t="n">
        <v>40933</v>
      </c>
      <c r="Q4" s="0" t="n">
        <v>20952</v>
      </c>
      <c r="R4" s="0" t="n">
        <v>9513</v>
      </c>
      <c r="S4" s="0" t="n">
        <v>610</v>
      </c>
      <c r="T4" s="0" t="n">
        <v>1102.5</v>
      </c>
      <c r="U4" s="0" t="n">
        <v>-6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20844</v>
      </c>
      <c r="F5" s="0" t="n">
        <v>-3318</v>
      </c>
      <c r="G5" s="0" t="n">
        <v>-15.9</v>
      </c>
      <c r="H5" s="0" t="n">
        <v>-1187</v>
      </c>
      <c r="I5" s="0" t="n">
        <v>-2669</v>
      </c>
      <c r="J5" s="0" t="n">
        <v>-12.8</v>
      </c>
      <c r="K5" s="0" t="n">
        <v>-2.17</v>
      </c>
      <c r="L5" s="0" t="n">
        <v>2154</v>
      </c>
      <c r="M5" s="0" t="n">
        <v>1377</v>
      </c>
      <c r="N5" s="0" t="n">
        <v>777</v>
      </c>
      <c r="O5" s="0" t="n">
        <v>17468</v>
      </c>
      <c r="P5" s="0" t="n">
        <v>35174</v>
      </c>
      <c r="Q5" s="0" t="n">
        <v>17706</v>
      </c>
      <c r="R5" s="0" t="n">
        <v>9164</v>
      </c>
      <c r="S5" s="0" t="n">
        <v>781</v>
      </c>
      <c r="T5" s="0" t="n">
        <v>1228.8</v>
      </c>
      <c r="U5" s="0" t="n">
        <v>9</v>
      </c>
      <c r="AA5" s="0" t="s">
        <v>17</v>
      </c>
      <c r="AB5" s="0" t="s">
        <v>14</v>
      </c>
      <c r="AC5" s="0" t="n">
        <v>483.458</v>
      </c>
    </row>
    <row r="6" customFormat="false" ht="15" hidden="false" customHeight="false" outlineLevel="0" collapsed="false">
      <c r="A6" s="0" t="s">
        <v>68</v>
      </c>
      <c r="B6" s="0" t="n">
        <v>20181</v>
      </c>
      <c r="F6" s="0" t="n">
        <v>1896</v>
      </c>
      <c r="G6" s="0" t="n">
        <v>9.4</v>
      </c>
      <c r="H6" s="0" t="n">
        <v>4145</v>
      </c>
      <c r="I6" s="0" t="n">
        <v>2194</v>
      </c>
      <c r="J6" s="0" t="n">
        <v>10.9</v>
      </c>
      <c r="K6" s="0" t="n">
        <v>1.78</v>
      </c>
      <c r="L6" s="0" t="n">
        <v>3285</v>
      </c>
      <c r="M6" s="0" t="n">
        <v>1183</v>
      </c>
      <c r="N6" s="0" t="n">
        <v>2102</v>
      </c>
      <c r="O6" s="0" t="n">
        <v>19201</v>
      </c>
      <c r="P6" s="0" t="n">
        <v>35713</v>
      </c>
      <c r="Q6" s="0" t="n">
        <v>16512</v>
      </c>
      <c r="R6" s="0" t="n">
        <v>6699</v>
      </c>
      <c r="S6" s="0" t="n">
        <v>186</v>
      </c>
      <c r="T6" s="0" t="n">
        <v>1228.8</v>
      </c>
      <c r="U6" s="0" t="n">
        <v>67</v>
      </c>
      <c r="AA6" s="0" t="s">
        <v>17</v>
      </c>
      <c r="AB6" s="0" t="s">
        <v>14</v>
      </c>
      <c r="AC6" s="0" t="n">
        <v>451.68</v>
      </c>
    </row>
    <row r="7" customFormat="false" ht="15" hidden="false" customHeight="false" outlineLevel="0" collapsed="false">
      <c r="A7" s="0" t="s">
        <v>69</v>
      </c>
      <c r="B7" s="0" t="n">
        <v>13227</v>
      </c>
      <c r="F7" s="0" t="n">
        <v>-2703</v>
      </c>
      <c r="G7" s="0" t="n">
        <v>-20.4</v>
      </c>
      <c r="H7" s="0" t="n">
        <v>761</v>
      </c>
      <c r="I7" s="0" t="n">
        <v>-2379</v>
      </c>
      <c r="J7" s="0" t="n">
        <v>-18</v>
      </c>
      <c r="K7" s="0" t="n">
        <v>-1.94</v>
      </c>
      <c r="L7" s="0" t="n">
        <v>273</v>
      </c>
      <c r="M7" s="0" t="n">
        <v>859</v>
      </c>
      <c r="N7" s="0" t="n">
        <v>-586</v>
      </c>
      <c r="O7" s="0" t="n">
        <v>16707</v>
      </c>
      <c r="P7" s="0" t="n">
        <v>32770</v>
      </c>
      <c r="Q7" s="0" t="n">
        <v>16063</v>
      </c>
      <c r="R7" s="0" t="n">
        <v>7562</v>
      </c>
      <c r="S7" s="0" t="n">
        <v>378</v>
      </c>
      <c r="T7" s="0" t="n">
        <v>1228.8</v>
      </c>
      <c r="U7" s="0" t="n">
        <v>49</v>
      </c>
      <c r="AA7" s="0" t="s">
        <v>17</v>
      </c>
      <c r="AB7" s="0" t="s">
        <v>14</v>
      </c>
      <c r="AC7" s="0" t="n">
        <v>471.74</v>
      </c>
    </row>
    <row r="8" customFormat="false" ht="15" hidden="false" customHeight="false" outlineLevel="0" collapsed="false">
      <c r="A8" s="0" t="s">
        <v>70</v>
      </c>
      <c r="B8" s="0" t="n">
        <v>46357</v>
      </c>
      <c r="F8" s="0" t="n">
        <v>2374</v>
      </c>
      <c r="G8" s="0" t="n">
        <v>5.1</v>
      </c>
      <c r="H8" s="0" t="n">
        <v>8260</v>
      </c>
      <c r="I8" s="0" t="n">
        <v>587</v>
      </c>
      <c r="J8" s="0" t="n">
        <v>1.3</v>
      </c>
      <c r="K8" s="0" t="n">
        <v>0.27</v>
      </c>
      <c r="L8" s="0" t="n">
        <v>5919</v>
      </c>
      <c r="M8" s="0" t="n">
        <v>2563</v>
      </c>
      <c r="N8" s="0" t="n">
        <v>3356</v>
      </c>
      <c r="O8" s="0" t="n">
        <v>23596</v>
      </c>
      <c r="P8" s="0" t="n">
        <v>54104</v>
      </c>
      <c r="Q8" s="0" t="n">
        <v>30496</v>
      </c>
      <c r="R8" s="0" t="n">
        <v>12464</v>
      </c>
      <c r="S8" s="0" t="n">
        <v>2873</v>
      </c>
      <c r="T8" s="0" t="n">
        <v>2045.1</v>
      </c>
      <c r="U8" s="0" t="n">
        <v>159</v>
      </c>
      <c r="AA8" s="0" t="s">
        <v>17</v>
      </c>
      <c r="AB8" s="0" t="s">
        <v>14</v>
      </c>
      <c r="AC8" s="0" t="n">
        <v>791.5</v>
      </c>
    </row>
    <row r="9" customFormat="false" ht="15" hidden="false" customHeight="false" outlineLevel="0" collapsed="false">
      <c r="A9" s="0" t="s">
        <v>71</v>
      </c>
      <c r="B9" s="0" t="n">
        <v>66897</v>
      </c>
      <c r="F9" s="0" t="n">
        <v>9470</v>
      </c>
      <c r="G9" s="0" t="n">
        <v>14.2</v>
      </c>
      <c r="H9" s="0" t="n">
        <v>14149</v>
      </c>
      <c r="I9" s="0" t="n">
        <v>6450</v>
      </c>
      <c r="J9" s="0" t="n">
        <v>9.6</v>
      </c>
      <c r="K9" s="0" t="n">
        <v>3.2</v>
      </c>
      <c r="L9" s="0" t="n">
        <v>11403</v>
      </c>
      <c r="M9" s="0" t="n">
        <v>3708</v>
      </c>
      <c r="N9" s="0" t="n">
        <v>7695</v>
      </c>
      <c r="O9" s="0" t="n">
        <v>27576</v>
      </c>
      <c r="P9" s="0" t="n">
        <v>55869</v>
      </c>
      <c r="Q9" s="0" t="n">
        <v>28280</v>
      </c>
      <c r="R9" s="0" t="n">
        <v>8806</v>
      </c>
      <c r="S9" s="0" t="n">
        <v>4524</v>
      </c>
      <c r="T9" s="0" t="n">
        <v>2006.1</v>
      </c>
      <c r="U9" s="0" t="n">
        <v>373</v>
      </c>
      <c r="AA9" s="0" t="s">
        <v>17</v>
      </c>
      <c r="AB9" s="0" t="s">
        <v>14</v>
      </c>
      <c r="AC9" s="0" t="n">
        <v>786.2</v>
      </c>
    </row>
    <row r="10" customFormat="false" ht="15" hidden="false" customHeight="false" outlineLevel="0" collapsed="false">
      <c r="A10" s="0" t="s">
        <v>72</v>
      </c>
      <c r="B10" s="0" t="n">
        <v>52204</v>
      </c>
      <c r="F10" s="0" t="n">
        <v>5578</v>
      </c>
      <c r="G10" s="0" t="n">
        <v>10.7</v>
      </c>
      <c r="H10" s="0" t="n">
        <v>10222</v>
      </c>
      <c r="I10" s="0" t="n">
        <v>4109</v>
      </c>
      <c r="J10" s="0" t="n">
        <v>7.9</v>
      </c>
      <c r="K10" s="0" t="n">
        <v>2.09</v>
      </c>
      <c r="L10" s="0" t="n">
        <v>7388</v>
      </c>
      <c r="M10" s="0" t="n">
        <v>4298</v>
      </c>
      <c r="N10" s="0" t="n">
        <v>3090</v>
      </c>
      <c r="O10" s="0" t="n">
        <v>28698</v>
      </c>
      <c r="P10" s="0" t="n">
        <v>53915</v>
      </c>
      <c r="Q10" s="0" t="n">
        <v>25203</v>
      </c>
      <c r="R10" s="0" t="n">
        <v>7287</v>
      </c>
      <c r="S10" s="0" t="n">
        <v>2227</v>
      </c>
      <c r="T10" s="0" t="n">
        <v>1940</v>
      </c>
      <c r="U10" s="0" t="n">
        <v>97</v>
      </c>
      <c r="AA10" s="0" t="s">
        <v>17</v>
      </c>
      <c r="AB10" s="0" t="s">
        <v>14</v>
      </c>
      <c r="AC10" s="0" t="n">
        <v>778.7</v>
      </c>
    </row>
    <row r="11" customFormat="false" ht="15" hidden="false" customHeight="false" outlineLevel="0" collapsed="false">
      <c r="A11" s="0" t="s">
        <v>73</v>
      </c>
      <c r="B11" s="0" t="n">
        <v>54277</v>
      </c>
      <c r="F11" s="0" t="n">
        <v>4585</v>
      </c>
      <c r="G11" s="0" t="n">
        <v>8.4</v>
      </c>
      <c r="H11" s="0" t="n">
        <v>9456</v>
      </c>
      <c r="I11" s="0" t="n">
        <v>3142</v>
      </c>
      <c r="J11" s="0" t="n">
        <v>5.8</v>
      </c>
      <c r="K11" s="0" t="n">
        <v>1.67</v>
      </c>
      <c r="L11" s="0" t="n">
        <v>9235</v>
      </c>
      <c r="M11" s="0" t="n">
        <v>5015</v>
      </c>
      <c r="N11" s="0" t="n">
        <v>4220</v>
      </c>
      <c r="O11" s="0" t="n">
        <v>29754</v>
      </c>
      <c r="P11" s="0" t="n">
        <v>56539</v>
      </c>
      <c r="Q11" s="0" t="n">
        <v>26770</v>
      </c>
      <c r="R11" s="0" t="n">
        <v>7707</v>
      </c>
      <c r="S11" s="0" t="n">
        <v>3093</v>
      </c>
      <c r="T11" s="0" t="n">
        <v>1863</v>
      </c>
      <c r="U11" s="0" t="n">
        <v>126</v>
      </c>
      <c r="AA11" s="0" t="s">
        <v>17</v>
      </c>
      <c r="AB11" s="0" t="s">
        <v>14</v>
      </c>
      <c r="AC11" s="0" t="n">
        <v>797.2</v>
      </c>
    </row>
    <row r="12" customFormat="false" ht="15" hidden="false" customHeight="false" outlineLevel="0" collapsed="false">
      <c r="A12" s="0" t="s">
        <v>74</v>
      </c>
      <c r="B12" s="0" t="n">
        <v>49696</v>
      </c>
      <c r="F12" s="0" t="n">
        <v>5046</v>
      </c>
      <c r="G12" s="0" t="n">
        <v>10.2</v>
      </c>
      <c r="H12" s="0" t="n">
        <v>10238</v>
      </c>
      <c r="I12" s="0" t="n">
        <v>3930</v>
      </c>
      <c r="J12" s="0" t="n">
        <v>7.9</v>
      </c>
      <c r="K12" s="0" t="n">
        <v>2.15</v>
      </c>
      <c r="L12" s="0" t="n">
        <v>8228</v>
      </c>
      <c r="M12" s="0" t="n">
        <v>4907</v>
      </c>
      <c r="N12" s="0" t="n">
        <v>3321</v>
      </c>
      <c r="O12" s="0" t="n">
        <v>31622</v>
      </c>
      <c r="P12" s="0" t="n">
        <v>63424</v>
      </c>
      <c r="Q12" s="0" t="n">
        <v>31786</v>
      </c>
      <c r="R12" s="0" t="n">
        <v>11032</v>
      </c>
      <c r="S12" s="0" t="n">
        <v>2740</v>
      </c>
      <c r="T12" s="0" t="n">
        <v>1820</v>
      </c>
      <c r="U12" s="0" t="n">
        <v>191</v>
      </c>
      <c r="AA12" s="0" t="s">
        <v>17</v>
      </c>
      <c r="AB12" s="0" t="s">
        <v>14</v>
      </c>
      <c r="AC12" s="0" t="n">
        <v>834.2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75</v>
      </c>
      <c r="B1" s="2" t="s">
        <v>76</v>
      </c>
    </row>
    <row r="2" customFormat="false" ht="15" hidden="false" customHeight="false" outlineLevel="0" collapsed="false">
      <c r="A2" s="0" t="s">
        <v>77</v>
      </c>
      <c r="B2" s="3" t="n">
        <v>44.75</v>
      </c>
    </row>
    <row r="3" customFormat="false" ht="15" hidden="false" customHeight="false" outlineLevel="0" collapsed="false">
      <c r="A3" s="0" t="s">
        <v>78</v>
      </c>
      <c r="B3" s="3" t="n">
        <v>1860</v>
      </c>
    </row>
    <row r="4" customFormat="false" ht="15" hidden="false" customHeight="false" outlineLevel="0" collapsed="false">
      <c r="A4" s="0" t="s">
        <v>79</v>
      </c>
      <c r="B4" s="3" t="n">
        <v>5388</v>
      </c>
    </row>
    <row r="5" customFormat="false" ht="15" hidden="false" customHeight="false" outlineLevel="0" collapsed="false">
      <c r="A5" s="0" t="s">
        <v>80</v>
      </c>
      <c r="B5" s="3" t="n">
        <v>-5166</v>
      </c>
    </row>
    <row r="6" customFormat="false" ht="15" hidden="false" customHeight="false" outlineLevel="0" collapsed="false">
      <c r="A6" s="0" t="s">
        <v>81</v>
      </c>
      <c r="B6" s="3" t="n">
        <v>15</v>
      </c>
    </row>
    <row r="7" customFormat="false" ht="15" hidden="false" customHeight="false" outlineLevel="0" collapsed="false">
      <c r="A7" s="0" t="s">
        <v>82</v>
      </c>
      <c r="B7" s="3" t="n">
        <v>49696</v>
      </c>
    </row>
    <row r="8" customFormat="false" ht="15" hidden="false" customHeight="false" outlineLevel="0" collapsed="false">
      <c r="A8" s="0" t="s">
        <v>83</v>
      </c>
      <c r="B8" s="3" t="s">
        <v>74</v>
      </c>
    </row>
    <row r="9" customFormat="false" ht="15" hidden="false" customHeight="false" outlineLevel="0" collapsed="false">
      <c r="A9" s="0" t="s">
        <v>84</v>
      </c>
      <c r="B9" s="3" t="s">
        <v>85</v>
      </c>
    </row>
    <row r="10" customFormat="false" ht="15" hidden="false" customHeight="false" outlineLevel="0" collapsed="false">
      <c r="A10" s="0" t="s">
        <v>86</v>
      </c>
      <c r="B10" s="3" t="n">
        <v>1</v>
      </c>
    </row>
    <row r="12" customFormat="false" ht="15" hidden="false" customHeight="false" outlineLevel="0" collapsed="false">
      <c r="A12" s="2" t="s">
        <v>87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94</v>
      </c>
      <c r="J12" s="2" t="s">
        <v>95</v>
      </c>
      <c r="K12" s="2" t="s">
        <v>96</v>
      </c>
      <c r="L12" s="2" t="s">
        <v>97</v>
      </c>
    </row>
    <row r="13" customFormat="false" ht="15" hidden="false" customHeight="false" outlineLevel="0" collapsed="false">
      <c r="A13" s="0" t="s">
        <v>98</v>
      </c>
      <c r="C13" s="3" t="n">
        <v>16</v>
      </c>
      <c r="D13" s="3" t="n">
        <v>-29</v>
      </c>
      <c r="E13" s="3" t="n">
        <v>-1</v>
      </c>
      <c r="F13" s="3" t="n">
        <v>3</v>
      </c>
      <c r="G13" s="3" t="n">
        <v>2.5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99</v>
      </c>
      <c r="C14" s="3" t="n">
        <v>28</v>
      </c>
      <c r="D14" s="3" t="n">
        <v>22</v>
      </c>
      <c r="E14" s="3" t="n">
        <v>21</v>
      </c>
      <c r="F14" s="3" t="n">
        <v>21</v>
      </c>
      <c r="G14" s="3" t="n">
        <v>21</v>
      </c>
      <c r="H14" s="3" t="n">
        <v>21</v>
      </c>
      <c r="I14" s="3" t="n">
        <v>21</v>
      </c>
      <c r="J14" s="3" t="n">
        <v>21</v>
      </c>
      <c r="K14" s="3" t="n">
        <v>21</v>
      </c>
      <c r="L14" s="3" t="n">
        <v>21</v>
      </c>
    </row>
    <row r="15" customFormat="false" ht="15" hidden="false" customHeight="false" outlineLevel="0" collapsed="false">
      <c r="A15" s="0" t="s">
        <v>100</v>
      </c>
      <c r="C15" s="3" t="n">
        <v>0.35</v>
      </c>
      <c r="D15" s="3" t="n">
        <v>0.35</v>
      </c>
      <c r="E15" s="3" t="n">
        <v>0.35</v>
      </c>
      <c r="F15" s="3" t="n">
        <v>0.35</v>
      </c>
      <c r="G15" s="3" t="n">
        <v>0.35</v>
      </c>
      <c r="H15" s="3" t="n">
        <v>0.35</v>
      </c>
      <c r="I15" s="3" t="n">
        <v>0.35</v>
      </c>
      <c r="J15" s="3" t="n">
        <v>0.35</v>
      </c>
      <c r="K15" s="3" t="n">
        <v>0.35</v>
      </c>
      <c r="L15" s="3" t="n">
        <v>0.35</v>
      </c>
    </row>
    <row r="16" customFormat="false" ht="15" hidden="false" customHeight="false" outlineLevel="0" collapsed="false">
      <c r="A16" s="0" t="s">
        <v>101</v>
      </c>
      <c r="C16" s="3" t="n">
        <v>0.95</v>
      </c>
      <c r="D16" s="3" t="n">
        <v>1.3</v>
      </c>
      <c r="E16" s="3" t="n">
        <v>1.3</v>
      </c>
      <c r="F16" s="3" t="n">
        <v>1.25</v>
      </c>
      <c r="G16" s="3" t="n">
        <v>1.2</v>
      </c>
      <c r="H16" s="3" t="n">
        <v>1.2</v>
      </c>
      <c r="I16" s="3" t="n">
        <v>1.2</v>
      </c>
      <c r="J16" s="3" t="n">
        <v>1.2</v>
      </c>
      <c r="K16" s="3" t="n">
        <v>1.2</v>
      </c>
      <c r="L16" s="3" t="n">
        <v>1.2</v>
      </c>
    </row>
    <row r="17" customFormat="false" ht="15" hidden="false" customHeight="false" outlineLevel="0" collapsed="false">
      <c r="A17" s="0" t="s">
        <v>102</v>
      </c>
      <c r="C17" s="3" t="n">
        <v>9.5</v>
      </c>
      <c r="D17" s="3" t="n">
        <v>13.5</v>
      </c>
      <c r="E17" s="3" t="n">
        <v>14</v>
      </c>
      <c r="F17" s="3" t="n">
        <v>14</v>
      </c>
      <c r="G17" s="3" t="n">
        <v>14</v>
      </c>
      <c r="H17" s="3" t="n">
        <v>14</v>
      </c>
      <c r="I17" s="3" t="n">
        <v>14</v>
      </c>
      <c r="J17" s="3" t="n">
        <v>14</v>
      </c>
      <c r="K17" s="3" t="n">
        <v>14</v>
      </c>
      <c r="L17" s="3" t="n">
        <v>14</v>
      </c>
    </row>
    <row r="18" customFormat="false" ht="15" hidden="false" customHeight="false" outlineLevel="0" collapsed="false">
      <c r="A18" s="0" t="s">
        <v>103</v>
      </c>
      <c r="C18" s="3" t="n">
        <v>9</v>
      </c>
      <c r="D18" s="3" t="n">
        <v>11.5</v>
      </c>
      <c r="E18" s="3" t="n">
        <v>10.8</v>
      </c>
      <c r="F18" s="3" t="n">
        <v>10.5</v>
      </c>
      <c r="G18" s="3" t="n">
        <v>10.5</v>
      </c>
      <c r="H18" s="3" t="n">
        <v>10.5</v>
      </c>
      <c r="I18" s="3" t="n">
        <v>10.5</v>
      </c>
      <c r="J18" s="3" t="n">
        <v>10.5</v>
      </c>
      <c r="K18" s="3" t="n">
        <v>10.5</v>
      </c>
      <c r="L18" s="3" t="n">
        <v>10.5</v>
      </c>
    </row>
    <row r="19" customFormat="false" ht="15" hidden="false" customHeight="false" outlineLevel="0" collapsed="false">
      <c r="A19" s="0" t="s">
        <v>104</v>
      </c>
      <c r="C19" s="3" t="n">
        <v>24</v>
      </c>
      <c r="D19" s="3" t="n">
        <v>24</v>
      </c>
      <c r="E19" s="3" t="n">
        <v>24</v>
      </c>
      <c r="F19" s="3" t="n">
        <v>24</v>
      </c>
      <c r="G19" s="3" t="n">
        <v>24</v>
      </c>
      <c r="H19" s="3" t="n">
        <v>24</v>
      </c>
      <c r="I19" s="3" t="n">
        <v>24</v>
      </c>
      <c r="J19" s="3" t="n">
        <v>24</v>
      </c>
      <c r="K19" s="3" t="n">
        <v>24</v>
      </c>
      <c r="L19" s="3" t="n">
        <v>24</v>
      </c>
    </row>
    <row r="20" customFormat="false" ht="15" hidden="false" customHeight="false" outlineLevel="0" collapsed="false">
      <c r="A20" s="0" t="s">
        <v>105</v>
      </c>
      <c r="B20" s="3" t="n">
        <v>9.3</v>
      </c>
    </row>
    <row r="21" customFormat="false" ht="15" hidden="false" customHeight="false" outlineLevel="0" collapsed="false">
      <c r="A21" s="0" t="s">
        <v>106</v>
      </c>
      <c r="B21" s="3" t="n">
        <v>1.5</v>
      </c>
    </row>
    <row r="22" customFormat="false" ht="15" hidden="false" customHeight="false" outlineLevel="0" collapsed="false">
      <c r="A22" s="0" t="s">
        <v>107</v>
      </c>
      <c r="B22" s="3" t="n">
        <v>12</v>
      </c>
    </row>
    <row r="23" customFormat="false" ht="15" hidden="false" customHeight="false" outlineLevel="0" collapsed="false">
      <c r="A23" s="0" t="s">
        <v>108</v>
      </c>
      <c r="B23" s="3" t="n">
        <v>0</v>
      </c>
    </row>
    <row r="24" customFormat="false" ht="15" hidden="false" customHeight="false" outlineLevel="0" collapsed="false">
      <c r="A24" s="0" t="s">
        <v>109</v>
      </c>
      <c r="B24" s="3" t="n">
        <v>0.25</v>
      </c>
    </row>
    <row r="26" customFormat="false" ht="15" hidden="false" customHeight="false" outlineLevel="0" collapsed="false">
      <c r="A26" s="2" t="s">
        <v>110</v>
      </c>
      <c r="C26" s="2" t="s">
        <v>88</v>
      </c>
      <c r="D26" s="2" t="s">
        <v>89</v>
      </c>
      <c r="E26" s="2" t="s">
        <v>90</v>
      </c>
      <c r="F26" s="2" t="s">
        <v>91</v>
      </c>
      <c r="G26" s="2" t="s">
        <v>92</v>
      </c>
      <c r="H26" s="2" t="s">
        <v>93</v>
      </c>
      <c r="I26" s="2" t="s">
        <v>94</v>
      </c>
      <c r="J26" s="2" t="s">
        <v>95</v>
      </c>
      <c r="K26" s="2" t="s">
        <v>96</v>
      </c>
      <c r="L26" s="2" t="s">
        <v>97</v>
      </c>
    </row>
    <row r="27" customFormat="false" ht="15" hidden="false" customHeight="false" outlineLevel="0" collapsed="false">
      <c r="A27" s="0" t="s">
        <v>98</v>
      </c>
      <c r="C27" s="3" t="n">
        <v>24</v>
      </c>
      <c r="D27" s="3" t="n">
        <v>-17.2</v>
      </c>
      <c r="E27" s="3" t="n">
        <v>-2.7</v>
      </c>
      <c r="F27" s="3" t="n">
        <v>4.5</v>
      </c>
      <c r="G27" s="3" t="n">
        <v>3.5</v>
      </c>
      <c r="H27" s="3" t="n">
        <v>2.5</v>
      </c>
      <c r="I27" s="3" t="n">
        <v>2.5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99</v>
      </c>
      <c r="C28" s="3" t="n">
        <v>30</v>
      </c>
      <c r="D28" s="3" t="n">
        <v>27.5</v>
      </c>
      <c r="E28" s="3" t="n">
        <v>26</v>
      </c>
      <c r="F28" s="3" t="n">
        <v>26</v>
      </c>
      <c r="G28" s="3" t="n">
        <v>26.5</v>
      </c>
      <c r="H28" s="3" t="n">
        <v>26.5</v>
      </c>
      <c r="I28" s="3" t="n">
        <v>26.5</v>
      </c>
      <c r="J28" s="3" t="n">
        <v>26.5</v>
      </c>
      <c r="K28" s="3" t="n">
        <v>26.5</v>
      </c>
      <c r="L28" s="3" t="n">
        <v>26.5</v>
      </c>
    </row>
    <row r="29" customFormat="false" ht="15" hidden="false" customHeight="false" outlineLevel="0" collapsed="false">
      <c r="A29" s="0" t="s">
        <v>100</v>
      </c>
      <c r="C29" s="3" t="n">
        <v>0.35</v>
      </c>
      <c r="D29" s="3" t="n">
        <v>0.35</v>
      </c>
      <c r="E29" s="3" t="n">
        <v>0.35</v>
      </c>
      <c r="F29" s="3" t="n">
        <v>0.35</v>
      </c>
      <c r="G29" s="3" t="n">
        <v>0.35</v>
      </c>
      <c r="H29" s="3" t="n">
        <v>0.35</v>
      </c>
      <c r="I29" s="3" t="n">
        <v>0.35</v>
      </c>
      <c r="J29" s="3" t="n">
        <v>0.35</v>
      </c>
      <c r="K29" s="3" t="n">
        <v>0.35</v>
      </c>
      <c r="L29" s="3" t="n">
        <v>0.35</v>
      </c>
    </row>
    <row r="30" customFormat="false" ht="15" hidden="false" customHeight="false" outlineLevel="0" collapsed="false">
      <c r="A30" s="0" t="s">
        <v>101</v>
      </c>
      <c r="C30" s="3" t="n">
        <v>0.9</v>
      </c>
      <c r="D30" s="3" t="n">
        <v>1.05</v>
      </c>
      <c r="E30" s="3" t="n">
        <v>1.1</v>
      </c>
      <c r="F30" s="3" t="n">
        <v>1.05</v>
      </c>
      <c r="G30" s="3" t="n">
        <v>1</v>
      </c>
      <c r="H30" s="3" t="n">
        <v>1</v>
      </c>
      <c r="I30" s="3" t="n">
        <v>1</v>
      </c>
      <c r="J30" s="3" t="n">
        <v>1</v>
      </c>
      <c r="K30" s="3" t="n">
        <v>1</v>
      </c>
      <c r="L30" s="3" t="n">
        <v>1</v>
      </c>
    </row>
    <row r="31" customFormat="false" ht="15" hidden="false" customHeight="false" outlineLevel="0" collapsed="false">
      <c r="A31" s="0" t="s">
        <v>102</v>
      </c>
      <c r="C31" s="3" t="n">
        <v>9</v>
      </c>
      <c r="D31" s="3" t="n">
        <v>11</v>
      </c>
      <c r="E31" s="3" t="n">
        <v>12</v>
      </c>
      <c r="F31" s="3" t="n">
        <v>12</v>
      </c>
      <c r="G31" s="3" t="n">
        <v>12</v>
      </c>
      <c r="H31" s="3" t="n">
        <v>12</v>
      </c>
      <c r="I31" s="3" t="n">
        <v>12</v>
      </c>
      <c r="J31" s="3" t="n">
        <v>12</v>
      </c>
      <c r="K31" s="3" t="n">
        <v>12</v>
      </c>
      <c r="L31" s="3" t="n">
        <v>12</v>
      </c>
    </row>
    <row r="32" customFormat="false" ht="15" hidden="false" customHeight="false" outlineLevel="0" collapsed="false">
      <c r="A32" s="0" t="s">
        <v>103</v>
      </c>
      <c r="C32" s="3" t="n">
        <v>8.4</v>
      </c>
      <c r="D32" s="3" t="n">
        <v>10</v>
      </c>
      <c r="E32" s="3" t="n">
        <v>9.5</v>
      </c>
      <c r="F32" s="3" t="n">
        <v>9.5</v>
      </c>
      <c r="G32" s="3" t="n">
        <v>9.5</v>
      </c>
      <c r="H32" s="3" t="n">
        <v>9.5</v>
      </c>
      <c r="I32" s="3" t="n">
        <v>9.5</v>
      </c>
      <c r="J32" s="3" t="n">
        <v>9.5</v>
      </c>
      <c r="K32" s="3" t="n">
        <v>9.5</v>
      </c>
      <c r="L32" s="3" t="n">
        <v>9.5</v>
      </c>
    </row>
    <row r="33" customFormat="false" ht="15" hidden="false" customHeight="false" outlineLevel="0" collapsed="false">
      <c r="A33" s="0" t="s">
        <v>104</v>
      </c>
      <c r="C33" s="3" t="n">
        <v>24</v>
      </c>
      <c r="D33" s="3" t="n">
        <v>24</v>
      </c>
      <c r="E33" s="3" t="n">
        <v>24</v>
      </c>
      <c r="F33" s="3" t="n">
        <v>24</v>
      </c>
      <c r="G33" s="3" t="n">
        <v>24</v>
      </c>
      <c r="H33" s="3" t="n">
        <v>24</v>
      </c>
      <c r="I33" s="3" t="n">
        <v>24</v>
      </c>
      <c r="J33" s="3" t="n">
        <v>24</v>
      </c>
      <c r="K33" s="3" t="n">
        <v>24</v>
      </c>
      <c r="L33" s="3" t="n">
        <v>24</v>
      </c>
    </row>
    <row r="34" customFormat="false" ht="15" hidden="false" customHeight="false" outlineLevel="0" collapsed="false">
      <c r="A34" s="0" t="s">
        <v>105</v>
      </c>
      <c r="B34" s="3" t="n">
        <v>9.3</v>
      </c>
    </row>
    <row r="35" customFormat="false" ht="15" hidden="false" customHeight="false" outlineLevel="0" collapsed="false">
      <c r="A35" s="0" t="s">
        <v>106</v>
      </c>
      <c r="B35" s="3" t="n">
        <v>2</v>
      </c>
    </row>
    <row r="36" customFormat="false" ht="15" hidden="false" customHeight="false" outlineLevel="0" collapsed="false">
      <c r="A36" s="0" t="s">
        <v>107</v>
      </c>
      <c r="B36" s="3" t="n">
        <v>12</v>
      </c>
    </row>
    <row r="37" customFormat="false" ht="15" hidden="false" customHeight="false" outlineLevel="0" collapsed="false">
      <c r="A37" s="0" t="s">
        <v>108</v>
      </c>
      <c r="B37" s="3" t="n">
        <v>0</v>
      </c>
    </row>
    <row r="38" customFormat="false" ht="15" hidden="false" customHeight="false" outlineLevel="0" collapsed="false">
      <c r="A38" s="0" t="s">
        <v>109</v>
      </c>
      <c r="B38" s="3" t="n">
        <v>0.5</v>
      </c>
    </row>
    <row r="40" customFormat="false" ht="15" hidden="false" customHeight="false" outlineLevel="0" collapsed="false">
      <c r="A40" s="2" t="s">
        <v>111</v>
      </c>
      <c r="C40" s="2" t="s">
        <v>88</v>
      </c>
      <c r="D40" s="2" t="s">
        <v>89</v>
      </c>
      <c r="E40" s="2" t="s">
        <v>90</v>
      </c>
      <c r="F40" s="2" t="s">
        <v>91</v>
      </c>
      <c r="G40" s="2" t="s">
        <v>92</v>
      </c>
      <c r="H40" s="2" t="s">
        <v>93</v>
      </c>
      <c r="I40" s="2" t="s">
        <v>94</v>
      </c>
      <c r="J40" s="2" t="s">
        <v>95</v>
      </c>
      <c r="K40" s="2" t="s">
        <v>96</v>
      </c>
      <c r="L40" s="2" t="s">
        <v>97</v>
      </c>
    </row>
    <row r="41" customFormat="false" ht="15" hidden="false" customHeight="false" outlineLevel="0" collapsed="false">
      <c r="A41" s="0" t="s">
        <v>98</v>
      </c>
      <c r="C41" s="3" t="n">
        <v>28</v>
      </c>
      <c r="D41" s="3" t="n">
        <v>-9.9</v>
      </c>
      <c r="E41" s="3" t="n">
        <v>-4.3</v>
      </c>
      <c r="F41" s="3" t="n">
        <v>5</v>
      </c>
      <c r="G41" s="3" t="n">
        <v>4</v>
      </c>
      <c r="H41" s="3" t="n">
        <v>3</v>
      </c>
      <c r="I41" s="3" t="n">
        <v>3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99</v>
      </c>
      <c r="C42" s="3" t="n">
        <v>31</v>
      </c>
      <c r="D42" s="3" t="n">
        <v>29</v>
      </c>
      <c r="E42" s="3" t="n">
        <v>28</v>
      </c>
      <c r="F42" s="3" t="n">
        <v>28</v>
      </c>
      <c r="G42" s="3" t="n">
        <v>28.5</v>
      </c>
      <c r="H42" s="3" t="n">
        <v>28.5</v>
      </c>
      <c r="I42" s="3" t="n">
        <v>28.5</v>
      </c>
      <c r="J42" s="3" t="n">
        <v>28.5</v>
      </c>
      <c r="K42" s="3" t="n">
        <v>28.5</v>
      </c>
      <c r="L42" s="3" t="n">
        <v>28.5</v>
      </c>
    </row>
    <row r="43" customFormat="false" ht="15" hidden="false" customHeight="false" outlineLevel="0" collapsed="false">
      <c r="A43" s="0" t="s">
        <v>100</v>
      </c>
      <c r="C43" s="3" t="n">
        <v>0.35</v>
      </c>
      <c r="D43" s="3" t="n">
        <v>0.35</v>
      </c>
      <c r="E43" s="3" t="n">
        <v>0.35</v>
      </c>
      <c r="F43" s="3" t="n">
        <v>0.35</v>
      </c>
      <c r="G43" s="3" t="n">
        <v>0.35</v>
      </c>
      <c r="H43" s="3" t="n">
        <v>0.35</v>
      </c>
      <c r="I43" s="3" t="n">
        <v>0.35</v>
      </c>
      <c r="J43" s="3" t="n">
        <v>0.35</v>
      </c>
      <c r="K43" s="3" t="n">
        <v>0.35</v>
      </c>
      <c r="L43" s="3" t="n">
        <v>0.35</v>
      </c>
    </row>
    <row r="44" customFormat="false" ht="15" hidden="false" customHeight="false" outlineLevel="0" collapsed="false">
      <c r="A44" s="0" t="s">
        <v>101</v>
      </c>
      <c r="C44" s="3" t="n">
        <v>0.85</v>
      </c>
      <c r="D44" s="3" t="n">
        <v>0.95</v>
      </c>
      <c r="E44" s="3" t="n">
        <v>1</v>
      </c>
      <c r="F44" s="3" t="n">
        <v>0.95</v>
      </c>
      <c r="G44" s="3" t="n">
        <v>0.9</v>
      </c>
      <c r="H44" s="3" t="n">
        <v>0.9</v>
      </c>
      <c r="I44" s="3" t="n">
        <v>0.9</v>
      </c>
      <c r="J44" s="3" t="n">
        <v>0.9</v>
      </c>
      <c r="K44" s="3" t="n">
        <v>0.9</v>
      </c>
      <c r="L44" s="3" t="n">
        <v>0.9</v>
      </c>
    </row>
    <row r="45" customFormat="false" ht="15" hidden="false" customHeight="false" outlineLevel="0" collapsed="false">
      <c r="A45" s="0" t="s">
        <v>102</v>
      </c>
      <c r="C45" s="3" t="n">
        <v>8.8</v>
      </c>
      <c r="D45" s="3" t="n">
        <v>10</v>
      </c>
      <c r="E45" s="3" t="n">
        <v>10.5</v>
      </c>
      <c r="F45" s="3" t="n">
        <v>10.5</v>
      </c>
      <c r="G45" s="3" t="n">
        <v>10.5</v>
      </c>
      <c r="H45" s="3" t="n">
        <v>10.5</v>
      </c>
      <c r="I45" s="3" t="n">
        <v>10.5</v>
      </c>
      <c r="J45" s="3" t="n">
        <v>10.5</v>
      </c>
      <c r="K45" s="3" t="n">
        <v>10.5</v>
      </c>
      <c r="L45" s="3" t="n">
        <v>10.5</v>
      </c>
    </row>
    <row r="46" customFormat="false" ht="15" hidden="false" customHeight="false" outlineLevel="0" collapsed="false">
      <c r="A46" s="0" t="s">
        <v>103</v>
      </c>
      <c r="C46" s="3" t="n">
        <v>8.2</v>
      </c>
      <c r="D46" s="3" t="n">
        <v>9</v>
      </c>
      <c r="E46" s="3" t="n">
        <v>9</v>
      </c>
      <c r="F46" s="3" t="n">
        <v>9</v>
      </c>
      <c r="G46" s="3" t="n">
        <v>9</v>
      </c>
      <c r="H46" s="3" t="n">
        <v>9</v>
      </c>
      <c r="I46" s="3" t="n">
        <v>9</v>
      </c>
      <c r="J46" s="3" t="n">
        <v>9</v>
      </c>
      <c r="K46" s="3" t="n">
        <v>9</v>
      </c>
      <c r="L46" s="3" t="n">
        <v>9</v>
      </c>
    </row>
    <row r="47" customFormat="false" ht="15" hidden="false" customHeight="false" outlineLevel="0" collapsed="false">
      <c r="A47" s="0" t="s">
        <v>104</v>
      </c>
      <c r="C47" s="3" t="n">
        <v>24</v>
      </c>
      <c r="D47" s="3" t="n">
        <v>24</v>
      </c>
      <c r="E47" s="3" t="n">
        <v>24</v>
      </c>
      <c r="F47" s="3" t="n">
        <v>24</v>
      </c>
      <c r="G47" s="3" t="n">
        <v>24</v>
      </c>
      <c r="H47" s="3" t="n">
        <v>24</v>
      </c>
      <c r="I47" s="3" t="n">
        <v>24</v>
      </c>
      <c r="J47" s="3" t="n">
        <v>24</v>
      </c>
      <c r="K47" s="3" t="n">
        <v>24</v>
      </c>
      <c r="L47" s="3" t="n">
        <v>24</v>
      </c>
    </row>
    <row r="48" customFormat="false" ht="15" hidden="false" customHeight="false" outlineLevel="0" collapsed="false">
      <c r="A48" s="0" t="s">
        <v>105</v>
      </c>
      <c r="B48" s="3" t="n">
        <v>9.3</v>
      </c>
    </row>
    <row r="49" customFormat="false" ht="15" hidden="false" customHeight="false" outlineLevel="0" collapsed="false">
      <c r="A49" s="0" t="s">
        <v>106</v>
      </c>
      <c r="B49" s="3" t="n">
        <v>2.5</v>
      </c>
    </row>
    <row r="50" customFormat="false" ht="15" hidden="false" customHeight="false" outlineLevel="0" collapsed="false">
      <c r="A50" s="0" t="s">
        <v>107</v>
      </c>
      <c r="B50" s="3" t="n">
        <v>12</v>
      </c>
    </row>
    <row r="51" customFormat="false" ht="15" hidden="false" customHeight="false" outlineLevel="0" collapsed="false">
      <c r="A51" s="0" t="s">
        <v>108</v>
      </c>
      <c r="B51" s="3" t="n">
        <v>0</v>
      </c>
    </row>
    <row r="52" customFormat="false" ht="15" hidden="false" customHeight="false" outlineLevel="0" collapsed="false">
      <c r="A52" s="0" t="s">
        <v>109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112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Assumptions!C13</f>
        <v>16</v>
      </c>
      <c r="D5" s="4" t="n">
        <f aca="false">Assumptions!D13</f>
        <v>-29</v>
      </c>
      <c r="E5" s="4" t="n">
        <f aca="false">Assumptions!E13</f>
        <v>-1</v>
      </c>
      <c r="F5" s="4" t="n">
        <f aca="false">Assumptions!F13</f>
        <v>3</v>
      </c>
      <c r="G5" s="4" t="n">
        <f aca="false">Assumptions!G13</f>
        <v>2.5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49696</v>
      </c>
      <c r="C6" s="0" t="n">
        <f aca="false">B6*(1+C5/100)</f>
        <v>57647.36</v>
      </c>
      <c r="D6" s="0" t="n">
        <f aca="false">C6*(1+D5/100)</f>
        <v>40929.6256</v>
      </c>
      <c r="E6" s="0" t="n">
        <f aca="false">D6*(1+E5/100)</f>
        <v>40520.329344</v>
      </c>
      <c r="F6" s="0" t="n">
        <f aca="false">E6*(1+F5/100)</f>
        <v>41735.93922432</v>
      </c>
      <c r="G6" s="0" t="n">
        <f aca="false">F6*(1+G5/100)</f>
        <v>42779.337704928</v>
      </c>
      <c r="H6" s="0" t="n">
        <f aca="false">G6*(1+H5/100)</f>
        <v>43634.9244590266</v>
      </c>
      <c r="I6" s="0" t="n">
        <f aca="false">H6*(1+I5/100)</f>
        <v>44507.6229482071</v>
      </c>
      <c r="J6" s="0" t="n">
        <f aca="false">I6*(1+J5/100)</f>
        <v>45397.7754071712</v>
      </c>
      <c r="K6" s="0" t="n">
        <f aca="false">J6*(1+K5/100)</f>
        <v>46305.7309153147</v>
      </c>
      <c r="L6" s="0" t="n">
        <f aca="false">K6*(1+L5/100)</f>
        <v>47231.8455336209</v>
      </c>
    </row>
    <row r="7" customFormat="false" ht="15" hidden="false" customHeight="false" outlineLevel="0" collapsed="false">
      <c r="A7" s="0" t="s">
        <v>99</v>
      </c>
      <c r="C7" s="4" t="n">
        <f aca="false">Assumptions!C14</f>
        <v>28</v>
      </c>
      <c r="D7" s="4" t="n">
        <f aca="false">Assumptions!D14</f>
        <v>22</v>
      </c>
      <c r="E7" s="4" t="n">
        <f aca="false">Assumptions!E14</f>
        <v>21</v>
      </c>
      <c r="F7" s="4" t="n">
        <f aca="false">Assumptions!F14</f>
        <v>21</v>
      </c>
      <c r="G7" s="4" t="n">
        <f aca="false">Assumptions!G14</f>
        <v>21</v>
      </c>
      <c r="H7" s="4" t="n">
        <f aca="false">Assumptions!H14</f>
        <v>21</v>
      </c>
      <c r="I7" s="4" t="n">
        <f aca="false">Assumptions!I14</f>
        <v>21</v>
      </c>
      <c r="J7" s="4" t="n">
        <f aca="false">Assumptions!J14</f>
        <v>21</v>
      </c>
      <c r="K7" s="4" t="n">
        <f aca="false">Assumptions!K14</f>
        <v>21</v>
      </c>
      <c r="L7" s="4" t="n">
        <f aca="false">Assumptions!L14</f>
        <v>21</v>
      </c>
    </row>
    <row r="8" customFormat="false" ht="15" hidden="false" customHeight="false" outlineLevel="0" collapsed="false">
      <c r="A8" s="0" t="s">
        <v>43</v>
      </c>
      <c r="C8" s="0" t="n">
        <f aca="false">C6*C7/100</f>
        <v>16141.2608</v>
      </c>
      <c r="D8" s="0" t="n">
        <f aca="false">D6*D7/100</f>
        <v>9004.517632</v>
      </c>
      <c r="E8" s="0" t="n">
        <f aca="false">E6*E7/100</f>
        <v>8509.26916224</v>
      </c>
      <c r="F8" s="0" t="n">
        <f aca="false">F6*F7/100</f>
        <v>8764.5472371072</v>
      </c>
      <c r="G8" s="0" t="n">
        <f aca="false">G6*G7/100</f>
        <v>8983.66091803488</v>
      </c>
      <c r="H8" s="0" t="n">
        <f aca="false">H6*H7/100</f>
        <v>9163.33413639558</v>
      </c>
      <c r="I8" s="0" t="n">
        <f aca="false">I6*I7/100</f>
        <v>9346.60081912349</v>
      </c>
      <c r="J8" s="0" t="n">
        <f aca="false">J6*J7/100</f>
        <v>9533.53283550596</v>
      </c>
      <c r="K8" s="0" t="n">
        <f aca="false">K6*K7/100</f>
        <v>9724.20349221608</v>
      </c>
      <c r="L8" s="0" t="n">
        <f aca="false">L6*L7/100</f>
        <v>9918.6875620604</v>
      </c>
    </row>
    <row r="9" customFormat="false" ht="15" hidden="false" customHeight="false" outlineLevel="0" collapsed="false">
      <c r="A9" s="0" t="s">
        <v>100</v>
      </c>
      <c r="C9" s="4" t="n">
        <f aca="false">Assumptions!C15</f>
        <v>0.35</v>
      </c>
      <c r="D9" s="4" t="n">
        <f aca="false">Assumptions!D15</f>
        <v>0.35</v>
      </c>
      <c r="E9" s="4" t="n">
        <f aca="false">Assumptions!E15</f>
        <v>0.35</v>
      </c>
      <c r="F9" s="4" t="n">
        <f aca="false">Assumptions!F15</f>
        <v>0.35</v>
      </c>
      <c r="G9" s="4" t="n">
        <f aca="false">Assumptions!G15</f>
        <v>0.35</v>
      </c>
      <c r="H9" s="4" t="n">
        <f aca="false">Assumptions!H15</f>
        <v>0.35</v>
      </c>
      <c r="I9" s="4" t="n">
        <f aca="false">Assumptions!I15</f>
        <v>0.35</v>
      </c>
      <c r="J9" s="4" t="n">
        <f aca="false">Assumptions!J15</f>
        <v>0.35</v>
      </c>
      <c r="K9" s="4" t="n">
        <f aca="false">Assumptions!K15</f>
        <v>0.35</v>
      </c>
      <c r="L9" s="4" t="n">
        <f aca="false">Assumptions!L15</f>
        <v>0.35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-201.76576</v>
      </c>
      <c r="D10" s="0" t="n">
        <f aca="false">-D6*D9/100</f>
        <v>-143.2536896</v>
      </c>
      <c r="E10" s="0" t="n">
        <f aca="false">-E6*E9/100</f>
        <v>-141.821152704</v>
      </c>
      <c r="F10" s="0" t="n">
        <f aca="false">-F6*F9/100</f>
        <v>-146.07578728512</v>
      </c>
      <c r="G10" s="0" t="n">
        <f aca="false">-G6*G9/100</f>
        <v>-149.727681967248</v>
      </c>
      <c r="H10" s="0" t="n">
        <f aca="false">-H6*H9/100</f>
        <v>-152.722235606593</v>
      </c>
      <c r="I10" s="0" t="n">
        <f aca="false">-I6*I9/100</f>
        <v>-155.776680318725</v>
      </c>
      <c r="J10" s="0" t="n">
        <f aca="false">-J6*J9/100</f>
        <v>-158.892213925099</v>
      </c>
      <c r="K10" s="0" t="n">
        <f aca="false">-K6*K9/100</f>
        <v>-162.070058203601</v>
      </c>
      <c r="L10" s="0" t="n">
        <f aca="false">-L6*L9/100</f>
        <v>-165.311459367673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15391.84512</v>
      </c>
      <c r="D11" s="0" t="n">
        <f aca="false">D8+D10+D24</f>
        <v>8329.1788096</v>
      </c>
      <c r="E11" s="0" t="n">
        <f aca="false">E8+E10+E24</f>
        <v>7840.683728064</v>
      </c>
      <c r="F11" s="0" t="n">
        <f aca="false">F8+F10+F24</f>
        <v>8096.77220951808</v>
      </c>
      <c r="G11" s="0" t="n">
        <f aca="false">G8+G10+G24</f>
        <v>8320.58118360849</v>
      </c>
      <c r="H11" s="0" t="n">
        <f aca="false">H8+H10+H24</f>
        <v>8486.99280728067</v>
      </c>
      <c r="I11" s="0" t="n">
        <f aca="false">I8+I10+I24</f>
        <v>8656.73266342628</v>
      </c>
      <c r="J11" s="0" t="n">
        <f aca="false">J8+J10+J24</f>
        <v>8829.8673166948</v>
      </c>
      <c r="K11" s="0" t="n">
        <f aca="false">K8+K10+K24</f>
        <v>9006.4646630287</v>
      </c>
      <c r="L11" s="0" t="n">
        <f aca="false">L8+L10+L24</f>
        <v>9186.59395628928</v>
      </c>
    </row>
    <row r="12" customFormat="false" ht="15" hidden="false" customHeight="false" outlineLevel="0" collapsed="false">
      <c r="A12" s="0" t="s">
        <v>117</v>
      </c>
      <c r="C12" s="4" t="n">
        <f aca="false">-C6*Assumptions!C17/100</f>
        <v>-5476.4992</v>
      </c>
      <c r="D12" s="4" t="n">
        <f aca="false">-D6*Assumptions!D17/100</f>
        <v>-5525.499456</v>
      </c>
      <c r="E12" s="4" t="n">
        <f aca="false">-E6*Assumptions!E17/100</f>
        <v>-5672.84610816</v>
      </c>
      <c r="F12" s="4" t="n">
        <f aca="false">-F6*Assumptions!F17/100</f>
        <v>-5843.0314914048</v>
      </c>
      <c r="G12" s="4" t="n">
        <f aca="false">-G6*Assumptions!G17/100</f>
        <v>-5989.10727868992</v>
      </c>
      <c r="H12" s="4" t="n">
        <f aca="false">-H6*Assumptions!H17/100</f>
        <v>-6108.88942426372</v>
      </c>
      <c r="I12" s="4" t="n">
        <f aca="false">-I6*Assumptions!I17/100</f>
        <v>-6231.06721274899</v>
      </c>
      <c r="J12" s="4" t="n">
        <f aca="false">-J6*Assumptions!J17/100</f>
        <v>-6355.68855700397</v>
      </c>
      <c r="K12" s="4" t="n">
        <f aca="false">-K6*Assumptions!K17/100</f>
        <v>-6482.80232814405</v>
      </c>
      <c r="L12" s="4" t="n">
        <f aca="false">-L6*Assumptions!L17/100</f>
        <v>-6612.45837470693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9915.34592</v>
      </c>
      <c r="D13" s="0" t="n">
        <f aca="false">D11+D12</f>
        <v>2803.6793536</v>
      </c>
      <c r="E13" s="0" t="n">
        <f aca="false">E11+E12</f>
        <v>2167.837619904</v>
      </c>
      <c r="F13" s="0" t="n">
        <f aca="false">F11+F12</f>
        <v>2253.74071811328</v>
      </c>
      <c r="G13" s="0" t="n">
        <f aca="false">G11+G12</f>
        <v>2331.47390491858</v>
      </c>
      <c r="H13" s="0" t="n">
        <f aca="false">H11+H12</f>
        <v>2378.10338301695</v>
      </c>
      <c r="I13" s="0" t="n">
        <f aca="false">I11+I12</f>
        <v>2425.66545067728</v>
      </c>
      <c r="J13" s="0" t="n">
        <f aca="false">J11+J12</f>
        <v>2474.17875969083</v>
      </c>
      <c r="K13" s="0" t="n">
        <f aca="false">K11+K12</f>
        <v>2523.66233488465</v>
      </c>
      <c r="L13" s="0" t="n">
        <f aca="false">L11+L12</f>
        <v>2574.13558158234</v>
      </c>
    </row>
    <row r="14" customFormat="false" ht="15" hidden="false" customHeight="false" outlineLevel="0" collapsed="false">
      <c r="A14" s="0" t="s">
        <v>104</v>
      </c>
      <c r="C14" s="4" t="n">
        <f aca="false">Assumptions!C19</f>
        <v>24</v>
      </c>
      <c r="D14" s="4" t="n">
        <f aca="false">Assumptions!D19</f>
        <v>24</v>
      </c>
      <c r="E14" s="4" t="n">
        <f aca="false">Assumptions!E19</f>
        <v>24</v>
      </c>
      <c r="F14" s="4" t="n">
        <f aca="false">Assumptions!F19</f>
        <v>24</v>
      </c>
      <c r="G14" s="4" t="n">
        <f aca="false">Assumptions!G19</f>
        <v>24</v>
      </c>
      <c r="H14" s="4" t="n">
        <f aca="false">Assumptions!H19</f>
        <v>24</v>
      </c>
      <c r="I14" s="4" t="n">
        <f aca="false">Assumptions!I19</f>
        <v>24</v>
      </c>
      <c r="J14" s="4" t="n">
        <f aca="false">Assumptions!J19</f>
        <v>24</v>
      </c>
      <c r="K14" s="4" t="n">
        <f aca="false">Assumptions!K19</f>
        <v>24</v>
      </c>
      <c r="L14" s="4" t="n">
        <f aca="false">Assumptions!L19</f>
        <v>24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7535.6628992</v>
      </c>
      <c r="D15" s="0" t="n">
        <f aca="false">D13-MAX(0,D13)*D14/100</f>
        <v>2130.796308736</v>
      </c>
      <c r="E15" s="0" t="n">
        <f aca="false">E13-MAX(0,E13)*E14/100</f>
        <v>1647.55659112704</v>
      </c>
      <c r="F15" s="0" t="n">
        <f aca="false">F13-MAX(0,F13)*F14/100</f>
        <v>1712.84294576609</v>
      </c>
      <c r="G15" s="0" t="n">
        <f aca="false">G13-MAX(0,G13)*G14/100</f>
        <v>1771.92016773812</v>
      </c>
      <c r="H15" s="0" t="n">
        <f aca="false">H13-MAX(0,H13)*H14/100</f>
        <v>1807.35857109288</v>
      </c>
      <c r="I15" s="0" t="n">
        <f aca="false">I13-MAX(0,I13)*I14/100</f>
        <v>1843.50574251474</v>
      </c>
      <c r="J15" s="0" t="n">
        <f aca="false">J13-MAX(0,J13)*J14/100</f>
        <v>1880.37585736503</v>
      </c>
      <c r="K15" s="0" t="n">
        <f aca="false">K13-MAX(0,K13)*K14/100</f>
        <v>1917.98337451233</v>
      </c>
      <c r="L15" s="0" t="n">
        <f aca="false">L13-MAX(0,L13)*L14/100</f>
        <v>1956.34304200258</v>
      </c>
    </row>
    <row r="16" customFormat="false" ht="15" hidden="false" customHeight="false" outlineLevel="0" collapsed="false">
      <c r="A16" s="0" t="s">
        <v>120</v>
      </c>
      <c r="C16" s="0" t="n">
        <f aca="false">-C12</f>
        <v>5476.4992</v>
      </c>
      <c r="D16" s="0" t="n">
        <f aca="false">-D12</f>
        <v>5525.499456</v>
      </c>
      <c r="E16" s="0" t="n">
        <f aca="false">-E12</f>
        <v>5672.84610816</v>
      </c>
      <c r="F16" s="0" t="n">
        <f aca="false">-F12</f>
        <v>5843.0314914048</v>
      </c>
      <c r="G16" s="0" t="n">
        <f aca="false">-G12</f>
        <v>5989.10727868992</v>
      </c>
      <c r="H16" s="0" t="n">
        <f aca="false">-H12</f>
        <v>6108.88942426372</v>
      </c>
      <c r="I16" s="0" t="n">
        <f aca="false">-I12</f>
        <v>6231.06721274899</v>
      </c>
      <c r="J16" s="0" t="n">
        <f aca="false">-J12</f>
        <v>6355.68855700397</v>
      </c>
      <c r="K16" s="0" t="n">
        <f aca="false">-K12</f>
        <v>6482.80232814405</v>
      </c>
      <c r="L16" s="0" t="n">
        <f aca="false">-L12</f>
        <v>6612.45837470693</v>
      </c>
    </row>
    <row r="17" customFormat="false" ht="15" hidden="false" customHeight="false" outlineLevel="0" collapsed="false">
      <c r="A17" s="0" t="s">
        <v>121</v>
      </c>
      <c r="C17" s="4" t="n">
        <f aca="false">-C6*Assumptions!C18/100</f>
        <v>-5188.2624</v>
      </c>
      <c r="D17" s="4" t="n">
        <f aca="false">-D6*Assumptions!D18/100</f>
        <v>-4706.906944</v>
      </c>
      <c r="E17" s="4" t="n">
        <f aca="false">-E6*Assumptions!E18/100</f>
        <v>-4376.195569152</v>
      </c>
      <c r="F17" s="4" t="n">
        <f aca="false">-F6*Assumptions!F18/100</f>
        <v>-4382.2736185536</v>
      </c>
      <c r="G17" s="4" t="n">
        <f aca="false">-G6*Assumptions!G18/100</f>
        <v>-4491.83045901744</v>
      </c>
      <c r="H17" s="4" t="n">
        <f aca="false">-H6*Assumptions!H18/100</f>
        <v>-4581.66706819779</v>
      </c>
      <c r="I17" s="4" t="n">
        <f aca="false">-I6*Assumptions!I18/100</f>
        <v>-4673.30040956174</v>
      </c>
      <c r="J17" s="4" t="n">
        <f aca="false">-J6*Assumptions!J18/100</f>
        <v>-4766.76641775298</v>
      </c>
      <c r="K17" s="4" t="n">
        <f aca="false">-K6*Assumptions!K18/100</f>
        <v>-4862.10174610804</v>
      </c>
      <c r="L17" s="4" t="n">
        <f aca="false">-L6*Assumptions!L18/100</f>
        <v>-4959.3437810302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(C6-B6)*Assumptions!$B$23/100</f>
        <v>0</v>
      </c>
      <c r="D18" s="4" t="n">
        <f aca="false">(D6-C6)*Assumptions!$B$23/100</f>
        <v>-0</v>
      </c>
      <c r="E18" s="4" t="n">
        <f aca="false">(E6-D6)*Assumptions!$B$23/100</f>
        <v>-0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7823.8996992</v>
      </c>
      <c r="D19" s="0" t="n">
        <f aca="false">D15+D16+D17+D18</f>
        <v>2949.388820736</v>
      </c>
      <c r="E19" s="0" t="n">
        <f aca="false">E15+E16+E17+E18</f>
        <v>2944.20713013504</v>
      </c>
      <c r="F19" s="0" t="n">
        <f aca="false">F15+F16+F17+F18</f>
        <v>3173.60081861729</v>
      </c>
      <c r="G19" s="0" t="n">
        <f aca="false">G15+G16+G17+G18</f>
        <v>3269.1969874106</v>
      </c>
      <c r="H19" s="0" t="n">
        <f aca="false">H15+H16+H17+H18</f>
        <v>3334.58092715881</v>
      </c>
      <c r="I19" s="0" t="n">
        <f aca="false">I15+I16+I17+I18</f>
        <v>3401.27254570199</v>
      </c>
      <c r="J19" s="0" t="n">
        <f aca="false">J15+J16+J17+J18</f>
        <v>3469.29799661603</v>
      </c>
      <c r="K19" s="0" t="n">
        <f aca="false">K15+K16+K17+K18</f>
        <v>3538.68395654835</v>
      </c>
      <c r="L19" s="0" t="n">
        <f aca="false">L15+L16+L17+L18</f>
        <v>3609.45763567931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0.914913083257091</v>
      </c>
      <c r="D20" s="0" t="n">
        <f aca="false">1/(1+$B$27/100)^D4</f>
        <v>0.837065949914996</v>
      </c>
      <c r="E20" s="0" t="n">
        <f aca="false">1/(1+$B$27/100)^E4</f>
        <v>0.765842589126254</v>
      </c>
      <c r="F20" s="0" t="n">
        <f aca="false">1/(1+$B$27/100)^F4</f>
        <v>0.700679404507095</v>
      </c>
      <c r="G20" s="0" t="n">
        <f aca="false">1/(1+$B$27/100)^G4</f>
        <v>0.641060754352328</v>
      </c>
      <c r="H20" s="0" t="n">
        <f aca="false">1/(1+$B$27/100)^H4</f>
        <v>0.586514871319605</v>
      </c>
      <c r="I20" s="0" t="n">
        <f aca="false">1/(1+$B$27/100)^I4</f>
        <v>0.536610129295155</v>
      </c>
      <c r="J20" s="0" t="n">
        <f aca="false">1/(1+$B$27/100)^J4</f>
        <v>0.490951627900417</v>
      </c>
      <c r="K20" s="0" t="n">
        <f aca="false">1/(1+$B$27/100)^K4</f>
        <v>0.449178067612458</v>
      </c>
      <c r="L20" s="0" t="n">
        <f aca="false">1/(1+$B$27/100)^L4</f>
        <v>0.410958890770776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7158.1881968893</v>
      </c>
      <c r="D21" s="0" t="n">
        <f aca="false">D19*D20</f>
        <v>2468.83295489805</v>
      </c>
      <c r="E21" s="0" t="n">
        <f aca="false">E19*E20</f>
        <v>2254.7992114666</v>
      </c>
      <c r="F21" s="0" t="n">
        <f aca="false">F19*F20</f>
        <v>2223.67673173199</v>
      </c>
      <c r="G21" s="0" t="n">
        <f aca="false">G19*G20</f>
        <v>2095.7538868758</v>
      </c>
      <c r="H21" s="0" t="n">
        <f aca="false">H19*H20</f>
        <v>1955.78130339736</v>
      </c>
      <c r="I21" s="0" t="n">
        <f aca="false">I19*I20</f>
        <v>1825.15730051721</v>
      </c>
      <c r="J21" s="0" t="n">
        <f aca="false">J19*J20</f>
        <v>1703.25749911029</v>
      </c>
      <c r="K21" s="0" t="n">
        <f aca="false">K19*K20</f>
        <v>1589.49922149359</v>
      </c>
      <c r="L21" s="0" t="n">
        <f aca="false">L19*L20</f>
        <v>1483.33870624288</v>
      </c>
    </row>
    <row r="23" customFormat="false" ht="15" hidden="false" customHeight="false" outlineLevel="0" collapsed="false">
      <c r="A23" s="0" t="s">
        <v>101</v>
      </c>
      <c r="C23" s="4" t="n">
        <f aca="false">Assumptions!C16</f>
        <v>0.95</v>
      </c>
      <c r="D23" s="4" t="n">
        <f aca="false">Assumptions!D16</f>
        <v>1.3</v>
      </c>
      <c r="E23" s="4" t="n">
        <f aca="false">Assumptions!E16</f>
        <v>1.3</v>
      </c>
      <c r="F23" s="4" t="n">
        <f aca="false">Assumptions!F16</f>
        <v>1.25</v>
      </c>
      <c r="G23" s="4" t="n">
        <f aca="false">Assumptions!G16</f>
        <v>1.2</v>
      </c>
      <c r="H23" s="4" t="n">
        <f aca="false">Assumptions!H16</f>
        <v>1.2</v>
      </c>
      <c r="I23" s="4" t="n">
        <f aca="false">Assumptions!I16</f>
        <v>1.2</v>
      </c>
      <c r="J23" s="4" t="n">
        <f aca="false">Assumptions!J16</f>
        <v>1.2</v>
      </c>
      <c r="K23" s="4" t="n">
        <f aca="false">Assumptions!K16</f>
        <v>1.2</v>
      </c>
      <c r="L23" s="4" t="n">
        <f aca="false">Assumptions!L16</f>
        <v>1.2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-547.64992</v>
      </c>
      <c r="D24" s="0" t="n">
        <f aca="false">-D6*D23/100</f>
        <v>-532.0851328</v>
      </c>
      <c r="E24" s="0" t="n">
        <f aca="false">-E6*E23/100</f>
        <v>-526.764281472</v>
      </c>
      <c r="F24" s="0" t="n">
        <f aca="false">-F6*F23/100</f>
        <v>-521.699240304</v>
      </c>
      <c r="G24" s="0" t="n">
        <f aca="false">-G6*G23/100</f>
        <v>-513.352052459136</v>
      </c>
      <c r="H24" s="0" t="n">
        <f aca="false">-H6*H23/100</f>
        <v>-523.619093508319</v>
      </c>
      <c r="I24" s="0" t="n">
        <f aca="false">-I6*I23/100</f>
        <v>-534.091475378485</v>
      </c>
      <c r="J24" s="0" t="n">
        <f aca="false">-J6*J23/100</f>
        <v>-544.773304886055</v>
      </c>
      <c r="K24" s="0" t="n">
        <f aca="false">-K6*K23/100</f>
        <v>-555.668770983776</v>
      </c>
      <c r="L24" s="0" t="n">
        <f aca="false">-L6*L23/100</f>
        <v>-566.782146403451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Assumptions!$B$20</f>
        <v>9.3</v>
      </c>
    </row>
    <row r="28" customFormat="false" ht="15" hidden="false" customHeight="false" outlineLevel="0" collapsed="false">
      <c r="A28" s="0" t="s">
        <v>106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107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24758.2850126231</v>
      </c>
    </row>
    <row r="31" customFormat="false" ht="15" hidden="false" customHeight="false" outlineLevel="0" collapsed="false">
      <c r="A31" s="0" t="s">
        <v>129</v>
      </c>
      <c r="B31" s="0" t="n">
        <f aca="false">L19</f>
        <v>3609.45763567931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46969.2243617244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43313.4916281518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43313.4916281518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17800.0644749145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42558.3494875376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32004.3494875376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17.2066395094288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-0.615494089174775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1003.3685620719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884.041758756907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18.2213762410572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27137.774075663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8.77197719584236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Assumptions!C27</f>
        <v>24</v>
      </c>
      <c r="D5" s="4" t="n">
        <f aca="false">Assumptions!D27</f>
        <v>-17.2</v>
      </c>
      <c r="E5" s="4" t="n">
        <f aca="false">Assumptions!E27</f>
        <v>-2.7</v>
      </c>
      <c r="F5" s="4" t="n">
        <f aca="false">Assumptions!F27</f>
        <v>4.5</v>
      </c>
      <c r="G5" s="4" t="n">
        <f aca="false">Assumptions!G27</f>
        <v>3.5</v>
      </c>
      <c r="H5" s="4" t="n">
        <f aca="false">Assumptions!H27</f>
        <v>2.5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49696</v>
      </c>
      <c r="C6" s="0" t="n">
        <f aca="false">B6*(1+C5/100)</f>
        <v>61623.04</v>
      </c>
      <c r="D6" s="0" t="n">
        <f aca="false">C6*(1+D5/100)</f>
        <v>51023.87712</v>
      </c>
      <c r="E6" s="0" t="n">
        <f aca="false">D6*(1+E5/100)</f>
        <v>49646.23243776</v>
      </c>
      <c r="F6" s="0" t="n">
        <f aca="false">E6*(1+F5/100)</f>
        <v>51880.3128974592</v>
      </c>
      <c r="G6" s="0" t="n">
        <f aca="false">F6*(1+G5/100)</f>
        <v>53696.1238488703</v>
      </c>
      <c r="H6" s="0" t="n">
        <f aca="false">G6*(1+H5/100)</f>
        <v>55038.526945092</v>
      </c>
      <c r="I6" s="0" t="n">
        <f aca="false">H6*(1+I5/100)</f>
        <v>56414.4901187193</v>
      </c>
      <c r="J6" s="0" t="n">
        <f aca="false">I6*(1+J5/100)</f>
        <v>57824.8523716873</v>
      </c>
      <c r="K6" s="0" t="n">
        <f aca="false">J6*(1+K5/100)</f>
        <v>59270.4736809795</v>
      </c>
      <c r="L6" s="0" t="n">
        <f aca="false">K6*(1+L5/100)</f>
        <v>60752.235523004</v>
      </c>
    </row>
    <row r="7" customFormat="false" ht="15" hidden="false" customHeight="false" outlineLevel="0" collapsed="false">
      <c r="A7" s="0" t="s">
        <v>99</v>
      </c>
      <c r="C7" s="4" t="n">
        <f aca="false">Assumptions!C28</f>
        <v>30</v>
      </c>
      <c r="D7" s="4" t="n">
        <f aca="false">Assumptions!D28</f>
        <v>27.5</v>
      </c>
      <c r="E7" s="4" t="n">
        <f aca="false">Assumptions!E28</f>
        <v>26</v>
      </c>
      <c r="F7" s="4" t="n">
        <f aca="false">Assumptions!F28</f>
        <v>26</v>
      </c>
      <c r="G7" s="4" t="n">
        <f aca="false">Assumptions!G28</f>
        <v>26.5</v>
      </c>
      <c r="H7" s="4" t="n">
        <f aca="false">Assumptions!H28</f>
        <v>26.5</v>
      </c>
      <c r="I7" s="4" t="n">
        <f aca="false">Assumptions!I28</f>
        <v>26.5</v>
      </c>
      <c r="J7" s="4" t="n">
        <f aca="false">Assumptions!J28</f>
        <v>26.5</v>
      </c>
      <c r="K7" s="4" t="n">
        <f aca="false">Assumptions!K28</f>
        <v>26.5</v>
      </c>
      <c r="L7" s="4" t="n">
        <f aca="false">Assumptions!L28</f>
        <v>26.5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18486.912</v>
      </c>
      <c r="D8" s="0" t="n">
        <f aca="false">D6*D7/100</f>
        <v>14031.566208</v>
      </c>
      <c r="E8" s="0" t="n">
        <f aca="false">E6*E7/100</f>
        <v>12908.0204338176</v>
      </c>
      <c r="F8" s="0" t="n">
        <f aca="false">F6*F7/100</f>
        <v>13488.8813533394</v>
      </c>
      <c r="G8" s="0" t="n">
        <f aca="false">G6*G7/100</f>
        <v>14229.4728199506</v>
      </c>
      <c r="H8" s="0" t="n">
        <f aca="false">H6*H7/100</f>
        <v>14585.2096404494</v>
      </c>
      <c r="I8" s="0" t="n">
        <f aca="false">I6*I7/100</f>
        <v>14949.8398814606</v>
      </c>
      <c r="J8" s="0" t="n">
        <f aca="false">J6*J7/100</f>
        <v>15323.5858784971</v>
      </c>
      <c r="K8" s="0" t="n">
        <f aca="false">K6*K7/100</f>
        <v>15706.6755254596</v>
      </c>
      <c r="L8" s="0" t="n">
        <f aca="false">L6*L7/100</f>
        <v>16099.342413596</v>
      </c>
    </row>
    <row r="9" customFormat="false" ht="15" hidden="false" customHeight="false" outlineLevel="0" collapsed="false">
      <c r="A9" s="0" t="s">
        <v>100</v>
      </c>
      <c r="C9" s="4" t="n">
        <f aca="false">Assumptions!C29</f>
        <v>0.35</v>
      </c>
      <c r="D9" s="4" t="n">
        <f aca="false">Assumptions!D29</f>
        <v>0.35</v>
      </c>
      <c r="E9" s="4" t="n">
        <f aca="false">Assumptions!E29</f>
        <v>0.35</v>
      </c>
      <c r="F9" s="4" t="n">
        <f aca="false">Assumptions!F29</f>
        <v>0.35</v>
      </c>
      <c r="G9" s="4" t="n">
        <f aca="false">Assumptions!G29</f>
        <v>0.35</v>
      </c>
      <c r="H9" s="4" t="n">
        <f aca="false">Assumptions!H29</f>
        <v>0.35</v>
      </c>
      <c r="I9" s="4" t="n">
        <f aca="false">Assumptions!I29</f>
        <v>0.35</v>
      </c>
      <c r="J9" s="4" t="n">
        <f aca="false">Assumptions!J29</f>
        <v>0.35</v>
      </c>
      <c r="K9" s="4" t="n">
        <f aca="false">Assumptions!K29</f>
        <v>0.35</v>
      </c>
      <c r="L9" s="4" t="n">
        <f aca="false">Assumptions!L29</f>
        <v>0.35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-215.68064</v>
      </c>
      <c r="D10" s="0" t="n">
        <f aca="false">-D6*D9/100</f>
        <v>-178.58356992</v>
      </c>
      <c r="E10" s="0" t="n">
        <f aca="false">-E6*E9/100</f>
        <v>-173.76181353216</v>
      </c>
      <c r="F10" s="0" t="n">
        <f aca="false">-F6*F9/100</f>
        <v>-181.581095141107</v>
      </c>
      <c r="G10" s="0" t="n">
        <f aca="false">-G6*G9/100</f>
        <v>-187.936433471046</v>
      </c>
      <c r="H10" s="0" t="n">
        <f aca="false">-H6*H9/100</f>
        <v>-192.634844307822</v>
      </c>
      <c r="I10" s="0" t="n">
        <f aca="false">-I6*I9/100</f>
        <v>-197.450715415518</v>
      </c>
      <c r="J10" s="0" t="n">
        <f aca="false">-J6*J9/100</f>
        <v>-202.386983300905</v>
      </c>
      <c r="K10" s="0" t="n">
        <f aca="false">-K6*K9/100</f>
        <v>-207.446657883428</v>
      </c>
      <c r="L10" s="0" t="n">
        <f aca="false">-L6*L9/100</f>
        <v>-212.632824330514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17716.624</v>
      </c>
      <c r="D11" s="0" t="n">
        <f aca="false">D8+D10+D24</f>
        <v>13317.23192832</v>
      </c>
      <c r="E11" s="0" t="n">
        <f aca="false">E8+E10+E24</f>
        <v>12188.1500634701</v>
      </c>
      <c r="F11" s="0" t="n">
        <f aca="false">F8+F10+F24</f>
        <v>12762.556972775</v>
      </c>
      <c r="G11" s="0" t="n">
        <f aca="false">G8+G10+G24</f>
        <v>13504.5751479909</v>
      </c>
      <c r="H11" s="0" t="n">
        <f aca="false">H8+H10+H24</f>
        <v>13842.1895266906</v>
      </c>
      <c r="I11" s="0" t="n">
        <f aca="false">I8+I10+I24</f>
        <v>14188.2442648579</v>
      </c>
      <c r="J11" s="0" t="n">
        <f aca="false">J8+J10+J24</f>
        <v>14542.9503714794</v>
      </c>
      <c r="K11" s="0" t="n">
        <f aca="false">K8+K10+K24</f>
        <v>14906.5241307663</v>
      </c>
      <c r="L11" s="0" t="n">
        <f aca="false">L8+L10+L24</f>
        <v>15279.1872340355</v>
      </c>
    </row>
    <row r="12" customFormat="false" ht="15" hidden="false" customHeight="false" outlineLevel="0" collapsed="false">
      <c r="A12" s="0" t="s">
        <v>117</v>
      </c>
      <c r="C12" s="4" t="n">
        <f aca="false">-C6*Assumptions!C31/100</f>
        <v>-5546.0736</v>
      </c>
      <c r="D12" s="4" t="n">
        <f aca="false">-D6*Assumptions!D31/100</f>
        <v>-5612.6264832</v>
      </c>
      <c r="E12" s="4" t="n">
        <f aca="false">-E6*Assumptions!E31/100</f>
        <v>-5957.5478925312</v>
      </c>
      <c r="F12" s="4" t="n">
        <f aca="false">-F6*Assumptions!F31/100</f>
        <v>-6225.6375476951</v>
      </c>
      <c r="G12" s="4" t="n">
        <f aca="false">-G6*Assumptions!G31/100</f>
        <v>-6443.53486186443</v>
      </c>
      <c r="H12" s="4" t="n">
        <f aca="false">-H6*Assumptions!H31/100</f>
        <v>-6604.62323341104</v>
      </c>
      <c r="I12" s="4" t="n">
        <f aca="false">-I6*Assumptions!I31/100</f>
        <v>-6769.73881424632</v>
      </c>
      <c r="J12" s="4" t="n">
        <f aca="false">-J6*Assumptions!J31/100</f>
        <v>-6938.98228460247</v>
      </c>
      <c r="K12" s="4" t="n">
        <f aca="false">-K6*Assumptions!K31/100</f>
        <v>-7112.45684171754</v>
      </c>
      <c r="L12" s="4" t="n">
        <f aca="false">-L6*Assumptions!L31/100</f>
        <v>-7290.26826276047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12170.5504</v>
      </c>
      <c r="D13" s="0" t="n">
        <f aca="false">D11+D12</f>
        <v>7704.60544512</v>
      </c>
      <c r="E13" s="0" t="n">
        <f aca="false">E11+E12</f>
        <v>6230.60217093888</v>
      </c>
      <c r="F13" s="0" t="n">
        <f aca="false">F11+F12</f>
        <v>6536.91942507986</v>
      </c>
      <c r="G13" s="0" t="n">
        <f aca="false">G11+G12</f>
        <v>7061.04028612644</v>
      </c>
      <c r="H13" s="0" t="n">
        <f aca="false">H11+H12</f>
        <v>7237.5662932796</v>
      </c>
      <c r="I13" s="0" t="n">
        <f aca="false">I11+I12</f>
        <v>7418.50545061159</v>
      </c>
      <c r="J13" s="0" t="n">
        <f aca="false">J11+J12</f>
        <v>7603.96808687688</v>
      </c>
      <c r="K13" s="0" t="n">
        <f aca="false">K11+K12</f>
        <v>7794.0672890488</v>
      </c>
      <c r="L13" s="0" t="n">
        <f aca="false">L11+L12</f>
        <v>7988.91897127502</v>
      </c>
    </row>
    <row r="14" customFormat="false" ht="15" hidden="false" customHeight="false" outlineLevel="0" collapsed="false">
      <c r="A14" s="0" t="s">
        <v>104</v>
      </c>
      <c r="C14" s="4" t="n">
        <f aca="false">Assumptions!C33</f>
        <v>24</v>
      </c>
      <c r="D14" s="4" t="n">
        <f aca="false">Assumptions!D33</f>
        <v>24</v>
      </c>
      <c r="E14" s="4" t="n">
        <f aca="false">Assumptions!E33</f>
        <v>24</v>
      </c>
      <c r="F14" s="4" t="n">
        <f aca="false">Assumptions!F33</f>
        <v>24</v>
      </c>
      <c r="G14" s="4" t="n">
        <f aca="false">Assumptions!G33</f>
        <v>24</v>
      </c>
      <c r="H14" s="4" t="n">
        <f aca="false">Assumptions!H33</f>
        <v>24</v>
      </c>
      <c r="I14" s="4" t="n">
        <f aca="false">Assumptions!I33</f>
        <v>24</v>
      </c>
      <c r="J14" s="4" t="n">
        <f aca="false">Assumptions!J33</f>
        <v>24</v>
      </c>
      <c r="K14" s="4" t="n">
        <f aca="false">Assumptions!K33</f>
        <v>24</v>
      </c>
      <c r="L14" s="4" t="n">
        <f aca="false">Assumptions!L33</f>
        <v>24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9249.618304</v>
      </c>
      <c r="D15" s="0" t="n">
        <f aca="false">D13-MAX(0,D13)*D14/100</f>
        <v>5855.5001382912</v>
      </c>
      <c r="E15" s="0" t="n">
        <f aca="false">E13-MAX(0,E13)*E14/100</f>
        <v>4735.25764991355</v>
      </c>
      <c r="F15" s="0" t="n">
        <f aca="false">F13-MAX(0,F13)*F14/100</f>
        <v>4968.05876306069</v>
      </c>
      <c r="G15" s="0" t="n">
        <f aca="false">G13-MAX(0,G13)*G14/100</f>
        <v>5366.3906174561</v>
      </c>
      <c r="H15" s="0" t="n">
        <f aca="false">H13-MAX(0,H13)*H14/100</f>
        <v>5500.5503828925</v>
      </c>
      <c r="I15" s="0" t="n">
        <f aca="false">I13-MAX(0,I13)*I14/100</f>
        <v>5638.06414246481</v>
      </c>
      <c r="J15" s="0" t="n">
        <f aca="false">J13-MAX(0,J13)*J14/100</f>
        <v>5779.01574602643</v>
      </c>
      <c r="K15" s="0" t="n">
        <f aca="false">K13-MAX(0,K13)*K14/100</f>
        <v>5923.49113967709</v>
      </c>
      <c r="L15" s="0" t="n">
        <f aca="false">L13-MAX(0,L13)*L14/100</f>
        <v>6071.57841816901</v>
      </c>
    </row>
    <row r="16" customFormat="false" ht="15" hidden="false" customHeight="false" outlineLevel="0" collapsed="false">
      <c r="A16" s="0" t="s">
        <v>120</v>
      </c>
      <c r="C16" s="0" t="n">
        <f aca="false">-C12</f>
        <v>5546.0736</v>
      </c>
      <c r="D16" s="0" t="n">
        <f aca="false">-D12</f>
        <v>5612.6264832</v>
      </c>
      <c r="E16" s="0" t="n">
        <f aca="false">-E12</f>
        <v>5957.5478925312</v>
      </c>
      <c r="F16" s="0" t="n">
        <f aca="false">-F12</f>
        <v>6225.6375476951</v>
      </c>
      <c r="G16" s="0" t="n">
        <f aca="false">-G12</f>
        <v>6443.53486186443</v>
      </c>
      <c r="H16" s="0" t="n">
        <f aca="false">-H12</f>
        <v>6604.62323341104</v>
      </c>
      <c r="I16" s="0" t="n">
        <f aca="false">-I12</f>
        <v>6769.73881424632</v>
      </c>
      <c r="J16" s="0" t="n">
        <f aca="false">-J12</f>
        <v>6938.98228460247</v>
      </c>
      <c r="K16" s="0" t="n">
        <f aca="false">-K12</f>
        <v>7112.45684171754</v>
      </c>
      <c r="L16" s="0" t="n">
        <f aca="false">-L12</f>
        <v>7290.26826276047</v>
      </c>
    </row>
    <row r="17" customFormat="false" ht="15" hidden="false" customHeight="false" outlineLevel="0" collapsed="false">
      <c r="A17" s="0" t="s">
        <v>121</v>
      </c>
      <c r="C17" s="4" t="n">
        <f aca="false">-C6*Assumptions!C32/100</f>
        <v>-5176.33536</v>
      </c>
      <c r="D17" s="4" t="n">
        <f aca="false">-D6*Assumptions!D32/100</f>
        <v>-5102.387712</v>
      </c>
      <c r="E17" s="4" t="n">
        <f aca="false">-E6*Assumptions!E32/100</f>
        <v>-4716.3920815872</v>
      </c>
      <c r="F17" s="4" t="n">
        <f aca="false">-F6*Assumptions!F32/100</f>
        <v>-4928.62972525862</v>
      </c>
      <c r="G17" s="4" t="n">
        <f aca="false">-G6*Assumptions!G32/100</f>
        <v>-5101.13176564268</v>
      </c>
      <c r="H17" s="4" t="n">
        <f aca="false">-H6*Assumptions!H32/100</f>
        <v>-5228.66005978374</v>
      </c>
      <c r="I17" s="4" t="n">
        <f aca="false">-I6*Assumptions!I32/100</f>
        <v>-5359.37656127833</v>
      </c>
      <c r="J17" s="4" t="n">
        <f aca="false">-J6*Assumptions!J32/100</f>
        <v>-5493.36097531029</v>
      </c>
      <c r="K17" s="4" t="n">
        <f aca="false">-K6*Assumptions!K32/100</f>
        <v>-5630.69499969305</v>
      </c>
      <c r="L17" s="4" t="n">
        <f aca="false">-L6*Assumptions!L32/100</f>
        <v>-5771.46237468538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(C6-B6)*Assumptions!$B$37/100</f>
        <v>0</v>
      </c>
      <c r="D18" s="4" t="n">
        <f aca="false">(D6-C6)*Assumptions!$B$37/100</f>
        <v>-0</v>
      </c>
      <c r="E18" s="4" t="n">
        <f aca="false">(E6-D6)*Assumptions!$B$37/100</f>
        <v>-0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9619.356544</v>
      </c>
      <c r="D19" s="0" t="n">
        <f aca="false">D15+D16+D17+D18</f>
        <v>6365.7389094912</v>
      </c>
      <c r="E19" s="0" t="n">
        <f aca="false">E15+E16+E17+E18</f>
        <v>5976.41346085755</v>
      </c>
      <c r="F19" s="0" t="n">
        <f aca="false">F15+F16+F17+F18</f>
        <v>6265.06658549717</v>
      </c>
      <c r="G19" s="0" t="n">
        <f aca="false">G15+G16+G17+G18</f>
        <v>6708.79371367785</v>
      </c>
      <c r="H19" s="0" t="n">
        <f aca="false">H15+H16+H17+H18</f>
        <v>6876.5135565198</v>
      </c>
      <c r="I19" s="0" t="n">
        <f aca="false">I15+I16+I17+I18</f>
        <v>7048.42639543279</v>
      </c>
      <c r="J19" s="0" t="n">
        <f aca="false">J15+J16+J17+J18</f>
        <v>7224.63705531861</v>
      </c>
      <c r="K19" s="0" t="n">
        <f aca="false">K15+K16+K17+K18</f>
        <v>7405.25298170158</v>
      </c>
      <c r="L19" s="0" t="n">
        <f aca="false">L15+L16+L17+L18</f>
        <v>7590.38430624411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0.914913083257091</v>
      </c>
      <c r="D20" s="0" t="n">
        <f aca="false">1/(1+$B$27/100)^D4</f>
        <v>0.837065949914996</v>
      </c>
      <c r="E20" s="0" t="n">
        <f aca="false">1/(1+$B$27/100)^E4</f>
        <v>0.765842589126254</v>
      </c>
      <c r="F20" s="0" t="n">
        <f aca="false">1/(1+$B$27/100)^F4</f>
        <v>0.700679404507095</v>
      </c>
      <c r="G20" s="0" t="n">
        <f aca="false">1/(1+$B$27/100)^G4</f>
        <v>0.641060754352328</v>
      </c>
      <c r="H20" s="0" t="n">
        <f aca="false">1/(1+$B$27/100)^H4</f>
        <v>0.586514871319605</v>
      </c>
      <c r="I20" s="0" t="n">
        <f aca="false">1/(1+$B$27/100)^I4</f>
        <v>0.536610129295155</v>
      </c>
      <c r="J20" s="0" t="n">
        <f aca="false">1/(1+$B$27/100)^J4</f>
        <v>0.490951627900417</v>
      </c>
      <c r="K20" s="0" t="n">
        <f aca="false">1/(1+$B$27/100)^K4</f>
        <v>0.449178067612458</v>
      </c>
      <c r="L20" s="0" t="n">
        <f aca="false">1/(1+$B$27/100)^L4</f>
        <v>0.410958890770776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8800.87515462031</v>
      </c>
      <c r="D21" s="0" t="n">
        <f aca="false">D19*D20</f>
        <v>5328.5432871841</v>
      </c>
      <c r="E21" s="0" t="n">
        <f aca="false">E19*E20</f>
        <v>4576.99195855214</v>
      </c>
      <c r="F21" s="0" t="n">
        <f aca="false">F19*F20</f>
        <v>4389.80312432345</v>
      </c>
      <c r="G21" s="0" t="n">
        <f aca="false">G19*G20</f>
        <v>4300.74435888448</v>
      </c>
      <c r="H21" s="0" t="n">
        <f aca="false">H19*H20</f>
        <v>4033.17746372973</v>
      </c>
      <c r="I21" s="0" t="n">
        <f aca="false">I19*I20</f>
        <v>3782.25699938058</v>
      </c>
      <c r="J21" s="0" t="n">
        <f aca="false">J19*J20</f>
        <v>3546.94732329834</v>
      </c>
      <c r="K21" s="0" t="n">
        <f aca="false">K19*K20</f>
        <v>3326.27722450211</v>
      </c>
      <c r="L21" s="0" t="n">
        <f aca="false">L19*L20</f>
        <v>3119.33591501799</v>
      </c>
    </row>
    <row r="23" customFormat="false" ht="15" hidden="false" customHeight="false" outlineLevel="0" collapsed="false">
      <c r="A23" s="0" t="s">
        <v>101</v>
      </c>
      <c r="C23" s="4" t="n">
        <f aca="false">Assumptions!C30</f>
        <v>0.9</v>
      </c>
      <c r="D23" s="4" t="n">
        <f aca="false">Assumptions!D30</f>
        <v>1.05</v>
      </c>
      <c r="E23" s="4" t="n">
        <f aca="false">Assumptions!E30</f>
        <v>1.1</v>
      </c>
      <c r="F23" s="4" t="n">
        <f aca="false">Assumptions!F30</f>
        <v>1.05</v>
      </c>
      <c r="G23" s="4" t="n">
        <f aca="false">Assumptions!G30</f>
        <v>1</v>
      </c>
      <c r="H23" s="4" t="n">
        <f aca="false">Assumptions!H30</f>
        <v>1</v>
      </c>
      <c r="I23" s="4" t="n">
        <f aca="false">Assumptions!I30</f>
        <v>1</v>
      </c>
      <c r="J23" s="4" t="n">
        <f aca="false">Assumptions!J30</f>
        <v>1</v>
      </c>
      <c r="K23" s="4" t="n">
        <f aca="false">Assumptions!K30</f>
        <v>1</v>
      </c>
      <c r="L23" s="4" t="n">
        <f aca="false">Assumptions!L30</f>
        <v>1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-554.60736</v>
      </c>
      <c r="D24" s="0" t="n">
        <f aca="false">-D6*D23/100</f>
        <v>-535.75070976</v>
      </c>
      <c r="E24" s="0" t="n">
        <f aca="false">-E6*E23/100</f>
        <v>-546.10855681536</v>
      </c>
      <c r="F24" s="0" t="n">
        <f aca="false">-F6*F23/100</f>
        <v>-544.743285423322</v>
      </c>
      <c r="G24" s="0" t="n">
        <f aca="false">-G6*G23/100</f>
        <v>-536.961238488703</v>
      </c>
      <c r="H24" s="0" t="n">
        <f aca="false">-H6*H23/100</f>
        <v>-550.38526945092</v>
      </c>
      <c r="I24" s="0" t="n">
        <f aca="false">-I6*I23/100</f>
        <v>-564.144901187193</v>
      </c>
      <c r="J24" s="0" t="n">
        <f aca="false">-J6*J23/100</f>
        <v>-578.248523716873</v>
      </c>
      <c r="K24" s="0" t="n">
        <f aca="false">-K6*K23/100</f>
        <v>-592.704736809795</v>
      </c>
      <c r="L24" s="0" t="n">
        <f aca="false">-L6*L23/100</f>
        <v>-607.52235523004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Assumptions!$B$34</f>
        <v>9.3</v>
      </c>
    </row>
    <row r="28" customFormat="false" ht="15" hidden="false" customHeight="false" outlineLevel="0" collapsed="false">
      <c r="A28" s="0" t="s">
        <v>106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107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45204.9528094932</v>
      </c>
    </row>
    <row r="31" customFormat="false" ht="15" hidden="false" customHeight="false" outlineLevel="0" collapsed="false">
      <c r="A31" s="0" t="s">
        <v>129</v>
      </c>
      <c r="B31" s="0" t="n">
        <f aca="false">L19</f>
        <v>7590.38430624411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106057.424553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91084.6116749294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91084.6116749294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37432.0309802158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82636.9837897091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72082.9837897091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38.7542923600586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-0.133982293629975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1226.46157984267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1220.97283042317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40.0701173118145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59555.323018223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21.5903403257847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Assumptions!C41</f>
        <v>28</v>
      </c>
      <c r="D5" s="4" t="n">
        <f aca="false">Assumptions!D41</f>
        <v>-9.9</v>
      </c>
      <c r="E5" s="4" t="n">
        <f aca="false">Assumptions!E41</f>
        <v>-4.3</v>
      </c>
      <c r="F5" s="4" t="n">
        <f aca="false">Assumptions!F41</f>
        <v>5</v>
      </c>
      <c r="G5" s="4" t="n">
        <f aca="false">Assumptions!G41</f>
        <v>4</v>
      </c>
      <c r="H5" s="4" t="n">
        <f aca="false">Assumptions!H41</f>
        <v>3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49696</v>
      </c>
      <c r="C6" s="0" t="n">
        <f aca="false">B6*(1+C5/100)</f>
        <v>63610.88</v>
      </c>
      <c r="D6" s="0" t="n">
        <f aca="false">C6*(1+D5/100)</f>
        <v>57313.40288</v>
      </c>
      <c r="E6" s="0" t="n">
        <f aca="false">D6*(1+E5/100)</f>
        <v>54848.92655616</v>
      </c>
      <c r="F6" s="0" t="n">
        <f aca="false">E6*(1+F5/100)</f>
        <v>57591.372883968</v>
      </c>
      <c r="G6" s="0" t="n">
        <f aca="false">F6*(1+G5/100)</f>
        <v>59895.0277993267</v>
      </c>
      <c r="H6" s="0" t="n">
        <f aca="false">G6*(1+H5/100)</f>
        <v>61691.8786333065</v>
      </c>
      <c r="I6" s="0" t="n">
        <f aca="false">H6*(1+I5/100)</f>
        <v>63542.6349923057</v>
      </c>
      <c r="J6" s="0" t="n">
        <f aca="false">I6*(1+J5/100)</f>
        <v>65448.9140420749</v>
      </c>
      <c r="K6" s="0" t="n">
        <f aca="false">J6*(1+K5/100)</f>
        <v>67412.3814633372</v>
      </c>
      <c r="L6" s="0" t="n">
        <f aca="false">K6*(1+L5/100)</f>
        <v>69434.7529072373</v>
      </c>
    </row>
    <row r="7" customFormat="false" ht="15" hidden="false" customHeight="false" outlineLevel="0" collapsed="false">
      <c r="A7" s="0" t="s">
        <v>99</v>
      </c>
      <c r="C7" s="4" t="n">
        <f aca="false">Assumptions!C42</f>
        <v>31</v>
      </c>
      <c r="D7" s="4" t="n">
        <f aca="false">Assumptions!D42</f>
        <v>29</v>
      </c>
      <c r="E7" s="4" t="n">
        <f aca="false">Assumptions!E42</f>
        <v>28</v>
      </c>
      <c r="F7" s="4" t="n">
        <f aca="false">Assumptions!F42</f>
        <v>28</v>
      </c>
      <c r="G7" s="4" t="n">
        <f aca="false">Assumptions!G42</f>
        <v>28.5</v>
      </c>
      <c r="H7" s="4" t="n">
        <f aca="false">Assumptions!H42</f>
        <v>28.5</v>
      </c>
      <c r="I7" s="4" t="n">
        <f aca="false">Assumptions!I42</f>
        <v>28.5</v>
      </c>
      <c r="J7" s="4" t="n">
        <f aca="false">Assumptions!J42</f>
        <v>28.5</v>
      </c>
      <c r="K7" s="4" t="n">
        <f aca="false">Assumptions!K42</f>
        <v>28.5</v>
      </c>
      <c r="L7" s="4" t="n">
        <f aca="false">Assumptions!L42</f>
        <v>28.5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19719.3728</v>
      </c>
      <c r="D8" s="0" t="n">
        <f aca="false">D6*D7/100</f>
        <v>16620.8868352</v>
      </c>
      <c r="E8" s="0" t="n">
        <f aca="false">E6*E7/100</f>
        <v>15357.6994357248</v>
      </c>
      <c r="F8" s="0" t="n">
        <f aca="false">F6*F7/100</f>
        <v>16125.584407511</v>
      </c>
      <c r="G8" s="0" t="n">
        <f aca="false">G6*G7/100</f>
        <v>17070.0829228081</v>
      </c>
      <c r="H8" s="0" t="n">
        <f aca="false">H6*H7/100</f>
        <v>17582.1854104924</v>
      </c>
      <c r="I8" s="0" t="n">
        <f aca="false">I6*I7/100</f>
        <v>18109.6509728071</v>
      </c>
      <c r="J8" s="0" t="n">
        <f aca="false">J6*J7/100</f>
        <v>18652.9405019914</v>
      </c>
      <c r="K8" s="0" t="n">
        <f aca="false">K6*K7/100</f>
        <v>19212.5287170511</v>
      </c>
      <c r="L8" s="0" t="n">
        <f aca="false">L6*L7/100</f>
        <v>19788.9045785626</v>
      </c>
    </row>
    <row r="9" customFormat="false" ht="15" hidden="false" customHeight="false" outlineLevel="0" collapsed="false">
      <c r="A9" s="0" t="s">
        <v>100</v>
      </c>
      <c r="C9" s="4" t="n">
        <f aca="false">Assumptions!C43</f>
        <v>0.35</v>
      </c>
      <c r="D9" s="4" t="n">
        <f aca="false">Assumptions!D43</f>
        <v>0.35</v>
      </c>
      <c r="E9" s="4" t="n">
        <f aca="false">Assumptions!E43</f>
        <v>0.35</v>
      </c>
      <c r="F9" s="4" t="n">
        <f aca="false">Assumptions!F43</f>
        <v>0.35</v>
      </c>
      <c r="G9" s="4" t="n">
        <f aca="false">Assumptions!G43</f>
        <v>0.35</v>
      </c>
      <c r="H9" s="4" t="n">
        <f aca="false">Assumptions!H43</f>
        <v>0.35</v>
      </c>
      <c r="I9" s="4" t="n">
        <f aca="false">Assumptions!I43</f>
        <v>0.35</v>
      </c>
      <c r="J9" s="4" t="n">
        <f aca="false">Assumptions!J43</f>
        <v>0.35</v>
      </c>
      <c r="K9" s="4" t="n">
        <f aca="false">Assumptions!K43</f>
        <v>0.35</v>
      </c>
      <c r="L9" s="4" t="n">
        <f aca="false">Assumptions!L43</f>
        <v>0.35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-222.63808</v>
      </c>
      <c r="D10" s="0" t="n">
        <f aca="false">-D6*D9/100</f>
        <v>-200.59691008</v>
      </c>
      <c r="E10" s="0" t="n">
        <f aca="false">-E6*E9/100</f>
        <v>-191.97124294656</v>
      </c>
      <c r="F10" s="0" t="n">
        <f aca="false">-F6*F9/100</f>
        <v>-201.569805093888</v>
      </c>
      <c r="G10" s="0" t="n">
        <f aca="false">-G6*G9/100</f>
        <v>-209.632597297644</v>
      </c>
      <c r="H10" s="0" t="n">
        <f aca="false">-H6*H9/100</f>
        <v>-215.921575216573</v>
      </c>
      <c r="I10" s="0" t="n">
        <f aca="false">-I6*I9/100</f>
        <v>-222.39922247307</v>
      </c>
      <c r="J10" s="0" t="n">
        <f aca="false">-J6*J9/100</f>
        <v>-229.071199147262</v>
      </c>
      <c r="K10" s="0" t="n">
        <f aca="false">-K6*K9/100</f>
        <v>-235.94333512168</v>
      </c>
      <c r="L10" s="0" t="n">
        <f aca="false">-L6*L9/100</f>
        <v>-243.021635175331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18956.04224</v>
      </c>
      <c r="D11" s="0" t="n">
        <f aca="false">D8+D10+D24</f>
        <v>15875.81259776</v>
      </c>
      <c r="E11" s="0" t="n">
        <f aca="false">E8+E10+E24</f>
        <v>14617.2389272166</v>
      </c>
      <c r="F11" s="0" t="n">
        <f aca="false">F8+F10+F24</f>
        <v>15376.8965600195</v>
      </c>
      <c r="G11" s="0" t="n">
        <f aca="false">G8+G10+G24</f>
        <v>16321.3950753165</v>
      </c>
      <c r="H11" s="0" t="n">
        <f aca="false">H8+H10+H24</f>
        <v>16811.036927576</v>
      </c>
      <c r="I11" s="0" t="n">
        <f aca="false">I8+I10+I24</f>
        <v>17315.3680354033</v>
      </c>
      <c r="J11" s="0" t="n">
        <f aca="false">J8+J10+J24</f>
        <v>17834.8290764654</v>
      </c>
      <c r="K11" s="0" t="n">
        <f aca="false">K8+K10+K24</f>
        <v>18369.8739487594</v>
      </c>
      <c r="L11" s="0" t="n">
        <f aca="false">L8+L10+L24</f>
        <v>18920.9701672222</v>
      </c>
    </row>
    <row r="12" customFormat="false" ht="15" hidden="false" customHeight="false" outlineLevel="0" collapsed="false">
      <c r="A12" s="0" t="s">
        <v>117</v>
      </c>
      <c r="C12" s="4" t="n">
        <f aca="false">-C6*Assumptions!C45/100</f>
        <v>-5597.75744</v>
      </c>
      <c r="D12" s="4" t="n">
        <f aca="false">-D6*Assumptions!D45/100</f>
        <v>-5731.340288</v>
      </c>
      <c r="E12" s="4" t="n">
        <f aca="false">-E6*Assumptions!E45/100</f>
        <v>-5759.1372883968</v>
      </c>
      <c r="F12" s="4" t="n">
        <f aca="false">-F6*Assumptions!F45/100</f>
        <v>-6047.09415281664</v>
      </c>
      <c r="G12" s="4" t="n">
        <f aca="false">-G6*Assumptions!G45/100</f>
        <v>-6288.97791892931</v>
      </c>
      <c r="H12" s="4" t="n">
        <f aca="false">-H6*Assumptions!H45/100</f>
        <v>-6477.64725649719</v>
      </c>
      <c r="I12" s="4" t="n">
        <f aca="false">-I6*Assumptions!I45/100</f>
        <v>-6671.9766741921</v>
      </c>
      <c r="J12" s="4" t="n">
        <f aca="false">-J6*Assumptions!J45/100</f>
        <v>-6872.13597441787</v>
      </c>
      <c r="K12" s="4" t="n">
        <f aca="false">-K6*Assumptions!K45/100</f>
        <v>-7078.3000536504</v>
      </c>
      <c r="L12" s="4" t="n">
        <f aca="false">-L6*Assumptions!L45/100</f>
        <v>-7290.64905525991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13358.2848</v>
      </c>
      <c r="D13" s="0" t="n">
        <f aca="false">D11+D12</f>
        <v>10144.47230976</v>
      </c>
      <c r="E13" s="0" t="n">
        <f aca="false">E11+E12</f>
        <v>8858.10163881984</v>
      </c>
      <c r="F13" s="0" t="n">
        <f aca="false">F11+F12</f>
        <v>9329.80240720282</v>
      </c>
      <c r="G13" s="0" t="n">
        <f aca="false">G11+G12</f>
        <v>10032.4171563872</v>
      </c>
      <c r="H13" s="0" t="n">
        <f aca="false">H11+H12</f>
        <v>10333.3896710788</v>
      </c>
      <c r="I13" s="0" t="n">
        <f aca="false">I11+I12</f>
        <v>10643.3913612112</v>
      </c>
      <c r="J13" s="0" t="n">
        <f aca="false">J11+J12</f>
        <v>10962.6931020475</v>
      </c>
      <c r="K13" s="0" t="n">
        <f aca="false">K11+K12</f>
        <v>11291.573895109</v>
      </c>
      <c r="L13" s="0" t="n">
        <f aca="false">L11+L12</f>
        <v>11630.3211119622</v>
      </c>
    </row>
    <row r="14" customFormat="false" ht="15" hidden="false" customHeight="false" outlineLevel="0" collapsed="false">
      <c r="A14" s="0" t="s">
        <v>104</v>
      </c>
      <c r="C14" s="4" t="n">
        <f aca="false">Assumptions!C47</f>
        <v>24</v>
      </c>
      <c r="D14" s="4" t="n">
        <f aca="false">Assumptions!D47</f>
        <v>24</v>
      </c>
      <c r="E14" s="4" t="n">
        <f aca="false">Assumptions!E47</f>
        <v>24</v>
      </c>
      <c r="F14" s="4" t="n">
        <f aca="false">Assumptions!F47</f>
        <v>24</v>
      </c>
      <c r="G14" s="4" t="n">
        <f aca="false">Assumptions!G47</f>
        <v>24</v>
      </c>
      <c r="H14" s="4" t="n">
        <f aca="false">Assumptions!H47</f>
        <v>24</v>
      </c>
      <c r="I14" s="4" t="n">
        <f aca="false">Assumptions!I47</f>
        <v>24</v>
      </c>
      <c r="J14" s="4" t="n">
        <f aca="false">Assumptions!J47</f>
        <v>24</v>
      </c>
      <c r="K14" s="4" t="n">
        <f aca="false">Assumptions!K47</f>
        <v>24</v>
      </c>
      <c r="L14" s="4" t="n">
        <f aca="false">Assumptions!L47</f>
        <v>24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10152.296448</v>
      </c>
      <c r="D15" s="0" t="n">
        <f aca="false">D13-MAX(0,D13)*D14/100</f>
        <v>7709.7989554176</v>
      </c>
      <c r="E15" s="0" t="n">
        <f aca="false">E13-MAX(0,E13)*E14/100</f>
        <v>6732.15724550308</v>
      </c>
      <c r="F15" s="0" t="n">
        <f aca="false">F13-MAX(0,F13)*F14/100</f>
        <v>7090.64982947414</v>
      </c>
      <c r="G15" s="0" t="n">
        <f aca="false">G13-MAX(0,G13)*G14/100</f>
        <v>7624.63703885429</v>
      </c>
      <c r="H15" s="0" t="n">
        <f aca="false">H13-MAX(0,H13)*H14/100</f>
        <v>7853.37615001992</v>
      </c>
      <c r="I15" s="0" t="n">
        <f aca="false">I13-MAX(0,I13)*I14/100</f>
        <v>8088.97743452052</v>
      </c>
      <c r="J15" s="0" t="n">
        <f aca="false">J13-MAX(0,J13)*J14/100</f>
        <v>8331.64675755614</v>
      </c>
      <c r="K15" s="0" t="n">
        <f aca="false">K13-MAX(0,K13)*K14/100</f>
        <v>8581.59616028282</v>
      </c>
      <c r="L15" s="0" t="n">
        <f aca="false">L13-MAX(0,L13)*L14/100</f>
        <v>8839.04404509131</v>
      </c>
    </row>
    <row r="16" customFormat="false" ht="15" hidden="false" customHeight="false" outlineLevel="0" collapsed="false">
      <c r="A16" s="0" t="s">
        <v>120</v>
      </c>
      <c r="C16" s="0" t="n">
        <f aca="false">-C12</f>
        <v>5597.75744</v>
      </c>
      <c r="D16" s="0" t="n">
        <f aca="false">-D12</f>
        <v>5731.340288</v>
      </c>
      <c r="E16" s="0" t="n">
        <f aca="false">-E12</f>
        <v>5759.1372883968</v>
      </c>
      <c r="F16" s="0" t="n">
        <f aca="false">-F12</f>
        <v>6047.09415281664</v>
      </c>
      <c r="G16" s="0" t="n">
        <f aca="false">-G12</f>
        <v>6288.97791892931</v>
      </c>
      <c r="H16" s="0" t="n">
        <f aca="false">-H12</f>
        <v>6477.64725649719</v>
      </c>
      <c r="I16" s="0" t="n">
        <f aca="false">-I12</f>
        <v>6671.9766741921</v>
      </c>
      <c r="J16" s="0" t="n">
        <f aca="false">-J12</f>
        <v>6872.13597441787</v>
      </c>
      <c r="K16" s="0" t="n">
        <f aca="false">-K12</f>
        <v>7078.3000536504</v>
      </c>
      <c r="L16" s="0" t="n">
        <f aca="false">-L12</f>
        <v>7290.64905525991</v>
      </c>
    </row>
    <row r="17" customFormat="false" ht="15" hidden="false" customHeight="false" outlineLevel="0" collapsed="false">
      <c r="A17" s="0" t="s">
        <v>121</v>
      </c>
      <c r="C17" s="4" t="n">
        <f aca="false">-C6*Assumptions!C46/100</f>
        <v>-5216.09216</v>
      </c>
      <c r="D17" s="4" t="n">
        <f aca="false">-D6*Assumptions!D46/100</f>
        <v>-5158.2062592</v>
      </c>
      <c r="E17" s="4" t="n">
        <f aca="false">-E6*Assumptions!E46/100</f>
        <v>-4936.4033900544</v>
      </c>
      <c r="F17" s="4" t="n">
        <f aca="false">-F6*Assumptions!F46/100</f>
        <v>-5183.22355955712</v>
      </c>
      <c r="G17" s="4" t="n">
        <f aca="false">-G6*Assumptions!G46/100</f>
        <v>-5390.55250193941</v>
      </c>
      <c r="H17" s="4" t="n">
        <f aca="false">-H6*Assumptions!H46/100</f>
        <v>-5552.26907699759</v>
      </c>
      <c r="I17" s="4" t="n">
        <f aca="false">-I6*Assumptions!I46/100</f>
        <v>-5718.83714930752</v>
      </c>
      <c r="J17" s="4" t="n">
        <f aca="false">-J6*Assumptions!J46/100</f>
        <v>-5890.40226378674</v>
      </c>
      <c r="K17" s="4" t="n">
        <f aca="false">-K6*Assumptions!K46/100</f>
        <v>-6067.11433170035</v>
      </c>
      <c r="L17" s="4" t="n">
        <f aca="false">-L6*Assumptions!L46/100</f>
        <v>-6249.12776165136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(C6-B6)*Assumptions!$B$51/100</f>
        <v>0</v>
      </c>
      <c r="D18" s="4" t="n">
        <f aca="false">(D6-C6)*Assumptions!$B$51/100</f>
        <v>-0</v>
      </c>
      <c r="E18" s="4" t="n">
        <f aca="false">(E6-D6)*Assumptions!$B$51/100</f>
        <v>-0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10533.961728</v>
      </c>
      <c r="D19" s="0" t="n">
        <f aca="false">D15+D16+D17+D18</f>
        <v>8282.9329842176</v>
      </c>
      <c r="E19" s="0" t="n">
        <f aca="false">E15+E16+E17+E18</f>
        <v>7554.89114384548</v>
      </c>
      <c r="F19" s="0" t="n">
        <f aca="false">F15+F16+F17+F18</f>
        <v>7954.52042273366</v>
      </c>
      <c r="G19" s="0" t="n">
        <f aca="false">G15+G16+G17+G18</f>
        <v>8523.06245584419</v>
      </c>
      <c r="H19" s="0" t="n">
        <f aca="false">H15+H16+H17+H18</f>
        <v>8778.75432951952</v>
      </c>
      <c r="I19" s="0" t="n">
        <f aca="false">I15+I16+I17+I18</f>
        <v>9042.11695940511</v>
      </c>
      <c r="J19" s="0" t="n">
        <f aca="false">J15+J16+J17+J18</f>
        <v>9313.38046818726</v>
      </c>
      <c r="K19" s="0" t="n">
        <f aca="false">K15+K16+K17+K18</f>
        <v>9592.78188223288</v>
      </c>
      <c r="L19" s="0" t="n">
        <f aca="false">L15+L16+L17+L18</f>
        <v>9880.56533869987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0.914913083257091</v>
      </c>
      <c r="D20" s="0" t="n">
        <f aca="false">1/(1+$B$27/100)^D4</f>
        <v>0.837065949914996</v>
      </c>
      <c r="E20" s="0" t="n">
        <f aca="false">1/(1+$B$27/100)^E4</f>
        <v>0.765842589126254</v>
      </c>
      <c r="F20" s="0" t="n">
        <f aca="false">1/(1+$B$27/100)^F4</f>
        <v>0.700679404507095</v>
      </c>
      <c r="G20" s="0" t="n">
        <f aca="false">1/(1+$B$27/100)^G4</f>
        <v>0.641060754352328</v>
      </c>
      <c r="H20" s="0" t="n">
        <f aca="false">1/(1+$B$27/100)^H4</f>
        <v>0.586514871319605</v>
      </c>
      <c r="I20" s="0" t="n">
        <f aca="false">1/(1+$B$27/100)^I4</f>
        <v>0.536610129295155</v>
      </c>
      <c r="J20" s="0" t="n">
        <f aca="false">1/(1+$B$27/100)^J4</f>
        <v>0.490951627900417</v>
      </c>
      <c r="K20" s="0" t="n">
        <f aca="false">1/(1+$B$27/100)^K4</f>
        <v>0.449178067612458</v>
      </c>
      <c r="L20" s="0" t="n">
        <f aca="false">1/(1+$B$27/100)^L4</f>
        <v>0.410958890770776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9637.65940347667</v>
      </c>
      <c r="D21" s="0" t="n">
        <f aca="false">D19*D20</f>
        <v>6933.36116651636</v>
      </c>
      <c r="E21" s="0" t="n">
        <f aca="false">E19*E20</f>
        <v>5785.85739416963</v>
      </c>
      <c r="F21" s="0" t="n">
        <f aca="false">F19*F20</f>
        <v>5573.56863294054</v>
      </c>
      <c r="G21" s="0" t="n">
        <f aca="false">G19*G20</f>
        <v>5463.80084733548</v>
      </c>
      <c r="H21" s="0" t="n">
        <f aca="false">H19*H20</f>
        <v>5148.86996592457</v>
      </c>
      <c r="I21" s="0" t="n">
        <f aca="false">I19*I20</f>
        <v>4852.09155068829</v>
      </c>
      <c r="J21" s="0" t="n">
        <f aca="false">J19*J20</f>
        <v>4572.41930211248</v>
      </c>
      <c r="K21" s="0" t="n">
        <f aca="false">K19*K20</f>
        <v>4308.86722888916</v>
      </c>
      <c r="L21" s="0" t="n">
        <f aca="false">L19*L20</f>
        <v>4060.50617178027</v>
      </c>
    </row>
    <row r="23" customFormat="false" ht="15" hidden="false" customHeight="false" outlineLevel="0" collapsed="false">
      <c r="A23" s="0" t="s">
        <v>101</v>
      </c>
      <c r="C23" s="4" t="n">
        <f aca="false">Assumptions!C44</f>
        <v>0.85</v>
      </c>
      <c r="D23" s="4" t="n">
        <f aca="false">Assumptions!D44</f>
        <v>0.95</v>
      </c>
      <c r="E23" s="4" t="n">
        <f aca="false">Assumptions!E44</f>
        <v>1</v>
      </c>
      <c r="F23" s="4" t="n">
        <f aca="false">Assumptions!F44</f>
        <v>0.95</v>
      </c>
      <c r="G23" s="4" t="n">
        <f aca="false">Assumptions!G44</f>
        <v>0.9</v>
      </c>
      <c r="H23" s="4" t="n">
        <f aca="false">Assumptions!H44</f>
        <v>0.9</v>
      </c>
      <c r="I23" s="4" t="n">
        <f aca="false">Assumptions!I44</f>
        <v>0.9</v>
      </c>
      <c r="J23" s="4" t="n">
        <f aca="false">Assumptions!J44</f>
        <v>0.9</v>
      </c>
      <c r="K23" s="4" t="n">
        <f aca="false">Assumptions!K44</f>
        <v>0.9</v>
      </c>
      <c r="L23" s="4" t="n">
        <f aca="false">Assumptions!L44</f>
        <v>0.9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-540.69248</v>
      </c>
      <c r="D24" s="0" t="n">
        <f aca="false">-D6*D23/100</f>
        <v>-544.47732736</v>
      </c>
      <c r="E24" s="0" t="n">
        <f aca="false">-E6*E23/100</f>
        <v>-548.4892655616</v>
      </c>
      <c r="F24" s="0" t="n">
        <f aca="false">-F6*F23/100</f>
        <v>-547.118042397696</v>
      </c>
      <c r="G24" s="0" t="n">
        <f aca="false">-G6*G23/100</f>
        <v>-539.055250193941</v>
      </c>
      <c r="H24" s="0" t="n">
        <f aca="false">-H6*H23/100</f>
        <v>-555.226907699759</v>
      </c>
      <c r="I24" s="0" t="n">
        <f aca="false">-I6*I23/100</f>
        <v>-571.883714930752</v>
      </c>
      <c r="J24" s="0" t="n">
        <f aca="false">-J6*J23/100</f>
        <v>-589.040226378674</v>
      </c>
      <c r="K24" s="0" t="n">
        <f aca="false">-K6*K23/100</f>
        <v>-606.711433170035</v>
      </c>
      <c r="L24" s="0" t="n">
        <f aca="false">-L6*L23/100</f>
        <v>-624.912776165136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Assumptions!$B$48</f>
        <v>9.3</v>
      </c>
    </row>
    <row r="28" customFormat="false" ht="15" hidden="false" customHeight="false" outlineLevel="0" collapsed="false">
      <c r="A28" s="0" t="s">
        <v>106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107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56337.0016638335</v>
      </c>
    </row>
    <row r="31" customFormat="false" ht="15" hidden="false" customHeight="false" outlineLevel="0" collapsed="false">
      <c r="A31" s="0" t="s">
        <v>129</v>
      </c>
      <c r="B31" s="0" t="n">
        <f aca="false">L19</f>
        <v>9880.56533869987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148934.992237755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118566.784064398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118566.784064398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48726.0740613633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105063.075725197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94509.0757251967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50.811331035052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0.135448738213453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1358.5483725227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1505.42204655262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52.3511000775656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81020.6357773389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29.0631117600383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2" t="s">
        <v>146</v>
      </c>
      <c r="B3" s="2" t="s">
        <v>147</v>
      </c>
      <c r="C3" s="2" t="s">
        <v>137</v>
      </c>
      <c r="D3" s="2" t="s">
        <v>148</v>
      </c>
      <c r="E3" s="2" t="s">
        <v>140</v>
      </c>
      <c r="F3" s="2" t="s">
        <v>149</v>
      </c>
    </row>
    <row r="4" customFormat="false" ht="15" hidden="false" customHeight="false" outlineLevel="0" collapsed="false">
      <c r="A4" s="0" t="s">
        <v>150</v>
      </c>
      <c r="B4" s="4" t="n">
        <f aca="false">DCF_Bear!$B$38</f>
        <v>17.2066395094288</v>
      </c>
      <c r="C4" s="0" t="n">
        <f aca="false">B4/Assumptions!$B$2-1</f>
        <v>-0.615494089174775</v>
      </c>
      <c r="D4" s="4" t="n">
        <f aca="false">Assumptions!$B$24</f>
        <v>0.25</v>
      </c>
      <c r="E4" s="4" t="n">
        <f aca="false">DCF_Bear!$B$43</f>
        <v>18.2213762410572</v>
      </c>
      <c r="F4" s="4" t="n">
        <f aca="false">DCF_Bear!$B$47</f>
        <v>8.77197719584236</v>
      </c>
    </row>
    <row r="5" customFormat="false" ht="15" hidden="false" customHeight="false" outlineLevel="0" collapsed="false">
      <c r="A5" s="0" t="s">
        <v>151</v>
      </c>
      <c r="B5" s="4" t="n">
        <f aca="false">DCF_Base!$B$38</f>
        <v>38.7542923600586</v>
      </c>
      <c r="C5" s="0" t="n">
        <f aca="false">B5/Assumptions!$B$2-1</f>
        <v>-0.133982293629975</v>
      </c>
      <c r="D5" s="4" t="n">
        <f aca="false">Assumptions!$B$38</f>
        <v>0.5</v>
      </c>
      <c r="E5" s="4" t="n">
        <f aca="false">DCF_Base!$B$43</f>
        <v>40.0701173118145</v>
      </c>
      <c r="F5" s="4" t="n">
        <f aca="false">DCF_Base!$B$47</f>
        <v>21.5903403257847</v>
      </c>
    </row>
    <row r="6" customFormat="false" ht="15" hidden="false" customHeight="false" outlineLevel="0" collapsed="false">
      <c r="A6" s="0" t="s">
        <v>152</v>
      </c>
      <c r="B6" s="4" t="n">
        <f aca="false">DCF_Bull!$B$38</f>
        <v>50.811331035052</v>
      </c>
      <c r="C6" s="0" t="n">
        <f aca="false">B6/Assumptions!$B$2-1</f>
        <v>0.135448738213453</v>
      </c>
      <c r="D6" s="4" t="n">
        <f aca="false">Assumptions!$B$52</f>
        <v>0.25</v>
      </c>
      <c r="E6" s="4" t="n">
        <f aca="false">DCF_Bull!$B$43</f>
        <v>52.3511000775656</v>
      </c>
      <c r="F6" s="4" t="n">
        <f aca="false">DCF_Bull!$B$47</f>
        <v>29.0631117600383</v>
      </c>
    </row>
    <row r="8" customFormat="false" ht="15" hidden="false" customHeight="false" outlineLevel="0" collapsed="false">
      <c r="A8" s="0" t="s">
        <v>153</v>
      </c>
      <c r="B8" s="0" t="n">
        <f aca="false">SUMPRODUCT(B4:B6,D4:D6)</f>
        <v>36.3816388161495</v>
      </c>
    </row>
    <row r="9" customFormat="false" ht="15" hidden="false" customHeight="false" outlineLevel="0" collapsed="false">
      <c r="A9" s="0" t="s">
        <v>154</v>
      </c>
      <c r="B9" s="0" t="n">
        <f aca="false">SUMPRODUCT(E4:E6,D4:D6)</f>
        <v>37.6781777355629</v>
      </c>
    </row>
    <row r="10" customFormat="false" ht="15" hidden="false" customHeight="false" outlineLevel="0" collapsed="false">
      <c r="A10" s="0" t="s">
        <v>155</v>
      </c>
      <c r="B10" s="0" t="n">
        <f aca="false">1-Assumptions!$B$2/B8</f>
        <v>-0.230016059093408</v>
      </c>
    </row>
    <row r="11" customFormat="false" ht="15" hidden="false" customHeight="false" outlineLevel="0" collapsed="false">
      <c r="A11" s="0" t="s">
        <v>156</v>
      </c>
      <c r="B11" s="0" t="n">
        <f aca="false">IF(ABS(B9-B8)&gt;0.01*ABS(B8),(Assumptions!$B$2-B8)/(B9-B8)*100,"n/a")</f>
        <v>645.438486924598</v>
      </c>
    </row>
    <row r="12" customFormat="false" ht="15" hidden="false" customHeight="false" outlineLevel="0" collapsed="false">
      <c r="A12" s="0" t="s">
        <v>157</v>
      </c>
      <c r="B12" s="0" t="n">
        <f aca="false">SUMPRODUCT(F4:F6,D4:D6)</f>
        <v>20.2539424018625</v>
      </c>
    </row>
    <row r="14" customFormat="false" ht="15" hidden="false" customHeight="false" outlineLevel="0" collapsed="false">
      <c r="A14" s="2" t="s">
        <v>158</v>
      </c>
      <c r="C14" s="0" t="s">
        <v>159</v>
      </c>
    </row>
    <row r="15" customFormat="false" ht="15" hidden="false" customHeight="false" outlineLevel="0" collapsed="false">
      <c r="A15" s="0" t="s">
        <v>160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39.6318434616635</v>
      </c>
      <c r="C15" s="3" t="n">
        <v>9</v>
      </c>
    </row>
    <row r="16" customFormat="false" ht="15" hidden="false" customHeight="false" outlineLevel="0" collapsed="false">
      <c r="A16" s="0" t="s">
        <v>161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38.7542923600586</v>
      </c>
      <c r="C16" s="3" t="n">
        <v>9.3</v>
      </c>
    </row>
    <row r="17" customFormat="false" ht="15" hidden="false" customHeight="false" outlineLevel="0" collapsed="false">
      <c r="A17" s="0" t="s">
        <v>162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36.7955299029239</v>
      </c>
      <c r="C17" s="3" t="n">
        <v>10</v>
      </c>
    </row>
    <row r="18" customFormat="false" ht="15" hidden="false" customHeight="false" outlineLevel="0" collapsed="false">
      <c r="A18" s="0" t="s">
        <v>163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33.2407617576566</v>
      </c>
      <c r="C18" s="3" t="n">
        <v>11</v>
      </c>
    </row>
    <row r="19" customFormat="false" ht="15" hidden="false" customHeight="false" outlineLevel="0" collapsed="false">
      <c r="A19" s="0" t="s">
        <v>164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29.453686022509</v>
      </c>
      <c r="C19" s="3" t="n">
        <v>12</v>
      </c>
    </row>
    <row r="20" customFormat="false" ht="15" hidden="false" customHeight="false" outlineLevel="0" collapsed="false">
      <c r="A20" s="0" t="s">
        <v>165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21.5903403257847</v>
      </c>
      <c r="C20" s="3" t="n">
        <v>15</v>
      </c>
    </row>
    <row r="22" customFormat="false" ht="15" hidden="false" customHeight="false" outlineLevel="0" collapsed="false">
      <c r="A22" s="2" t="s">
        <v>166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7.3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45.0788411205295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45.0788411205295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45.0788411205295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45.0788411205295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45.0788411205295</v>
      </c>
    </row>
    <row r="25" customFormat="false" ht="15" hidden="false" customHeight="false" outlineLevel="0" collapsed="false">
      <c r="A25" s="3" t="n">
        <v>8.3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41.7736827338124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41.7736827338124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41.7736827338124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41.7736827338124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41.7736827338124</v>
      </c>
    </row>
    <row r="26" customFormat="false" ht="15" hidden="false" customHeight="false" outlineLevel="0" collapsed="false">
      <c r="A26" s="3" t="n">
        <v>9.3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38.7542923600586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38.7542923600586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38.7542923600586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38.7542923600586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38.7542923600586</v>
      </c>
    </row>
    <row r="27" customFormat="false" ht="15" hidden="false" customHeight="false" outlineLevel="0" collapsed="false">
      <c r="A27" s="3" t="n">
        <v>10.3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34.2473889300624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35.2791415789047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35.9924820775512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35.9924820775512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35.9924820775512</v>
      </c>
    </row>
    <row r="28" customFormat="false" ht="15" hidden="false" customHeight="false" outlineLevel="0" collapsed="false">
      <c r="A28" s="3" t="n">
        <v>11.3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30.3935973948863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31.1648578170679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32.0190494674411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32.9703083508113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33.4631168612796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2026-10-10T08:17:41Z</dcterms:created>
  <dc:creator>openpyxl</dc:creator>
  <dc:description/>
  <dc:language>en-NZ</dc:language>
  <cp:lastModifiedBy/>
  <dcterms:modified xsi:type="dcterms:W3CDTF">2026-10-10T08:17:41Z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