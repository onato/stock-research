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<sst xmlns="http://schemas.openxmlformats.org/spreadsheetml/2006/main" count="389" uniqueCount="178">
  <si>
    <t xml:space="preserve">Ticker</t>
  </si>
  <si>
    <t xml:space="preserve">2801.T</t>
  </si>
  <si>
    <t xml:space="preserve">Company</t>
  </si>
  <si>
    <t xml:space="preserve">Kikkoman Corporation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</si>
  <si>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</si>
  <si>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</si>
  <si>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</si>
  <si>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</si>
  <si>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2026-10-26T04:43:20Z (regular session, TSE Prime; 52-week range 1,202-1,911)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</si>
  <si>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</si>
  <si>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</si>
  <si>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</si>
  <si>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</si>
  <si>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</si>
  <si>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</si>
  <si>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</si>
  <si>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</si>
  <si>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</si>
  <si>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</si>
  <si>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</si>
  <si>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</si>
  <si>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2026-10-26T05:03:44Z</t>
  </si>
  <si>
    <t xml:space="preserve">Drivers file</t>
  </si>
  <si>
    <t xml:space="preserve">2801.T_Drivers.json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</si>
  <si>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</si>
  <si>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</si>
  <si>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</si>
  <si>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Kikkoman is a genuine franchise: the default soy sauce brand outside Asia, locally brewed in the US since 1973, a defensive staple with net cash and rising capital returns. The owner-FCF model nonetheless values it well below the market because (i) the Wholesale segment that generates 58% of revenue ties up ~17% of revenue in working capital, so growth consumes cash, (ii) FY2025-FY2027 free cash flow is depressed by the ~$560m Jefferson plant, and (iii) at a 28x trailing P/E the market is capitalising JPY earnings that include roughly half a decade of yen depreciation. The gap between house value and price is mostly the multiple the market pays for the brand's durability and FX-translated earnings, which a JPY-based owner-FCF model does not grant. This is a quality compounder at a growth-stock price; the valuation says wait for either a stronger yen or a de-rating.
key_risks_to_valuation: FX translation: a 10% yen appreciation removes ~8% of JPY revenue and ~9% of business profit in the year it happens; the FY2027 guidance is struck at 155 and USDJPY is 157 today.; Working-capital assumption: wc_capture -15% is the single largest drag on owner FCF relative to EBITDA; if payables keep growing faster than receivables (as in FY2026) the true capture could be nearer -10%, worth a meaningful uplift to IV.; Lease split estimates: lease interest (~1.1bn) and ROU depreciation (~8.2bn) are estimated from the liability and principal repayments because the tanshin does not disclose them; the yuho would refine both, with limited per-share effect.; Terminal cap: Gordon at 6.5%/2.0% is 22.7x so the 20x cap binds in base and bull; a buyer paying today's ~28x earnings multiple for the terminal business is the re-rating the model deliberately does not assume.; Equity portfolio: JPY80.5bn of non-current other financial assets is added at carrying value without a disclosed split between listed equities and other items; a 25% haircut would cost ~JPY22/share.; Capex normalisation: the model assumes the plant build is a cycle, returning capex to ~4% of revenue; a second overseas capacity programme (Europe, ASEAN) would extend the 5-7% phase.</t>
  </si>
  <si>
    <t xml:space="preserve">Data sources</t>
  </si>
  <si>
    <t xml:space="preserve">price: Yahoo Finance chart API at inputs.price_as_of (TSE regular session); 52-week range 1,202-1,911. USDJPY 156.9 from Yahoo JPY=X at the same time.
financials: 2801.T_Metrics.csv (core_metrics, millions JPY; JGAAP through FY2020, IFRS from FY2021), kpis table (BusinessProfit, Depreciation, LeaseLiabilities, LeasePrincipalRepayment, InterestIncome, ShareRepurchases, CashTaxesPaid, segment lines), FY2026 annual tanshin (2801.T_Annual_FY2026.txt) for the balance sheet, cash-flow components and share data, Q1 FY2027 tanshin (2801.T_Quarterly_Q1-FY2027.txt) for the 30 June 2026 balance sheet and share count.
qualitative: 2801.T_Analysis.json (2026-10-26): segment mix, MTP FY2026-FY2028 targets, FY2027 guidance (revenue JPY799.1bn, business profit JPY82.3bn, USDJPY 155), Jefferson plant, buyback programme, bull/bear axes.</t>
  </si>
  <si>
    <t xml:space="preserve">Scenario narrative: bear</t>
  </si>
  <si>
    <t xml:space="preserve">The yen reverts toward 140/USD during FY2028, erasing ~8% of translated overseas revenue and business profit (78% of revenue, ~90% of profit is non-yen), while US food-service volumes soften and raw-material and freight costs (Middle East-related, flagged as unmodelled in guidance) compress margins. Post-IFRS16 EBITDA margin slips to 12.5%, growth in JPY terms is ~2%, and the Jefferson plant is a fixed cost on a smaller translated revenue base, so capex stays at 4.5% of revenue. The domestic business continues to rely on price not volume. No solvency axis: net cash and an 11.5% D/E ratio keep the bear case a slower, lower-margin compounder, not a distressed one. Terminal multiple capped at 16x.</t>
  </si>
  <si>
    <t xml:space="preserve">Scenario narrative: base</t>
  </si>
  <si>
    <t xml:space="preserve">Kikkoman delivers roughly its FY2027 guidance (revenue +7.2%, business profit +3.5% at USDJPY 155) with Q1's +15% start fading as comps normalise, then grows at the MTP's ~5% ex-FX pace with the yen broadly stable, decaying to 2.5% nominal by the mid-2030s. The Jefferson, Wisconsin plant ramps through FY2027-FY2029, taking capex from 8% of revenue back to ~4% and adding ~70bp of EBITDA margin via manufacturing mix (the ~7%-margin Overseas Wholesale segment still grows but the ~20%+ margin North American manufacturing grows faster). Working capital absorbs ~15% of each year's revenue increase as receivables and inventory scale with the distribution business. Terminal value is bounded at 20x owner FCF.</t>
  </si>
  <si>
    <t xml:space="preserve">Scenario narrative: bull</t>
  </si>
  <si>
    <t xml:space="preserve">North American soy sauce and seasoning demand absorbs the new capacity faster than planned, Europe and ASEAN deliver the targeted double-digit growth, and the yen stays at or weaker than 155, so JPY revenue compounds at 7-10% for three years and 5%+ through FY2032. Operating leverage on the fixed-cost plant base plus pricing lifts post-IFRS16 EBITDA margin to 16% (operating margin ~12%, above the MTP's 10% floor), the balance sheet keeps funding JPY20-30bn/yr of buybacks, and the group earns the 12%+ ROE target.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</si>
  <si>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</si>
  <si>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</si>
  <si>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</si>
  <si>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</si>
  <si>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</si>
  <si>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</si>
  <si>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</si>
  <si>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</si>
  <si>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</si>
  <si>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</si>
  <si>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</si>
  <si>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</si>
  <si>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</si>
  <si>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</si>
  <si>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</si>
  <si>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</si>
  <si>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</si>
  <si>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</si>
  <si>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</si>
  <si>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</si>
  <si>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</si>
  <si>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</si>
  <si>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</si>
  <si>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</si>
  <si>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</si>
  <si>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</si>
  <si>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</si>
  <si>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SegmentOperatingProfitOverseas</t>
  </si>
  <si>
    <t xml:space="preserve">SegmentRevenueAsia</t>
  </si>
  <si>
    <t xml:space="preserve">SegmentRevenueEurope</t>
  </si>
  <si>
    <t xml:space="preserve">SegmentRevenueNorthAmerica</t>
  </si>
  <si>
    <t xml:space="preserve">SegmentRevenueOverseas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</si>
  <si>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</si>
  <si>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</si>
  <si>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</si>
  <si>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</si>
  <si>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</si>
  <si>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</si>
  <si>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</si>
  <si>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</si>
  <si>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</si>
  <si>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</si>
  <si>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</si>
  <si>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</si>
  <si>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</si>
  <si>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</si>
  <si>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</si>
  <si>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</si>
  <si>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</si>
  <si>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</si>
  <si>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</si>
  <si>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</si>
  <si>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</si>
  <si>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</si>
  <si>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</si>
  <si>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</si>
  <si>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</si>
  <si>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</si>
  <si>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</si>
  <si>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</si>
  <si>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</si>
  <si>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</si>
  <si>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</si>
  <si>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</si>
  <si>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</si>
  <si>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</si>
  <si>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</si>
  <si>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</si>
  <si>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</si>
  <si>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</si>
  <si>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</si>
  <si>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</si>
  <si>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</si>
  <si>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</si>
  <si>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</si>
  <si>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</si>
  <si>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</si>
  <si>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</si>
  <si>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</si>
  <si>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</si>
  <si>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</si>
  <si>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</si>
  <si>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</si>
  <si>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</si>
  <si>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</si>
  <si>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</si>
  <si>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</si>
  <si>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2801.T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</si>
  <si>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</si>
  <si>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</si>
  <si>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</si>
  <si>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</si>
  <si>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</si>
  <si>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</si>
  <si>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</si>
  <si>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</si>
  <si>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</si>
  <si>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</si>
  <si>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</si>
  <si>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</si>
  <si>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</si>
  <si>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</si>
  <si>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</si>
  <si>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</si>
  <si>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</si>
  <si>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</si>
  <si>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</si>
  <si>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</si>
  <si>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</si>
  <si>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</si>
  <si>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</si>
  <si>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</si>
  <si>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</si>
  <si>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</si>
  <si>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</si>
  <si>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</si>
  <si>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</si>
  <si>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</si>
  <si>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2801.T owner-FCF component DCF: base case (millions, JPY)</t>
  </si>
  <si>
    <t xml:space="preserve">2801.T owner-FCF component DCF: bull case (millions, JPY)</t>
  </si>
  <si>
    <t xml:space="preserve">2801.T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</si>
  <si>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</si>
  <si>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</si>
  <si>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</si>
  <si>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</si>
  <si>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</si>
  <si>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</si>
  <si>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</si>
  <si>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</si>
  <si>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</si>
  <si>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</si>
  <si>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</si>
  <si>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</si>
  <si>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</si>
  <si>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</si>
  <si>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6.5%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</si>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</sst>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1873.5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412649</v>
      </c>
      <c r="C2" s="0" t="n">
        <v>254543</v>
      </c>
      <c r="D2" s="0" t="n">
        <v>158106</v>
      </c>
      <c r="E2" s="0" t="n">
        <v>38.3</v>
      </c>
      <c r="F2" s="0" t="n">
        <v>20368</v>
      </c>
      <c r="G2" s="0" t="n">
        <v>4.9</v>
      </c>
      <c r="H2" s="0" t="n">
        <v>37607</v>
      </c>
      <c r="I2" s="0" t="n">
        <v>2746</v>
      </c>
      <c r="J2" s="0" t="n">
        <v>0.7</v>
      </c>
      <c r="K2" s="0" t="n">
        <v>2.72</v>
      </c>
      <c r="L2" s="0" t="n">
        <v>22452</v>
      </c>
      <c r="M2" s="0" t="n">
        <v>16822</v>
      </c>
      <c r="N2" s="0" t="n">
        <v>5630</v>
      </c>
      <c r="O2" s="0" t="n">
        <v>160067</v>
      </c>
      <c r="P2" s="0" t="n">
        <v>310873</v>
      </c>
      <c r="Q2" s="0" t="n">
        <v>149056</v>
      </c>
      <c r="R2" s="0" t="n">
        <v>96950</v>
      </c>
      <c r="S2" s="0" t="n">
        <v>27783</v>
      </c>
      <c r="T2" s="0" t="n">
        <v>1010.302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69</v>
      </c>
      <c r="B3" s="0" t="n">
        <v>285690</v>
      </c>
      <c r="C3" s="0" t="n">
        <v>166924</v>
      </c>
      <c r="D3" s="0" t="n">
        <v>118766</v>
      </c>
      <c r="E3" s="0" t="n">
        <v>41.6</v>
      </c>
      <c r="F3" s="0" t="n">
        <v>21085</v>
      </c>
      <c r="G3" s="0" t="n">
        <v>7.4</v>
      </c>
      <c r="H3" s="0" t="n">
        <v>33121</v>
      </c>
      <c r="I3" s="0" t="n">
        <v>8602</v>
      </c>
      <c r="J3" s="0" t="n">
        <v>3</v>
      </c>
      <c r="K3" s="0" t="n">
        <v>8.33</v>
      </c>
      <c r="L3" s="0" t="n">
        <v>18003</v>
      </c>
      <c r="M3" s="0" t="n">
        <v>14261</v>
      </c>
      <c r="N3" s="0" t="n">
        <v>3742</v>
      </c>
      <c r="O3" s="0" t="n">
        <v>165278</v>
      </c>
      <c r="P3" s="0" t="n">
        <v>311175</v>
      </c>
      <c r="Q3" s="0" t="n">
        <v>144089</v>
      </c>
      <c r="R3" s="0" t="n">
        <v>91912</v>
      </c>
      <c r="S3" s="0" t="n">
        <v>25008</v>
      </c>
      <c r="T3" s="0" t="n">
        <v>1032.653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70</v>
      </c>
      <c r="B4" s="0" t="n">
        <v>283463</v>
      </c>
      <c r="C4" s="0" t="n">
        <v>168147</v>
      </c>
      <c r="D4" s="0" t="n">
        <v>115316</v>
      </c>
      <c r="E4" s="0" t="n">
        <v>40.7</v>
      </c>
      <c r="F4" s="0" t="n">
        <v>19208</v>
      </c>
      <c r="G4" s="0" t="n">
        <v>6.8</v>
      </c>
      <c r="H4" s="0" t="n">
        <v>31358</v>
      </c>
      <c r="I4" s="0" t="n">
        <v>7770</v>
      </c>
      <c r="J4" s="0" t="n">
        <v>2.7</v>
      </c>
      <c r="K4" s="0" t="n">
        <v>7.55</v>
      </c>
      <c r="L4" s="0" t="n">
        <v>24534</v>
      </c>
      <c r="M4" s="0" t="n">
        <v>12387</v>
      </c>
      <c r="N4" s="0" t="n">
        <v>12147</v>
      </c>
      <c r="O4" s="0" t="n">
        <v>160731</v>
      </c>
      <c r="P4" s="0" t="n">
        <v>298867</v>
      </c>
      <c r="Q4" s="0" t="n">
        <v>136267</v>
      </c>
      <c r="R4" s="0" t="n">
        <v>84609</v>
      </c>
      <c r="S4" s="0" t="n">
        <v>28855</v>
      </c>
      <c r="T4" s="0" t="n">
        <v>1029.412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71</v>
      </c>
      <c r="B5" s="0" t="n">
        <v>283239</v>
      </c>
      <c r="C5" s="0" t="n">
        <v>168670</v>
      </c>
      <c r="D5" s="0" t="n">
        <v>114569</v>
      </c>
      <c r="E5" s="0" t="n">
        <v>40.4</v>
      </c>
      <c r="F5" s="0" t="n">
        <v>17764</v>
      </c>
      <c r="G5" s="0" t="n">
        <v>6.3</v>
      </c>
      <c r="H5" s="0" t="n">
        <v>30375</v>
      </c>
      <c r="I5" s="0" t="n">
        <v>8983</v>
      </c>
      <c r="J5" s="0" t="n">
        <v>3.2</v>
      </c>
      <c r="K5" s="0" t="n">
        <v>8.76</v>
      </c>
      <c r="L5" s="0" t="n">
        <v>16384</v>
      </c>
      <c r="M5" s="0" t="n">
        <v>17912</v>
      </c>
      <c r="N5" s="0" t="n">
        <v>-1528</v>
      </c>
      <c r="O5" s="0" t="n">
        <v>165762</v>
      </c>
      <c r="P5" s="0" t="n">
        <v>331371</v>
      </c>
      <c r="Q5" s="0" t="n">
        <v>164019</v>
      </c>
      <c r="R5" s="0" t="n">
        <v>114012</v>
      </c>
      <c r="S5" s="0" t="n">
        <v>45867</v>
      </c>
      <c r="T5" s="0" t="n">
        <v>1025.457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72</v>
      </c>
      <c r="B6" s="0" t="n">
        <v>300200</v>
      </c>
      <c r="C6" s="0" t="n">
        <v>176987</v>
      </c>
      <c r="D6" s="0" t="n">
        <v>123213</v>
      </c>
      <c r="E6" s="0" t="n">
        <v>41</v>
      </c>
      <c r="F6" s="0" t="n">
        <v>19817</v>
      </c>
      <c r="G6" s="0" t="n">
        <v>6.6</v>
      </c>
      <c r="H6" s="0" t="n">
        <v>31977</v>
      </c>
      <c r="I6" s="0" t="n">
        <v>11012</v>
      </c>
      <c r="J6" s="0" t="n">
        <v>3.7</v>
      </c>
      <c r="K6" s="0" t="n">
        <v>10.97</v>
      </c>
      <c r="L6" s="0" t="n">
        <v>24738</v>
      </c>
      <c r="M6" s="0" t="n">
        <v>11942</v>
      </c>
      <c r="N6" s="0" t="n">
        <v>12796</v>
      </c>
      <c r="O6" s="0" t="n">
        <v>186566</v>
      </c>
      <c r="P6" s="0" t="n">
        <v>337639</v>
      </c>
      <c r="Q6" s="0" t="n">
        <v>149783</v>
      </c>
      <c r="R6" s="0" t="n">
        <v>92938</v>
      </c>
      <c r="S6" s="0" t="n">
        <v>27754</v>
      </c>
      <c r="T6" s="0" t="n">
        <v>1003.463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73</v>
      </c>
      <c r="B7" s="0" t="n">
        <v>343168</v>
      </c>
      <c r="C7" s="0" t="n">
        <v>204917</v>
      </c>
      <c r="D7" s="0" t="n">
        <v>138251</v>
      </c>
      <c r="E7" s="0" t="n">
        <v>40.3</v>
      </c>
      <c r="F7" s="0" t="n">
        <v>23847</v>
      </c>
      <c r="G7" s="0" t="n">
        <v>6.9</v>
      </c>
      <c r="H7" s="0" t="n">
        <v>36849</v>
      </c>
      <c r="I7" s="0" t="n">
        <v>12559</v>
      </c>
      <c r="J7" s="0" t="n">
        <v>3.7</v>
      </c>
      <c r="K7" s="0" t="n">
        <v>12.56</v>
      </c>
      <c r="L7" s="0" t="n">
        <v>25667</v>
      </c>
      <c r="M7" s="0" t="n">
        <v>15551</v>
      </c>
      <c r="N7" s="0" t="n">
        <v>10116</v>
      </c>
      <c r="O7" s="0" t="n">
        <v>209166</v>
      </c>
      <c r="P7" s="0" t="n">
        <v>349103</v>
      </c>
      <c r="Q7" s="0" t="n">
        <v>138696</v>
      </c>
      <c r="R7" s="0" t="n">
        <v>75961</v>
      </c>
      <c r="S7" s="0" t="n">
        <v>25420</v>
      </c>
      <c r="T7" s="0" t="n">
        <v>999.602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74</v>
      </c>
      <c r="B8" s="0" t="n">
        <v>371339</v>
      </c>
      <c r="C8" s="0" t="n">
        <v>225379</v>
      </c>
      <c r="D8" s="0" t="n">
        <v>145960</v>
      </c>
      <c r="E8" s="0" t="n">
        <v>39.3</v>
      </c>
      <c r="F8" s="0" t="n">
        <v>25370</v>
      </c>
      <c r="G8" s="0" t="n">
        <v>6.8</v>
      </c>
      <c r="H8" s="0" t="n">
        <v>38271</v>
      </c>
      <c r="I8" s="0" t="n">
        <v>15382</v>
      </c>
      <c r="J8" s="0" t="n">
        <v>4.1</v>
      </c>
      <c r="K8" s="0" t="n">
        <v>15.64</v>
      </c>
      <c r="L8" s="0" t="n">
        <v>31658</v>
      </c>
      <c r="M8" s="0" t="n">
        <v>11379</v>
      </c>
      <c r="N8" s="0" t="n">
        <v>20279</v>
      </c>
      <c r="O8" s="0" t="n">
        <v>236508</v>
      </c>
      <c r="P8" s="0" t="n">
        <v>378766</v>
      </c>
      <c r="Q8" s="0" t="n">
        <v>140335</v>
      </c>
      <c r="R8" s="0" t="n">
        <v>68773</v>
      </c>
      <c r="S8" s="0" t="n">
        <v>32398</v>
      </c>
      <c r="T8" s="0" t="n">
        <v>983.504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75</v>
      </c>
      <c r="B9" s="0" t="n">
        <v>408372</v>
      </c>
      <c r="C9" s="0" t="n">
        <v>248216</v>
      </c>
      <c r="D9" s="0" t="n">
        <v>160156</v>
      </c>
      <c r="E9" s="0" t="n">
        <v>39.2</v>
      </c>
      <c r="F9" s="0" t="n">
        <v>32598</v>
      </c>
      <c r="G9" s="0" t="n">
        <v>8</v>
      </c>
      <c r="H9" s="0" t="n">
        <v>44534</v>
      </c>
      <c r="I9" s="0" t="n">
        <v>19964</v>
      </c>
      <c r="J9" s="0" t="n">
        <v>4.9</v>
      </c>
      <c r="K9" s="0" t="n">
        <v>20.53</v>
      </c>
      <c r="L9" s="0" t="n">
        <v>37661</v>
      </c>
      <c r="M9" s="0" t="n">
        <v>13011</v>
      </c>
      <c r="N9" s="0" t="n">
        <v>24650</v>
      </c>
      <c r="O9" s="0" t="n">
        <v>223683</v>
      </c>
      <c r="P9" s="0" t="n">
        <v>365671</v>
      </c>
      <c r="Q9" s="0" t="n">
        <v>139996</v>
      </c>
      <c r="R9" s="0" t="n">
        <v>66171</v>
      </c>
      <c r="S9" s="0" t="n">
        <v>35150</v>
      </c>
      <c r="T9" s="0" t="n">
        <v>972.241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76</v>
      </c>
      <c r="B10" s="0" t="n">
        <v>402174</v>
      </c>
      <c r="C10" s="0" t="n">
        <v>242344</v>
      </c>
      <c r="D10" s="0" t="n">
        <v>159830</v>
      </c>
      <c r="E10" s="0" t="n">
        <v>39.7</v>
      </c>
      <c r="F10" s="0" t="n">
        <v>32842</v>
      </c>
      <c r="G10" s="0" t="n">
        <v>8.2</v>
      </c>
      <c r="H10" s="0" t="n">
        <v>45181</v>
      </c>
      <c r="I10" s="0" t="n">
        <v>23810</v>
      </c>
      <c r="J10" s="0" t="n">
        <v>5.9</v>
      </c>
      <c r="K10" s="0" t="n">
        <v>24.66</v>
      </c>
      <c r="L10" s="0" t="n">
        <v>26136</v>
      </c>
      <c r="M10" s="0" t="n">
        <v>10972</v>
      </c>
      <c r="N10" s="0" t="n">
        <v>15164</v>
      </c>
      <c r="O10" s="0" t="n">
        <v>240009</v>
      </c>
      <c r="P10" s="0" t="n">
        <v>361248</v>
      </c>
      <c r="Q10" s="0" t="n">
        <v>116811</v>
      </c>
      <c r="R10" s="0" t="n">
        <v>46120</v>
      </c>
      <c r="S10" s="0" t="n">
        <v>44205</v>
      </c>
      <c r="T10" s="0" t="n">
        <v>965.688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77</v>
      </c>
      <c r="B11" s="0" t="n">
        <v>430602</v>
      </c>
      <c r="C11" s="0" t="n">
        <v>260426</v>
      </c>
      <c r="D11" s="0" t="n">
        <v>170176</v>
      </c>
      <c r="E11" s="0" t="n">
        <v>39.5</v>
      </c>
      <c r="F11" s="0" t="n">
        <v>36502</v>
      </c>
      <c r="G11" s="0" t="n">
        <v>8.5</v>
      </c>
      <c r="H11" s="0" t="n">
        <v>49662</v>
      </c>
      <c r="I11" s="0" t="n">
        <v>23846</v>
      </c>
      <c r="J11" s="0" t="n">
        <v>5.5</v>
      </c>
      <c r="K11" s="0" t="n">
        <v>24.74</v>
      </c>
      <c r="L11" s="0" t="n">
        <v>37645</v>
      </c>
      <c r="M11" s="0" t="n">
        <v>16390</v>
      </c>
      <c r="N11" s="0" t="n">
        <v>21255</v>
      </c>
      <c r="O11" s="0" t="n">
        <v>248072</v>
      </c>
      <c r="P11" s="0" t="n">
        <v>346921</v>
      </c>
      <c r="Q11" s="0" t="n">
        <v>93631</v>
      </c>
      <c r="R11" s="0" t="n">
        <v>16692</v>
      </c>
      <c r="S11" s="0" t="n">
        <v>22785</v>
      </c>
      <c r="T11" s="0" t="n">
        <v>963.82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78</v>
      </c>
      <c r="B12" s="0" t="n">
        <v>453565</v>
      </c>
      <c r="C12" s="0" t="n">
        <v>277806</v>
      </c>
      <c r="D12" s="0" t="n">
        <v>175759</v>
      </c>
      <c r="E12" s="0" t="n">
        <v>38.8</v>
      </c>
      <c r="F12" s="0" t="n">
        <v>38417</v>
      </c>
      <c r="G12" s="0" t="n">
        <v>8.5</v>
      </c>
      <c r="H12" s="0" t="n">
        <v>51675</v>
      </c>
      <c r="I12" s="0" t="n">
        <v>25992</v>
      </c>
      <c r="J12" s="0" t="n">
        <v>5.7</v>
      </c>
      <c r="K12" s="0" t="n">
        <v>27.08</v>
      </c>
      <c r="L12" s="0" t="n">
        <v>37023</v>
      </c>
      <c r="M12" s="0" t="n">
        <v>26585</v>
      </c>
      <c r="N12" s="0" t="n">
        <v>10438</v>
      </c>
      <c r="O12" s="0" t="n">
        <v>265428</v>
      </c>
      <c r="P12" s="0" t="n">
        <v>362119</v>
      </c>
      <c r="Q12" s="0" t="n">
        <v>91667</v>
      </c>
      <c r="R12" s="0" t="n">
        <v>17089</v>
      </c>
      <c r="S12" s="0" t="n">
        <v>27509</v>
      </c>
      <c r="T12" s="0" t="n">
        <v>959.895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79</v>
      </c>
      <c r="B13" s="0" t="n">
        <v>468616</v>
      </c>
      <c r="C13" s="0" t="n">
        <v>286978</v>
      </c>
      <c r="D13" s="0" t="n">
        <v>181638</v>
      </c>
      <c r="E13" s="0" t="n">
        <v>38.8</v>
      </c>
      <c r="F13" s="0" t="n">
        <v>39826</v>
      </c>
      <c r="G13" s="0" t="n">
        <v>8.5</v>
      </c>
      <c r="H13" s="0" t="n">
        <v>56613</v>
      </c>
      <c r="I13" s="0" t="n">
        <v>26595</v>
      </c>
      <c r="J13" s="0" t="n">
        <v>5.7</v>
      </c>
      <c r="K13" s="0" t="n">
        <v>27.71</v>
      </c>
      <c r="L13" s="0" t="n">
        <v>39654</v>
      </c>
      <c r="M13" s="0" t="n">
        <v>24801</v>
      </c>
      <c r="N13" s="0" t="n">
        <v>14853</v>
      </c>
      <c r="O13" s="0" t="n">
        <v>272434</v>
      </c>
      <c r="P13" s="0" t="n">
        <v>387329</v>
      </c>
      <c r="Q13" s="0" t="n">
        <v>109571</v>
      </c>
      <c r="R13" s="0" t="n">
        <v>18913</v>
      </c>
      <c r="S13" s="0" t="n">
        <v>28103</v>
      </c>
      <c r="T13" s="0" t="n">
        <v>959.875</v>
      </c>
      <c r="AA13" s="0" t="s">
        <v>17</v>
      </c>
      <c r="AB13" s="0" t="s">
        <v>14</v>
      </c>
      <c r="AC13" s="0" t="n">
        <v>26893</v>
      </c>
      <c r="AD13" s="0" t="n">
        <v>38767</v>
      </c>
      <c r="AE13" s="0" t="n">
        <v>31492</v>
      </c>
      <c r="AF13" s="0" t="n">
        <v>207226</v>
      </c>
      <c r="AG13" s="0" t="n">
        <v>282935</v>
      </c>
    </row>
    <row r="14" customFormat="false" ht="15" hidden="false" customHeight="false" outlineLevel="0" collapsed="false">
      <c r="A14" s="0" t="s">
        <v>80</v>
      </c>
      <c r="B14" s="0" t="n">
        <v>439411</v>
      </c>
      <c r="C14" s="0" t="n">
        <v>285178</v>
      </c>
      <c r="D14" s="0" t="n">
        <v>154233</v>
      </c>
      <c r="E14" s="0" t="n">
        <v>35.1</v>
      </c>
      <c r="F14" s="0" t="n">
        <v>41672</v>
      </c>
      <c r="G14" s="0" t="n">
        <v>9.5</v>
      </c>
      <c r="H14" s="0" t="n">
        <v>60907</v>
      </c>
      <c r="I14" s="0" t="n">
        <v>31159</v>
      </c>
      <c r="J14" s="0" t="n">
        <v>7.1</v>
      </c>
      <c r="K14" s="0" t="n">
        <v>32.46</v>
      </c>
      <c r="L14" s="0" t="n">
        <v>57167</v>
      </c>
      <c r="M14" s="0" t="n">
        <v>15718</v>
      </c>
      <c r="N14" s="0" t="n">
        <v>41449</v>
      </c>
      <c r="O14" s="0" t="n">
        <v>308130</v>
      </c>
      <c r="P14" s="0" t="n">
        <v>438508</v>
      </c>
      <c r="Q14" s="0" t="n">
        <v>124993</v>
      </c>
      <c r="R14" s="0" t="n">
        <v>17350</v>
      </c>
      <c r="S14" s="0" t="n">
        <v>55678</v>
      </c>
      <c r="T14" s="0" t="n">
        <v>959.865</v>
      </c>
      <c r="U14" s="0" t="n">
        <v>0</v>
      </c>
      <c r="AA14" s="0" t="s">
        <v>17</v>
      </c>
      <c r="AB14" s="0" t="s">
        <v>14</v>
      </c>
      <c r="AC14" s="0" t="n">
        <v>30979</v>
      </c>
      <c r="AD14" s="0" t="n">
        <v>42436</v>
      </c>
      <c r="AE14" s="0" t="n">
        <v>34171</v>
      </c>
      <c r="AF14" s="0" t="n">
        <v>203845</v>
      </c>
      <c r="AG14" s="0" t="n">
        <v>286560</v>
      </c>
    </row>
    <row r="15" customFormat="false" ht="15" hidden="false" customHeight="false" outlineLevel="0" collapsed="false">
      <c r="A15" s="0" t="s">
        <v>81</v>
      </c>
      <c r="B15" s="0" t="n">
        <v>516440</v>
      </c>
      <c r="C15" s="0" t="n">
        <v>337611</v>
      </c>
      <c r="D15" s="0" t="n">
        <v>178829</v>
      </c>
      <c r="E15" s="0" t="n">
        <v>34.6</v>
      </c>
      <c r="F15" s="0" t="n">
        <v>50682</v>
      </c>
      <c r="G15" s="0" t="n">
        <v>9.8</v>
      </c>
      <c r="H15" s="0" t="n">
        <v>70712</v>
      </c>
      <c r="I15" s="0" t="n">
        <v>38903</v>
      </c>
      <c r="J15" s="0" t="n">
        <v>7.5</v>
      </c>
      <c r="K15" s="0" t="n">
        <v>40.59</v>
      </c>
      <c r="L15" s="0" t="n">
        <v>52093</v>
      </c>
      <c r="M15" s="0" t="n">
        <v>18697</v>
      </c>
      <c r="N15" s="0" t="n">
        <v>33396</v>
      </c>
      <c r="O15" s="0" t="n">
        <v>357816</v>
      </c>
      <c r="P15" s="0" t="n">
        <v>503061</v>
      </c>
      <c r="Q15" s="0" t="n">
        <v>139153</v>
      </c>
      <c r="R15" s="0" t="n">
        <v>17503</v>
      </c>
      <c r="S15" s="0" t="n">
        <v>79229</v>
      </c>
      <c r="T15" s="0" t="n">
        <v>958.515</v>
      </c>
      <c r="U15" s="0" t="n">
        <v>0</v>
      </c>
      <c r="AA15" s="0" t="s">
        <v>17</v>
      </c>
      <c r="AB15" s="0" t="s">
        <v>14</v>
      </c>
      <c r="AC15" s="0" t="n">
        <v>40351</v>
      </c>
      <c r="AD15" s="0" t="n">
        <v>52858</v>
      </c>
      <c r="AE15" s="0" t="n">
        <v>46392</v>
      </c>
      <c r="AF15" s="0" t="n">
        <v>255986</v>
      </c>
      <c r="AG15" s="0" t="n">
        <v>362666</v>
      </c>
    </row>
    <row r="16" customFormat="false" ht="15" hidden="false" customHeight="false" outlineLevel="0" collapsed="false">
      <c r="A16" s="0" t="s">
        <v>82</v>
      </c>
      <c r="B16" s="0" t="n">
        <v>618899</v>
      </c>
      <c r="C16" s="0" t="n">
        <v>414474</v>
      </c>
      <c r="D16" s="0" t="n">
        <v>204425</v>
      </c>
      <c r="E16" s="0" t="n">
        <v>33</v>
      </c>
      <c r="F16" s="0" t="n">
        <v>55370</v>
      </c>
      <c r="G16" s="0" t="n">
        <v>8.9</v>
      </c>
      <c r="H16" s="0" t="n">
        <v>77610</v>
      </c>
      <c r="I16" s="0" t="n">
        <v>43733</v>
      </c>
      <c r="J16" s="0" t="n">
        <v>7.1</v>
      </c>
      <c r="K16" s="0" t="n">
        <v>45.67</v>
      </c>
      <c r="L16" s="0" t="n">
        <v>59197</v>
      </c>
      <c r="M16" s="0" t="n">
        <v>25595</v>
      </c>
      <c r="N16" s="0" t="n">
        <v>33602</v>
      </c>
      <c r="O16" s="0" t="n">
        <v>410513</v>
      </c>
      <c r="P16" s="0" t="n">
        <v>566385</v>
      </c>
      <c r="Q16" s="0" t="n">
        <v>149416</v>
      </c>
      <c r="R16" s="0" t="n">
        <v>17454</v>
      </c>
      <c r="S16" s="0" t="n">
        <v>99347</v>
      </c>
      <c r="T16" s="0" t="n">
        <v>957.504</v>
      </c>
      <c r="U16" s="0" t="n">
        <v>77</v>
      </c>
      <c r="AA16" s="0" t="s">
        <v>17</v>
      </c>
      <c r="AB16" s="0" t="s">
        <v>14</v>
      </c>
      <c r="AC16" s="0" t="n">
        <v>51769</v>
      </c>
      <c r="AD16" s="0" t="n">
        <v>70421</v>
      </c>
      <c r="AE16" s="0" t="n">
        <v>52579</v>
      </c>
      <c r="AF16" s="0" t="n">
        <v>338533</v>
      </c>
      <c r="AG16" s="0" t="n">
        <v>469024</v>
      </c>
    </row>
    <row r="17" customFormat="false" ht="15" hidden="false" customHeight="false" outlineLevel="0" collapsed="false">
      <c r="A17" s="0" t="s">
        <v>83</v>
      </c>
      <c r="B17" s="0" t="n">
        <v>660835</v>
      </c>
      <c r="C17" s="0" t="n">
        <v>432114</v>
      </c>
      <c r="D17" s="0" t="n">
        <v>228721</v>
      </c>
      <c r="E17" s="0" t="n">
        <v>34.6</v>
      </c>
      <c r="F17" s="0" t="n">
        <v>66733</v>
      </c>
      <c r="G17" s="0" t="n">
        <v>10.1</v>
      </c>
      <c r="H17" s="0" t="n">
        <v>90753</v>
      </c>
      <c r="I17" s="0" t="n">
        <v>56441</v>
      </c>
      <c r="J17" s="0" t="n">
        <v>8.5</v>
      </c>
      <c r="K17" s="0" t="n">
        <v>59.19</v>
      </c>
      <c r="L17" s="0" t="n">
        <v>80807</v>
      </c>
      <c r="M17" s="0" t="n">
        <v>29702</v>
      </c>
      <c r="N17" s="0" t="n">
        <v>51105</v>
      </c>
      <c r="O17" s="0" t="n">
        <v>491355</v>
      </c>
      <c r="P17" s="0" t="n">
        <v>667877</v>
      </c>
      <c r="Q17" s="0" t="n">
        <v>169621</v>
      </c>
      <c r="R17" s="0" t="n">
        <v>18173</v>
      </c>
      <c r="S17" s="0" t="n">
        <v>119159</v>
      </c>
      <c r="T17" s="0" t="n">
        <v>953.49</v>
      </c>
      <c r="U17" s="0" t="n">
        <v>138</v>
      </c>
      <c r="AA17" s="0" t="s">
        <v>17</v>
      </c>
      <c r="AB17" s="0" t="s">
        <v>14</v>
      </c>
      <c r="AC17" s="0" t="n">
        <v>65413</v>
      </c>
      <c r="AD17" s="0" t="n">
        <v>79020</v>
      </c>
      <c r="AE17" s="0" t="n">
        <v>61649</v>
      </c>
      <c r="AF17" s="0" t="n">
        <v>356090</v>
      </c>
      <c r="AG17" s="0" t="n">
        <v>509015</v>
      </c>
    </row>
    <row r="18" customFormat="false" ht="15" hidden="false" customHeight="false" outlineLevel="0" collapsed="false">
      <c r="A18" s="0" t="s">
        <v>84</v>
      </c>
      <c r="B18" s="0" t="n">
        <v>708979</v>
      </c>
      <c r="C18" s="0" t="n">
        <v>469746</v>
      </c>
      <c r="D18" s="0" t="n">
        <v>239233</v>
      </c>
      <c r="E18" s="0" t="n">
        <v>33.7</v>
      </c>
      <c r="F18" s="0" t="n">
        <v>73698</v>
      </c>
      <c r="G18" s="0" t="n">
        <v>10.4</v>
      </c>
      <c r="H18" s="0" t="n">
        <v>100615</v>
      </c>
      <c r="I18" s="0" t="n">
        <v>61695</v>
      </c>
      <c r="J18" s="0" t="n">
        <v>8.7</v>
      </c>
      <c r="K18" s="0" t="n">
        <v>64.99</v>
      </c>
      <c r="L18" s="0" t="n">
        <v>73978</v>
      </c>
      <c r="M18" s="0" t="n">
        <v>39487</v>
      </c>
      <c r="N18" s="0" t="n">
        <v>34491</v>
      </c>
      <c r="O18" s="0" t="n">
        <v>508539</v>
      </c>
      <c r="P18" s="0" t="n">
        <v>679414</v>
      </c>
      <c r="Q18" s="0" t="n">
        <v>163364</v>
      </c>
      <c r="R18" s="0" t="n">
        <v>18242</v>
      </c>
      <c r="S18" s="0" t="n">
        <v>106184</v>
      </c>
      <c r="T18" s="0" t="n">
        <v>949.325</v>
      </c>
      <c r="U18" s="0" t="n">
        <v>293</v>
      </c>
      <c r="AA18" s="0" t="s">
        <v>17</v>
      </c>
      <c r="AB18" s="0" t="s">
        <v>14</v>
      </c>
      <c r="AC18" s="0" t="n">
        <v>70189</v>
      </c>
      <c r="AD18" s="0" t="n">
        <v>86896</v>
      </c>
      <c r="AE18" s="0" t="n">
        <v>68564</v>
      </c>
      <c r="AF18" s="0" t="n">
        <v>381081</v>
      </c>
      <c r="AG18" s="0" t="n">
        <v>552145</v>
      </c>
    </row>
    <row r="19" customFormat="false" ht="15" hidden="false" customHeight="false" outlineLevel="0" collapsed="false">
      <c r="A19" s="0" t="s">
        <v>85</v>
      </c>
      <c r="B19" s="0" t="n">
        <v>745539</v>
      </c>
      <c r="C19" s="0" t="n">
        <v>492926</v>
      </c>
      <c r="D19" s="0" t="n">
        <v>252613</v>
      </c>
      <c r="E19" s="0" t="n">
        <v>33.9</v>
      </c>
      <c r="F19" s="0" t="n">
        <v>75940</v>
      </c>
      <c r="G19" s="0" t="n">
        <v>10.2</v>
      </c>
      <c r="H19" s="0" t="n">
        <v>102686</v>
      </c>
      <c r="I19" s="0" t="n">
        <v>61615</v>
      </c>
      <c r="J19" s="0" t="n">
        <v>8.3</v>
      </c>
      <c r="K19" s="0" t="n">
        <v>65.99</v>
      </c>
      <c r="L19" s="0" t="n">
        <v>90508</v>
      </c>
      <c r="M19" s="0" t="n">
        <v>56392</v>
      </c>
      <c r="N19" s="0" t="n">
        <v>34116</v>
      </c>
      <c r="O19" s="0" t="n">
        <v>560924</v>
      </c>
      <c r="P19" s="0" t="n">
        <v>751660</v>
      </c>
      <c r="Q19" s="0" t="n">
        <v>182818</v>
      </c>
      <c r="R19" s="0" t="n">
        <v>18217</v>
      </c>
      <c r="S19" s="0" t="n">
        <v>111770</v>
      </c>
      <c r="T19" s="0" t="n">
        <v>933.702</v>
      </c>
      <c r="U19" s="0" t="n">
        <v>384</v>
      </c>
      <c r="AA19" s="0" t="s">
        <v>17</v>
      </c>
      <c r="AB19" s="0" t="s">
        <v>14</v>
      </c>
      <c r="AC19" s="0" t="n">
        <v>71580</v>
      </c>
      <c r="AD19" s="0" t="n">
        <v>92658</v>
      </c>
      <c r="AE19" s="0" t="n">
        <v>77933</v>
      </c>
      <c r="AF19" s="0" t="n">
        <v>403356</v>
      </c>
      <c r="AG19" s="0" t="n">
        <v>583080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1873.5</v>
      </c>
    </row>
    <row r="3" customFormat="false" ht="15" hidden="false" customHeight="false" outlineLevel="0" collapsed="false">
      <c r="A3" s="0" t="s">
        <v>89</v>
      </c>
      <c r="B3" s="3" t="n">
        <v>926.543</v>
      </c>
    </row>
    <row r="4" customFormat="false" ht="15" hidden="false" customHeight="false" outlineLevel="0" collapsed="false">
      <c r="A4" s="0" t="s">
        <v>90</v>
      </c>
      <c r="B4" s="3" t="n">
        <v>-75227</v>
      </c>
    </row>
    <row r="5" customFormat="false" ht="15" hidden="false" customHeight="false" outlineLevel="0" collapsed="false">
      <c r="A5" s="0" t="s">
        <v>91</v>
      </c>
      <c r="B5" s="3" t="n">
        <v>72454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745539</v>
      </c>
    </row>
    <row r="8" customFormat="false" ht="15" hidden="false" customHeight="false" outlineLevel="0" collapsed="false">
      <c r="A8" s="0" t="s">
        <v>94</v>
      </c>
      <c r="B8" s="3" t="s">
        <v>85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1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4</v>
      </c>
      <c r="D13" s="3" t="n">
        <v>1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110</v>
      </c>
      <c r="C14" s="3" t="n">
        <v>13.5</v>
      </c>
      <c r="D14" s="3" t="n">
        <v>13</v>
      </c>
      <c r="E14" s="3" t="n">
        <v>12.8</v>
      </c>
      <c r="F14" s="3" t="n">
        <v>12.6</v>
      </c>
      <c r="G14" s="3" t="n">
        <v>12.5</v>
      </c>
      <c r="H14" s="3" t="n">
        <v>12.5</v>
      </c>
      <c r="I14" s="3" t="n">
        <v>12.5</v>
      </c>
      <c r="J14" s="3" t="n">
        <v>12.5</v>
      </c>
      <c r="K14" s="3" t="n">
        <v>12.5</v>
      </c>
      <c r="L14" s="3" t="n">
        <v>12.5</v>
      </c>
    </row>
    <row r="15" customFormat="false" ht="15" hidden="false" customHeight="false" outlineLevel="0" collapsed="false">
      <c r="A15" s="0" t="s">
        <v>111</v>
      </c>
      <c r="C15" s="3" t="n">
        <v>0.05</v>
      </c>
      <c r="D15" s="3" t="n">
        <v>0.05</v>
      </c>
      <c r="E15" s="3" t="n">
        <v>0.05</v>
      </c>
      <c r="F15" s="3" t="n">
        <v>0.05</v>
      </c>
      <c r="G15" s="3" t="n">
        <v>0.05</v>
      </c>
      <c r="H15" s="3" t="n">
        <v>0.05</v>
      </c>
      <c r="I15" s="3" t="n">
        <v>0.05</v>
      </c>
      <c r="J15" s="3" t="n">
        <v>0.05</v>
      </c>
      <c r="K15" s="3" t="n">
        <v>0.05</v>
      </c>
      <c r="L15" s="3" t="n">
        <v>0.05</v>
      </c>
    </row>
    <row r="16" customFormat="false" ht="15" hidden="false" customHeight="false" outlineLevel="0" collapsed="false">
      <c r="A16" s="0" t="s">
        <v>112</v>
      </c>
      <c r="C16" s="3" t="n">
        <v>1.25</v>
      </c>
      <c r="D16" s="3" t="n">
        <v>1.25</v>
      </c>
      <c r="E16" s="3" t="n">
        <v>1.25</v>
      </c>
      <c r="F16" s="3" t="n">
        <v>1.25</v>
      </c>
      <c r="G16" s="3" t="n">
        <v>1.25</v>
      </c>
      <c r="H16" s="3" t="n">
        <v>1.25</v>
      </c>
      <c r="I16" s="3" t="n">
        <v>1.25</v>
      </c>
      <c r="J16" s="3" t="n">
        <v>1.25</v>
      </c>
      <c r="K16" s="3" t="n">
        <v>1.25</v>
      </c>
      <c r="L16" s="3" t="n">
        <v>1.25</v>
      </c>
    </row>
    <row r="17" customFormat="false" ht="15" hidden="false" customHeight="false" outlineLevel="0" collapsed="false">
      <c r="A17" s="0" t="s">
        <v>113</v>
      </c>
      <c r="C17" s="3" t="n">
        <v>2.5</v>
      </c>
      <c r="D17" s="3" t="n">
        <v>2.6</v>
      </c>
      <c r="E17" s="3" t="n">
        <v>2.7</v>
      </c>
      <c r="F17" s="3" t="n">
        <v>2.8</v>
      </c>
      <c r="G17" s="3" t="n">
        <v>2.8</v>
      </c>
      <c r="H17" s="3" t="n">
        <v>2.8</v>
      </c>
      <c r="I17" s="3" t="n">
        <v>2.8</v>
      </c>
      <c r="J17" s="3" t="n">
        <v>2.8</v>
      </c>
      <c r="K17" s="3" t="n">
        <v>2.8</v>
      </c>
      <c r="L17" s="3" t="n">
        <v>2.8</v>
      </c>
    </row>
    <row r="18" customFormat="false" ht="15" hidden="false" customHeight="false" outlineLevel="0" collapsed="false">
      <c r="A18" s="0" t="s">
        <v>114</v>
      </c>
      <c r="C18" s="3" t="n">
        <v>7.2</v>
      </c>
      <c r="D18" s="3" t="n">
        <v>5.8</v>
      </c>
      <c r="E18" s="3" t="n">
        <v>5</v>
      </c>
      <c r="F18" s="3" t="n">
        <v>4.7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115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116</v>
      </c>
      <c r="B20" s="3" t="n">
        <v>6.5</v>
      </c>
    </row>
    <row r="21" customFormat="false" ht="15" hidden="false" customHeight="false" outlineLevel="0" collapsed="false">
      <c r="A21" s="0" t="s">
        <v>117</v>
      </c>
      <c r="B21" s="3" t="n">
        <v>1.5</v>
      </c>
    </row>
    <row r="22" customFormat="false" ht="15" hidden="false" customHeight="false" outlineLevel="0" collapsed="false">
      <c r="A22" s="0" t="s">
        <v>118</v>
      </c>
      <c r="B22" s="3" t="n">
        <v>16</v>
      </c>
    </row>
    <row r="23" customFormat="false" ht="15" hidden="false" customHeight="false" outlineLevel="0" collapsed="false">
      <c r="A23" s="0" t="s">
        <v>119</v>
      </c>
      <c r="B23" s="3" t="n">
        <v>-15</v>
      </c>
    </row>
    <row r="24" customFormat="false" ht="15" hidden="false" customHeight="false" outlineLevel="0" collapsed="false">
      <c r="A24" s="0" t="s">
        <v>120</v>
      </c>
      <c r="B24" s="3" t="n">
        <v>0.25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7.5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110</v>
      </c>
      <c r="C28" s="3" t="n">
        <v>13.9</v>
      </c>
      <c r="D28" s="3" t="n">
        <v>14</v>
      </c>
      <c r="E28" s="3" t="n">
        <v>14.1</v>
      </c>
      <c r="F28" s="3" t="n">
        <v>14.2</v>
      </c>
      <c r="G28" s="3" t="n">
        <v>14.3</v>
      </c>
      <c r="H28" s="3" t="n">
        <v>14.4</v>
      </c>
      <c r="I28" s="3" t="n">
        <v>14.5</v>
      </c>
      <c r="J28" s="3" t="n">
        <v>14.5</v>
      </c>
      <c r="K28" s="3" t="n">
        <v>14.5</v>
      </c>
      <c r="L28" s="3" t="n">
        <v>14.5</v>
      </c>
    </row>
    <row r="29" customFormat="false" ht="15" hidden="false" customHeight="false" outlineLevel="0" collapsed="false">
      <c r="A29" s="0" t="s">
        <v>111</v>
      </c>
      <c r="C29" s="3" t="n">
        <v>0.05</v>
      </c>
      <c r="D29" s="3" t="n">
        <v>0.05</v>
      </c>
      <c r="E29" s="3" t="n">
        <v>0.05</v>
      </c>
      <c r="F29" s="3" t="n">
        <v>0.05</v>
      </c>
      <c r="G29" s="3" t="n">
        <v>0.05</v>
      </c>
      <c r="H29" s="3" t="n">
        <v>0.05</v>
      </c>
      <c r="I29" s="3" t="n">
        <v>0.05</v>
      </c>
      <c r="J29" s="3" t="n">
        <v>0.05</v>
      </c>
      <c r="K29" s="3" t="n">
        <v>0.05</v>
      </c>
      <c r="L29" s="3" t="n">
        <v>0.05</v>
      </c>
    </row>
    <row r="30" customFormat="false" ht="15" hidden="false" customHeight="false" outlineLevel="0" collapsed="false">
      <c r="A30" s="0" t="s">
        <v>112</v>
      </c>
      <c r="C30" s="3" t="n">
        <v>1.25</v>
      </c>
      <c r="D30" s="3" t="n">
        <v>1.25</v>
      </c>
      <c r="E30" s="3" t="n">
        <v>1.25</v>
      </c>
      <c r="F30" s="3" t="n">
        <v>1.25</v>
      </c>
      <c r="G30" s="3" t="n">
        <v>1.25</v>
      </c>
      <c r="H30" s="3" t="n">
        <v>1.25</v>
      </c>
      <c r="I30" s="3" t="n">
        <v>1.25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113</v>
      </c>
      <c r="C31" s="3" t="n">
        <v>2.5</v>
      </c>
      <c r="D31" s="3" t="n">
        <v>2.6</v>
      </c>
      <c r="E31" s="3" t="n">
        <v>2.7</v>
      </c>
      <c r="F31" s="3" t="n">
        <v>2.8</v>
      </c>
      <c r="G31" s="3" t="n">
        <v>2.8</v>
      </c>
      <c r="H31" s="3" t="n">
        <v>2.8</v>
      </c>
      <c r="I31" s="3" t="n">
        <v>2.8</v>
      </c>
      <c r="J31" s="3" t="n">
        <v>2.8</v>
      </c>
      <c r="K31" s="3" t="n">
        <v>2.8</v>
      </c>
      <c r="L31" s="3" t="n">
        <v>2.8</v>
      </c>
    </row>
    <row r="32" customFormat="false" ht="15" hidden="false" customHeight="false" outlineLevel="0" collapsed="false">
      <c r="A32" s="0" t="s">
        <v>114</v>
      </c>
      <c r="C32" s="3" t="n">
        <v>7</v>
      </c>
      <c r="D32" s="3" t="n">
        <v>5.5</v>
      </c>
      <c r="E32" s="3" t="n">
        <v>4.8</v>
      </c>
      <c r="F32" s="3" t="n">
        <v>4.5</v>
      </c>
      <c r="G32" s="3" t="n">
        <v>4.3</v>
      </c>
      <c r="H32" s="3" t="n">
        <v>4.2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115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116</v>
      </c>
      <c r="B34" s="3" t="n">
        <v>6.5</v>
      </c>
    </row>
    <row r="35" customFormat="false" ht="15" hidden="false" customHeight="false" outlineLevel="0" collapsed="false">
      <c r="A35" s="0" t="s">
        <v>117</v>
      </c>
      <c r="B35" s="3" t="n">
        <v>2</v>
      </c>
    </row>
    <row r="36" customFormat="false" ht="15" hidden="false" customHeight="false" outlineLevel="0" collapsed="false">
      <c r="A36" s="0" t="s">
        <v>118</v>
      </c>
      <c r="B36" s="3" t="n">
        <v>20</v>
      </c>
    </row>
    <row r="37" customFormat="false" ht="15" hidden="false" customHeight="false" outlineLevel="0" collapsed="false">
      <c r="A37" s="0" t="s">
        <v>119</v>
      </c>
      <c r="B37" s="3" t="n">
        <v>-15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10</v>
      </c>
      <c r="D41" s="3" t="n">
        <v>7.5</v>
      </c>
      <c r="E41" s="3" t="n">
        <v>7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110</v>
      </c>
      <c r="C42" s="3" t="n">
        <v>14.3</v>
      </c>
      <c r="D42" s="3" t="n">
        <v>14.6</v>
      </c>
      <c r="E42" s="3" t="n">
        <v>14.9</v>
      </c>
      <c r="F42" s="3" t="n">
        <v>15.2</v>
      </c>
      <c r="G42" s="3" t="n">
        <v>15.5</v>
      </c>
      <c r="H42" s="3" t="n">
        <v>15.7</v>
      </c>
      <c r="I42" s="3" t="n">
        <v>15.9</v>
      </c>
      <c r="J42" s="3" t="n">
        <v>16</v>
      </c>
      <c r="K42" s="3" t="n">
        <v>16</v>
      </c>
      <c r="L42" s="3" t="n">
        <v>16</v>
      </c>
    </row>
    <row r="43" customFormat="false" ht="15" hidden="false" customHeight="false" outlineLevel="0" collapsed="false">
      <c r="A43" s="0" t="s">
        <v>111</v>
      </c>
      <c r="C43" s="3" t="n">
        <v>0.05</v>
      </c>
      <c r="D43" s="3" t="n">
        <v>0.05</v>
      </c>
      <c r="E43" s="3" t="n">
        <v>0.05</v>
      </c>
      <c r="F43" s="3" t="n">
        <v>0.05</v>
      </c>
      <c r="G43" s="3" t="n">
        <v>0.05</v>
      </c>
      <c r="H43" s="3" t="n">
        <v>0.05</v>
      </c>
      <c r="I43" s="3" t="n">
        <v>0.05</v>
      </c>
      <c r="J43" s="3" t="n">
        <v>0.05</v>
      </c>
      <c r="K43" s="3" t="n">
        <v>0.05</v>
      </c>
      <c r="L43" s="3" t="n">
        <v>0.05</v>
      </c>
    </row>
    <row r="44" customFormat="false" ht="15" hidden="false" customHeight="false" outlineLevel="0" collapsed="false">
      <c r="A44" s="0" t="s">
        <v>112</v>
      </c>
      <c r="C44" s="3" t="n">
        <v>1.25</v>
      </c>
      <c r="D44" s="3" t="n">
        <v>1.25</v>
      </c>
      <c r="E44" s="3" t="n">
        <v>1.25</v>
      </c>
      <c r="F44" s="3" t="n">
        <v>1.25</v>
      </c>
      <c r="G44" s="3" t="n">
        <v>1.25</v>
      </c>
      <c r="H44" s="3" t="n">
        <v>1.25</v>
      </c>
      <c r="I44" s="3" t="n">
        <v>1.25</v>
      </c>
      <c r="J44" s="3" t="n">
        <v>1.25</v>
      </c>
      <c r="K44" s="3" t="n">
        <v>1.25</v>
      </c>
      <c r="L44" s="3" t="n">
        <v>1.25</v>
      </c>
    </row>
    <row r="45" customFormat="false" ht="15" hidden="false" customHeight="false" outlineLevel="0" collapsed="false">
      <c r="A45" s="0" t="s">
        <v>113</v>
      </c>
      <c r="C45" s="3" t="n">
        <v>2.5</v>
      </c>
      <c r="D45" s="3" t="n">
        <v>2.6</v>
      </c>
      <c r="E45" s="3" t="n">
        <v>2.7</v>
      </c>
      <c r="F45" s="3" t="n">
        <v>2.8</v>
      </c>
      <c r="G45" s="3" t="n">
        <v>2.8</v>
      </c>
      <c r="H45" s="3" t="n">
        <v>2.8</v>
      </c>
      <c r="I45" s="3" t="n">
        <v>2.8</v>
      </c>
      <c r="J45" s="3" t="n">
        <v>2.8</v>
      </c>
      <c r="K45" s="3" t="n">
        <v>2.8</v>
      </c>
      <c r="L45" s="3" t="n">
        <v>2.8</v>
      </c>
    </row>
    <row r="46" customFormat="false" ht="15" hidden="false" customHeight="false" outlineLevel="0" collapsed="false">
      <c r="A46" s="0" t="s">
        <v>114</v>
      </c>
      <c r="C46" s="3" t="n">
        <v>7</v>
      </c>
      <c r="D46" s="3" t="n">
        <v>5.5</v>
      </c>
      <c r="E46" s="3" t="n">
        <v>4.8</v>
      </c>
      <c r="F46" s="3" t="n">
        <v>4.5</v>
      </c>
      <c r="G46" s="3" t="n">
        <v>4.5</v>
      </c>
      <c r="H46" s="3" t="n">
        <v>4.3</v>
      </c>
      <c r="I46" s="3" t="n">
        <v>4.2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115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116</v>
      </c>
      <c r="B48" s="3" t="n">
        <v>6.5</v>
      </c>
    </row>
    <row r="49" customFormat="false" ht="15" hidden="false" customHeight="false" outlineLevel="0" collapsed="false">
      <c r="A49" s="0" t="s">
        <v>117</v>
      </c>
      <c r="B49" s="3" t="n">
        <v>2.5</v>
      </c>
    </row>
    <row r="50" customFormat="false" ht="15" hidden="false" customHeight="false" outlineLevel="0" collapsed="false">
      <c r="A50" s="0" t="s">
        <v>118</v>
      </c>
      <c r="B50" s="3" t="n">
        <v>20</v>
      </c>
    </row>
    <row r="51" customFormat="false" ht="15" hidden="false" customHeight="false" outlineLevel="0" collapsed="false">
      <c r="A51" s="0" t="s">
        <v>119</v>
      </c>
      <c r="B51" s="3" t="n">
        <v>-15</v>
      </c>
    </row>
    <row r="52" customFormat="false" ht="15" hidden="false" customHeight="false" outlineLevel="0" collapsed="false">
      <c r="A52" s="0" t="s">
        <v>120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4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745539</v>
      </c>
      <c r="C6" s="0" t="n">
        <f aca="false">B6*(1+C5/100)</f>
        <v>775360.56</v>
      </c>
      <c r="D6" s="0" t="n">
        <f aca="false">C6*(1+D5/100)</f>
        <v>783114.1656</v>
      </c>
      <c r="E6" s="0" t="n">
        <f aca="false">D6*(1+E5/100)</f>
        <v>798776.448912</v>
      </c>
      <c r="F6" s="0" t="n">
        <f aca="false">E6*(1+F5/100)</f>
        <v>814751.97789024</v>
      </c>
      <c r="G6" s="0" t="n">
        <f aca="false">F6*(1+G5/100)</f>
        <v>831047.017448045</v>
      </c>
      <c r="H6" s="0" t="n">
        <f aca="false">G6*(1+H5/100)</f>
        <v>847667.957797006</v>
      </c>
      <c r="I6" s="0" t="n">
        <f aca="false">H6*(1+I5/100)</f>
        <v>864621.316952946</v>
      </c>
      <c r="J6" s="0" t="n">
        <f aca="false">I6*(1+J5/100)</f>
        <v>881913.743292005</v>
      </c>
      <c r="K6" s="0" t="n">
        <f aca="false">J6*(1+K5/100)</f>
        <v>899552.018157845</v>
      </c>
      <c r="L6" s="0" t="n">
        <f aca="false">K6*(1+L5/100)</f>
        <v>917543.058521002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13.5</v>
      </c>
      <c r="D7" s="4" t="n">
        <f aca="false">Assumptions!D14</f>
        <v>13</v>
      </c>
      <c r="E7" s="4" t="n">
        <f aca="false">Assumptions!E14</f>
        <v>12.8</v>
      </c>
      <c r="F7" s="4" t="n">
        <f aca="false">Assumptions!F14</f>
        <v>12.6</v>
      </c>
      <c r="G7" s="4" t="n">
        <f aca="false">Assumptions!G14</f>
        <v>12.5</v>
      </c>
      <c r="H7" s="4" t="n">
        <f aca="false">Assumptions!H14</f>
        <v>12.5</v>
      </c>
      <c r="I7" s="4" t="n">
        <f aca="false">Assumptions!I14</f>
        <v>12.5</v>
      </c>
      <c r="J7" s="4" t="n">
        <f aca="false">Assumptions!J14</f>
        <v>12.5</v>
      </c>
      <c r="K7" s="4" t="n">
        <f aca="false">Assumptions!K14</f>
        <v>12.5</v>
      </c>
      <c r="L7" s="4" t="n">
        <f aca="false">Assumptions!L14</f>
        <v>12.5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104673.6756</v>
      </c>
      <c r="D8" s="0" t="n">
        <f aca="false">D6*D7/100</f>
        <v>101804.841528</v>
      </c>
      <c r="E8" s="0" t="n">
        <f aca="false">E6*E7/100</f>
        <v>102243.385460736</v>
      </c>
      <c r="F8" s="0" t="n">
        <f aca="false">F6*F7/100</f>
        <v>102658.74921417</v>
      </c>
      <c r="G8" s="0" t="n">
        <f aca="false">G6*G7/100</f>
        <v>103880.877181006</v>
      </c>
      <c r="H8" s="0" t="n">
        <f aca="false">H6*H7/100</f>
        <v>105958.494724626</v>
      </c>
      <c r="I8" s="0" t="n">
        <f aca="false">I6*I7/100</f>
        <v>108077.664619118</v>
      </c>
      <c r="J8" s="0" t="n">
        <f aca="false">J6*J7/100</f>
        <v>110239.217911501</v>
      </c>
      <c r="K8" s="0" t="n">
        <f aca="false">K6*K7/100</f>
        <v>112444.002269731</v>
      </c>
      <c r="L8" s="0" t="n">
        <f aca="false">L6*L7/100</f>
        <v>114692.882315125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0.05</v>
      </c>
      <c r="D9" s="4" t="n">
        <f aca="false">Assumptions!D15</f>
        <v>0.05</v>
      </c>
      <c r="E9" s="4" t="n">
        <f aca="false">Assumptions!E15</f>
        <v>0.05</v>
      </c>
      <c r="F9" s="4" t="n">
        <f aca="false">Assumptions!F15</f>
        <v>0.05</v>
      </c>
      <c r="G9" s="4" t="n">
        <f aca="false">Assumptions!G15</f>
        <v>0.05</v>
      </c>
      <c r="H9" s="4" t="n">
        <f aca="false">Assumptions!H15</f>
        <v>0.05</v>
      </c>
      <c r="I9" s="4" t="n">
        <f aca="false">Assumptions!I15</f>
        <v>0.05</v>
      </c>
      <c r="J9" s="4" t="n">
        <f aca="false">Assumptions!J15</f>
        <v>0.05</v>
      </c>
      <c r="K9" s="4" t="n">
        <f aca="false">Assumptions!K15</f>
        <v>0.05</v>
      </c>
      <c r="L9" s="4" t="n">
        <f aca="false">Assumptions!L15</f>
        <v>0.05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-387.68028</v>
      </c>
      <c r="D10" s="0" t="n">
        <f aca="false">-D6*D9/100</f>
        <v>-391.5570828</v>
      </c>
      <c r="E10" s="0" t="n">
        <f aca="false">-E6*E9/100</f>
        <v>-399.388224456</v>
      </c>
      <c r="F10" s="0" t="n">
        <f aca="false">-F6*F9/100</f>
        <v>-407.37598894512</v>
      </c>
      <c r="G10" s="0" t="n">
        <f aca="false">-G6*G9/100</f>
        <v>-415.523508724022</v>
      </c>
      <c r="H10" s="0" t="n">
        <f aca="false">-H6*H9/100</f>
        <v>-423.833978898503</v>
      </c>
      <c r="I10" s="0" t="n">
        <f aca="false">-I6*I9/100</f>
        <v>-432.310658476473</v>
      </c>
      <c r="J10" s="0" t="n">
        <f aca="false">-J6*J9/100</f>
        <v>-440.956871646002</v>
      </c>
      <c r="K10" s="0" t="n">
        <f aca="false">-K6*K9/100</f>
        <v>-449.776009078923</v>
      </c>
      <c r="L10" s="0" t="n">
        <f aca="false">-L6*L9/100</f>
        <v>-458.771529260501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94593.98832</v>
      </c>
      <c r="D11" s="0" t="n">
        <f aca="false">D8+D10+D24</f>
        <v>91624.3573752</v>
      </c>
      <c r="E11" s="0" t="n">
        <f aca="false">E8+E10+E24</f>
        <v>91859.29162488</v>
      </c>
      <c r="F11" s="0" t="n">
        <f aca="false">F8+F10+F24</f>
        <v>92066.9735015971</v>
      </c>
      <c r="G11" s="0" t="n">
        <f aca="false">G8+G10+G24</f>
        <v>93077.265954181</v>
      </c>
      <c r="H11" s="0" t="n">
        <f aca="false">H8+H10+H24</f>
        <v>94938.8112732646</v>
      </c>
      <c r="I11" s="0" t="n">
        <f aca="false">I8+I10+I24</f>
        <v>96837.5874987299</v>
      </c>
      <c r="J11" s="0" t="n">
        <f aca="false">J8+J10+J24</f>
        <v>98774.3392487045</v>
      </c>
      <c r="K11" s="0" t="n">
        <f aca="false">K8+K10+K24</f>
        <v>100749.826033679</v>
      </c>
      <c r="L11" s="0" t="n">
        <f aca="false">L8+L10+L24</f>
        <v>102764.822554352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-19384.014</v>
      </c>
      <c r="D12" s="4" t="n">
        <f aca="false">-D6*Assumptions!D17/100</f>
        <v>-20360.9683056</v>
      </c>
      <c r="E12" s="4" t="n">
        <f aca="false">-E6*Assumptions!E17/100</f>
        <v>-21566.964120624</v>
      </c>
      <c r="F12" s="4" t="n">
        <f aca="false">-F6*Assumptions!F17/100</f>
        <v>-22813.0553809267</v>
      </c>
      <c r="G12" s="4" t="n">
        <f aca="false">-G6*Assumptions!G17/100</f>
        <v>-23269.3164885453</v>
      </c>
      <c r="H12" s="4" t="n">
        <f aca="false">-H6*Assumptions!H17/100</f>
        <v>-23734.7028183162</v>
      </c>
      <c r="I12" s="4" t="n">
        <f aca="false">-I6*Assumptions!I17/100</f>
        <v>-24209.3968746825</v>
      </c>
      <c r="J12" s="4" t="n">
        <f aca="false">-J6*Assumptions!J17/100</f>
        <v>-24693.5848121761</v>
      </c>
      <c r="K12" s="4" t="n">
        <f aca="false">-K6*Assumptions!K17/100</f>
        <v>-25187.4565084197</v>
      </c>
      <c r="L12" s="4" t="n">
        <f aca="false">-L6*Assumptions!L17/100</f>
        <v>-25691.205638588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75209.97432</v>
      </c>
      <c r="D13" s="0" t="n">
        <f aca="false">D11+D12</f>
        <v>71263.3890696</v>
      </c>
      <c r="E13" s="0" t="n">
        <f aca="false">E11+E12</f>
        <v>70292.327504256</v>
      </c>
      <c r="F13" s="0" t="n">
        <f aca="false">F11+F12</f>
        <v>69253.9181206704</v>
      </c>
      <c r="G13" s="0" t="n">
        <f aca="false">G11+G12</f>
        <v>69807.9494656358</v>
      </c>
      <c r="H13" s="0" t="n">
        <f aca="false">H11+H12</f>
        <v>71204.1084549485</v>
      </c>
      <c r="I13" s="0" t="n">
        <f aca="false">I11+I12</f>
        <v>72628.1906240475</v>
      </c>
      <c r="J13" s="0" t="n">
        <f aca="false">J11+J12</f>
        <v>74080.7544365284</v>
      </c>
      <c r="K13" s="0" t="n">
        <f aca="false">K11+K12</f>
        <v>75562.369525259</v>
      </c>
      <c r="L13" s="0" t="n">
        <f aca="false">L11+L12</f>
        <v>77073.6169157642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55655.3809968</v>
      </c>
      <c r="D15" s="0" t="n">
        <f aca="false">D13-MAX(0,D13)*D14/100</f>
        <v>52734.907911504</v>
      </c>
      <c r="E15" s="0" t="n">
        <f aca="false">E13-MAX(0,E13)*E14/100</f>
        <v>52016.3223531494</v>
      </c>
      <c r="F15" s="0" t="n">
        <f aca="false">F13-MAX(0,F13)*F14/100</f>
        <v>51247.8994092961</v>
      </c>
      <c r="G15" s="0" t="n">
        <f aca="false">G13-MAX(0,G13)*G14/100</f>
        <v>51657.8826045705</v>
      </c>
      <c r="H15" s="0" t="n">
        <f aca="false">H13-MAX(0,H13)*H14/100</f>
        <v>52691.0402566619</v>
      </c>
      <c r="I15" s="0" t="n">
        <f aca="false">I13-MAX(0,I13)*I14/100</f>
        <v>53744.8610617951</v>
      </c>
      <c r="J15" s="0" t="n">
        <f aca="false">J13-MAX(0,J13)*J14/100</f>
        <v>54819.758283031</v>
      </c>
      <c r="K15" s="0" t="n">
        <f aca="false">K13-MAX(0,K13)*K14/100</f>
        <v>55916.1534486917</v>
      </c>
      <c r="L15" s="0" t="n">
        <f aca="false">L13-MAX(0,L13)*L14/100</f>
        <v>57034.4765176655</v>
      </c>
    </row>
    <row r="16" customFormat="false" ht="15" hidden="false" customHeight="false" outlineLevel="0" collapsed="false">
      <c r="A16" s="0" t="s">
        <v>131</v>
      </c>
      <c r="C16" s="0" t="n">
        <f aca="false">-C12</f>
        <v>19384.014</v>
      </c>
      <c r="D16" s="0" t="n">
        <f aca="false">-D12</f>
        <v>20360.9683056</v>
      </c>
      <c r="E16" s="0" t="n">
        <f aca="false">-E12</f>
        <v>21566.964120624</v>
      </c>
      <c r="F16" s="0" t="n">
        <f aca="false">-F12</f>
        <v>22813.0553809267</v>
      </c>
      <c r="G16" s="0" t="n">
        <f aca="false">-G12</f>
        <v>23269.3164885453</v>
      </c>
      <c r="H16" s="0" t="n">
        <f aca="false">-H12</f>
        <v>23734.7028183162</v>
      </c>
      <c r="I16" s="0" t="n">
        <f aca="false">-I12</f>
        <v>24209.3968746825</v>
      </c>
      <c r="J16" s="0" t="n">
        <f aca="false">-J12</f>
        <v>24693.5848121761</v>
      </c>
      <c r="K16" s="0" t="n">
        <f aca="false">-K12</f>
        <v>25187.4565084197</v>
      </c>
      <c r="L16" s="0" t="n">
        <f aca="false">-L12</f>
        <v>25691.205638588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-55825.96032</v>
      </c>
      <c r="D17" s="4" t="n">
        <f aca="false">-D6*Assumptions!D18/100</f>
        <v>-45420.6216048</v>
      </c>
      <c r="E17" s="4" t="n">
        <f aca="false">-E6*Assumptions!E18/100</f>
        <v>-39938.8224456</v>
      </c>
      <c r="F17" s="4" t="n">
        <f aca="false">-F6*Assumptions!F18/100</f>
        <v>-38293.3429608413</v>
      </c>
      <c r="G17" s="4" t="n">
        <f aca="false">-G6*Assumptions!G18/100</f>
        <v>-37397.115785162</v>
      </c>
      <c r="H17" s="4" t="n">
        <f aca="false">-H6*Assumptions!H18/100</f>
        <v>-38145.0581008653</v>
      </c>
      <c r="I17" s="4" t="n">
        <f aca="false">-I6*Assumptions!I18/100</f>
        <v>-38907.9592628826</v>
      </c>
      <c r="J17" s="4" t="n">
        <f aca="false">-J6*Assumptions!J18/100</f>
        <v>-39686.1184481402</v>
      </c>
      <c r="K17" s="4" t="n">
        <f aca="false">-K6*Assumptions!K18/100</f>
        <v>-40479.840817103</v>
      </c>
      <c r="L17" s="4" t="n">
        <f aca="false">-L6*Assumptions!L18/100</f>
        <v>-41289.4376334451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-4473.23400000001</v>
      </c>
      <c r="D18" s="4" t="n">
        <f aca="false">(D6-C6)*Assumptions!$B$23/100</f>
        <v>-1163.04084</v>
      </c>
      <c r="E18" s="4" t="n">
        <f aca="false">(E6-D6)*Assumptions!$B$23/100</f>
        <v>-2349.3424968</v>
      </c>
      <c r="F18" s="4" t="n">
        <f aca="false">(F6-E6)*Assumptions!$B$23/100</f>
        <v>-2396.329346736</v>
      </c>
      <c r="G18" s="4" t="n">
        <f aca="false">(G6-F6)*Assumptions!$B$23/100</f>
        <v>-2444.25593367072</v>
      </c>
      <c r="H18" s="4" t="n">
        <f aca="false">(H6-G6)*Assumptions!$B$23/100</f>
        <v>-2493.14105234414</v>
      </c>
      <c r="I18" s="4" t="n">
        <f aca="false">(I6-H6)*Assumptions!$B$23/100</f>
        <v>-2543.00387339102</v>
      </c>
      <c r="J18" s="4" t="n">
        <f aca="false">(J6-I6)*Assumptions!$B$23/100</f>
        <v>-2593.86395085884</v>
      </c>
      <c r="K18" s="4" t="n">
        <f aca="false">(K6-J6)*Assumptions!$B$23/100</f>
        <v>-2645.74122987601</v>
      </c>
      <c r="L18" s="4" t="n">
        <f aca="false">(L6-K6)*Assumptions!$B$23/100</f>
        <v>-2698.65605447354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14740.2006768</v>
      </c>
      <c r="D19" s="0" t="n">
        <f aca="false">D15+D16+D17+D18</f>
        <v>26512.213772304</v>
      </c>
      <c r="E19" s="0" t="n">
        <f aca="false">E15+E16+E17+E18</f>
        <v>31295.1215313735</v>
      </c>
      <c r="F19" s="0" t="n">
        <f aca="false">F15+F16+F17+F18</f>
        <v>33371.2824826455</v>
      </c>
      <c r="G19" s="0" t="n">
        <f aca="false">G15+G16+G17+G18</f>
        <v>35085.827374283</v>
      </c>
      <c r="H19" s="0" t="n">
        <f aca="false">H15+H16+H17+H18</f>
        <v>35787.5439217686</v>
      </c>
      <c r="I19" s="0" t="n">
        <f aca="false">I15+I16+I17+I18</f>
        <v>36503.294800204</v>
      </c>
      <c r="J19" s="0" t="n">
        <f aca="false">J15+J16+J17+J18</f>
        <v>37233.3606962081</v>
      </c>
      <c r="K19" s="0" t="n">
        <f aca="false">K15+K16+K17+K18</f>
        <v>37978.0279101323</v>
      </c>
      <c r="L19" s="0" t="n">
        <f aca="false">L15+L16+L17+L18</f>
        <v>38737.5884683349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13840.5640157746</v>
      </c>
      <c r="D21" s="0" t="n">
        <f aca="false">D19*D20</f>
        <v>23374.7393791391</v>
      </c>
      <c r="E21" s="0" t="n">
        <f aca="false">E19*E20</f>
        <v>25907.6379376114</v>
      </c>
      <c r="F21" s="0" t="n">
        <f aca="false">F19*F20</f>
        <v>25940.2684465341</v>
      </c>
      <c r="G21" s="0" t="n">
        <f aca="false">G19*G20</f>
        <v>25608.4730339715</v>
      </c>
      <c r="H21" s="0" t="n">
        <f aca="false">H19*H20</f>
        <v>24526.4248776065</v>
      </c>
      <c r="I21" s="0" t="n">
        <f aca="false">I19*I20</f>
        <v>23490.0970658766</v>
      </c>
      <c r="J21" s="0" t="n">
        <f aca="false">J19*J20</f>
        <v>22497.557753234</v>
      </c>
      <c r="K21" s="0" t="n">
        <f aca="false">K19*K20</f>
        <v>21546.9567214072</v>
      </c>
      <c r="L21" s="0" t="n">
        <f aca="false">L19*L20</f>
        <v>20636.5219303618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1.25</v>
      </c>
      <c r="D23" s="4" t="n">
        <f aca="false">Assumptions!D16</f>
        <v>1.25</v>
      </c>
      <c r="E23" s="4" t="n">
        <f aca="false">Assumptions!E16</f>
        <v>1.25</v>
      </c>
      <c r="F23" s="4" t="n">
        <f aca="false">Assumptions!F16</f>
        <v>1.25</v>
      </c>
      <c r="G23" s="4" t="n">
        <f aca="false">Assumptions!G16</f>
        <v>1.25</v>
      </c>
      <c r="H23" s="4" t="n">
        <f aca="false">Assumptions!H16</f>
        <v>1.25</v>
      </c>
      <c r="I23" s="4" t="n">
        <f aca="false">Assumptions!I16</f>
        <v>1.25</v>
      </c>
      <c r="J23" s="4" t="n">
        <f aca="false">Assumptions!J16</f>
        <v>1.25</v>
      </c>
      <c r="K23" s="4" t="n">
        <f aca="false">Assumptions!K16</f>
        <v>1.25</v>
      </c>
      <c r="L23" s="4" t="n">
        <f aca="false">Assumptions!L16</f>
        <v>1.25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-9692.007</v>
      </c>
      <c r="D24" s="0" t="n">
        <f aca="false">-D6*D23/100</f>
        <v>-9788.92707</v>
      </c>
      <c r="E24" s="0" t="n">
        <f aca="false">-E6*E23/100</f>
        <v>-9984.7056114</v>
      </c>
      <c r="F24" s="0" t="n">
        <f aca="false">-F6*F23/100</f>
        <v>-10184.399723628</v>
      </c>
      <c r="G24" s="0" t="n">
        <f aca="false">-G6*G23/100</f>
        <v>-10388.0877181006</v>
      </c>
      <c r="H24" s="0" t="n">
        <f aca="false">-H6*H23/100</f>
        <v>-10595.8494724626</v>
      </c>
      <c r="I24" s="0" t="n">
        <f aca="false">-I6*I23/100</f>
        <v>-10807.7664619118</v>
      </c>
      <c r="J24" s="0" t="n">
        <f aca="false">-J6*J23/100</f>
        <v>-11023.9217911501</v>
      </c>
      <c r="K24" s="0" t="n">
        <f aca="false">-K6*K23/100</f>
        <v>-11244.4002269731</v>
      </c>
      <c r="L24" s="0" t="n">
        <f aca="false">-L6*L23/100</f>
        <v>-11469.2882315125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6.5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227369.241161517</v>
      </c>
    </row>
    <row r="31" customFormat="false" ht="15" hidden="false" customHeight="false" outlineLevel="0" collapsed="false">
      <c r="A31" s="0" t="s">
        <v>140</v>
      </c>
      <c r="B31" s="0" t="n">
        <f aca="false">L19</f>
        <v>38737.5884683349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786373.045907199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619801.415493359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619801.415493359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330184.350885789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557553.592047306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705234.592047306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761.146101203404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-0.593730397009125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2994.50135166612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4961.31062125053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769.732655710768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291249.276261925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400.819629544821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7.5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745539</v>
      </c>
      <c r="C6" s="0" t="n">
        <f aca="false">B6*(1+C5/100)</f>
        <v>801454.425</v>
      </c>
      <c r="D6" s="0" t="n">
        <f aca="false">C6*(1+D5/100)</f>
        <v>845534.418375</v>
      </c>
      <c r="E6" s="0" t="n">
        <f aca="false">D6*(1+E5/100)</f>
        <v>887811.13929375</v>
      </c>
      <c r="F6" s="0" t="n">
        <f aca="false">E6*(1+F5/100)</f>
        <v>927762.640561969</v>
      </c>
      <c r="G6" s="0" t="n">
        <f aca="false">F6*(1+G5/100)</f>
        <v>964873.146184448</v>
      </c>
      <c r="H6" s="0" t="n">
        <f aca="false">G6*(1+H5/100)</f>
        <v>998643.706300903</v>
      </c>
      <c r="I6" s="0" t="n">
        <f aca="false">H6*(1+I5/100)</f>
        <v>1028603.01748993</v>
      </c>
      <c r="J6" s="0" t="n">
        <f aca="false">I6*(1+J5/100)</f>
        <v>1059461.10801463</v>
      </c>
      <c r="K6" s="0" t="n">
        <f aca="false">J6*(1+K5/100)</f>
        <v>1085947.63571499</v>
      </c>
      <c r="L6" s="0" t="n">
        <f aca="false">K6*(1+L5/100)</f>
        <v>1113096.32660787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13.9</v>
      </c>
      <c r="D7" s="4" t="n">
        <f aca="false">Assumptions!D28</f>
        <v>14</v>
      </c>
      <c r="E7" s="4" t="n">
        <f aca="false">Assumptions!E28</f>
        <v>14.1</v>
      </c>
      <c r="F7" s="4" t="n">
        <f aca="false">Assumptions!F28</f>
        <v>14.2</v>
      </c>
      <c r="G7" s="4" t="n">
        <f aca="false">Assumptions!G28</f>
        <v>14.3</v>
      </c>
      <c r="H7" s="4" t="n">
        <f aca="false">Assumptions!H28</f>
        <v>14.4</v>
      </c>
      <c r="I7" s="4" t="n">
        <f aca="false">Assumptions!I28</f>
        <v>14.5</v>
      </c>
      <c r="J7" s="4" t="n">
        <f aca="false">Assumptions!J28</f>
        <v>14.5</v>
      </c>
      <c r="K7" s="4" t="n">
        <f aca="false">Assumptions!K28</f>
        <v>14.5</v>
      </c>
      <c r="L7" s="4" t="n">
        <f aca="false">Assumptions!L28</f>
        <v>14.5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111402.165075</v>
      </c>
      <c r="D8" s="0" t="n">
        <f aca="false">D6*D7/100</f>
        <v>118374.8185725</v>
      </c>
      <c r="E8" s="0" t="n">
        <f aca="false">E6*E7/100</f>
        <v>125181.370640419</v>
      </c>
      <c r="F8" s="0" t="n">
        <f aca="false">F6*F7/100</f>
        <v>131742.2949598</v>
      </c>
      <c r="G8" s="0" t="n">
        <f aca="false">G6*G7/100</f>
        <v>137976.859904376</v>
      </c>
      <c r="H8" s="0" t="n">
        <f aca="false">H6*H7/100</f>
        <v>143804.69370733</v>
      </c>
      <c r="I8" s="0" t="n">
        <f aca="false">I6*I7/100</f>
        <v>149147.43753604</v>
      </c>
      <c r="J8" s="0" t="n">
        <f aca="false">J6*J7/100</f>
        <v>153621.860662121</v>
      </c>
      <c r="K8" s="0" t="n">
        <f aca="false">K6*K7/100</f>
        <v>157462.407178674</v>
      </c>
      <c r="L8" s="0" t="n">
        <f aca="false">L6*L7/100</f>
        <v>161398.967358141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0.05</v>
      </c>
      <c r="D9" s="4" t="n">
        <f aca="false">Assumptions!D29</f>
        <v>0.05</v>
      </c>
      <c r="E9" s="4" t="n">
        <f aca="false">Assumptions!E29</f>
        <v>0.05</v>
      </c>
      <c r="F9" s="4" t="n">
        <f aca="false">Assumptions!F29</f>
        <v>0.05</v>
      </c>
      <c r="G9" s="4" t="n">
        <f aca="false">Assumptions!G29</f>
        <v>0.05</v>
      </c>
      <c r="H9" s="4" t="n">
        <f aca="false">Assumptions!H29</f>
        <v>0.05</v>
      </c>
      <c r="I9" s="4" t="n">
        <f aca="false">Assumptions!I29</f>
        <v>0.05</v>
      </c>
      <c r="J9" s="4" t="n">
        <f aca="false">Assumptions!J29</f>
        <v>0.05</v>
      </c>
      <c r="K9" s="4" t="n">
        <f aca="false">Assumptions!K29</f>
        <v>0.05</v>
      </c>
      <c r="L9" s="4" t="n">
        <f aca="false">Assumptions!L29</f>
        <v>0.05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-400.7272125</v>
      </c>
      <c r="D10" s="0" t="n">
        <f aca="false">-D6*D9/100</f>
        <v>-422.7672091875</v>
      </c>
      <c r="E10" s="0" t="n">
        <f aca="false">-E6*E9/100</f>
        <v>-443.905569646875</v>
      </c>
      <c r="F10" s="0" t="n">
        <f aca="false">-F6*F9/100</f>
        <v>-463.881320280984</v>
      </c>
      <c r="G10" s="0" t="n">
        <f aca="false">-G6*G9/100</f>
        <v>-482.436573092224</v>
      </c>
      <c r="H10" s="0" t="n">
        <f aca="false">-H6*H9/100</f>
        <v>-499.321853150452</v>
      </c>
      <c r="I10" s="0" t="n">
        <f aca="false">-I6*I9/100</f>
        <v>-514.301508744965</v>
      </c>
      <c r="J10" s="0" t="n">
        <f aca="false">-J6*J9/100</f>
        <v>-529.730554007314</v>
      </c>
      <c r="K10" s="0" t="n">
        <f aca="false">-K6*K9/100</f>
        <v>-542.973817857497</v>
      </c>
      <c r="L10" s="0" t="n">
        <f aca="false">-L6*L9/100</f>
        <v>-556.548163303934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100983.25755</v>
      </c>
      <c r="D11" s="0" t="n">
        <f aca="false">D8+D10+D24</f>
        <v>107382.871133625</v>
      </c>
      <c r="E11" s="0" t="n">
        <f aca="false">E8+E10+E24</f>
        <v>113639.8258296</v>
      </c>
      <c r="F11" s="0" t="n">
        <f aca="false">F8+F10+F24</f>
        <v>119681.380632494</v>
      </c>
      <c r="G11" s="0" t="n">
        <f aca="false">G8+G10+G24</f>
        <v>125433.509003978</v>
      </c>
      <c r="H11" s="0" t="n">
        <f aca="false">H8+H10+H24</f>
        <v>130822.325525418</v>
      </c>
      <c r="I11" s="0" t="n">
        <f aca="false">I8+I10+I24</f>
        <v>135775.598308671</v>
      </c>
      <c r="J11" s="0" t="n">
        <f aca="false">J8+J10+J24</f>
        <v>139848.866257931</v>
      </c>
      <c r="K11" s="0" t="n">
        <f aca="false">K8+K10+K24</f>
        <v>143345.087914379</v>
      </c>
      <c r="L11" s="0" t="n">
        <f aca="false">L8+L10+L24</f>
        <v>146928.715112239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-20036.360625</v>
      </c>
      <c r="D12" s="4" t="n">
        <f aca="false">-D6*Assumptions!D31/100</f>
        <v>-21983.89487775</v>
      </c>
      <c r="E12" s="4" t="n">
        <f aca="false">-E6*Assumptions!E31/100</f>
        <v>-23970.9007609313</v>
      </c>
      <c r="F12" s="4" t="n">
        <f aca="false">-F6*Assumptions!F31/100</f>
        <v>-25977.3539357351</v>
      </c>
      <c r="G12" s="4" t="n">
        <f aca="false">-G6*Assumptions!G31/100</f>
        <v>-27016.4480931645</v>
      </c>
      <c r="H12" s="4" t="n">
        <f aca="false">-H6*Assumptions!H31/100</f>
        <v>-27962.0237764253</v>
      </c>
      <c r="I12" s="4" t="n">
        <f aca="false">-I6*Assumptions!I31/100</f>
        <v>-28800.884489718</v>
      </c>
      <c r="J12" s="4" t="n">
        <f aca="false">-J6*Assumptions!J31/100</f>
        <v>-29664.9110244096</v>
      </c>
      <c r="K12" s="4" t="n">
        <f aca="false">-K6*Assumptions!K31/100</f>
        <v>-30406.5338000198</v>
      </c>
      <c r="L12" s="4" t="n">
        <f aca="false">-L6*Assumptions!L31/100</f>
        <v>-31166.6971450203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80946.896925</v>
      </c>
      <c r="D13" s="0" t="n">
        <f aca="false">D11+D12</f>
        <v>85398.976255875</v>
      </c>
      <c r="E13" s="0" t="n">
        <f aca="false">E11+E12</f>
        <v>89668.9250686687</v>
      </c>
      <c r="F13" s="0" t="n">
        <f aca="false">F11+F12</f>
        <v>93704.0266967588</v>
      </c>
      <c r="G13" s="0" t="n">
        <f aca="false">G11+G12</f>
        <v>98417.0609108136</v>
      </c>
      <c r="H13" s="0" t="n">
        <f aca="false">H11+H12</f>
        <v>102860.301748993</v>
      </c>
      <c r="I13" s="0" t="n">
        <f aca="false">I11+I12</f>
        <v>106974.713818953</v>
      </c>
      <c r="J13" s="0" t="n">
        <f aca="false">J11+J12</f>
        <v>110183.955233521</v>
      </c>
      <c r="K13" s="0" t="n">
        <f aca="false">K11+K12</f>
        <v>112938.554114359</v>
      </c>
      <c r="L13" s="0" t="n">
        <f aca="false">L11+L12</f>
        <v>115762.017967218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59900.7037245</v>
      </c>
      <c r="D15" s="0" t="n">
        <f aca="false">D13-MAX(0,D13)*D14/100</f>
        <v>63195.2424293475</v>
      </c>
      <c r="E15" s="0" t="n">
        <f aca="false">E13-MAX(0,E13)*E14/100</f>
        <v>66355.0045508149</v>
      </c>
      <c r="F15" s="0" t="n">
        <f aca="false">F13-MAX(0,F13)*F14/100</f>
        <v>69340.9797556015</v>
      </c>
      <c r="G15" s="0" t="n">
        <f aca="false">G13-MAX(0,G13)*G14/100</f>
        <v>72828.6250740021</v>
      </c>
      <c r="H15" s="0" t="n">
        <f aca="false">H13-MAX(0,H13)*H14/100</f>
        <v>76116.6232942548</v>
      </c>
      <c r="I15" s="0" t="n">
        <f aca="false">I13-MAX(0,I13)*I14/100</f>
        <v>79161.288226025</v>
      </c>
      <c r="J15" s="0" t="n">
        <f aca="false">J13-MAX(0,J13)*J14/100</f>
        <v>81536.1268728058</v>
      </c>
      <c r="K15" s="0" t="n">
        <f aca="false">K13-MAX(0,K13)*K14/100</f>
        <v>83574.5300446259</v>
      </c>
      <c r="L15" s="0" t="n">
        <f aca="false">L13-MAX(0,L13)*L14/100</f>
        <v>85663.8932957416</v>
      </c>
    </row>
    <row r="16" customFormat="false" ht="15" hidden="false" customHeight="false" outlineLevel="0" collapsed="false">
      <c r="A16" s="0" t="s">
        <v>131</v>
      </c>
      <c r="C16" s="0" t="n">
        <f aca="false">-C12</f>
        <v>20036.360625</v>
      </c>
      <c r="D16" s="0" t="n">
        <f aca="false">-D12</f>
        <v>21983.89487775</v>
      </c>
      <c r="E16" s="0" t="n">
        <f aca="false">-E12</f>
        <v>23970.9007609313</v>
      </c>
      <c r="F16" s="0" t="n">
        <f aca="false">-F12</f>
        <v>25977.3539357351</v>
      </c>
      <c r="G16" s="0" t="n">
        <f aca="false">-G12</f>
        <v>27016.4480931645</v>
      </c>
      <c r="H16" s="0" t="n">
        <f aca="false">-H12</f>
        <v>27962.0237764253</v>
      </c>
      <c r="I16" s="0" t="n">
        <f aca="false">-I12</f>
        <v>28800.884489718</v>
      </c>
      <c r="J16" s="0" t="n">
        <f aca="false">-J12</f>
        <v>29664.9110244096</v>
      </c>
      <c r="K16" s="0" t="n">
        <f aca="false">-K12</f>
        <v>30406.5338000198</v>
      </c>
      <c r="L16" s="0" t="n">
        <f aca="false">-L12</f>
        <v>31166.6971450203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-56101.80975</v>
      </c>
      <c r="D17" s="4" t="n">
        <f aca="false">-D6*Assumptions!D32/100</f>
        <v>-46504.393010625</v>
      </c>
      <c r="E17" s="4" t="n">
        <f aca="false">-E6*Assumptions!E32/100</f>
        <v>-42614.9346861</v>
      </c>
      <c r="F17" s="4" t="n">
        <f aca="false">-F6*Assumptions!F32/100</f>
        <v>-41749.3188252886</v>
      </c>
      <c r="G17" s="4" t="n">
        <f aca="false">-G6*Assumptions!G32/100</f>
        <v>-41489.5452859312</v>
      </c>
      <c r="H17" s="4" t="n">
        <f aca="false">-H6*Assumptions!H32/100</f>
        <v>-41943.0356646379</v>
      </c>
      <c r="I17" s="4" t="n">
        <f aca="false">-I6*Assumptions!I32/100</f>
        <v>-41144.1206995972</v>
      </c>
      <c r="J17" s="4" t="n">
        <f aca="false">-J6*Assumptions!J32/100</f>
        <v>-42378.4443205851</v>
      </c>
      <c r="K17" s="4" t="n">
        <f aca="false">-K6*Assumptions!K32/100</f>
        <v>-43437.9054285997</v>
      </c>
      <c r="L17" s="4" t="n">
        <f aca="false">-L6*Assumptions!L32/100</f>
        <v>-44523.8530643147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-8387.31374999999</v>
      </c>
      <c r="D18" s="4" t="n">
        <f aca="false">(D6-C6)*Assumptions!$B$37/100</f>
        <v>-6611.99900625</v>
      </c>
      <c r="E18" s="4" t="n">
        <f aca="false">(E6-D6)*Assumptions!$B$37/100</f>
        <v>-6341.50813781251</v>
      </c>
      <c r="F18" s="4" t="n">
        <f aca="false">(F6-E6)*Assumptions!$B$37/100</f>
        <v>-5992.72519023281</v>
      </c>
      <c r="G18" s="4" t="n">
        <f aca="false">(G6-F6)*Assumptions!$B$37/100</f>
        <v>-5566.57584337182</v>
      </c>
      <c r="H18" s="4" t="n">
        <f aca="false">(H6-G6)*Assumptions!$B$37/100</f>
        <v>-5065.58401746833</v>
      </c>
      <c r="I18" s="4" t="n">
        <f aca="false">(I6-H6)*Assumptions!$B$37/100</f>
        <v>-4493.89667835407</v>
      </c>
      <c r="J18" s="4" t="n">
        <f aca="false">(J6-I6)*Assumptions!$B$37/100</f>
        <v>-4628.71357870469</v>
      </c>
      <c r="K18" s="4" t="n">
        <f aca="false">(K6-J6)*Assumptions!$B$37/100</f>
        <v>-3972.97915505483</v>
      </c>
      <c r="L18" s="4" t="n">
        <f aca="false">(L6-K6)*Assumptions!$B$37/100</f>
        <v>-4072.30363393121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15447.9408495</v>
      </c>
      <c r="D19" s="0" t="n">
        <f aca="false">D15+D16+D17+D18</f>
        <v>32062.7452902225</v>
      </c>
      <c r="E19" s="0" t="n">
        <f aca="false">E15+E16+E17+E18</f>
        <v>41369.4624878336</v>
      </c>
      <c r="F19" s="0" t="n">
        <f aca="false">F15+F16+F17+F18</f>
        <v>47576.2896758153</v>
      </c>
      <c r="G19" s="0" t="n">
        <f aca="false">G15+G16+G17+G18</f>
        <v>52788.9520378636</v>
      </c>
      <c r="H19" s="0" t="n">
        <f aca="false">H15+H16+H17+H18</f>
        <v>57070.0273885739</v>
      </c>
      <c r="I19" s="0" t="n">
        <f aca="false">I15+I16+I17+I18</f>
        <v>62324.1553377918</v>
      </c>
      <c r="J19" s="0" t="n">
        <f aca="false">J15+J16+J17+J18</f>
        <v>64193.8799979255</v>
      </c>
      <c r="K19" s="0" t="n">
        <f aca="false">K15+K16+K17+K18</f>
        <v>66570.1792609912</v>
      </c>
      <c r="L19" s="0" t="n">
        <f aca="false">L15+L16+L17+L18</f>
        <v>68234.4337425159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14505.1087788732</v>
      </c>
      <c r="D21" s="0" t="n">
        <f aca="false">D19*D20</f>
        <v>28268.4170162203</v>
      </c>
      <c r="E21" s="0" t="n">
        <f aca="false">E19*E20</f>
        <v>34247.6719489305</v>
      </c>
      <c r="F21" s="0" t="n">
        <f aca="false">F19*F20</f>
        <v>36982.1485441119</v>
      </c>
      <c r="G21" s="0" t="n">
        <f aca="false">G19*G20</f>
        <v>38529.6444724604</v>
      </c>
      <c r="H21" s="0" t="n">
        <f aca="false">H19*H20</f>
        <v>39112.0369301841</v>
      </c>
      <c r="I21" s="0" t="n">
        <f aca="false">I19*I20</f>
        <v>40105.981294196</v>
      </c>
      <c r="J21" s="0" t="n">
        <f aca="false">J19*J20</f>
        <v>38787.9443502552</v>
      </c>
      <c r="K21" s="0" t="n">
        <f aca="false">K19*K20</f>
        <v>37768.8060809027</v>
      </c>
      <c r="L21" s="0" t="n">
        <f aca="false">L19*L20</f>
        <v>36350.2593736387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1.25</v>
      </c>
      <c r="D23" s="4" t="n">
        <f aca="false">Assumptions!D30</f>
        <v>1.25</v>
      </c>
      <c r="E23" s="4" t="n">
        <f aca="false">Assumptions!E30</f>
        <v>1.25</v>
      </c>
      <c r="F23" s="4" t="n">
        <f aca="false">Assumptions!F30</f>
        <v>1.25</v>
      </c>
      <c r="G23" s="4" t="n">
        <f aca="false">Assumptions!G30</f>
        <v>1.25</v>
      </c>
      <c r="H23" s="4" t="n">
        <f aca="false">Assumptions!H30</f>
        <v>1.25</v>
      </c>
      <c r="I23" s="4" t="n">
        <f aca="false">Assumptions!I30</f>
        <v>1.25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-10018.1803125</v>
      </c>
      <c r="D24" s="0" t="n">
        <f aca="false">-D6*D23/100</f>
        <v>-10569.1802296875</v>
      </c>
      <c r="E24" s="0" t="n">
        <f aca="false">-E6*E23/100</f>
        <v>-11097.6392411719</v>
      </c>
      <c r="F24" s="0" t="n">
        <f aca="false">-F6*F23/100</f>
        <v>-11597.0330070246</v>
      </c>
      <c r="G24" s="0" t="n">
        <f aca="false">-G6*G23/100</f>
        <v>-12060.9143273056</v>
      </c>
      <c r="H24" s="0" t="n">
        <f aca="false">-H6*H23/100</f>
        <v>-12483.0463287613</v>
      </c>
      <c r="I24" s="0" t="n">
        <f aca="false">-I6*I23/100</f>
        <v>-12857.5377186241</v>
      </c>
      <c r="J24" s="0" t="n">
        <f aca="false">-J6*J23/100</f>
        <v>-13243.2638501829</v>
      </c>
      <c r="K24" s="0" t="n">
        <f aca="false">-K6*K23/100</f>
        <v>-13574.3454464374</v>
      </c>
      <c r="L24" s="0" t="n">
        <f aca="false">-L6*L23/100</f>
        <v>-13913.7040825984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6.5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344658.018789773</v>
      </c>
    </row>
    <row r="31" customFormat="false" ht="15" hidden="false" customHeight="false" outlineLevel="0" collapsed="false">
      <c r="A31" s="0" t="s">
        <v>140</v>
      </c>
      <c r="B31" s="0" t="n">
        <f aca="false">L19</f>
        <v>68234.4337425159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1546647.16483036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1364688.67485032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1364688.67485032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727005.187472774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1071663.20626255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1219344.20626255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1316.01469792826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-0.297563545274479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3426.98389741385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6720.38778989777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1326.96656059121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535377.864748971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543.117363821958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10</v>
      </c>
      <c r="D5" s="4" t="n">
        <f aca="false">Assumptions!D41</f>
        <v>7.5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745539</v>
      </c>
      <c r="C6" s="0" t="n">
        <f aca="false">B6*(1+C5/100)</f>
        <v>820092.9</v>
      </c>
      <c r="D6" s="0" t="n">
        <f aca="false">C6*(1+D5/100)</f>
        <v>881599.8675</v>
      </c>
      <c r="E6" s="0" t="n">
        <f aca="false">D6*(1+E5/100)</f>
        <v>943311.858225</v>
      </c>
      <c r="F6" s="0" t="n">
        <f aca="false">E6*(1+F5/100)</f>
        <v>999910.5697185</v>
      </c>
      <c r="G6" s="0" t="n">
        <f aca="false">F6*(1+G5/100)</f>
        <v>1054905.65105302</v>
      </c>
      <c r="H6" s="0" t="n">
        <f aca="false">G6*(1+H5/100)</f>
        <v>1107650.93360567</v>
      </c>
      <c r="I6" s="0" t="n">
        <f aca="false">H6*(1+I5/100)</f>
        <v>1157495.22561792</v>
      </c>
      <c r="J6" s="0" t="n">
        <f aca="false">I6*(1+J5/100)</f>
        <v>1203795.03464264</v>
      </c>
      <c r="K6" s="0" t="n">
        <f aca="false">J6*(1+K5/100)</f>
        <v>1245927.86085513</v>
      </c>
      <c r="L6" s="0" t="n">
        <f aca="false">K6*(1+L5/100)</f>
        <v>1283305.69668079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14.3</v>
      </c>
      <c r="D7" s="4" t="n">
        <f aca="false">Assumptions!D42</f>
        <v>14.6</v>
      </c>
      <c r="E7" s="4" t="n">
        <f aca="false">Assumptions!E42</f>
        <v>14.9</v>
      </c>
      <c r="F7" s="4" t="n">
        <f aca="false">Assumptions!F42</f>
        <v>15.2</v>
      </c>
      <c r="G7" s="4" t="n">
        <f aca="false">Assumptions!G42</f>
        <v>15.5</v>
      </c>
      <c r="H7" s="4" t="n">
        <f aca="false">Assumptions!H42</f>
        <v>15.7</v>
      </c>
      <c r="I7" s="4" t="n">
        <f aca="false">Assumptions!I42</f>
        <v>15.9</v>
      </c>
      <c r="J7" s="4" t="n">
        <f aca="false">Assumptions!J42</f>
        <v>16</v>
      </c>
      <c r="K7" s="4" t="n">
        <f aca="false">Assumptions!K42</f>
        <v>16</v>
      </c>
      <c r="L7" s="4" t="n">
        <f aca="false">Assumptions!L42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117273.2847</v>
      </c>
      <c r="D8" s="0" t="n">
        <f aca="false">D6*D7/100</f>
        <v>128713.580655</v>
      </c>
      <c r="E8" s="0" t="n">
        <f aca="false">E6*E7/100</f>
        <v>140553.466875525</v>
      </c>
      <c r="F8" s="0" t="n">
        <f aca="false">F6*F7/100</f>
        <v>151986.406597212</v>
      </c>
      <c r="G8" s="0" t="n">
        <f aca="false">G6*G7/100</f>
        <v>163510.375913218</v>
      </c>
      <c r="H8" s="0" t="n">
        <f aca="false">H6*H7/100</f>
        <v>173901.19657609</v>
      </c>
      <c r="I8" s="0" t="n">
        <f aca="false">I6*I7/100</f>
        <v>184041.74087325</v>
      </c>
      <c r="J8" s="0" t="n">
        <f aca="false">J6*J7/100</f>
        <v>192607.205542822</v>
      </c>
      <c r="K8" s="0" t="n">
        <f aca="false">K6*K7/100</f>
        <v>199348.457736821</v>
      </c>
      <c r="L8" s="0" t="n">
        <f aca="false">L6*L7/100</f>
        <v>205328.911468926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0.05</v>
      </c>
      <c r="D9" s="4" t="n">
        <f aca="false">Assumptions!D43</f>
        <v>0.05</v>
      </c>
      <c r="E9" s="4" t="n">
        <f aca="false">Assumptions!E43</f>
        <v>0.05</v>
      </c>
      <c r="F9" s="4" t="n">
        <f aca="false">Assumptions!F43</f>
        <v>0.05</v>
      </c>
      <c r="G9" s="4" t="n">
        <f aca="false">Assumptions!G43</f>
        <v>0.05</v>
      </c>
      <c r="H9" s="4" t="n">
        <f aca="false">Assumptions!H43</f>
        <v>0.05</v>
      </c>
      <c r="I9" s="4" t="n">
        <f aca="false">Assumptions!I43</f>
        <v>0.05</v>
      </c>
      <c r="J9" s="4" t="n">
        <f aca="false">Assumptions!J43</f>
        <v>0.05</v>
      </c>
      <c r="K9" s="4" t="n">
        <f aca="false">Assumptions!K43</f>
        <v>0.05</v>
      </c>
      <c r="L9" s="4" t="n">
        <f aca="false">Assumptions!L43</f>
        <v>0.05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-410.04645</v>
      </c>
      <c r="D10" s="0" t="n">
        <f aca="false">-D6*D9/100</f>
        <v>-440.79993375</v>
      </c>
      <c r="E10" s="0" t="n">
        <f aca="false">-E6*E9/100</f>
        <v>-471.6559291125</v>
      </c>
      <c r="F10" s="0" t="n">
        <f aca="false">-F6*F9/100</f>
        <v>-499.95528485925</v>
      </c>
      <c r="G10" s="0" t="n">
        <f aca="false">-G6*G9/100</f>
        <v>-527.452825526509</v>
      </c>
      <c r="H10" s="0" t="n">
        <f aca="false">-H6*H9/100</f>
        <v>-553.825466802834</v>
      </c>
      <c r="I10" s="0" t="n">
        <f aca="false">-I6*I9/100</f>
        <v>-578.747612808962</v>
      </c>
      <c r="J10" s="0" t="n">
        <f aca="false">-J6*J9/100</f>
        <v>-601.89751732132</v>
      </c>
      <c r="K10" s="0" t="n">
        <f aca="false">-K6*K9/100</f>
        <v>-622.963930427566</v>
      </c>
      <c r="L10" s="0" t="n">
        <f aca="false">-L6*L9/100</f>
        <v>-641.652848340393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106612.077</v>
      </c>
      <c r="D11" s="0" t="n">
        <f aca="false">D8+D10+D24</f>
        <v>117252.7823775</v>
      </c>
      <c r="E11" s="0" t="n">
        <f aca="false">E8+E10+E24</f>
        <v>128290.4127186</v>
      </c>
      <c r="F11" s="0" t="n">
        <f aca="false">F8+F10+F24</f>
        <v>138987.569190871</v>
      </c>
      <c r="G11" s="0" t="n">
        <f aca="false">G8+G10+G24</f>
        <v>149796.602449528</v>
      </c>
      <c r="H11" s="0" t="n">
        <f aca="false">H8+H10+H24</f>
        <v>159501.734439216</v>
      </c>
      <c r="I11" s="0" t="n">
        <f aca="false">I8+I10+I24</f>
        <v>168994.302940217</v>
      </c>
      <c r="J11" s="0" t="n">
        <f aca="false">J8+J10+J24</f>
        <v>176957.870092468</v>
      </c>
      <c r="K11" s="0" t="n">
        <f aca="false">K8+K10+K24</f>
        <v>183151.395545705</v>
      </c>
      <c r="L11" s="0" t="n">
        <f aca="false">L8+L10+L24</f>
        <v>188645.937412076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-20502.3225</v>
      </c>
      <c r="D12" s="4" t="n">
        <f aca="false">-D6*Assumptions!D45/100</f>
        <v>-22921.596555</v>
      </c>
      <c r="E12" s="4" t="n">
        <f aca="false">-E6*Assumptions!E45/100</f>
        <v>-25469.420172075</v>
      </c>
      <c r="F12" s="4" t="n">
        <f aca="false">-F6*Assumptions!F45/100</f>
        <v>-27997.495952118</v>
      </c>
      <c r="G12" s="4" t="n">
        <f aca="false">-G6*Assumptions!G45/100</f>
        <v>-29537.3582294845</v>
      </c>
      <c r="H12" s="4" t="n">
        <f aca="false">-H6*Assumptions!H45/100</f>
        <v>-31014.2261409587</v>
      </c>
      <c r="I12" s="4" t="n">
        <f aca="false">-I6*Assumptions!I45/100</f>
        <v>-32409.8663173019</v>
      </c>
      <c r="J12" s="4" t="n">
        <f aca="false">-J6*Assumptions!J45/100</f>
        <v>-33706.2609699939</v>
      </c>
      <c r="K12" s="4" t="n">
        <f aca="false">-K6*Assumptions!K45/100</f>
        <v>-34885.9801039437</v>
      </c>
      <c r="L12" s="4" t="n">
        <f aca="false">-L6*Assumptions!L45/100</f>
        <v>-35932.559507062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86109.7545</v>
      </c>
      <c r="D13" s="0" t="n">
        <f aca="false">D11+D12</f>
        <v>94331.1858225</v>
      </c>
      <c r="E13" s="0" t="n">
        <f aca="false">E11+E12</f>
        <v>102820.992546525</v>
      </c>
      <c r="F13" s="0" t="n">
        <f aca="false">F11+F12</f>
        <v>110990.073238753</v>
      </c>
      <c r="G13" s="0" t="n">
        <f aca="false">G11+G12</f>
        <v>120259.244220044</v>
      </c>
      <c r="H13" s="0" t="n">
        <f aca="false">H11+H12</f>
        <v>128487.508298258</v>
      </c>
      <c r="I13" s="0" t="n">
        <f aca="false">I11+I12</f>
        <v>136584.436622915</v>
      </c>
      <c r="J13" s="0" t="n">
        <f aca="false">J11+J12</f>
        <v>143251.609122474</v>
      </c>
      <c r="K13" s="0" t="n">
        <f aca="false">K11+K12</f>
        <v>148265.415441761</v>
      </c>
      <c r="L13" s="0" t="n">
        <f aca="false">L11+L12</f>
        <v>152713.377905014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63721.21833</v>
      </c>
      <c r="D15" s="0" t="n">
        <f aca="false">D13-MAX(0,D13)*D14/100</f>
        <v>69805.07750865</v>
      </c>
      <c r="E15" s="0" t="n">
        <f aca="false">E13-MAX(0,E13)*E14/100</f>
        <v>76087.5344844285</v>
      </c>
      <c r="F15" s="0" t="n">
        <f aca="false">F13-MAX(0,F13)*F14/100</f>
        <v>82132.6541966776</v>
      </c>
      <c r="G15" s="0" t="n">
        <f aca="false">G13-MAX(0,G13)*G14/100</f>
        <v>88991.8407228325</v>
      </c>
      <c r="H15" s="0" t="n">
        <f aca="false">H13-MAX(0,H13)*H14/100</f>
        <v>95080.7561407106</v>
      </c>
      <c r="I15" s="0" t="n">
        <f aca="false">I13-MAX(0,I13)*I14/100</f>
        <v>101072.483100957</v>
      </c>
      <c r="J15" s="0" t="n">
        <f aca="false">J13-MAX(0,J13)*J14/100</f>
        <v>106006.190750631</v>
      </c>
      <c r="K15" s="0" t="n">
        <f aca="false">K13-MAX(0,K13)*K14/100</f>
        <v>109716.407426903</v>
      </c>
      <c r="L15" s="0" t="n">
        <f aca="false">L13-MAX(0,L13)*L14/100</f>
        <v>113007.89964971</v>
      </c>
    </row>
    <row r="16" customFormat="false" ht="15" hidden="false" customHeight="false" outlineLevel="0" collapsed="false">
      <c r="A16" s="0" t="s">
        <v>131</v>
      </c>
      <c r="C16" s="0" t="n">
        <f aca="false">-C12</f>
        <v>20502.3225</v>
      </c>
      <c r="D16" s="0" t="n">
        <f aca="false">-D12</f>
        <v>22921.596555</v>
      </c>
      <c r="E16" s="0" t="n">
        <f aca="false">-E12</f>
        <v>25469.420172075</v>
      </c>
      <c r="F16" s="0" t="n">
        <f aca="false">-F12</f>
        <v>27997.495952118</v>
      </c>
      <c r="G16" s="0" t="n">
        <f aca="false">-G12</f>
        <v>29537.3582294845</v>
      </c>
      <c r="H16" s="0" t="n">
        <f aca="false">-H12</f>
        <v>31014.2261409587</v>
      </c>
      <c r="I16" s="0" t="n">
        <f aca="false">-I12</f>
        <v>32409.8663173019</v>
      </c>
      <c r="J16" s="0" t="n">
        <f aca="false">-J12</f>
        <v>33706.2609699939</v>
      </c>
      <c r="K16" s="0" t="n">
        <f aca="false">-K12</f>
        <v>34885.9801039437</v>
      </c>
      <c r="L16" s="0" t="n">
        <f aca="false">-L12</f>
        <v>35932.559507062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-57406.503</v>
      </c>
      <c r="D17" s="4" t="n">
        <f aca="false">-D6*Assumptions!D46/100</f>
        <v>-48487.9927125</v>
      </c>
      <c r="E17" s="4" t="n">
        <f aca="false">-E6*Assumptions!E46/100</f>
        <v>-45278.9691948</v>
      </c>
      <c r="F17" s="4" t="n">
        <f aca="false">-F6*Assumptions!F46/100</f>
        <v>-44995.9756373325</v>
      </c>
      <c r="G17" s="4" t="n">
        <f aca="false">-G6*Assumptions!G46/100</f>
        <v>-47470.7542973858</v>
      </c>
      <c r="H17" s="4" t="n">
        <f aca="false">-H6*Assumptions!H46/100</f>
        <v>-47628.9901450437</v>
      </c>
      <c r="I17" s="4" t="n">
        <f aca="false">-I6*Assumptions!I46/100</f>
        <v>-48614.7994759528</v>
      </c>
      <c r="J17" s="4" t="n">
        <f aca="false">-J6*Assumptions!J46/100</f>
        <v>-48151.8013857056</v>
      </c>
      <c r="K17" s="4" t="n">
        <f aca="false">-K6*Assumptions!K46/100</f>
        <v>-49837.1144342053</v>
      </c>
      <c r="L17" s="4" t="n">
        <f aca="false">-L6*Assumptions!L46/100</f>
        <v>-51332.2278672315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-11183.085</v>
      </c>
      <c r="D18" s="4" t="n">
        <f aca="false">(D6-C6)*Assumptions!$B$51/100</f>
        <v>-9226.04512499999</v>
      </c>
      <c r="E18" s="4" t="n">
        <f aca="false">(E6-D6)*Assumptions!$B$51/100</f>
        <v>-9256.79860875001</v>
      </c>
      <c r="F18" s="4" t="n">
        <f aca="false">(F6-E6)*Assumptions!$B$51/100</f>
        <v>-8489.80672402501</v>
      </c>
      <c r="G18" s="4" t="n">
        <f aca="false">(G6-F6)*Assumptions!$B$51/100</f>
        <v>-8249.26220017762</v>
      </c>
      <c r="H18" s="4" t="n">
        <f aca="false">(H6-G6)*Assumptions!$B$51/100</f>
        <v>-7911.79238289763</v>
      </c>
      <c r="I18" s="4" t="n">
        <f aca="false">(I6-H6)*Assumptions!$B$51/100</f>
        <v>-7476.64380183824</v>
      </c>
      <c r="J18" s="4" t="n">
        <f aca="false">(J6-I6)*Assumptions!$B$51/100</f>
        <v>-6944.97135370754</v>
      </c>
      <c r="K18" s="4" t="n">
        <f aca="false">(K6-J6)*Assumptions!$B$51/100</f>
        <v>-6319.92393187385</v>
      </c>
      <c r="L18" s="4" t="n">
        <f aca="false">(L6-K6)*Assumptions!$B$51/100</f>
        <v>-5606.6753738481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15633.95283</v>
      </c>
      <c r="D19" s="0" t="n">
        <f aca="false">D15+D16+D17+D18</f>
        <v>35012.63622615</v>
      </c>
      <c r="E19" s="0" t="n">
        <f aca="false">E15+E16+E17+E18</f>
        <v>47021.1868529535</v>
      </c>
      <c r="F19" s="0" t="n">
        <f aca="false">F15+F16+F17+F18</f>
        <v>56644.3677874381</v>
      </c>
      <c r="G19" s="0" t="n">
        <f aca="false">G15+G16+G17+G18</f>
        <v>62809.1824547536</v>
      </c>
      <c r="H19" s="0" t="n">
        <f aca="false">H15+H16+H17+H18</f>
        <v>70554.1997537279</v>
      </c>
      <c r="I19" s="0" t="n">
        <f aca="false">I15+I16+I17+I18</f>
        <v>77390.9061404679</v>
      </c>
      <c r="J19" s="0" t="n">
        <f aca="false">J15+J16+J17+J18</f>
        <v>84615.6789812117</v>
      </c>
      <c r="K19" s="0" t="n">
        <f aca="false">K15+K16+K17+K18</f>
        <v>88445.3491647676</v>
      </c>
      <c r="L19" s="0" t="n">
        <f aca="false">L15+L16+L17+L18</f>
        <v>92001.5559156925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0.938967136150235</v>
      </c>
      <c r="D20" s="0" t="n">
        <f aca="false">1/(1+$B$27/100)^D4</f>
        <v>0.881659282770174</v>
      </c>
      <c r="E20" s="0" t="n">
        <f aca="false">1/(1+$B$27/100)^E4</f>
        <v>0.82784909180298</v>
      </c>
      <c r="F20" s="0" t="n">
        <f aca="false">1/(1+$B$27/100)^F4</f>
        <v>0.777323090894817</v>
      </c>
      <c r="G20" s="0" t="n">
        <f aca="false">1/(1+$B$27/100)^G4</f>
        <v>0.729880836520955</v>
      </c>
      <c r="H20" s="0" t="n">
        <f aca="false">1/(1+$B$27/100)^H4</f>
        <v>0.685334118799019</v>
      </c>
      <c r="I20" s="0" t="n">
        <f aca="false">1/(1+$B$27/100)^I4</f>
        <v>0.643506214834759</v>
      </c>
      <c r="J20" s="0" t="n">
        <f aca="false">1/(1+$B$27/100)^J4</f>
        <v>0.604231187638272</v>
      </c>
      <c r="K20" s="0" t="n">
        <f aca="false">1/(1+$B$27/100)^K4</f>
        <v>0.567353227829363</v>
      </c>
      <c r="L20" s="0" t="n">
        <f aca="false">1/(1+$B$27/100)^L4</f>
        <v>0.532726035520529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14679.767915493</v>
      </c>
      <c r="D21" s="0" t="n">
        <f aca="false">D19*D20</f>
        <v>30869.2157430404</v>
      </c>
      <c r="E21" s="0" t="n">
        <f aca="false">E19*E20</f>
        <v>38926.4468317158</v>
      </c>
      <c r="F21" s="0" t="n">
        <f aca="false">F19*F20</f>
        <v>44030.9750503142</v>
      </c>
      <c r="G21" s="0" t="n">
        <f aca="false">G19*G20</f>
        <v>45843.2186312729</v>
      </c>
      <c r="H21" s="0" t="n">
        <f aca="false">H19*H20</f>
        <v>48353.2003157911</v>
      </c>
      <c r="I21" s="0" t="n">
        <f aca="false">I19*I20</f>
        <v>49801.5290730846</v>
      </c>
      <c r="J21" s="0" t="n">
        <f aca="false">J19*J20</f>
        <v>51127.4322036363</v>
      </c>
      <c r="K21" s="0" t="n">
        <f aca="false">K19*K20</f>
        <v>50179.7543351259</v>
      </c>
      <c r="L21" s="0" t="n">
        <f aca="false">L19*L20</f>
        <v>49011.6241446871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1.25</v>
      </c>
      <c r="D23" s="4" t="n">
        <f aca="false">Assumptions!D44</f>
        <v>1.25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1.25</v>
      </c>
      <c r="H23" s="4" t="n">
        <f aca="false">Assumptions!H44</f>
        <v>1.25</v>
      </c>
      <c r="I23" s="4" t="n">
        <f aca="false">Assumptions!I44</f>
        <v>1.25</v>
      </c>
      <c r="J23" s="4" t="n">
        <f aca="false">Assumptions!J44</f>
        <v>1.25</v>
      </c>
      <c r="K23" s="4" t="n">
        <f aca="false">Assumptions!K44</f>
        <v>1.25</v>
      </c>
      <c r="L23" s="4" t="n">
        <f aca="false">Assumptions!L44</f>
        <v>1.25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-10251.16125</v>
      </c>
      <c r="D24" s="0" t="n">
        <f aca="false">-D6*D23/100</f>
        <v>-11019.99834375</v>
      </c>
      <c r="E24" s="0" t="n">
        <f aca="false">-E6*E23/100</f>
        <v>-11791.3982278125</v>
      </c>
      <c r="F24" s="0" t="n">
        <f aca="false">-F6*F23/100</f>
        <v>-12498.8821214813</v>
      </c>
      <c r="G24" s="0" t="n">
        <f aca="false">-G6*G23/100</f>
        <v>-13186.3206381627</v>
      </c>
      <c r="H24" s="0" t="n">
        <f aca="false">-H6*H23/100</f>
        <v>-13845.6366700709</v>
      </c>
      <c r="I24" s="0" t="n">
        <f aca="false">-I6*I23/100</f>
        <v>-14468.690320224</v>
      </c>
      <c r="J24" s="0" t="n">
        <f aca="false">-J6*J23/100</f>
        <v>-15047.437933033</v>
      </c>
      <c r="K24" s="0" t="n">
        <f aca="false">-K6*K23/100</f>
        <v>-15574.0982606892</v>
      </c>
      <c r="L24" s="0" t="n">
        <f aca="false">-L6*L23/100</f>
        <v>-16041.3212085098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6.5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422823.164244161</v>
      </c>
    </row>
    <row r="31" customFormat="false" ht="15" hidden="false" customHeight="false" outlineLevel="0" collapsed="false">
      <c r="A31" s="0" t="s">
        <v>140</v>
      </c>
      <c r="B31" s="0" t="n">
        <f aca="false">L19</f>
        <v>92001.5559156925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2357539.87033962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1840031.11831385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1840031.11831385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980232.482893743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1403055.6471379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1550736.6471379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1673.68017149545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-0.106655899922367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3748.65412417302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8759.27018821884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1687.17973310499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754412.758508679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651.779136987653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761.146101203404</v>
      </c>
      <c r="C4" s="0" t="n">
        <f aca="false">B4/Assumptions!$B$2-1</f>
        <v>-0.593730397009125</v>
      </c>
      <c r="D4" s="4" t="n">
        <f aca="false">Assumptions!$B$24</f>
        <v>0.25</v>
      </c>
      <c r="E4" s="4" t="n">
        <f aca="false">DCF_Bear!$B$43</f>
        <v>769.732655710768</v>
      </c>
      <c r="F4" s="4" t="n">
        <f aca="false">DCF_Bear!$B$47</f>
        <v>400.819629544821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1316.01469792826</v>
      </c>
      <c r="C5" s="0" t="n">
        <f aca="false">B5/Assumptions!$B$2-1</f>
        <v>-0.297563545274479</v>
      </c>
      <c r="D5" s="4" t="n">
        <f aca="false">Assumptions!$B$38</f>
        <v>0.5</v>
      </c>
      <c r="E5" s="4" t="n">
        <f aca="false">DCF_Base!$B$43</f>
        <v>1326.96656059121</v>
      </c>
      <c r="F5" s="4" t="n">
        <f aca="false">DCF_Base!$B$47</f>
        <v>543.117363821958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1673.68017149545</v>
      </c>
      <c r="C6" s="0" t="n">
        <f aca="false">B6/Assumptions!$B$2-1</f>
        <v>-0.106655899922367</v>
      </c>
      <c r="D6" s="4" t="n">
        <f aca="false">Assumptions!$B$52</f>
        <v>0.25</v>
      </c>
      <c r="E6" s="4" t="n">
        <f aca="false">DCF_Bull!$B$43</f>
        <v>1687.17973310499</v>
      </c>
      <c r="F6" s="4" t="n">
        <f aca="false">DCF_Bull!$B$47</f>
        <v>651.779136987653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1266.71391713884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1277.71137749954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-0.479023775338095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534.708373544098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1316.01469792826</v>
      </c>
      <c r="C15" s="3" t="n">
        <v>6.5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937.466356352662</v>
      </c>
      <c r="C16" s="3" t="n">
        <v>9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829.620280238308</v>
      </c>
      <c r="C17" s="3" t="n">
        <v>10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746.140762529976</v>
      </c>
      <c r="C18" s="3" t="n">
        <v>11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679.696576267484</v>
      </c>
      <c r="C19" s="3" t="n">
        <v>12</v>
      </c>
    </row>
    <row r="20" customFormat="false" ht="15" hidden="false" customHeight="false" outlineLevel="0" collapsed="false">
      <c r="A20" s="0" t="s">
        <v>176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543.117363821958</v>
      </c>
      <c r="C20" s="3" t="n">
        <v>15</v>
      </c>
    </row>
    <row r="22" customFormat="false" ht="15" hidden="false" customHeight="false" outlineLevel="0" collapsed="false">
      <c r="A22" s="2" t="s">
        <v>177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4.5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1524.57947556128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1524.57947556128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1524.57947556128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1524.57947556128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1524.57947556128</v>
      </c>
    </row>
    <row r="25" customFormat="false" ht="15" hidden="false" customHeight="false" outlineLevel="0" collapsed="false">
      <c r="A25" s="3" t="n">
        <v>5.5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1415.165125483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1415.165125483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1415.165125483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1415.165125483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1415.165125483</v>
      </c>
    </row>
    <row r="26" customFormat="false" ht="15" hidden="false" customHeight="false" outlineLevel="0" collapsed="false">
      <c r="A26" s="3" t="n">
        <v>6.5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1251.81666004831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1316.01469792826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1316.01469792826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1316.01469792826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1316.01469792826</v>
      </c>
    </row>
    <row r="27" customFormat="false" ht="15" hidden="false" customHeight="false" outlineLevel="0" collapsed="false">
      <c r="A27" s="3" t="n">
        <v>7.5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1066.64377159017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1115.88934872465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1174.0886671563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1226.06201198829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1226.06201198829</v>
      </c>
    </row>
    <row r="28" customFormat="false" ht="15" hidden="false" customHeight="false" outlineLevel="0" collapsed="false">
      <c r="A28" s="3" t="n">
        <v>8.5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931.559238584403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965.216677770571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1004.05218452384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1049.36027573599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1102.90620171399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2026-10-26T05:03:44Z</dcterms:created>
  <dc:creator>openpyxl</dc:creator>
  <dc:description/>
  <dc:language>en-NZ</dc:language>
  <cp:lastModifiedBy/>
  <dcterms:modified xsi:type="dcterms:W3CDTF">2026-10-26T05:03:44Z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