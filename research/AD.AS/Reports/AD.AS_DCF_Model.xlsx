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1"/>
    </font>
    <font>
      <color rgb="001F4E9C"/>
    </font>
    <font>
      <color rgb="001E7B1E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50" customWidth="1" min="2" max="2"/>
  </cols>
  <sheetData>
    <row r="1">
      <c r="A1" s="1" t="inlineStr">
        <is>
          <t>AD.AS - Koninklijke Ahold Delhaize N.V. - DCF model</t>
        </is>
      </c>
      <c r="B1" t="inlineStr"/>
    </row>
    <row r="2">
      <c r="A2" s="2" t="inlineStr">
        <is>
          <t>Version</t>
        </is>
      </c>
      <c r="B2" t="inlineStr">
        <is>
          <t>v1.0 (fresh build, no prior version superseded)</t>
        </is>
      </c>
    </row>
    <row r="3">
      <c r="A3" s="2" t="inlineStr">
        <is>
          <t>Built by</t>
        </is>
      </c>
      <c r="B3" t="inlineStr">
        <is>
          <t>dcf-analyst agent (Claude Fable 5), 2026-08-30, at the user's request</t>
        </is>
      </c>
    </row>
    <row r="4">
      <c r="A4" s="2" t="inlineStr">
        <is>
          <t>Price anchor</t>
        </is>
      </c>
      <c r="B4" t="inlineStr">
        <is>
          <t>EUR 30.57, Yahoo regular close 2026-08-28 (verified 2026-08-30); figures go stale - refresh after each quarterly print</t>
        </is>
      </c>
    </row>
    <row r="5">
      <c r="A5" s="2" t="inlineStr">
        <is>
          <t>Balance sheet</t>
        </is>
      </c>
      <c r="B5" t="inlineStr">
        <is>
          <t>FY2025, 52 weeks ended 2025-12-28 (annual report)</t>
        </is>
      </c>
    </row>
    <row r="6">
      <c r="A6" s="2" t="inlineStr">
        <is>
          <t>Share count</t>
        </is>
      </c>
      <c r="B6" t="inlineStr">
        <is>
          <t>887M period-end common shares FY2025; held FLAT (SBC fully expensed; EUR 1bn/yr buyback treated as value-neutral capital return)</t>
        </is>
      </c>
    </row>
    <row r="7">
      <c r="A7" s="2" t="inlineStr">
        <is>
          <t>Guidance anchor</t>
        </is>
      </c>
      <c r="B7" t="inlineStr">
        <is>
          <t>FY2026 (reiterated Q2 2026, 5-Aug-2026): ~4% underlying operating margin, FCF &gt;= EUR 2.3bn, gross capex ~EUR 2.7bn, EUR 1bn buyback, 53-week year</t>
        </is>
      </c>
    </row>
    <row r="8">
      <c r="A8" s="2" t="inlineStr">
        <is>
          <t>Model</t>
        </is>
      </c>
      <c r="B8" t="inlineStr">
        <is>
          <t>Owner-FCF DCF, component build, 10-year horizon, three probability-weighted scenarios</t>
        </is>
      </c>
    </row>
    <row r="9">
      <c r="A9" s="2" t="inlineStr">
        <is>
          <t>Owner FCF basis</t>
        </is>
      </c>
      <c r="B9" t="inlineStr">
        <is>
          <t>Company-defined FCF 2,600 + 261 interest paid (add-back) - 130 interest received - 70 SBC = EUR 2,661m FY2025</t>
        </is>
      </c>
    </row>
    <row r="10">
      <c r="A10" s="2" t="inlineStr">
        <is>
          <t>Lease treatment</t>
        </is>
      </c>
      <c r="B10" t="inlineStr">
        <is>
          <t>Treatment B: full lease payments (principal+interest, one combined filing line) net of sublease receipts charged in flows (1.96% of revenue); lease liabilities (EUR 11,974m) EXCLUDED from net debt</t>
        </is>
      </c>
    </row>
    <row r="11">
      <c r="A11" s="2" t="inlineStr">
        <is>
          <t>Net debt</t>
        </is>
      </c>
      <c r="B11" t="inlineStr">
        <is>
          <t>EUR 2,725m ex-lease = company net debt 14,699 - lease liabilities 11,974. Never pair 14,699 with this lease-deducted FCF</t>
        </is>
      </c>
    </row>
    <row r="12">
      <c r="A12" s="2" t="inlineStr">
        <is>
          <t>Terminal value</t>
        </is>
      </c>
      <c r="B12" t="inlineStr">
        <is>
          <t>Capped at 11-14x owner FCF (binds in all scenarios); Gordon at 6.8%/1.75% would imply 20x, a multiple grocers never fetch</t>
        </is>
      </c>
    </row>
    <row r="13">
      <c r="A13" s="2" t="inlineStr">
        <is>
          <t>WACC</t>
        </is>
      </c>
      <c r="B13" t="inlineStr">
        <is>
          <t>6.8% all scenarios: rf 3.59% (57.5% UST 4.25% + 42.5% Bund 2.70%), ERP 5.5%, beta 0.75, CoE 7.72%; Kd 3.7% pre-tax; E 80.8%/D 19.2%. Risk is charged once, in the flows</t>
        </is>
      </c>
    </row>
    <row r="14">
      <c r="A14" s="2" t="inlineStr">
        <is>
          <t>Scenario drivers</t>
        </is>
      </c>
      <c r="B14" t="inlineStr">
        <is>
          <t>Set by the dcf-analyst agent 2026-08-30 from FY2026 guidance + Analysis.json bull/bear axes; user has not yet overridden them</t>
        </is>
      </c>
    </row>
    <row r="15">
      <c r="A15" s="2" t="inlineStr">
        <is>
          <t>Refresh next print</t>
        </is>
      </c>
      <c r="B15" t="inlineStr">
        <is>
          <t>price, FY2026 delivery vs guidance (esp. FCF and US comps/SNAP drag), buyback pace, net debt, CEO transition news</t>
        </is>
      </c>
    </row>
    <row r="16">
      <c r="A16" s="2" t="inlineStr">
        <is>
          <t>Cell legend</t>
        </is>
      </c>
      <c r="B16" t="inlineStr">
        <is>
          <t>BLUE font = hardcoded input; YELLOW fill = key driver row; black = formula; GREEN = cross-sheet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Reported history, EUR millions (source: annual reports; FY2016 merger stub excluded; FY2017-18 pre-IFRS-16)</t>
        </is>
      </c>
    </row>
    <row r="2">
      <c r="A2" s="2" t="inlineStr">
        <is>
          <t>Metric</t>
        </is>
      </c>
      <c r="B2" s="2" t="inlineStr">
        <is>
          <t>FY2017</t>
        </is>
      </c>
      <c r="C2" s="2" t="inlineStr">
        <is>
          <t>FY2018</t>
        </is>
      </c>
      <c r="D2" s="2" t="inlineStr">
        <is>
          <t>FY2019</t>
        </is>
      </c>
      <c r="E2" s="2" t="inlineStr">
        <is>
          <t>FY2020</t>
        </is>
      </c>
      <c r="F2" s="2" t="inlineStr">
        <is>
          <t>FY2021</t>
        </is>
      </c>
      <c r="G2" s="2" t="inlineStr">
        <is>
          <t>FY2022</t>
        </is>
      </c>
      <c r="H2" s="2" t="inlineStr">
        <is>
          <t>FY2023</t>
        </is>
      </c>
      <c r="I2" s="2" t="inlineStr">
        <is>
          <t>FY2024</t>
        </is>
      </c>
      <c r="J2" s="2" t="inlineStr">
        <is>
          <t>FY2025</t>
        </is>
      </c>
    </row>
    <row r="3">
      <c r="A3" t="inlineStr">
        <is>
          <t>Revenue</t>
        </is>
      </c>
      <c r="B3" s="3" t="n">
        <v>62890</v>
      </c>
      <c r="C3" s="3" t="n">
        <v>62791</v>
      </c>
      <c r="D3" s="3" t="n">
        <v>66260</v>
      </c>
      <c r="E3" s="3" t="n">
        <v>74736</v>
      </c>
      <c r="F3" s="3" t="n">
        <v>75601</v>
      </c>
      <c r="G3" s="3" t="n">
        <v>86984</v>
      </c>
      <c r="H3" s="3" t="n">
        <v>88734</v>
      </c>
      <c r="I3" s="3" t="n">
        <v>89356</v>
      </c>
      <c r="J3" s="3" t="n">
        <v>92352</v>
      </c>
    </row>
    <row r="4">
      <c r="A4" t="inlineStr">
        <is>
          <t>EBITDA</t>
        </is>
      </c>
      <c r="B4" s="3" t="n">
        <v>4082</v>
      </c>
      <c r="C4" s="3" t="n">
        <v>4439</v>
      </c>
      <c r="D4" s="3" t="n">
        <v>5510</v>
      </c>
      <c r="E4" s="3" t="n">
        <v>5083</v>
      </c>
      <c r="F4" s="3" t="n">
        <v>6388</v>
      </c>
      <c r="G4" s="3" t="n">
        <v>7436</v>
      </c>
      <c r="H4" s="3" t="n">
        <v>6690</v>
      </c>
      <c r="I4" s="3" t="n">
        <v>6490</v>
      </c>
      <c r="J4" s="3" t="n">
        <v>7275</v>
      </c>
    </row>
    <row r="5">
      <c r="A5" t="inlineStr">
        <is>
          <t>OperatingIncome</t>
        </is>
      </c>
      <c r="B5" s="3" t="n">
        <v>2225</v>
      </c>
      <c r="C5" s="3" t="n">
        <v>2623</v>
      </c>
      <c r="D5" s="3" t="n">
        <v>2662</v>
      </c>
      <c r="E5" s="3" t="n">
        <v>2191</v>
      </c>
      <c r="F5" s="3" t="n">
        <v>3320</v>
      </c>
      <c r="G5" s="3" t="n">
        <v>3768</v>
      </c>
      <c r="H5" s="3" t="n">
        <v>2846</v>
      </c>
      <c r="I5" s="3" t="n">
        <v>2784</v>
      </c>
      <c r="J5" s="3" t="n">
        <v>3542</v>
      </c>
    </row>
    <row r="6">
      <c r="A6" t="inlineStr">
        <is>
          <t>NetIncome</t>
        </is>
      </c>
      <c r="B6" s="3" t="n">
        <v>1817</v>
      </c>
      <c r="C6" s="3" t="n">
        <v>1780</v>
      </c>
      <c r="D6" s="3" t="n">
        <v>1766</v>
      </c>
      <c r="E6" s="3" t="n">
        <v>1397</v>
      </c>
      <c r="F6" s="3" t="n">
        <v>2246</v>
      </c>
      <c r="G6" s="3" t="n">
        <v>2546</v>
      </c>
      <c r="H6" s="3" t="n">
        <v>1874</v>
      </c>
      <c r="I6" s="3" t="n">
        <v>1764</v>
      </c>
      <c r="J6" s="3" t="n">
        <v>2264</v>
      </c>
    </row>
    <row r="7">
      <c r="A7" t="inlineStr">
        <is>
          <t>EPS</t>
        </is>
      </c>
      <c r="B7" s="3" t="n">
        <v>1.45</v>
      </c>
      <c r="C7" s="3" t="n">
        <v>1.51</v>
      </c>
      <c r="D7" s="3" t="n">
        <v>1.6</v>
      </c>
      <c r="E7" s="3" t="n">
        <v>1.31</v>
      </c>
      <c r="F7" s="3" t="n">
        <v>2.18</v>
      </c>
      <c r="G7" s="3" t="n">
        <v>2.56</v>
      </c>
      <c r="H7" s="3" t="n">
        <v>1.95</v>
      </c>
      <c r="I7" s="3" t="n">
        <v>1.9</v>
      </c>
      <c r="J7" s="3" t="n">
        <v>2.51</v>
      </c>
    </row>
    <row r="8">
      <c r="A8" t="inlineStr">
        <is>
          <t>OperatingCashFlow</t>
        </is>
      </c>
      <c r="B8" s="3" t="n">
        <v>3695</v>
      </c>
      <c r="C8" s="3" t="n">
        <v>4323</v>
      </c>
      <c r="D8" s="3" t="n">
        <v>5449</v>
      </c>
      <c r="E8" s="3" t="n">
        <v>6343</v>
      </c>
      <c r="F8" s="3" t="n">
        <v>5468</v>
      </c>
      <c r="G8" s="3" t="n">
        <v>6110</v>
      </c>
      <c r="H8" s="3" t="n">
        <v>6466</v>
      </c>
      <c r="I8" s="3" t="n">
        <v>6224</v>
      </c>
      <c r="J8" s="3" t="n">
        <v>6989</v>
      </c>
    </row>
    <row r="9">
      <c r="A9" t="inlineStr">
        <is>
          <t>GrossCapex</t>
        </is>
      </c>
      <c r="B9" s="3" t="n">
        <v>1698</v>
      </c>
      <c r="C9" s="3" t="n">
        <v>1780</v>
      </c>
      <c r="D9" s="3" t="n">
        <v>2218</v>
      </c>
      <c r="E9" s="3" t="n">
        <v>2659</v>
      </c>
      <c r="F9" s="3" t="n">
        <v>2371</v>
      </c>
      <c r="G9" s="3" t="n">
        <v>2490</v>
      </c>
      <c r="H9" s="3" t="n">
        <v>2434</v>
      </c>
      <c r="I9" s="3" t="n">
        <v>2299</v>
      </c>
      <c r="J9" s="3" t="n">
        <v>2564</v>
      </c>
    </row>
    <row r="10">
      <c r="A10" t="inlineStr">
        <is>
          <t>ReportedFCF</t>
        </is>
      </c>
      <c r="B10" s="3" t="n">
        <v>1926</v>
      </c>
      <c r="C10" s="3" t="n">
        <v>2165</v>
      </c>
      <c r="D10" s="3" t="n">
        <v>1843</v>
      </c>
      <c r="E10" s="3" t="n">
        <v>2199</v>
      </c>
      <c r="F10" s="3" t="n">
        <v>1618</v>
      </c>
      <c r="G10" s="3" t="n">
        <v>2188</v>
      </c>
      <c r="H10" s="3" t="n">
        <v>2425</v>
      </c>
      <c r="I10" s="3" t="n">
        <v>2545</v>
      </c>
      <c r="J10" s="3" t="n">
        <v>2600</v>
      </c>
    </row>
    <row r="11">
      <c r="A11" t="inlineStr">
        <is>
          <t>InterestPaid</t>
        </is>
      </c>
      <c r="B11" s="3" t="n">
        <v>320</v>
      </c>
      <c r="C11" s="3" t="n">
        <v>324</v>
      </c>
      <c r="D11" s="3" t="n">
        <v>189</v>
      </c>
      <c r="E11" s="3" t="n">
        <v>149</v>
      </c>
      <c r="F11" s="3" t="n">
        <v>138</v>
      </c>
      <c r="G11" s="3" t="n">
        <v>174</v>
      </c>
      <c r="H11" s="3" t="n">
        <v>226</v>
      </c>
      <c r="I11" s="3" t="n">
        <v>230</v>
      </c>
      <c r="J11" s="3" t="n">
        <v>261</v>
      </c>
    </row>
    <row r="12">
      <c r="A12" t="inlineStr">
        <is>
          <t>InterestReceived</t>
        </is>
      </c>
      <c r="B12" s="3" t="n">
        <v>32</v>
      </c>
      <c r="C12" s="3" t="n">
        <v>74</v>
      </c>
      <c r="D12" s="3" t="n">
        <v>56</v>
      </c>
      <c r="E12" s="3" t="n">
        <v>24</v>
      </c>
      <c r="F12" s="3" t="n">
        <v>16</v>
      </c>
      <c r="G12" s="3" t="n">
        <v>56</v>
      </c>
      <c r="H12" s="3" t="n">
        <v>160</v>
      </c>
      <c r="I12" s="3" t="n">
        <v>196</v>
      </c>
      <c r="J12" s="3" t="n">
        <v>130</v>
      </c>
    </row>
    <row r="13">
      <c r="A13" t="inlineStr">
        <is>
          <t>SBC</t>
        </is>
      </c>
      <c r="B13" s="3" t="n">
        <v>79</v>
      </c>
      <c r="C13" s="3" t="n">
        <v>60</v>
      </c>
      <c r="D13" s="3" t="n">
        <v>51</v>
      </c>
      <c r="E13" s="3" t="n">
        <v>59</v>
      </c>
      <c r="F13" s="3" t="n">
        <v>48</v>
      </c>
      <c r="G13" s="3" t="n">
        <v>65</v>
      </c>
      <c r="H13" s="3" t="n">
        <v>53</v>
      </c>
      <c r="I13" s="3" t="n">
        <v>42</v>
      </c>
      <c r="J13" s="3" t="n">
        <v>70</v>
      </c>
    </row>
    <row r="14">
      <c r="A14" t="inlineStr">
        <is>
          <t>SharesOutstanding</t>
        </is>
      </c>
      <c r="B14" s="3" t="n">
        <v>1228</v>
      </c>
      <c r="C14" s="3" t="n">
        <v>1130</v>
      </c>
      <c r="D14" s="3" t="n">
        <v>1088</v>
      </c>
      <c r="E14" s="3" t="n">
        <v>1047</v>
      </c>
      <c r="F14" s="3" t="n">
        <v>1011</v>
      </c>
      <c r="G14" s="3" t="n">
        <v>977</v>
      </c>
      <c r="H14" s="3" t="n">
        <v>946</v>
      </c>
      <c r="I14" s="3" t="n">
        <v>914</v>
      </c>
      <c r="J14" s="3" t="n">
        <v>887</v>
      </c>
    </row>
    <row r="15">
      <c r="A15" t="inlineStr">
        <is>
          <t>Buybacks</t>
        </is>
      </c>
      <c r="B15" s="3" t="n">
        <v>992</v>
      </c>
      <c r="C15" s="3" t="n">
        <v>2003</v>
      </c>
      <c r="D15" s="3" t="n">
        <v>1002</v>
      </c>
      <c r="E15" s="3" t="n">
        <v>1001</v>
      </c>
      <c r="F15" s="3" t="n">
        <v>994</v>
      </c>
      <c r="G15" s="3" t="n">
        <v>997</v>
      </c>
      <c r="H15" s="3" t="n">
        <v>999</v>
      </c>
      <c r="I15" s="3" t="n">
        <v>1000</v>
      </c>
      <c r="J15" s="3" t="n">
        <v>1008</v>
      </c>
    </row>
    <row r="16">
      <c r="A16" t="inlineStr">
        <is>
          <t>DividendsPaid</t>
        </is>
      </c>
      <c r="B16" s="3" t="n">
        <v>720</v>
      </c>
      <c r="C16" s="3" t="n">
        <v>757</v>
      </c>
      <c r="D16" s="3" t="n">
        <v>1114</v>
      </c>
      <c r="E16" s="3" t="n">
        <v>1026</v>
      </c>
      <c r="F16" s="3" t="n">
        <v>856</v>
      </c>
      <c r="G16" s="3" t="n">
        <v>979</v>
      </c>
      <c r="H16" s="3" t="n">
        <v>1044</v>
      </c>
      <c r="I16" s="3" t="n">
        <v>1037</v>
      </c>
      <c r="J16" s="3" t="n">
        <v>1070</v>
      </c>
    </row>
    <row r="18">
      <c r="A18" s="1" t="inlineStr">
        <is>
          <t>Balance-sheet snapshot FY2025 (2025-12-28)</t>
        </is>
      </c>
    </row>
    <row r="19">
      <c r="A19" t="inlineStr">
        <is>
          <t>Cash &amp; equivalents</t>
        </is>
      </c>
      <c r="B19" s="3" t="n">
        <v>3605</v>
      </c>
    </row>
    <row r="20">
      <c r="A20" t="inlineStr">
        <is>
          <t>Financial debt ex-lease</t>
        </is>
      </c>
      <c r="B20" s="3" t="n">
        <v>6430</v>
      </c>
    </row>
    <row r="21">
      <c r="A21" t="inlineStr">
        <is>
          <t>Lease liabilities (curr+non-curr)</t>
        </is>
      </c>
      <c r="B21" s="3" t="n">
        <v>11974</v>
      </c>
    </row>
    <row r="22">
      <c r="A22" t="inlineStr">
        <is>
          <t>Company net debt (incl leases)</t>
        </is>
      </c>
      <c r="B22" s="3" t="n">
        <v>14699</v>
      </c>
    </row>
    <row r="23">
      <c r="A23" t="inlineStr">
        <is>
          <t>Net debt EX-lease (bridge)</t>
        </is>
      </c>
      <c r="B23" s="3" t="n">
        <v>2725</v>
      </c>
    </row>
    <row r="24">
      <c r="A24" t="inlineStr">
        <is>
          <t>Shareholders equity</t>
        </is>
      </c>
      <c r="B24" s="3" t="n">
        <v>14195</v>
      </c>
    </row>
    <row r="25">
      <c r="A25" t="inlineStr">
        <is>
          <t>Period-end shares (M)</t>
        </is>
      </c>
      <c r="B25" s="3" t="n">
        <v>887</v>
      </c>
    </row>
    <row r="26">
      <c r="A26" t="inlineStr">
        <is>
          <t>Weighted diluted shares FY2025 (M)</t>
        </is>
      </c>
      <c r="B26" s="3" t="n">
        <v>905.6</v>
      </c>
    </row>
    <row r="28">
      <c r="A28" s="2" t="inlineStr">
        <is>
          <t>FY2026 guidance (reiterated 5-Aug-2026): underlying operating margin ~4%; FCF &gt;= EUR 2.3bn; gross capex ~EUR 2.7bn; mid-to-high-single-digit underlying EPS growth cc; EUR 1bn buyback; dividend payout 40-50%; 53-week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Globals</t>
        </is>
      </c>
    </row>
    <row r="2">
      <c r="A2" t="inlineStr">
        <is>
          <t>Price (EUR, 2026-08-28 close)</t>
        </is>
      </c>
      <c r="B2" s="4" t="n">
        <v>30.57</v>
      </c>
    </row>
    <row r="3">
      <c r="A3" t="inlineStr">
        <is>
          <t>Diluted shares (M, period-end FY2025)</t>
        </is>
      </c>
      <c r="B3" s="4" t="n">
        <v>887</v>
      </c>
    </row>
    <row r="4">
      <c r="A4" t="inlineStr">
        <is>
          <t>Net debt ex-lease (EUR m)</t>
        </is>
      </c>
      <c r="B4" s="4" t="n">
        <v>2725</v>
      </c>
    </row>
    <row r="5">
      <c r="A5" t="inlineStr">
        <is>
          <t>WACC %</t>
        </is>
      </c>
      <c r="B5" s="4" t="n">
        <v>6.8</v>
      </c>
    </row>
    <row r="6">
      <c r="A6" t="inlineStr">
        <is>
          <t>D&amp;A % of revenue (ex-ROU)</t>
        </is>
      </c>
      <c r="B6" s="4" t="n">
        <v>1.95</v>
      </c>
    </row>
    <row r="7">
      <c r="A7" t="inlineStr">
        <is>
          <t>WC capture % of revenue change</t>
        </is>
      </c>
      <c r="B7" s="4" t="n">
        <v>5</v>
      </c>
    </row>
    <row r="8">
      <c r="A8" t="inlineStr">
        <is>
          <t>Hurdle rate %</t>
        </is>
      </c>
      <c r="B8" s="4" t="n">
        <v>15</v>
      </c>
    </row>
    <row r="10">
      <c r="A10" s="1" t="inlineStr">
        <is>
          <t>Per scenario</t>
        </is>
      </c>
    </row>
    <row r="11">
      <c r="A11" t="inlineStr">
        <is>
          <t>Scenario</t>
        </is>
      </c>
      <c r="B11" t="inlineStr">
        <is>
          <t>Terminal growth %</t>
        </is>
      </c>
      <c r="C11" t="inlineStr">
        <is>
          <t>TV cap (x owner FCF)</t>
        </is>
      </c>
      <c r="D11" t="inlineStr">
        <is>
          <t>Probability</t>
        </is>
      </c>
    </row>
    <row r="12">
      <c r="A12" t="inlineStr">
        <is>
          <t>Bear</t>
        </is>
      </c>
      <c r="B12" s="4" t="n">
        <v>1.25</v>
      </c>
      <c r="C12" s="4" t="n">
        <v>11</v>
      </c>
      <c r="D12" s="4" t="n">
        <v>0.2</v>
      </c>
    </row>
    <row r="13">
      <c r="A13" t="inlineStr">
        <is>
          <t>Base</t>
        </is>
      </c>
      <c r="B13" s="4" t="n">
        <v>1.75</v>
      </c>
      <c r="C13" s="4" t="n">
        <v>13</v>
      </c>
      <c r="D13" s="4" t="n">
        <v>0.5</v>
      </c>
    </row>
    <row r="14">
      <c r="A14" t="inlineStr">
        <is>
          <t>Bull</t>
        </is>
      </c>
      <c r="B14" s="4" t="n">
        <v>2</v>
      </c>
      <c r="C14" s="4" t="n">
        <v>14</v>
      </c>
      <c r="D14" s="4" t="n">
        <v>0.3</v>
      </c>
    </row>
    <row r="15">
      <c r="A15" t="inlineStr">
        <is>
          <t>Weights sum (must equal 1.0)</t>
        </is>
      </c>
      <c r="B15">
        <f>SUM(D12:D14)</f>
        <v/>
      </c>
    </row>
    <row r="17">
      <c r="A17" s="1" t="inlineStr">
        <is>
          <t>Narratives</t>
        </is>
      </c>
    </row>
    <row r="18">
      <c r="A18" t="inlineStr">
        <is>
          <t>Bear</t>
        </is>
      </c>
      <c r="B18" t="inlineStr">
        <is>
          <t>US price war + SNAP cut (5.3M fewer enrollees, ~5.3% of US sales) + IRA pharmacy deflation; EBITDA margin 7.9-&gt;7.0%; growth ~1%; Stop &amp; Shop closures accelerate; CEO handover resets strategy; exit de-rates to 11x owner FCF.</t>
        </is>
      </c>
    </row>
    <row r="19">
      <c r="A19" t="inlineStr">
        <is>
          <t>Base</t>
        </is>
      </c>
      <c r="B19" t="inlineStr">
        <is>
          <t>FY2026 guidance delivered and sustained: ~4% underlying margin (EBITDA 7.9% flat), company FCF &gt;= EUR 2.3bn, +3.0% in 53-wk 2026 then ~2-2.5%/yr nominal; no FX drift; exit 13x owner FCF.</t>
        </is>
      </c>
    </row>
    <row r="20">
      <c r="A20" t="inlineStr">
        <is>
          <t>Bull</t>
        </is>
      </c>
      <c r="B20" t="inlineStr">
        <is>
          <t>Growing Together over-delivers: retail media/complementary income (~EUR 3bn by 2028) lift EBITDA margin to 8.4% by Y6; S&amp;S turnaround holds; ~3%/yr growth; exit 14x owner FCF.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scenario - component owner-FCF build, EUR millions</t>
        </is>
      </c>
    </row>
    <row r="3">
      <c r="A3" t="inlineStr">
        <is>
          <t>Year</t>
        </is>
      </c>
      <c r="B3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4" t="n">
        <v>1.5</v>
      </c>
      <c r="D5" s="4" t="n">
        <v>0</v>
      </c>
      <c r="E5" s="4" t="n">
        <v>0.5</v>
      </c>
      <c r="F5" s="4" t="n">
        <v>1</v>
      </c>
      <c r="G5" s="4" t="n">
        <v>1</v>
      </c>
      <c r="H5" s="4" t="n">
        <v>1.25</v>
      </c>
      <c r="I5" s="4" t="n">
        <v>1.25</v>
      </c>
      <c r="J5" s="4" t="n">
        <v>1.5</v>
      </c>
      <c r="K5" s="4" t="n">
        <v>1.5</v>
      </c>
      <c r="L5" s="4" t="n">
        <v>1.5</v>
      </c>
    </row>
    <row r="6">
      <c r="A6" t="inlineStr">
        <is>
          <t>Revenue</t>
        </is>
      </c>
      <c r="B6" s="3" t="n">
        <v>92352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</t>
        </is>
      </c>
      <c r="C7" s="4" t="n">
        <v>7.7</v>
      </c>
      <c r="D7" s="4" t="n">
        <v>7.4</v>
      </c>
      <c r="E7" s="4" t="n">
        <v>7.2</v>
      </c>
      <c r="F7" s="4" t="n">
        <v>7</v>
      </c>
      <c r="G7" s="4" t="n">
        <v>7</v>
      </c>
      <c r="H7" s="4" t="n">
        <v>7</v>
      </c>
      <c r="I7" s="4" t="n">
        <v>7</v>
      </c>
      <c r="J7" s="4" t="n">
        <v>7</v>
      </c>
      <c r="K7" s="4" t="n">
        <v>7</v>
      </c>
      <c r="L7" s="4" t="n">
        <v>7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</t>
        </is>
      </c>
      <c r="C9" s="4" t="n">
        <v>0.08</v>
      </c>
      <c r="D9" s="4" t="n">
        <v>0.08</v>
      </c>
      <c r="E9" s="4" t="n">
        <v>0.08</v>
      </c>
      <c r="F9" s="4" t="n">
        <v>0.08</v>
      </c>
      <c r="G9" s="4" t="n">
        <v>0.08</v>
      </c>
      <c r="H9" s="4" t="n">
        <v>0.08</v>
      </c>
      <c r="I9" s="4" t="n">
        <v>0.08</v>
      </c>
      <c r="J9" s="4" t="n">
        <v>0.08</v>
      </c>
      <c r="K9" s="4" t="n">
        <v>0.08</v>
      </c>
      <c r="L9" s="4" t="n">
        <v>0.08</v>
      </c>
    </row>
    <row r="10">
      <c r="A10" t="inlineStr">
        <is>
          <t>SBC (EUR)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cost % of revenue (net pmts)</t>
        </is>
      </c>
      <c r="C11" s="4" t="n">
        <v>1.96</v>
      </c>
      <c r="D11" s="4" t="n">
        <v>1.96</v>
      </c>
      <c r="E11" s="4" t="n">
        <v>1.96</v>
      </c>
      <c r="F11" s="4" t="n">
        <v>1.96</v>
      </c>
      <c r="G11" s="4" t="n">
        <v>1.96</v>
      </c>
      <c r="H11" s="4" t="n">
        <v>1.96</v>
      </c>
      <c r="I11" s="4" t="n">
        <v>1.96</v>
      </c>
      <c r="J11" s="4" t="n">
        <v>1.96</v>
      </c>
      <c r="K11" s="4" t="n">
        <v>1.96</v>
      </c>
      <c r="L11" s="4" t="n">
        <v>1.96</v>
      </c>
    </row>
    <row r="12">
      <c r="A12" t="inlineStr">
        <is>
          <t>Lease cost (EUR)</t>
        </is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D&amp;A % (link)</t>
        </is>
      </c>
      <c r="C13" s="5">
        <f>Assumptions!$B$6</f>
        <v/>
      </c>
      <c r="D13" s="5">
        <f>Assumptions!$B$6</f>
        <v/>
      </c>
      <c r="E13" s="5">
        <f>Assumptions!$B$6</f>
        <v/>
      </c>
      <c r="F13" s="5">
        <f>Assumptions!$B$6</f>
        <v/>
      </c>
      <c r="G13" s="5">
        <f>Assumptions!$B$6</f>
        <v/>
      </c>
      <c r="H13" s="5">
        <f>Assumptions!$B$6</f>
        <v/>
      </c>
      <c r="I13" s="5">
        <f>Assumptions!$B$6</f>
        <v/>
      </c>
      <c r="J13" s="5">
        <f>Assumptions!$B$6</f>
        <v/>
      </c>
      <c r="K13" s="5">
        <f>Assumptions!$B$6</f>
        <v/>
      </c>
      <c r="L13" s="5">
        <f>Assumptions!$B$6</f>
        <v/>
      </c>
    </row>
    <row r="14">
      <c r="A14" t="inlineStr">
        <is>
          <t>D&amp;A (EUR)</t>
        </is>
      </c>
      <c r="C14">
        <f>-C6*C13/100</f>
        <v/>
      </c>
      <c r="D14">
        <f>-D6*D13/100</f>
        <v/>
      </c>
      <c r="E14">
        <f>-E6*E13/100</f>
        <v/>
      </c>
      <c r="F14">
        <f>-F6*F13/100</f>
        <v/>
      </c>
      <c r="G14">
        <f>-G6*G13/100</f>
        <v/>
      </c>
      <c r="H14">
        <f>-H6*H13/100</f>
        <v/>
      </c>
      <c r="I14">
        <f>-I6*I13/100</f>
        <v/>
      </c>
      <c r="J14">
        <f>-J6*J13/100</f>
        <v/>
      </c>
      <c r="K14">
        <f>-K6*K13/100</f>
        <v/>
      </c>
      <c r="L14">
        <f>-L6*L13/100</f>
        <v/>
      </c>
    </row>
    <row r="15">
      <c r="A15" t="inlineStr">
        <is>
          <t>EBIT (SBC+lease charged)</t>
        </is>
      </c>
      <c r="C15">
        <f>C8+C10+C12+C14</f>
        <v/>
      </c>
      <c r="D15">
        <f>D8+D10+D12+D14</f>
        <v/>
      </c>
      <c r="E15">
        <f>E8+E10+E12+E14</f>
        <v/>
      </c>
      <c r="F15">
        <f>F8+F10+F12+F14</f>
        <v/>
      </c>
      <c r="G15">
        <f>G8+G10+G12+G14</f>
        <v/>
      </c>
      <c r="H15">
        <f>H8+H10+H12+H14</f>
        <v/>
      </c>
      <c r="I15">
        <f>I8+I10+I12+I14</f>
        <v/>
      </c>
      <c r="J15">
        <f>J8+J10+J12+J14</f>
        <v/>
      </c>
      <c r="K15">
        <f>K8+K10+K12+K14</f>
        <v/>
      </c>
      <c r="L15">
        <f>L8+L10+L12+L14</f>
        <v/>
      </c>
    </row>
    <row r="16">
      <c r="A16" t="inlineStr">
        <is>
          <t>Cash tax rate %</t>
        </is>
      </c>
      <c r="C16" s="4" t="n">
        <v>18</v>
      </c>
      <c r="D16" s="4" t="n">
        <v>19</v>
      </c>
      <c r="E16" s="4" t="n">
        <v>20</v>
      </c>
      <c r="F16" s="4" t="n">
        <v>21</v>
      </c>
      <c r="G16" s="4" t="n">
        <v>22</v>
      </c>
      <c r="H16" s="4" t="n">
        <v>22</v>
      </c>
      <c r="I16" s="4" t="n">
        <v>22</v>
      </c>
      <c r="J16" s="4" t="n">
        <v>22</v>
      </c>
      <c r="K16" s="4" t="n">
        <v>22</v>
      </c>
      <c r="L16" s="4" t="n">
        <v>22</v>
      </c>
    </row>
    <row r="17">
      <c r="A17" t="inlineStr">
        <is>
          <t>NOPAT</t>
        </is>
      </c>
      <c r="C17">
        <f>C15-MAX(0,C15)*C16/100</f>
        <v/>
      </c>
      <c r="D17">
        <f>D15-MAX(0,D15)*D16/100</f>
        <v/>
      </c>
      <c r="E17">
        <f>E15-MAX(0,E15)*E16/100</f>
        <v/>
      </c>
      <c r="F17">
        <f>F15-MAX(0,F15)*F16/100</f>
        <v/>
      </c>
      <c r="G17">
        <f>G15-MAX(0,G15)*G16/100</f>
        <v/>
      </c>
      <c r="H17">
        <f>H15-MAX(0,H15)*H16/100</f>
        <v/>
      </c>
      <c r="I17">
        <f>I15-MAX(0,I15)*I16/100</f>
        <v/>
      </c>
      <c r="J17">
        <f>J15-MAX(0,J15)*J16/100</f>
        <v/>
      </c>
      <c r="K17">
        <f>K15-MAX(0,K15)*K16/100</f>
        <v/>
      </c>
      <c r="L17">
        <f>L15-MAX(0,L15)*L16/100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Capex % of revenue</t>
        </is>
      </c>
      <c r="C19" s="4" t="n">
        <v>2.8</v>
      </c>
      <c r="D19" s="4" t="n">
        <v>2.8</v>
      </c>
      <c r="E19" s="4" t="n">
        <v>2.8</v>
      </c>
      <c r="F19" s="4" t="n">
        <v>2.8</v>
      </c>
      <c r="G19" s="4" t="n">
        <v>2.8</v>
      </c>
      <c r="H19" s="4" t="n">
        <v>2.8</v>
      </c>
      <c r="I19" s="4" t="n">
        <v>2.8</v>
      </c>
      <c r="J19" s="4" t="n">
        <v>2.8</v>
      </c>
      <c r="K19" s="4" t="n">
        <v>2.8</v>
      </c>
      <c r="L19" s="4" t="n">
        <v>2.8</v>
      </c>
    </row>
    <row r="20">
      <c r="A20" t="inlineStr">
        <is>
          <t>Capex (EUR)</t>
        </is>
      </c>
      <c r="C20">
        <f>-C6*C19/100</f>
        <v/>
      </c>
      <c r="D20">
        <f>-D6*D19/100</f>
        <v/>
      </c>
      <c r="E20">
        <f>-E6*E19/100</f>
        <v/>
      </c>
      <c r="F20">
        <f>-F6*F19/100</f>
        <v/>
      </c>
      <c r="G20">
        <f>-G6*G19/100</f>
        <v/>
      </c>
      <c r="H20">
        <f>-H6*H19/100</f>
        <v/>
      </c>
      <c r="I20">
        <f>-I6*I19/100</f>
        <v/>
      </c>
      <c r="J20">
        <f>-J6*J19/100</f>
        <v/>
      </c>
      <c r="K20">
        <f>-K6*K19/100</f>
        <v/>
      </c>
      <c r="L20">
        <f>-L6*L19/100</f>
        <v/>
      </c>
    </row>
    <row r="21">
      <c r="A21" t="inlineStr">
        <is>
          <t>WC (capture x rev change)</t>
        </is>
      </c>
      <c r="C21" s="5">
        <f>Assumptions!$B$7/100*(C6-B6)</f>
        <v/>
      </c>
      <c r="D21" s="5">
        <f>Assumptions!$B$7/100*(D6-C6)</f>
        <v/>
      </c>
      <c r="E21" s="5">
        <f>Assumptions!$B$7/100*(E6-D6)</f>
        <v/>
      </c>
      <c r="F21" s="5">
        <f>Assumptions!$B$7/100*(F6-E6)</f>
        <v/>
      </c>
      <c r="G21" s="5">
        <f>Assumptions!$B$7/100*(G6-F6)</f>
        <v/>
      </c>
      <c r="H21" s="5">
        <f>Assumptions!$B$7/100*(H6-G6)</f>
        <v/>
      </c>
      <c r="I21" s="5">
        <f>Assumptions!$B$7/100*(I6-H6)</f>
        <v/>
      </c>
      <c r="J21" s="5">
        <f>Assumptions!$B$7/100*(J6-I6)</f>
        <v/>
      </c>
      <c r="K21" s="5">
        <f>Assumptions!$B$7/100*(K6-J6)</f>
        <v/>
      </c>
      <c r="L21" s="5">
        <f>Assumptions!$B$7/100*(L6-K6)</f>
        <v/>
      </c>
    </row>
    <row r="22">
      <c r="A22" t="inlineStr">
        <is>
          <t>Owner FCF</t>
        </is>
      </c>
      <c r="C22">
        <f>C17+C18+C20+C21</f>
        <v/>
      </c>
      <c r="D22">
        <f>D17+D18+D20+D21</f>
        <v/>
      </c>
      <c r="E22">
        <f>E17+E18+E20+E21</f>
        <v/>
      </c>
      <c r="F22">
        <f>F17+F18+F20+F21</f>
        <v/>
      </c>
      <c r="G22">
        <f>G17+G18+G20+G21</f>
        <v/>
      </c>
      <c r="H22">
        <f>H17+H18+H20+H21</f>
        <v/>
      </c>
      <c r="I22">
        <f>I17+I18+I20+I21</f>
        <v/>
      </c>
      <c r="J22">
        <f>J17+J18+J20+J21</f>
        <v/>
      </c>
      <c r="K22">
        <f>K17+K18+K20+K21</f>
        <v/>
      </c>
      <c r="L22">
        <f>L17+L18+L20+L21</f>
        <v/>
      </c>
    </row>
    <row r="23">
      <c r="A23" t="inlineStr">
        <is>
          <t>Discount factor</t>
        </is>
      </c>
      <c r="C23" s="5">
        <f>1/(1+Assumptions!$B$5/100)^C4</f>
        <v/>
      </c>
      <c r="D23" s="5">
        <f>1/(1+Assumptions!$B$5/100)^D4</f>
        <v/>
      </c>
      <c r="E23" s="5">
        <f>1/(1+Assumptions!$B$5/100)^E4</f>
        <v/>
      </c>
      <c r="F23" s="5">
        <f>1/(1+Assumptions!$B$5/100)^F4</f>
        <v/>
      </c>
      <c r="G23" s="5">
        <f>1/(1+Assumptions!$B$5/100)^G4</f>
        <v/>
      </c>
      <c r="H23" s="5">
        <f>1/(1+Assumptions!$B$5/100)^H4</f>
        <v/>
      </c>
      <c r="I23" s="5">
        <f>1/(1+Assumptions!$B$5/100)^I4</f>
        <v/>
      </c>
      <c r="J23" s="5">
        <f>1/(1+Assumptions!$B$5/100)^J4</f>
        <v/>
      </c>
      <c r="K23" s="5">
        <f>1/(1+Assumptions!$B$5/100)^K4</f>
        <v/>
      </c>
      <c r="L23" s="5">
        <f>1/(1+Assumptions!$B$5/100)^L4</f>
        <v/>
      </c>
    </row>
    <row r="24">
      <c r="A24" t="inlineStr">
        <is>
          <t>PV of FCF</t>
        </is>
      </c>
      <c r="C24">
        <f>C22*C23</f>
        <v/>
      </c>
      <c r="D24">
        <f>D22*D23</f>
        <v/>
      </c>
      <c r="E24">
        <f>E22*E23</f>
        <v/>
      </c>
      <c r="F24">
        <f>F22*F23</f>
        <v/>
      </c>
      <c r="G24">
        <f>G22*G23</f>
        <v/>
      </c>
      <c r="H24">
        <f>H22*H23</f>
        <v/>
      </c>
      <c r="I24">
        <f>I22*I23</f>
        <v/>
      </c>
      <c r="J24">
        <f>J22*J23</f>
        <v/>
      </c>
      <c r="K24">
        <f>K22*K23</f>
        <v/>
      </c>
      <c r="L24">
        <f>L22*L23</f>
        <v/>
      </c>
    </row>
    <row r="26">
      <c r="A26" t="inlineStr">
        <is>
          <t>Memo: owner-FCF margin %</t>
        </is>
      </c>
      <c r="C26">
        <f>C22/C6*100</f>
        <v/>
      </c>
      <c r="D26">
        <f>D22/D6*100</f>
        <v/>
      </c>
      <c r="E26">
        <f>E22/E6*100</f>
        <v/>
      </c>
      <c r="F26">
        <f>F22/F6*100</f>
        <v/>
      </c>
      <c r="G26">
        <f>G22/G6*100</f>
        <v/>
      </c>
      <c r="H26">
        <f>H22/H6*100</f>
        <v/>
      </c>
      <c r="I26">
        <f>I22/I6*100</f>
        <v/>
      </c>
      <c r="J26">
        <f>J22/J6*100</f>
        <v/>
      </c>
      <c r="K26">
        <f>K22/K6*100</f>
        <v/>
      </c>
      <c r="L26">
        <f>L22/L6*100</f>
        <v/>
      </c>
    </row>
    <row r="28">
      <c r="A28" t="inlineStr">
        <is>
          <t>Sum PV of FCF</t>
        </is>
      </c>
      <c r="B28">
        <f>SUM(C24:L24)</f>
        <v/>
      </c>
    </row>
    <row r="29">
      <c r="A29" t="inlineStr">
        <is>
          <t>Terminal growth % (link)</t>
        </is>
      </c>
      <c r="B29" s="5">
        <f>Assumptions!$B$12</f>
        <v/>
      </c>
    </row>
    <row r="30">
      <c r="A30" t="inlineStr">
        <is>
          <t>Terminal FCF</t>
        </is>
      </c>
      <c r="B30">
        <f>L22*(1+B29/100)</f>
        <v/>
      </c>
    </row>
    <row r="31">
      <c r="A31" t="inlineStr">
        <is>
          <t>Gordon TV</t>
        </is>
      </c>
      <c r="B31">
        <f>IF(Assumptions!$B$5&gt;B29, B30/((Assumptions!$B$5-B29)/100), "n/a")</f>
        <v/>
      </c>
    </row>
    <row r="32">
      <c r="A32" t="inlineStr">
        <is>
          <t>Cap TV (cap x FCF10)</t>
        </is>
      </c>
      <c r="B32">
        <f>Assumptions!$C$12*L22</f>
        <v/>
      </c>
    </row>
    <row r="33">
      <c r="A33" t="inlineStr">
        <is>
          <t>TV used</t>
        </is>
      </c>
      <c r="B33">
        <f>MAX(0,MIN(B31,B32))</f>
        <v/>
      </c>
    </row>
    <row r="34">
      <c r="A34" t="inlineStr">
        <is>
          <t>Implied exit multiple (x owner FCF)</t>
        </is>
      </c>
      <c r="B34">
        <f>B33/L22</f>
        <v/>
      </c>
    </row>
    <row r="35">
      <c r="A35" t="inlineStr">
        <is>
          <t>PV of TV</t>
        </is>
      </c>
      <c r="B35">
        <f>B33*L23</f>
        <v/>
      </c>
    </row>
    <row r="36">
      <c r="A36" t="inlineStr">
        <is>
          <t>Enterprise value</t>
        </is>
      </c>
      <c r="B36">
        <f>B28+B35</f>
        <v/>
      </c>
    </row>
    <row r="37">
      <c r="A37" t="inlineStr">
        <is>
          <t>less net debt (ex-lease)</t>
        </is>
      </c>
      <c r="B37" s="5">
        <f>-Assumptions!$B$4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5">
        <f>Assumptions!$B$3</f>
        <v/>
      </c>
    </row>
    <row r="40">
      <c r="A40" t="inlineStr">
        <is>
          <t>VALUE PER SHARE (EUR)</t>
        </is>
      </c>
      <c r="B40" s="6">
        <f>B38/B39</f>
        <v/>
      </c>
    </row>
    <row r="41">
      <c r="A41" t="inlineStr">
        <is>
          <t>Upside vs price</t>
        </is>
      </c>
      <c r="B41">
        <f>B40/Assumptions!$B$2-1</f>
        <v/>
      </c>
    </row>
    <row r="43">
      <c r="A43" t="inlineStr">
        <is>
          <t>Street memo: PV explicit SBC</t>
        </is>
      </c>
      <c r="B43">
        <f>SUMPRODUCT(-C10:L10/(1+Assumptions!$B$5/100)^C4:L4)</f>
        <v/>
      </c>
    </row>
    <row r="44">
      <c r="A44" t="inlineStr">
        <is>
          <t>PV terminal SBC</t>
        </is>
      </c>
      <c r="B44">
        <f>-L10*(1+B29/100)/((Assumptions!$B$5-B29)/100)*L23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scenario - component owner-FCF build, EUR millions</t>
        </is>
      </c>
    </row>
    <row r="3">
      <c r="A3" t="inlineStr">
        <is>
          <t>Year</t>
        </is>
      </c>
      <c r="B3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4" t="n">
        <v>3</v>
      </c>
      <c r="D5" s="4" t="n">
        <v>1.7</v>
      </c>
      <c r="E5" s="4" t="n">
        <v>2.5</v>
      </c>
      <c r="F5" s="4" t="n">
        <v>2.5</v>
      </c>
      <c r="G5" s="4" t="n">
        <v>2.25</v>
      </c>
      <c r="H5" s="4" t="n">
        <v>2.25</v>
      </c>
      <c r="I5" s="4" t="n">
        <v>2</v>
      </c>
      <c r="J5" s="4" t="n">
        <v>2</v>
      </c>
      <c r="K5" s="4" t="n">
        <v>2</v>
      </c>
      <c r="L5" s="4" t="n">
        <v>2</v>
      </c>
    </row>
    <row r="6">
      <c r="A6" t="inlineStr">
        <is>
          <t>Revenue</t>
        </is>
      </c>
      <c r="B6" s="3" t="n">
        <v>92352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</t>
        </is>
      </c>
      <c r="C7" s="4" t="n">
        <v>7.9</v>
      </c>
      <c r="D7" s="4" t="n">
        <v>7.9</v>
      </c>
      <c r="E7" s="4" t="n">
        <v>7.9</v>
      </c>
      <c r="F7" s="4" t="n">
        <v>7.9</v>
      </c>
      <c r="G7" s="4" t="n">
        <v>7.9</v>
      </c>
      <c r="H7" s="4" t="n">
        <v>7.9</v>
      </c>
      <c r="I7" s="4" t="n">
        <v>7.9</v>
      </c>
      <c r="J7" s="4" t="n">
        <v>7.9</v>
      </c>
      <c r="K7" s="4" t="n">
        <v>7.9</v>
      </c>
      <c r="L7" s="4" t="n">
        <v>7.9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</t>
        </is>
      </c>
      <c r="C9" s="4" t="n">
        <v>0.08</v>
      </c>
      <c r="D9" s="4" t="n">
        <v>0.08</v>
      </c>
      <c r="E9" s="4" t="n">
        <v>0.08</v>
      </c>
      <c r="F9" s="4" t="n">
        <v>0.08</v>
      </c>
      <c r="G9" s="4" t="n">
        <v>0.08</v>
      </c>
      <c r="H9" s="4" t="n">
        <v>0.08</v>
      </c>
      <c r="I9" s="4" t="n">
        <v>0.08</v>
      </c>
      <c r="J9" s="4" t="n">
        <v>0.08</v>
      </c>
      <c r="K9" s="4" t="n">
        <v>0.08</v>
      </c>
      <c r="L9" s="4" t="n">
        <v>0.08</v>
      </c>
    </row>
    <row r="10">
      <c r="A10" t="inlineStr">
        <is>
          <t>SBC (EUR)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cost % of revenue (net pmts)</t>
        </is>
      </c>
      <c r="C11" s="4" t="n">
        <v>1.96</v>
      </c>
      <c r="D11" s="4" t="n">
        <v>1.96</v>
      </c>
      <c r="E11" s="4" t="n">
        <v>1.96</v>
      </c>
      <c r="F11" s="4" t="n">
        <v>1.96</v>
      </c>
      <c r="G11" s="4" t="n">
        <v>1.96</v>
      </c>
      <c r="H11" s="4" t="n">
        <v>1.96</v>
      </c>
      <c r="I11" s="4" t="n">
        <v>1.96</v>
      </c>
      <c r="J11" s="4" t="n">
        <v>1.96</v>
      </c>
      <c r="K11" s="4" t="n">
        <v>1.96</v>
      </c>
      <c r="L11" s="4" t="n">
        <v>1.96</v>
      </c>
    </row>
    <row r="12">
      <c r="A12" t="inlineStr">
        <is>
          <t>Lease cost (EUR)</t>
        </is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D&amp;A % (link)</t>
        </is>
      </c>
      <c r="C13" s="5">
        <f>Assumptions!$B$6</f>
        <v/>
      </c>
      <c r="D13" s="5">
        <f>Assumptions!$B$6</f>
        <v/>
      </c>
      <c r="E13" s="5">
        <f>Assumptions!$B$6</f>
        <v/>
      </c>
      <c r="F13" s="5">
        <f>Assumptions!$B$6</f>
        <v/>
      </c>
      <c r="G13" s="5">
        <f>Assumptions!$B$6</f>
        <v/>
      </c>
      <c r="H13" s="5">
        <f>Assumptions!$B$6</f>
        <v/>
      </c>
      <c r="I13" s="5">
        <f>Assumptions!$B$6</f>
        <v/>
      </c>
      <c r="J13" s="5">
        <f>Assumptions!$B$6</f>
        <v/>
      </c>
      <c r="K13" s="5">
        <f>Assumptions!$B$6</f>
        <v/>
      </c>
      <c r="L13" s="5">
        <f>Assumptions!$B$6</f>
        <v/>
      </c>
    </row>
    <row r="14">
      <c r="A14" t="inlineStr">
        <is>
          <t>D&amp;A (EUR)</t>
        </is>
      </c>
      <c r="C14">
        <f>-C6*C13/100</f>
        <v/>
      </c>
      <c r="D14">
        <f>-D6*D13/100</f>
        <v/>
      </c>
      <c r="E14">
        <f>-E6*E13/100</f>
        <v/>
      </c>
      <c r="F14">
        <f>-F6*F13/100</f>
        <v/>
      </c>
      <c r="G14">
        <f>-G6*G13/100</f>
        <v/>
      </c>
      <c r="H14">
        <f>-H6*H13/100</f>
        <v/>
      </c>
      <c r="I14">
        <f>-I6*I13/100</f>
        <v/>
      </c>
      <c r="J14">
        <f>-J6*J13/100</f>
        <v/>
      </c>
      <c r="K14">
        <f>-K6*K13/100</f>
        <v/>
      </c>
      <c r="L14">
        <f>-L6*L13/100</f>
        <v/>
      </c>
    </row>
    <row r="15">
      <c r="A15" t="inlineStr">
        <is>
          <t>EBIT (SBC+lease charged)</t>
        </is>
      </c>
      <c r="C15">
        <f>C8+C10+C12+C14</f>
        <v/>
      </c>
      <c r="D15">
        <f>D8+D10+D12+D14</f>
        <v/>
      </c>
      <c r="E15">
        <f>E8+E10+E12+E14</f>
        <v/>
      </c>
      <c r="F15">
        <f>F8+F10+F12+F14</f>
        <v/>
      </c>
      <c r="G15">
        <f>G8+G10+G12+G14</f>
        <v/>
      </c>
      <c r="H15">
        <f>H8+H10+H12+H14</f>
        <v/>
      </c>
      <c r="I15">
        <f>I8+I10+I12+I14</f>
        <v/>
      </c>
      <c r="J15">
        <f>J8+J10+J12+J14</f>
        <v/>
      </c>
      <c r="K15">
        <f>K8+K10+K12+K14</f>
        <v/>
      </c>
      <c r="L15">
        <f>L8+L10+L12+L14</f>
        <v/>
      </c>
    </row>
    <row r="16">
      <c r="A16" t="inlineStr">
        <is>
          <t>Cash tax rate %</t>
        </is>
      </c>
      <c r="C16" s="4" t="n">
        <v>18</v>
      </c>
      <c r="D16" s="4" t="n">
        <v>19</v>
      </c>
      <c r="E16" s="4" t="n">
        <v>20</v>
      </c>
      <c r="F16" s="4" t="n">
        <v>21</v>
      </c>
      <c r="G16" s="4" t="n">
        <v>22</v>
      </c>
      <c r="H16" s="4" t="n">
        <v>22</v>
      </c>
      <c r="I16" s="4" t="n">
        <v>22</v>
      </c>
      <c r="J16" s="4" t="n">
        <v>22</v>
      </c>
      <c r="K16" s="4" t="n">
        <v>22</v>
      </c>
      <c r="L16" s="4" t="n">
        <v>22</v>
      </c>
    </row>
    <row r="17">
      <c r="A17" t="inlineStr">
        <is>
          <t>NOPAT</t>
        </is>
      </c>
      <c r="C17">
        <f>C15-MAX(0,C15)*C16/100</f>
        <v/>
      </c>
      <c r="D17">
        <f>D15-MAX(0,D15)*D16/100</f>
        <v/>
      </c>
      <c r="E17">
        <f>E15-MAX(0,E15)*E16/100</f>
        <v/>
      </c>
      <c r="F17">
        <f>F15-MAX(0,F15)*F16/100</f>
        <v/>
      </c>
      <c r="G17">
        <f>G15-MAX(0,G15)*G16/100</f>
        <v/>
      </c>
      <c r="H17">
        <f>H15-MAX(0,H15)*H16/100</f>
        <v/>
      </c>
      <c r="I17">
        <f>I15-MAX(0,I15)*I16/100</f>
        <v/>
      </c>
      <c r="J17">
        <f>J15-MAX(0,J15)*J16/100</f>
        <v/>
      </c>
      <c r="K17">
        <f>K15-MAX(0,K15)*K16/100</f>
        <v/>
      </c>
      <c r="L17">
        <f>L15-MAX(0,L15)*L16/100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Capex % of revenue</t>
        </is>
      </c>
      <c r="C19" s="4" t="n">
        <v>2.7</v>
      </c>
      <c r="D19" s="4" t="n">
        <v>2.7</v>
      </c>
      <c r="E19" s="4" t="n">
        <v>2.7</v>
      </c>
      <c r="F19" s="4" t="n">
        <v>2.7</v>
      </c>
      <c r="G19" s="4" t="n">
        <v>2.7</v>
      </c>
      <c r="H19" s="4" t="n">
        <v>2.7</v>
      </c>
      <c r="I19" s="4" t="n">
        <v>2.7</v>
      </c>
      <c r="J19" s="4" t="n">
        <v>2.7</v>
      </c>
      <c r="K19" s="4" t="n">
        <v>2.7</v>
      </c>
      <c r="L19" s="4" t="n">
        <v>2.7</v>
      </c>
    </row>
    <row r="20">
      <c r="A20" t="inlineStr">
        <is>
          <t>Capex (EUR)</t>
        </is>
      </c>
      <c r="C20">
        <f>-C6*C19/100</f>
        <v/>
      </c>
      <c r="D20">
        <f>-D6*D19/100</f>
        <v/>
      </c>
      <c r="E20">
        <f>-E6*E19/100</f>
        <v/>
      </c>
      <c r="F20">
        <f>-F6*F19/100</f>
        <v/>
      </c>
      <c r="G20">
        <f>-G6*G19/100</f>
        <v/>
      </c>
      <c r="H20">
        <f>-H6*H19/100</f>
        <v/>
      </c>
      <c r="I20">
        <f>-I6*I19/100</f>
        <v/>
      </c>
      <c r="J20">
        <f>-J6*J19/100</f>
        <v/>
      </c>
      <c r="K20">
        <f>-K6*K19/100</f>
        <v/>
      </c>
      <c r="L20">
        <f>-L6*L19/100</f>
        <v/>
      </c>
    </row>
    <row r="21">
      <c r="A21" t="inlineStr">
        <is>
          <t>WC (capture x rev change)</t>
        </is>
      </c>
      <c r="C21" s="5">
        <f>Assumptions!$B$7/100*(C6-B6)</f>
        <v/>
      </c>
      <c r="D21" s="5">
        <f>Assumptions!$B$7/100*(D6-C6)</f>
        <v/>
      </c>
      <c r="E21" s="5">
        <f>Assumptions!$B$7/100*(E6-D6)</f>
        <v/>
      </c>
      <c r="F21" s="5">
        <f>Assumptions!$B$7/100*(F6-E6)</f>
        <v/>
      </c>
      <c r="G21" s="5">
        <f>Assumptions!$B$7/100*(G6-F6)</f>
        <v/>
      </c>
      <c r="H21" s="5">
        <f>Assumptions!$B$7/100*(H6-G6)</f>
        <v/>
      </c>
      <c r="I21" s="5">
        <f>Assumptions!$B$7/100*(I6-H6)</f>
        <v/>
      </c>
      <c r="J21" s="5">
        <f>Assumptions!$B$7/100*(J6-I6)</f>
        <v/>
      </c>
      <c r="K21" s="5">
        <f>Assumptions!$B$7/100*(K6-J6)</f>
        <v/>
      </c>
      <c r="L21" s="5">
        <f>Assumptions!$B$7/100*(L6-K6)</f>
        <v/>
      </c>
    </row>
    <row r="22">
      <c r="A22" t="inlineStr">
        <is>
          <t>Owner FCF</t>
        </is>
      </c>
      <c r="C22">
        <f>C17+C18+C20+C21</f>
        <v/>
      </c>
      <c r="D22">
        <f>D17+D18+D20+D21</f>
        <v/>
      </c>
      <c r="E22">
        <f>E17+E18+E20+E21</f>
        <v/>
      </c>
      <c r="F22">
        <f>F17+F18+F20+F21</f>
        <v/>
      </c>
      <c r="G22">
        <f>G17+G18+G20+G21</f>
        <v/>
      </c>
      <c r="H22">
        <f>H17+H18+H20+H21</f>
        <v/>
      </c>
      <c r="I22">
        <f>I17+I18+I20+I21</f>
        <v/>
      </c>
      <c r="J22">
        <f>J17+J18+J20+J21</f>
        <v/>
      </c>
      <c r="K22">
        <f>K17+K18+K20+K21</f>
        <v/>
      </c>
      <c r="L22">
        <f>L17+L18+L20+L21</f>
        <v/>
      </c>
    </row>
    <row r="23">
      <c r="A23" t="inlineStr">
        <is>
          <t>Discount factor</t>
        </is>
      </c>
      <c r="C23" s="5">
        <f>1/(1+Assumptions!$B$5/100)^C4</f>
        <v/>
      </c>
      <c r="D23" s="5">
        <f>1/(1+Assumptions!$B$5/100)^D4</f>
        <v/>
      </c>
      <c r="E23" s="5">
        <f>1/(1+Assumptions!$B$5/100)^E4</f>
        <v/>
      </c>
      <c r="F23" s="5">
        <f>1/(1+Assumptions!$B$5/100)^F4</f>
        <v/>
      </c>
      <c r="G23" s="5">
        <f>1/(1+Assumptions!$B$5/100)^G4</f>
        <v/>
      </c>
      <c r="H23" s="5">
        <f>1/(1+Assumptions!$B$5/100)^H4</f>
        <v/>
      </c>
      <c r="I23" s="5">
        <f>1/(1+Assumptions!$B$5/100)^I4</f>
        <v/>
      </c>
      <c r="J23" s="5">
        <f>1/(1+Assumptions!$B$5/100)^J4</f>
        <v/>
      </c>
      <c r="K23" s="5">
        <f>1/(1+Assumptions!$B$5/100)^K4</f>
        <v/>
      </c>
      <c r="L23" s="5">
        <f>1/(1+Assumptions!$B$5/100)^L4</f>
        <v/>
      </c>
    </row>
    <row r="24">
      <c r="A24" t="inlineStr">
        <is>
          <t>PV of FCF</t>
        </is>
      </c>
      <c r="C24">
        <f>C22*C23</f>
        <v/>
      </c>
      <c r="D24">
        <f>D22*D23</f>
        <v/>
      </c>
      <c r="E24">
        <f>E22*E23</f>
        <v/>
      </c>
      <c r="F24">
        <f>F22*F23</f>
        <v/>
      </c>
      <c r="G24">
        <f>G22*G23</f>
        <v/>
      </c>
      <c r="H24">
        <f>H22*H23</f>
        <v/>
      </c>
      <c r="I24">
        <f>I22*I23</f>
        <v/>
      </c>
      <c r="J24">
        <f>J22*J23</f>
        <v/>
      </c>
      <c r="K24">
        <f>K22*K23</f>
        <v/>
      </c>
      <c r="L24">
        <f>L22*L23</f>
        <v/>
      </c>
    </row>
    <row r="26">
      <c r="A26" t="inlineStr">
        <is>
          <t>Memo: owner-FCF margin %</t>
        </is>
      </c>
      <c r="C26">
        <f>C22/C6*100</f>
        <v/>
      </c>
      <c r="D26">
        <f>D22/D6*100</f>
        <v/>
      </c>
      <c r="E26">
        <f>E22/E6*100</f>
        <v/>
      </c>
      <c r="F26">
        <f>F22/F6*100</f>
        <v/>
      </c>
      <c r="G26">
        <f>G22/G6*100</f>
        <v/>
      </c>
      <c r="H26">
        <f>H22/H6*100</f>
        <v/>
      </c>
      <c r="I26">
        <f>I22/I6*100</f>
        <v/>
      </c>
      <c r="J26">
        <f>J22/J6*100</f>
        <v/>
      </c>
      <c r="K26">
        <f>K22/K6*100</f>
        <v/>
      </c>
      <c r="L26">
        <f>L22/L6*100</f>
        <v/>
      </c>
    </row>
    <row r="28">
      <c r="A28" t="inlineStr">
        <is>
          <t>Sum PV of FCF</t>
        </is>
      </c>
      <c r="B28">
        <f>SUM(C24:L24)</f>
        <v/>
      </c>
    </row>
    <row r="29">
      <c r="A29" t="inlineStr">
        <is>
          <t>Terminal growth % (link)</t>
        </is>
      </c>
      <c r="B29" s="5">
        <f>Assumptions!$B$13</f>
        <v/>
      </c>
    </row>
    <row r="30">
      <c r="A30" t="inlineStr">
        <is>
          <t>Terminal FCF</t>
        </is>
      </c>
      <c r="B30">
        <f>L22*(1+B29/100)</f>
        <v/>
      </c>
    </row>
    <row r="31">
      <c r="A31" t="inlineStr">
        <is>
          <t>Gordon TV</t>
        </is>
      </c>
      <c r="B31">
        <f>IF(Assumptions!$B$5&gt;B29, B30/((Assumptions!$B$5-B29)/100), "n/a")</f>
        <v/>
      </c>
    </row>
    <row r="32">
      <c r="A32" t="inlineStr">
        <is>
          <t>Cap TV (cap x FCF10)</t>
        </is>
      </c>
      <c r="B32">
        <f>Assumptions!$C$13*L22</f>
        <v/>
      </c>
    </row>
    <row r="33">
      <c r="A33" t="inlineStr">
        <is>
          <t>TV used</t>
        </is>
      </c>
      <c r="B33">
        <f>MAX(0,MIN(B31,B32))</f>
        <v/>
      </c>
    </row>
    <row r="34">
      <c r="A34" t="inlineStr">
        <is>
          <t>Implied exit multiple (x owner FCF)</t>
        </is>
      </c>
      <c r="B34">
        <f>B33/L22</f>
        <v/>
      </c>
    </row>
    <row r="35">
      <c r="A35" t="inlineStr">
        <is>
          <t>PV of TV</t>
        </is>
      </c>
      <c r="B35">
        <f>B33*L23</f>
        <v/>
      </c>
    </row>
    <row r="36">
      <c r="A36" t="inlineStr">
        <is>
          <t>Enterprise value</t>
        </is>
      </c>
      <c r="B36">
        <f>B28+B35</f>
        <v/>
      </c>
    </row>
    <row r="37">
      <c r="A37" t="inlineStr">
        <is>
          <t>less net debt (ex-lease)</t>
        </is>
      </c>
      <c r="B37" s="5">
        <f>-Assumptions!$B$4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5">
        <f>Assumptions!$B$3</f>
        <v/>
      </c>
    </row>
    <row r="40">
      <c r="A40" t="inlineStr">
        <is>
          <t>VALUE PER SHARE (EUR)</t>
        </is>
      </c>
      <c r="B40" s="6">
        <f>B38/B39</f>
        <v/>
      </c>
    </row>
    <row r="41">
      <c r="A41" t="inlineStr">
        <is>
          <t>Upside vs price</t>
        </is>
      </c>
      <c r="B41">
        <f>B40/Assumptions!$B$2-1</f>
        <v/>
      </c>
    </row>
    <row r="43">
      <c r="A43" t="inlineStr">
        <is>
          <t>Street memo: PV explicit SBC</t>
        </is>
      </c>
      <c r="B43">
        <f>SUMPRODUCT(-C10:L10/(1+Assumptions!$B$5/100)^C4:L4)</f>
        <v/>
      </c>
    </row>
    <row r="44">
      <c r="A44" t="inlineStr">
        <is>
          <t>PV terminal SBC</t>
        </is>
      </c>
      <c r="B44">
        <f>-L10*(1+B29/100)/((Assumptions!$B$5-B29)/100)*L23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scenario - component owner-FCF build, EUR millions</t>
        </is>
      </c>
    </row>
    <row r="3">
      <c r="A3" t="inlineStr">
        <is>
          <t>Year</t>
        </is>
      </c>
      <c r="B3" t="inlineStr">
        <is>
          <t>2025A</t>
        </is>
      </c>
      <c r="C3" s="2" t="inlineStr">
        <is>
          <t>2026E</t>
        </is>
      </c>
      <c r="D3" s="2" t="inlineStr">
        <is>
          <t>2027E</t>
        </is>
      </c>
      <c r="E3" s="2" t="inlineStr">
        <is>
          <t>2028E</t>
        </is>
      </c>
      <c r="F3" s="2" t="inlineStr">
        <is>
          <t>2029E</t>
        </is>
      </c>
      <c r="G3" s="2" t="inlineStr">
        <is>
          <t>2030E</t>
        </is>
      </c>
      <c r="H3" s="2" t="inlineStr">
        <is>
          <t>2031E</t>
        </is>
      </c>
      <c r="I3" s="2" t="inlineStr">
        <is>
          <t>2032E</t>
        </is>
      </c>
      <c r="J3" s="2" t="inlineStr">
        <is>
          <t>2033E</t>
        </is>
      </c>
      <c r="K3" s="2" t="inlineStr">
        <is>
          <t>2034E</t>
        </is>
      </c>
      <c r="L3" s="2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4" t="n">
        <v>3.5</v>
      </c>
      <c r="D5" s="4" t="n">
        <v>2.5</v>
      </c>
      <c r="E5" s="4" t="n">
        <v>3.25</v>
      </c>
      <c r="F5" s="4" t="n">
        <v>3.25</v>
      </c>
      <c r="G5" s="4" t="n">
        <v>3</v>
      </c>
      <c r="H5" s="4" t="n">
        <v>3</v>
      </c>
      <c r="I5" s="4" t="n">
        <v>2.75</v>
      </c>
      <c r="J5" s="4" t="n">
        <v>2.75</v>
      </c>
      <c r="K5" s="4" t="n">
        <v>2.5</v>
      </c>
      <c r="L5" s="4" t="n">
        <v>2.5</v>
      </c>
    </row>
    <row r="6">
      <c r="A6" t="inlineStr">
        <is>
          <t>Revenue</t>
        </is>
      </c>
      <c r="B6" s="3" t="n">
        <v>92352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</t>
        </is>
      </c>
      <c r="C7" s="4" t="n">
        <v>7.9</v>
      </c>
      <c r="D7" s="4" t="n">
        <v>8</v>
      </c>
      <c r="E7" s="4" t="n">
        <v>8.1</v>
      </c>
      <c r="F7" s="4" t="n">
        <v>8.199999999999999</v>
      </c>
      <c r="G7" s="4" t="n">
        <v>8.300000000000001</v>
      </c>
      <c r="H7" s="4" t="n">
        <v>8.4</v>
      </c>
      <c r="I7" s="4" t="n">
        <v>8.4</v>
      </c>
      <c r="J7" s="4" t="n">
        <v>8.4</v>
      </c>
      <c r="K7" s="4" t="n">
        <v>8.4</v>
      </c>
      <c r="L7" s="4" t="n">
        <v>8.4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of revenue</t>
        </is>
      </c>
      <c r="C9" s="4" t="n">
        <v>0.08</v>
      </c>
      <c r="D9" s="4" t="n">
        <v>0.08</v>
      </c>
      <c r="E9" s="4" t="n">
        <v>0.08</v>
      </c>
      <c r="F9" s="4" t="n">
        <v>0.08</v>
      </c>
      <c r="G9" s="4" t="n">
        <v>0.08</v>
      </c>
      <c r="H9" s="4" t="n">
        <v>0.08</v>
      </c>
      <c r="I9" s="4" t="n">
        <v>0.08</v>
      </c>
      <c r="J9" s="4" t="n">
        <v>0.08</v>
      </c>
      <c r="K9" s="4" t="n">
        <v>0.08</v>
      </c>
      <c r="L9" s="4" t="n">
        <v>0.08</v>
      </c>
    </row>
    <row r="10">
      <c r="A10" t="inlineStr">
        <is>
          <t>SBC (EUR)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cost % of revenue (net pmts)</t>
        </is>
      </c>
      <c r="C11" s="4" t="n">
        <v>1.96</v>
      </c>
      <c r="D11" s="4" t="n">
        <v>1.96</v>
      </c>
      <c r="E11" s="4" t="n">
        <v>1.96</v>
      </c>
      <c r="F11" s="4" t="n">
        <v>1.96</v>
      </c>
      <c r="G11" s="4" t="n">
        <v>1.96</v>
      </c>
      <c r="H11" s="4" t="n">
        <v>1.96</v>
      </c>
      <c r="I11" s="4" t="n">
        <v>1.96</v>
      </c>
      <c r="J11" s="4" t="n">
        <v>1.96</v>
      </c>
      <c r="K11" s="4" t="n">
        <v>1.96</v>
      </c>
      <c r="L11" s="4" t="n">
        <v>1.96</v>
      </c>
    </row>
    <row r="12">
      <c r="A12" t="inlineStr">
        <is>
          <t>Lease cost (EUR)</t>
        </is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D&amp;A % (link)</t>
        </is>
      </c>
      <c r="C13" s="5">
        <f>Assumptions!$B$6</f>
        <v/>
      </c>
      <c r="D13" s="5">
        <f>Assumptions!$B$6</f>
        <v/>
      </c>
      <c r="E13" s="5">
        <f>Assumptions!$B$6</f>
        <v/>
      </c>
      <c r="F13" s="5">
        <f>Assumptions!$B$6</f>
        <v/>
      </c>
      <c r="G13" s="5">
        <f>Assumptions!$B$6</f>
        <v/>
      </c>
      <c r="H13" s="5">
        <f>Assumptions!$B$6</f>
        <v/>
      </c>
      <c r="I13" s="5">
        <f>Assumptions!$B$6</f>
        <v/>
      </c>
      <c r="J13" s="5">
        <f>Assumptions!$B$6</f>
        <v/>
      </c>
      <c r="K13" s="5">
        <f>Assumptions!$B$6</f>
        <v/>
      </c>
      <c r="L13" s="5">
        <f>Assumptions!$B$6</f>
        <v/>
      </c>
    </row>
    <row r="14">
      <c r="A14" t="inlineStr">
        <is>
          <t>D&amp;A (EUR)</t>
        </is>
      </c>
      <c r="C14">
        <f>-C6*C13/100</f>
        <v/>
      </c>
      <c r="D14">
        <f>-D6*D13/100</f>
        <v/>
      </c>
      <c r="E14">
        <f>-E6*E13/100</f>
        <v/>
      </c>
      <c r="F14">
        <f>-F6*F13/100</f>
        <v/>
      </c>
      <c r="G14">
        <f>-G6*G13/100</f>
        <v/>
      </c>
      <c r="H14">
        <f>-H6*H13/100</f>
        <v/>
      </c>
      <c r="I14">
        <f>-I6*I13/100</f>
        <v/>
      </c>
      <c r="J14">
        <f>-J6*J13/100</f>
        <v/>
      </c>
      <c r="K14">
        <f>-K6*K13/100</f>
        <v/>
      </c>
      <c r="L14">
        <f>-L6*L13/100</f>
        <v/>
      </c>
    </row>
    <row r="15">
      <c r="A15" t="inlineStr">
        <is>
          <t>EBIT (SBC+lease charged)</t>
        </is>
      </c>
      <c r="C15">
        <f>C8+C10+C12+C14</f>
        <v/>
      </c>
      <c r="D15">
        <f>D8+D10+D12+D14</f>
        <v/>
      </c>
      <c r="E15">
        <f>E8+E10+E12+E14</f>
        <v/>
      </c>
      <c r="F15">
        <f>F8+F10+F12+F14</f>
        <v/>
      </c>
      <c r="G15">
        <f>G8+G10+G12+G14</f>
        <v/>
      </c>
      <c r="H15">
        <f>H8+H10+H12+H14</f>
        <v/>
      </c>
      <c r="I15">
        <f>I8+I10+I12+I14</f>
        <v/>
      </c>
      <c r="J15">
        <f>J8+J10+J12+J14</f>
        <v/>
      </c>
      <c r="K15">
        <f>K8+K10+K12+K14</f>
        <v/>
      </c>
      <c r="L15">
        <f>L8+L10+L12+L14</f>
        <v/>
      </c>
    </row>
    <row r="16">
      <c r="A16" t="inlineStr">
        <is>
          <t>Cash tax rate %</t>
        </is>
      </c>
      <c r="C16" s="4" t="n">
        <v>18</v>
      </c>
      <c r="D16" s="4" t="n">
        <v>19</v>
      </c>
      <c r="E16" s="4" t="n">
        <v>20</v>
      </c>
      <c r="F16" s="4" t="n">
        <v>21</v>
      </c>
      <c r="G16" s="4" t="n">
        <v>22</v>
      </c>
      <c r="H16" s="4" t="n">
        <v>22</v>
      </c>
      <c r="I16" s="4" t="n">
        <v>22</v>
      </c>
      <c r="J16" s="4" t="n">
        <v>22</v>
      </c>
      <c r="K16" s="4" t="n">
        <v>22</v>
      </c>
      <c r="L16" s="4" t="n">
        <v>22</v>
      </c>
    </row>
    <row r="17">
      <c r="A17" t="inlineStr">
        <is>
          <t>NOPAT</t>
        </is>
      </c>
      <c r="C17">
        <f>C15-MAX(0,C15)*C16/100</f>
        <v/>
      </c>
      <c r="D17">
        <f>D15-MAX(0,D15)*D16/100</f>
        <v/>
      </c>
      <c r="E17">
        <f>E15-MAX(0,E15)*E16/100</f>
        <v/>
      </c>
      <c r="F17">
        <f>F15-MAX(0,F15)*F16/100</f>
        <v/>
      </c>
      <c r="G17">
        <f>G15-MAX(0,G15)*G16/100</f>
        <v/>
      </c>
      <c r="H17">
        <f>H15-MAX(0,H15)*H16/100</f>
        <v/>
      </c>
      <c r="I17">
        <f>I15-MAX(0,I15)*I16/100</f>
        <v/>
      </c>
      <c r="J17">
        <f>J15-MAX(0,J15)*J16/100</f>
        <v/>
      </c>
      <c r="K17">
        <f>K15-MAX(0,K15)*K16/100</f>
        <v/>
      </c>
      <c r="L17">
        <f>L15-MAX(0,L15)*L16/100</f>
        <v/>
      </c>
    </row>
    <row r="18">
      <c r="A18" t="inlineStr">
        <is>
          <t>add back D&amp;A</t>
        </is>
      </c>
      <c r="C18">
        <f>-C14</f>
        <v/>
      </c>
      <c r="D18">
        <f>-D14</f>
        <v/>
      </c>
      <c r="E18">
        <f>-E14</f>
        <v/>
      </c>
      <c r="F18">
        <f>-F14</f>
        <v/>
      </c>
      <c r="G18">
        <f>-G14</f>
        <v/>
      </c>
      <c r="H18">
        <f>-H14</f>
        <v/>
      </c>
      <c r="I18">
        <f>-I14</f>
        <v/>
      </c>
      <c r="J18">
        <f>-J14</f>
        <v/>
      </c>
      <c r="K18">
        <f>-K14</f>
        <v/>
      </c>
      <c r="L18">
        <f>-L14</f>
        <v/>
      </c>
    </row>
    <row r="19">
      <c r="A19" t="inlineStr">
        <is>
          <t>Capex % of revenue</t>
        </is>
      </c>
      <c r="C19" s="4" t="n">
        <v>2.7</v>
      </c>
      <c r="D19" s="4" t="n">
        <v>2.7</v>
      </c>
      <c r="E19" s="4" t="n">
        <v>2.7</v>
      </c>
      <c r="F19" s="4" t="n">
        <v>2.7</v>
      </c>
      <c r="G19" s="4" t="n">
        <v>2.7</v>
      </c>
      <c r="H19" s="4" t="n">
        <v>2.7</v>
      </c>
      <c r="I19" s="4" t="n">
        <v>2.7</v>
      </c>
      <c r="J19" s="4" t="n">
        <v>2.7</v>
      </c>
      <c r="K19" s="4" t="n">
        <v>2.7</v>
      </c>
      <c r="L19" s="4" t="n">
        <v>2.7</v>
      </c>
    </row>
    <row r="20">
      <c r="A20" t="inlineStr">
        <is>
          <t>Capex (EUR)</t>
        </is>
      </c>
      <c r="C20">
        <f>-C6*C19/100</f>
        <v/>
      </c>
      <c r="D20">
        <f>-D6*D19/100</f>
        <v/>
      </c>
      <c r="E20">
        <f>-E6*E19/100</f>
        <v/>
      </c>
      <c r="F20">
        <f>-F6*F19/100</f>
        <v/>
      </c>
      <c r="G20">
        <f>-G6*G19/100</f>
        <v/>
      </c>
      <c r="H20">
        <f>-H6*H19/100</f>
        <v/>
      </c>
      <c r="I20">
        <f>-I6*I19/100</f>
        <v/>
      </c>
      <c r="J20">
        <f>-J6*J19/100</f>
        <v/>
      </c>
      <c r="K20">
        <f>-K6*K19/100</f>
        <v/>
      </c>
      <c r="L20">
        <f>-L6*L19/100</f>
        <v/>
      </c>
    </row>
    <row r="21">
      <c r="A21" t="inlineStr">
        <is>
          <t>WC (capture x rev change)</t>
        </is>
      </c>
      <c r="C21" s="5">
        <f>Assumptions!$B$7/100*(C6-B6)</f>
        <v/>
      </c>
      <c r="D21" s="5">
        <f>Assumptions!$B$7/100*(D6-C6)</f>
        <v/>
      </c>
      <c r="E21" s="5">
        <f>Assumptions!$B$7/100*(E6-D6)</f>
        <v/>
      </c>
      <c r="F21" s="5">
        <f>Assumptions!$B$7/100*(F6-E6)</f>
        <v/>
      </c>
      <c r="G21" s="5">
        <f>Assumptions!$B$7/100*(G6-F6)</f>
        <v/>
      </c>
      <c r="H21" s="5">
        <f>Assumptions!$B$7/100*(H6-G6)</f>
        <v/>
      </c>
      <c r="I21" s="5">
        <f>Assumptions!$B$7/100*(I6-H6)</f>
        <v/>
      </c>
      <c r="J21" s="5">
        <f>Assumptions!$B$7/100*(J6-I6)</f>
        <v/>
      </c>
      <c r="K21" s="5">
        <f>Assumptions!$B$7/100*(K6-J6)</f>
        <v/>
      </c>
      <c r="L21" s="5">
        <f>Assumptions!$B$7/100*(L6-K6)</f>
        <v/>
      </c>
    </row>
    <row r="22">
      <c r="A22" t="inlineStr">
        <is>
          <t>Owner FCF</t>
        </is>
      </c>
      <c r="C22">
        <f>C17+C18+C20+C21</f>
        <v/>
      </c>
      <c r="D22">
        <f>D17+D18+D20+D21</f>
        <v/>
      </c>
      <c r="E22">
        <f>E17+E18+E20+E21</f>
        <v/>
      </c>
      <c r="F22">
        <f>F17+F18+F20+F21</f>
        <v/>
      </c>
      <c r="G22">
        <f>G17+G18+G20+G21</f>
        <v/>
      </c>
      <c r="H22">
        <f>H17+H18+H20+H21</f>
        <v/>
      </c>
      <c r="I22">
        <f>I17+I18+I20+I21</f>
        <v/>
      </c>
      <c r="J22">
        <f>J17+J18+J20+J21</f>
        <v/>
      </c>
      <c r="K22">
        <f>K17+K18+K20+K21</f>
        <v/>
      </c>
      <c r="L22">
        <f>L17+L18+L20+L21</f>
        <v/>
      </c>
    </row>
    <row r="23">
      <c r="A23" t="inlineStr">
        <is>
          <t>Discount factor</t>
        </is>
      </c>
      <c r="C23" s="5">
        <f>1/(1+Assumptions!$B$5/100)^C4</f>
        <v/>
      </c>
      <c r="D23" s="5">
        <f>1/(1+Assumptions!$B$5/100)^D4</f>
        <v/>
      </c>
      <c r="E23" s="5">
        <f>1/(1+Assumptions!$B$5/100)^E4</f>
        <v/>
      </c>
      <c r="F23" s="5">
        <f>1/(1+Assumptions!$B$5/100)^F4</f>
        <v/>
      </c>
      <c r="G23" s="5">
        <f>1/(1+Assumptions!$B$5/100)^G4</f>
        <v/>
      </c>
      <c r="H23" s="5">
        <f>1/(1+Assumptions!$B$5/100)^H4</f>
        <v/>
      </c>
      <c r="I23" s="5">
        <f>1/(1+Assumptions!$B$5/100)^I4</f>
        <v/>
      </c>
      <c r="J23" s="5">
        <f>1/(1+Assumptions!$B$5/100)^J4</f>
        <v/>
      </c>
      <c r="K23" s="5">
        <f>1/(1+Assumptions!$B$5/100)^K4</f>
        <v/>
      </c>
      <c r="L23" s="5">
        <f>1/(1+Assumptions!$B$5/100)^L4</f>
        <v/>
      </c>
    </row>
    <row r="24">
      <c r="A24" t="inlineStr">
        <is>
          <t>PV of FCF</t>
        </is>
      </c>
      <c r="C24">
        <f>C22*C23</f>
        <v/>
      </c>
      <c r="D24">
        <f>D22*D23</f>
        <v/>
      </c>
      <c r="E24">
        <f>E22*E23</f>
        <v/>
      </c>
      <c r="F24">
        <f>F22*F23</f>
        <v/>
      </c>
      <c r="G24">
        <f>G22*G23</f>
        <v/>
      </c>
      <c r="H24">
        <f>H22*H23</f>
        <v/>
      </c>
      <c r="I24">
        <f>I22*I23</f>
        <v/>
      </c>
      <c r="J24">
        <f>J22*J23</f>
        <v/>
      </c>
      <c r="K24">
        <f>K22*K23</f>
        <v/>
      </c>
      <c r="L24">
        <f>L22*L23</f>
        <v/>
      </c>
    </row>
    <row r="26">
      <c r="A26" t="inlineStr">
        <is>
          <t>Memo: owner-FCF margin %</t>
        </is>
      </c>
      <c r="C26">
        <f>C22/C6*100</f>
        <v/>
      </c>
      <c r="D26">
        <f>D22/D6*100</f>
        <v/>
      </c>
      <c r="E26">
        <f>E22/E6*100</f>
        <v/>
      </c>
      <c r="F26">
        <f>F22/F6*100</f>
        <v/>
      </c>
      <c r="G26">
        <f>G22/G6*100</f>
        <v/>
      </c>
      <c r="H26">
        <f>H22/H6*100</f>
        <v/>
      </c>
      <c r="I26">
        <f>I22/I6*100</f>
        <v/>
      </c>
      <c r="J26">
        <f>J22/J6*100</f>
        <v/>
      </c>
      <c r="K26">
        <f>K22/K6*100</f>
        <v/>
      </c>
      <c r="L26">
        <f>L22/L6*100</f>
        <v/>
      </c>
    </row>
    <row r="28">
      <c r="A28" t="inlineStr">
        <is>
          <t>Sum PV of FCF</t>
        </is>
      </c>
      <c r="B28">
        <f>SUM(C24:L24)</f>
        <v/>
      </c>
    </row>
    <row r="29">
      <c r="A29" t="inlineStr">
        <is>
          <t>Terminal growth % (link)</t>
        </is>
      </c>
      <c r="B29" s="5">
        <f>Assumptions!$B$14</f>
        <v/>
      </c>
    </row>
    <row r="30">
      <c r="A30" t="inlineStr">
        <is>
          <t>Terminal FCF</t>
        </is>
      </c>
      <c r="B30">
        <f>L22*(1+B29/100)</f>
        <v/>
      </c>
    </row>
    <row r="31">
      <c r="A31" t="inlineStr">
        <is>
          <t>Gordon TV</t>
        </is>
      </c>
      <c r="B31">
        <f>IF(Assumptions!$B$5&gt;B29, B30/((Assumptions!$B$5-B29)/100), "n/a")</f>
        <v/>
      </c>
    </row>
    <row r="32">
      <c r="A32" t="inlineStr">
        <is>
          <t>Cap TV (cap x FCF10)</t>
        </is>
      </c>
      <c r="B32">
        <f>Assumptions!$C$14*L22</f>
        <v/>
      </c>
    </row>
    <row r="33">
      <c r="A33" t="inlineStr">
        <is>
          <t>TV used</t>
        </is>
      </c>
      <c r="B33">
        <f>MAX(0,MIN(B31,B32))</f>
        <v/>
      </c>
    </row>
    <row r="34">
      <c r="A34" t="inlineStr">
        <is>
          <t>Implied exit multiple (x owner FCF)</t>
        </is>
      </c>
      <c r="B34">
        <f>B33/L22</f>
        <v/>
      </c>
    </row>
    <row r="35">
      <c r="A35" t="inlineStr">
        <is>
          <t>PV of TV</t>
        </is>
      </c>
      <c r="B35">
        <f>B33*L23</f>
        <v/>
      </c>
    </row>
    <row r="36">
      <c r="A36" t="inlineStr">
        <is>
          <t>Enterprise value</t>
        </is>
      </c>
      <c r="B36">
        <f>B28+B35</f>
        <v/>
      </c>
    </row>
    <row r="37">
      <c r="A37" t="inlineStr">
        <is>
          <t>less net debt (ex-lease)</t>
        </is>
      </c>
      <c r="B37" s="5">
        <f>-Assumptions!$B$4</f>
        <v/>
      </c>
    </row>
    <row r="38">
      <c r="A38" t="inlineStr">
        <is>
          <t>Equity value</t>
        </is>
      </c>
      <c r="B38">
        <f>B36+B37</f>
        <v/>
      </c>
    </row>
    <row r="39">
      <c r="A39" t="inlineStr">
        <is>
          <t>Diluted shares (M)</t>
        </is>
      </c>
      <c r="B39" s="5">
        <f>Assumptions!$B$3</f>
        <v/>
      </c>
    </row>
    <row r="40">
      <c r="A40" t="inlineStr">
        <is>
          <t>VALUE PER SHARE (EUR)</t>
        </is>
      </c>
      <c r="B40" s="6">
        <f>B38/B39</f>
        <v/>
      </c>
    </row>
    <row r="41">
      <c r="A41" t="inlineStr">
        <is>
          <t>Upside vs price</t>
        </is>
      </c>
      <c r="B41">
        <f>B40/Assumptions!$B$2-1</f>
        <v/>
      </c>
    </row>
    <row r="43">
      <c r="A43" t="inlineStr">
        <is>
          <t>Street memo: PV explicit SBC</t>
        </is>
      </c>
      <c r="B43">
        <f>SUMPRODUCT(-C10:L10/(1+Assumptions!$B$5/100)^C4:L4)</f>
        <v/>
      </c>
    </row>
    <row r="44">
      <c r="A44" t="inlineStr">
        <is>
          <t>PV terminal SBC</t>
        </is>
      </c>
      <c r="B44">
        <f>-L10*(1+B29/100)/((Assumptions!$B$5-B29)/100)*L23</f>
        <v/>
      </c>
    </row>
    <row r="45">
      <c r="A45" t="inlineStr">
        <is>
          <t>Street value per share</t>
        </is>
      </c>
      <c r="B45">
        <f>(B38+B43+B44)/B39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Reported FCF (company definition: OCF - gross capex + divestments + JV divs + interest recd + lease receipts - interest paid - lease repayments) reconciled to owner FCF</t>
        </is>
      </c>
    </row>
    <row r="2">
      <c r="A2" s="2" t="inlineStr">
        <is>
          <t>Metric</t>
        </is>
      </c>
      <c r="B2" s="2" t="inlineStr">
        <is>
          <t>FY2017</t>
        </is>
      </c>
      <c r="C2" s="2" t="inlineStr">
        <is>
          <t>FY2018</t>
        </is>
      </c>
      <c r="D2" s="2" t="inlineStr">
        <is>
          <t>FY2019</t>
        </is>
      </c>
      <c r="E2" s="2" t="inlineStr">
        <is>
          <t>FY2020</t>
        </is>
      </c>
      <c r="F2" s="2" t="inlineStr">
        <is>
          <t>FY2021</t>
        </is>
      </c>
      <c r="G2" s="2" t="inlineStr">
        <is>
          <t>FY2022</t>
        </is>
      </c>
      <c r="H2" s="2" t="inlineStr">
        <is>
          <t>FY2023</t>
        </is>
      </c>
      <c r="I2" s="2" t="inlineStr">
        <is>
          <t>FY2024</t>
        </is>
      </c>
      <c r="J2" s="2" t="inlineStr">
        <is>
          <t>FY2025</t>
        </is>
      </c>
    </row>
    <row r="3">
      <c r="A3" t="inlineStr">
        <is>
          <t>Reported FCF (company)</t>
        </is>
      </c>
      <c r="B3" s="3" t="n">
        <v>1926</v>
      </c>
      <c r="C3" s="3" t="n">
        <v>2165</v>
      </c>
      <c r="D3" s="3" t="n">
        <v>1843</v>
      </c>
      <c r="E3" s="3" t="n">
        <v>2199</v>
      </c>
      <c r="F3" s="3" t="n">
        <v>1618</v>
      </c>
      <c r="G3" s="3" t="n">
        <v>2188</v>
      </c>
      <c r="H3" s="3" t="n">
        <v>2425</v>
      </c>
      <c r="I3" s="3" t="n">
        <v>2545</v>
      </c>
      <c r="J3" s="3" t="n">
        <v>2600</v>
      </c>
    </row>
    <row r="4">
      <c r="A4" t="inlineStr">
        <is>
          <t>add: interest paid</t>
        </is>
      </c>
      <c r="B4" s="3" t="n">
        <v>320</v>
      </c>
      <c r="C4" s="3" t="n">
        <v>324</v>
      </c>
      <c r="D4" s="3" t="n">
        <v>189</v>
      </c>
      <c r="E4" s="3" t="n">
        <v>149</v>
      </c>
      <c r="F4" s="3" t="n">
        <v>138</v>
      </c>
      <c r="G4" s="3" t="n">
        <v>174</v>
      </c>
      <c r="H4" s="3" t="n">
        <v>226</v>
      </c>
      <c r="I4" s="3" t="n">
        <v>230</v>
      </c>
      <c r="J4" s="3" t="n">
        <v>261</v>
      </c>
    </row>
    <row r="5">
      <c r="A5" t="inlineStr">
        <is>
          <t>less: interest received</t>
        </is>
      </c>
      <c r="B5" s="3" t="n">
        <v>-32</v>
      </c>
      <c r="C5" s="3" t="n">
        <v>-74</v>
      </c>
      <c r="D5" s="3" t="n">
        <v>-56</v>
      </c>
      <c r="E5" s="3" t="n">
        <v>-24</v>
      </c>
      <c r="F5" s="3" t="n">
        <v>-16</v>
      </c>
      <c r="G5" s="3" t="n">
        <v>-56</v>
      </c>
      <c r="H5" s="3" t="n">
        <v>-160</v>
      </c>
      <c r="I5" s="3" t="n">
        <v>-196</v>
      </c>
      <c r="J5" s="3" t="n">
        <v>-130</v>
      </c>
    </row>
    <row r="6">
      <c r="A6" t="inlineStr">
        <is>
          <t>less: SBC</t>
        </is>
      </c>
      <c r="B6" s="3" t="n">
        <v>-79</v>
      </c>
      <c r="C6" s="3" t="n">
        <v>-60</v>
      </c>
      <c r="D6" s="3" t="n">
        <v>-51</v>
      </c>
      <c r="E6" s="3" t="n">
        <v>-59</v>
      </c>
      <c r="F6" s="3" t="n">
        <v>-48</v>
      </c>
      <c r="G6" s="3" t="n">
        <v>-65</v>
      </c>
      <c r="H6" s="3" t="n">
        <v>-53</v>
      </c>
      <c r="I6" s="3" t="n">
        <v>-42</v>
      </c>
      <c r="J6" s="3" t="n">
        <v>-70</v>
      </c>
    </row>
    <row r="7">
      <c r="A7" s="1" t="inlineStr">
        <is>
          <t>Owner FCF (sum of above)</t>
        </is>
      </c>
      <c r="B7" s="1">
        <f>SUM(B3:B6)</f>
        <v/>
      </c>
      <c r="C7" s="1">
        <f>SUM(C3:C6)</f>
        <v/>
      </c>
      <c r="D7" s="1">
        <f>SUM(D3:D6)</f>
        <v/>
      </c>
      <c r="E7" s="1">
        <f>SUM(E3:E6)</f>
        <v/>
      </c>
      <c r="F7" s="1">
        <f>SUM(F3:F6)</f>
        <v/>
      </c>
      <c r="G7" s="1">
        <f>SUM(G3:G6)</f>
        <v/>
      </c>
      <c r="H7" s="1">
        <f>SUM(H3:H6)</f>
        <v/>
      </c>
      <c r="I7" s="1">
        <f>SUM(I3:I6)</f>
        <v/>
      </c>
      <c r="J7" s="1">
        <f>SUM(J3:J6)</f>
        <v/>
      </c>
    </row>
    <row r="8">
      <c r="A8" t="inlineStr">
        <is>
          <t>Reported FCF margin %</t>
        </is>
      </c>
      <c r="B8">
        <f>B3/62890*100</f>
        <v/>
      </c>
      <c r="C8">
        <f>C3/62791*100</f>
        <v/>
      </c>
      <c r="D8">
        <f>D3/66260*100</f>
        <v/>
      </c>
      <c r="E8">
        <f>E3/74736*100</f>
        <v/>
      </c>
      <c r="F8">
        <f>F3/75601*100</f>
        <v/>
      </c>
      <c r="G8">
        <f>G3/86984*100</f>
        <v/>
      </c>
      <c r="H8">
        <f>H3/88734*100</f>
        <v/>
      </c>
      <c r="I8">
        <f>I3/89356*100</f>
        <v/>
      </c>
      <c r="J8">
        <f>J3/92352*100</f>
        <v/>
      </c>
    </row>
    <row r="9">
      <c r="A9" t="inlineStr">
        <is>
          <t>Owner FCF margin %</t>
        </is>
      </c>
      <c r="B9">
        <f>B7/62890*100</f>
        <v/>
      </c>
      <c r="C9">
        <f>C7/62791*100</f>
        <v/>
      </c>
      <c r="D9">
        <f>D7/66260*100</f>
        <v/>
      </c>
      <c r="E9">
        <f>E7/74736*100</f>
        <v/>
      </c>
      <c r="F9">
        <f>F7/75601*100</f>
        <v/>
      </c>
      <c r="G9">
        <f>G7/86984*100</f>
        <v/>
      </c>
      <c r="H9">
        <f>H7/88734*100</f>
        <v/>
      </c>
      <c r="I9">
        <f>I7/89356*100</f>
        <v/>
      </c>
      <c r="J9">
        <f>J7/92352*100</f>
        <v/>
      </c>
    </row>
    <row r="10">
      <c r="A10" t="inlineStr">
        <is>
          <t>Memo: cash taxes paid</t>
        </is>
      </c>
      <c r="B10" s="3" t="n">
        <v>480</v>
      </c>
      <c r="C10" s="3" t="n">
        <v>280</v>
      </c>
      <c r="D10" s="3" t="n">
        <v>358</v>
      </c>
      <c r="E10" s="3" t="n">
        <v>486</v>
      </c>
      <c r="F10" s="3" t="n">
        <v>931</v>
      </c>
      <c r="G10" s="3" t="n">
        <v>397</v>
      </c>
      <c r="H10" s="3" t="n">
        <v>200</v>
      </c>
      <c r="I10" s="3" t="n">
        <v>470</v>
      </c>
      <c r="J10" s="3" t="n">
        <v>499</v>
      </c>
    </row>
    <row r="11">
      <c r="A11" t="inlineStr">
        <is>
          <t>Memo: lease repayments (in reported FCF)</t>
        </is>
      </c>
      <c r="B11" s="3" t="n">
        <v>0</v>
      </c>
      <c r="C11" s="3" t="n">
        <v>0</v>
      </c>
      <c r="D11" s="3" t="n">
        <v>1530</v>
      </c>
      <c r="E11" s="3" t="n">
        <v>1584</v>
      </c>
      <c r="F11" s="3" t="n">
        <v>1569</v>
      </c>
      <c r="G11" s="3" t="n">
        <v>1755</v>
      </c>
      <c r="H11" s="3" t="n">
        <v>1815</v>
      </c>
      <c r="I11" s="3" t="n">
        <v>1743</v>
      </c>
      <c r="J11" s="3" t="n">
        <v>1944</v>
      </c>
    </row>
    <row r="13">
      <c r="A13" t="inlineStr">
        <is>
          <t>Notes: FY2017-18 are pre-IFRS-16 (leases were rent inside OCF - economically comparable, mechanically different). FY2021 cash taxes EUR 931m include a catch-up payment; FY2023's EUR 200m was unusually low - the DCF ramps the cash rate 18-&gt;22%. FY2025 owner FCF EUR 2,661m is 1.15x the FY2018-25 median (EUR 2,310m) - not a peak base.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Scenario summary</t>
        </is>
      </c>
    </row>
    <row r="2">
      <c r="A2" s="2" t="inlineStr">
        <is>
          <t>Scenario</t>
        </is>
      </c>
      <c r="B2" s="2" t="inlineStr">
        <is>
          <t>Value/share</t>
        </is>
      </c>
      <c r="C2" s="2" t="inlineStr">
        <is>
          <t>Upside vs price</t>
        </is>
      </c>
      <c r="D2" s="2" t="inlineStr">
        <is>
          <t>Probability</t>
        </is>
      </c>
      <c r="E2" s="2" t="inlineStr">
        <is>
          <t>Street value/share</t>
        </is>
      </c>
      <c r="F2" s="2" t="inlineStr">
        <is>
          <t>Entry price @15% IRR</t>
        </is>
      </c>
    </row>
    <row r="3">
      <c r="A3" t="inlineStr">
        <is>
          <t>Bear</t>
        </is>
      </c>
      <c r="B3" s="5">
        <f>DCF_Bear!$B$40</f>
        <v/>
      </c>
      <c r="C3">
        <f>B3/Assumptions!$B$2-1</f>
        <v/>
      </c>
      <c r="D3" s="5">
        <f>Assumptions!$D$12</f>
        <v/>
      </c>
      <c r="E3" s="5">
        <f>DCF_Bear!$B$45</f>
        <v/>
      </c>
      <c r="F3">
        <f>(SUMPRODUCT(DCF_Bear!$C$22:$L$22/(1.15)^DCF_Bear!$C$4:$L$4)+DCF_Bear!$B$33/(1.15)^10-Assumptions!$B$4)/Assumptions!$B$3</f>
        <v/>
      </c>
    </row>
    <row r="4">
      <c r="A4" t="inlineStr">
        <is>
          <t>Base</t>
        </is>
      </c>
      <c r="B4" s="5">
        <f>DCF_Base!$B$40</f>
        <v/>
      </c>
      <c r="C4">
        <f>B4/Assumptions!$B$2-1</f>
        <v/>
      </c>
      <c r="D4" s="5">
        <f>Assumptions!$D$13</f>
        <v/>
      </c>
      <c r="E4" s="5">
        <f>DCF_Base!$B$45</f>
        <v/>
      </c>
      <c r="F4">
        <f>(SUMPRODUCT(DCF_Base!$C$22:$L$22/(1.15)^DCF_Base!$C$4:$L$4)+DCF_Base!$B$33/(1.15)^10-Assumptions!$B$4)/Assumptions!$B$3</f>
        <v/>
      </c>
    </row>
    <row r="5">
      <c r="A5" t="inlineStr">
        <is>
          <t>Bull</t>
        </is>
      </c>
      <c r="B5" s="5">
        <f>DCF_Bull!$B$40</f>
        <v/>
      </c>
      <c r="C5">
        <f>B5/Assumptions!$B$2-1</f>
        <v/>
      </c>
      <c r="D5" s="5">
        <f>Assumptions!$D$14</f>
        <v/>
      </c>
      <c r="E5" s="5">
        <f>DCF_Bull!$B$45</f>
        <v/>
      </c>
      <c r="F5">
        <f>(SUMPRODUCT(DCF_Bull!$C$22:$L$22/(1.15)^DCF_Bull!$C$4:$L$4)+DCF_Bull!$B$33/(1.15)^10-Assumptions!$B$4)/Assumptions!$B$3</f>
        <v/>
      </c>
    </row>
    <row r="7">
      <c r="A7" s="1" t="inlineStr">
        <is>
          <t>Probability-weighted IV</t>
        </is>
      </c>
      <c r="B7" s="7">
        <f>SUMPRODUCT(B3:B5,D3:D5)</f>
        <v/>
      </c>
    </row>
    <row r="8">
      <c r="A8" t="inlineStr">
        <is>
          <t>Margin of safety</t>
        </is>
      </c>
      <c r="B8">
        <f>1-Assumptions!$B$2/B7</f>
        <v/>
      </c>
    </row>
    <row r="9">
      <c r="A9" t="inlineStr">
        <is>
          <t>Street weighted IV</t>
        </is>
      </c>
      <c r="B9">
        <f>SUMPRODUCT(E3:E5,D3:D5)</f>
        <v/>
      </c>
    </row>
    <row r="10">
      <c r="A10" t="inlineStr">
        <is>
          <t>Weighted entry price @15%</t>
        </is>
      </c>
      <c r="B10">
        <f>SUMPRODUCT(F3:F5,D3:D5)</f>
        <v/>
      </c>
    </row>
    <row r="11">
      <c r="A11" t="inlineStr">
        <is>
          <t>Band position</t>
        </is>
      </c>
      <c r="B11" t="inlineStr">
        <is>
          <t>n/a - SBC is 0.08% of revenue; house/street band ~EUR 1.7 wide, collapsed</t>
        </is>
      </c>
    </row>
    <row r="13">
      <c r="A13" s="1" t="inlineStr">
        <is>
          <t>Required-return table (base case): value per share at r</t>
        </is>
      </c>
    </row>
    <row r="14">
      <c r="A14" t="inlineStr">
        <is>
          <t>r (%)</t>
        </is>
      </c>
      <c r="B14" s="3" t="n">
        <v>6.8</v>
      </c>
      <c r="C14" s="3" t="n">
        <v>9</v>
      </c>
      <c r="D14" s="3" t="n">
        <v>10</v>
      </c>
      <c r="E14" s="3" t="n">
        <v>11</v>
      </c>
      <c r="F14" s="3" t="n">
        <v>12</v>
      </c>
      <c r="G14" s="3" t="n">
        <v>15</v>
      </c>
    </row>
    <row r="15">
      <c r="A15" t="inlineStr">
        <is>
          <t>Value/share</t>
        </is>
      </c>
      <c r="B15">
        <f>IF(6.8&gt;Assumptions!$B$13,(SUMPRODUCT(DCF_Base!$C$22:$L$22/(1+6.8/100)^DCF_Base!$C$4:$L$4)+MAX(0,MIN(DCF_Base!$L$22*(1+Assumptions!$B$13/100)/((6.8-Assumptions!$B$13)/100),Assumptions!$C$13*DCF_Base!$L$22))/(1+6.8/100)^10-Assumptions!$B$4)/Assumptions!$B$3,"n/a")</f>
        <v/>
      </c>
      <c r="C15">
        <f>IF(9&gt;Assumptions!$B$13,(SUMPRODUCT(DCF_Base!$C$22:$L$22/(1+9/100)^DCF_Base!$C$4:$L$4)+MAX(0,MIN(DCF_Base!$L$22*(1+Assumptions!$B$13/100)/((9-Assumptions!$B$13)/100),Assumptions!$C$13*DCF_Base!$L$22))/(1+9/100)^10-Assumptions!$B$4)/Assumptions!$B$3,"n/a")</f>
        <v/>
      </c>
      <c r="D15">
        <f>IF(10&gt;Assumptions!$B$13,(SUMPRODUCT(DCF_Base!$C$22:$L$22/(1+10/100)^DCF_Base!$C$4:$L$4)+MAX(0,MIN(DCF_Base!$L$22*(1+Assumptions!$B$13/100)/((10-Assumptions!$B$13)/100),Assumptions!$C$13*DCF_Base!$L$22))/(1+10/100)^10-Assumptions!$B$4)/Assumptions!$B$3,"n/a")</f>
        <v/>
      </c>
      <c r="E15">
        <f>IF(11&gt;Assumptions!$B$13,(SUMPRODUCT(DCF_Base!$C$22:$L$22/(1+11/100)^DCF_Base!$C$4:$L$4)+MAX(0,MIN(DCF_Base!$L$22*(1+Assumptions!$B$13/100)/((11-Assumptions!$B$13)/100),Assumptions!$C$13*DCF_Base!$L$22))/(1+11/100)^10-Assumptions!$B$4)/Assumptions!$B$3,"n/a")</f>
        <v/>
      </c>
      <c r="F15">
        <f>IF(12&gt;Assumptions!$B$13,(SUMPRODUCT(DCF_Base!$C$22:$L$22/(1+12/100)^DCF_Base!$C$4:$L$4)+MAX(0,MIN(DCF_Base!$L$22*(1+Assumptions!$B$13/100)/((12-Assumptions!$B$13)/100),Assumptions!$C$13*DCF_Base!$L$22))/(1+12/100)^10-Assumptions!$B$4)/Assumptions!$B$3,"n/a")</f>
        <v/>
      </c>
      <c r="G15">
        <f>IF(15&gt;Assumptions!$B$13,(SUMPRODUCT(DCF_Base!$C$22:$L$22/(1+15/100)^DCF_Base!$C$4:$L$4)+MAX(0,MIN(DCF_Base!$L$22*(1+Assumptions!$B$13/100)/((15-Assumptions!$B$13)/100),Assumptions!$C$13*DCF_Base!$L$22))/(1+15/100)^10-Assumptions!$B$4)/Assumptions!$B$3,"n/a")</f>
        <v/>
      </c>
    </row>
    <row r="17">
      <c r="A17" s="1" t="inlineStr">
        <is>
          <t>Sensitivity: WACC (rows) x terminal growth (cols), base case</t>
        </is>
      </c>
    </row>
    <row r="18">
      <c r="B18" s="3" t="n">
        <v>0.75</v>
      </c>
      <c r="C18" s="3" t="n">
        <v>1.25</v>
      </c>
      <c r="D18" s="3" t="n">
        <v>1.75</v>
      </c>
      <c r="E18" s="3" t="n">
        <v>2.25</v>
      </c>
      <c r="F18" s="3" t="n">
        <v>2.75</v>
      </c>
    </row>
    <row r="19">
      <c r="A19" s="3" t="n">
        <v>4.8</v>
      </c>
      <c r="B19">
        <f>IF(4.8&gt;0.75,(SUMPRODUCT(DCF_Base!$C$22:$L$22/(1+4.8/100)^DCF_Base!$C$4:$L$4)+MAX(0,MIN(DCF_Base!$L$22*(1+0.75/100)/((4.8-0.75)/100),Assumptions!$C$13*DCF_Base!$L$22))/(1+4.8/100)^10-Assumptions!$B$4)/Assumptions!$B$3,"n/a")</f>
        <v/>
      </c>
      <c r="C19">
        <f>IF(4.8&gt;1.25,(SUMPRODUCT(DCF_Base!$C$22:$L$22/(1+4.8/100)^DCF_Base!$C$4:$L$4)+MAX(0,MIN(DCF_Base!$L$22*(1+1.25/100)/((4.8-1.25)/100),Assumptions!$C$13*DCF_Base!$L$22))/(1+4.8/100)^10-Assumptions!$B$4)/Assumptions!$B$3,"n/a")</f>
        <v/>
      </c>
      <c r="D19">
        <f>IF(4.8&gt;1.75,(SUMPRODUCT(DCF_Base!$C$22:$L$22/(1+4.8/100)^DCF_Base!$C$4:$L$4)+MAX(0,MIN(DCF_Base!$L$22*(1+1.75/100)/((4.8-1.75)/100),Assumptions!$C$13*DCF_Base!$L$22))/(1+4.8/100)^10-Assumptions!$B$4)/Assumptions!$B$3,"n/a")</f>
        <v/>
      </c>
      <c r="E19">
        <f>IF(4.8&gt;2.25,(SUMPRODUCT(DCF_Base!$C$22:$L$22/(1+4.8/100)^DCF_Base!$C$4:$L$4)+MAX(0,MIN(DCF_Base!$L$22*(1+2.25/100)/((4.8-2.25)/100),Assumptions!$C$13*DCF_Base!$L$22))/(1+4.8/100)^10-Assumptions!$B$4)/Assumptions!$B$3,"n/a")</f>
        <v/>
      </c>
      <c r="F19">
        <f>IF(4.8&gt;2.75,(SUMPRODUCT(DCF_Base!$C$22:$L$22/(1+4.8/100)^DCF_Base!$C$4:$L$4)+MAX(0,MIN(DCF_Base!$L$22*(1+2.75/100)/((4.8-2.75)/100),Assumptions!$C$13*DCF_Base!$L$22))/(1+4.8/100)^10-Assumptions!$B$4)/Assumptions!$B$3,"n/a")</f>
        <v/>
      </c>
    </row>
    <row r="20">
      <c r="A20" s="3" t="n">
        <v>5.8</v>
      </c>
      <c r="B20">
        <f>IF(5.8&gt;0.75,(SUMPRODUCT(DCF_Base!$C$22:$L$22/(1+5.8/100)^DCF_Base!$C$4:$L$4)+MAX(0,MIN(DCF_Base!$L$22*(1+0.75/100)/((5.8-0.75)/100),Assumptions!$C$13*DCF_Base!$L$22))/(1+5.8/100)^10-Assumptions!$B$4)/Assumptions!$B$3,"n/a")</f>
        <v/>
      </c>
      <c r="C20">
        <f>IF(5.8&gt;1.25,(SUMPRODUCT(DCF_Base!$C$22:$L$22/(1+5.8/100)^DCF_Base!$C$4:$L$4)+MAX(0,MIN(DCF_Base!$L$22*(1+1.25/100)/((5.8-1.25)/100),Assumptions!$C$13*DCF_Base!$L$22))/(1+5.8/100)^10-Assumptions!$B$4)/Assumptions!$B$3,"n/a")</f>
        <v/>
      </c>
      <c r="D20">
        <f>IF(5.8&gt;1.75,(SUMPRODUCT(DCF_Base!$C$22:$L$22/(1+5.8/100)^DCF_Base!$C$4:$L$4)+MAX(0,MIN(DCF_Base!$L$22*(1+1.75/100)/((5.8-1.75)/100),Assumptions!$C$13*DCF_Base!$L$22))/(1+5.8/100)^10-Assumptions!$B$4)/Assumptions!$B$3,"n/a")</f>
        <v/>
      </c>
      <c r="E20">
        <f>IF(5.8&gt;2.25,(SUMPRODUCT(DCF_Base!$C$22:$L$22/(1+5.8/100)^DCF_Base!$C$4:$L$4)+MAX(0,MIN(DCF_Base!$L$22*(1+2.25/100)/((5.8-2.25)/100),Assumptions!$C$13*DCF_Base!$L$22))/(1+5.8/100)^10-Assumptions!$B$4)/Assumptions!$B$3,"n/a")</f>
        <v/>
      </c>
      <c r="F20">
        <f>IF(5.8&gt;2.75,(SUMPRODUCT(DCF_Base!$C$22:$L$22/(1+5.8/100)^DCF_Base!$C$4:$L$4)+MAX(0,MIN(DCF_Base!$L$22*(1+2.75/100)/((5.8-2.75)/100),Assumptions!$C$13*DCF_Base!$L$22))/(1+5.8/100)^10-Assumptions!$B$4)/Assumptions!$B$3,"n/a")</f>
        <v/>
      </c>
    </row>
    <row r="21">
      <c r="A21" s="3" t="n">
        <v>6.8</v>
      </c>
      <c r="B21">
        <f>IF(6.8&gt;0.75,(SUMPRODUCT(DCF_Base!$C$22:$L$22/(1+6.8/100)^DCF_Base!$C$4:$L$4)+MAX(0,MIN(DCF_Base!$L$22*(1+0.75/100)/((6.8-0.75)/100),Assumptions!$C$13*DCF_Base!$L$22))/(1+6.8/100)^10-Assumptions!$B$4)/Assumptions!$B$3,"n/a")</f>
        <v/>
      </c>
      <c r="C21" s="8">
        <f>IF(6.8&gt;1.25,(SUMPRODUCT(DCF_Base!$C$22:$L$22/(1+6.8/100)^DCF_Base!$C$4:$L$4)+MAX(0,MIN(DCF_Base!$L$22*(1+1.25/100)/((6.8-1.25)/100),Assumptions!$C$13*DCF_Base!$L$22))/(1+6.8/100)^10-Assumptions!$B$4)/Assumptions!$B$3,"n/a")</f>
        <v/>
      </c>
      <c r="D21" s="8">
        <f>IF(6.8&gt;1.75,(SUMPRODUCT(DCF_Base!$C$22:$L$22/(1+6.8/100)^DCF_Base!$C$4:$L$4)+MAX(0,MIN(DCF_Base!$L$22*(1+1.75/100)/((6.8-1.75)/100),Assumptions!$C$13*DCF_Base!$L$22))/(1+6.8/100)^10-Assumptions!$B$4)/Assumptions!$B$3,"n/a")</f>
        <v/>
      </c>
      <c r="E21">
        <f>IF(6.8&gt;2.25,(SUMPRODUCT(DCF_Base!$C$22:$L$22/(1+6.8/100)^DCF_Base!$C$4:$L$4)+MAX(0,MIN(DCF_Base!$L$22*(1+2.25/100)/((6.8-2.25)/100),Assumptions!$C$13*DCF_Base!$L$22))/(1+6.8/100)^10-Assumptions!$B$4)/Assumptions!$B$3,"n/a")</f>
        <v/>
      </c>
      <c r="F21">
        <f>IF(6.8&gt;2.75,(SUMPRODUCT(DCF_Base!$C$22:$L$22/(1+6.8/100)^DCF_Base!$C$4:$L$4)+MAX(0,MIN(DCF_Base!$L$22*(1+2.75/100)/((6.8-2.75)/100),Assumptions!$C$13*DCF_Base!$L$22))/(1+6.8/100)^10-Assumptions!$B$4)/Assumptions!$B$3,"n/a")</f>
        <v/>
      </c>
    </row>
    <row r="22">
      <c r="A22" s="3" t="n">
        <v>7.8</v>
      </c>
      <c r="B22">
        <f>IF(7.8&gt;0.75,(SUMPRODUCT(DCF_Base!$C$22:$L$22/(1+7.8/100)^DCF_Base!$C$4:$L$4)+MAX(0,MIN(DCF_Base!$L$22*(1+0.75/100)/((7.8-0.75)/100),Assumptions!$C$13*DCF_Base!$L$22))/(1+7.8/100)^10-Assumptions!$B$4)/Assumptions!$B$3,"n/a")</f>
        <v/>
      </c>
      <c r="C22">
        <f>IF(7.8&gt;1.25,(SUMPRODUCT(DCF_Base!$C$22:$L$22/(1+7.8/100)^DCF_Base!$C$4:$L$4)+MAX(0,MIN(DCF_Base!$L$22*(1+1.25/100)/((7.8-1.25)/100),Assumptions!$C$13*DCF_Base!$L$22))/(1+7.8/100)^10-Assumptions!$B$4)/Assumptions!$B$3,"n/a")</f>
        <v/>
      </c>
      <c r="D22">
        <f>IF(7.8&gt;1.75,(SUMPRODUCT(DCF_Base!$C$22:$L$22/(1+7.8/100)^DCF_Base!$C$4:$L$4)+MAX(0,MIN(DCF_Base!$L$22*(1+1.75/100)/((7.8-1.75)/100),Assumptions!$C$13*DCF_Base!$L$22))/(1+7.8/100)^10-Assumptions!$B$4)/Assumptions!$B$3,"n/a")</f>
        <v/>
      </c>
      <c r="E22">
        <f>IF(7.8&gt;2.25,(SUMPRODUCT(DCF_Base!$C$22:$L$22/(1+7.8/100)^DCF_Base!$C$4:$L$4)+MAX(0,MIN(DCF_Base!$L$22*(1+2.25/100)/((7.8-2.25)/100),Assumptions!$C$13*DCF_Base!$L$22))/(1+7.8/100)^10-Assumptions!$B$4)/Assumptions!$B$3,"n/a")</f>
        <v/>
      </c>
      <c r="F22">
        <f>IF(7.8&gt;2.75,(SUMPRODUCT(DCF_Base!$C$22:$L$22/(1+7.8/100)^DCF_Base!$C$4:$L$4)+MAX(0,MIN(DCF_Base!$L$22*(1+2.75/100)/((7.8-2.75)/100),Assumptions!$C$13*DCF_Base!$L$22))/(1+7.8/100)^10-Assumptions!$B$4)/Assumptions!$B$3,"n/a")</f>
        <v/>
      </c>
    </row>
    <row r="23">
      <c r="A23" s="3" t="n">
        <v>8.800000000000001</v>
      </c>
      <c r="B23">
        <f>IF(8.8&gt;0.75,(SUMPRODUCT(DCF_Base!$C$22:$L$22/(1+8.8/100)^DCF_Base!$C$4:$L$4)+MAX(0,MIN(DCF_Base!$L$22*(1+0.75/100)/((8.8-0.75)/100),Assumptions!$C$13*DCF_Base!$L$22))/(1+8.8/100)^10-Assumptions!$B$4)/Assumptions!$B$3,"n/a")</f>
        <v/>
      </c>
      <c r="C23">
        <f>IF(8.8&gt;1.25,(SUMPRODUCT(DCF_Base!$C$22:$L$22/(1+8.8/100)^DCF_Base!$C$4:$L$4)+MAX(0,MIN(DCF_Base!$L$22*(1+1.25/100)/((8.8-1.25)/100),Assumptions!$C$13*DCF_Base!$L$22))/(1+8.8/100)^10-Assumptions!$B$4)/Assumptions!$B$3,"n/a")</f>
        <v/>
      </c>
      <c r="D23">
        <f>IF(8.8&gt;1.75,(SUMPRODUCT(DCF_Base!$C$22:$L$22/(1+8.8/100)^DCF_Base!$C$4:$L$4)+MAX(0,MIN(DCF_Base!$L$22*(1+1.75/100)/((8.8-1.75)/100),Assumptions!$C$13*DCF_Base!$L$22))/(1+8.8/100)^10-Assumptions!$B$4)/Assumptions!$B$3,"n/a")</f>
        <v/>
      </c>
      <c r="E23">
        <f>IF(8.8&gt;2.25,(SUMPRODUCT(DCF_Base!$C$22:$L$22/(1+8.8/100)^DCF_Base!$C$4:$L$4)+MAX(0,MIN(DCF_Base!$L$22*(1+2.25/100)/((8.8-2.25)/100),Assumptions!$C$13*DCF_Base!$L$22))/(1+8.8/100)^10-Assumptions!$B$4)/Assumptions!$B$3,"n/a")</f>
        <v/>
      </c>
      <c r="F23">
        <f>IF(8.8&gt;2.75,(SUMPRODUCT(DCF_Base!$C$22:$L$22/(1+8.8/100)^DCF_Base!$C$4:$L$4)+MAX(0,MIN(DCF_Base!$L$22*(1+2.75/100)/((8.8-2.75)/100),Assumptions!$C$13*DCF_Base!$L$22))/(1+8.8/100)^10-Assumptions!$B$4)/Assumptions!$B$3,"n/a")</f>
        <v/>
      </c>
    </row>
    <row r="25">
      <c r="A25" t="inlineStr">
        <is>
          <t>Note: the TV cap (11-14x owner FCF) binds at nearly every cell, so terminal-growth sensitivity is deliberately nil; WACC and the cap are the levers.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2026-08-30T09:43:07Z</dcterms:created>
  <dcterms:modified xsi:type="dcterms:W3CDTF">2026-08-30T09:43:07Z</dcterms:modified>
</cp:coreProperties>
</file>