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<sst xmlns="http://schemas.openxmlformats.org/spreadsheetml/2006/main" count="367" uniqueCount="168">
  <si>
    <t xml:space="preserve">Ticker</t>
  </si>
  <si>
    <t xml:space="preserve">C52.SI</t>
  </si>
  <si>
    <t xml:space="preserve">Company</t>
  </si>
  <si>
    <t xml:space="preserve">ComfortDelGro Corporation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</si>
  <si>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</si>
  <si>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</si>
  <si>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</si>
  <si>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</si>
  <si>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2026-10-23T09:06:00Z SGX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</si>
  <si>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</si>
  <si>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</si>
  <si>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</si>
  <si>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</si>
  <si>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</si>
  <si>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</si>
  <si>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</si>
  <si>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</si>
  <si>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</si>
  <si>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</si>
  <si>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</si>
  <si>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</si>
  <si>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2026-10-24T01:20:00Z</t>
  </si>
  <si>
    <t xml:space="preserve">Drivers file</t>
  </si>
  <si>
    <t xml:space="preserve">C52.SI_Drivers.json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</si>
  <si>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</si>
  <si>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</si>
  <si>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</si>
  <si>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mid-cycle capex path: the FY2025 negative FCF is a capex and concession-receivable peak, not the earning power of a business with ~S$770m of EBITDA, so the build normalises capex over ~5 years rather than starting from -S$139m. The valuation is a bet on the contracted public-transport franchise carrying a shrinking taxi business; minorities in SBS Transit and VICOM are deducted at roughly market value.
key_risks_to_valuation: Capex does not normalise: electrification and new-contract fleet keep capex at 10%+ of revenue, holding FCF near zero for longer; Taxi/P2P decline continues at the H1 FY2026 pace (-47% operating profit) and spreads further into UK/Australia premium; Re-tender losses in Singapore bus (Tampines precedent) or weaker recontracting margins in London; Terminal value is capped at 16x FCF and still ~70%+ of EV; the result is sensitive to the 7% WACC; NCI value estimate (S$500m) is judgment: book S$366m to listed-market ~S$600m spans ~S$0.11/share</t>
  </si>
  <si>
    <t xml:space="preserve">Data sources</t>
  </si>
  <si>
    <t xml:space="preserve">price: Yahoo Finance chart API at inputs.price_as_of; 52-week range 1.24-1.56
financials: C52.SI_Metrics.csv (core_metrics, SGD millions) FY2014-FY2025 and H1 FY2026; FY2025 annual report; H1 FY2026 condensed interim statements (balance sheet 30-Jun-2026, cash flow, segment review and outlook)
qualitative: C52.SI_Analysis.json (2026-10-24)</t>
  </si>
  <si>
    <t xml:space="preserve">Scenario narrative: bear</t>
  </si>
  <si>
    <t xml:space="preserve">Ride-hailing erosion keeps compounding: the Singapore taxi fleet keeps shrinking, Australia and UK premium (A2B/Addison Lee airline exposure) stay weak, and the acquired businesses need write-downs rather than delivering growth. Contract losses like the Tampines Bus Package handover recur at re-tender, recontracting margins disappoint, and the electrification programme keeps capex at ~8-10% of a slower-growing revenue base. EBITDA margin settles at 12.5% and revenue grows ~2%; debt-funded dividends become a cut.</t>
  </si>
  <si>
    <t xml:space="preserve">Scenario narrative: base</t>
  </si>
  <si>
    <t xml:space="preserve">Public Transport (~65% of revenue, 97% of contracts &gt;5 years) keeps compounding at indexation plus a handful of international wins; Metroline London repricing completes; the taxi/P2P business stops shrinking at roughly half its FY2025 profit as the hybrid fleet-and-platform pivot and premium/B2B mix offset Grab. Capex steps down from the FY2025 EV/depot peak to a mid-cycle 7.8% and FCF recovers from negative to ~4% of revenue by year 5. Leverage stabilises; the ~80% payout continues but is no longer covered by FCF until ~FY2028.</t>
  </si>
  <si>
    <t xml:space="preserve">Scenario narrative: bull</t>
  </si>
  <si>
    <t xml:space="preserve">CDG converts a meaningful share of the &gt;S$17bn 2026-28 international bus/rail pipeline (UK franchising in Liverpool/West Midlands/West Yorkshire, Gulf metros, Australian bus), the ~S$850m of 2023-25 acquisitions (Addison Lee, CMAC, A2B) finally integrate and deliver accretion, and a Grab-Gojek consolidation or AV economics (Guangzhou/Punggol robotaxi, 10% AV fleet by 2030) ease point-to-point pressure. EBITDA margin rebuilds to 16% and revenue grows 5-6% for several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</si>
  <si>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</si>
  <si>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</si>
  <si>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</si>
  <si>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</si>
  <si>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</si>
  <si>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</si>
  <si>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</si>
  <si>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</si>
  <si>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</si>
  <si>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</si>
  <si>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</si>
  <si>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</si>
  <si>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</si>
  <si>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</si>
  <si>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</si>
  <si>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</si>
  <si>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</si>
  <si>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</si>
  <si>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</si>
  <si>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</si>
  <si>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</si>
  <si>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</si>
  <si>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</si>
  <si>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</si>
  <si>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</si>
  <si>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</si>
  <si>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</si>
  <si>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</si>
  <si>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</si>
  <si>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</si>
  <si>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</si>
  <si>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</si>
  <si>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</si>
  <si>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</si>
  <si>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</si>
  <si>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</si>
  <si>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</si>
  <si>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</si>
  <si>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</si>
  <si>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</si>
  <si>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</si>
  <si>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</si>
  <si>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</si>
  <si>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</si>
  <si>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</si>
  <si>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</si>
  <si>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</si>
  <si>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</si>
  <si>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</si>
  <si>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</si>
  <si>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</si>
  <si>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</si>
  <si>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</si>
  <si>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</si>
  <si>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</si>
  <si>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</si>
  <si>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</si>
  <si>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</si>
  <si>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</si>
  <si>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</si>
  <si>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</si>
  <si>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</si>
  <si>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</si>
  <si>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</si>
  <si>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</si>
  <si>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</si>
  <si>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</si>
  <si>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</si>
  <si>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</si>
  <si>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</si>
  <si>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</si>
  <si>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</si>
  <si>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</si>
  <si>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</si>
  <si>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</si>
  <si>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</si>
  <si>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</si>
  <si>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C52.SI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</si>
  <si>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</si>
  <si>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</si>
  <si>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</si>
  <si>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</si>
  <si>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</si>
  <si>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</si>
  <si>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</si>
  <si>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</si>
  <si>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</si>
  <si>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</si>
  <si>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</si>
  <si>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</si>
  <si>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</si>
  <si>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</si>
  <si>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</si>
  <si>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</si>
  <si>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</si>
  <si>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</si>
  <si>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</si>
  <si>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</si>
  <si>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</si>
  <si>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</si>
  <si>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</si>
  <si>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</si>
  <si>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</si>
  <si>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</si>
  <si>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</si>
  <si>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</si>
  <si>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</si>
  <si>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</si>
  <si>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C52.SI owner-FCF component DCF: base case (millions, SGD)</t>
  </si>
  <si>
    <t xml:space="preserve">C52.SI owner-FCF component DCF: bull case (millions, SGD)</t>
  </si>
  <si>
    <t xml:space="preserve">C52.SI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</si>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</sst>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1.26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4051.3</v>
      </c>
      <c r="F2" s="0" t="n">
        <v>442.1</v>
      </c>
      <c r="G2" s="0" t="n">
        <v>10.9</v>
      </c>
      <c r="H2" s="0" t="n">
        <v>795.8</v>
      </c>
      <c r="I2" s="0" t="n">
        <v>283.5</v>
      </c>
      <c r="J2" s="0" t="n">
        <v>7</v>
      </c>
      <c r="K2" s="0" t="n">
        <v>0.1323</v>
      </c>
      <c r="L2" s="0" t="n">
        <v>639</v>
      </c>
      <c r="M2" s="0" t="n">
        <v>511.6</v>
      </c>
      <c r="N2" s="0" t="n">
        <v>127.4</v>
      </c>
      <c r="O2" s="0" t="n">
        <v>2189.9</v>
      </c>
      <c r="P2" s="0" t="n">
        <v>5230.7</v>
      </c>
      <c r="Q2" s="0" t="n">
        <v>2391.9</v>
      </c>
      <c r="R2" s="0" t="n">
        <v>737.1</v>
      </c>
      <c r="S2" s="0" t="n">
        <v>825.8</v>
      </c>
      <c r="T2" s="0" t="n">
        <v>2133.2</v>
      </c>
      <c r="AA2" s="0" t="s">
        <v>17</v>
      </c>
      <c r="AB2" s="0" t="s">
        <v>14</v>
      </c>
      <c r="AC2" s="0" t="n">
        <v>0.1329</v>
      </c>
    </row>
    <row r="3" customFormat="false" ht="15" hidden="false" customHeight="false" outlineLevel="0" collapsed="false">
      <c r="A3" s="0" t="s">
        <v>65</v>
      </c>
      <c r="B3" s="0" t="n">
        <v>4111.5</v>
      </c>
      <c r="F3" s="0" t="n">
        <v>450.7</v>
      </c>
      <c r="G3" s="0" t="n">
        <v>11</v>
      </c>
      <c r="H3" s="0" t="n">
        <v>840</v>
      </c>
      <c r="I3" s="0" t="n">
        <v>301.9</v>
      </c>
      <c r="J3" s="0" t="n">
        <v>7.3</v>
      </c>
      <c r="K3" s="0" t="n">
        <v>0.1401</v>
      </c>
      <c r="L3" s="0" t="n">
        <v>600.2</v>
      </c>
      <c r="M3" s="0" t="n">
        <v>669.6</v>
      </c>
      <c r="N3" s="0" t="n">
        <v>-69.4</v>
      </c>
      <c r="O3" s="0" t="n">
        <v>2335.1</v>
      </c>
      <c r="P3" s="0" t="n">
        <v>5216.3</v>
      </c>
      <c r="Q3" s="0" t="n">
        <v>2203.7</v>
      </c>
      <c r="R3" s="0" t="n">
        <v>558.6</v>
      </c>
      <c r="S3" s="0" t="n">
        <v>787.8</v>
      </c>
      <c r="T3" s="0" t="n">
        <v>2145.7</v>
      </c>
      <c r="AA3" s="0" t="s">
        <v>17</v>
      </c>
      <c r="AB3" s="0" t="s">
        <v>14</v>
      </c>
      <c r="AC3" s="0" t="n">
        <v>0.1407</v>
      </c>
    </row>
    <row r="4" customFormat="false" ht="15" hidden="false" customHeight="false" outlineLevel="0" collapsed="false">
      <c r="A4" s="0" t="s">
        <v>66</v>
      </c>
      <c r="B4" s="0" t="n">
        <v>4059.5</v>
      </c>
      <c r="F4" s="0" t="n">
        <v>462.2</v>
      </c>
      <c r="G4" s="0" t="n">
        <v>11.4</v>
      </c>
      <c r="H4" s="0" t="n">
        <v>858.2</v>
      </c>
      <c r="I4" s="0" t="n">
        <v>317.1</v>
      </c>
      <c r="J4" s="0" t="n">
        <v>7.8</v>
      </c>
      <c r="K4" s="0" t="n">
        <v>0.1468</v>
      </c>
      <c r="L4" s="0" t="n">
        <v>702.5</v>
      </c>
      <c r="M4" s="0" t="n">
        <v>466.5</v>
      </c>
      <c r="N4" s="0" t="n">
        <v>236</v>
      </c>
      <c r="O4" s="0" t="n">
        <v>2475.5</v>
      </c>
      <c r="P4" s="0" t="n">
        <v>5122</v>
      </c>
      <c r="Q4" s="0" t="n">
        <v>1929.9</v>
      </c>
      <c r="R4" s="0" t="n">
        <v>345.1</v>
      </c>
      <c r="S4" s="0" t="n">
        <v>779.3</v>
      </c>
      <c r="T4" s="0" t="n">
        <v>2154.2</v>
      </c>
      <c r="AA4" s="0" t="s">
        <v>17</v>
      </c>
      <c r="AB4" s="0" t="s">
        <v>14</v>
      </c>
      <c r="AC4" s="0" t="n">
        <v>0.1472</v>
      </c>
    </row>
    <row r="5" customFormat="false" ht="15" hidden="false" customHeight="false" outlineLevel="0" collapsed="false">
      <c r="A5" s="0" t="s">
        <v>67</v>
      </c>
      <c r="B5" s="0" t="n">
        <v>3970.9</v>
      </c>
      <c r="F5" s="0" t="n">
        <v>409.2</v>
      </c>
      <c r="G5" s="0" t="n">
        <v>10.3</v>
      </c>
      <c r="H5" s="0" t="n">
        <v>818</v>
      </c>
      <c r="I5" s="0" t="n">
        <v>301.5</v>
      </c>
      <c r="J5" s="0" t="n">
        <v>7.6</v>
      </c>
      <c r="K5" s="0" t="n">
        <v>0.1394</v>
      </c>
      <c r="L5" s="0" t="n">
        <v>581.9</v>
      </c>
      <c r="M5" s="0" t="n">
        <v>393.6</v>
      </c>
      <c r="N5" s="0" t="n">
        <v>188.3</v>
      </c>
      <c r="O5" s="0" t="n">
        <v>2618.2</v>
      </c>
      <c r="P5" s="0" t="n">
        <v>4827.7</v>
      </c>
      <c r="Q5" s="0" t="n">
        <v>1789.9</v>
      </c>
      <c r="R5" s="0" t="n">
        <v>322.3</v>
      </c>
      <c r="S5" s="0" t="n">
        <v>596.2</v>
      </c>
      <c r="T5" s="0" t="n">
        <v>2161.3</v>
      </c>
      <c r="AA5" s="0" t="s">
        <v>17</v>
      </c>
      <c r="AB5" s="0" t="s">
        <v>14</v>
      </c>
      <c r="AC5" s="0" t="n">
        <v>0.1395</v>
      </c>
    </row>
    <row r="6" customFormat="false" ht="15" hidden="false" customHeight="false" outlineLevel="0" collapsed="false">
      <c r="A6" s="0" t="s">
        <v>68</v>
      </c>
      <c r="B6" s="0" t="n">
        <v>3805.2</v>
      </c>
      <c r="F6" s="0" t="n">
        <v>438.8</v>
      </c>
      <c r="G6" s="0" t="n">
        <v>11.5</v>
      </c>
      <c r="H6" s="0" t="n">
        <v>833.1</v>
      </c>
      <c r="I6" s="0" t="n">
        <v>303.3</v>
      </c>
      <c r="J6" s="0" t="n">
        <v>8</v>
      </c>
      <c r="K6" s="0" t="n">
        <v>0.14</v>
      </c>
      <c r="L6" s="0" t="n">
        <v>668.8</v>
      </c>
      <c r="M6" s="0" t="n">
        <v>352.8</v>
      </c>
      <c r="N6" s="0" t="n">
        <v>316</v>
      </c>
      <c r="O6" s="0" t="n">
        <v>2613.6</v>
      </c>
      <c r="P6" s="0" t="n">
        <v>5136.7</v>
      </c>
      <c r="Q6" s="0" t="n">
        <v>2109.6</v>
      </c>
      <c r="R6" s="0" t="n">
        <v>569.9</v>
      </c>
      <c r="S6" s="0" t="n">
        <v>586.1</v>
      </c>
      <c r="T6" s="0" t="n">
        <v>2164.9</v>
      </c>
      <c r="AA6" s="0" t="s">
        <v>17</v>
      </c>
      <c r="AB6" s="0" t="s">
        <v>14</v>
      </c>
      <c r="AC6" s="0" t="n">
        <v>0.1401</v>
      </c>
    </row>
    <row r="7" customFormat="false" ht="15" hidden="false" customHeight="false" outlineLevel="0" collapsed="false">
      <c r="A7" s="0" t="s">
        <v>69</v>
      </c>
      <c r="B7" s="0" t="n">
        <v>3905.7</v>
      </c>
      <c r="F7" s="0" t="n">
        <v>415.8</v>
      </c>
      <c r="G7" s="0" t="n">
        <v>10.6</v>
      </c>
      <c r="H7" s="0" t="n">
        <v>868.8</v>
      </c>
      <c r="I7" s="0" t="n">
        <v>265.1</v>
      </c>
      <c r="J7" s="0" t="n">
        <v>6.8</v>
      </c>
      <c r="K7" s="0" t="n">
        <v>0.1223</v>
      </c>
      <c r="L7" s="0" t="n">
        <v>609.9</v>
      </c>
      <c r="M7" s="0" t="n">
        <v>506.7</v>
      </c>
      <c r="N7" s="0" t="n">
        <v>103.2</v>
      </c>
      <c r="O7" s="0" t="n">
        <v>2595</v>
      </c>
      <c r="P7" s="0" t="n">
        <v>5379</v>
      </c>
      <c r="Q7" s="0" t="n">
        <v>2370</v>
      </c>
      <c r="R7" s="0" t="n">
        <v>530.1</v>
      </c>
      <c r="S7" s="0" t="n">
        <v>594.2</v>
      </c>
      <c r="T7" s="0" t="n">
        <v>2165.8</v>
      </c>
      <c r="U7" s="0" t="n">
        <v>0.4</v>
      </c>
      <c r="AA7" s="0" t="s">
        <v>17</v>
      </c>
      <c r="AB7" s="0" t="s">
        <v>14</v>
      </c>
      <c r="AC7" s="0" t="n">
        <v>0.1224</v>
      </c>
    </row>
    <row r="8" customFormat="false" ht="15" hidden="false" customHeight="false" outlineLevel="0" collapsed="false">
      <c r="A8" s="0" t="s">
        <v>70</v>
      </c>
      <c r="B8" s="0" t="n">
        <v>3228.6</v>
      </c>
      <c r="F8" s="0" t="n">
        <v>123.1</v>
      </c>
      <c r="G8" s="0" t="n">
        <v>3.8</v>
      </c>
      <c r="H8" s="0" t="n">
        <v>539.7</v>
      </c>
      <c r="I8" s="0" t="n">
        <v>61.8</v>
      </c>
      <c r="J8" s="0" t="n">
        <v>1.9</v>
      </c>
      <c r="K8" s="0" t="n">
        <v>0.0285</v>
      </c>
      <c r="L8" s="0" t="n">
        <v>483.7</v>
      </c>
      <c r="M8" s="0" t="n">
        <v>199.8</v>
      </c>
      <c r="N8" s="0" t="n">
        <v>283.9</v>
      </c>
      <c r="O8" s="0" t="n">
        <v>2606.8</v>
      </c>
      <c r="P8" s="0" t="n">
        <v>5308.5</v>
      </c>
      <c r="Q8" s="0" t="n">
        <v>2279.7</v>
      </c>
      <c r="R8" s="0" t="n">
        <v>463.7</v>
      </c>
      <c r="S8" s="0" t="n">
        <v>742.8</v>
      </c>
      <c r="T8" s="0" t="n">
        <v>2168.4</v>
      </c>
      <c r="U8" s="0" t="n">
        <v>0.7</v>
      </c>
      <c r="AA8" s="0" t="s">
        <v>17</v>
      </c>
      <c r="AB8" s="0" t="s">
        <v>14</v>
      </c>
      <c r="AC8" s="0" t="n">
        <v>0.0285</v>
      </c>
    </row>
    <row r="9" customFormat="false" ht="15" hidden="false" customHeight="false" outlineLevel="0" collapsed="false">
      <c r="A9" s="0" t="s">
        <v>71</v>
      </c>
      <c r="B9" s="0" t="n">
        <v>3538.3</v>
      </c>
      <c r="F9" s="0" t="n">
        <v>210</v>
      </c>
      <c r="G9" s="0" t="n">
        <v>5.9</v>
      </c>
      <c r="H9" s="0" t="n">
        <v>611.6</v>
      </c>
      <c r="I9" s="0" t="n">
        <v>130.1</v>
      </c>
      <c r="J9" s="0" t="n">
        <v>3.7</v>
      </c>
      <c r="K9" s="0" t="n">
        <v>0.06</v>
      </c>
      <c r="L9" s="0" t="n">
        <v>660.9</v>
      </c>
      <c r="M9" s="0" t="n">
        <v>225.7</v>
      </c>
      <c r="N9" s="0" t="n">
        <v>435.2</v>
      </c>
      <c r="O9" s="0" t="n">
        <v>2706.5</v>
      </c>
      <c r="P9" s="0" t="n">
        <v>4955</v>
      </c>
      <c r="Q9" s="0" t="n">
        <v>1818.7</v>
      </c>
      <c r="R9" s="0" t="n">
        <v>341</v>
      </c>
      <c r="S9" s="0" t="n">
        <v>919.1</v>
      </c>
      <c r="T9" s="0" t="n">
        <v>2168.3</v>
      </c>
      <c r="U9" s="0" t="n">
        <v>0.7</v>
      </c>
      <c r="AA9" s="0" t="s">
        <v>17</v>
      </c>
      <c r="AB9" s="0" t="s">
        <v>14</v>
      </c>
      <c r="AC9" s="0" t="n">
        <v>0.06</v>
      </c>
    </row>
    <row r="10" customFormat="false" ht="15" hidden="false" customHeight="false" outlineLevel="0" collapsed="false">
      <c r="A10" s="0" t="s">
        <v>72</v>
      </c>
      <c r="B10" s="0" t="n">
        <v>3780.8</v>
      </c>
      <c r="F10" s="0" t="n">
        <v>270</v>
      </c>
      <c r="G10" s="0" t="n">
        <v>7.1</v>
      </c>
      <c r="H10" s="0" t="n">
        <v>627.2</v>
      </c>
      <c r="I10" s="0" t="n">
        <v>173.1</v>
      </c>
      <c r="J10" s="0" t="n">
        <v>4.6</v>
      </c>
      <c r="K10" s="0" t="n">
        <v>0.0799</v>
      </c>
      <c r="L10" s="0" t="n">
        <v>602.3</v>
      </c>
      <c r="M10" s="0" t="n">
        <v>304.6</v>
      </c>
      <c r="N10" s="0" t="n">
        <v>297.7</v>
      </c>
      <c r="O10" s="0" t="n">
        <v>2568.9</v>
      </c>
      <c r="P10" s="0" t="n">
        <v>4700.8</v>
      </c>
      <c r="Q10" s="0" t="n">
        <v>1701.4</v>
      </c>
      <c r="R10" s="0" t="n">
        <v>292.2</v>
      </c>
      <c r="S10" s="0" t="n">
        <v>967</v>
      </c>
      <c r="T10" s="0" t="n">
        <v>2166.5</v>
      </c>
      <c r="U10" s="0" t="n">
        <v>1.1</v>
      </c>
      <c r="AA10" s="0" t="s">
        <v>17</v>
      </c>
      <c r="AB10" s="0" t="s">
        <v>14</v>
      </c>
      <c r="AC10" s="0" t="n">
        <v>0.0799</v>
      </c>
    </row>
    <row r="11" customFormat="false" ht="15" hidden="false" customHeight="false" outlineLevel="0" collapsed="false">
      <c r="A11" s="0" t="s">
        <v>73</v>
      </c>
      <c r="B11" s="0" t="n">
        <v>3880.3</v>
      </c>
      <c r="F11" s="0" t="n">
        <v>272.1</v>
      </c>
      <c r="G11" s="0" t="n">
        <v>7</v>
      </c>
      <c r="H11" s="0" t="n">
        <v>636.3</v>
      </c>
      <c r="I11" s="0" t="n">
        <v>180.5</v>
      </c>
      <c r="J11" s="0" t="n">
        <v>4.7</v>
      </c>
      <c r="K11" s="0" t="n">
        <v>0.0833</v>
      </c>
      <c r="L11" s="0" t="n">
        <v>449.1</v>
      </c>
      <c r="M11" s="0" t="n">
        <v>378.5</v>
      </c>
      <c r="N11" s="0" t="n">
        <v>70.6</v>
      </c>
      <c r="O11" s="0" t="n">
        <v>2597.7</v>
      </c>
      <c r="P11" s="0" t="n">
        <v>4689.7</v>
      </c>
      <c r="Q11" s="0" t="n">
        <v>1675.8</v>
      </c>
      <c r="R11" s="0" t="n">
        <v>350.3</v>
      </c>
      <c r="S11" s="0" t="n">
        <v>856.9</v>
      </c>
      <c r="T11" s="0" t="n">
        <v>2166.9</v>
      </c>
      <c r="U11" s="0" t="n">
        <v>1.8</v>
      </c>
      <c r="AA11" s="0" t="s">
        <v>17</v>
      </c>
      <c r="AB11" s="0" t="s">
        <v>14</v>
      </c>
      <c r="AC11" s="0" t="n">
        <v>0.0833</v>
      </c>
    </row>
    <row r="12" customFormat="false" ht="15" hidden="false" customHeight="false" outlineLevel="0" collapsed="false">
      <c r="A12" s="0" t="s">
        <v>74</v>
      </c>
      <c r="B12" s="0" t="n">
        <v>4476.5</v>
      </c>
      <c r="F12" s="0" t="n">
        <v>322.9</v>
      </c>
      <c r="G12" s="0" t="n">
        <v>7.2</v>
      </c>
      <c r="H12" s="0" t="n">
        <v>691.3</v>
      </c>
      <c r="I12" s="0" t="n">
        <v>210.5</v>
      </c>
      <c r="J12" s="0" t="n">
        <v>4.7</v>
      </c>
      <c r="K12" s="0" t="n">
        <v>0.0972</v>
      </c>
      <c r="L12" s="0" t="n">
        <v>547.5</v>
      </c>
      <c r="M12" s="0" t="n">
        <v>469</v>
      </c>
      <c r="N12" s="0" t="n">
        <v>78.5</v>
      </c>
      <c r="O12" s="0" t="n">
        <v>2599</v>
      </c>
      <c r="P12" s="0" t="n">
        <v>5725.8</v>
      </c>
      <c r="Q12" s="0" t="n">
        <v>2700.2</v>
      </c>
      <c r="R12" s="0" t="n">
        <v>1081.6</v>
      </c>
      <c r="S12" s="0" t="n">
        <v>892.4</v>
      </c>
      <c r="T12" s="0" t="n">
        <v>2165.6</v>
      </c>
      <c r="U12" s="0" t="n">
        <v>2.3</v>
      </c>
      <c r="AA12" s="0" t="s">
        <v>17</v>
      </c>
      <c r="AB12" s="0" t="s">
        <v>14</v>
      </c>
      <c r="AC12" s="0" t="n">
        <v>0.0972</v>
      </c>
    </row>
    <row r="13" customFormat="false" ht="15" hidden="false" customHeight="false" outlineLevel="0" collapsed="false">
      <c r="A13" s="0" t="s">
        <v>75</v>
      </c>
      <c r="B13" s="0" t="n">
        <v>5058.6</v>
      </c>
      <c r="F13" s="0" t="n">
        <v>373</v>
      </c>
      <c r="G13" s="0" t="n">
        <v>7.4</v>
      </c>
      <c r="H13" s="0" t="n">
        <v>772.6</v>
      </c>
      <c r="I13" s="0" t="n">
        <v>230.3</v>
      </c>
      <c r="J13" s="0" t="n">
        <v>4.6</v>
      </c>
      <c r="K13" s="0" t="n">
        <v>0.1062</v>
      </c>
      <c r="L13" s="0" t="n">
        <v>451.3</v>
      </c>
      <c r="M13" s="0" t="n">
        <v>587.8</v>
      </c>
      <c r="N13" s="0" t="n">
        <v>-136.5</v>
      </c>
      <c r="O13" s="0" t="n">
        <v>2595.5</v>
      </c>
      <c r="P13" s="0" t="n">
        <v>6138.9</v>
      </c>
      <c r="Q13" s="0" t="n">
        <v>3158.2</v>
      </c>
      <c r="R13" s="0" t="n">
        <v>1572.2</v>
      </c>
      <c r="S13" s="0" t="n">
        <v>868.4</v>
      </c>
      <c r="T13" s="0" t="n">
        <v>2166.5</v>
      </c>
      <c r="U13" s="0" t="n">
        <v>2.5</v>
      </c>
      <c r="AA13" s="0" t="s">
        <v>17</v>
      </c>
      <c r="AB13" s="0" t="s">
        <v>14</v>
      </c>
      <c r="AC13" s="0" t="n">
        <v>0.1063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1.26</v>
      </c>
    </row>
    <row r="3" customFormat="false" ht="15" hidden="false" customHeight="false" outlineLevel="0" collapsed="false">
      <c r="A3" s="0" t="s">
        <v>79</v>
      </c>
      <c r="B3" s="3" t="n">
        <v>2166</v>
      </c>
    </row>
    <row r="4" customFormat="false" ht="15" hidden="false" customHeight="false" outlineLevel="0" collapsed="false">
      <c r="A4" s="0" t="s">
        <v>80</v>
      </c>
      <c r="B4" s="3" t="n">
        <v>903.6</v>
      </c>
    </row>
    <row r="5" customFormat="false" ht="15" hidden="false" customHeight="false" outlineLevel="0" collapsed="false">
      <c r="A5" s="0" t="s">
        <v>81</v>
      </c>
      <c r="B5" s="3" t="n">
        <v>-500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5058.6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3</v>
      </c>
      <c r="D13" s="3" t="n">
        <v>1.5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13.3</v>
      </c>
      <c r="D14" s="3" t="n">
        <v>12.9</v>
      </c>
      <c r="E14" s="3" t="n">
        <v>12.6</v>
      </c>
      <c r="F14" s="3" t="n">
        <v>12.5</v>
      </c>
      <c r="G14" s="3" t="n">
        <v>12.5</v>
      </c>
      <c r="H14" s="3" t="n">
        <v>12.5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101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</row>
    <row r="16" customFormat="false" ht="15" hidden="false" customHeight="false" outlineLevel="0" collapsed="false">
      <c r="A16" s="0" t="s">
        <v>102</v>
      </c>
      <c r="C16" s="3" t="n">
        <v>1.3</v>
      </c>
      <c r="D16" s="3" t="n">
        <v>1.3</v>
      </c>
      <c r="E16" s="3" t="n">
        <v>1.3</v>
      </c>
      <c r="F16" s="3" t="n">
        <v>1.3</v>
      </c>
      <c r="G16" s="3" t="n">
        <v>1.3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103</v>
      </c>
      <c r="C17" s="3" t="n">
        <v>6.8</v>
      </c>
      <c r="D17" s="3" t="n">
        <v>6.9</v>
      </c>
      <c r="E17" s="3" t="n">
        <v>7</v>
      </c>
      <c r="F17" s="3" t="n">
        <v>7.1</v>
      </c>
      <c r="G17" s="3" t="n">
        <v>7.2</v>
      </c>
      <c r="H17" s="3" t="n">
        <v>7.2</v>
      </c>
      <c r="I17" s="3" t="n">
        <v>7.2</v>
      </c>
      <c r="J17" s="3" t="n">
        <v>7.2</v>
      </c>
      <c r="K17" s="3" t="n">
        <v>7.2</v>
      </c>
      <c r="L17" s="3" t="n">
        <v>7.2</v>
      </c>
    </row>
    <row r="18" customFormat="false" ht="15" hidden="false" customHeight="false" outlineLevel="0" collapsed="false">
      <c r="A18" s="0" t="s">
        <v>104</v>
      </c>
      <c r="C18" s="3" t="n">
        <v>10</v>
      </c>
      <c r="D18" s="3" t="n">
        <v>9.2</v>
      </c>
      <c r="E18" s="3" t="n">
        <v>8.6</v>
      </c>
      <c r="F18" s="3" t="n">
        <v>8.2</v>
      </c>
      <c r="G18" s="3" t="n">
        <v>7.9</v>
      </c>
      <c r="H18" s="3" t="n">
        <v>7.7</v>
      </c>
      <c r="I18" s="3" t="n">
        <v>7.6</v>
      </c>
      <c r="J18" s="3" t="n">
        <v>7.6</v>
      </c>
      <c r="K18" s="3" t="n">
        <v>7.6</v>
      </c>
      <c r="L18" s="3" t="n">
        <v>7.6</v>
      </c>
    </row>
    <row r="19" customFormat="false" ht="15" hidden="false" customHeight="false" outlineLevel="0" collapsed="false">
      <c r="A19" s="0" t="s">
        <v>105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106</v>
      </c>
      <c r="B20" s="3" t="n">
        <v>7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18</v>
      </c>
    </row>
    <row r="23" customFormat="false" ht="15" hidden="false" customHeight="false" outlineLevel="0" collapsed="false">
      <c r="A23" s="0" t="s">
        <v>109</v>
      </c>
      <c r="B23" s="3" t="n">
        <v>-5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4.5</v>
      </c>
      <c r="D27" s="3" t="n">
        <v>4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13.6</v>
      </c>
      <c r="D28" s="3" t="n">
        <v>14</v>
      </c>
      <c r="E28" s="3" t="n">
        <v>14.4</v>
      </c>
      <c r="F28" s="3" t="n">
        <v>14.7</v>
      </c>
      <c r="G28" s="3" t="n">
        <v>14.8</v>
      </c>
      <c r="H28" s="3" t="n">
        <v>14.8</v>
      </c>
      <c r="I28" s="3" t="n">
        <v>14.8</v>
      </c>
      <c r="J28" s="3" t="n">
        <v>14.8</v>
      </c>
      <c r="K28" s="3" t="n">
        <v>14.8</v>
      </c>
      <c r="L28" s="3" t="n">
        <v>14.8</v>
      </c>
    </row>
    <row r="29" customFormat="false" ht="15" hidden="false" customHeight="false" outlineLevel="0" collapsed="false">
      <c r="A29" s="0" t="s">
        <v>101</v>
      </c>
      <c r="C29" s="3" t="n">
        <v>0.05</v>
      </c>
      <c r="D29" s="3" t="n">
        <v>0.05</v>
      </c>
      <c r="E29" s="3" t="n">
        <v>0.05</v>
      </c>
      <c r="F29" s="3" t="n">
        <v>0.05</v>
      </c>
      <c r="G29" s="3" t="n">
        <v>0.05</v>
      </c>
      <c r="H29" s="3" t="n">
        <v>0.05</v>
      </c>
      <c r="I29" s="3" t="n">
        <v>0.05</v>
      </c>
      <c r="J29" s="3" t="n">
        <v>0.05</v>
      </c>
      <c r="K29" s="3" t="n">
        <v>0.05</v>
      </c>
      <c r="L29" s="3" t="n">
        <v>0.05</v>
      </c>
    </row>
    <row r="30" customFormat="false" ht="15" hidden="false" customHeight="false" outlineLevel="0" collapsed="false">
      <c r="A30" s="0" t="s">
        <v>102</v>
      </c>
      <c r="C30" s="3" t="n">
        <v>1.3</v>
      </c>
      <c r="D30" s="3" t="n">
        <v>1.3</v>
      </c>
      <c r="E30" s="3" t="n">
        <v>1.3</v>
      </c>
      <c r="F30" s="3" t="n">
        <v>1.3</v>
      </c>
      <c r="G30" s="3" t="n">
        <v>1.3</v>
      </c>
      <c r="H30" s="3" t="n">
        <v>1.3</v>
      </c>
      <c r="I30" s="3" t="n">
        <v>1.3</v>
      </c>
      <c r="J30" s="3" t="n">
        <v>1.3</v>
      </c>
      <c r="K30" s="3" t="n">
        <v>1.3</v>
      </c>
      <c r="L30" s="3" t="n">
        <v>1.3</v>
      </c>
    </row>
    <row r="31" customFormat="false" ht="15" hidden="false" customHeight="false" outlineLevel="0" collapsed="false">
      <c r="A31" s="0" t="s">
        <v>103</v>
      </c>
      <c r="C31" s="3" t="n">
        <v>6.8</v>
      </c>
      <c r="D31" s="3" t="n">
        <v>6.9</v>
      </c>
      <c r="E31" s="3" t="n">
        <v>7</v>
      </c>
      <c r="F31" s="3" t="n">
        <v>7.1</v>
      </c>
      <c r="G31" s="3" t="n">
        <v>7.2</v>
      </c>
      <c r="H31" s="3" t="n">
        <v>7.2</v>
      </c>
      <c r="I31" s="3" t="n">
        <v>7.2</v>
      </c>
      <c r="J31" s="3" t="n">
        <v>7.2</v>
      </c>
      <c r="K31" s="3" t="n">
        <v>7.2</v>
      </c>
      <c r="L31" s="3" t="n">
        <v>7.2</v>
      </c>
    </row>
    <row r="32" customFormat="false" ht="15" hidden="false" customHeight="false" outlineLevel="0" collapsed="false">
      <c r="A32" s="0" t="s">
        <v>104</v>
      </c>
      <c r="C32" s="3" t="n">
        <v>9.8</v>
      </c>
      <c r="D32" s="3" t="n">
        <v>9.2</v>
      </c>
      <c r="E32" s="3" t="n">
        <v>8.6</v>
      </c>
      <c r="F32" s="3" t="n">
        <v>8.2</v>
      </c>
      <c r="G32" s="3" t="n">
        <v>8</v>
      </c>
      <c r="H32" s="3" t="n">
        <v>7.9</v>
      </c>
      <c r="I32" s="3" t="n">
        <v>7.8</v>
      </c>
      <c r="J32" s="3" t="n">
        <v>7.8</v>
      </c>
      <c r="K32" s="3" t="n">
        <v>7.8</v>
      </c>
      <c r="L32" s="3" t="n">
        <v>7.8</v>
      </c>
    </row>
    <row r="33" customFormat="false" ht="15" hidden="false" customHeight="false" outlineLevel="0" collapsed="false">
      <c r="A33" s="0" t="s">
        <v>105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106</v>
      </c>
      <c r="B34" s="3" t="n">
        <v>7</v>
      </c>
    </row>
    <row r="35" customFormat="false" ht="15" hidden="false" customHeight="false" outlineLevel="0" collapsed="false">
      <c r="A35" s="0" t="s">
        <v>107</v>
      </c>
      <c r="B35" s="3" t="n">
        <v>2.25</v>
      </c>
    </row>
    <row r="36" customFormat="false" ht="15" hidden="false" customHeight="false" outlineLevel="0" collapsed="false">
      <c r="A36" s="0" t="s">
        <v>108</v>
      </c>
      <c r="B36" s="3" t="n">
        <v>18</v>
      </c>
    </row>
    <row r="37" customFormat="false" ht="15" hidden="false" customHeight="false" outlineLevel="0" collapsed="false">
      <c r="A37" s="0" t="s">
        <v>109</v>
      </c>
      <c r="B37" s="3" t="n">
        <v>-5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5.5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13.8</v>
      </c>
      <c r="D42" s="3" t="n">
        <v>14.6</v>
      </c>
      <c r="E42" s="3" t="n">
        <v>15.2</v>
      </c>
      <c r="F42" s="3" t="n">
        <v>15.6</v>
      </c>
      <c r="G42" s="3" t="n">
        <v>15.9</v>
      </c>
      <c r="H42" s="3" t="n">
        <v>16</v>
      </c>
      <c r="I42" s="3" t="n">
        <v>16</v>
      </c>
      <c r="J42" s="3" t="n">
        <v>16</v>
      </c>
      <c r="K42" s="3" t="n">
        <v>16</v>
      </c>
      <c r="L42" s="3" t="n">
        <v>16</v>
      </c>
    </row>
    <row r="43" customFormat="false" ht="15" hidden="false" customHeight="false" outlineLevel="0" collapsed="false">
      <c r="A43" s="0" t="s">
        <v>101</v>
      </c>
      <c r="C43" s="3" t="n">
        <v>0.05</v>
      </c>
      <c r="D43" s="3" t="n">
        <v>0.05</v>
      </c>
      <c r="E43" s="3" t="n">
        <v>0.05</v>
      </c>
      <c r="F43" s="3" t="n">
        <v>0.05</v>
      </c>
      <c r="G43" s="3" t="n">
        <v>0.05</v>
      </c>
      <c r="H43" s="3" t="n">
        <v>0.05</v>
      </c>
      <c r="I43" s="3" t="n">
        <v>0.05</v>
      </c>
      <c r="J43" s="3" t="n">
        <v>0.05</v>
      </c>
      <c r="K43" s="3" t="n">
        <v>0.05</v>
      </c>
      <c r="L43" s="3" t="n">
        <v>0.05</v>
      </c>
    </row>
    <row r="44" customFormat="false" ht="15" hidden="false" customHeight="false" outlineLevel="0" collapsed="false">
      <c r="A44" s="0" t="s">
        <v>102</v>
      </c>
      <c r="C44" s="3" t="n">
        <v>1.3</v>
      </c>
      <c r="D44" s="3" t="n">
        <v>1.3</v>
      </c>
      <c r="E44" s="3" t="n">
        <v>1.3</v>
      </c>
      <c r="F44" s="3" t="n">
        <v>1.3</v>
      </c>
      <c r="G44" s="3" t="n">
        <v>1.3</v>
      </c>
      <c r="H44" s="3" t="n">
        <v>1.3</v>
      </c>
      <c r="I44" s="3" t="n">
        <v>1.3</v>
      </c>
      <c r="J44" s="3" t="n">
        <v>1.3</v>
      </c>
      <c r="K44" s="3" t="n">
        <v>1.3</v>
      </c>
      <c r="L44" s="3" t="n">
        <v>1.3</v>
      </c>
    </row>
    <row r="45" customFormat="false" ht="15" hidden="false" customHeight="false" outlineLevel="0" collapsed="false">
      <c r="A45" s="0" t="s">
        <v>103</v>
      </c>
      <c r="C45" s="3" t="n">
        <v>6.8</v>
      </c>
      <c r="D45" s="3" t="n">
        <v>6.9</v>
      </c>
      <c r="E45" s="3" t="n">
        <v>7</v>
      </c>
      <c r="F45" s="3" t="n">
        <v>7.1</v>
      </c>
      <c r="G45" s="3" t="n">
        <v>7.2</v>
      </c>
      <c r="H45" s="3" t="n">
        <v>7.2</v>
      </c>
      <c r="I45" s="3" t="n">
        <v>7.2</v>
      </c>
      <c r="J45" s="3" t="n">
        <v>7.2</v>
      </c>
      <c r="K45" s="3" t="n">
        <v>7.2</v>
      </c>
      <c r="L45" s="3" t="n">
        <v>7.2</v>
      </c>
    </row>
    <row r="46" customFormat="false" ht="15" hidden="false" customHeight="false" outlineLevel="0" collapsed="false">
      <c r="A46" s="0" t="s">
        <v>104</v>
      </c>
      <c r="C46" s="3" t="n">
        <v>9.8</v>
      </c>
      <c r="D46" s="3" t="n">
        <v>9.4</v>
      </c>
      <c r="E46" s="3" t="n">
        <v>8.9</v>
      </c>
      <c r="F46" s="3" t="n">
        <v>8.5</v>
      </c>
      <c r="G46" s="3" t="n">
        <v>8.2</v>
      </c>
      <c r="H46" s="3" t="n">
        <v>8</v>
      </c>
      <c r="I46" s="3" t="n">
        <v>7.8</v>
      </c>
      <c r="J46" s="3" t="n">
        <v>7.8</v>
      </c>
      <c r="K46" s="3" t="n">
        <v>7.8</v>
      </c>
      <c r="L46" s="3" t="n">
        <v>7.8</v>
      </c>
    </row>
    <row r="47" customFormat="false" ht="15" hidden="false" customHeight="false" outlineLevel="0" collapsed="false">
      <c r="A47" s="0" t="s">
        <v>105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106</v>
      </c>
      <c r="B48" s="3" t="n">
        <v>7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18</v>
      </c>
    </row>
    <row r="51" customFormat="false" ht="15" hidden="false" customHeight="false" outlineLevel="0" collapsed="false">
      <c r="A51" s="0" t="s">
        <v>109</v>
      </c>
      <c r="B51" s="3" t="n">
        <v>-5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3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5058.6</v>
      </c>
      <c r="C6" s="0" t="n">
        <f aca="false">B6*(1+C5/100)</f>
        <v>5210.358</v>
      </c>
      <c r="D6" s="0" t="n">
        <f aca="false">C6*(1+D5/100)</f>
        <v>5288.51337</v>
      </c>
      <c r="E6" s="0" t="n">
        <f aca="false">D6*(1+E5/100)</f>
        <v>5367.84107055</v>
      </c>
      <c r="F6" s="0" t="n">
        <f aca="false">E6*(1+F5/100)</f>
        <v>5475.197891961</v>
      </c>
      <c r="G6" s="0" t="n">
        <f aca="false">F6*(1+G5/100)</f>
        <v>5584.70184980022</v>
      </c>
      <c r="H6" s="0" t="n">
        <f aca="false">G6*(1+H5/100)</f>
        <v>5696.39588679622</v>
      </c>
      <c r="I6" s="0" t="n">
        <f aca="false">H6*(1+I5/100)</f>
        <v>5810.32380453215</v>
      </c>
      <c r="J6" s="0" t="n">
        <f aca="false">I6*(1+J5/100)</f>
        <v>5926.53028062279</v>
      </c>
      <c r="K6" s="0" t="n">
        <f aca="false">J6*(1+K5/100)</f>
        <v>6045.06088623525</v>
      </c>
      <c r="L6" s="0" t="n">
        <f aca="false">K6*(1+L5/100)</f>
        <v>6165.96210395995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13.3</v>
      </c>
      <c r="D7" s="4" t="n">
        <f aca="false">Assumptions!D14</f>
        <v>12.9</v>
      </c>
      <c r="E7" s="4" t="n">
        <f aca="false">Assumptions!E14</f>
        <v>12.6</v>
      </c>
      <c r="F7" s="4" t="n">
        <f aca="false">Assumptions!F14</f>
        <v>12.5</v>
      </c>
      <c r="G7" s="4" t="n">
        <f aca="false">Assumptions!G14</f>
        <v>12.5</v>
      </c>
      <c r="H7" s="4" t="n">
        <f aca="false">Assumptions!H14</f>
        <v>12.5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692.977614</v>
      </c>
      <c r="D8" s="0" t="n">
        <f aca="false">D6*D7/100</f>
        <v>682.21822473</v>
      </c>
      <c r="E8" s="0" t="n">
        <f aca="false">E6*E7/100</f>
        <v>676.3479748893</v>
      </c>
      <c r="F8" s="0" t="n">
        <f aca="false">F6*F7/100</f>
        <v>684.399736495125</v>
      </c>
      <c r="G8" s="0" t="n">
        <f aca="false">G6*G7/100</f>
        <v>698.087731225027</v>
      </c>
      <c r="H8" s="0" t="n">
        <f aca="false">H6*H7/100</f>
        <v>712.049485849528</v>
      </c>
      <c r="I8" s="0" t="n">
        <f aca="false">I6*I7/100</f>
        <v>726.290475566519</v>
      </c>
      <c r="J8" s="0" t="n">
        <f aca="false">J6*J7/100</f>
        <v>740.816285077849</v>
      </c>
      <c r="K8" s="0" t="n">
        <f aca="false">K6*K7/100</f>
        <v>755.632610779406</v>
      </c>
      <c r="L8" s="0" t="n">
        <f aca="false">L6*L7/100</f>
        <v>770.745262994994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0.05</v>
      </c>
      <c r="D9" s="4" t="n">
        <f aca="false">Assumptions!D15</f>
        <v>0.05</v>
      </c>
      <c r="E9" s="4" t="n">
        <f aca="false">Assumptions!E15</f>
        <v>0.05</v>
      </c>
      <c r="F9" s="4" t="n">
        <f aca="false">Assumptions!F15</f>
        <v>0.05</v>
      </c>
      <c r="G9" s="4" t="n">
        <f aca="false">Assumptions!G15</f>
        <v>0.05</v>
      </c>
      <c r="H9" s="4" t="n">
        <f aca="false">Assumptions!H15</f>
        <v>0.05</v>
      </c>
      <c r="I9" s="4" t="n">
        <f aca="false">Assumptions!I15</f>
        <v>0.05</v>
      </c>
      <c r="J9" s="4" t="n">
        <f aca="false">Assumptions!J15</f>
        <v>0.05</v>
      </c>
      <c r="K9" s="4" t="n">
        <f aca="false">Assumptions!K15</f>
        <v>0.05</v>
      </c>
      <c r="L9" s="4" t="n">
        <f aca="false">Assumptions!L15</f>
        <v>0.05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-2.605179</v>
      </c>
      <c r="D10" s="0" t="n">
        <f aca="false">-D6*D9/100</f>
        <v>-2.644256685</v>
      </c>
      <c r="E10" s="0" t="n">
        <f aca="false">-E6*E9/100</f>
        <v>-2.683920535275</v>
      </c>
      <c r="F10" s="0" t="n">
        <f aca="false">-F6*F9/100</f>
        <v>-2.7375989459805</v>
      </c>
      <c r="G10" s="0" t="n">
        <f aca="false">-G6*G9/100</f>
        <v>-2.79235092490011</v>
      </c>
      <c r="H10" s="0" t="n">
        <f aca="false">-H6*H9/100</f>
        <v>-2.84819794339811</v>
      </c>
      <c r="I10" s="0" t="n">
        <f aca="false">-I6*I9/100</f>
        <v>-2.90516190226607</v>
      </c>
      <c r="J10" s="0" t="n">
        <f aca="false">-J6*J9/100</f>
        <v>-2.9632651403114</v>
      </c>
      <c r="K10" s="0" t="n">
        <f aca="false">-K6*K9/100</f>
        <v>-3.02253044311762</v>
      </c>
      <c r="L10" s="0" t="n">
        <f aca="false">-L6*L9/100</f>
        <v>-3.08298105197998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622.637781</v>
      </c>
      <c r="D11" s="0" t="n">
        <f aca="false">D8+D10+D24</f>
        <v>610.823294235</v>
      </c>
      <c r="E11" s="0" t="n">
        <f aca="false">E8+E10+E24</f>
        <v>603.882120436875</v>
      </c>
      <c r="F11" s="0" t="n">
        <f aca="false">F8+F10+F24</f>
        <v>610.484564953652</v>
      </c>
      <c r="G11" s="0" t="n">
        <f aca="false">G8+G10+G24</f>
        <v>622.694256252724</v>
      </c>
      <c r="H11" s="0" t="n">
        <f aca="false">H8+H10+H24</f>
        <v>635.148141377779</v>
      </c>
      <c r="I11" s="0" t="n">
        <f aca="false">I8+I10+I24</f>
        <v>647.851104205335</v>
      </c>
      <c r="J11" s="0" t="n">
        <f aca="false">J8+J10+J24</f>
        <v>660.808126289441</v>
      </c>
      <c r="K11" s="0" t="n">
        <f aca="false">K8+K10+K24</f>
        <v>674.02428881523</v>
      </c>
      <c r="L11" s="0" t="n">
        <f aca="false">L8+L10+L24</f>
        <v>687.504774591535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-354.304344</v>
      </c>
      <c r="D12" s="4" t="n">
        <f aca="false">-D6*Assumptions!D17/100</f>
        <v>-364.90742253</v>
      </c>
      <c r="E12" s="4" t="n">
        <f aca="false">-E6*Assumptions!E17/100</f>
        <v>-375.7488749385</v>
      </c>
      <c r="F12" s="4" t="n">
        <f aca="false">-F6*Assumptions!F17/100</f>
        <v>-388.739050329231</v>
      </c>
      <c r="G12" s="4" t="n">
        <f aca="false">-G6*Assumptions!G17/100</f>
        <v>-402.098533185616</v>
      </c>
      <c r="H12" s="4" t="n">
        <f aca="false">-H6*Assumptions!H17/100</f>
        <v>-410.140503849328</v>
      </c>
      <c r="I12" s="4" t="n">
        <f aca="false">-I6*Assumptions!I17/100</f>
        <v>-418.343313926315</v>
      </c>
      <c r="J12" s="4" t="n">
        <f aca="false">-J6*Assumptions!J17/100</f>
        <v>-426.710180204841</v>
      </c>
      <c r="K12" s="4" t="n">
        <f aca="false">-K6*Assumptions!K17/100</f>
        <v>-435.244383808938</v>
      </c>
      <c r="L12" s="4" t="n">
        <f aca="false">-L6*Assumptions!L17/100</f>
        <v>-443.949271485117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268.333437</v>
      </c>
      <c r="D13" s="0" t="n">
        <f aca="false">D11+D12</f>
        <v>245.915871705</v>
      </c>
      <c r="E13" s="0" t="n">
        <f aca="false">E11+E12</f>
        <v>228.133245498375</v>
      </c>
      <c r="F13" s="0" t="n">
        <f aca="false">F11+F12</f>
        <v>221.745514624421</v>
      </c>
      <c r="G13" s="0" t="n">
        <f aca="false">G11+G12</f>
        <v>220.595723067109</v>
      </c>
      <c r="H13" s="0" t="n">
        <f aca="false">H11+H12</f>
        <v>225.007637528451</v>
      </c>
      <c r="I13" s="0" t="n">
        <f aca="false">I11+I12</f>
        <v>229.50779027902</v>
      </c>
      <c r="J13" s="0" t="n">
        <f aca="false">J11+J12</f>
        <v>234.0979460846</v>
      </c>
      <c r="K13" s="0" t="n">
        <f aca="false">K11+K12</f>
        <v>238.779905006292</v>
      </c>
      <c r="L13" s="0" t="n">
        <f aca="false">L11+L12</f>
        <v>243.555503106418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211.98341523</v>
      </c>
      <c r="D15" s="0" t="n">
        <f aca="false">D13-MAX(0,D13)*D14/100</f>
        <v>194.27353864695</v>
      </c>
      <c r="E15" s="0" t="n">
        <f aca="false">E13-MAX(0,E13)*E14/100</f>
        <v>180.225263943716</v>
      </c>
      <c r="F15" s="0" t="n">
        <f aca="false">F13-MAX(0,F13)*F14/100</f>
        <v>175.178956553292</v>
      </c>
      <c r="G15" s="0" t="n">
        <f aca="false">G13-MAX(0,G13)*G14/100</f>
        <v>174.270621223016</v>
      </c>
      <c r="H15" s="0" t="n">
        <f aca="false">H13-MAX(0,H13)*H14/100</f>
        <v>177.756033647476</v>
      </c>
      <c r="I15" s="0" t="n">
        <f aca="false">I13-MAX(0,I13)*I14/100</f>
        <v>181.311154320426</v>
      </c>
      <c r="J15" s="0" t="n">
        <f aca="false">J13-MAX(0,J13)*J14/100</f>
        <v>184.937377406834</v>
      </c>
      <c r="K15" s="0" t="n">
        <f aca="false">K13-MAX(0,K13)*K14/100</f>
        <v>188.636124954971</v>
      </c>
      <c r="L15" s="0" t="n">
        <f aca="false">L13-MAX(0,L13)*L14/100</f>
        <v>192.40884745407</v>
      </c>
    </row>
    <row r="16" customFormat="false" ht="15" hidden="false" customHeight="false" outlineLevel="0" collapsed="false">
      <c r="A16" s="0" t="s">
        <v>121</v>
      </c>
      <c r="C16" s="0" t="n">
        <f aca="false">-C12</f>
        <v>354.304344</v>
      </c>
      <c r="D16" s="0" t="n">
        <f aca="false">-D12</f>
        <v>364.90742253</v>
      </c>
      <c r="E16" s="0" t="n">
        <f aca="false">-E12</f>
        <v>375.7488749385</v>
      </c>
      <c r="F16" s="0" t="n">
        <f aca="false">-F12</f>
        <v>388.739050329231</v>
      </c>
      <c r="G16" s="0" t="n">
        <f aca="false">-G12</f>
        <v>402.098533185616</v>
      </c>
      <c r="H16" s="0" t="n">
        <f aca="false">-H12</f>
        <v>410.140503849328</v>
      </c>
      <c r="I16" s="0" t="n">
        <f aca="false">-I12</f>
        <v>418.343313926315</v>
      </c>
      <c r="J16" s="0" t="n">
        <f aca="false">-J12</f>
        <v>426.710180204841</v>
      </c>
      <c r="K16" s="0" t="n">
        <f aca="false">-K12</f>
        <v>435.244383808938</v>
      </c>
      <c r="L16" s="0" t="n">
        <f aca="false">-L12</f>
        <v>443.949271485117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-521.0358</v>
      </c>
      <c r="D17" s="4" t="n">
        <f aca="false">-D6*Assumptions!D18/100</f>
        <v>-486.54323004</v>
      </c>
      <c r="E17" s="4" t="n">
        <f aca="false">-E6*Assumptions!E18/100</f>
        <v>-461.6343320673</v>
      </c>
      <c r="F17" s="4" t="n">
        <f aca="false">-F6*Assumptions!F18/100</f>
        <v>-448.966227140802</v>
      </c>
      <c r="G17" s="4" t="n">
        <f aca="false">-G6*Assumptions!G18/100</f>
        <v>-441.191446134217</v>
      </c>
      <c r="H17" s="4" t="n">
        <f aca="false">-H6*Assumptions!H18/100</f>
        <v>-438.622483283309</v>
      </c>
      <c r="I17" s="4" t="n">
        <f aca="false">-I6*Assumptions!I18/100</f>
        <v>-441.584609144443</v>
      </c>
      <c r="J17" s="4" t="n">
        <f aca="false">-J6*Assumptions!J18/100</f>
        <v>-450.416301327332</v>
      </c>
      <c r="K17" s="4" t="n">
        <f aca="false">-K6*Assumptions!K18/100</f>
        <v>-459.424627353879</v>
      </c>
      <c r="L17" s="4" t="n">
        <f aca="false">-L6*Assumptions!L18/100</f>
        <v>-468.613119900956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-7.58789999999999</v>
      </c>
      <c r="D18" s="4" t="n">
        <f aca="false">(D6-C6)*Assumptions!$B$23/100</f>
        <v>-3.90776849999997</v>
      </c>
      <c r="E18" s="4" t="n">
        <f aca="false">(E6-D6)*Assumptions!$B$23/100</f>
        <v>-3.96638502749997</v>
      </c>
      <c r="F18" s="4" t="n">
        <f aca="false">(F6-E6)*Assumptions!$B$23/100</f>
        <v>-5.36784107055</v>
      </c>
      <c r="G18" s="4" t="n">
        <f aca="false">(G6-F6)*Assumptions!$B$23/100</f>
        <v>-5.47519789196099</v>
      </c>
      <c r="H18" s="4" t="n">
        <f aca="false">(H6-G6)*Assumptions!$B$23/100</f>
        <v>-5.58470184980024</v>
      </c>
      <c r="I18" s="4" t="n">
        <f aca="false">(I6-H6)*Assumptions!$B$23/100</f>
        <v>-5.69639588679624</v>
      </c>
      <c r="J18" s="4" t="n">
        <f aca="false">(J6-I6)*Assumptions!$B$23/100</f>
        <v>-5.81032380453216</v>
      </c>
      <c r="K18" s="4" t="n">
        <f aca="false">(K6-J6)*Assumptions!$B$23/100</f>
        <v>-5.92653028062282</v>
      </c>
      <c r="L18" s="4" t="n">
        <f aca="false">(L6-K6)*Assumptions!$B$23/100</f>
        <v>-6.04506088623525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37.66405923</v>
      </c>
      <c r="D19" s="0" t="n">
        <f aca="false">D15+D16+D17+D18</f>
        <v>68.7299626369502</v>
      </c>
      <c r="E19" s="0" t="n">
        <f aca="false">E15+E16+E17+E18</f>
        <v>90.3734217874163</v>
      </c>
      <c r="F19" s="0" t="n">
        <f aca="false">F15+F16+F17+F18</f>
        <v>109.583938671171</v>
      </c>
      <c r="G19" s="0" t="n">
        <f aca="false">G15+G16+G17+G18</f>
        <v>129.702510382453</v>
      </c>
      <c r="H19" s="0" t="n">
        <f aca="false">H15+H16+H17+H18</f>
        <v>143.689352363695</v>
      </c>
      <c r="I19" s="0" t="n">
        <f aca="false">I15+I16+I17+I18</f>
        <v>152.373463215501</v>
      </c>
      <c r="J19" s="0" t="n">
        <f aca="false">J15+J16+J17+J18</f>
        <v>155.420932479811</v>
      </c>
      <c r="K19" s="0" t="n">
        <f aca="false">K15+K16+K17+K18</f>
        <v>158.529351129407</v>
      </c>
      <c r="L19" s="0" t="n">
        <f aca="false">L15+L16+L17+L18</f>
        <v>161.699938151995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35.2000553551402</v>
      </c>
      <c r="D21" s="0" t="n">
        <f aca="false">D19*D20</f>
        <v>60.0314111598831</v>
      </c>
      <c r="E21" s="0" t="n">
        <f aca="false">E19*E20</f>
        <v>73.7716323324294</v>
      </c>
      <c r="F21" s="0" t="n">
        <f aca="false">F19*F20</f>
        <v>83.6010621295462</v>
      </c>
      <c r="G21" s="0" t="n">
        <f aca="false">G19*G20</f>
        <v>92.4760973470261</v>
      </c>
      <c r="H21" s="0" t="n">
        <f aca="false">H19*H20</f>
        <v>95.7462825927788</v>
      </c>
      <c r="I21" s="0" t="n">
        <f aca="false">I19*I20</f>
        <v>94.8905348875144</v>
      </c>
      <c r="J21" s="0" t="n">
        <f aca="false">J19*J20</f>
        <v>90.456397743238</v>
      </c>
      <c r="K21" s="0" t="n">
        <f aca="false">K19*K20</f>
        <v>86.229463269255</v>
      </c>
      <c r="L21" s="0" t="n">
        <f aca="false">L19*L20</f>
        <v>82.2000490977944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1.3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1.3</v>
      </c>
      <c r="G23" s="4" t="n">
        <f aca="false">Assumptions!G16</f>
        <v>1.3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-67.734654</v>
      </c>
      <c r="D24" s="0" t="n">
        <f aca="false">-D6*D23/100</f>
        <v>-68.75067381</v>
      </c>
      <c r="E24" s="0" t="n">
        <f aca="false">-E6*E23/100</f>
        <v>-69.78193391715</v>
      </c>
      <c r="F24" s="0" t="n">
        <f aca="false">-F6*F23/100</f>
        <v>-71.177572595493</v>
      </c>
      <c r="G24" s="0" t="n">
        <f aca="false">-G6*G23/100</f>
        <v>-72.6011240474029</v>
      </c>
      <c r="H24" s="0" t="n">
        <f aca="false">-H6*H23/100</f>
        <v>-74.0531465283509</v>
      </c>
      <c r="I24" s="0" t="n">
        <f aca="false">-I6*I23/100</f>
        <v>-75.5342094589179</v>
      </c>
      <c r="J24" s="0" t="n">
        <f aca="false">-J6*J23/100</f>
        <v>-77.0448936480963</v>
      </c>
      <c r="K24" s="0" t="n">
        <f aca="false">-K6*K23/100</f>
        <v>-78.5857915210582</v>
      </c>
      <c r="L24" s="0" t="n">
        <f aca="false">-L6*L23/100</f>
        <v>-80.1575073514794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794.602985914606</v>
      </c>
    </row>
    <row r="31" customFormat="false" ht="15" hidden="false" customHeight="false" outlineLevel="0" collapsed="false">
      <c r="A31" s="0" t="s">
        <v>130</v>
      </c>
      <c r="B31" s="0" t="n">
        <f aca="false">L19</f>
        <v>161.699938151995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3298.6787383007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2910.59888673591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2910.59888673591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1479.6008837603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2274.2038696749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870.603869674905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0.401940844725256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-0.68099932958313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19.6576285045345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31.9715172029509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0.425777015411999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1268.72259165412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-0.260140025469622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4.5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5058.6</v>
      </c>
      <c r="C6" s="0" t="n">
        <f aca="false">B6*(1+C5/100)</f>
        <v>5286.237</v>
      </c>
      <c r="D6" s="0" t="n">
        <f aca="false">C6*(1+D5/100)</f>
        <v>5497.68648</v>
      </c>
      <c r="E6" s="0" t="n">
        <f aca="false">D6*(1+E5/100)</f>
        <v>5690.1055068</v>
      </c>
      <c r="F6" s="0" t="n">
        <f aca="false">E6*(1+F5/100)</f>
        <v>5889.259199538</v>
      </c>
      <c r="G6" s="0" t="n">
        <f aca="false">F6*(1+G5/100)</f>
        <v>6065.93697552414</v>
      </c>
      <c r="H6" s="0" t="n">
        <f aca="false">G6*(1+H5/100)</f>
        <v>6247.91508478986</v>
      </c>
      <c r="I6" s="0" t="n">
        <f aca="false">H6*(1+I5/100)</f>
        <v>6435.35253733356</v>
      </c>
      <c r="J6" s="0" t="n">
        <f aca="false">I6*(1+J5/100)</f>
        <v>6596.2363507669</v>
      </c>
      <c r="K6" s="0" t="n">
        <f aca="false">J6*(1+K5/100)</f>
        <v>6761.14225953607</v>
      </c>
      <c r="L6" s="0" t="n">
        <f aca="false">K6*(1+L5/100)</f>
        <v>6930.17081602447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13.6</v>
      </c>
      <c r="D7" s="4" t="n">
        <f aca="false">Assumptions!D28</f>
        <v>14</v>
      </c>
      <c r="E7" s="4" t="n">
        <f aca="false">Assumptions!E28</f>
        <v>14.4</v>
      </c>
      <c r="F7" s="4" t="n">
        <f aca="false">Assumptions!F28</f>
        <v>14.7</v>
      </c>
      <c r="G7" s="4" t="n">
        <f aca="false">Assumptions!G28</f>
        <v>14.8</v>
      </c>
      <c r="H7" s="4" t="n">
        <f aca="false">Assumptions!H28</f>
        <v>14.8</v>
      </c>
      <c r="I7" s="4" t="n">
        <f aca="false">Assumptions!I28</f>
        <v>14.8</v>
      </c>
      <c r="J7" s="4" t="n">
        <f aca="false">Assumptions!J28</f>
        <v>14.8</v>
      </c>
      <c r="K7" s="4" t="n">
        <f aca="false">Assumptions!K28</f>
        <v>14.8</v>
      </c>
      <c r="L7" s="4" t="n">
        <f aca="false">Assumptions!L28</f>
        <v>14.8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718.928232</v>
      </c>
      <c r="D8" s="0" t="n">
        <f aca="false">D6*D7/100</f>
        <v>769.6761072</v>
      </c>
      <c r="E8" s="0" t="n">
        <f aca="false">E6*E7/100</f>
        <v>819.3751929792</v>
      </c>
      <c r="F8" s="0" t="n">
        <f aca="false">F6*F7/100</f>
        <v>865.721102332086</v>
      </c>
      <c r="G8" s="0" t="n">
        <f aca="false">G6*G7/100</f>
        <v>897.758672377573</v>
      </c>
      <c r="H8" s="0" t="n">
        <f aca="false">H6*H7/100</f>
        <v>924.6914325489</v>
      </c>
      <c r="I8" s="0" t="n">
        <f aca="false">I6*I7/100</f>
        <v>952.432175525367</v>
      </c>
      <c r="J8" s="0" t="n">
        <f aca="false">J6*J7/100</f>
        <v>976.242979913501</v>
      </c>
      <c r="K8" s="0" t="n">
        <f aca="false">K6*K7/100</f>
        <v>1000.64905441134</v>
      </c>
      <c r="L8" s="0" t="n">
        <f aca="false">L6*L7/100</f>
        <v>1025.66528077162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0.05</v>
      </c>
      <c r="D9" s="4" t="n">
        <f aca="false">Assumptions!D29</f>
        <v>0.05</v>
      </c>
      <c r="E9" s="4" t="n">
        <f aca="false">Assumptions!E29</f>
        <v>0.05</v>
      </c>
      <c r="F9" s="4" t="n">
        <f aca="false">Assumptions!F29</f>
        <v>0.05</v>
      </c>
      <c r="G9" s="4" t="n">
        <f aca="false">Assumptions!G29</f>
        <v>0.05</v>
      </c>
      <c r="H9" s="4" t="n">
        <f aca="false">Assumptions!H29</f>
        <v>0.05</v>
      </c>
      <c r="I9" s="4" t="n">
        <f aca="false">Assumptions!I29</f>
        <v>0.05</v>
      </c>
      <c r="J9" s="4" t="n">
        <f aca="false">Assumptions!J29</f>
        <v>0.05</v>
      </c>
      <c r="K9" s="4" t="n">
        <f aca="false">Assumptions!K29</f>
        <v>0.05</v>
      </c>
      <c r="L9" s="4" t="n">
        <f aca="false">Assumptions!L29</f>
        <v>0.05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-2.6431185</v>
      </c>
      <c r="D10" s="0" t="n">
        <f aca="false">-D6*D9/100</f>
        <v>-2.74884324</v>
      </c>
      <c r="E10" s="0" t="n">
        <f aca="false">-E6*E9/100</f>
        <v>-2.8450527534</v>
      </c>
      <c r="F10" s="0" t="n">
        <f aca="false">-F6*F9/100</f>
        <v>-2.944629599769</v>
      </c>
      <c r="G10" s="0" t="n">
        <f aca="false">-G6*G9/100</f>
        <v>-3.03296848776207</v>
      </c>
      <c r="H10" s="0" t="n">
        <f aca="false">-H6*H9/100</f>
        <v>-3.12395754239493</v>
      </c>
      <c r="I10" s="0" t="n">
        <f aca="false">-I6*I9/100</f>
        <v>-3.21767626866678</v>
      </c>
      <c r="J10" s="0" t="n">
        <f aca="false">-J6*J9/100</f>
        <v>-3.29811817538345</v>
      </c>
      <c r="K10" s="0" t="n">
        <f aca="false">-K6*K9/100</f>
        <v>-3.38057112976803</v>
      </c>
      <c r="L10" s="0" t="n">
        <f aca="false">-L6*L9/100</f>
        <v>-3.46508540801224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647.5640325</v>
      </c>
      <c r="D11" s="0" t="n">
        <f aca="false">D8+D10+D24</f>
        <v>695.45733972</v>
      </c>
      <c r="E11" s="0" t="n">
        <f aca="false">E8+E10+E24</f>
        <v>742.5587686374</v>
      </c>
      <c r="F11" s="0" t="n">
        <f aca="false">F8+F10+F24</f>
        <v>786.216103138323</v>
      </c>
      <c r="G11" s="0" t="n">
        <f aca="false">G8+G10+G24</f>
        <v>815.868523207997</v>
      </c>
      <c r="H11" s="0" t="n">
        <f aca="false">H8+H10+H24</f>
        <v>840.344578904237</v>
      </c>
      <c r="I11" s="0" t="n">
        <f aca="false">I8+I10+I24</f>
        <v>865.554916271364</v>
      </c>
      <c r="J11" s="0" t="n">
        <f aca="false">J8+J10+J24</f>
        <v>887.193789178148</v>
      </c>
      <c r="K11" s="0" t="n">
        <f aca="false">K8+K10+K24</f>
        <v>909.373633907601</v>
      </c>
      <c r="L11" s="0" t="n">
        <f aca="false">L8+L10+L24</f>
        <v>932.107974755291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-359.464116</v>
      </c>
      <c r="D12" s="4" t="n">
        <f aca="false">-D6*Assumptions!D31/100</f>
        <v>-379.34036712</v>
      </c>
      <c r="E12" s="4" t="n">
        <f aca="false">-E6*Assumptions!E31/100</f>
        <v>-398.307385476</v>
      </c>
      <c r="F12" s="4" t="n">
        <f aca="false">-F6*Assumptions!F31/100</f>
        <v>-418.137403167198</v>
      </c>
      <c r="G12" s="4" t="n">
        <f aca="false">-G6*Assumptions!G31/100</f>
        <v>-436.747462237738</v>
      </c>
      <c r="H12" s="4" t="n">
        <f aca="false">-H6*Assumptions!H31/100</f>
        <v>-449.84988610487</v>
      </c>
      <c r="I12" s="4" t="n">
        <f aca="false">-I6*Assumptions!I31/100</f>
        <v>-463.345382688016</v>
      </c>
      <c r="J12" s="4" t="n">
        <f aca="false">-J6*Assumptions!J31/100</f>
        <v>-474.929017255217</v>
      </c>
      <c r="K12" s="4" t="n">
        <f aca="false">-K6*Assumptions!K31/100</f>
        <v>-486.802242686597</v>
      </c>
      <c r="L12" s="4" t="n">
        <f aca="false">-L6*Assumptions!L31/100</f>
        <v>-498.972298753762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288.0999165</v>
      </c>
      <c r="D13" s="0" t="n">
        <f aca="false">D11+D12</f>
        <v>316.1169726</v>
      </c>
      <c r="E13" s="0" t="n">
        <f aca="false">E11+E12</f>
        <v>344.2513831614</v>
      </c>
      <c r="F13" s="0" t="n">
        <f aca="false">F11+F12</f>
        <v>368.078699971125</v>
      </c>
      <c r="G13" s="0" t="n">
        <f aca="false">G11+G12</f>
        <v>379.121060970259</v>
      </c>
      <c r="H13" s="0" t="n">
        <f aca="false">H11+H12</f>
        <v>390.494692799367</v>
      </c>
      <c r="I13" s="0" t="n">
        <f aca="false">I11+I12</f>
        <v>402.209533583348</v>
      </c>
      <c r="J13" s="0" t="n">
        <f aca="false">J11+J12</f>
        <v>412.264771922931</v>
      </c>
      <c r="K13" s="0" t="n">
        <f aca="false">K11+K12</f>
        <v>422.571391221004</v>
      </c>
      <c r="L13" s="0" t="n">
        <f aca="false">L11+L12</f>
        <v>433.135676001529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227.598934035</v>
      </c>
      <c r="D15" s="0" t="n">
        <f aca="false">D13-MAX(0,D13)*D14/100</f>
        <v>249.732408354</v>
      </c>
      <c r="E15" s="0" t="n">
        <f aca="false">E13-MAX(0,E13)*E14/100</f>
        <v>271.958592697506</v>
      </c>
      <c r="F15" s="0" t="n">
        <f aca="false">F13-MAX(0,F13)*F14/100</f>
        <v>290.782172977189</v>
      </c>
      <c r="G15" s="0" t="n">
        <f aca="false">G13-MAX(0,G13)*G14/100</f>
        <v>299.505638166504</v>
      </c>
      <c r="H15" s="0" t="n">
        <f aca="false">H13-MAX(0,H13)*H14/100</f>
        <v>308.4908073115</v>
      </c>
      <c r="I15" s="0" t="n">
        <f aca="false">I13-MAX(0,I13)*I14/100</f>
        <v>317.745531530845</v>
      </c>
      <c r="J15" s="0" t="n">
        <f aca="false">J13-MAX(0,J13)*J14/100</f>
        <v>325.689169819116</v>
      </c>
      <c r="K15" s="0" t="n">
        <f aca="false">K13-MAX(0,K13)*K14/100</f>
        <v>333.831399064594</v>
      </c>
      <c r="L15" s="0" t="n">
        <f aca="false">L13-MAX(0,L13)*L14/100</f>
        <v>342.177184041208</v>
      </c>
    </row>
    <row r="16" customFormat="false" ht="15" hidden="false" customHeight="false" outlineLevel="0" collapsed="false">
      <c r="A16" s="0" t="s">
        <v>121</v>
      </c>
      <c r="C16" s="0" t="n">
        <f aca="false">-C12</f>
        <v>359.464116</v>
      </c>
      <c r="D16" s="0" t="n">
        <f aca="false">-D12</f>
        <v>379.34036712</v>
      </c>
      <c r="E16" s="0" t="n">
        <f aca="false">-E12</f>
        <v>398.307385476</v>
      </c>
      <c r="F16" s="0" t="n">
        <f aca="false">-F12</f>
        <v>418.137403167198</v>
      </c>
      <c r="G16" s="0" t="n">
        <f aca="false">-G12</f>
        <v>436.747462237738</v>
      </c>
      <c r="H16" s="0" t="n">
        <f aca="false">-H12</f>
        <v>449.84988610487</v>
      </c>
      <c r="I16" s="0" t="n">
        <f aca="false">-I12</f>
        <v>463.345382688016</v>
      </c>
      <c r="J16" s="0" t="n">
        <f aca="false">-J12</f>
        <v>474.929017255217</v>
      </c>
      <c r="K16" s="0" t="n">
        <f aca="false">-K12</f>
        <v>486.802242686597</v>
      </c>
      <c r="L16" s="0" t="n">
        <f aca="false">-L12</f>
        <v>498.972298753762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-518.051226</v>
      </c>
      <c r="D17" s="4" t="n">
        <f aca="false">-D6*Assumptions!D32/100</f>
        <v>-505.78715616</v>
      </c>
      <c r="E17" s="4" t="n">
        <f aca="false">-E6*Assumptions!E32/100</f>
        <v>-489.3490735848</v>
      </c>
      <c r="F17" s="4" t="n">
        <f aca="false">-F6*Assumptions!F32/100</f>
        <v>-482.919254362116</v>
      </c>
      <c r="G17" s="4" t="n">
        <f aca="false">-G6*Assumptions!G32/100</f>
        <v>-485.274958041931</v>
      </c>
      <c r="H17" s="4" t="n">
        <f aca="false">-H6*Assumptions!H32/100</f>
        <v>-493.585291698399</v>
      </c>
      <c r="I17" s="4" t="n">
        <f aca="false">-I6*Assumptions!I32/100</f>
        <v>-501.957497912018</v>
      </c>
      <c r="J17" s="4" t="n">
        <f aca="false">-J6*Assumptions!J32/100</f>
        <v>-514.506435359818</v>
      </c>
      <c r="K17" s="4" t="n">
        <f aca="false">-K6*Assumptions!K32/100</f>
        <v>-527.369096243813</v>
      </c>
      <c r="L17" s="4" t="n">
        <f aca="false">-L6*Assumptions!L32/100</f>
        <v>-540.553323649909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-11.38185</v>
      </c>
      <c r="D18" s="4" t="n">
        <f aca="false">(D6-C6)*Assumptions!$B$37/100</f>
        <v>-10.572474</v>
      </c>
      <c r="E18" s="4" t="n">
        <f aca="false">(E6-D6)*Assumptions!$B$37/100</f>
        <v>-9.62095133999997</v>
      </c>
      <c r="F18" s="4" t="n">
        <f aca="false">(F6-E6)*Assumptions!$B$37/100</f>
        <v>-9.95768463689997</v>
      </c>
      <c r="G18" s="4" t="n">
        <f aca="false">(G6-F6)*Assumptions!$B$37/100</f>
        <v>-8.83388879930699</v>
      </c>
      <c r="H18" s="4" t="n">
        <f aca="false">(H6-G6)*Assumptions!$B$37/100</f>
        <v>-9.0989054632862</v>
      </c>
      <c r="I18" s="4" t="n">
        <f aca="false">(I6-H6)*Assumptions!$B$37/100</f>
        <v>-9.3718726271848</v>
      </c>
      <c r="J18" s="4" t="n">
        <f aca="false">(J6-I6)*Assumptions!$B$37/100</f>
        <v>-8.04419067166691</v>
      </c>
      <c r="K18" s="4" t="n">
        <f aca="false">(K6-J6)*Assumptions!$B$37/100</f>
        <v>-8.24529543845861</v>
      </c>
      <c r="L18" s="4" t="n">
        <f aca="false">(L6-K6)*Assumptions!$B$37/100</f>
        <v>-8.45142782442003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57.6299740349999</v>
      </c>
      <c r="D19" s="0" t="n">
        <f aca="false">D15+D16+D17+D18</f>
        <v>112.713145314</v>
      </c>
      <c r="E19" s="0" t="n">
        <f aca="false">E15+E16+E17+E18</f>
        <v>171.295953248706</v>
      </c>
      <c r="F19" s="0" t="n">
        <f aca="false">F15+F16+F17+F18</f>
        <v>216.042637145371</v>
      </c>
      <c r="G19" s="0" t="n">
        <f aca="false">G15+G16+G17+G18</f>
        <v>242.144253563004</v>
      </c>
      <c r="H19" s="0" t="n">
        <f aca="false">H15+H16+H17+H18</f>
        <v>255.656496254684</v>
      </c>
      <c r="I19" s="0" t="n">
        <f aca="false">I15+I16+I17+I18</f>
        <v>269.761543679658</v>
      </c>
      <c r="J19" s="0" t="n">
        <f aca="false">J15+J16+J17+J18</f>
        <v>278.067561042847</v>
      </c>
      <c r="K19" s="0" t="n">
        <f aca="false">K15+K16+K17+K18</f>
        <v>285.019250068919</v>
      </c>
      <c r="L19" s="0" t="n">
        <f aca="false">L15+L16+L17+L18</f>
        <v>292.144731320641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53.8597888177569</v>
      </c>
      <c r="D21" s="0" t="n">
        <f aca="false">D19*D20</f>
        <v>98.4480263027338</v>
      </c>
      <c r="E21" s="0" t="n">
        <f aca="false">E19*E20</f>
        <v>139.828522956913</v>
      </c>
      <c r="F21" s="0" t="n">
        <f aca="false">F19*F20</f>
        <v>164.817893476324</v>
      </c>
      <c r="G21" s="0" t="n">
        <f aca="false">G19*G20</f>
        <v>172.645506231811</v>
      </c>
      <c r="H21" s="0" t="n">
        <f aca="false">H19*H20</f>
        <v>170.354718247484</v>
      </c>
      <c r="I21" s="0" t="n">
        <f aca="false">I19*I20</f>
        <v>167.993931696896</v>
      </c>
      <c r="J21" s="0" t="n">
        <f aca="false">J19*J20</f>
        <v>161.837852211132</v>
      </c>
      <c r="K21" s="0" t="n">
        <f aca="false">K19*K20</f>
        <v>155.031587398514</v>
      </c>
      <c r="L21" s="0" t="n">
        <f aca="false">L19*L20</f>
        <v>148.511567367735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1.3</v>
      </c>
      <c r="D23" s="4" t="n">
        <f aca="false">Assumptions!D30</f>
        <v>1.3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1.3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1.3</v>
      </c>
      <c r="K23" s="4" t="n">
        <f aca="false">Assumptions!K30</f>
        <v>1.3</v>
      </c>
      <c r="L23" s="4" t="n">
        <f aca="false">Assumptions!L30</f>
        <v>1.3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-68.721081</v>
      </c>
      <c r="D24" s="0" t="n">
        <f aca="false">-D6*D23/100</f>
        <v>-71.46992424</v>
      </c>
      <c r="E24" s="0" t="n">
        <f aca="false">-E6*E23/100</f>
        <v>-73.9713715884</v>
      </c>
      <c r="F24" s="0" t="n">
        <f aca="false">-F6*F23/100</f>
        <v>-76.560369593994</v>
      </c>
      <c r="G24" s="0" t="n">
        <f aca="false">-G6*G23/100</f>
        <v>-78.8571806818138</v>
      </c>
      <c r="H24" s="0" t="n">
        <f aca="false">-H6*H23/100</f>
        <v>-81.2228961022682</v>
      </c>
      <c r="I24" s="0" t="n">
        <f aca="false">-I6*I23/100</f>
        <v>-83.6595829853363</v>
      </c>
      <c r="J24" s="0" t="n">
        <f aca="false">-J6*J23/100</f>
        <v>-85.7510725599697</v>
      </c>
      <c r="K24" s="0" t="n">
        <f aca="false">-K6*K23/100</f>
        <v>-87.8948493739689</v>
      </c>
      <c r="L24" s="0" t="n">
        <f aca="false">-L6*L23/100</f>
        <v>-90.0922206083181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2.25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1433.3293947073</v>
      </c>
    </row>
    <row r="31" customFormat="false" ht="15" hidden="false" customHeight="false" outlineLevel="0" collapsed="false">
      <c r="A31" s="0" t="s">
        <v>130</v>
      </c>
      <c r="B31" s="0" t="n">
        <f aca="false">L19</f>
        <v>292.144731320641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6288.79974263907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5258.60516377154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5258.60516377154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2673.20821261924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4106.53760732654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2702.93760732654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1.24789363219138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-0.00960822841953701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21.2077164178482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37.9180394299415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1.27519084172407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2342.88617863024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0.0570096419062432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5.5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5058.6</v>
      </c>
      <c r="C6" s="0" t="n">
        <f aca="false">B6*(1+C5/100)</f>
        <v>5336.823</v>
      </c>
      <c r="D6" s="0" t="n">
        <f aca="false">C6*(1+D5/100)</f>
        <v>5657.03238</v>
      </c>
      <c r="E6" s="0" t="n">
        <f aca="false">D6*(1+E5/100)</f>
        <v>5968.1691609</v>
      </c>
      <c r="F6" s="0" t="n">
        <f aca="false">E6*(1+F5/100)</f>
        <v>6266.577618945</v>
      </c>
      <c r="G6" s="0" t="n">
        <f aca="false">F6*(1+G5/100)</f>
        <v>6548.57361179753</v>
      </c>
      <c r="H6" s="0" t="n">
        <f aca="false">G6*(1+H5/100)</f>
        <v>6810.51655626943</v>
      </c>
      <c r="I6" s="0" t="n">
        <f aca="false">H6*(1+I5/100)</f>
        <v>7048.88463573886</v>
      </c>
      <c r="J6" s="0" t="n">
        <f aca="false">I6*(1+J5/100)</f>
        <v>7260.35117481102</v>
      </c>
      <c r="K6" s="0" t="n">
        <f aca="false">J6*(1+K5/100)</f>
        <v>7478.16171005535</v>
      </c>
      <c r="L6" s="0" t="n">
        <f aca="false">K6*(1+L5/100)</f>
        <v>7702.50656135701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13.8</v>
      </c>
      <c r="D7" s="4" t="n">
        <f aca="false">Assumptions!D42</f>
        <v>14.6</v>
      </c>
      <c r="E7" s="4" t="n">
        <f aca="false">Assumptions!E42</f>
        <v>15.2</v>
      </c>
      <c r="F7" s="4" t="n">
        <f aca="false">Assumptions!F42</f>
        <v>15.6</v>
      </c>
      <c r="G7" s="4" t="n">
        <f aca="false">Assumptions!G42</f>
        <v>15.9</v>
      </c>
      <c r="H7" s="4" t="n">
        <f aca="false">Assumptions!H42</f>
        <v>16</v>
      </c>
      <c r="I7" s="4" t="n">
        <f aca="false">Assumptions!I42</f>
        <v>16</v>
      </c>
      <c r="J7" s="4" t="n">
        <f aca="false">Assumptions!J42</f>
        <v>16</v>
      </c>
      <c r="K7" s="4" t="n">
        <f aca="false">Assumptions!K42</f>
        <v>16</v>
      </c>
      <c r="L7" s="4" t="n">
        <f aca="false">Assumptions!L42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736.481574</v>
      </c>
      <c r="D8" s="0" t="n">
        <f aca="false">D6*D7/100</f>
        <v>825.92672748</v>
      </c>
      <c r="E8" s="0" t="n">
        <f aca="false">E6*E7/100</f>
        <v>907.1617124568</v>
      </c>
      <c r="F8" s="0" t="n">
        <f aca="false">F6*F7/100</f>
        <v>977.58610855542</v>
      </c>
      <c r="G8" s="0" t="n">
        <f aca="false">G6*G7/100</f>
        <v>1041.22320427581</v>
      </c>
      <c r="H8" s="0" t="n">
        <f aca="false">H6*H7/100</f>
        <v>1089.68264900311</v>
      </c>
      <c r="I8" s="0" t="n">
        <f aca="false">I6*I7/100</f>
        <v>1127.82154171822</v>
      </c>
      <c r="J8" s="0" t="n">
        <f aca="false">J6*J7/100</f>
        <v>1161.65618796976</v>
      </c>
      <c r="K8" s="0" t="n">
        <f aca="false">K6*K7/100</f>
        <v>1196.50587360886</v>
      </c>
      <c r="L8" s="0" t="n">
        <f aca="false">L6*L7/100</f>
        <v>1232.40104981712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0.05</v>
      </c>
      <c r="D9" s="4" t="n">
        <f aca="false">Assumptions!D43</f>
        <v>0.05</v>
      </c>
      <c r="E9" s="4" t="n">
        <f aca="false">Assumptions!E43</f>
        <v>0.05</v>
      </c>
      <c r="F9" s="4" t="n">
        <f aca="false">Assumptions!F43</f>
        <v>0.05</v>
      </c>
      <c r="G9" s="4" t="n">
        <f aca="false">Assumptions!G43</f>
        <v>0.05</v>
      </c>
      <c r="H9" s="4" t="n">
        <f aca="false">Assumptions!H43</f>
        <v>0.05</v>
      </c>
      <c r="I9" s="4" t="n">
        <f aca="false">Assumptions!I43</f>
        <v>0.05</v>
      </c>
      <c r="J9" s="4" t="n">
        <f aca="false">Assumptions!J43</f>
        <v>0.05</v>
      </c>
      <c r="K9" s="4" t="n">
        <f aca="false">Assumptions!K43</f>
        <v>0.05</v>
      </c>
      <c r="L9" s="4" t="n">
        <f aca="false">Assumptions!L43</f>
        <v>0.05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-2.6684115</v>
      </c>
      <c r="D10" s="0" t="n">
        <f aca="false">-D6*D9/100</f>
        <v>-2.82851619</v>
      </c>
      <c r="E10" s="0" t="n">
        <f aca="false">-E6*E9/100</f>
        <v>-2.98408458045</v>
      </c>
      <c r="F10" s="0" t="n">
        <f aca="false">-F6*F9/100</f>
        <v>-3.1332888094725</v>
      </c>
      <c r="G10" s="0" t="n">
        <f aca="false">-G6*G9/100</f>
        <v>-3.27428680589876</v>
      </c>
      <c r="H10" s="0" t="n">
        <f aca="false">-H6*H9/100</f>
        <v>-3.40525827813471</v>
      </c>
      <c r="I10" s="0" t="n">
        <f aca="false">-I6*I9/100</f>
        <v>-3.52444231786943</v>
      </c>
      <c r="J10" s="0" t="n">
        <f aca="false">-J6*J9/100</f>
        <v>-3.63017558740551</v>
      </c>
      <c r="K10" s="0" t="n">
        <f aca="false">-K6*K9/100</f>
        <v>-3.73908085502768</v>
      </c>
      <c r="L10" s="0" t="n">
        <f aca="false">-L6*L9/100</f>
        <v>-3.85125328067851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664.4344635</v>
      </c>
      <c r="D11" s="0" t="n">
        <f aca="false">D8+D10+D24</f>
        <v>749.55679035</v>
      </c>
      <c r="E11" s="0" t="n">
        <f aca="false">E8+E10+E24</f>
        <v>826.59142878465</v>
      </c>
      <c r="F11" s="0" t="n">
        <f aca="false">F8+F10+F24</f>
        <v>892.987310699663</v>
      </c>
      <c r="G11" s="0" t="n">
        <f aca="false">G8+G10+G24</f>
        <v>952.81746051654</v>
      </c>
      <c r="H11" s="0" t="n">
        <f aca="false">H8+H10+H24</f>
        <v>997.740675493471</v>
      </c>
      <c r="I11" s="0" t="n">
        <f aca="false">I8+I10+I24</f>
        <v>1032.66159913574</v>
      </c>
      <c r="J11" s="0" t="n">
        <f aca="false">J8+J10+J24</f>
        <v>1063.64144710981</v>
      </c>
      <c r="K11" s="0" t="n">
        <f aca="false">K8+K10+K24</f>
        <v>1095.55069052311</v>
      </c>
      <c r="L11" s="0" t="n">
        <f aca="false">L8+L10+L24</f>
        <v>1128.4172112388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-362.903964</v>
      </c>
      <c r="D12" s="4" t="n">
        <f aca="false">-D6*Assumptions!D45/100</f>
        <v>-390.33523422</v>
      </c>
      <c r="E12" s="4" t="n">
        <f aca="false">-E6*Assumptions!E45/100</f>
        <v>-417.771841263</v>
      </c>
      <c r="F12" s="4" t="n">
        <f aca="false">-F6*Assumptions!F45/100</f>
        <v>-444.927010945095</v>
      </c>
      <c r="G12" s="4" t="n">
        <f aca="false">-G6*Assumptions!G45/100</f>
        <v>-471.497300049422</v>
      </c>
      <c r="H12" s="4" t="n">
        <f aca="false">-H6*Assumptions!H45/100</f>
        <v>-490.357192051399</v>
      </c>
      <c r="I12" s="4" t="n">
        <f aca="false">-I6*Assumptions!I45/100</f>
        <v>-507.519693773198</v>
      </c>
      <c r="J12" s="4" t="n">
        <f aca="false">-J6*Assumptions!J45/100</f>
        <v>-522.745284586394</v>
      </c>
      <c r="K12" s="4" t="n">
        <f aca="false">-K6*Assumptions!K45/100</f>
        <v>-538.427643123985</v>
      </c>
      <c r="L12" s="4" t="n">
        <f aca="false">-L6*Assumptions!L45/100</f>
        <v>-554.580472417705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301.5304995</v>
      </c>
      <c r="D13" s="0" t="n">
        <f aca="false">D11+D12</f>
        <v>359.22155613</v>
      </c>
      <c r="E13" s="0" t="n">
        <f aca="false">E11+E12</f>
        <v>408.81958752165</v>
      </c>
      <c r="F13" s="0" t="n">
        <f aca="false">F11+F12</f>
        <v>448.060299754568</v>
      </c>
      <c r="G13" s="0" t="n">
        <f aca="false">G11+G12</f>
        <v>481.320160467118</v>
      </c>
      <c r="H13" s="0" t="n">
        <f aca="false">H11+H12</f>
        <v>507.383483442072</v>
      </c>
      <c r="I13" s="0" t="n">
        <f aca="false">I11+I12</f>
        <v>525.141905362545</v>
      </c>
      <c r="J13" s="0" t="n">
        <f aca="false">J11+J12</f>
        <v>540.896162523421</v>
      </c>
      <c r="K13" s="0" t="n">
        <f aca="false">K11+K12</f>
        <v>557.123047399124</v>
      </c>
      <c r="L13" s="0" t="n">
        <f aca="false">L11+L12</f>
        <v>573.836738821098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238.209094605</v>
      </c>
      <c r="D15" s="0" t="n">
        <f aca="false">D13-MAX(0,D13)*D14/100</f>
        <v>283.7850293427</v>
      </c>
      <c r="E15" s="0" t="n">
        <f aca="false">E13-MAX(0,E13)*E14/100</f>
        <v>322.967474142104</v>
      </c>
      <c r="F15" s="0" t="n">
        <f aca="false">F13-MAX(0,F13)*F14/100</f>
        <v>353.967636806108</v>
      </c>
      <c r="G15" s="0" t="n">
        <f aca="false">G13-MAX(0,G13)*G14/100</f>
        <v>380.242926769023</v>
      </c>
      <c r="H15" s="0" t="n">
        <f aca="false">H13-MAX(0,H13)*H14/100</f>
        <v>400.832951919237</v>
      </c>
      <c r="I15" s="0" t="n">
        <f aca="false">I13-MAX(0,I13)*I14/100</f>
        <v>414.86210523641</v>
      </c>
      <c r="J15" s="0" t="n">
        <f aca="false">J13-MAX(0,J13)*J14/100</f>
        <v>427.307968393503</v>
      </c>
      <c r="K15" s="0" t="n">
        <f aca="false">K13-MAX(0,K13)*K14/100</f>
        <v>440.127207445308</v>
      </c>
      <c r="L15" s="0" t="n">
        <f aca="false">L13-MAX(0,L13)*L14/100</f>
        <v>453.331023668667</v>
      </c>
    </row>
    <row r="16" customFormat="false" ht="15" hidden="false" customHeight="false" outlineLevel="0" collapsed="false">
      <c r="A16" s="0" t="s">
        <v>121</v>
      </c>
      <c r="C16" s="0" t="n">
        <f aca="false">-C12</f>
        <v>362.903964</v>
      </c>
      <c r="D16" s="0" t="n">
        <f aca="false">-D12</f>
        <v>390.33523422</v>
      </c>
      <c r="E16" s="0" t="n">
        <f aca="false">-E12</f>
        <v>417.771841263</v>
      </c>
      <c r="F16" s="0" t="n">
        <f aca="false">-F12</f>
        <v>444.927010945095</v>
      </c>
      <c r="G16" s="0" t="n">
        <f aca="false">-G12</f>
        <v>471.497300049422</v>
      </c>
      <c r="H16" s="0" t="n">
        <f aca="false">-H12</f>
        <v>490.357192051399</v>
      </c>
      <c r="I16" s="0" t="n">
        <f aca="false">-I12</f>
        <v>507.519693773198</v>
      </c>
      <c r="J16" s="0" t="n">
        <f aca="false">-J12</f>
        <v>522.745284586394</v>
      </c>
      <c r="K16" s="0" t="n">
        <f aca="false">-K12</f>
        <v>538.427643123985</v>
      </c>
      <c r="L16" s="0" t="n">
        <f aca="false">-L12</f>
        <v>554.580472417705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-523.008654</v>
      </c>
      <c r="D17" s="4" t="n">
        <f aca="false">-D6*Assumptions!D46/100</f>
        <v>-531.76104372</v>
      </c>
      <c r="E17" s="4" t="n">
        <f aca="false">-E6*Assumptions!E46/100</f>
        <v>-531.1670553201</v>
      </c>
      <c r="F17" s="4" t="n">
        <f aca="false">-F6*Assumptions!F46/100</f>
        <v>-532.659097610325</v>
      </c>
      <c r="G17" s="4" t="n">
        <f aca="false">-G6*Assumptions!G46/100</f>
        <v>-536.983036167397</v>
      </c>
      <c r="H17" s="4" t="n">
        <f aca="false">-H6*Assumptions!H46/100</f>
        <v>-544.841324501554</v>
      </c>
      <c r="I17" s="4" t="n">
        <f aca="false">-I6*Assumptions!I46/100</f>
        <v>-549.813001587631</v>
      </c>
      <c r="J17" s="4" t="n">
        <f aca="false">-J6*Assumptions!J46/100</f>
        <v>-566.30739163526</v>
      </c>
      <c r="K17" s="4" t="n">
        <f aca="false">-K6*Assumptions!K46/100</f>
        <v>-583.296613384317</v>
      </c>
      <c r="L17" s="4" t="n">
        <f aca="false">-L6*Assumptions!L46/100</f>
        <v>-600.795511785847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-13.91115</v>
      </c>
      <c r="D18" s="4" t="n">
        <f aca="false">(D6-C6)*Assumptions!$B$51/100</f>
        <v>-16.010469</v>
      </c>
      <c r="E18" s="4" t="n">
        <f aca="false">(E6-D6)*Assumptions!$B$51/100</f>
        <v>-15.556839045</v>
      </c>
      <c r="F18" s="4" t="n">
        <f aca="false">(F6-E6)*Assumptions!$B$51/100</f>
        <v>-14.92042290225</v>
      </c>
      <c r="G18" s="4" t="n">
        <f aca="false">(G6-F6)*Assumptions!$B$51/100</f>
        <v>-14.0997996426262</v>
      </c>
      <c r="H18" s="4" t="n">
        <f aca="false">(H6-G6)*Assumptions!$B$51/100</f>
        <v>-13.097147223595</v>
      </c>
      <c r="I18" s="4" t="n">
        <f aca="false">(I6-H6)*Assumptions!$B$51/100</f>
        <v>-11.9184039734715</v>
      </c>
      <c r="J18" s="4" t="n">
        <f aca="false">(J6-I6)*Assumptions!$B$51/100</f>
        <v>-10.5733269536083</v>
      </c>
      <c r="K18" s="4" t="n">
        <f aca="false">(K6-J6)*Assumptions!$B$51/100</f>
        <v>-10.8905267622165</v>
      </c>
      <c r="L18" s="4" t="n">
        <f aca="false">(L6-K6)*Assumptions!$B$51/100</f>
        <v>-11.2172425650831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64.193254605</v>
      </c>
      <c r="D19" s="0" t="n">
        <f aca="false">D15+D16+D17+D18</f>
        <v>126.3487508427</v>
      </c>
      <c r="E19" s="0" t="n">
        <f aca="false">E15+E16+E17+E18</f>
        <v>194.015421040003</v>
      </c>
      <c r="F19" s="0" t="n">
        <f aca="false">F15+F16+F17+F18</f>
        <v>251.315127238628</v>
      </c>
      <c r="G19" s="0" t="n">
        <f aca="false">G15+G16+G17+G18</f>
        <v>300.657391008422</v>
      </c>
      <c r="H19" s="0" t="n">
        <f aca="false">H15+H16+H17+H18</f>
        <v>333.251672245487</v>
      </c>
      <c r="I19" s="0" t="n">
        <f aca="false">I15+I16+I17+I18</f>
        <v>360.650393448506</v>
      </c>
      <c r="J19" s="0" t="n">
        <f aca="false">J15+J16+J17+J18</f>
        <v>373.172534391028</v>
      </c>
      <c r="K19" s="0" t="n">
        <f aca="false">K15+K16+K17+K18</f>
        <v>384.367710422759</v>
      </c>
      <c r="L19" s="0" t="n">
        <f aca="false">L15+L16+L17+L18</f>
        <v>395.898741735442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59.9936958925234</v>
      </c>
      <c r="D21" s="0" t="n">
        <f aca="false">D19*D20</f>
        <v>110.357892254957</v>
      </c>
      <c r="E21" s="0" t="n">
        <f aca="false">E19*E20</f>
        <v>158.37437627904</v>
      </c>
      <c r="F21" s="0" t="n">
        <f aca="false">F19*F20</f>
        <v>191.727107285464</v>
      </c>
      <c r="G21" s="0" t="n">
        <f aca="false">G19*G20</f>
        <v>214.364564548622</v>
      </c>
      <c r="H21" s="0" t="n">
        <f aca="false">H19*H20</f>
        <v>222.059660374629</v>
      </c>
      <c r="I21" s="0" t="n">
        <f aca="false">I19*I20</f>
        <v>224.594939430633</v>
      </c>
      <c r="J21" s="0" t="n">
        <f aca="false">J19*J20</f>
        <v>217.189812589188</v>
      </c>
      <c r="K21" s="0" t="n">
        <f aca="false">K19*K20</f>
        <v>209.070567258751</v>
      </c>
      <c r="L21" s="0" t="n">
        <f aca="false">L19*L20</f>
        <v>201.254845118237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1.3</v>
      </c>
      <c r="D23" s="4" t="n">
        <f aca="false">Assumptions!D44</f>
        <v>1.3</v>
      </c>
      <c r="E23" s="4" t="n">
        <f aca="false">Assumptions!E44</f>
        <v>1.3</v>
      </c>
      <c r="F23" s="4" t="n">
        <f aca="false">Assumptions!F44</f>
        <v>1.3</v>
      </c>
      <c r="G23" s="4" t="n">
        <f aca="false">Assumptions!G44</f>
        <v>1.3</v>
      </c>
      <c r="H23" s="4" t="n">
        <f aca="false">Assumptions!H44</f>
        <v>1.3</v>
      </c>
      <c r="I23" s="4" t="n">
        <f aca="false">Assumptions!I44</f>
        <v>1.3</v>
      </c>
      <c r="J23" s="4" t="n">
        <f aca="false">Assumptions!J44</f>
        <v>1.3</v>
      </c>
      <c r="K23" s="4" t="n">
        <f aca="false">Assumptions!K44</f>
        <v>1.3</v>
      </c>
      <c r="L23" s="4" t="n">
        <f aca="false">Assumptions!L44</f>
        <v>1.3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-69.378699</v>
      </c>
      <c r="D24" s="0" t="n">
        <f aca="false">-D6*D23/100</f>
        <v>-73.54142094</v>
      </c>
      <c r="E24" s="0" t="n">
        <f aca="false">-E6*E23/100</f>
        <v>-77.5861990917</v>
      </c>
      <c r="F24" s="0" t="n">
        <f aca="false">-F6*F23/100</f>
        <v>-81.465509046285</v>
      </c>
      <c r="G24" s="0" t="n">
        <f aca="false">-G6*G23/100</f>
        <v>-85.1314569533678</v>
      </c>
      <c r="H24" s="0" t="n">
        <f aca="false">-H6*H23/100</f>
        <v>-88.5367152315025</v>
      </c>
      <c r="I24" s="0" t="n">
        <f aca="false">-I6*I23/100</f>
        <v>-91.6355002646051</v>
      </c>
      <c r="J24" s="0" t="n">
        <f aca="false">-J6*J23/100</f>
        <v>-94.3845652725433</v>
      </c>
      <c r="K24" s="0" t="n">
        <f aca="false">-K6*K23/100</f>
        <v>-97.2161022307196</v>
      </c>
      <c r="L24" s="0" t="n">
        <f aca="false">-L6*L23/100</f>
        <v>-100.132585297641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1808.98746103205</v>
      </c>
    </row>
    <row r="31" customFormat="false" ht="15" hidden="false" customHeight="false" outlineLevel="0" collapsed="false">
      <c r="A31" s="0" t="s">
        <v>130</v>
      </c>
      <c r="B31" s="0" t="n">
        <f aca="false">L19</f>
        <v>395.898741735442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9017.69356175173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7126.17735123795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7126.17735123795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3622.58721212827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5431.57467316032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4027.97467316032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1.85963742989858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0.475902722141727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22.6934745685888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44.5939205786897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1.89070270928328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3246.36968223062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0.267644164003268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0.401940844725256</v>
      </c>
      <c r="C4" s="0" t="n">
        <f aca="false">B4/Assumptions!$B$2-1</f>
        <v>-0.68099932958313</v>
      </c>
      <c r="D4" s="4" t="n">
        <f aca="false">Assumptions!$B$24</f>
        <v>0.25</v>
      </c>
      <c r="E4" s="4" t="n">
        <f aca="false">DCF_Bear!$B$43</f>
        <v>0.425777015411999</v>
      </c>
      <c r="F4" s="4" t="n">
        <f aca="false">DCF_Bear!$B$47</f>
        <v>-0.260140025469622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1.24789363219138</v>
      </c>
      <c r="C5" s="0" t="n">
        <f aca="false">B5/Assumptions!$B$2-1</f>
        <v>-0.00960822841953701</v>
      </c>
      <c r="D5" s="4" t="n">
        <f aca="false">Assumptions!$B$38</f>
        <v>0.5</v>
      </c>
      <c r="E5" s="4" t="n">
        <f aca="false">DCF_Base!$B$43</f>
        <v>1.27519084172407</v>
      </c>
      <c r="F5" s="4" t="n">
        <f aca="false">DCF_Base!$B$47</f>
        <v>0.0570096419062432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1.85963742989858</v>
      </c>
      <c r="C6" s="0" t="n">
        <f aca="false">B6/Assumptions!$B$2-1</f>
        <v>0.475902722141727</v>
      </c>
      <c r="D6" s="4" t="n">
        <f aca="false">Assumptions!$B$52</f>
        <v>0.25</v>
      </c>
      <c r="E6" s="4" t="n">
        <f aca="false">DCF_Bull!$B$43</f>
        <v>1.89070270928328</v>
      </c>
      <c r="F6" s="4" t="n">
        <f aca="false">DCF_Bull!$B$47</f>
        <v>0.267644164003268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1.18934138475165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1.21671535203585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-0.0594098684820463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258.123400655643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0.030380855586533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1.24789363219138</v>
      </c>
      <c r="C15" s="3" t="n">
        <v>7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0.808123118776417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0.600449067730677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0.440896609732039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0.31462902459414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0.0570096419062432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1.25</v>
      </c>
      <c r="C23" s="3" t="n">
        <v>1.75</v>
      </c>
      <c r="D23" s="3" t="n">
        <v>2.25</v>
      </c>
      <c r="E23" s="3" t="n">
        <v>2.75</v>
      </c>
      <c r="F23" s="3" t="n">
        <v>3.25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1.58405269873213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1.58405269873213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1.58405269873213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1.58405269873213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1.58405269873213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1.4077957842712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1.4077957842712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1.4077957842712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1.4077957842712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1.4077957842712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1.2210638898029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1.24789363219138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1.24789363219138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1.24789363219138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1.24789363219138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0.915238434746842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0.99520565890254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1.08908022638966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1.10266161636176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1.10266161636176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0.689410837907554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0.744673451415473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0.808123118776417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0.881724732915113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0.968126627773581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2026-10-24T01:20:00Z</dcterms:created>
  <dc:creator>openpyxl</dc:creator>
  <dc:description/>
  <dc:language>en-NZ</dc:language>
  <cp:lastModifiedBy/>
  <dcterms:modified xsi:type="dcterms:W3CDTF">2026-10-24T01:20:00Z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