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<sst xmlns="http://schemas.openxmlformats.org/spreadsheetml/2006/main" count="365" uniqueCount="166">
  <si>
    <t xml:space="preserve">Ticker</t>
  </si>
  <si>
    <t xml:space="preserve">IR</t>
  </si>
  <si>
    <t xml:space="preserve">Company</t>
  </si>
  <si>
    <t xml:space="preserve">Ingersoll Rand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</si>
  <si>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</si>
  <si>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</si>
  <si>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</si>
  <si>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</si>
  <si>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 (Yahoo Finance chart API); 52-week range 68.07-100.96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</si>
  <si>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</si>
  <si>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</si>
  <si>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</si>
  <si>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</si>
  <si>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</si>
  <si>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</si>
  <si>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</si>
  <si>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</si>
  <si>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</si>
  <si>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</si>
  <si>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</si>
  <si>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</si>
  <si>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2026-09-28T21:59:54Z</t>
  </si>
  <si>
    <t xml:space="preserve">Drivers file</t>
  </si>
  <si>
    <t xml:space="preserve">IR_Drivers.json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</si>
  <si>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</si>
  <si>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</si>
  <si>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</si>
  <si>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Ingersoll Rand is valued as a mature, moderately cyclical industrial compounder on unlevered owner FCF (EBITDA before SBC, less SBC, cash tax on EBIT after full D&amp;A, capex and working-capital drag), discounted at a 9% USD WACC with net debt of $3.6B deducted and a flat 390M diluted share count. The growth path is organic-plus (guided 1-3% organic with a modest credit for bolt-ons in hand), not the 9-14% acquisition-inflated revenue CAGRs, and the margin driver is GAAP-underlying EBITDA rather than management's adjusted figure, so that recurring restructuring and deal costs are not treated as one-offs. Serial M&amp;A is treated as roughly value-neutral. The market's ~19.7x forward P/E on adjusted EPS (which adds back ~$390M/yr of acquisition amortisation) implies a growth premium the organic record does not yet support; the house valuation makes that gap explicit.
key_risks_to_valuation: Organic growth: two years of ~-1.4%/yr organic revenue; if FY2027+ organic growth is 0-1% rather than 2-3% the base case converges on the bear; China pricing and ITS margin: Q2 2026 ITS adjusted EBITDA margin down 180bp YoY; the base assumes recovery to 26.5% pre-SBC underlying, the bear assumes 23.5%; M&amp;A treatment: the model neither charges acquisition cash (~$0.5-1B/yr in a normal year) nor credits acquired growth; if deals are systematically value-creating at mid-teens ROIC the model understates, if a large deal is overpaid it overstates; Tariffs: ~$150M gross FY2026 exposure assumed fully offset by pricing; IEEPA refunds are unmodelled upside; Terminal value is ~55-60% of EV at a 9% WACC; each 50bp of WACC moves the base value by roughly $4-5/share; Adjusted-vs-GAAP gap: the street values IR on adjusted EPS excluding ~$1/share of intangible amortisation; this model does not add that back beyond its tax-shield value</t>
  </si>
  <si>
    <t xml:space="preserve">Data sources</t>
  </si>
  <si>
    <t xml:space="preserve">price: Yahoo Finance chart API regular close at inputs.price_as_of; 52-week range 68.07-100.96
financials: research/IR/Reports/IR_Metrics.csv (SEC XBRL, FY2014-Q2 2026, USD millions) and SEC companyfacts API CIK 0001699150 for tags the CSV lacks: diluted/basic weighted shares, dei cover-page count (2026-07-24), continuing-ops OCF FY2020-22, interest paid, income taxes paid, intangible amortisation, goodwill/intangible impairment (Q2 2025), restructuring, repurchases, dividends, acquisitions net of cash, operating lease liability
qualitative: research/IR/Reports/IR_Analysis.json (2026-09-29): FY2026 guidance (revenue +4.5-6.5%, adj. EBITDA $2.13-2.19B, adj. EPS $3.45-3.57), Q2 2026 segment margins, M&amp;A pipeline, tariff exposure</t>
  </si>
  <si>
    <t xml:space="preserve">Scenario narrative: bear</t>
  </si>
  <si>
    <t xml:space="preserve">Organic revenue stays roughly flat-to-negative as it has for two years: FY2026 comes in at the low end (+4%), then industrial capex softens and the M&amp;A engine cannot fully mask it (revenue +0.5%, 0%, then 1-2%). China overcapacity persists and ITS margin compression continues, tariff pass-through is incomplete, and the pre-SBC underlying EBITDA margin settles at 23.5% (roughly the FY2023 level) rather than recovering. A slower deal cadence removes the growth story the premium multiple was paying for; terminal growth 2%, cap 14x. No solvency question: net debt/EBITDA ~1.8x, interest cover ~5.8x, so this is a re-rating bear, not a distress bear.</t>
  </si>
  <si>
    <t xml:space="preserve">Scenario narrative: base</t>
  </si>
  <si>
    <t xml:space="preserve">FY2026 lands at the guidance midpoint (revenue +5.5%, adjusted EBITDA ~$2.16B, adjusted EPS near the $3.57 top end) with tariffs offset one-for-one by surcharges. From FY2027 the company grows at organic 1-3% plus a small contribution from bolt-ons already closed or under LOI (Lone Star Blowers, Fai Filtri, ~11 LOIs), fading to 2.5%. Underlying pre-SBC EBITDA margin recovers from 25.4% to 26.5% as Precision &amp; Science (31.5% margin, growing faster) and aftermarket (~37% of sales) gain mix and China pricing normalises from negative low-single-digits toward flat. Ongoing M&amp;A is value-neutral: bought at 9-10x, re-rated by IRX, but the spend and the acquired revenue are both left out. Buybacks continue at roughly the FY2023-24 pace, which the flat share count does not credit.</t>
  </si>
  <si>
    <t xml:space="preserve">Scenario narrative: bull</t>
  </si>
  <si>
    <t xml:space="preserve">The IRX playbook keeps compounding: the LOI pipeline closes and re-rates to mid-teens ROIC, life-sciences orders (low-double-digit organic growth in Q2 2026) and hydrogen/water demand lift organic growth to 4-5% for several years, and the China pricing reset proves the 'timing issue' management describes. Revenue grows 6.5% in FY2026 fading to 3% terminal; pre-SBC underlying EBITDA margin expands to 28% (P&amp;ST-style operational excellence replicated across ITS, aftermarket mix rising past 40%). Terminal growth 3%. Note this case needs three independent things to go right -- deal flow, organic demand and China margin -- which is why its weight is not raised above the bear's.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</si>
  <si>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</si>
  <si>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</si>
  <si>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</si>
  <si>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</si>
  <si>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</si>
  <si>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</si>
  <si>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</si>
  <si>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</si>
  <si>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</si>
  <si>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</si>
  <si>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</si>
  <si>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</si>
  <si>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</si>
  <si>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</si>
  <si>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</si>
  <si>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</si>
  <si>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</si>
  <si>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</si>
  <si>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</si>
  <si>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</si>
  <si>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</si>
  <si>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</si>
  <si>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</si>
  <si>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</si>
  <si>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</si>
  <si>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</si>
  <si>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</si>
  <si>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</si>
  <si>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</si>
  <si>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</si>
  <si>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</si>
  <si>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</si>
  <si>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</si>
  <si>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</si>
  <si>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</si>
  <si>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</si>
  <si>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</si>
  <si>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</si>
  <si>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</si>
  <si>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</si>
  <si>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</si>
  <si>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</si>
  <si>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</si>
  <si>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</si>
  <si>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</si>
  <si>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</si>
  <si>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</si>
  <si>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</si>
  <si>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</si>
  <si>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</si>
  <si>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</si>
  <si>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</si>
  <si>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</si>
  <si>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</si>
  <si>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</si>
  <si>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</si>
  <si>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</si>
  <si>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</si>
  <si>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</si>
  <si>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</si>
  <si>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</si>
  <si>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</si>
  <si>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</si>
  <si>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</si>
  <si>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</si>
  <si>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</si>
  <si>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</si>
  <si>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</si>
  <si>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</si>
  <si>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</si>
  <si>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</si>
  <si>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</si>
  <si>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</si>
  <si>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</si>
  <si>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</si>
  <si>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</si>
  <si>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</si>
  <si>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</si>
  <si>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</si>
  <si>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</si>
  <si>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</si>
  <si>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</si>
  <si>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</si>
  <si>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</si>
  <si>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</si>
  <si>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</si>
  <si>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</si>
  <si>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</si>
  <si>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</si>
  <si>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</si>
  <si>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</si>
  <si>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</si>
  <si>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</si>
  <si>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</si>
  <si>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</si>
  <si>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</si>
  <si>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</si>
  <si>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</si>
  <si>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</si>
  <si>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</si>
  <si>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</si>
  <si>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</si>
  <si>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</si>
  <si>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</si>
  <si>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</si>
  <si>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</si>
  <si>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</si>
  <si>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IR owner-FCF component DCF: base case (millions, USD)</t>
  </si>
  <si>
    <t xml:space="preserve">IR owner-FCF component DCF: bull case (millions, USD)</t>
  </si>
  <si>
    <t xml:space="preserve">IR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</si>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</sst>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76.38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184.2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2126.9</v>
      </c>
      <c r="C3" s="0" t="n">
        <v>1347.8</v>
      </c>
      <c r="D3" s="0" t="n">
        <v>779.1</v>
      </c>
      <c r="E3" s="0" t="n">
        <v>36.6307771874559</v>
      </c>
      <c r="F3" s="0" t="n">
        <v>-205.4</v>
      </c>
      <c r="G3" s="0" t="n">
        <v>-9.65724763740655</v>
      </c>
      <c r="H3" s="0" t="n">
        <v>-42.4</v>
      </c>
      <c r="I3" s="0" t="n">
        <v>-352</v>
      </c>
      <c r="J3" s="0" t="n">
        <v>-16.5499083172693</v>
      </c>
      <c r="K3" s="0" t="n">
        <v>-2.35</v>
      </c>
      <c r="L3" s="0" t="n">
        <v>172.1</v>
      </c>
      <c r="M3" s="0" t="n">
        <v>71</v>
      </c>
      <c r="N3" s="0" t="n">
        <v>101.1</v>
      </c>
      <c r="O3" s="0" t="n">
        <v>405.5</v>
      </c>
      <c r="P3" s="0" t="n">
        <v>4462</v>
      </c>
      <c r="S3" s="0" t="n">
        <v>228.3</v>
      </c>
      <c r="T3" s="0" t="n">
        <v>149.6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1939.4</v>
      </c>
      <c r="C4" s="0" t="n">
        <v>1222.7</v>
      </c>
      <c r="D4" s="0" t="n">
        <v>716.7</v>
      </c>
      <c r="E4" s="0" t="n">
        <v>36.9547282664742</v>
      </c>
      <c r="F4" s="0" t="n">
        <v>103.5</v>
      </c>
      <c r="G4" s="0" t="n">
        <v>5.33670207280602</v>
      </c>
      <c r="H4" s="0" t="n">
        <v>276.2</v>
      </c>
      <c r="I4" s="0" t="n">
        <v>-36.6</v>
      </c>
      <c r="J4" s="0" t="n">
        <v>-1.88718160255749</v>
      </c>
      <c r="K4" s="0" t="n">
        <v>-0.25</v>
      </c>
      <c r="L4" s="0" t="n">
        <v>165.6</v>
      </c>
      <c r="M4" s="0" t="n">
        <v>74.4</v>
      </c>
      <c r="N4" s="0" t="n">
        <v>91.2</v>
      </c>
      <c r="O4" s="0" t="n">
        <v>271.8</v>
      </c>
      <c r="P4" s="0" t="n">
        <v>4316</v>
      </c>
      <c r="Q4" s="0" t="n">
        <v>4044.2</v>
      </c>
      <c r="R4" s="0" t="n">
        <v>2778.3</v>
      </c>
      <c r="S4" s="0" t="n">
        <v>255.8</v>
      </c>
      <c r="T4" s="0" t="n">
        <v>149.2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2375.4</v>
      </c>
      <c r="C5" s="0" t="n">
        <v>1477.5</v>
      </c>
      <c r="D5" s="0" t="n">
        <v>897.9</v>
      </c>
      <c r="E5" s="0" t="n">
        <v>37.7999494821925</v>
      </c>
      <c r="F5" s="0" t="n">
        <v>109.1</v>
      </c>
      <c r="G5" s="0" t="n">
        <v>4.59291066767702</v>
      </c>
      <c r="H5" s="0" t="n">
        <v>282.9</v>
      </c>
      <c r="I5" s="0" t="n">
        <v>18.5</v>
      </c>
      <c r="J5" s="0" t="n">
        <v>0.778816199376947</v>
      </c>
      <c r="K5" s="0" t="n">
        <v>0.1</v>
      </c>
      <c r="L5" s="0" t="n">
        <v>200.5</v>
      </c>
      <c r="M5" s="0" t="n">
        <v>56.8</v>
      </c>
      <c r="N5" s="0" t="n">
        <v>143.7</v>
      </c>
      <c r="O5" s="0" t="n">
        <v>1476.8</v>
      </c>
      <c r="P5" s="0" t="n">
        <v>4621.2</v>
      </c>
      <c r="Q5" s="0" t="n">
        <v>3144.4</v>
      </c>
      <c r="R5" s="0" t="n">
        <v>2040.2</v>
      </c>
      <c r="S5" s="0" t="n">
        <v>393.3</v>
      </c>
      <c r="T5" s="0" t="n">
        <v>196.217971</v>
      </c>
      <c r="U5" s="0" t="n">
        <v>175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2689.8</v>
      </c>
      <c r="C6" s="0" t="n">
        <v>1677.3</v>
      </c>
      <c r="D6" s="0" t="n">
        <v>1012.5</v>
      </c>
      <c r="E6" s="0" t="n">
        <v>37.6422038813295</v>
      </c>
      <c r="F6" s="0" t="n">
        <v>443</v>
      </c>
      <c r="G6" s="0" t="n">
        <v>16.4696259944977</v>
      </c>
      <c r="H6" s="0" t="n">
        <v>623.4</v>
      </c>
      <c r="I6" s="0" t="n">
        <v>269.4</v>
      </c>
      <c r="J6" s="0" t="n">
        <v>10.0156145438323</v>
      </c>
      <c r="K6" s="0" t="n">
        <v>1.34</v>
      </c>
      <c r="L6" s="0" t="n">
        <v>444.5</v>
      </c>
      <c r="M6" s="0" t="n">
        <v>52.2</v>
      </c>
      <c r="N6" s="0" t="n">
        <v>392.3</v>
      </c>
      <c r="O6" s="0" t="n">
        <v>1676</v>
      </c>
      <c r="P6" s="0" t="n">
        <v>4487.1</v>
      </c>
      <c r="Q6" s="0" t="n">
        <v>2811.1</v>
      </c>
      <c r="R6" s="0" t="n">
        <v>1672.1</v>
      </c>
      <c r="S6" s="0" t="n">
        <v>221.2</v>
      </c>
      <c r="T6" s="0" t="n">
        <v>209.1</v>
      </c>
      <c r="U6" s="0" t="n">
        <v>2.8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2017.5</v>
      </c>
      <c r="C7" s="0" t="n">
        <v>1239.2</v>
      </c>
      <c r="D7" s="0" t="n">
        <v>778.3</v>
      </c>
      <c r="E7" s="0" t="n">
        <v>38.5774473358116</v>
      </c>
      <c r="F7" s="0" t="n">
        <v>194.1</v>
      </c>
      <c r="G7" s="0" t="n">
        <v>9.62081784386617</v>
      </c>
      <c r="H7" s="0" t="n">
        <v>340.6</v>
      </c>
      <c r="I7" s="0" t="n">
        <v>159.1</v>
      </c>
      <c r="J7" s="0" t="n">
        <v>7.88599752168525</v>
      </c>
      <c r="K7" s="0" t="n">
        <v>0.78</v>
      </c>
      <c r="L7" s="0" t="n">
        <v>343.3</v>
      </c>
      <c r="M7" s="0" t="n">
        <v>37.9</v>
      </c>
      <c r="N7" s="0" t="n">
        <v>305.4</v>
      </c>
      <c r="O7" s="0" t="n">
        <v>1869.9</v>
      </c>
      <c r="P7" s="0" t="n">
        <v>4628.4</v>
      </c>
      <c r="Q7" s="0" t="n">
        <v>2758.5</v>
      </c>
      <c r="R7" s="0" t="n">
        <v>1611.4</v>
      </c>
      <c r="S7" s="0" t="n">
        <v>505.5</v>
      </c>
      <c r="T7" s="0" t="n">
        <v>208.9</v>
      </c>
      <c r="U7" s="0" t="n">
        <v>19.2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3973.2</v>
      </c>
      <c r="C8" s="0" t="n">
        <v>2568.3</v>
      </c>
      <c r="D8" s="0" t="n">
        <v>1404.9</v>
      </c>
      <c r="E8" s="0" t="n">
        <v>35.3594080338267</v>
      </c>
      <c r="F8" s="0" t="n">
        <v>59.6</v>
      </c>
      <c r="G8" s="0" t="n">
        <v>1.50005033725964</v>
      </c>
      <c r="H8" s="0" t="n">
        <v>472.1</v>
      </c>
      <c r="I8" s="0" t="n">
        <v>-33.3</v>
      </c>
      <c r="J8" s="0" t="n">
        <v>-0.838115372999094</v>
      </c>
      <c r="K8" s="0" t="n">
        <v>-0.09</v>
      </c>
      <c r="L8" s="0" t="n">
        <v>914.3</v>
      </c>
      <c r="M8" s="0" t="n">
        <v>42</v>
      </c>
      <c r="N8" s="0" t="n">
        <v>872.3</v>
      </c>
      <c r="O8" s="0" t="n">
        <v>9189.5</v>
      </c>
      <c r="P8" s="0" t="n">
        <v>16058.6</v>
      </c>
      <c r="Q8" s="0" t="n">
        <v>6869.1</v>
      </c>
      <c r="R8" s="0" t="n">
        <v>3899.5</v>
      </c>
      <c r="S8" s="0" t="n">
        <v>1750.9</v>
      </c>
      <c r="T8" s="0" t="n">
        <v>418.627809</v>
      </c>
      <c r="U8" s="0" t="n">
        <v>51.3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5152.4</v>
      </c>
      <c r="C9" s="0" t="n">
        <v>3163.9</v>
      </c>
      <c r="D9" s="0" t="n">
        <v>1988.5</v>
      </c>
      <c r="E9" s="0" t="n">
        <v>38.5936650881143</v>
      </c>
      <c r="F9" s="0" t="n">
        <v>565.7</v>
      </c>
      <c r="G9" s="0" t="n">
        <v>10.9793494293921</v>
      </c>
      <c r="H9" s="0" t="n">
        <v>987.8</v>
      </c>
      <c r="I9" s="0" t="n">
        <v>565</v>
      </c>
      <c r="J9" s="0" t="n">
        <v>10.9657635276764</v>
      </c>
      <c r="K9" s="0" t="n">
        <v>1.36</v>
      </c>
      <c r="M9" s="0" t="n">
        <v>64.1</v>
      </c>
      <c r="O9" s="0" t="n">
        <v>9071.2</v>
      </c>
      <c r="P9" s="0" t="n">
        <v>15154.5</v>
      </c>
      <c r="Q9" s="0" t="n">
        <v>6083.3</v>
      </c>
      <c r="R9" s="0" t="n">
        <v>3440.6</v>
      </c>
      <c r="S9" s="0" t="n">
        <v>2109.6</v>
      </c>
      <c r="T9" s="0" t="n">
        <v>421.2</v>
      </c>
      <c r="U9" s="0" t="n">
        <v>98.1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5916.3</v>
      </c>
      <c r="C10" s="0" t="n">
        <v>3590.7</v>
      </c>
      <c r="D10" s="0" t="n">
        <v>2325.6</v>
      </c>
      <c r="E10" s="0" t="n">
        <v>39.3083515034735</v>
      </c>
      <c r="F10" s="0" t="n">
        <v>817.3</v>
      </c>
      <c r="G10" s="0" t="n">
        <v>13.8143772290114</v>
      </c>
      <c r="H10" s="0" t="n">
        <v>1250.1</v>
      </c>
      <c r="I10" s="0" t="n">
        <v>608.5</v>
      </c>
      <c r="J10" s="0" t="n">
        <v>10.2851444314859</v>
      </c>
      <c r="K10" s="0" t="n">
        <v>1.49</v>
      </c>
      <c r="M10" s="0" t="n">
        <v>94.6</v>
      </c>
      <c r="O10" s="0" t="n">
        <v>9257.2</v>
      </c>
      <c r="P10" s="0" t="n">
        <v>14765.9</v>
      </c>
      <c r="Q10" s="0" t="n">
        <v>5508.7</v>
      </c>
      <c r="R10" s="0" t="n">
        <v>2752.6</v>
      </c>
      <c r="S10" s="0" t="n">
        <v>1613</v>
      </c>
      <c r="T10" s="0" t="n">
        <v>410.2</v>
      </c>
      <c r="U10" s="0" t="n">
        <v>78.9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6876.1</v>
      </c>
      <c r="C11" s="0" t="n">
        <v>3993.9</v>
      </c>
      <c r="D11" s="0" t="n">
        <v>2882.2</v>
      </c>
      <c r="E11" s="0" t="n">
        <v>41.9162024985093</v>
      </c>
      <c r="F11" s="0" t="n">
        <v>1164.3</v>
      </c>
      <c r="G11" s="0" t="n">
        <v>16.93256351711</v>
      </c>
      <c r="H11" s="0" t="n">
        <v>1623.4</v>
      </c>
      <c r="I11" s="0" t="n">
        <v>785.1</v>
      </c>
      <c r="J11" s="0" t="n">
        <v>11.4178095141141</v>
      </c>
      <c r="K11" s="0" t="n">
        <v>1.92</v>
      </c>
      <c r="L11" s="0" t="n">
        <v>1377.4</v>
      </c>
      <c r="M11" s="0" t="n">
        <v>105.4</v>
      </c>
      <c r="N11" s="0" t="n">
        <v>1272</v>
      </c>
      <c r="O11" s="0" t="n">
        <v>9846.7</v>
      </c>
      <c r="P11" s="0" t="n">
        <v>15563.5</v>
      </c>
      <c r="Q11" s="0" t="n">
        <v>5716.8</v>
      </c>
      <c r="R11" s="0" t="n">
        <v>2723.6</v>
      </c>
      <c r="S11" s="0" t="n">
        <v>1595.5</v>
      </c>
      <c r="T11" s="0" t="n">
        <v>409</v>
      </c>
      <c r="U11" s="0" t="n">
        <v>51.9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7235</v>
      </c>
      <c r="C12" s="0" t="n">
        <v>4065</v>
      </c>
      <c r="D12" s="0" t="n">
        <v>3170</v>
      </c>
      <c r="E12" s="0" t="n">
        <v>43.8147892190739</v>
      </c>
      <c r="F12" s="0" t="n">
        <v>1300.1</v>
      </c>
      <c r="G12" s="0" t="n">
        <v>17.969592259848</v>
      </c>
      <c r="H12" s="0" t="n">
        <v>1782.1</v>
      </c>
      <c r="I12" s="0" t="n">
        <v>846.3</v>
      </c>
      <c r="J12" s="0" t="n">
        <v>11.6973047684865</v>
      </c>
      <c r="K12" s="0" t="n">
        <v>2.08</v>
      </c>
      <c r="L12" s="0" t="n">
        <v>1396.7</v>
      </c>
      <c r="M12" s="0" t="n">
        <v>149.1</v>
      </c>
      <c r="N12" s="0" t="n">
        <v>1247.6</v>
      </c>
      <c r="O12" s="0" t="n">
        <v>10245.3</v>
      </c>
      <c r="P12" s="0" t="n">
        <v>18009.8</v>
      </c>
      <c r="Q12" s="0" t="n">
        <v>7764.5</v>
      </c>
      <c r="R12" s="0" t="n">
        <v>4757.5</v>
      </c>
      <c r="S12" s="0" t="n">
        <v>1541.2</v>
      </c>
      <c r="T12" s="0" t="n">
        <v>407.2</v>
      </c>
      <c r="U12" s="0" t="n">
        <v>58.8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7650.9</v>
      </c>
      <c r="C13" s="0" t="n">
        <v>4314.6</v>
      </c>
      <c r="D13" s="0" t="n">
        <v>3336.3</v>
      </c>
      <c r="E13" s="0" t="n">
        <v>43.6066345135866</v>
      </c>
      <c r="F13" s="0" t="n">
        <v>1144.6</v>
      </c>
      <c r="G13" s="0" t="n">
        <v>14.9603314642722</v>
      </c>
      <c r="H13" s="0" t="n">
        <v>1650.4</v>
      </c>
      <c r="I13" s="0" t="n">
        <v>588.8</v>
      </c>
      <c r="J13" s="0" t="n">
        <v>7.69582663477499</v>
      </c>
      <c r="K13" s="0" t="n">
        <v>1.46</v>
      </c>
      <c r="L13" s="0" t="n">
        <v>1355.7</v>
      </c>
      <c r="M13" s="0" t="n">
        <v>135.6</v>
      </c>
      <c r="N13" s="0" t="n">
        <v>1220.1</v>
      </c>
      <c r="O13" s="0" t="n">
        <v>10154</v>
      </c>
      <c r="P13" s="0" t="n">
        <v>18297.2</v>
      </c>
      <c r="Q13" s="0" t="n">
        <v>8143.2</v>
      </c>
      <c r="R13" s="0" t="n">
        <v>4784.7</v>
      </c>
      <c r="S13" s="0" t="n">
        <v>1248.8</v>
      </c>
      <c r="T13" s="0" t="n">
        <v>401</v>
      </c>
      <c r="U13" s="0" t="n">
        <v>53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76.38</v>
      </c>
    </row>
    <row r="3" customFormat="false" ht="15" hidden="false" customHeight="false" outlineLevel="0" collapsed="false">
      <c r="A3" s="0" t="s">
        <v>78</v>
      </c>
      <c r="B3" s="3" t="n">
        <v>390</v>
      </c>
    </row>
    <row r="4" customFormat="false" ht="15" hidden="false" customHeight="false" outlineLevel="0" collapsed="false">
      <c r="A4" s="0" t="s">
        <v>79</v>
      </c>
      <c r="B4" s="3" t="n">
        <v>3595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7650.9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4</v>
      </c>
      <c r="D13" s="3" t="n">
        <v>0.5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25</v>
      </c>
      <c r="D14" s="3" t="n">
        <v>24.3</v>
      </c>
      <c r="E14" s="3" t="n">
        <v>23.8</v>
      </c>
      <c r="F14" s="3" t="n">
        <v>23.5</v>
      </c>
      <c r="G14" s="3" t="n">
        <v>23.5</v>
      </c>
      <c r="H14" s="3" t="n">
        <v>23.5</v>
      </c>
      <c r="I14" s="3" t="n">
        <v>23.5</v>
      </c>
      <c r="J14" s="3" t="n">
        <v>23.5</v>
      </c>
      <c r="K14" s="3" t="n">
        <v>23.5</v>
      </c>
      <c r="L14" s="3" t="n">
        <v>23.5</v>
      </c>
    </row>
    <row r="15" customFormat="false" ht="15" hidden="false" customHeight="false" outlineLevel="0" collapsed="false">
      <c r="A15" s="0" t="s">
        <v>100</v>
      </c>
      <c r="C15" s="3" t="n">
        <v>0.75</v>
      </c>
      <c r="D15" s="3" t="n">
        <v>0.75</v>
      </c>
      <c r="E15" s="3" t="n">
        <v>0.75</v>
      </c>
      <c r="F15" s="3" t="n">
        <v>0.75</v>
      </c>
      <c r="G15" s="3" t="n">
        <v>0.75</v>
      </c>
      <c r="H15" s="3" t="n">
        <v>0.75</v>
      </c>
      <c r="I15" s="3" t="n">
        <v>0.75</v>
      </c>
      <c r="J15" s="3" t="n">
        <v>0.75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6.7</v>
      </c>
      <c r="D17" s="3" t="n">
        <v>6.6</v>
      </c>
      <c r="E17" s="3" t="n">
        <v>6.5</v>
      </c>
      <c r="F17" s="3" t="n">
        <v>6.4</v>
      </c>
      <c r="G17" s="3" t="n">
        <v>6.3</v>
      </c>
      <c r="H17" s="3" t="n">
        <v>6.2</v>
      </c>
      <c r="I17" s="3" t="n">
        <v>6.1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103</v>
      </c>
      <c r="C18" s="3" t="n">
        <v>1.9</v>
      </c>
      <c r="D18" s="3" t="n">
        <v>1.9</v>
      </c>
      <c r="E18" s="3" t="n">
        <v>1.9</v>
      </c>
      <c r="F18" s="3" t="n">
        <v>1.9</v>
      </c>
      <c r="G18" s="3" t="n">
        <v>1.9</v>
      </c>
      <c r="H18" s="3" t="n">
        <v>1.9</v>
      </c>
      <c r="I18" s="3" t="n">
        <v>1.9</v>
      </c>
      <c r="J18" s="3" t="n">
        <v>1.9</v>
      </c>
      <c r="K18" s="3" t="n">
        <v>1.9</v>
      </c>
      <c r="L18" s="3" t="n">
        <v>1.9</v>
      </c>
    </row>
    <row r="19" customFormat="false" ht="15" hidden="false" customHeight="false" outlineLevel="0" collapsed="false">
      <c r="A19" s="0" t="s">
        <v>104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14</v>
      </c>
    </row>
    <row r="23" customFormat="false" ht="15" hidden="false" customHeight="false" outlineLevel="0" collapsed="false">
      <c r="A23" s="0" t="s">
        <v>108</v>
      </c>
      <c r="B23" s="3" t="n">
        <v>-12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5.5</v>
      </c>
      <c r="D27" s="3" t="n">
        <v>4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25.4</v>
      </c>
      <c r="D28" s="3" t="n">
        <v>25.7</v>
      </c>
      <c r="E28" s="3" t="n">
        <v>26</v>
      </c>
      <c r="F28" s="3" t="n">
        <v>26.2</v>
      </c>
      <c r="G28" s="3" t="n">
        <v>26.4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100</v>
      </c>
      <c r="C29" s="3" t="n">
        <v>0.75</v>
      </c>
      <c r="D29" s="3" t="n">
        <v>0.75</v>
      </c>
      <c r="E29" s="3" t="n">
        <v>0.75</v>
      </c>
      <c r="F29" s="3" t="n">
        <v>0.75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6.7</v>
      </c>
      <c r="D31" s="3" t="n">
        <v>6.6</v>
      </c>
      <c r="E31" s="3" t="n">
        <v>6.5</v>
      </c>
      <c r="F31" s="3" t="n">
        <v>6.4</v>
      </c>
      <c r="G31" s="3" t="n">
        <v>6.3</v>
      </c>
      <c r="H31" s="3" t="n">
        <v>6.2</v>
      </c>
      <c r="I31" s="3" t="n">
        <v>6.1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103</v>
      </c>
      <c r="C32" s="3" t="n">
        <v>1.9</v>
      </c>
      <c r="D32" s="3" t="n">
        <v>1.9</v>
      </c>
      <c r="E32" s="3" t="n">
        <v>1.9</v>
      </c>
      <c r="F32" s="3" t="n">
        <v>1.9</v>
      </c>
      <c r="G32" s="3" t="n">
        <v>1.9</v>
      </c>
      <c r="H32" s="3" t="n">
        <v>1.9</v>
      </c>
      <c r="I32" s="3" t="n">
        <v>1.9</v>
      </c>
      <c r="J32" s="3" t="n">
        <v>1.9</v>
      </c>
      <c r="K32" s="3" t="n">
        <v>1.9</v>
      </c>
      <c r="L32" s="3" t="n">
        <v>1.9</v>
      </c>
    </row>
    <row r="33" customFormat="false" ht="15" hidden="false" customHeight="false" outlineLevel="0" collapsed="false">
      <c r="A33" s="0" t="s">
        <v>104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16</v>
      </c>
    </row>
    <row r="37" customFormat="false" ht="15" hidden="false" customHeight="false" outlineLevel="0" collapsed="false">
      <c r="A37" s="0" t="s">
        <v>108</v>
      </c>
      <c r="B37" s="3" t="n">
        <v>-12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6.5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25.8</v>
      </c>
      <c r="D42" s="3" t="n">
        <v>26.4</v>
      </c>
      <c r="E42" s="3" t="n">
        <v>27</v>
      </c>
      <c r="F42" s="3" t="n">
        <v>27.4</v>
      </c>
      <c r="G42" s="3" t="n">
        <v>27.8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100</v>
      </c>
      <c r="C43" s="3" t="n">
        <v>0.75</v>
      </c>
      <c r="D43" s="3" t="n">
        <v>0.75</v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6.7</v>
      </c>
      <c r="D45" s="3" t="n">
        <v>6.6</v>
      </c>
      <c r="E45" s="3" t="n">
        <v>6.5</v>
      </c>
      <c r="F45" s="3" t="n">
        <v>6.4</v>
      </c>
      <c r="G45" s="3" t="n">
        <v>6.3</v>
      </c>
      <c r="H45" s="3" t="n">
        <v>6.2</v>
      </c>
      <c r="I45" s="3" t="n">
        <v>6.1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103</v>
      </c>
      <c r="C46" s="3" t="n">
        <v>1.9</v>
      </c>
      <c r="D46" s="3" t="n">
        <v>1.9</v>
      </c>
      <c r="E46" s="3" t="n">
        <v>1.9</v>
      </c>
      <c r="F46" s="3" t="n">
        <v>1.9</v>
      </c>
      <c r="G46" s="3" t="n">
        <v>1.9</v>
      </c>
      <c r="H46" s="3" t="n">
        <v>1.9</v>
      </c>
      <c r="I46" s="3" t="n">
        <v>1.9</v>
      </c>
      <c r="J46" s="3" t="n">
        <v>1.9</v>
      </c>
      <c r="K46" s="3" t="n">
        <v>1.9</v>
      </c>
      <c r="L46" s="3" t="n">
        <v>1.9</v>
      </c>
    </row>
    <row r="47" customFormat="false" ht="15" hidden="false" customHeight="false" outlineLevel="0" collapsed="false">
      <c r="A47" s="0" t="s">
        <v>104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-12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4</v>
      </c>
      <c r="D5" s="4" t="n">
        <f aca="false">Assumptions!D13</f>
        <v>0.5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7650.9</v>
      </c>
      <c r="C6" s="0" t="n">
        <f aca="false">B6*(1+C5/100)</f>
        <v>7956.936</v>
      </c>
      <c r="D6" s="0" t="n">
        <f aca="false">C6*(1+D5/100)</f>
        <v>7996.72068</v>
      </c>
      <c r="E6" s="0" t="n">
        <f aca="false">D6*(1+E5/100)</f>
        <v>7996.72068</v>
      </c>
      <c r="F6" s="0" t="n">
        <f aca="false">E6*(1+F5/100)</f>
        <v>8076.6878868</v>
      </c>
      <c r="G6" s="0" t="n">
        <f aca="false">F6*(1+G5/100)</f>
        <v>8197.838205102</v>
      </c>
      <c r="H6" s="0" t="n">
        <f aca="false">G6*(1+H5/100)</f>
        <v>8361.79496920404</v>
      </c>
      <c r="I6" s="0" t="n">
        <f aca="false">H6*(1+I5/100)</f>
        <v>8529.03086858812</v>
      </c>
      <c r="J6" s="0" t="n">
        <f aca="false">I6*(1+J5/100)</f>
        <v>8699.61148595988</v>
      </c>
      <c r="K6" s="0" t="n">
        <f aca="false">J6*(1+K5/100)</f>
        <v>8873.60371567908</v>
      </c>
      <c r="L6" s="0" t="n">
        <f aca="false">K6*(1+L5/100)</f>
        <v>9051.07578999266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25</v>
      </c>
      <c r="D7" s="4" t="n">
        <f aca="false">Assumptions!D14</f>
        <v>24.3</v>
      </c>
      <c r="E7" s="4" t="n">
        <f aca="false">Assumptions!E14</f>
        <v>23.8</v>
      </c>
      <c r="F7" s="4" t="n">
        <f aca="false">Assumptions!F14</f>
        <v>23.5</v>
      </c>
      <c r="G7" s="4" t="n">
        <f aca="false">Assumptions!G14</f>
        <v>23.5</v>
      </c>
      <c r="H7" s="4" t="n">
        <f aca="false">Assumptions!H14</f>
        <v>23.5</v>
      </c>
      <c r="I7" s="4" t="n">
        <f aca="false">Assumptions!I14</f>
        <v>23.5</v>
      </c>
      <c r="J7" s="4" t="n">
        <f aca="false">Assumptions!J14</f>
        <v>23.5</v>
      </c>
      <c r="K7" s="4" t="n">
        <f aca="false">Assumptions!K14</f>
        <v>23.5</v>
      </c>
      <c r="L7" s="4" t="n">
        <f aca="false">Assumptions!L14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1989.234</v>
      </c>
      <c r="D8" s="0" t="n">
        <f aca="false">D6*D7/100</f>
        <v>1943.20312524</v>
      </c>
      <c r="E8" s="0" t="n">
        <f aca="false">E6*E7/100</f>
        <v>1903.21952184</v>
      </c>
      <c r="F8" s="0" t="n">
        <f aca="false">F6*F7/100</f>
        <v>1898.021653398</v>
      </c>
      <c r="G8" s="0" t="n">
        <f aca="false">G6*G7/100</f>
        <v>1926.49197819897</v>
      </c>
      <c r="H8" s="0" t="n">
        <f aca="false">H6*H7/100</f>
        <v>1965.02181776295</v>
      </c>
      <c r="I8" s="0" t="n">
        <f aca="false">I6*I7/100</f>
        <v>2004.32225411821</v>
      </c>
      <c r="J8" s="0" t="n">
        <f aca="false">J6*J7/100</f>
        <v>2044.40869920057</v>
      </c>
      <c r="K8" s="0" t="n">
        <f aca="false">K6*K7/100</f>
        <v>2085.29687318458</v>
      </c>
      <c r="L8" s="0" t="n">
        <f aca="false">L6*L7/100</f>
        <v>2127.00281064828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0.75</v>
      </c>
      <c r="D9" s="4" t="n">
        <f aca="false">Assumptions!D15</f>
        <v>0.75</v>
      </c>
      <c r="E9" s="4" t="n">
        <f aca="false">Assumptions!E15</f>
        <v>0.75</v>
      </c>
      <c r="F9" s="4" t="n">
        <f aca="false">Assumptions!F15</f>
        <v>0.75</v>
      </c>
      <c r="G9" s="4" t="n">
        <f aca="false">Assumptions!G15</f>
        <v>0.75</v>
      </c>
      <c r="H9" s="4" t="n">
        <f aca="false">Assumptions!H15</f>
        <v>0.75</v>
      </c>
      <c r="I9" s="4" t="n">
        <f aca="false">Assumptions!I15</f>
        <v>0.75</v>
      </c>
      <c r="J9" s="4" t="n">
        <f aca="false">Assumptions!J15</f>
        <v>0.75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-59.67702</v>
      </c>
      <c r="D10" s="0" t="n">
        <f aca="false">-D6*D9/100</f>
        <v>-59.9754051</v>
      </c>
      <c r="E10" s="0" t="n">
        <f aca="false">-E6*E9/100</f>
        <v>-59.9754051</v>
      </c>
      <c r="F10" s="0" t="n">
        <f aca="false">-F6*F9/100</f>
        <v>-60.575159151</v>
      </c>
      <c r="G10" s="0" t="n">
        <f aca="false">-G6*G9/100</f>
        <v>-61.483786538265</v>
      </c>
      <c r="H10" s="0" t="n">
        <f aca="false">-H6*H9/100</f>
        <v>-62.7134622690303</v>
      </c>
      <c r="I10" s="0" t="n">
        <f aca="false">-I6*I9/100</f>
        <v>-63.9677315144109</v>
      </c>
      <c r="J10" s="0" t="n">
        <f aca="false">-J6*J9/100</f>
        <v>-65.2470861446991</v>
      </c>
      <c r="K10" s="0" t="n">
        <f aca="false">-K6*K9/100</f>
        <v>-66.5520278675931</v>
      </c>
      <c r="L10" s="0" t="n">
        <f aca="false">-L6*L9/100</f>
        <v>-67.883068424945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1929.55698</v>
      </c>
      <c r="D11" s="0" t="n">
        <f aca="false">D8+D10+D24</f>
        <v>1883.22772014</v>
      </c>
      <c r="E11" s="0" t="n">
        <f aca="false">E8+E10+E24</f>
        <v>1843.24411674</v>
      </c>
      <c r="F11" s="0" t="n">
        <f aca="false">F8+F10+F24</f>
        <v>1837.446494247</v>
      </c>
      <c r="G11" s="0" t="n">
        <f aca="false">G8+G10+G24</f>
        <v>1865.0081916607</v>
      </c>
      <c r="H11" s="0" t="n">
        <f aca="false">H8+H10+H24</f>
        <v>1902.30835549392</v>
      </c>
      <c r="I11" s="0" t="n">
        <f aca="false">I8+I10+I24</f>
        <v>1940.3545226038</v>
      </c>
      <c r="J11" s="0" t="n">
        <f aca="false">J8+J10+J24</f>
        <v>1979.16161305587</v>
      </c>
      <c r="K11" s="0" t="n">
        <f aca="false">K8+K10+K24</f>
        <v>2018.74484531699</v>
      </c>
      <c r="L11" s="0" t="n">
        <f aca="false">L8+L10+L24</f>
        <v>2059.11974222333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-533.114712</v>
      </c>
      <c r="D12" s="4" t="n">
        <f aca="false">-D6*Assumptions!D17/100</f>
        <v>-527.78356488</v>
      </c>
      <c r="E12" s="4" t="n">
        <f aca="false">-E6*Assumptions!E17/100</f>
        <v>-519.7868442</v>
      </c>
      <c r="F12" s="4" t="n">
        <f aca="false">-F6*Assumptions!F17/100</f>
        <v>-516.9080247552</v>
      </c>
      <c r="G12" s="4" t="n">
        <f aca="false">-G6*Assumptions!G17/100</f>
        <v>-516.463806921426</v>
      </c>
      <c r="H12" s="4" t="n">
        <f aca="false">-H6*Assumptions!H17/100</f>
        <v>-518.431288090651</v>
      </c>
      <c r="I12" s="4" t="n">
        <f aca="false">-I6*Assumptions!I17/100</f>
        <v>-520.270882983875</v>
      </c>
      <c r="J12" s="4" t="n">
        <f aca="false">-J6*Assumptions!J17/100</f>
        <v>-521.976689157593</v>
      </c>
      <c r="K12" s="4" t="n">
        <f aca="false">-K6*Assumptions!K17/100</f>
        <v>-532.416222940745</v>
      </c>
      <c r="L12" s="4" t="n">
        <f aca="false">-L6*Assumptions!L17/100</f>
        <v>-543.06454739956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1396.442268</v>
      </c>
      <c r="D13" s="0" t="n">
        <f aca="false">D11+D12</f>
        <v>1355.44415526</v>
      </c>
      <c r="E13" s="0" t="n">
        <f aca="false">E11+E12</f>
        <v>1323.45727254</v>
      </c>
      <c r="F13" s="0" t="n">
        <f aca="false">F11+F12</f>
        <v>1320.5384694918</v>
      </c>
      <c r="G13" s="0" t="n">
        <f aca="false">G11+G12</f>
        <v>1348.54438473928</v>
      </c>
      <c r="H13" s="0" t="n">
        <f aca="false">H11+H12</f>
        <v>1383.87706740327</v>
      </c>
      <c r="I13" s="0" t="n">
        <f aca="false">I11+I12</f>
        <v>1420.08363961992</v>
      </c>
      <c r="J13" s="0" t="n">
        <f aca="false">J11+J12</f>
        <v>1457.18492389828</v>
      </c>
      <c r="K13" s="0" t="n">
        <f aca="false">K11+K12</f>
        <v>1486.32862237625</v>
      </c>
      <c r="L13" s="0" t="n">
        <f aca="false">L11+L12</f>
        <v>1516.05519482377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1089.22496904</v>
      </c>
      <c r="D15" s="0" t="n">
        <f aca="false">D13-MAX(0,D13)*D14/100</f>
        <v>1057.2464411028</v>
      </c>
      <c r="E15" s="0" t="n">
        <f aca="false">E13-MAX(0,E13)*E14/100</f>
        <v>1032.2966725812</v>
      </c>
      <c r="F15" s="0" t="n">
        <f aca="false">F13-MAX(0,F13)*F14/100</f>
        <v>1030.0200062036</v>
      </c>
      <c r="G15" s="0" t="n">
        <f aca="false">G13-MAX(0,G13)*G14/100</f>
        <v>1051.86462009664</v>
      </c>
      <c r="H15" s="0" t="n">
        <f aca="false">H13-MAX(0,H13)*H14/100</f>
        <v>1079.42411257455</v>
      </c>
      <c r="I15" s="0" t="n">
        <f aca="false">I13-MAX(0,I13)*I14/100</f>
        <v>1107.66523890354</v>
      </c>
      <c r="J15" s="0" t="n">
        <f aca="false">J13-MAX(0,J13)*J14/100</f>
        <v>1136.60424064066</v>
      </c>
      <c r="K15" s="0" t="n">
        <f aca="false">K13-MAX(0,K13)*K14/100</f>
        <v>1159.33632545347</v>
      </c>
      <c r="L15" s="0" t="n">
        <f aca="false">L13-MAX(0,L13)*L14/100</f>
        <v>1182.52305196254</v>
      </c>
    </row>
    <row r="16" customFormat="false" ht="15" hidden="false" customHeight="false" outlineLevel="0" collapsed="false">
      <c r="A16" s="0" t="s">
        <v>120</v>
      </c>
      <c r="C16" s="0" t="n">
        <f aca="false">-C12</f>
        <v>533.114712</v>
      </c>
      <c r="D16" s="0" t="n">
        <f aca="false">-D12</f>
        <v>527.78356488</v>
      </c>
      <c r="E16" s="0" t="n">
        <f aca="false">-E12</f>
        <v>519.7868442</v>
      </c>
      <c r="F16" s="0" t="n">
        <f aca="false">-F12</f>
        <v>516.9080247552</v>
      </c>
      <c r="G16" s="0" t="n">
        <f aca="false">-G12</f>
        <v>516.463806921426</v>
      </c>
      <c r="H16" s="0" t="n">
        <f aca="false">-H12</f>
        <v>518.431288090651</v>
      </c>
      <c r="I16" s="0" t="n">
        <f aca="false">-I12</f>
        <v>520.270882983875</v>
      </c>
      <c r="J16" s="0" t="n">
        <f aca="false">-J12</f>
        <v>521.976689157593</v>
      </c>
      <c r="K16" s="0" t="n">
        <f aca="false">-K12</f>
        <v>532.416222940745</v>
      </c>
      <c r="L16" s="0" t="n">
        <f aca="false">-L12</f>
        <v>543.06454739956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-151.181784</v>
      </c>
      <c r="D17" s="4" t="n">
        <f aca="false">-D6*Assumptions!D18/100</f>
        <v>-151.93769292</v>
      </c>
      <c r="E17" s="4" t="n">
        <f aca="false">-E6*Assumptions!E18/100</f>
        <v>-151.93769292</v>
      </c>
      <c r="F17" s="4" t="n">
        <f aca="false">-F6*Assumptions!F18/100</f>
        <v>-153.4570698492</v>
      </c>
      <c r="G17" s="4" t="n">
        <f aca="false">-G6*Assumptions!G18/100</f>
        <v>-155.758925896938</v>
      </c>
      <c r="H17" s="4" t="n">
        <f aca="false">-H6*Assumptions!H18/100</f>
        <v>-158.874104414877</v>
      </c>
      <c r="I17" s="4" t="n">
        <f aca="false">-I6*Assumptions!I18/100</f>
        <v>-162.051586503174</v>
      </c>
      <c r="J17" s="4" t="n">
        <f aca="false">-J6*Assumptions!J18/100</f>
        <v>-165.292618233238</v>
      </c>
      <c r="K17" s="4" t="n">
        <f aca="false">-K6*Assumptions!K18/100</f>
        <v>-168.598470597903</v>
      </c>
      <c r="L17" s="4" t="n">
        <f aca="false">-L6*Assumptions!L18/100</f>
        <v>-171.970440009861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-36.72432</v>
      </c>
      <c r="D18" s="4" t="n">
        <f aca="false">(D6-C6)*Assumptions!$B$23/100</f>
        <v>-4.77416159999986</v>
      </c>
      <c r="E18" s="4" t="n">
        <f aca="false">(E6-D6)*Assumptions!$B$23/100</f>
        <v>-0</v>
      </c>
      <c r="F18" s="4" t="n">
        <f aca="false">(F6-E6)*Assumptions!$B$23/100</f>
        <v>-9.596064816</v>
      </c>
      <c r="G18" s="4" t="n">
        <f aca="false">(G6-F6)*Assumptions!$B$23/100</f>
        <v>-14.5380381962399</v>
      </c>
      <c r="H18" s="4" t="n">
        <f aca="false">(H6-G6)*Assumptions!$B$23/100</f>
        <v>-19.6748116922448</v>
      </c>
      <c r="I18" s="4" t="n">
        <f aca="false">(I6-H6)*Assumptions!$B$23/100</f>
        <v>-20.0683079260897</v>
      </c>
      <c r="J18" s="4" t="n">
        <f aca="false">(J6-I6)*Assumptions!$B$23/100</f>
        <v>-20.4696740846115</v>
      </c>
      <c r="K18" s="4" t="n">
        <f aca="false">(K6-J6)*Assumptions!$B$23/100</f>
        <v>-20.8790675663036</v>
      </c>
      <c r="L18" s="4" t="n">
        <f aca="false">(L6-K6)*Assumptions!$B$23/100</f>
        <v>-21.2966489176299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1434.43357704</v>
      </c>
      <c r="D19" s="0" t="n">
        <f aca="false">D15+D16+D17+D18</f>
        <v>1428.3181514628</v>
      </c>
      <c r="E19" s="0" t="n">
        <f aca="false">E15+E16+E17+E18</f>
        <v>1400.1458238612</v>
      </c>
      <c r="F19" s="0" t="n">
        <f aca="false">F15+F16+F17+F18</f>
        <v>1383.8748962936</v>
      </c>
      <c r="G19" s="0" t="n">
        <f aca="false">G15+G16+G17+G18</f>
        <v>1398.03146292489</v>
      </c>
      <c r="H19" s="0" t="n">
        <f aca="false">H15+H16+H17+H18</f>
        <v>1419.30648455808</v>
      </c>
      <c r="I19" s="0" t="n">
        <f aca="false">I15+I16+I17+I18</f>
        <v>1445.81622745815</v>
      </c>
      <c r="J19" s="0" t="n">
        <f aca="false">J15+J16+J17+J18</f>
        <v>1472.8186374804</v>
      </c>
      <c r="K19" s="0" t="n">
        <f aca="false">K15+K16+K17+K18</f>
        <v>1502.27501023001</v>
      </c>
      <c r="L19" s="0" t="n">
        <f aca="false">L15+L16+L17+L18</f>
        <v>1532.32051043461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1315.99410737615</v>
      </c>
      <c r="D21" s="0" t="n">
        <f aca="false">D19*D20</f>
        <v>1202.18681210571</v>
      </c>
      <c r="E21" s="0" t="n">
        <f aca="false">E19*E20</f>
        <v>1081.16947486211</v>
      </c>
      <c r="F21" s="0" t="n">
        <f aca="false">F19*F20</f>
        <v>980.371865494623</v>
      </c>
      <c r="G21" s="0" t="n">
        <f aca="false">G19*G20</f>
        <v>908.624526787474</v>
      </c>
      <c r="H21" s="0" t="n">
        <f aca="false">H19*H20</f>
        <v>846.286083569782</v>
      </c>
      <c r="I21" s="0" t="n">
        <f aca="false">I19*I20</f>
        <v>790.910988169783</v>
      </c>
      <c r="J21" s="0" t="n">
        <f aca="false">J19*J20</f>
        <v>739.158010225005</v>
      </c>
      <c r="K21" s="0" t="n">
        <f aca="false">K19*K20</f>
        <v>691.689147183032</v>
      </c>
      <c r="L21" s="0" t="n">
        <f aca="false">L19*L20</f>
        <v>647.268743235498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9203.65975900916</v>
      </c>
    </row>
    <row r="31" customFormat="false" ht="15" hidden="false" customHeight="false" outlineLevel="0" collapsed="false">
      <c r="A31" s="0" t="s">
        <v>129</v>
      </c>
      <c r="B31" s="0" t="n">
        <f aca="false">L19</f>
        <v>1532.32051043461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22328.0988663329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21452.4871460845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21452.4871460845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9061.76240529696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18265.4221643061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14670.4221643061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37.6164670879644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-0.50750894097978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398.863672462555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417.829036315643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39.7105509566265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12022.8224664869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16.8090824841135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5.5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7650.9</v>
      </c>
      <c r="C6" s="0" t="n">
        <f aca="false">B6*(1+C5/100)</f>
        <v>8071.6995</v>
      </c>
      <c r="D6" s="0" t="n">
        <f aca="false">C6*(1+D5/100)</f>
        <v>8394.56748</v>
      </c>
      <c r="E6" s="0" t="n">
        <f aca="false">D6*(1+E5/100)</f>
        <v>8688.3773418</v>
      </c>
      <c r="F6" s="0" t="n">
        <f aca="false">E6*(1+F5/100)</f>
        <v>8992.470548763</v>
      </c>
      <c r="G6" s="0" t="n">
        <f aca="false">F6*(1+G5/100)</f>
        <v>9262.24466522589</v>
      </c>
      <c r="H6" s="0" t="n">
        <f aca="false">G6*(1+H5/100)</f>
        <v>9540.11200518266</v>
      </c>
      <c r="I6" s="0" t="n">
        <f aca="false">H6*(1+I5/100)</f>
        <v>9826.31536533814</v>
      </c>
      <c r="J6" s="0" t="n">
        <f aca="false">I6*(1+J5/100)</f>
        <v>10096.5390378849</v>
      </c>
      <c r="K6" s="0" t="n">
        <f aca="false">J6*(1+K5/100)</f>
        <v>10348.9525138321</v>
      </c>
      <c r="L6" s="0" t="n">
        <f aca="false">K6*(1+L5/100)</f>
        <v>10607.6763266779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25.4</v>
      </c>
      <c r="D7" s="4" t="n">
        <f aca="false">Assumptions!D28</f>
        <v>25.7</v>
      </c>
      <c r="E7" s="4" t="n">
        <f aca="false">Assumptions!E28</f>
        <v>26</v>
      </c>
      <c r="F7" s="4" t="n">
        <f aca="false">Assumptions!F28</f>
        <v>26.2</v>
      </c>
      <c r="G7" s="4" t="n">
        <f aca="false">Assumptions!G28</f>
        <v>26.4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2050.211673</v>
      </c>
      <c r="D8" s="0" t="n">
        <f aca="false">D6*D7/100</f>
        <v>2157.40384236</v>
      </c>
      <c r="E8" s="0" t="n">
        <f aca="false">E6*E7/100</f>
        <v>2258.978108868</v>
      </c>
      <c r="F8" s="0" t="n">
        <f aca="false">F6*F7/100</f>
        <v>2356.02728377591</v>
      </c>
      <c r="G8" s="0" t="n">
        <f aca="false">G6*G7/100</f>
        <v>2445.23259161963</v>
      </c>
      <c r="H8" s="0" t="n">
        <f aca="false">H6*H7/100</f>
        <v>2528.12968137341</v>
      </c>
      <c r="I8" s="0" t="n">
        <f aca="false">I6*I7/100</f>
        <v>2603.97357181461</v>
      </c>
      <c r="J8" s="0" t="n">
        <f aca="false">J6*J7/100</f>
        <v>2675.58284503951</v>
      </c>
      <c r="K8" s="0" t="n">
        <f aca="false">K6*K7/100</f>
        <v>2742.4724161655</v>
      </c>
      <c r="L8" s="0" t="n">
        <f aca="false">L6*L7/100</f>
        <v>2811.03422656963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0.75</v>
      </c>
      <c r="F9" s="4" t="n">
        <f aca="false">Assumptions!F29</f>
        <v>0.75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-60.53774625</v>
      </c>
      <c r="D10" s="0" t="n">
        <f aca="false">-D6*D9/100</f>
        <v>-62.9592561</v>
      </c>
      <c r="E10" s="0" t="n">
        <f aca="false">-E6*E9/100</f>
        <v>-65.1628300635</v>
      </c>
      <c r="F10" s="0" t="n">
        <f aca="false">-F6*F9/100</f>
        <v>-67.4435291157225</v>
      </c>
      <c r="G10" s="0" t="n">
        <f aca="false">-G6*G9/100</f>
        <v>-69.4668349891942</v>
      </c>
      <c r="H10" s="0" t="n">
        <f aca="false">-H6*H9/100</f>
        <v>-71.55084003887</v>
      </c>
      <c r="I10" s="0" t="n">
        <f aca="false">-I6*I9/100</f>
        <v>-73.6973652400361</v>
      </c>
      <c r="J10" s="0" t="n">
        <f aca="false">-J6*J9/100</f>
        <v>-75.7240427841371</v>
      </c>
      <c r="K10" s="0" t="n">
        <f aca="false">-K6*K9/100</f>
        <v>-77.6171438537405</v>
      </c>
      <c r="L10" s="0" t="n">
        <f aca="false">-L6*L9/100</f>
        <v>-79.557572450084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1989.67392675</v>
      </c>
      <c r="D11" s="0" t="n">
        <f aca="false">D8+D10+D24</f>
        <v>2094.44458626</v>
      </c>
      <c r="E11" s="0" t="n">
        <f aca="false">E8+E10+E24</f>
        <v>2193.8152788045</v>
      </c>
      <c r="F11" s="0" t="n">
        <f aca="false">F8+F10+F24</f>
        <v>2288.58375466018</v>
      </c>
      <c r="G11" s="0" t="n">
        <f aca="false">G8+G10+G24</f>
        <v>2375.76575663044</v>
      </c>
      <c r="H11" s="0" t="n">
        <f aca="false">H8+H10+H24</f>
        <v>2456.57884133454</v>
      </c>
      <c r="I11" s="0" t="n">
        <f aca="false">I8+I10+I24</f>
        <v>2530.27620657457</v>
      </c>
      <c r="J11" s="0" t="n">
        <f aca="false">J8+J10+J24</f>
        <v>2599.85880225537</v>
      </c>
      <c r="K11" s="0" t="n">
        <f aca="false">K8+K10+K24</f>
        <v>2664.85527231176</v>
      </c>
      <c r="L11" s="0" t="n">
        <f aca="false">L8+L10+L24</f>
        <v>2731.47665411955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-540.8038665</v>
      </c>
      <c r="D12" s="4" t="n">
        <f aca="false">-D6*Assumptions!D31/100</f>
        <v>-554.04145368</v>
      </c>
      <c r="E12" s="4" t="n">
        <f aca="false">-E6*Assumptions!E31/100</f>
        <v>-564.744527217</v>
      </c>
      <c r="F12" s="4" t="n">
        <f aca="false">-F6*Assumptions!F31/100</f>
        <v>-575.518115120832</v>
      </c>
      <c r="G12" s="4" t="n">
        <f aca="false">-G6*Assumptions!G31/100</f>
        <v>-583.521413909231</v>
      </c>
      <c r="H12" s="4" t="n">
        <f aca="false">-H6*Assumptions!H31/100</f>
        <v>-591.486944321325</v>
      </c>
      <c r="I12" s="4" t="n">
        <f aca="false">-I6*Assumptions!I31/100</f>
        <v>-599.405237285627</v>
      </c>
      <c r="J12" s="4" t="n">
        <f aca="false">-J6*Assumptions!J31/100</f>
        <v>-605.792342273097</v>
      </c>
      <c r="K12" s="4" t="n">
        <f aca="false">-K6*Assumptions!K31/100</f>
        <v>-620.937150829924</v>
      </c>
      <c r="L12" s="4" t="n">
        <f aca="false">-L6*Assumptions!L31/100</f>
        <v>-636.460579600672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1448.87006025</v>
      </c>
      <c r="D13" s="0" t="n">
        <f aca="false">D11+D12</f>
        <v>1540.40313258</v>
      </c>
      <c r="E13" s="0" t="n">
        <f aca="false">E11+E12</f>
        <v>1629.0707515875</v>
      </c>
      <c r="F13" s="0" t="n">
        <f aca="false">F11+F12</f>
        <v>1713.06563953935</v>
      </c>
      <c r="G13" s="0" t="n">
        <f aca="false">G11+G12</f>
        <v>1792.24434272121</v>
      </c>
      <c r="H13" s="0" t="n">
        <f aca="false">H11+H12</f>
        <v>1865.09189701321</v>
      </c>
      <c r="I13" s="0" t="n">
        <f aca="false">I11+I12</f>
        <v>1930.87096928895</v>
      </c>
      <c r="J13" s="0" t="n">
        <f aca="false">J11+J12</f>
        <v>1994.06645998228</v>
      </c>
      <c r="K13" s="0" t="n">
        <f aca="false">K11+K12</f>
        <v>2043.91812148183</v>
      </c>
      <c r="L13" s="0" t="n">
        <f aca="false">L11+L12</f>
        <v>2095.01607451888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1144.6073475975</v>
      </c>
      <c r="D15" s="0" t="n">
        <f aca="false">D13-MAX(0,D13)*D14/100</f>
        <v>1216.9184747382</v>
      </c>
      <c r="E15" s="0" t="n">
        <f aca="false">E13-MAX(0,E13)*E14/100</f>
        <v>1286.96589375412</v>
      </c>
      <c r="F15" s="0" t="n">
        <f aca="false">F13-MAX(0,F13)*F14/100</f>
        <v>1353.32185523609</v>
      </c>
      <c r="G15" s="0" t="n">
        <f aca="false">G13-MAX(0,G13)*G14/100</f>
        <v>1415.87303074976</v>
      </c>
      <c r="H15" s="0" t="n">
        <f aca="false">H13-MAX(0,H13)*H14/100</f>
        <v>1473.42259864044</v>
      </c>
      <c r="I15" s="0" t="n">
        <f aca="false">I13-MAX(0,I13)*I14/100</f>
        <v>1525.38806573827</v>
      </c>
      <c r="J15" s="0" t="n">
        <f aca="false">J13-MAX(0,J13)*J14/100</f>
        <v>1575.312503386</v>
      </c>
      <c r="K15" s="0" t="n">
        <f aca="false">K13-MAX(0,K13)*K14/100</f>
        <v>1614.69531597065</v>
      </c>
      <c r="L15" s="0" t="n">
        <f aca="false">L13-MAX(0,L13)*L14/100</f>
        <v>1655.06269886991</v>
      </c>
    </row>
    <row r="16" customFormat="false" ht="15" hidden="false" customHeight="false" outlineLevel="0" collapsed="false">
      <c r="A16" s="0" t="s">
        <v>120</v>
      </c>
      <c r="C16" s="0" t="n">
        <f aca="false">-C12</f>
        <v>540.8038665</v>
      </c>
      <c r="D16" s="0" t="n">
        <f aca="false">-D12</f>
        <v>554.04145368</v>
      </c>
      <c r="E16" s="0" t="n">
        <f aca="false">-E12</f>
        <v>564.744527217</v>
      </c>
      <c r="F16" s="0" t="n">
        <f aca="false">-F12</f>
        <v>575.518115120832</v>
      </c>
      <c r="G16" s="0" t="n">
        <f aca="false">-G12</f>
        <v>583.521413909231</v>
      </c>
      <c r="H16" s="0" t="n">
        <f aca="false">-H12</f>
        <v>591.486944321325</v>
      </c>
      <c r="I16" s="0" t="n">
        <f aca="false">-I12</f>
        <v>599.405237285627</v>
      </c>
      <c r="J16" s="0" t="n">
        <f aca="false">-J12</f>
        <v>605.792342273097</v>
      </c>
      <c r="K16" s="0" t="n">
        <f aca="false">-K12</f>
        <v>620.937150829924</v>
      </c>
      <c r="L16" s="0" t="n">
        <f aca="false">-L12</f>
        <v>636.460579600672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-153.3622905</v>
      </c>
      <c r="D17" s="4" t="n">
        <f aca="false">-D6*Assumptions!D32/100</f>
        <v>-159.49678212</v>
      </c>
      <c r="E17" s="4" t="n">
        <f aca="false">-E6*Assumptions!E32/100</f>
        <v>-165.0791694942</v>
      </c>
      <c r="F17" s="4" t="n">
        <f aca="false">-F6*Assumptions!F32/100</f>
        <v>-170.856940426497</v>
      </c>
      <c r="G17" s="4" t="n">
        <f aca="false">-G6*Assumptions!G32/100</f>
        <v>-175.982648639292</v>
      </c>
      <c r="H17" s="4" t="n">
        <f aca="false">-H6*Assumptions!H32/100</f>
        <v>-181.262128098471</v>
      </c>
      <c r="I17" s="4" t="n">
        <f aca="false">-I6*Assumptions!I32/100</f>
        <v>-186.699991941425</v>
      </c>
      <c r="J17" s="4" t="n">
        <f aca="false">-J6*Assumptions!J32/100</f>
        <v>-191.834241719814</v>
      </c>
      <c r="K17" s="4" t="n">
        <f aca="false">-K6*Assumptions!K32/100</f>
        <v>-196.630097762809</v>
      </c>
      <c r="L17" s="4" t="n">
        <f aca="false">-L6*Assumptions!L32/100</f>
        <v>-201.545850206879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-50.4959399999999</v>
      </c>
      <c r="D18" s="4" t="n">
        <f aca="false">(D6-C6)*Assumptions!$B$37/100</f>
        <v>-38.7441576000001</v>
      </c>
      <c r="E18" s="4" t="n">
        <f aca="false">(E6-D6)*Assumptions!$B$37/100</f>
        <v>-35.2571834159998</v>
      </c>
      <c r="F18" s="4" t="n">
        <f aca="false">(F6-E6)*Assumptions!$B$37/100</f>
        <v>-36.49118483556</v>
      </c>
      <c r="G18" s="4" t="n">
        <f aca="false">(G6-F6)*Assumptions!$B$37/100</f>
        <v>-32.3728939755468</v>
      </c>
      <c r="H18" s="4" t="n">
        <f aca="false">(H6-G6)*Assumptions!$B$37/100</f>
        <v>-33.3440807948131</v>
      </c>
      <c r="I18" s="4" t="n">
        <f aca="false">(I6-H6)*Assumptions!$B$37/100</f>
        <v>-34.3444032186575</v>
      </c>
      <c r="J18" s="4" t="n">
        <f aca="false">(J6-I6)*Assumptions!$B$37/100</f>
        <v>-32.4268407056159</v>
      </c>
      <c r="K18" s="4" t="n">
        <f aca="false">(K6-J6)*Assumptions!$B$37/100</f>
        <v>-30.2896171136548</v>
      </c>
      <c r="L18" s="4" t="n">
        <f aca="false">(L6-K6)*Assumptions!$B$37/100</f>
        <v>-31.0468575414961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1481.5529835975</v>
      </c>
      <c r="D19" s="0" t="n">
        <f aca="false">D15+D16+D17+D18</f>
        <v>1572.7189886982</v>
      </c>
      <c r="E19" s="0" t="n">
        <f aca="false">E15+E16+E17+E18</f>
        <v>1651.37406806092</v>
      </c>
      <c r="F19" s="0" t="n">
        <f aca="false">F15+F16+F17+F18</f>
        <v>1721.49184509486</v>
      </c>
      <c r="G19" s="0" t="n">
        <f aca="false">G15+G16+G17+G18</f>
        <v>1791.03890204415</v>
      </c>
      <c r="H19" s="0" t="n">
        <f aca="false">H15+H16+H17+H18</f>
        <v>1850.30333406848</v>
      </c>
      <c r="I19" s="0" t="n">
        <f aca="false">I15+I16+I17+I18</f>
        <v>1903.74890786381</v>
      </c>
      <c r="J19" s="0" t="n">
        <f aca="false">J15+J16+J17+J18</f>
        <v>1956.84376323367</v>
      </c>
      <c r="K19" s="0" t="n">
        <f aca="false">K15+K16+K17+K18</f>
        <v>2008.71275192411</v>
      </c>
      <c r="L19" s="0" t="n">
        <f aca="false">L15+L16+L17+L18</f>
        <v>2058.93057072221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1359.22292073165</v>
      </c>
      <c r="D21" s="0" t="n">
        <f aca="false">D19*D20</f>
        <v>1323.72610781769</v>
      </c>
      <c r="E21" s="0" t="n">
        <f aca="false">E19*E20</f>
        <v>1275.16377475788</v>
      </c>
      <c r="F21" s="0" t="n">
        <f aca="false">F19*F20</f>
        <v>1219.54822370834</v>
      </c>
      <c r="G21" s="0" t="n">
        <f aca="false">G19*G20</f>
        <v>1164.05239651982</v>
      </c>
      <c r="H21" s="0" t="n">
        <f aca="false">H19*H20</f>
        <v>1103.27542292071</v>
      </c>
      <c r="I21" s="0" t="n">
        <f aca="false">I19*I20</f>
        <v>1041.41584618457</v>
      </c>
      <c r="J21" s="0" t="n">
        <f aca="false">J19*J20</f>
        <v>982.073899354938</v>
      </c>
      <c r="K21" s="0" t="n">
        <f aca="false">K19*K20</f>
        <v>924.867152054495</v>
      </c>
      <c r="L21" s="0" t="n">
        <f aca="false">L19*L20</f>
        <v>869.71452372097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11263.0602677711</v>
      </c>
    </row>
    <row r="31" customFormat="false" ht="15" hidden="false" customHeight="false" outlineLevel="0" collapsed="false">
      <c r="A31" s="0" t="s">
        <v>129</v>
      </c>
      <c r="B31" s="0" t="n">
        <f aca="false">L19</f>
        <v>2058.93057072221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32467.7513075425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32942.8891315554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32467.7513075425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13714.7290279076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24977.7892956787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21382.7892956787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54.8276648607145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-0.282172494622748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442.100618468667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529.940428194381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57.3200778008762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16883.2306799221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23.7220047128956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7650.9</v>
      </c>
      <c r="C6" s="0" t="n">
        <f aca="false">B6*(1+C5/100)</f>
        <v>8148.2085</v>
      </c>
      <c r="D6" s="0" t="n">
        <f aca="false">C6*(1+D5/100)</f>
        <v>8637.10101</v>
      </c>
      <c r="E6" s="0" t="n">
        <f aca="false">D6*(1+E5/100)</f>
        <v>9112.14156555</v>
      </c>
      <c r="F6" s="0" t="n">
        <f aca="false">E6*(1+F5/100)</f>
        <v>9567.7486438275</v>
      </c>
      <c r="G6" s="0" t="n">
        <f aca="false">F6*(1+G5/100)</f>
        <v>9998.29733279974</v>
      </c>
      <c r="H6" s="0" t="n">
        <f aca="false">G6*(1+H5/100)</f>
        <v>10398.2292261117</v>
      </c>
      <c r="I6" s="0" t="n">
        <f aca="false">H6*(1+I5/100)</f>
        <v>10762.1672490256</v>
      </c>
      <c r="J6" s="0" t="n">
        <f aca="false">I6*(1+J5/100)</f>
        <v>11085.0322664964</v>
      </c>
      <c r="K6" s="0" t="n">
        <f aca="false">J6*(1+K5/100)</f>
        <v>11417.5832344913</v>
      </c>
      <c r="L6" s="0" t="n">
        <f aca="false">K6*(1+L5/100)</f>
        <v>11760.110731526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25.8</v>
      </c>
      <c r="D7" s="4" t="n">
        <f aca="false">Assumptions!D42</f>
        <v>26.4</v>
      </c>
      <c r="E7" s="4" t="n">
        <f aca="false">Assumptions!E42</f>
        <v>27</v>
      </c>
      <c r="F7" s="4" t="n">
        <f aca="false">Assumptions!F42</f>
        <v>27.4</v>
      </c>
      <c r="G7" s="4" t="n">
        <f aca="false">Assumptions!G42</f>
        <v>27.8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2102.237793</v>
      </c>
      <c r="D8" s="0" t="n">
        <f aca="false">D6*D7/100</f>
        <v>2280.19466664</v>
      </c>
      <c r="E8" s="0" t="n">
        <f aca="false">E6*E7/100</f>
        <v>2460.2782226985</v>
      </c>
      <c r="F8" s="0" t="n">
        <f aca="false">F6*F7/100</f>
        <v>2621.56312840873</v>
      </c>
      <c r="G8" s="0" t="n">
        <f aca="false">G6*G7/100</f>
        <v>2779.52665851833</v>
      </c>
      <c r="H8" s="0" t="n">
        <f aca="false">H6*H7/100</f>
        <v>2911.50418331128</v>
      </c>
      <c r="I8" s="0" t="n">
        <f aca="false">I6*I7/100</f>
        <v>3013.40682972718</v>
      </c>
      <c r="J8" s="0" t="n">
        <f aca="false">J6*J7/100</f>
        <v>3103.80903461899</v>
      </c>
      <c r="K8" s="0" t="n">
        <f aca="false">K6*K7/100</f>
        <v>3196.92330565756</v>
      </c>
      <c r="L8" s="0" t="n">
        <f aca="false">L6*L7/100</f>
        <v>3292.83100482729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0.75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-61.11156375</v>
      </c>
      <c r="D10" s="0" t="n">
        <f aca="false">-D6*D9/100</f>
        <v>-64.778257575</v>
      </c>
      <c r="E10" s="0" t="n">
        <f aca="false">-E6*E9/100</f>
        <v>-68.341061741625</v>
      </c>
      <c r="F10" s="0" t="n">
        <f aca="false">-F6*F9/100</f>
        <v>-71.7581148287062</v>
      </c>
      <c r="G10" s="0" t="n">
        <f aca="false">-G6*G9/100</f>
        <v>-74.987229995998</v>
      </c>
      <c r="H10" s="0" t="n">
        <f aca="false">-H6*H9/100</f>
        <v>-77.9867191958379</v>
      </c>
      <c r="I10" s="0" t="n">
        <f aca="false">-I6*I9/100</f>
        <v>-80.7162543676923</v>
      </c>
      <c r="J10" s="0" t="n">
        <f aca="false">-J6*J9/100</f>
        <v>-83.137741998723</v>
      </c>
      <c r="K10" s="0" t="n">
        <f aca="false">-K6*K9/100</f>
        <v>-85.6318742586847</v>
      </c>
      <c r="L10" s="0" t="n">
        <f aca="false">-L6*L9/100</f>
        <v>-88.2008304864453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2041.12622925</v>
      </c>
      <c r="D11" s="0" t="n">
        <f aca="false">D8+D10+D24</f>
        <v>2215.416409065</v>
      </c>
      <c r="E11" s="0" t="n">
        <f aca="false">E8+E10+E24</f>
        <v>2391.93716095688</v>
      </c>
      <c r="F11" s="0" t="n">
        <f aca="false">F8+F10+F24</f>
        <v>2549.80501358003</v>
      </c>
      <c r="G11" s="0" t="n">
        <f aca="false">G8+G10+G24</f>
        <v>2704.53942852233</v>
      </c>
      <c r="H11" s="0" t="n">
        <f aca="false">H8+H10+H24</f>
        <v>2833.51746411545</v>
      </c>
      <c r="I11" s="0" t="n">
        <f aca="false">I8+I10+I24</f>
        <v>2932.69057535949</v>
      </c>
      <c r="J11" s="0" t="n">
        <f aca="false">J8+J10+J24</f>
        <v>3020.67129262027</v>
      </c>
      <c r="K11" s="0" t="n">
        <f aca="false">K8+K10+K24</f>
        <v>3111.29143139888</v>
      </c>
      <c r="L11" s="0" t="n">
        <f aca="false">L8+L10+L24</f>
        <v>3204.63017434085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-545.9299695</v>
      </c>
      <c r="D12" s="4" t="n">
        <f aca="false">-D6*Assumptions!D45/100</f>
        <v>-570.04866666</v>
      </c>
      <c r="E12" s="4" t="n">
        <f aca="false">-E6*Assumptions!E45/100</f>
        <v>-592.28920176075</v>
      </c>
      <c r="F12" s="4" t="n">
        <f aca="false">-F6*Assumptions!F45/100</f>
        <v>-612.33591320496</v>
      </c>
      <c r="G12" s="4" t="n">
        <f aca="false">-G6*Assumptions!G45/100</f>
        <v>-629.892731966383</v>
      </c>
      <c r="H12" s="4" t="n">
        <f aca="false">-H6*Assumptions!H45/100</f>
        <v>-644.690212018927</v>
      </c>
      <c r="I12" s="4" t="n">
        <f aca="false">-I6*Assumptions!I45/100</f>
        <v>-656.492202190564</v>
      </c>
      <c r="J12" s="4" t="n">
        <f aca="false">-J6*Assumptions!J45/100</f>
        <v>-665.101935989784</v>
      </c>
      <c r="K12" s="4" t="n">
        <f aca="false">-K6*Assumptions!K45/100</f>
        <v>-685.054994069478</v>
      </c>
      <c r="L12" s="4" t="n">
        <f aca="false">-L6*Assumptions!L45/100</f>
        <v>-705.606643891562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1495.19625975</v>
      </c>
      <c r="D13" s="0" t="n">
        <f aca="false">D11+D12</f>
        <v>1645.367742405</v>
      </c>
      <c r="E13" s="0" t="n">
        <f aca="false">E11+E12</f>
        <v>1799.64795919612</v>
      </c>
      <c r="F13" s="0" t="n">
        <f aca="false">F11+F12</f>
        <v>1937.46910037507</v>
      </c>
      <c r="G13" s="0" t="n">
        <f aca="false">G11+G12</f>
        <v>2074.64669655595</v>
      </c>
      <c r="H13" s="0" t="n">
        <f aca="false">H11+H12</f>
        <v>2188.82725209652</v>
      </c>
      <c r="I13" s="0" t="n">
        <f aca="false">I11+I12</f>
        <v>2276.19837316892</v>
      </c>
      <c r="J13" s="0" t="n">
        <f aca="false">J11+J12</f>
        <v>2355.56935663049</v>
      </c>
      <c r="K13" s="0" t="n">
        <f aca="false">K11+K12</f>
        <v>2426.2364373294</v>
      </c>
      <c r="L13" s="0" t="n">
        <f aca="false">L11+L12</f>
        <v>2499.02353044928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1181.2050452025</v>
      </c>
      <c r="D15" s="0" t="n">
        <f aca="false">D13-MAX(0,D13)*D14/100</f>
        <v>1299.84051649995</v>
      </c>
      <c r="E15" s="0" t="n">
        <f aca="false">E13-MAX(0,E13)*E14/100</f>
        <v>1421.72188776494</v>
      </c>
      <c r="F15" s="0" t="n">
        <f aca="false">F13-MAX(0,F13)*F14/100</f>
        <v>1530.6005892963</v>
      </c>
      <c r="G15" s="0" t="n">
        <f aca="false">G13-MAX(0,G13)*G14/100</f>
        <v>1638.9708902792</v>
      </c>
      <c r="H15" s="0" t="n">
        <f aca="false">H13-MAX(0,H13)*H14/100</f>
        <v>1729.17352915625</v>
      </c>
      <c r="I15" s="0" t="n">
        <f aca="false">I13-MAX(0,I13)*I14/100</f>
        <v>1798.19671480345</v>
      </c>
      <c r="J15" s="0" t="n">
        <f aca="false">J13-MAX(0,J13)*J14/100</f>
        <v>1860.89979173808</v>
      </c>
      <c r="K15" s="0" t="n">
        <f aca="false">K13-MAX(0,K13)*K14/100</f>
        <v>1916.72678549023</v>
      </c>
      <c r="L15" s="0" t="n">
        <f aca="false">L13-MAX(0,L13)*L14/100</f>
        <v>1974.22858905493</v>
      </c>
    </row>
    <row r="16" customFormat="false" ht="15" hidden="false" customHeight="false" outlineLevel="0" collapsed="false">
      <c r="A16" s="0" t="s">
        <v>120</v>
      </c>
      <c r="C16" s="0" t="n">
        <f aca="false">-C12</f>
        <v>545.9299695</v>
      </c>
      <c r="D16" s="0" t="n">
        <f aca="false">-D12</f>
        <v>570.04866666</v>
      </c>
      <c r="E16" s="0" t="n">
        <f aca="false">-E12</f>
        <v>592.28920176075</v>
      </c>
      <c r="F16" s="0" t="n">
        <f aca="false">-F12</f>
        <v>612.33591320496</v>
      </c>
      <c r="G16" s="0" t="n">
        <f aca="false">-G12</f>
        <v>629.892731966383</v>
      </c>
      <c r="H16" s="0" t="n">
        <f aca="false">-H12</f>
        <v>644.690212018927</v>
      </c>
      <c r="I16" s="0" t="n">
        <f aca="false">-I12</f>
        <v>656.492202190564</v>
      </c>
      <c r="J16" s="0" t="n">
        <f aca="false">-J12</f>
        <v>665.101935989784</v>
      </c>
      <c r="K16" s="0" t="n">
        <f aca="false">-K12</f>
        <v>685.054994069478</v>
      </c>
      <c r="L16" s="0" t="n">
        <f aca="false">-L12</f>
        <v>705.606643891562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-154.8159615</v>
      </c>
      <c r="D17" s="4" t="n">
        <f aca="false">-D6*Assumptions!D46/100</f>
        <v>-164.10491919</v>
      </c>
      <c r="E17" s="4" t="n">
        <f aca="false">-E6*Assumptions!E46/100</f>
        <v>-173.13068974545</v>
      </c>
      <c r="F17" s="4" t="n">
        <f aca="false">-F6*Assumptions!F46/100</f>
        <v>-181.787224232722</v>
      </c>
      <c r="G17" s="4" t="n">
        <f aca="false">-G6*Assumptions!G46/100</f>
        <v>-189.967649323195</v>
      </c>
      <c r="H17" s="4" t="n">
        <f aca="false">-H6*Assumptions!H46/100</f>
        <v>-197.566355296123</v>
      </c>
      <c r="I17" s="4" t="n">
        <f aca="false">-I6*Assumptions!I46/100</f>
        <v>-204.481177731487</v>
      </c>
      <c r="J17" s="4" t="n">
        <f aca="false">-J6*Assumptions!J46/100</f>
        <v>-210.615613063432</v>
      </c>
      <c r="K17" s="4" t="n">
        <f aca="false">-K6*Assumptions!K46/100</f>
        <v>-216.934081455335</v>
      </c>
      <c r="L17" s="4" t="n">
        <f aca="false">-L6*Assumptions!L46/100</f>
        <v>-223.442103898995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-59.6770199999999</v>
      </c>
      <c r="D18" s="4" t="n">
        <f aca="false">(D6-C6)*Assumptions!$B$51/100</f>
        <v>-58.6671012</v>
      </c>
      <c r="E18" s="4" t="n">
        <f aca="false">(E6-D6)*Assumptions!$B$51/100</f>
        <v>-57.004866666</v>
      </c>
      <c r="F18" s="4" t="n">
        <f aca="false">(F6-E6)*Assumptions!$B$51/100</f>
        <v>-54.6728493933001</v>
      </c>
      <c r="G18" s="4" t="n">
        <f aca="false">(G6-F6)*Assumptions!$B$51/100</f>
        <v>-51.6658426766683</v>
      </c>
      <c r="H18" s="4" t="n">
        <f aca="false">(H6-G6)*Assumptions!$B$51/100</f>
        <v>-47.9918271974388</v>
      </c>
      <c r="I18" s="4" t="n">
        <f aca="false">(I6-H6)*Assumptions!$B$51/100</f>
        <v>-43.6725627496692</v>
      </c>
      <c r="J18" s="4" t="n">
        <f aca="false">(J6-I6)*Assumptions!$B$51/100</f>
        <v>-38.7438020964923</v>
      </c>
      <c r="K18" s="4" t="n">
        <f aca="false">(K6-J6)*Assumptions!$B$51/100</f>
        <v>-39.906116159387</v>
      </c>
      <c r="L18" s="4" t="n">
        <f aca="false">(L6-K6)*Assumptions!$B$51/100</f>
        <v>-41.1032996441688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1512.6420332025</v>
      </c>
      <c r="D19" s="0" t="n">
        <f aca="false">D15+D16+D17+D18</f>
        <v>1647.11716276995</v>
      </c>
      <c r="E19" s="0" t="n">
        <f aca="false">E15+E16+E17+E18</f>
        <v>1783.87553311424</v>
      </c>
      <c r="F19" s="0" t="n">
        <f aca="false">F15+F16+F17+F18</f>
        <v>1906.47642887524</v>
      </c>
      <c r="G19" s="0" t="n">
        <f aca="false">G15+G16+G17+G18</f>
        <v>2027.23013024572</v>
      </c>
      <c r="H19" s="0" t="n">
        <f aca="false">H15+H16+H17+H18</f>
        <v>2128.30555868162</v>
      </c>
      <c r="I19" s="0" t="n">
        <f aca="false">I15+I16+I17+I18</f>
        <v>2206.53517651286</v>
      </c>
      <c r="J19" s="0" t="n">
        <f aca="false">J15+J16+J17+J18</f>
        <v>2276.64231256794</v>
      </c>
      <c r="K19" s="0" t="n">
        <f aca="false">K15+K16+K17+K18</f>
        <v>2344.94158194498</v>
      </c>
      <c r="L19" s="0" t="n">
        <f aca="false">L15+L16+L17+L18</f>
        <v>2415.28982940333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1387.74498458945</v>
      </c>
      <c r="D21" s="0" t="n">
        <f aca="false">D19*D20</f>
        <v>1386.34556246945</v>
      </c>
      <c r="E21" s="0" t="n">
        <f aca="false">E19*E20</f>
        <v>1377.47921715594</v>
      </c>
      <c r="F21" s="0" t="n">
        <f aca="false">F19*F20</f>
        <v>1350.59596651676</v>
      </c>
      <c r="G21" s="0" t="n">
        <f aca="false">G19*G20</f>
        <v>1317.56048889637</v>
      </c>
      <c r="H21" s="0" t="n">
        <f aca="false">H19*H20</f>
        <v>1269.03906625726</v>
      </c>
      <c r="I21" s="0" t="n">
        <f aca="false">I19*I20</f>
        <v>1207.05030400393</v>
      </c>
      <c r="J21" s="0" t="n">
        <f aca="false">J19*J20</f>
        <v>1142.57000755408</v>
      </c>
      <c r="K21" s="0" t="n">
        <f aca="false">K19*K20</f>
        <v>1079.67624567037</v>
      </c>
      <c r="L21" s="0" t="n">
        <f aca="false">L19*L20</f>
        <v>1020.24452572521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12538.3063688388</v>
      </c>
    </row>
    <row r="31" customFormat="false" ht="15" hidden="false" customHeight="false" outlineLevel="0" collapsed="false">
      <c r="A31" s="0" t="s">
        <v>129</v>
      </c>
      <c r="B31" s="0" t="n">
        <f aca="false">L19</f>
        <v>2415.28982940333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41462.4754047572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38644.6372704533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38644.6372704533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16323.9124116034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28862.2187804422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25267.2187804422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64.7877404626724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-0.151770876372449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471.995663906196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639.578224898145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67.637929921145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20731.2377023786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28.5091776109753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37.6164670879644</v>
      </c>
      <c r="C4" s="0" t="n">
        <f aca="false">B4/Assumptions!$B$2-1</f>
        <v>-0.50750894097978</v>
      </c>
      <c r="D4" s="4" t="n">
        <f aca="false">Assumptions!$B$24</f>
        <v>0.25</v>
      </c>
      <c r="E4" s="4" t="n">
        <f aca="false">DCF_Bear!$B$43</f>
        <v>39.7105509566265</v>
      </c>
      <c r="F4" s="4" t="n">
        <f aca="false">DCF_Bear!$B$47</f>
        <v>16.8090824841135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54.8276648607145</v>
      </c>
      <c r="C5" s="0" t="n">
        <f aca="false">B5/Assumptions!$B$2-1</f>
        <v>-0.282172494622748</v>
      </c>
      <c r="D5" s="4" t="n">
        <f aca="false">Assumptions!$B$38</f>
        <v>0.5</v>
      </c>
      <c r="E5" s="4" t="n">
        <f aca="false">DCF_Base!$B$43</f>
        <v>57.3200778008762</v>
      </c>
      <c r="F5" s="4" t="n">
        <f aca="false">DCF_Base!$B$47</f>
        <v>23.7220047128956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64.7877404626724</v>
      </c>
      <c r="C6" s="0" t="n">
        <f aca="false">B6/Assumptions!$B$2-1</f>
        <v>-0.151770876372449</v>
      </c>
      <c r="D6" s="4" t="n">
        <f aca="false">Assumptions!$B$52</f>
        <v>0.25</v>
      </c>
      <c r="E6" s="4" t="n">
        <f aca="false">DCF_Bull!$B$43</f>
        <v>67.637929921145</v>
      </c>
      <c r="F6" s="4" t="n">
        <f aca="false">DCF_Bull!$B$47</f>
        <v>28.5091776109753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53.0148843180165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55.497159119881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-0.440727467060476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941.278365490933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23.19056738022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54.8276648607145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46.1766088837177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39.5651180596152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34.3489191931827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23.7220047128956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65.4994149379684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65.4994149379684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65.4994149379684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65.4994149379684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65.4994149379684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59.2438214666238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60.1843374752797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60.1843374752797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60.1843374752797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60.1843374752797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49.8415303131492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52.1565213530903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54.8276648607145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55.3422888392477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55.3422888392477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42.6645423118219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44.3108235173981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46.1766088837177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48.3089350166544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50.7693113238891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37.0093128273545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38.2162208536998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39.5651180596152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41.08262741627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42.8024713538121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2026-09-28T21:59:54Z</dcterms:created>
  <dc:creator>openpyxl</dc:creator>
  <dc:description/>
  <dc:language>en-NZ</dc:language>
  <cp:lastModifiedBy/>
  <dcterms:modified xsi:type="dcterms:W3CDTF">2026-09-28T21:59:54Z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