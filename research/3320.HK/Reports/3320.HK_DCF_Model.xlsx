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<sst xmlns="http://schemas.openxmlformats.org/spreadsheetml/2006/main" count="358" uniqueCount="169">
  <si>
    <t xml:space="preserve">Ticker</t>
  </si>
  <si>
    <t xml:space="preserve">3320.HK</t>
  </si>
  <si>
    <t xml:space="preserve">Company</t>
  </si>
  <si>
    <t xml:space="preserve">China Resources Pharmaceutical Group Limited</t>
  </si>
  <si>
    <t xml:space="preserve">Valuation date</t>
  </si>
  <si>
    <t xml:space="preserve">2026-10-22</t>
  </si>
  <si>
    <t xml:space="preserve">Current price</t>
  </si>
  <si>
    <t xml:space="preserve">Price as of</t>
  </si>
  <si>
    <t xml:space="preserve">2026-10-22T07:52:14Z (intraday, 8 minutes before the HKEX close; refresh at the regular close)</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</si>
  <si>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</si>
  <si>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</si>
  <si>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</si>
  <si>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</si>
  <si>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</si>
  <si>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</si>
  <si>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</si>
  <si>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</si>
  <si>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</si>
  <si>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</si>
  <si>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</si>
  <si>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</si>
  <si>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</si>
  <si>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2026-10-22T08:16:01Z</t>
  </si>
  <si>
    <t xml:space="preserve">Drivers file</t>
  </si>
  <si>
    <t xml:space="preserve">3320.HK_Drivers.json</t>
  </si>
  <si>
    <t xml:space="preserve">Convention</t>
  </si>
  <si>
    <t xml:space="preserve">Percents stored as percents; formulas divide by 100. Blue = input, green = link, black = formula.</t>
  </si>
  <si>
    <t xml:space="preserve">Methodology</t>
  </si>
  <si>
    <t xml:space="preserve">summary: Owner-FCF DCF on attributable flows. Group headline numbers (RMB270bn revenue, RMB17bn reported FCF, RMB9.7bn net profit) overstate what accrues to 3320.HK shareholders roughly 2.4-fold: ~58% of profit belongs to NCI holders of the listed subsidiaries, and the gross debt sits with the wholly-owned distribution arm. The model therefore applies a combined tax + NCI leakage to EBIT, charges working capital at 100%, deducts gross debt net of cash, and adds back only the parent's share of the subsidiaries' deposits. Leases are an operating cost (treatment B). The terminal value is capped at 15x attributable FCF (~8x group EV/EBITDA) because a Chinese pharma distributor does not get a Gordon multiple. WACC 6.0% in CNY, built from the actual ~50/50 book capital structure with 2.5% debt, the same across scenarios; risk is carried in a 30% bear weight.
key_risks_to_valuation: Allocation of RMB77bn gross debt and RMB31.6bn cash-like assets between the Company and NCI: each RMB10bn of parent-attributable net debt moves value by ~HK$1.87/share, more than the entire base-to-bull spread on operations; NCI leakage rate: each 1pp on the 62% combined leakage is ~2.6% of attributable NOPAT; the listed subsidiaries' share of group growth is higher than the Company's; Working-capital assumption: the FY2025 RMB4.7bn inflow came from payables growing faster than receivables; a reversal to pro-rata consumption (bear) costs ~RMB1bn a year of FCF; Refinancing: 81% of FY2025 borrowings due within one year at ~2.5%; a 100bp rise in the cost of debt is ~RMB0.6bn a year of attributable cash, and the DCF's unlevered structure does not capture that directly; Terminal cap: the exit multiple (15x attributable FCF) binds in every scenario, so the valuation is a multiple call as much as a DCF; and because the enterprise is ~50-70% funded by 2.5% debt, the WACC (6.0%) is unusually low for this folder and each 1pp on it is worth roughly HK$1.5-2/share; Reporting-currency switch (HKD to RMB in FY2023) contaminates pre-FY2022 comparisons; CNY/HKD moves pass straight through to the HKD per-share value</t>
  </si>
  <si>
    <t xml:space="preserve">Data sources</t>
  </si>
  <si>
    <t xml:space="preserve">price: Yahoo Finance chart API at inputs.price_as_of; 52-week range 4.22-6.53 HKD. FX: Yahoo CNYHKD=X and HKDCNY=X, same date.
financials: 3320.HK_Metrics.csv (core_metrics, RMB millions from FY2022; HKD FY2018-FY2021); H1 FY2026 interim report (balance sheet, cash flow, notes 7, 17, 18, 19, 20, EPS note) for the 30 June 2026 anchors; FY2025 annual report consolidated cash flow statement (lines 6854-6978) and notes 7, 8, 9 for the FY0 calibration.
qualitative: 3320.HK_Analysis.json (2026-10-22): segment mix, VBP/DRG regulatory exposure, NCI structure, leverage and management-turnover risks, 15th Five-Year-Plan priorities.</t>
  </si>
  <si>
    <t xml:space="preserve">Scenario narrative: bear</t>
  </si>
  <si>
    <t xml:space="preserve">VBP/DRG compression, flat hospital volumes and a weakening OTC consumer push margins back to 5.7%; the payables stretch unwinds and refinancing of the 81% short-dated debt book absorbs cash. With RMB55bn of parent-borne net debt against an attributable enterprise value of similar size, the bear case leaves little or no equity value.</t>
  </si>
  <si>
    <t xml:space="preserve">Scenario narrative: base</t>
  </si>
  <si>
    <t xml:space="preserve">China's pharma market stabilises at low-single-digit growth under the 15th Five-Year Plan; CR Pharma grows ~3% a year with modest mix shift toward manufacturing and DTP retail lifting EBITDA margin to 6.7%. About 62% of operating profit leaks to tax and non-controlling interests, and the wholly-owned distribution business continues to carry the group's RMB77bn of gross debt. The equity is a thin, levered slice of a large, low-margin enterprise: the valuation is far more sensitive to the net-debt bridge and the exit multiple than to growth.</t>
  </si>
  <si>
    <t xml:space="preserve">Scenario narrative: bull</t>
  </si>
  <si>
    <t xml:space="preserve">Manufacturing re-accelerates, Tasly/blood-products M&amp;A delivers, DTP retail compounds, VBP pricing stabilises; margin reaches 7.5%, leakage eases to 59% as minorities are bought in, and a 16x exit is paid for a top-3 integrated SOE platform.</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</si>
  <si>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</si>
  <si>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</si>
  <si>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</si>
  <si>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</si>
  <si>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</si>
  <si>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</si>
  <si>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</si>
  <si>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</si>
  <si>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</si>
  <si>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</si>
  <si>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</si>
  <si>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</si>
  <si>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</si>
  <si>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</si>
  <si>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</si>
  <si>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</si>
  <si>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</si>
  <si>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</si>
  <si>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</si>
  <si>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</si>
  <si>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</si>
  <si>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</si>
  <si>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</si>
  <si>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</si>
  <si>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</si>
  <si>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</si>
  <si>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</si>
  <si>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DividendsPaidToNCI</t>
  </si>
  <si>
    <t xml:space="preserve">NetIncomeTotal</t>
  </si>
  <si>
    <t xml:space="preserve">SegmentRevenueDistribution</t>
  </si>
  <si>
    <t xml:space="preserve">TotalEquityInclNCI</t>
  </si>
  <si>
    <t xml:space="preserve">FY2018</t>
  </si>
  <si>
    <t xml:space="preserve">thousands</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</si>
  <si>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</si>
  <si>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</si>
  <si>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</si>
  <si>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</si>
  <si>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</si>
  <si>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</si>
  <si>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</si>
  <si>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</si>
  <si>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</si>
  <si>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</si>
  <si>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</si>
  <si>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</si>
  <si>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</si>
  <si>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</si>
  <si>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</si>
  <si>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</si>
  <si>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</si>
  <si>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</si>
  <si>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</si>
  <si>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</si>
  <si>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</si>
  <si>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</si>
  <si>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</si>
  <si>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</si>
  <si>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</si>
  <si>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</si>
  <si>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</si>
  <si>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</si>
  <si>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</si>
  <si>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</si>
  <si>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</si>
  <si>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</si>
  <si>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</si>
  <si>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</si>
  <si>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</si>
  <si>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</si>
  <si>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</si>
  <si>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</si>
  <si>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</si>
  <si>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</si>
  <si>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</si>
  <si>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</si>
  <si>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</si>
  <si>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</si>
  <si>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3320.HK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</si>
  <si>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</si>
  <si>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</si>
  <si>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</si>
  <si>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</si>
  <si>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</si>
  <si>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</si>
  <si>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</si>
  <si>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</si>
  <si>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</si>
  <si>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</si>
  <si>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</si>
  <si>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</si>
  <si>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</si>
  <si>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</si>
  <si>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</si>
  <si>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</si>
  <si>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</si>
  <si>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</si>
  <si>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</si>
  <si>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</si>
  <si>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</si>
  <si>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</si>
  <si>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</si>
  <si>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</si>
  <si>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</si>
  <si>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</si>
  <si>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</si>
  <si>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</si>
  <si>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</si>
  <si>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</si>
  <si>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3320.HK owner-FCF component DCF: base case (millions, CNY)</t>
  </si>
  <si>
    <t xml:space="preserve">3320.HK owner-FCF component DCF: bull case (millions, CNY)</t>
  </si>
  <si>
    <t xml:space="preserve">3320.HK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</si>
  <si>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</si>
  <si>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</si>
  <si>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</si>
  <si>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</si>
  <si>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</si>
  <si>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</si>
  <si>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</si>
  <si>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</si>
  <si>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</si>
  <si>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</si>
  <si>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</si>
  <si>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</si>
  <si>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</si>
  <si>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</si>
  <si>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6%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</si>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</sst>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4.43</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row>
    <row r="2" customFormat="false" ht="15" hidden="false" customHeight="false" outlineLevel="0" collapsed="false">
      <c r="A2" s="0" t="s">
        <v>68</v>
      </c>
      <c r="B2" s="0" t="n">
        <v>189689107</v>
      </c>
      <c r="C2" s="0" t="n">
        <v>154758728</v>
      </c>
      <c r="D2" s="0" t="n">
        <v>34930379</v>
      </c>
      <c r="E2" s="0" t="n">
        <v>18.4</v>
      </c>
      <c r="F2" s="0" t="n">
        <v>12039873</v>
      </c>
      <c r="G2" s="0" t="n">
        <v>6.3</v>
      </c>
      <c r="H2" s="0" t="n">
        <v>13656341</v>
      </c>
      <c r="I2" s="0" t="n">
        <v>3977603</v>
      </c>
      <c r="J2" s="0" t="n">
        <v>2.1</v>
      </c>
      <c r="K2" s="0" t="n">
        <v>0.63</v>
      </c>
      <c r="L2" s="0" t="n">
        <v>8246965</v>
      </c>
      <c r="M2" s="0" t="n">
        <v>1960150</v>
      </c>
      <c r="N2" s="0" t="n">
        <v>6286815</v>
      </c>
      <c r="O2" s="0" t="n">
        <v>39313022</v>
      </c>
      <c r="P2" s="0" t="n">
        <v>176184200</v>
      </c>
      <c r="Q2" s="0" t="n">
        <v>115715428</v>
      </c>
      <c r="R2" s="0" t="n">
        <v>50936129</v>
      </c>
      <c r="S2" s="0" t="n">
        <v>16633301</v>
      </c>
      <c r="T2" s="0" t="n">
        <v>6284506.555</v>
      </c>
      <c r="U2" s="0" t="n">
        <v>0</v>
      </c>
      <c r="AA2" s="0" t="s">
        <v>69</v>
      </c>
      <c r="AB2" s="0" t="s">
        <v>16</v>
      </c>
      <c r="AC2" s="0" t="n">
        <v>1759795</v>
      </c>
      <c r="AD2" s="0" t="n">
        <v>7572324</v>
      </c>
      <c r="AE2" s="0" t="n">
        <v>152151000</v>
      </c>
      <c r="AF2" s="0" t="n">
        <v>60468772</v>
      </c>
    </row>
    <row r="3" customFormat="false" ht="15" hidden="false" customHeight="false" outlineLevel="0" collapsed="false">
      <c r="A3" s="0" t="s">
        <v>70</v>
      </c>
      <c r="B3" s="0" t="n">
        <v>204453869</v>
      </c>
      <c r="C3" s="0" t="n">
        <v>170436179</v>
      </c>
      <c r="D3" s="0" t="n">
        <v>34017690</v>
      </c>
      <c r="E3" s="0" t="n">
        <v>16.6</v>
      </c>
      <c r="F3" s="0" t="n">
        <v>10211552</v>
      </c>
      <c r="G3" s="0" t="n">
        <v>5</v>
      </c>
      <c r="H3" s="0" t="n">
        <v>12576399</v>
      </c>
      <c r="I3" s="0" t="n">
        <v>3286419</v>
      </c>
      <c r="J3" s="0" t="n">
        <v>1.6</v>
      </c>
      <c r="K3" s="0" t="n">
        <v>0.52</v>
      </c>
      <c r="L3" s="0" t="n">
        <v>8140939</v>
      </c>
      <c r="M3" s="0" t="n">
        <v>1970945</v>
      </c>
      <c r="N3" s="0" t="n">
        <v>6169994</v>
      </c>
      <c r="O3" s="0" t="n">
        <v>40711348</v>
      </c>
      <c r="P3" s="0" t="n">
        <v>190025013</v>
      </c>
      <c r="Q3" s="0" t="n">
        <v>120443192</v>
      </c>
      <c r="R3" s="0" t="n">
        <v>39018083</v>
      </c>
      <c r="S3" s="0" t="n">
        <v>12524016</v>
      </c>
      <c r="T3" s="0" t="n">
        <v>6284506.555</v>
      </c>
      <c r="U3" s="0" t="n">
        <v>0</v>
      </c>
      <c r="AA3" s="0" t="s">
        <v>69</v>
      </c>
      <c r="AB3" s="0" t="s">
        <v>16</v>
      </c>
      <c r="AC3" s="0" t="n">
        <v>1184249</v>
      </c>
      <c r="AD3" s="0" t="n">
        <v>5097803</v>
      </c>
      <c r="AE3" s="0" t="n">
        <v>167094000</v>
      </c>
      <c r="AF3" s="0" t="n">
        <v>69581821</v>
      </c>
    </row>
    <row r="4" customFormat="false" ht="15" hidden="false" customHeight="false" outlineLevel="0" collapsed="false">
      <c r="A4" s="0" t="s">
        <v>71</v>
      </c>
      <c r="B4" s="0" t="n">
        <v>200423023</v>
      </c>
      <c r="C4" s="0" t="n">
        <v>168129162</v>
      </c>
      <c r="D4" s="0" t="n">
        <v>32293861</v>
      </c>
      <c r="E4" s="0" t="n">
        <v>16.1</v>
      </c>
      <c r="F4" s="0" t="n">
        <v>9346164</v>
      </c>
      <c r="G4" s="0" t="n">
        <v>4.7</v>
      </c>
      <c r="H4" s="0" t="n">
        <v>11790217</v>
      </c>
      <c r="I4" s="0" t="n">
        <v>3297126</v>
      </c>
      <c r="J4" s="0" t="n">
        <v>1.6</v>
      </c>
      <c r="K4" s="0" t="n">
        <v>0.52</v>
      </c>
      <c r="L4" s="0" t="n">
        <v>8206300</v>
      </c>
      <c r="M4" s="0" t="n">
        <v>2037504</v>
      </c>
      <c r="N4" s="0" t="n">
        <v>6168796</v>
      </c>
      <c r="O4" s="0" t="n">
        <v>46469826</v>
      </c>
      <c r="P4" s="0" t="n">
        <v>209371760</v>
      </c>
      <c r="Q4" s="0" t="n">
        <v>129342316</v>
      </c>
      <c r="R4" s="0" t="n">
        <v>42289713</v>
      </c>
      <c r="S4" s="0" t="n">
        <v>11231497</v>
      </c>
      <c r="T4" s="0" t="n">
        <v>6283120</v>
      </c>
      <c r="U4" s="0" t="n">
        <v>0</v>
      </c>
      <c r="AA4" s="0" t="s">
        <v>69</v>
      </c>
      <c r="AB4" s="0" t="s">
        <v>16</v>
      </c>
      <c r="AC4" s="0" t="n">
        <v>798167</v>
      </c>
      <c r="AD4" s="0" t="n">
        <v>5323641</v>
      </c>
      <c r="AE4" s="0" t="n">
        <v>164441000</v>
      </c>
      <c r="AF4" s="0" t="n">
        <v>80029444</v>
      </c>
    </row>
    <row r="5" customFormat="false" ht="15" hidden="false" customHeight="false" outlineLevel="0" collapsed="false">
      <c r="A5" s="0" t="s">
        <v>72</v>
      </c>
      <c r="B5" s="0" t="n">
        <v>236806169</v>
      </c>
      <c r="C5" s="0" t="n">
        <v>201425883</v>
      </c>
      <c r="D5" s="0" t="n">
        <v>35380286</v>
      </c>
      <c r="E5" s="0" t="n">
        <v>14.9</v>
      </c>
      <c r="F5" s="0" t="n">
        <v>10110187</v>
      </c>
      <c r="G5" s="0" t="n">
        <v>4.3</v>
      </c>
      <c r="H5" s="0" t="n">
        <v>12932077</v>
      </c>
      <c r="I5" s="0" t="n">
        <v>3768889</v>
      </c>
      <c r="J5" s="0" t="n">
        <v>1.6</v>
      </c>
      <c r="K5" s="0" t="n">
        <v>0.6</v>
      </c>
      <c r="L5" s="0" t="n">
        <v>12842503</v>
      </c>
      <c r="M5" s="0" t="n">
        <v>2664294</v>
      </c>
      <c r="N5" s="0" t="n">
        <v>10178209</v>
      </c>
      <c r="O5" s="0" t="n">
        <v>50981487</v>
      </c>
      <c r="P5" s="0" t="n">
        <v>248562310</v>
      </c>
      <c r="Q5" s="0" t="n">
        <v>153578044</v>
      </c>
      <c r="R5" s="0" t="n">
        <v>55032039</v>
      </c>
      <c r="S5" s="0" t="n">
        <v>17513134</v>
      </c>
      <c r="T5" s="0" t="n">
        <v>6282510.461</v>
      </c>
      <c r="U5" s="0" t="n">
        <v>1434</v>
      </c>
      <c r="AA5" s="0" t="s">
        <v>69</v>
      </c>
      <c r="AB5" s="0" t="s">
        <v>16</v>
      </c>
      <c r="AC5" s="0" t="n">
        <v>1132566</v>
      </c>
      <c r="AD5" s="0" t="n">
        <v>6647406</v>
      </c>
      <c r="AE5" s="0" t="n">
        <v>193858000</v>
      </c>
      <c r="AF5" s="0" t="n">
        <v>94984266</v>
      </c>
    </row>
    <row r="6" customFormat="false" ht="15" hidden="false" customHeight="false" outlineLevel="0" collapsed="false">
      <c r="A6" s="0" t="s">
        <v>73</v>
      </c>
      <c r="B6" s="0" t="n">
        <v>218182994</v>
      </c>
      <c r="C6" s="0" t="n">
        <v>184563943</v>
      </c>
      <c r="D6" s="0" t="n">
        <v>33619051</v>
      </c>
      <c r="E6" s="0" t="n">
        <v>15.4</v>
      </c>
      <c r="F6" s="0" t="n">
        <v>9761029</v>
      </c>
      <c r="G6" s="0" t="n">
        <v>4.5</v>
      </c>
      <c r="H6" s="0" t="n">
        <v>12319470</v>
      </c>
      <c r="I6" s="0" t="n">
        <v>3500270</v>
      </c>
      <c r="J6" s="0" t="n">
        <v>1.6</v>
      </c>
      <c r="K6" s="0" t="n">
        <v>0.56</v>
      </c>
      <c r="L6" s="0" t="n">
        <v>10821138</v>
      </c>
      <c r="M6" s="0" t="n">
        <v>2625889</v>
      </c>
      <c r="N6" s="0" t="n">
        <v>8195249</v>
      </c>
      <c r="O6" s="0" t="n">
        <v>43557034</v>
      </c>
      <c r="P6" s="0" t="n">
        <v>215534373</v>
      </c>
      <c r="Q6" s="0" t="n">
        <v>134977029</v>
      </c>
      <c r="R6" s="0" t="n">
        <v>45344966</v>
      </c>
      <c r="S6" s="0" t="n">
        <v>15223726</v>
      </c>
      <c r="T6" s="0" t="n">
        <v>6282510.461</v>
      </c>
      <c r="U6" s="0" t="n">
        <v>99552</v>
      </c>
      <c r="AA6" s="0" t="s">
        <v>69</v>
      </c>
      <c r="AB6" s="0" t="s">
        <v>14</v>
      </c>
      <c r="AC6" s="0" t="n">
        <v>1892929</v>
      </c>
      <c r="AD6" s="0" t="n">
        <v>6657929</v>
      </c>
      <c r="AE6" s="0" t="n">
        <v>176072000</v>
      </c>
      <c r="AF6" s="0" t="n">
        <v>80557344</v>
      </c>
    </row>
    <row r="7" customFormat="false" ht="15" hidden="false" customHeight="false" outlineLevel="0" collapsed="false">
      <c r="A7" s="0" t="s">
        <v>74</v>
      </c>
      <c r="B7" s="0" t="n">
        <v>244703884</v>
      </c>
      <c r="C7" s="0" t="n">
        <v>206366398</v>
      </c>
      <c r="D7" s="0" t="n">
        <v>38337486</v>
      </c>
      <c r="E7" s="0" t="n">
        <v>15.7</v>
      </c>
      <c r="F7" s="0" t="n">
        <v>11261747</v>
      </c>
      <c r="G7" s="0" t="n">
        <v>4.6</v>
      </c>
      <c r="H7" s="0" t="n">
        <v>14426112</v>
      </c>
      <c r="I7" s="0" t="n">
        <v>3854247</v>
      </c>
      <c r="J7" s="0" t="n">
        <v>1.6</v>
      </c>
      <c r="K7" s="0" t="n">
        <v>0.61</v>
      </c>
      <c r="L7" s="0" t="n">
        <v>15549886</v>
      </c>
      <c r="M7" s="0" t="n">
        <v>3002185</v>
      </c>
      <c r="N7" s="0" t="n">
        <v>12547701</v>
      </c>
      <c r="O7" s="0" t="n">
        <v>45959605</v>
      </c>
      <c r="P7" s="0" t="n">
        <v>246770296</v>
      </c>
      <c r="Q7" s="0" t="n">
        <v>153795482</v>
      </c>
      <c r="R7" s="0" t="n">
        <v>60852538</v>
      </c>
      <c r="S7" s="0" t="n">
        <v>24650670</v>
      </c>
      <c r="T7" s="0" t="n">
        <v>6282510.461</v>
      </c>
      <c r="U7" s="0" t="n">
        <v>141891</v>
      </c>
      <c r="AA7" s="0" t="s">
        <v>69</v>
      </c>
      <c r="AB7" s="0" t="s">
        <v>14</v>
      </c>
      <c r="AC7" s="0" t="n">
        <v>2345257</v>
      </c>
      <c r="AD7" s="0" t="n">
        <v>7775003</v>
      </c>
      <c r="AE7" s="0" t="n">
        <v>195858000</v>
      </c>
      <c r="AF7" s="0" t="n">
        <v>92974814</v>
      </c>
    </row>
    <row r="8" customFormat="false" ht="15" hidden="false" customHeight="false" outlineLevel="0" collapsed="false">
      <c r="A8" s="0" t="s">
        <v>75</v>
      </c>
      <c r="B8" s="0" t="n">
        <v>257673256</v>
      </c>
      <c r="C8" s="0" t="n">
        <v>216984387</v>
      </c>
      <c r="D8" s="0" t="n">
        <v>40688869</v>
      </c>
      <c r="E8" s="0" t="n">
        <v>15.8</v>
      </c>
      <c r="F8" s="0" t="n">
        <v>12162687</v>
      </c>
      <c r="G8" s="0" t="n">
        <v>4.7</v>
      </c>
      <c r="H8" s="0" t="n">
        <v>15519397</v>
      </c>
      <c r="I8" s="0" t="n">
        <v>3350857</v>
      </c>
      <c r="J8" s="0" t="n">
        <v>1.3</v>
      </c>
      <c r="K8" s="0" t="n">
        <v>0.53</v>
      </c>
      <c r="L8" s="0" t="n">
        <v>17535514</v>
      </c>
      <c r="M8" s="0" t="n">
        <v>3079876</v>
      </c>
      <c r="N8" s="0" t="n">
        <v>14455638</v>
      </c>
      <c r="O8" s="0" t="n">
        <v>48244236</v>
      </c>
      <c r="P8" s="0" t="n">
        <v>257760320</v>
      </c>
      <c r="Q8" s="0" t="n">
        <v>159673042</v>
      </c>
      <c r="R8" s="0" t="n">
        <v>67716774</v>
      </c>
      <c r="S8" s="0" t="n">
        <v>16424739</v>
      </c>
      <c r="T8" s="0" t="n">
        <v>6282510.461</v>
      </c>
      <c r="U8" s="0" t="n">
        <v>78315</v>
      </c>
      <c r="AA8" s="0" t="s">
        <v>69</v>
      </c>
      <c r="AB8" s="0" t="s">
        <v>14</v>
      </c>
      <c r="AC8" s="0" t="n">
        <v>4061549</v>
      </c>
      <c r="AD8" s="0" t="n">
        <v>8403243</v>
      </c>
      <c r="AE8" s="0" t="n">
        <v>206076000</v>
      </c>
      <c r="AF8" s="0" t="n">
        <v>98087278</v>
      </c>
    </row>
    <row r="9" customFormat="false" ht="15" hidden="false" customHeight="false" outlineLevel="0" collapsed="false">
      <c r="A9" s="0" t="s">
        <v>76</v>
      </c>
      <c r="B9" s="0" t="n">
        <v>269574326</v>
      </c>
      <c r="C9" s="0" t="n">
        <v>225066480</v>
      </c>
      <c r="D9" s="0" t="n">
        <v>44507846</v>
      </c>
      <c r="E9" s="0" t="n">
        <v>16.5</v>
      </c>
      <c r="F9" s="0" t="n">
        <v>13076407</v>
      </c>
      <c r="G9" s="0" t="n">
        <v>4.9</v>
      </c>
      <c r="H9" s="0" t="n">
        <v>17158663</v>
      </c>
      <c r="I9" s="0" t="n">
        <v>4045468</v>
      </c>
      <c r="J9" s="0" t="n">
        <v>1.5</v>
      </c>
      <c r="K9" s="0" t="n">
        <v>0.64</v>
      </c>
      <c r="L9" s="0" t="n">
        <v>20476332</v>
      </c>
      <c r="M9" s="0" t="n">
        <v>3215881</v>
      </c>
      <c r="N9" s="0" t="n">
        <v>17260451</v>
      </c>
      <c r="O9" s="0" t="n">
        <v>51408475</v>
      </c>
      <c r="P9" s="0" t="n">
        <v>285811172</v>
      </c>
      <c r="Q9" s="0" t="n">
        <v>168355239</v>
      </c>
      <c r="R9" s="0" t="n">
        <v>71183072</v>
      </c>
      <c r="S9" s="0" t="n">
        <v>15843809</v>
      </c>
      <c r="T9" s="0" t="n">
        <v>6282510.461</v>
      </c>
      <c r="U9" s="0" t="n">
        <v>5861</v>
      </c>
      <c r="AA9" s="0" t="s">
        <v>69</v>
      </c>
      <c r="AB9" s="0" t="s">
        <v>14</v>
      </c>
      <c r="AC9" s="0" t="n">
        <v>3415633</v>
      </c>
      <c r="AD9" s="0" t="n">
        <v>9653008</v>
      </c>
      <c r="AE9" s="0" t="n">
        <v>212060000</v>
      </c>
      <c r="AF9" s="0" t="n">
        <v>117455933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77</v>
      </c>
      <c r="B1" s="2" t="s">
        <v>78</v>
      </c>
    </row>
    <row r="2" customFormat="false" ht="15" hidden="false" customHeight="false" outlineLevel="0" collapsed="false">
      <c r="A2" s="0" t="s">
        <v>79</v>
      </c>
      <c r="B2" s="3" t="n">
        <v>4.43</v>
      </c>
    </row>
    <row r="3" customFormat="false" ht="15" hidden="false" customHeight="false" outlineLevel="0" collapsed="false">
      <c r="A3" s="0" t="s">
        <v>80</v>
      </c>
      <c r="B3" s="3" t="n">
        <v>6282.51</v>
      </c>
    </row>
    <row r="4" customFormat="false" ht="15" hidden="false" customHeight="false" outlineLevel="0" collapsed="false">
      <c r="A4" s="0" t="s">
        <v>81</v>
      </c>
      <c r="B4" s="3" t="n">
        <v>61748.67</v>
      </c>
    </row>
    <row r="5" customFormat="false" ht="15" hidden="false" customHeight="false" outlineLevel="0" collapsed="false">
      <c r="A5" s="0" t="s">
        <v>82</v>
      </c>
      <c r="B5" s="3" t="n">
        <v>6699.3</v>
      </c>
    </row>
    <row r="6" customFormat="false" ht="15" hidden="false" customHeight="false" outlineLevel="0" collapsed="false">
      <c r="A6" s="0" t="s">
        <v>83</v>
      </c>
      <c r="B6" s="3" t="n">
        <v>15</v>
      </c>
    </row>
    <row r="7" customFormat="false" ht="15" hidden="false" customHeight="false" outlineLevel="0" collapsed="false">
      <c r="A7" s="0" t="s">
        <v>84</v>
      </c>
      <c r="B7" s="3" t="n">
        <v>269574.326</v>
      </c>
    </row>
    <row r="8" customFormat="false" ht="15" hidden="false" customHeight="false" outlineLevel="0" collapsed="false">
      <c r="A8" s="0" t="s">
        <v>85</v>
      </c>
      <c r="B8" s="3" t="s">
        <v>76</v>
      </c>
    </row>
    <row r="9" customFormat="false" ht="15" hidden="false" customHeight="false" outlineLevel="0" collapsed="false">
      <c r="A9" s="0" t="s">
        <v>86</v>
      </c>
      <c r="B9" s="3" t="s">
        <v>87</v>
      </c>
    </row>
    <row r="10" customFormat="false" ht="15" hidden="false" customHeight="false" outlineLevel="0" collapsed="false">
      <c r="A10" s="0" t="s">
        <v>88</v>
      </c>
      <c r="B10" s="3" t="n">
        <v>1.1747</v>
      </c>
    </row>
    <row r="12" customFormat="false" ht="15" hidden="false" customHeight="false" outlineLevel="0" collapsed="false">
      <c r="A12" s="2" t="s">
        <v>89</v>
      </c>
      <c r="C12" s="2" t="s">
        <v>90</v>
      </c>
      <c r="D12" s="2" t="s">
        <v>91</v>
      </c>
      <c r="E12" s="2" t="s">
        <v>92</v>
      </c>
      <c r="F12" s="2" t="s">
        <v>93</v>
      </c>
      <c r="G12" s="2" t="s">
        <v>94</v>
      </c>
      <c r="H12" s="2" t="s">
        <v>95</v>
      </c>
      <c r="I12" s="2" t="s">
        <v>96</v>
      </c>
      <c r="J12" s="2" t="s">
        <v>97</v>
      </c>
      <c r="K12" s="2" t="s">
        <v>98</v>
      </c>
      <c r="L12" s="2" t="s">
        <v>99</v>
      </c>
    </row>
    <row r="13" customFormat="false" ht="15" hidden="false" customHeight="false" outlineLevel="0" collapsed="false">
      <c r="A13" s="0" t="s">
        <v>100</v>
      </c>
      <c r="C13" s="3" t="n">
        <v>1</v>
      </c>
      <c r="D13" s="3" t="n">
        <v>0.5</v>
      </c>
      <c r="E13" s="3" t="n">
        <v>1</v>
      </c>
      <c r="F13" s="3" t="n">
        <v>1.5</v>
      </c>
      <c r="G13" s="3" t="n">
        <v>1.5</v>
      </c>
      <c r="H13" s="3" t="n">
        <v>1.5</v>
      </c>
      <c r="I13" s="3" t="n">
        <v>1.5</v>
      </c>
      <c r="J13" s="3" t="n">
        <v>1.5</v>
      </c>
      <c r="K13" s="3" t="n">
        <v>1.5</v>
      </c>
      <c r="L13" s="3" t="n">
        <v>1.5</v>
      </c>
    </row>
    <row r="14" customFormat="false" ht="15" hidden="false" customHeight="false" outlineLevel="0" collapsed="false">
      <c r="A14" s="0" t="s">
        <v>101</v>
      </c>
      <c r="C14" s="3" t="n">
        <v>6.2</v>
      </c>
      <c r="D14" s="3" t="n">
        <v>6</v>
      </c>
      <c r="E14" s="3" t="n">
        <v>5.9</v>
      </c>
      <c r="F14" s="3" t="n">
        <v>5.8</v>
      </c>
      <c r="G14" s="3" t="n">
        <v>5.8</v>
      </c>
      <c r="H14" s="3" t="n">
        <v>5.7</v>
      </c>
      <c r="I14" s="3" t="n">
        <v>5.7</v>
      </c>
      <c r="J14" s="3" t="n">
        <v>5.7</v>
      </c>
      <c r="K14" s="3" t="n">
        <v>5.7</v>
      </c>
      <c r="L14" s="3" t="n">
        <v>5.7</v>
      </c>
    </row>
    <row r="15" customFormat="false" ht="15" hidden="false" customHeight="false" outlineLevel="0" collapsed="false">
      <c r="A15" s="0" t="s">
        <v>102</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103</v>
      </c>
      <c r="C16" s="3" t="n">
        <v>0.3</v>
      </c>
      <c r="D16" s="3" t="n">
        <v>0.3</v>
      </c>
      <c r="E16" s="3" t="n">
        <v>0.3</v>
      </c>
      <c r="F16" s="3" t="n">
        <v>0.3</v>
      </c>
      <c r="G16" s="3" t="n">
        <v>0.3</v>
      </c>
      <c r="H16" s="3" t="n">
        <v>0.3</v>
      </c>
      <c r="I16" s="3" t="n">
        <v>0.3</v>
      </c>
      <c r="J16" s="3" t="n">
        <v>0.3</v>
      </c>
      <c r="K16" s="3" t="n">
        <v>0.3</v>
      </c>
      <c r="L16" s="3" t="n">
        <v>0.3</v>
      </c>
    </row>
    <row r="17" customFormat="false" ht="15" hidden="false" customHeight="false" outlineLevel="0" collapsed="false">
      <c r="A17" s="0" t="s">
        <v>104</v>
      </c>
      <c r="C17" s="3" t="n">
        <v>1.2</v>
      </c>
      <c r="D17" s="3" t="n">
        <v>1.2</v>
      </c>
      <c r="E17" s="3" t="n">
        <v>1.2</v>
      </c>
      <c r="F17" s="3" t="n">
        <v>1.2</v>
      </c>
      <c r="G17" s="3" t="n">
        <v>1.2</v>
      </c>
      <c r="H17" s="3" t="n">
        <v>1.2</v>
      </c>
      <c r="I17" s="3" t="n">
        <v>1.2</v>
      </c>
      <c r="J17" s="3" t="n">
        <v>1.2</v>
      </c>
      <c r="K17" s="3" t="n">
        <v>1.2</v>
      </c>
      <c r="L17" s="3" t="n">
        <v>1.2</v>
      </c>
    </row>
    <row r="18" customFormat="false" ht="15" hidden="false" customHeight="false" outlineLevel="0" collapsed="false">
      <c r="A18" s="0" t="s">
        <v>105</v>
      </c>
      <c r="C18" s="3" t="n">
        <v>1.2</v>
      </c>
      <c r="D18" s="3" t="n">
        <v>1.2</v>
      </c>
      <c r="E18" s="3" t="n">
        <v>1.2</v>
      </c>
      <c r="F18" s="3" t="n">
        <v>1.2</v>
      </c>
      <c r="G18" s="3" t="n">
        <v>1.2</v>
      </c>
      <c r="H18" s="3" t="n">
        <v>1.2</v>
      </c>
      <c r="I18" s="3" t="n">
        <v>1.2</v>
      </c>
      <c r="J18" s="3" t="n">
        <v>1.2</v>
      </c>
      <c r="K18" s="3" t="n">
        <v>1.2</v>
      </c>
      <c r="L18" s="3" t="n">
        <v>1.2</v>
      </c>
    </row>
    <row r="19" customFormat="false" ht="15" hidden="false" customHeight="false" outlineLevel="0" collapsed="false">
      <c r="A19" s="0" t="s">
        <v>106</v>
      </c>
      <c r="C19" s="3" t="n">
        <v>63</v>
      </c>
      <c r="D19" s="3" t="n">
        <v>63.5</v>
      </c>
      <c r="E19" s="3" t="n">
        <v>64</v>
      </c>
      <c r="F19" s="3" t="n">
        <v>64</v>
      </c>
      <c r="G19" s="3" t="n">
        <v>64</v>
      </c>
      <c r="H19" s="3" t="n">
        <v>64</v>
      </c>
      <c r="I19" s="3" t="n">
        <v>64</v>
      </c>
      <c r="J19" s="3" t="n">
        <v>64</v>
      </c>
      <c r="K19" s="3" t="n">
        <v>64</v>
      </c>
      <c r="L19" s="3" t="n">
        <v>64</v>
      </c>
    </row>
    <row r="20" customFormat="false" ht="15" hidden="false" customHeight="false" outlineLevel="0" collapsed="false">
      <c r="A20" s="0" t="s">
        <v>107</v>
      </c>
      <c r="B20" s="3" t="n">
        <v>6</v>
      </c>
    </row>
    <row r="21" customFormat="false" ht="15" hidden="false" customHeight="false" outlineLevel="0" collapsed="false">
      <c r="A21" s="0" t="s">
        <v>108</v>
      </c>
      <c r="B21" s="3" t="n">
        <v>2</v>
      </c>
    </row>
    <row r="22" customFormat="false" ht="15" hidden="false" customHeight="false" outlineLevel="0" collapsed="false">
      <c r="A22" s="0" t="s">
        <v>109</v>
      </c>
      <c r="B22" s="3" t="n">
        <v>12</v>
      </c>
    </row>
    <row r="23" customFormat="false" ht="15" hidden="false" customHeight="false" outlineLevel="0" collapsed="false">
      <c r="A23" s="0" t="s">
        <v>110</v>
      </c>
      <c r="B23" s="3" t="n">
        <v>-25</v>
      </c>
    </row>
    <row r="24" customFormat="false" ht="15" hidden="false" customHeight="false" outlineLevel="0" collapsed="false">
      <c r="A24" s="0" t="s">
        <v>111</v>
      </c>
      <c r="B24" s="3" t="n">
        <v>0.3</v>
      </c>
    </row>
    <row r="26" customFormat="false" ht="15" hidden="false" customHeight="false" outlineLevel="0" collapsed="false">
      <c r="A26" s="2" t="s">
        <v>112</v>
      </c>
      <c r="C26" s="2" t="s">
        <v>90</v>
      </c>
      <c r="D26" s="2" t="s">
        <v>91</v>
      </c>
      <c r="E26" s="2" t="s">
        <v>92</v>
      </c>
      <c r="F26" s="2" t="s">
        <v>93</v>
      </c>
      <c r="G26" s="2" t="s">
        <v>94</v>
      </c>
      <c r="H26" s="2" t="s">
        <v>95</v>
      </c>
      <c r="I26" s="2" t="s">
        <v>96</v>
      </c>
      <c r="J26" s="2" t="s">
        <v>97</v>
      </c>
      <c r="K26" s="2" t="s">
        <v>98</v>
      </c>
      <c r="L26" s="2" t="s">
        <v>99</v>
      </c>
    </row>
    <row r="27" customFormat="false" ht="15" hidden="false" customHeight="false" outlineLevel="0" collapsed="false">
      <c r="A27" s="0" t="s">
        <v>100</v>
      </c>
      <c r="C27" s="3" t="n">
        <v>2.5</v>
      </c>
      <c r="D27" s="3" t="n">
        <v>3</v>
      </c>
      <c r="E27" s="3" t="n">
        <v>3.5</v>
      </c>
      <c r="F27" s="3" t="n">
        <v>3.5</v>
      </c>
      <c r="G27" s="3" t="n">
        <v>3.5</v>
      </c>
      <c r="H27" s="3" t="n">
        <v>3</v>
      </c>
      <c r="I27" s="3" t="n">
        <v>3</v>
      </c>
      <c r="J27" s="3" t="n">
        <v>2.5</v>
      </c>
      <c r="K27" s="3" t="n">
        <v>2.5</v>
      </c>
      <c r="L27" s="3" t="n">
        <v>2.5</v>
      </c>
    </row>
    <row r="28" customFormat="false" ht="15" hidden="false" customHeight="false" outlineLevel="0" collapsed="false">
      <c r="A28" s="0" t="s">
        <v>101</v>
      </c>
      <c r="C28" s="3" t="n">
        <v>6.4</v>
      </c>
      <c r="D28" s="3" t="n">
        <v>6.45</v>
      </c>
      <c r="E28" s="3" t="n">
        <v>6.5</v>
      </c>
      <c r="F28" s="3" t="n">
        <v>6.55</v>
      </c>
      <c r="G28" s="3" t="n">
        <v>6.6</v>
      </c>
      <c r="H28" s="3" t="n">
        <v>6.65</v>
      </c>
      <c r="I28" s="3" t="n">
        <v>6.7</v>
      </c>
      <c r="J28" s="3" t="n">
        <v>6.7</v>
      </c>
      <c r="K28" s="3" t="n">
        <v>6.7</v>
      </c>
      <c r="L28" s="3" t="n">
        <v>6.7</v>
      </c>
    </row>
    <row r="29" customFormat="false" ht="15" hidden="false" customHeight="false" outlineLevel="0" collapsed="false">
      <c r="A29" s="0" t="s">
        <v>102</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103</v>
      </c>
      <c r="C30" s="3" t="n">
        <v>0.3</v>
      </c>
      <c r="D30" s="3" t="n">
        <v>0.3</v>
      </c>
      <c r="E30" s="3" t="n">
        <v>0.3</v>
      </c>
      <c r="F30" s="3" t="n">
        <v>0.3</v>
      </c>
      <c r="G30" s="3" t="n">
        <v>0.3</v>
      </c>
      <c r="H30" s="3" t="n">
        <v>0.3</v>
      </c>
      <c r="I30" s="3" t="n">
        <v>0.3</v>
      </c>
      <c r="J30" s="3" t="n">
        <v>0.3</v>
      </c>
      <c r="K30" s="3" t="n">
        <v>0.3</v>
      </c>
      <c r="L30" s="3" t="n">
        <v>0.3</v>
      </c>
    </row>
    <row r="31" customFormat="false" ht="15" hidden="false" customHeight="false" outlineLevel="0" collapsed="false">
      <c r="A31" s="0" t="s">
        <v>104</v>
      </c>
      <c r="C31" s="3" t="n">
        <v>1.2</v>
      </c>
      <c r="D31" s="3" t="n">
        <v>1.2</v>
      </c>
      <c r="E31" s="3" t="n">
        <v>1.2</v>
      </c>
      <c r="F31" s="3" t="n">
        <v>1.2</v>
      </c>
      <c r="G31" s="3" t="n">
        <v>1.2</v>
      </c>
      <c r="H31" s="3" t="n">
        <v>1.2</v>
      </c>
      <c r="I31" s="3" t="n">
        <v>1.2</v>
      </c>
      <c r="J31" s="3" t="n">
        <v>1.2</v>
      </c>
      <c r="K31" s="3" t="n">
        <v>1.2</v>
      </c>
      <c r="L31" s="3" t="n">
        <v>1.2</v>
      </c>
    </row>
    <row r="32" customFormat="false" ht="15" hidden="false" customHeight="false" outlineLevel="0" collapsed="false">
      <c r="A32" s="0" t="s">
        <v>105</v>
      </c>
      <c r="C32" s="3" t="n">
        <v>1.2</v>
      </c>
      <c r="D32" s="3" t="n">
        <v>1.2</v>
      </c>
      <c r="E32" s="3" t="n">
        <v>1.2</v>
      </c>
      <c r="F32" s="3" t="n">
        <v>1.2</v>
      </c>
      <c r="G32" s="3" t="n">
        <v>1.2</v>
      </c>
      <c r="H32" s="3" t="n">
        <v>1.2</v>
      </c>
      <c r="I32" s="3" t="n">
        <v>1.2</v>
      </c>
      <c r="J32" s="3" t="n">
        <v>1.2</v>
      </c>
      <c r="K32" s="3" t="n">
        <v>1.2</v>
      </c>
      <c r="L32" s="3" t="n">
        <v>1.2</v>
      </c>
    </row>
    <row r="33" customFormat="false" ht="15" hidden="false" customHeight="false" outlineLevel="0" collapsed="false">
      <c r="A33" s="0" t="s">
        <v>106</v>
      </c>
      <c r="C33" s="3" t="n">
        <v>62</v>
      </c>
      <c r="D33" s="3" t="n">
        <v>62</v>
      </c>
      <c r="E33" s="3" t="n">
        <v>62</v>
      </c>
      <c r="F33" s="3" t="n">
        <v>62</v>
      </c>
      <c r="G33" s="3" t="n">
        <v>62</v>
      </c>
      <c r="H33" s="3" t="n">
        <v>62</v>
      </c>
      <c r="I33" s="3" t="n">
        <v>62</v>
      </c>
      <c r="J33" s="3" t="n">
        <v>62</v>
      </c>
      <c r="K33" s="3" t="n">
        <v>62</v>
      </c>
      <c r="L33" s="3" t="n">
        <v>62</v>
      </c>
    </row>
    <row r="34" customFormat="false" ht="15" hidden="false" customHeight="false" outlineLevel="0" collapsed="false">
      <c r="A34" s="0" t="s">
        <v>107</v>
      </c>
      <c r="B34" s="3" t="n">
        <v>6</v>
      </c>
    </row>
    <row r="35" customFormat="false" ht="15" hidden="false" customHeight="false" outlineLevel="0" collapsed="false">
      <c r="A35" s="0" t="s">
        <v>108</v>
      </c>
      <c r="B35" s="3" t="n">
        <v>2.5</v>
      </c>
    </row>
    <row r="36" customFormat="false" ht="15" hidden="false" customHeight="false" outlineLevel="0" collapsed="false">
      <c r="A36" s="0" t="s">
        <v>109</v>
      </c>
      <c r="B36" s="3" t="n">
        <v>15</v>
      </c>
    </row>
    <row r="37" customFormat="false" ht="15" hidden="false" customHeight="false" outlineLevel="0" collapsed="false">
      <c r="A37" s="0" t="s">
        <v>110</v>
      </c>
      <c r="B37" s="3" t="n">
        <v>-15</v>
      </c>
    </row>
    <row r="38" customFormat="false" ht="15" hidden="false" customHeight="false" outlineLevel="0" collapsed="false">
      <c r="A38" s="0" t="s">
        <v>111</v>
      </c>
      <c r="B38" s="3" t="n">
        <v>0.5</v>
      </c>
    </row>
    <row r="40" customFormat="false" ht="15" hidden="false" customHeight="false" outlineLevel="0" collapsed="false">
      <c r="A40" s="2" t="s">
        <v>113</v>
      </c>
      <c r="C40" s="2" t="s">
        <v>90</v>
      </c>
      <c r="D40" s="2" t="s">
        <v>91</v>
      </c>
      <c r="E40" s="2" t="s">
        <v>92</v>
      </c>
      <c r="F40" s="2" t="s">
        <v>93</v>
      </c>
      <c r="G40" s="2" t="s">
        <v>94</v>
      </c>
      <c r="H40" s="2" t="s">
        <v>95</v>
      </c>
      <c r="I40" s="2" t="s">
        <v>96</v>
      </c>
      <c r="J40" s="2" t="s">
        <v>97</v>
      </c>
      <c r="K40" s="2" t="s">
        <v>98</v>
      </c>
      <c r="L40" s="2" t="s">
        <v>99</v>
      </c>
    </row>
    <row r="41" customFormat="false" ht="15" hidden="false" customHeight="false" outlineLevel="0" collapsed="false">
      <c r="A41" s="0" t="s">
        <v>100</v>
      </c>
      <c r="C41" s="3" t="n">
        <v>3.5</v>
      </c>
      <c r="D41" s="3" t="n">
        <v>5</v>
      </c>
      <c r="E41" s="3" t="n">
        <v>6</v>
      </c>
      <c r="F41" s="3" t="n">
        <v>6</v>
      </c>
      <c r="G41" s="3" t="n">
        <v>5.5</v>
      </c>
      <c r="H41" s="3" t="n">
        <v>5</v>
      </c>
      <c r="I41" s="3" t="n">
        <v>4.5</v>
      </c>
      <c r="J41" s="3" t="n">
        <v>4</v>
      </c>
      <c r="K41" s="3" t="n">
        <v>3.5</v>
      </c>
      <c r="L41" s="3" t="n">
        <v>3</v>
      </c>
    </row>
    <row r="42" customFormat="false" ht="15" hidden="false" customHeight="false" outlineLevel="0" collapsed="false">
      <c r="A42" s="0" t="s">
        <v>101</v>
      </c>
      <c r="C42" s="3" t="n">
        <v>6.5</v>
      </c>
      <c r="D42" s="3" t="n">
        <v>6.7</v>
      </c>
      <c r="E42" s="3" t="n">
        <v>6.9</v>
      </c>
      <c r="F42" s="3" t="n">
        <v>7.1</v>
      </c>
      <c r="G42" s="3" t="n">
        <v>7.3</v>
      </c>
      <c r="H42" s="3" t="n">
        <v>7.4</v>
      </c>
      <c r="I42" s="3" t="n">
        <v>7.5</v>
      </c>
      <c r="J42" s="3" t="n">
        <v>7.5</v>
      </c>
      <c r="K42" s="3" t="n">
        <v>7.5</v>
      </c>
      <c r="L42" s="3" t="n">
        <v>7.5</v>
      </c>
    </row>
    <row r="43" customFormat="false" ht="15" hidden="false" customHeight="false" outlineLevel="0" collapsed="false">
      <c r="A43" s="0" t="s">
        <v>102</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103</v>
      </c>
      <c r="C44" s="3" t="n">
        <v>0.3</v>
      </c>
      <c r="D44" s="3" t="n">
        <v>0.3</v>
      </c>
      <c r="E44" s="3" t="n">
        <v>0.3</v>
      </c>
      <c r="F44" s="3" t="n">
        <v>0.3</v>
      </c>
      <c r="G44" s="3" t="n">
        <v>0.3</v>
      </c>
      <c r="H44" s="3" t="n">
        <v>0.3</v>
      </c>
      <c r="I44" s="3" t="n">
        <v>0.3</v>
      </c>
      <c r="J44" s="3" t="n">
        <v>0.3</v>
      </c>
      <c r="K44" s="3" t="n">
        <v>0.3</v>
      </c>
      <c r="L44" s="3" t="n">
        <v>0.3</v>
      </c>
    </row>
    <row r="45" customFormat="false" ht="15" hidden="false" customHeight="false" outlineLevel="0" collapsed="false">
      <c r="A45" s="0" t="s">
        <v>104</v>
      </c>
      <c r="C45" s="3" t="n">
        <v>1.2</v>
      </c>
      <c r="D45" s="3" t="n">
        <v>1.2</v>
      </c>
      <c r="E45" s="3" t="n">
        <v>1.2</v>
      </c>
      <c r="F45" s="3" t="n">
        <v>1.2</v>
      </c>
      <c r="G45" s="3" t="n">
        <v>1.2</v>
      </c>
      <c r="H45" s="3" t="n">
        <v>1.2</v>
      </c>
      <c r="I45" s="3" t="n">
        <v>1.2</v>
      </c>
      <c r="J45" s="3" t="n">
        <v>1.2</v>
      </c>
      <c r="K45" s="3" t="n">
        <v>1.2</v>
      </c>
      <c r="L45" s="3" t="n">
        <v>1.2</v>
      </c>
    </row>
    <row r="46" customFormat="false" ht="15" hidden="false" customHeight="false" outlineLevel="0" collapsed="false">
      <c r="A46" s="0" t="s">
        <v>105</v>
      </c>
      <c r="C46" s="3" t="n">
        <v>1.2</v>
      </c>
      <c r="D46" s="3" t="n">
        <v>1.2</v>
      </c>
      <c r="E46" s="3" t="n">
        <v>1.2</v>
      </c>
      <c r="F46" s="3" t="n">
        <v>1.2</v>
      </c>
      <c r="G46" s="3" t="n">
        <v>1.2</v>
      </c>
      <c r="H46" s="3" t="n">
        <v>1.2</v>
      </c>
      <c r="I46" s="3" t="n">
        <v>1.2</v>
      </c>
      <c r="J46" s="3" t="n">
        <v>1.2</v>
      </c>
      <c r="K46" s="3" t="n">
        <v>1.2</v>
      </c>
      <c r="L46" s="3" t="n">
        <v>1.2</v>
      </c>
    </row>
    <row r="47" customFormat="false" ht="15" hidden="false" customHeight="false" outlineLevel="0" collapsed="false">
      <c r="A47" s="0" t="s">
        <v>106</v>
      </c>
      <c r="C47" s="3" t="n">
        <v>61</v>
      </c>
      <c r="D47" s="3" t="n">
        <v>60.5</v>
      </c>
      <c r="E47" s="3" t="n">
        <v>60</v>
      </c>
      <c r="F47" s="3" t="n">
        <v>59.5</v>
      </c>
      <c r="G47" s="3" t="n">
        <v>59</v>
      </c>
      <c r="H47" s="3" t="n">
        <v>59</v>
      </c>
      <c r="I47" s="3" t="n">
        <v>59</v>
      </c>
      <c r="J47" s="3" t="n">
        <v>59</v>
      </c>
      <c r="K47" s="3" t="n">
        <v>59</v>
      </c>
      <c r="L47" s="3" t="n">
        <v>59</v>
      </c>
    </row>
    <row r="48" customFormat="false" ht="15" hidden="false" customHeight="false" outlineLevel="0" collapsed="false">
      <c r="A48" s="0" t="s">
        <v>107</v>
      </c>
      <c r="B48" s="3" t="n">
        <v>6</v>
      </c>
    </row>
    <row r="49" customFormat="false" ht="15" hidden="false" customHeight="false" outlineLevel="0" collapsed="false">
      <c r="A49" s="0" t="s">
        <v>108</v>
      </c>
      <c r="B49" s="3" t="n">
        <v>3</v>
      </c>
    </row>
    <row r="50" customFormat="false" ht="15" hidden="false" customHeight="false" outlineLevel="0" collapsed="false">
      <c r="A50" s="0" t="s">
        <v>109</v>
      </c>
      <c r="B50" s="3" t="n">
        <v>17</v>
      </c>
    </row>
    <row r="51" customFormat="false" ht="15" hidden="false" customHeight="false" outlineLevel="0" collapsed="false">
      <c r="A51" s="0" t="s">
        <v>110</v>
      </c>
      <c r="B51" s="3" t="n">
        <v>-10</v>
      </c>
    </row>
    <row r="52" customFormat="false" ht="15" hidden="false" customHeight="false" outlineLevel="0" collapsed="false">
      <c r="A52" s="0" t="s">
        <v>111</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114</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Assumptions!C13</f>
        <v>1</v>
      </c>
      <c r="D5" s="4" t="n">
        <f aca="false">Assumptions!D13</f>
        <v>0.5</v>
      </c>
      <c r="E5" s="4" t="n">
        <f aca="false">Assumptions!E13</f>
        <v>1</v>
      </c>
      <c r="F5" s="4" t="n">
        <f aca="false">Assumptions!F13</f>
        <v>1.5</v>
      </c>
      <c r="G5" s="4" t="n">
        <f aca="false">Assumptions!G13</f>
        <v>1.5</v>
      </c>
      <c r="H5" s="4" t="n">
        <f aca="false">Assumptions!H13</f>
        <v>1.5</v>
      </c>
      <c r="I5" s="4" t="n">
        <f aca="false">Assumptions!I13</f>
        <v>1.5</v>
      </c>
      <c r="J5" s="4" t="n">
        <f aca="false">Assumptions!J13</f>
        <v>1.5</v>
      </c>
      <c r="K5" s="4" t="n">
        <f aca="false">Assumptions!K13</f>
        <v>1.5</v>
      </c>
      <c r="L5" s="4" t="n">
        <f aca="false">Assumptions!L13</f>
        <v>1.5</v>
      </c>
    </row>
    <row r="6" customFormat="false" ht="15" hidden="false" customHeight="false" outlineLevel="0" collapsed="false">
      <c r="A6" s="0" t="s">
        <v>38</v>
      </c>
      <c r="B6" s="3" t="n">
        <v>269574.326</v>
      </c>
      <c r="C6" s="0" t="n">
        <f aca="false">B6*(1+C5/100)</f>
        <v>272270.06926</v>
      </c>
      <c r="D6" s="0" t="n">
        <f aca="false">C6*(1+D5/100)</f>
        <v>273631.4196063</v>
      </c>
      <c r="E6" s="0" t="n">
        <f aca="false">D6*(1+E5/100)</f>
        <v>276367.733802363</v>
      </c>
      <c r="F6" s="0" t="n">
        <f aca="false">E6*(1+F5/100)</f>
        <v>280513.249809399</v>
      </c>
      <c r="G6" s="0" t="n">
        <f aca="false">F6*(1+G5/100)</f>
        <v>284720.948556539</v>
      </c>
      <c r="H6" s="0" t="n">
        <f aca="false">G6*(1+H5/100)</f>
        <v>288991.762784888</v>
      </c>
      <c r="I6" s="0" t="n">
        <f aca="false">H6*(1+I5/100)</f>
        <v>293326.639226661</v>
      </c>
      <c r="J6" s="0" t="n">
        <f aca="false">I6*(1+J5/100)</f>
        <v>297726.538815061</v>
      </c>
      <c r="K6" s="0" t="n">
        <f aca="false">J6*(1+K5/100)</f>
        <v>302192.436897287</v>
      </c>
      <c r="L6" s="0" t="n">
        <f aca="false">K6*(1+L5/100)</f>
        <v>306725.323450746</v>
      </c>
    </row>
    <row r="7" customFormat="false" ht="15" hidden="false" customHeight="false" outlineLevel="0" collapsed="false">
      <c r="A7" s="0" t="s">
        <v>101</v>
      </c>
      <c r="C7" s="4" t="n">
        <f aca="false">Assumptions!C14</f>
        <v>6.2</v>
      </c>
      <c r="D7" s="4" t="n">
        <f aca="false">Assumptions!D14</f>
        <v>6</v>
      </c>
      <c r="E7" s="4" t="n">
        <f aca="false">Assumptions!E14</f>
        <v>5.9</v>
      </c>
      <c r="F7" s="4" t="n">
        <f aca="false">Assumptions!F14</f>
        <v>5.8</v>
      </c>
      <c r="G7" s="4" t="n">
        <f aca="false">Assumptions!G14</f>
        <v>5.8</v>
      </c>
      <c r="H7" s="4" t="n">
        <f aca="false">Assumptions!H14</f>
        <v>5.7</v>
      </c>
      <c r="I7" s="4" t="n">
        <f aca="false">Assumptions!I14</f>
        <v>5.7</v>
      </c>
      <c r="J7" s="4" t="n">
        <f aca="false">Assumptions!J14</f>
        <v>5.7</v>
      </c>
      <c r="K7" s="4" t="n">
        <f aca="false">Assumptions!K14</f>
        <v>5.7</v>
      </c>
      <c r="L7" s="4" t="n">
        <f aca="false">Assumptions!L14</f>
        <v>5.7</v>
      </c>
    </row>
    <row r="8" customFormat="false" ht="15" hidden="false" customHeight="false" outlineLevel="0" collapsed="false">
      <c r="A8" s="0" t="s">
        <v>44</v>
      </c>
      <c r="C8" s="0" t="n">
        <f aca="false">C6*C7/100</f>
        <v>16880.74429412</v>
      </c>
      <c r="D8" s="0" t="n">
        <f aca="false">D6*D7/100</f>
        <v>16417.885176378</v>
      </c>
      <c r="E8" s="0" t="n">
        <f aca="false">E6*E7/100</f>
        <v>16305.6962943394</v>
      </c>
      <c r="F8" s="0" t="n">
        <f aca="false">F6*F7/100</f>
        <v>16269.7684889451</v>
      </c>
      <c r="G8" s="0" t="n">
        <f aca="false">G6*G7/100</f>
        <v>16513.8150162793</v>
      </c>
      <c r="H8" s="0" t="n">
        <f aca="false">H6*H7/100</f>
        <v>16472.5304787386</v>
      </c>
      <c r="I8" s="0" t="n">
        <f aca="false">I6*I7/100</f>
        <v>16719.6184359197</v>
      </c>
      <c r="J8" s="0" t="n">
        <f aca="false">J6*J7/100</f>
        <v>16970.4127124585</v>
      </c>
      <c r="K8" s="0" t="n">
        <f aca="false">K6*K7/100</f>
        <v>17224.9689031453</v>
      </c>
      <c r="L8" s="0" t="n">
        <f aca="false">L6*L7/100</f>
        <v>17483.3434366925</v>
      </c>
    </row>
    <row r="9" customFormat="false" ht="15" hidden="false" customHeight="false" outlineLevel="0" collapsed="false">
      <c r="A9" s="0" t="s">
        <v>102</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117</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118</v>
      </c>
      <c r="C11" s="0" t="n">
        <f aca="false">C8+C10+C24</f>
        <v>16063.93408634</v>
      </c>
      <c r="D11" s="0" t="n">
        <f aca="false">D8+D10+D24</f>
        <v>15596.9909175591</v>
      </c>
      <c r="E11" s="0" t="n">
        <f aca="false">E8+E10+E24</f>
        <v>15476.5930929323</v>
      </c>
      <c r="F11" s="0" t="n">
        <f aca="false">F8+F10+F24</f>
        <v>15428.2287395169</v>
      </c>
      <c r="G11" s="0" t="n">
        <f aca="false">G8+G10+G24</f>
        <v>15659.6521706097</v>
      </c>
      <c r="H11" s="0" t="n">
        <f aca="false">H8+H10+H24</f>
        <v>15605.5551903839</v>
      </c>
      <c r="I11" s="0" t="n">
        <f aca="false">I8+I10+I24</f>
        <v>15839.6385182397</v>
      </c>
      <c r="J11" s="0" t="n">
        <f aca="false">J8+J10+J24</f>
        <v>16077.2330960133</v>
      </c>
      <c r="K11" s="0" t="n">
        <f aca="false">K8+K10+K24</f>
        <v>16318.3915924535</v>
      </c>
      <c r="L11" s="0" t="n">
        <f aca="false">L8+L10+L24</f>
        <v>16563.1674663403</v>
      </c>
    </row>
    <row r="12" customFormat="false" ht="15" hidden="false" customHeight="false" outlineLevel="0" collapsed="false">
      <c r="A12" s="0" t="s">
        <v>119</v>
      </c>
      <c r="C12" s="4" t="n">
        <f aca="false">-C6*Assumptions!C17/100</f>
        <v>-3267.24083112</v>
      </c>
      <c r="D12" s="4" t="n">
        <f aca="false">-D6*Assumptions!D17/100</f>
        <v>-3283.5770352756</v>
      </c>
      <c r="E12" s="4" t="n">
        <f aca="false">-E6*Assumptions!E17/100</f>
        <v>-3316.41280562836</v>
      </c>
      <c r="F12" s="4" t="n">
        <f aca="false">-F6*Assumptions!F17/100</f>
        <v>-3366.15899771278</v>
      </c>
      <c r="G12" s="4" t="n">
        <f aca="false">-G6*Assumptions!G17/100</f>
        <v>-3416.65138267847</v>
      </c>
      <c r="H12" s="4" t="n">
        <f aca="false">-H6*Assumptions!H17/100</f>
        <v>-3467.90115341865</v>
      </c>
      <c r="I12" s="4" t="n">
        <f aca="false">-I6*Assumptions!I17/100</f>
        <v>-3519.91967071993</v>
      </c>
      <c r="J12" s="4" t="n">
        <f aca="false">-J6*Assumptions!J17/100</f>
        <v>-3572.71846578073</v>
      </c>
      <c r="K12" s="4" t="n">
        <f aca="false">-K6*Assumptions!K17/100</f>
        <v>-3626.30924276744</v>
      </c>
      <c r="L12" s="4" t="n">
        <f aca="false">-L6*Assumptions!L17/100</f>
        <v>-3680.70388140895</v>
      </c>
    </row>
    <row r="13" customFormat="false" ht="15" hidden="false" customHeight="false" outlineLevel="0" collapsed="false">
      <c r="A13" s="0" t="s">
        <v>120</v>
      </c>
      <c r="C13" s="0" t="n">
        <f aca="false">C11+C12</f>
        <v>12796.69325522</v>
      </c>
      <c r="D13" s="0" t="n">
        <f aca="false">D11+D12</f>
        <v>12313.4138822835</v>
      </c>
      <c r="E13" s="0" t="n">
        <f aca="false">E11+E12</f>
        <v>12160.180287304</v>
      </c>
      <c r="F13" s="0" t="n">
        <f aca="false">F11+F12</f>
        <v>12062.0697418041</v>
      </c>
      <c r="G13" s="0" t="n">
        <f aca="false">G11+G12</f>
        <v>12243.0007879312</v>
      </c>
      <c r="H13" s="0" t="n">
        <f aca="false">H11+H12</f>
        <v>12137.6540369653</v>
      </c>
      <c r="I13" s="0" t="n">
        <f aca="false">I11+I12</f>
        <v>12319.7188475198</v>
      </c>
      <c r="J13" s="0" t="n">
        <f aca="false">J11+J12</f>
        <v>12504.5146302325</v>
      </c>
      <c r="K13" s="0" t="n">
        <f aca="false">K11+K12</f>
        <v>12692.082349686</v>
      </c>
      <c r="L13" s="0" t="n">
        <f aca="false">L11+L12</f>
        <v>12882.4635849313</v>
      </c>
    </row>
    <row r="14" customFormat="false" ht="15" hidden="false" customHeight="false" outlineLevel="0" collapsed="false">
      <c r="A14" s="0" t="s">
        <v>106</v>
      </c>
      <c r="C14" s="4" t="n">
        <f aca="false">Assumptions!C19</f>
        <v>63</v>
      </c>
      <c r="D14" s="4" t="n">
        <f aca="false">Assumptions!D19</f>
        <v>63.5</v>
      </c>
      <c r="E14" s="4" t="n">
        <f aca="false">Assumptions!E19</f>
        <v>64</v>
      </c>
      <c r="F14" s="4" t="n">
        <f aca="false">Assumptions!F19</f>
        <v>64</v>
      </c>
      <c r="G14" s="4" t="n">
        <f aca="false">Assumptions!G19</f>
        <v>64</v>
      </c>
      <c r="H14" s="4" t="n">
        <f aca="false">Assumptions!H19</f>
        <v>64</v>
      </c>
      <c r="I14" s="4" t="n">
        <f aca="false">Assumptions!I19</f>
        <v>64</v>
      </c>
      <c r="J14" s="4" t="n">
        <f aca="false">Assumptions!J19</f>
        <v>64</v>
      </c>
      <c r="K14" s="4" t="n">
        <f aca="false">Assumptions!K19</f>
        <v>64</v>
      </c>
      <c r="L14" s="4" t="n">
        <f aca="false">Assumptions!L19</f>
        <v>64</v>
      </c>
    </row>
    <row r="15" customFormat="false" ht="15" hidden="false" customHeight="false" outlineLevel="0" collapsed="false">
      <c r="A15" s="0" t="s">
        <v>121</v>
      </c>
      <c r="C15" s="0" t="n">
        <f aca="false">C13-MAX(0,C13)*C14/100</f>
        <v>4734.7765044314</v>
      </c>
      <c r="D15" s="0" t="n">
        <f aca="false">D13-MAX(0,D13)*D14/100</f>
        <v>4494.39606703348</v>
      </c>
      <c r="E15" s="0" t="n">
        <f aca="false">E13-MAX(0,E13)*E14/100</f>
        <v>4377.66490342943</v>
      </c>
      <c r="F15" s="0" t="n">
        <f aca="false">F13-MAX(0,F13)*F14/100</f>
        <v>4342.34510704949</v>
      </c>
      <c r="G15" s="0" t="n">
        <f aca="false">G13-MAX(0,G13)*G14/100</f>
        <v>4407.48028365523</v>
      </c>
      <c r="H15" s="0" t="n">
        <f aca="false">H13-MAX(0,H13)*H14/100</f>
        <v>4369.5554533075</v>
      </c>
      <c r="I15" s="0" t="n">
        <f aca="false">I13-MAX(0,I13)*I14/100</f>
        <v>4435.09878510711</v>
      </c>
      <c r="J15" s="0" t="n">
        <f aca="false">J13-MAX(0,J13)*J14/100</f>
        <v>4501.62526688372</v>
      </c>
      <c r="K15" s="0" t="n">
        <f aca="false">K13-MAX(0,K13)*K14/100</f>
        <v>4569.14964588697</v>
      </c>
      <c r="L15" s="0" t="n">
        <f aca="false">L13-MAX(0,L13)*L14/100</f>
        <v>4637.68689057528</v>
      </c>
    </row>
    <row r="16" customFormat="false" ht="15" hidden="false" customHeight="false" outlineLevel="0" collapsed="false">
      <c r="A16" s="0" t="s">
        <v>122</v>
      </c>
      <c r="C16" s="0" t="n">
        <f aca="false">-C12</f>
        <v>3267.24083112</v>
      </c>
      <c r="D16" s="0" t="n">
        <f aca="false">-D12</f>
        <v>3283.5770352756</v>
      </c>
      <c r="E16" s="0" t="n">
        <f aca="false">-E12</f>
        <v>3316.41280562836</v>
      </c>
      <c r="F16" s="0" t="n">
        <f aca="false">-F12</f>
        <v>3366.15899771278</v>
      </c>
      <c r="G16" s="0" t="n">
        <f aca="false">-G12</f>
        <v>3416.65138267847</v>
      </c>
      <c r="H16" s="0" t="n">
        <f aca="false">-H12</f>
        <v>3467.90115341865</v>
      </c>
      <c r="I16" s="0" t="n">
        <f aca="false">-I12</f>
        <v>3519.91967071993</v>
      </c>
      <c r="J16" s="0" t="n">
        <f aca="false">-J12</f>
        <v>3572.71846578073</v>
      </c>
      <c r="K16" s="0" t="n">
        <f aca="false">-K12</f>
        <v>3626.30924276744</v>
      </c>
      <c r="L16" s="0" t="n">
        <f aca="false">-L12</f>
        <v>3680.70388140895</v>
      </c>
    </row>
    <row r="17" customFormat="false" ht="15" hidden="false" customHeight="false" outlineLevel="0" collapsed="false">
      <c r="A17" s="0" t="s">
        <v>123</v>
      </c>
      <c r="C17" s="4" t="n">
        <f aca="false">-C6*Assumptions!C18/100</f>
        <v>-3267.24083112</v>
      </c>
      <c r="D17" s="4" t="n">
        <f aca="false">-D6*Assumptions!D18/100</f>
        <v>-3283.5770352756</v>
      </c>
      <c r="E17" s="4" t="n">
        <f aca="false">-E6*Assumptions!E18/100</f>
        <v>-3316.41280562836</v>
      </c>
      <c r="F17" s="4" t="n">
        <f aca="false">-F6*Assumptions!F18/100</f>
        <v>-3366.15899771278</v>
      </c>
      <c r="G17" s="4" t="n">
        <f aca="false">-G6*Assumptions!G18/100</f>
        <v>-3416.65138267847</v>
      </c>
      <c r="H17" s="4" t="n">
        <f aca="false">-H6*Assumptions!H18/100</f>
        <v>-3467.90115341865</v>
      </c>
      <c r="I17" s="4" t="n">
        <f aca="false">-I6*Assumptions!I18/100</f>
        <v>-3519.91967071993</v>
      </c>
      <c r="J17" s="4" t="n">
        <f aca="false">-J6*Assumptions!J18/100</f>
        <v>-3572.71846578073</v>
      </c>
      <c r="K17" s="4" t="n">
        <f aca="false">-K6*Assumptions!K18/100</f>
        <v>-3626.30924276744</v>
      </c>
      <c r="L17" s="4" t="n">
        <f aca="false">-L6*Assumptions!L18/100</f>
        <v>-3680.70388140895</v>
      </c>
    </row>
    <row r="18" customFormat="false" ht="15" hidden="false" customHeight="false" outlineLevel="0" collapsed="false">
      <c r="A18" s="0" t="s">
        <v>124</v>
      </c>
      <c r="C18" s="4" t="n">
        <f aca="false">(C6-B6)*Assumptions!$B$23/100</f>
        <v>-673.935815000004</v>
      </c>
      <c r="D18" s="4" t="n">
        <f aca="false">(D6-C6)*Assumptions!$B$23/100</f>
        <v>-340.337586574999</v>
      </c>
      <c r="E18" s="4" t="n">
        <f aca="false">(E6-D6)*Assumptions!$B$23/100</f>
        <v>-684.078549015758</v>
      </c>
      <c r="F18" s="4" t="n">
        <f aca="false">(F6-E6)*Assumptions!$B$23/100</f>
        <v>-1036.37900175886</v>
      </c>
      <c r="G18" s="4" t="n">
        <f aca="false">(G6-F6)*Assumptions!$B$23/100</f>
        <v>-1051.92468678523</v>
      </c>
      <c r="H18" s="4" t="n">
        <f aca="false">(H6-G6)*Assumptions!$B$23/100</f>
        <v>-1067.70355708702</v>
      </c>
      <c r="I18" s="4" t="n">
        <f aca="false">(I6-H6)*Assumptions!$B$23/100</f>
        <v>-1083.71911044332</v>
      </c>
      <c r="J18" s="4" t="n">
        <f aca="false">(J6-I6)*Assumptions!$B$23/100</f>
        <v>-1099.97489709996</v>
      </c>
      <c r="K18" s="4" t="n">
        <f aca="false">(K6-J6)*Assumptions!$B$23/100</f>
        <v>-1116.47452055647</v>
      </c>
      <c r="L18" s="4" t="n">
        <f aca="false">(L6-K6)*Assumptions!$B$23/100</f>
        <v>-1133.22163836482</v>
      </c>
    </row>
    <row r="19" customFormat="false" ht="15" hidden="false" customHeight="false" outlineLevel="0" collapsed="false">
      <c r="A19" s="0" t="s">
        <v>125</v>
      </c>
      <c r="C19" s="0" t="n">
        <f aca="false">C15+C16+C17+C18</f>
        <v>4060.8406894314</v>
      </c>
      <c r="D19" s="0" t="n">
        <f aca="false">D15+D16+D17+D18</f>
        <v>4154.05848045848</v>
      </c>
      <c r="E19" s="0" t="n">
        <f aca="false">E15+E16+E17+E18</f>
        <v>3693.58635441367</v>
      </c>
      <c r="F19" s="0" t="n">
        <f aca="false">F15+F16+F17+F18</f>
        <v>3305.96610529063</v>
      </c>
      <c r="G19" s="0" t="n">
        <f aca="false">G15+G16+G17+G18</f>
        <v>3355.55559686999</v>
      </c>
      <c r="H19" s="0" t="n">
        <f aca="false">H15+H16+H17+H18</f>
        <v>3301.85189622048</v>
      </c>
      <c r="I19" s="0" t="n">
        <f aca="false">I15+I16+I17+I18</f>
        <v>3351.37967466379</v>
      </c>
      <c r="J19" s="0" t="n">
        <f aca="false">J15+J16+J17+J18</f>
        <v>3401.65036978375</v>
      </c>
      <c r="K19" s="0" t="n">
        <f aca="false">K15+K16+K17+K18</f>
        <v>3452.6751253305</v>
      </c>
      <c r="L19" s="0" t="n">
        <f aca="false">L15+L16+L17+L18</f>
        <v>3504.46525221046</v>
      </c>
    </row>
    <row r="20" customFormat="false" ht="15" hidden="false" customHeight="false" outlineLevel="0" collapsed="false">
      <c r="A20" s="0" t="s">
        <v>126</v>
      </c>
      <c r="C20" s="0" t="n">
        <f aca="false">1/(1+$B$27/100)^C4</f>
        <v>0.943396226415094</v>
      </c>
      <c r="D20" s="0" t="n">
        <f aca="false">1/(1+$B$27/100)^D4</f>
        <v>0.88999644001424</v>
      </c>
      <c r="E20" s="0" t="n">
        <f aca="false">1/(1+$B$27/100)^E4</f>
        <v>0.839619283032302</v>
      </c>
      <c r="F20" s="0" t="n">
        <f aca="false">1/(1+$B$27/100)^F4</f>
        <v>0.79209366323802</v>
      </c>
      <c r="G20" s="0" t="n">
        <f aca="false">1/(1+$B$27/100)^G4</f>
        <v>0.747258172866057</v>
      </c>
      <c r="H20" s="0" t="n">
        <f aca="false">1/(1+$B$27/100)^H4</f>
        <v>0.704960540439676</v>
      </c>
      <c r="I20" s="0" t="n">
        <f aca="false">1/(1+$B$27/100)^I4</f>
        <v>0.665057113622336</v>
      </c>
      <c r="J20" s="0" t="n">
        <f aca="false">1/(1+$B$27/100)^J4</f>
        <v>0.627412371341827</v>
      </c>
      <c r="K20" s="0" t="n">
        <f aca="false">1/(1+$B$27/100)^K4</f>
        <v>0.591898463530025</v>
      </c>
      <c r="L20" s="0" t="n">
        <f aca="false">1/(1+$B$27/100)^L4</f>
        <v>0.558394776915118</v>
      </c>
    </row>
    <row r="21" customFormat="false" ht="15" hidden="false" customHeight="false" outlineLevel="0" collapsed="false">
      <c r="A21" s="0" t="s">
        <v>127</v>
      </c>
      <c r="C21" s="0" t="n">
        <f aca="false">C19*C20</f>
        <v>3830.98178248245</v>
      </c>
      <c r="D21" s="0" t="n">
        <f aca="false">D19*D20</f>
        <v>3697.09725921901</v>
      </c>
      <c r="E21" s="0" t="n">
        <f aca="false">E19*E20</f>
        <v>3101.2063267107</v>
      </c>
      <c r="F21" s="0" t="n">
        <f aca="false">F19*F20</f>
        <v>2618.63480288038</v>
      </c>
      <c r="G21" s="0" t="n">
        <f aca="false">G19*G20</f>
        <v>2507.46634426754</v>
      </c>
      <c r="H21" s="0" t="n">
        <f aca="false">H19*H20</f>
        <v>2327.67529721136</v>
      </c>
      <c r="I21" s="0" t="n">
        <f aca="false">I19*I20</f>
        <v>2228.85889308447</v>
      </c>
      <c r="J21" s="0" t="n">
        <f aca="false">J19*J20</f>
        <v>2134.23752498182</v>
      </c>
      <c r="K21" s="0" t="n">
        <f aca="false">K19*K20</f>
        <v>2043.63310175146</v>
      </c>
      <c r="L21" s="0" t="n">
        <f aca="false">L19*L20</f>
        <v>1956.87509271484</v>
      </c>
    </row>
    <row r="23" customFormat="false" ht="15" hidden="false" customHeight="false" outlineLevel="0" collapsed="false">
      <c r="A23" s="0" t="s">
        <v>103</v>
      </c>
      <c r="C23" s="4" t="n">
        <f aca="false">Assumptions!C16</f>
        <v>0.3</v>
      </c>
      <c r="D23" s="4" t="n">
        <f aca="false">Assumptions!D16</f>
        <v>0.3</v>
      </c>
      <c r="E23" s="4" t="n">
        <f aca="false">Assumptions!E16</f>
        <v>0.3</v>
      </c>
      <c r="F23" s="4" t="n">
        <f aca="false">Assumptions!F16</f>
        <v>0.3</v>
      </c>
      <c r="G23" s="4" t="n">
        <f aca="false">Assumptions!G16</f>
        <v>0.3</v>
      </c>
      <c r="H23" s="4" t="n">
        <f aca="false">Assumptions!H16</f>
        <v>0.3</v>
      </c>
      <c r="I23" s="4" t="n">
        <f aca="false">Assumptions!I16</f>
        <v>0.3</v>
      </c>
      <c r="J23" s="4" t="n">
        <f aca="false">Assumptions!J16</f>
        <v>0.3</v>
      </c>
      <c r="K23" s="4" t="n">
        <f aca="false">Assumptions!K16</f>
        <v>0.3</v>
      </c>
      <c r="L23" s="4" t="n">
        <f aca="false">Assumptions!L16</f>
        <v>0.3</v>
      </c>
    </row>
    <row r="24" customFormat="false" ht="15" hidden="false" customHeight="false" outlineLevel="0" collapsed="false">
      <c r="A24" s="0" t="s">
        <v>128</v>
      </c>
      <c r="C24" s="0" t="n">
        <f aca="false">-C6*C23/100</f>
        <v>-816.81020778</v>
      </c>
      <c r="D24" s="0" t="n">
        <f aca="false">-D6*D23/100</f>
        <v>-820.8942588189</v>
      </c>
      <c r="E24" s="0" t="n">
        <f aca="false">-E6*E23/100</f>
        <v>-829.103201407089</v>
      </c>
      <c r="F24" s="0" t="n">
        <f aca="false">-F6*F23/100</f>
        <v>-841.539749428196</v>
      </c>
      <c r="G24" s="0" t="n">
        <f aca="false">-G6*G23/100</f>
        <v>-854.162845669618</v>
      </c>
      <c r="H24" s="0" t="n">
        <f aca="false">-H6*H23/100</f>
        <v>-866.975288354662</v>
      </c>
      <c r="I24" s="0" t="n">
        <f aca="false">-I6*I23/100</f>
        <v>-879.979917679982</v>
      </c>
      <c r="J24" s="0" t="n">
        <f aca="false">-J6*J23/100</f>
        <v>-893.179616445182</v>
      </c>
      <c r="K24" s="0" t="n">
        <f aca="false">-K6*K23/100</f>
        <v>-906.57731069186</v>
      </c>
      <c r="L24" s="0" t="n">
        <f aca="false">-L6*L23/100</f>
        <v>-920.175970352237</v>
      </c>
    </row>
    <row r="26" customFormat="false" ht="15" hidden="false" customHeight="false" outlineLevel="0" collapsed="false">
      <c r="A26" s="2" t="s">
        <v>129</v>
      </c>
    </row>
    <row r="27" customFormat="false" ht="15" hidden="false" customHeight="false" outlineLevel="0" collapsed="false">
      <c r="A27" s="0" t="s">
        <v>107</v>
      </c>
      <c r="B27" s="4" t="n">
        <f aca="false">Assumptions!$B$20</f>
        <v>6</v>
      </c>
    </row>
    <row r="28" customFormat="false" ht="15" hidden="false" customHeight="false" outlineLevel="0" collapsed="false">
      <c r="A28" s="0" t="s">
        <v>108</v>
      </c>
      <c r="B28" s="4" t="n">
        <f aca="false">Assumptions!$B$21</f>
        <v>2</v>
      </c>
    </row>
    <row r="29" customFormat="false" ht="15" hidden="false" customHeight="false" outlineLevel="0" collapsed="false">
      <c r="A29" s="0" t="s">
        <v>109</v>
      </c>
      <c r="B29" s="4" t="n">
        <f aca="false">Assumptions!$B$22</f>
        <v>12</v>
      </c>
    </row>
    <row r="30" customFormat="false" ht="15" hidden="false" customHeight="false" outlineLevel="0" collapsed="false">
      <c r="A30" s="0" t="s">
        <v>130</v>
      </c>
      <c r="B30" s="0" t="n">
        <f aca="false">SUM(C21:L21)</f>
        <v>26446.666425304</v>
      </c>
    </row>
    <row r="31" customFormat="false" ht="15" hidden="false" customHeight="false" outlineLevel="0" collapsed="false">
      <c r="A31" s="0" t="s">
        <v>131</v>
      </c>
      <c r="B31" s="0" t="n">
        <f aca="false">L19</f>
        <v>3504.46525221046</v>
      </c>
    </row>
    <row r="32" customFormat="false" ht="15" hidden="false" customHeight="false" outlineLevel="0" collapsed="false">
      <c r="A32" s="0" t="s">
        <v>132</v>
      </c>
      <c r="B32" s="0" t="n">
        <f aca="false">IF(B27&gt;B28,B31*(1+B28/100)/((B27-B28)/100),B31*B29)</f>
        <v>89363.8639313666</v>
      </c>
    </row>
    <row r="33" customFormat="false" ht="15" hidden="false" customHeight="false" outlineLevel="0" collapsed="false">
      <c r="A33" s="0" t="s">
        <v>133</v>
      </c>
      <c r="B33" s="0" t="n">
        <f aca="false">B31*B29</f>
        <v>42053.5830265255</v>
      </c>
    </row>
    <row r="34" customFormat="false" ht="15" hidden="false" customHeight="false" outlineLevel="0" collapsed="false">
      <c r="A34" s="0" t="s">
        <v>134</v>
      </c>
      <c r="B34" s="0" t="n">
        <f aca="false">MAX(0,MIN(B32,B33))</f>
        <v>42053.5830265255</v>
      </c>
    </row>
    <row r="35" customFormat="false" ht="15" hidden="false" customHeight="false" outlineLevel="0" collapsed="false">
      <c r="A35" s="0" t="s">
        <v>135</v>
      </c>
      <c r="B35" s="0" t="n">
        <f aca="false">B34/(1+B27/100)^L4</f>
        <v>23482.5011125781</v>
      </c>
    </row>
    <row r="36" customFormat="false" ht="15" hidden="false" customHeight="false" outlineLevel="0" collapsed="false">
      <c r="A36" s="0" t="s">
        <v>136</v>
      </c>
      <c r="B36" s="0" t="n">
        <f aca="false">B30+B35</f>
        <v>49929.1675378821</v>
      </c>
    </row>
    <row r="37" customFormat="false" ht="15" hidden="false" customHeight="false" outlineLevel="0" collapsed="false">
      <c r="A37" s="0" t="s">
        <v>137</v>
      </c>
      <c r="B37" s="0" t="n">
        <f aca="false">B36+Assumptions!$B$5-Assumptions!$B$4</f>
        <v>-5120.20246211787</v>
      </c>
    </row>
    <row r="38" customFormat="false" ht="15" hidden="false" customHeight="false" outlineLevel="0" collapsed="false">
      <c r="A38" s="0" t="s">
        <v>138</v>
      </c>
      <c r="B38" s="0" t="n">
        <f aca="false">B37/Assumptions!$B$3*Assumptions!$B$10</f>
        <v>-0.957372424755371</v>
      </c>
    </row>
    <row r="39" customFormat="false" ht="15" hidden="false" customHeight="false" outlineLevel="0" collapsed="false">
      <c r="A39" s="0" t="s">
        <v>139</v>
      </c>
      <c r="B39" s="4" t="n">
        <f aca="false">B38/Assumptions!$B$2-1</f>
        <v>-1.21611115682965</v>
      </c>
    </row>
    <row r="41" customFormat="false" ht="15" hidden="false" customHeight="false" outlineLevel="0" collapsed="false">
      <c r="A41" s="0" t="s">
        <v>140</v>
      </c>
      <c r="B41" s="0" t="n">
        <f aca="false">SUMPRODUCT(-C10:L10/(1+$B$27/100)^C4:L4)</f>
        <v>0</v>
      </c>
    </row>
    <row r="42" customFormat="false" ht="15" hidden="false" customHeight="false" outlineLevel="0" collapsed="false">
      <c r="A42" s="0" t="s">
        <v>141</v>
      </c>
      <c r="B42" s="0" t="n">
        <f aca="false">IF(B27&gt;B28,-L10*(1+B28/100)/((B27-B28)/100),-L10*20)/(1+B27/100)^L4</f>
        <v>0</v>
      </c>
    </row>
    <row r="43" customFormat="false" ht="15" hidden="false" customHeight="false" outlineLevel="0" collapsed="false">
      <c r="A43" s="0" t="s">
        <v>142</v>
      </c>
      <c r="B43" s="0" t="n">
        <f aca="false">(B37+B41+B42)/Assumptions!$B$3*Assumptions!$B$10</f>
        <v>-0.957372424755371</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27496.5735173436</v>
      </c>
    </row>
    <row r="47" customFormat="false" ht="15" hidden="false" customHeight="false" outlineLevel="0" collapsed="false">
      <c r="A47" s="0" t="s">
        <v>144</v>
      </c>
      <c r="B47" s="0" t="n">
        <f aca="false">(SUMPRODUCT(C19:L19/(1+B45/100)^C4:L4)+B46/(1+B45/100)^L4+Assumptions!$B$5-Assumptions!$B$4)/Assumptions!$B$3*Assumptions!$B$10</f>
        <v>-5.59932307330015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Assumptions!C27</f>
        <v>2.5</v>
      </c>
      <c r="D5" s="4" t="n">
        <f aca="false">Assumptions!D27</f>
        <v>3</v>
      </c>
      <c r="E5" s="4" t="n">
        <f aca="false">Assumptions!E27</f>
        <v>3.5</v>
      </c>
      <c r="F5" s="4" t="n">
        <f aca="false">Assumptions!F27</f>
        <v>3.5</v>
      </c>
      <c r="G5" s="4" t="n">
        <f aca="false">Assumptions!G27</f>
        <v>3.5</v>
      </c>
      <c r="H5" s="4" t="n">
        <f aca="false">Assumptions!H27</f>
        <v>3</v>
      </c>
      <c r="I5" s="4" t="n">
        <f aca="false">Assumptions!I27</f>
        <v>3</v>
      </c>
      <c r="J5" s="4" t="n">
        <f aca="false">Assumptions!J27</f>
        <v>2.5</v>
      </c>
      <c r="K5" s="4" t="n">
        <f aca="false">Assumptions!K27</f>
        <v>2.5</v>
      </c>
      <c r="L5" s="4" t="n">
        <f aca="false">Assumptions!L27</f>
        <v>2.5</v>
      </c>
    </row>
    <row r="6" customFormat="false" ht="15" hidden="false" customHeight="false" outlineLevel="0" collapsed="false">
      <c r="A6" s="0" t="s">
        <v>38</v>
      </c>
      <c r="B6" s="3" t="n">
        <v>269574.326</v>
      </c>
      <c r="C6" s="0" t="n">
        <f aca="false">B6*(1+C5/100)</f>
        <v>276313.68415</v>
      </c>
      <c r="D6" s="0" t="n">
        <f aca="false">C6*(1+D5/100)</f>
        <v>284603.0946745</v>
      </c>
      <c r="E6" s="0" t="n">
        <f aca="false">D6*(1+E5/100)</f>
        <v>294564.202988107</v>
      </c>
      <c r="F6" s="0" t="n">
        <f aca="false">E6*(1+F5/100)</f>
        <v>304873.950092691</v>
      </c>
      <c r="G6" s="0" t="n">
        <f aca="false">F6*(1+G5/100)</f>
        <v>315544.538345935</v>
      </c>
      <c r="H6" s="0" t="n">
        <f aca="false">G6*(1+H5/100)</f>
        <v>325010.874496313</v>
      </c>
      <c r="I6" s="0" t="n">
        <f aca="false">H6*(1+I5/100)</f>
        <v>334761.200731203</v>
      </c>
      <c r="J6" s="0" t="n">
        <f aca="false">I6*(1+J5/100)</f>
        <v>343130.230749483</v>
      </c>
      <c r="K6" s="0" t="n">
        <f aca="false">J6*(1+K5/100)</f>
        <v>351708.48651822</v>
      </c>
      <c r="L6" s="0" t="n">
        <f aca="false">K6*(1+L5/100)</f>
        <v>360501.198681175</v>
      </c>
    </row>
    <row r="7" customFormat="false" ht="15" hidden="false" customHeight="false" outlineLevel="0" collapsed="false">
      <c r="A7" s="0" t="s">
        <v>101</v>
      </c>
      <c r="C7" s="4" t="n">
        <f aca="false">Assumptions!C28</f>
        <v>6.4</v>
      </c>
      <c r="D7" s="4" t="n">
        <f aca="false">Assumptions!D28</f>
        <v>6.45</v>
      </c>
      <c r="E7" s="4" t="n">
        <f aca="false">Assumptions!E28</f>
        <v>6.5</v>
      </c>
      <c r="F7" s="4" t="n">
        <f aca="false">Assumptions!F28</f>
        <v>6.55</v>
      </c>
      <c r="G7" s="4" t="n">
        <f aca="false">Assumptions!G28</f>
        <v>6.6</v>
      </c>
      <c r="H7" s="4" t="n">
        <f aca="false">Assumptions!H28</f>
        <v>6.65</v>
      </c>
      <c r="I7" s="4" t="n">
        <f aca="false">Assumptions!I28</f>
        <v>6.7</v>
      </c>
      <c r="J7" s="4" t="n">
        <f aca="false">Assumptions!J28</f>
        <v>6.7</v>
      </c>
      <c r="K7" s="4" t="n">
        <f aca="false">Assumptions!K28</f>
        <v>6.7</v>
      </c>
      <c r="L7" s="4" t="n">
        <f aca="false">Assumptions!L28</f>
        <v>6.7</v>
      </c>
    </row>
    <row r="8" customFormat="false" ht="15" hidden="false" customHeight="false" outlineLevel="0" collapsed="false">
      <c r="A8" s="0" t="s">
        <v>44</v>
      </c>
      <c r="C8" s="0" t="n">
        <f aca="false">C6*C7/100</f>
        <v>17684.0757856</v>
      </c>
      <c r="D8" s="0" t="n">
        <f aca="false">D6*D7/100</f>
        <v>18356.8996065053</v>
      </c>
      <c r="E8" s="0" t="n">
        <f aca="false">E6*E7/100</f>
        <v>19146.673194227</v>
      </c>
      <c r="F8" s="0" t="n">
        <f aca="false">F6*F7/100</f>
        <v>19969.2437310713</v>
      </c>
      <c r="G8" s="0" t="n">
        <f aca="false">G6*G7/100</f>
        <v>20825.9395308317</v>
      </c>
      <c r="H8" s="0" t="n">
        <f aca="false">H6*H7/100</f>
        <v>21613.2231540048</v>
      </c>
      <c r="I8" s="0" t="n">
        <f aca="false">I6*I7/100</f>
        <v>22429.0004489906</v>
      </c>
      <c r="J8" s="0" t="n">
        <f aca="false">J6*J7/100</f>
        <v>22989.7254602154</v>
      </c>
      <c r="K8" s="0" t="n">
        <f aca="false">K6*K7/100</f>
        <v>23564.4685967207</v>
      </c>
      <c r="L8" s="0" t="n">
        <f aca="false">L6*L7/100</f>
        <v>24153.5803116388</v>
      </c>
    </row>
    <row r="9" customFormat="false" ht="15" hidden="false" customHeight="false" outlineLevel="0" collapsed="false">
      <c r="A9" s="0" t="s">
        <v>102</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117</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118</v>
      </c>
      <c r="C11" s="0" t="n">
        <f aca="false">C8+C10+C24</f>
        <v>16855.13473315</v>
      </c>
      <c r="D11" s="0" t="n">
        <f aca="false">D8+D10+D24</f>
        <v>17503.0903224818</v>
      </c>
      <c r="E11" s="0" t="n">
        <f aca="false">E8+E10+E24</f>
        <v>18262.9805852627</v>
      </c>
      <c r="F11" s="0" t="n">
        <f aca="false">F8+F10+F24</f>
        <v>19054.6218807932</v>
      </c>
      <c r="G11" s="0" t="n">
        <f aca="false">G8+G10+G24</f>
        <v>19879.3059157939</v>
      </c>
      <c r="H11" s="0" t="n">
        <f aca="false">H8+H10+H24</f>
        <v>20638.1905305159</v>
      </c>
      <c r="I11" s="0" t="n">
        <f aca="false">I8+I10+I24</f>
        <v>21424.716846797</v>
      </c>
      <c r="J11" s="0" t="n">
        <f aca="false">J8+J10+J24</f>
        <v>21960.3347679669</v>
      </c>
      <c r="K11" s="0" t="n">
        <f aca="false">K8+K10+K24</f>
        <v>22509.3431371661</v>
      </c>
      <c r="L11" s="0" t="n">
        <f aca="false">L8+L10+L24</f>
        <v>23072.0767155952</v>
      </c>
    </row>
    <row r="12" customFormat="false" ht="15" hidden="false" customHeight="false" outlineLevel="0" collapsed="false">
      <c r="A12" s="0" t="s">
        <v>119</v>
      </c>
      <c r="C12" s="4" t="n">
        <f aca="false">-C6*Assumptions!C31/100</f>
        <v>-3315.7642098</v>
      </c>
      <c r="D12" s="4" t="n">
        <f aca="false">-D6*Assumptions!D31/100</f>
        <v>-3415.237136094</v>
      </c>
      <c r="E12" s="4" t="n">
        <f aca="false">-E6*Assumptions!E31/100</f>
        <v>-3534.77043585729</v>
      </c>
      <c r="F12" s="4" t="n">
        <f aca="false">-F6*Assumptions!F31/100</f>
        <v>-3658.48740111229</v>
      </c>
      <c r="G12" s="4" t="n">
        <f aca="false">-G6*Assumptions!G31/100</f>
        <v>-3786.53446015122</v>
      </c>
      <c r="H12" s="4" t="n">
        <f aca="false">-H6*Assumptions!H31/100</f>
        <v>-3900.13049395576</v>
      </c>
      <c r="I12" s="4" t="n">
        <f aca="false">-I6*Assumptions!I31/100</f>
        <v>-4017.13440877443</v>
      </c>
      <c r="J12" s="4" t="n">
        <f aca="false">-J6*Assumptions!J31/100</f>
        <v>-4117.56276899379</v>
      </c>
      <c r="K12" s="4" t="n">
        <f aca="false">-K6*Assumptions!K31/100</f>
        <v>-4220.50183821864</v>
      </c>
      <c r="L12" s="4" t="n">
        <f aca="false">-L6*Assumptions!L31/100</f>
        <v>-4326.01438417411</v>
      </c>
    </row>
    <row r="13" customFormat="false" ht="15" hidden="false" customHeight="false" outlineLevel="0" collapsed="false">
      <c r="A13" s="0" t="s">
        <v>120</v>
      </c>
      <c r="C13" s="0" t="n">
        <f aca="false">C11+C12</f>
        <v>13539.37052335</v>
      </c>
      <c r="D13" s="0" t="n">
        <f aca="false">D11+D12</f>
        <v>14087.8531863877</v>
      </c>
      <c r="E13" s="0" t="n">
        <f aca="false">E11+E12</f>
        <v>14728.2101494054</v>
      </c>
      <c r="F13" s="0" t="n">
        <f aca="false">F11+F12</f>
        <v>15396.1344796809</v>
      </c>
      <c r="G13" s="0" t="n">
        <f aca="false">G11+G12</f>
        <v>16092.7714556427</v>
      </c>
      <c r="H13" s="0" t="n">
        <f aca="false">H11+H12</f>
        <v>16738.0600365601</v>
      </c>
      <c r="I13" s="0" t="n">
        <f aca="false">I11+I12</f>
        <v>17407.5824380225</v>
      </c>
      <c r="J13" s="0" t="n">
        <f aca="false">J11+J12</f>
        <v>17842.7719989731</v>
      </c>
      <c r="K13" s="0" t="n">
        <f aca="false">K11+K12</f>
        <v>18288.8412989474</v>
      </c>
      <c r="L13" s="0" t="n">
        <f aca="false">L11+L12</f>
        <v>18746.0623314211</v>
      </c>
    </row>
    <row r="14" customFormat="false" ht="15" hidden="false" customHeight="false" outlineLevel="0" collapsed="false">
      <c r="A14" s="0" t="s">
        <v>106</v>
      </c>
      <c r="C14" s="4" t="n">
        <f aca="false">Assumptions!C33</f>
        <v>62</v>
      </c>
      <c r="D14" s="4" t="n">
        <f aca="false">Assumptions!D33</f>
        <v>62</v>
      </c>
      <c r="E14" s="4" t="n">
        <f aca="false">Assumptions!E33</f>
        <v>62</v>
      </c>
      <c r="F14" s="4" t="n">
        <f aca="false">Assumptions!F33</f>
        <v>62</v>
      </c>
      <c r="G14" s="4" t="n">
        <f aca="false">Assumptions!G33</f>
        <v>62</v>
      </c>
      <c r="H14" s="4" t="n">
        <f aca="false">Assumptions!H33</f>
        <v>62</v>
      </c>
      <c r="I14" s="4" t="n">
        <f aca="false">Assumptions!I33</f>
        <v>62</v>
      </c>
      <c r="J14" s="4" t="n">
        <f aca="false">Assumptions!J33</f>
        <v>62</v>
      </c>
      <c r="K14" s="4" t="n">
        <f aca="false">Assumptions!K33</f>
        <v>62</v>
      </c>
      <c r="L14" s="4" t="n">
        <f aca="false">Assumptions!L33</f>
        <v>62</v>
      </c>
    </row>
    <row r="15" customFormat="false" ht="15" hidden="false" customHeight="false" outlineLevel="0" collapsed="false">
      <c r="A15" s="0" t="s">
        <v>121</v>
      </c>
      <c r="C15" s="0" t="n">
        <f aca="false">C13-MAX(0,C13)*C14/100</f>
        <v>5144.960798873</v>
      </c>
      <c r="D15" s="0" t="n">
        <f aca="false">D13-MAX(0,D13)*D14/100</f>
        <v>5353.38421082734</v>
      </c>
      <c r="E15" s="0" t="n">
        <f aca="false">E13-MAX(0,E13)*E14/100</f>
        <v>5596.71985677404</v>
      </c>
      <c r="F15" s="0" t="n">
        <f aca="false">F13-MAX(0,F13)*F14/100</f>
        <v>5850.53110227875</v>
      </c>
      <c r="G15" s="0" t="n">
        <f aca="false">G13-MAX(0,G13)*G14/100</f>
        <v>6115.25315314423</v>
      </c>
      <c r="H15" s="0" t="n">
        <f aca="false">H13-MAX(0,H13)*H14/100</f>
        <v>6360.46281389286</v>
      </c>
      <c r="I15" s="0" t="n">
        <f aca="false">I13-MAX(0,I13)*I14/100</f>
        <v>6614.88132644857</v>
      </c>
      <c r="J15" s="0" t="n">
        <f aca="false">J13-MAX(0,J13)*J14/100</f>
        <v>6780.25335960978</v>
      </c>
      <c r="K15" s="0" t="n">
        <f aca="false">K13-MAX(0,K13)*K14/100</f>
        <v>6949.75969360003</v>
      </c>
      <c r="L15" s="0" t="n">
        <f aca="false">L13-MAX(0,L13)*L14/100</f>
        <v>7123.50368594002</v>
      </c>
    </row>
    <row r="16" customFormat="false" ht="15" hidden="false" customHeight="false" outlineLevel="0" collapsed="false">
      <c r="A16" s="0" t="s">
        <v>122</v>
      </c>
      <c r="C16" s="0" t="n">
        <f aca="false">-C12</f>
        <v>3315.7642098</v>
      </c>
      <c r="D16" s="0" t="n">
        <f aca="false">-D12</f>
        <v>3415.237136094</v>
      </c>
      <c r="E16" s="0" t="n">
        <f aca="false">-E12</f>
        <v>3534.77043585729</v>
      </c>
      <c r="F16" s="0" t="n">
        <f aca="false">-F12</f>
        <v>3658.48740111229</v>
      </c>
      <c r="G16" s="0" t="n">
        <f aca="false">-G12</f>
        <v>3786.53446015122</v>
      </c>
      <c r="H16" s="0" t="n">
        <f aca="false">-H12</f>
        <v>3900.13049395576</v>
      </c>
      <c r="I16" s="0" t="n">
        <f aca="false">-I12</f>
        <v>4017.13440877443</v>
      </c>
      <c r="J16" s="0" t="n">
        <f aca="false">-J12</f>
        <v>4117.56276899379</v>
      </c>
      <c r="K16" s="0" t="n">
        <f aca="false">-K12</f>
        <v>4220.50183821864</v>
      </c>
      <c r="L16" s="0" t="n">
        <f aca="false">-L12</f>
        <v>4326.01438417411</v>
      </c>
    </row>
    <row r="17" customFormat="false" ht="15" hidden="false" customHeight="false" outlineLevel="0" collapsed="false">
      <c r="A17" s="0" t="s">
        <v>123</v>
      </c>
      <c r="C17" s="4" t="n">
        <f aca="false">-C6*Assumptions!C32/100</f>
        <v>-3315.7642098</v>
      </c>
      <c r="D17" s="4" t="n">
        <f aca="false">-D6*Assumptions!D32/100</f>
        <v>-3415.237136094</v>
      </c>
      <c r="E17" s="4" t="n">
        <f aca="false">-E6*Assumptions!E32/100</f>
        <v>-3534.77043585729</v>
      </c>
      <c r="F17" s="4" t="n">
        <f aca="false">-F6*Assumptions!F32/100</f>
        <v>-3658.48740111229</v>
      </c>
      <c r="G17" s="4" t="n">
        <f aca="false">-G6*Assumptions!G32/100</f>
        <v>-3786.53446015122</v>
      </c>
      <c r="H17" s="4" t="n">
        <f aca="false">-H6*Assumptions!H32/100</f>
        <v>-3900.13049395576</v>
      </c>
      <c r="I17" s="4" t="n">
        <f aca="false">-I6*Assumptions!I32/100</f>
        <v>-4017.13440877443</v>
      </c>
      <c r="J17" s="4" t="n">
        <f aca="false">-J6*Assumptions!J32/100</f>
        <v>-4117.56276899379</v>
      </c>
      <c r="K17" s="4" t="n">
        <f aca="false">-K6*Assumptions!K32/100</f>
        <v>-4220.50183821864</v>
      </c>
      <c r="L17" s="4" t="n">
        <f aca="false">-L6*Assumptions!L32/100</f>
        <v>-4326.01438417411</v>
      </c>
    </row>
    <row r="18" customFormat="false" ht="15" hidden="false" customHeight="false" outlineLevel="0" collapsed="false">
      <c r="A18" s="0" t="s">
        <v>124</v>
      </c>
      <c r="C18" s="4" t="n">
        <f aca="false">(C6-B6)*Assumptions!$B$37/100</f>
        <v>-1010.9037225</v>
      </c>
      <c r="D18" s="4" t="n">
        <f aca="false">(D6-C6)*Assumptions!$B$37/100</f>
        <v>-1243.411578675</v>
      </c>
      <c r="E18" s="4" t="n">
        <f aca="false">(E6-D6)*Assumptions!$B$37/100</f>
        <v>-1494.16624704112</v>
      </c>
      <c r="F18" s="4" t="n">
        <f aca="false">(F6-E6)*Assumptions!$B$37/100</f>
        <v>-1546.46206568756</v>
      </c>
      <c r="G18" s="4" t="n">
        <f aca="false">(G6-F6)*Assumptions!$B$37/100</f>
        <v>-1600.58823798663</v>
      </c>
      <c r="H18" s="4" t="n">
        <f aca="false">(H6-G6)*Assumptions!$B$37/100</f>
        <v>-1419.95042255671</v>
      </c>
      <c r="I18" s="4" t="n">
        <f aca="false">(I6-H6)*Assumptions!$B$37/100</f>
        <v>-1462.54893523341</v>
      </c>
      <c r="J18" s="4" t="n">
        <f aca="false">(J6-I6)*Assumptions!$B$37/100</f>
        <v>-1255.354502742</v>
      </c>
      <c r="K18" s="4" t="n">
        <f aca="false">(K6-J6)*Assumptions!$B$37/100</f>
        <v>-1286.73836531056</v>
      </c>
      <c r="L18" s="4" t="n">
        <f aca="false">(L6-K6)*Assumptions!$B$37/100</f>
        <v>-1318.90682444332</v>
      </c>
    </row>
    <row r="19" customFormat="false" ht="15" hidden="false" customHeight="false" outlineLevel="0" collapsed="false">
      <c r="A19" s="0" t="s">
        <v>125</v>
      </c>
      <c r="C19" s="0" t="n">
        <f aca="false">C15+C16+C17+C18</f>
        <v>4134.057076373</v>
      </c>
      <c r="D19" s="0" t="n">
        <f aca="false">D15+D16+D17+D18</f>
        <v>4109.97263215234</v>
      </c>
      <c r="E19" s="0" t="n">
        <f aca="false">E15+E16+E17+E18</f>
        <v>4102.55360973292</v>
      </c>
      <c r="F19" s="0" t="n">
        <f aca="false">F15+F16+F17+F18</f>
        <v>4304.06903659119</v>
      </c>
      <c r="G19" s="0" t="n">
        <f aca="false">G15+G16+G17+G18</f>
        <v>4514.6649151576</v>
      </c>
      <c r="H19" s="0" t="n">
        <f aca="false">H15+H16+H17+H18</f>
        <v>4940.51239133615</v>
      </c>
      <c r="I19" s="0" t="n">
        <f aca="false">I15+I16+I17+I18</f>
        <v>5152.33239121516</v>
      </c>
      <c r="J19" s="0" t="n">
        <f aca="false">J15+J16+J17+J18</f>
        <v>5524.89885686778</v>
      </c>
      <c r="K19" s="0" t="n">
        <f aca="false">K15+K16+K17+K18</f>
        <v>5663.02132828947</v>
      </c>
      <c r="L19" s="0" t="n">
        <f aca="false">L15+L16+L17+L18</f>
        <v>5804.5968614967</v>
      </c>
    </row>
    <row r="20" customFormat="false" ht="15" hidden="false" customHeight="false" outlineLevel="0" collapsed="false">
      <c r="A20" s="0" t="s">
        <v>126</v>
      </c>
      <c r="C20" s="0" t="n">
        <f aca="false">1/(1+$B$27/100)^C4</f>
        <v>0.943396226415094</v>
      </c>
      <c r="D20" s="0" t="n">
        <f aca="false">1/(1+$B$27/100)^D4</f>
        <v>0.88999644001424</v>
      </c>
      <c r="E20" s="0" t="n">
        <f aca="false">1/(1+$B$27/100)^E4</f>
        <v>0.839619283032302</v>
      </c>
      <c r="F20" s="0" t="n">
        <f aca="false">1/(1+$B$27/100)^F4</f>
        <v>0.79209366323802</v>
      </c>
      <c r="G20" s="0" t="n">
        <f aca="false">1/(1+$B$27/100)^G4</f>
        <v>0.747258172866057</v>
      </c>
      <c r="H20" s="0" t="n">
        <f aca="false">1/(1+$B$27/100)^H4</f>
        <v>0.704960540439676</v>
      </c>
      <c r="I20" s="0" t="n">
        <f aca="false">1/(1+$B$27/100)^I4</f>
        <v>0.665057113622336</v>
      </c>
      <c r="J20" s="0" t="n">
        <f aca="false">1/(1+$B$27/100)^J4</f>
        <v>0.627412371341827</v>
      </c>
      <c r="K20" s="0" t="n">
        <f aca="false">1/(1+$B$27/100)^K4</f>
        <v>0.591898463530025</v>
      </c>
      <c r="L20" s="0" t="n">
        <f aca="false">1/(1+$B$27/100)^L4</f>
        <v>0.558394776915118</v>
      </c>
    </row>
    <row r="21" customFormat="false" ht="15" hidden="false" customHeight="false" outlineLevel="0" collapsed="false">
      <c r="A21" s="0" t="s">
        <v>127</v>
      </c>
      <c r="C21" s="0" t="n">
        <f aca="false">C19*C20</f>
        <v>3900.05384563491</v>
      </c>
      <c r="D21" s="0" t="n">
        <f aca="false">D19*D20</f>
        <v>3657.86101117154</v>
      </c>
      <c r="E21" s="0" t="n">
        <f aca="false">E19*E20</f>
        <v>3444.58312040554</v>
      </c>
      <c r="F21" s="0" t="n">
        <f aca="false">F19*F20</f>
        <v>3409.22581002285</v>
      </c>
      <c r="G21" s="0" t="n">
        <f aca="false">G19*G20</f>
        <v>3373.62025560316</v>
      </c>
      <c r="H21" s="0" t="n">
        <f aca="false">H19*H20</f>
        <v>3482.86628544525</v>
      </c>
      <c r="I21" s="0" t="n">
        <f aca="false">I19*I20</f>
        <v>3426.59530852442</v>
      </c>
      <c r="J21" s="0" t="n">
        <f aca="false">J19*J20</f>
        <v>3466.38989321116</v>
      </c>
      <c r="K21" s="0" t="n">
        <f aca="false">K19*K20</f>
        <v>3351.9336231523</v>
      </c>
      <c r="L21" s="0" t="n">
        <f aca="false">L19*L20</f>
        <v>3241.25656955764</v>
      </c>
    </row>
    <row r="23" customFormat="false" ht="15" hidden="false" customHeight="false" outlineLevel="0" collapsed="false">
      <c r="A23" s="0" t="s">
        <v>103</v>
      </c>
      <c r="C23" s="4" t="n">
        <f aca="false">Assumptions!C30</f>
        <v>0.3</v>
      </c>
      <c r="D23" s="4" t="n">
        <f aca="false">Assumptions!D30</f>
        <v>0.3</v>
      </c>
      <c r="E23" s="4" t="n">
        <f aca="false">Assumptions!E30</f>
        <v>0.3</v>
      </c>
      <c r="F23" s="4" t="n">
        <f aca="false">Assumptions!F30</f>
        <v>0.3</v>
      </c>
      <c r="G23" s="4" t="n">
        <f aca="false">Assumptions!G30</f>
        <v>0.3</v>
      </c>
      <c r="H23" s="4" t="n">
        <f aca="false">Assumptions!H30</f>
        <v>0.3</v>
      </c>
      <c r="I23" s="4" t="n">
        <f aca="false">Assumptions!I30</f>
        <v>0.3</v>
      </c>
      <c r="J23" s="4" t="n">
        <f aca="false">Assumptions!J30</f>
        <v>0.3</v>
      </c>
      <c r="K23" s="4" t="n">
        <f aca="false">Assumptions!K30</f>
        <v>0.3</v>
      </c>
      <c r="L23" s="4" t="n">
        <f aca="false">Assumptions!L30</f>
        <v>0.3</v>
      </c>
    </row>
    <row r="24" customFormat="false" ht="15" hidden="false" customHeight="false" outlineLevel="0" collapsed="false">
      <c r="A24" s="0" t="s">
        <v>128</v>
      </c>
      <c r="C24" s="0" t="n">
        <f aca="false">-C6*C23/100</f>
        <v>-828.94105245</v>
      </c>
      <c r="D24" s="0" t="n">
        <f aca="false">-D6*D23/100</f>
        <v>-853.8092840235</v>
      </c>
      <c r="E24" s="0" t="n">
        <f aca="false">-E6*E23/100</f>
        <v>-883.692608964322</v>
      </c>
      <c r="F24" s="0" t="n">
        <f aca="false">-F6*F23/100</f>
        <v>-914.621850278074</v>
      </c>
      <c r="G24" s="0" t="n">
        <f aca="false">-G6*G23/100</f>
        <v>-946.633615037806</v>
      </c>
      <c r="H24" s="0" t="n">
        <f aca="false">-H6*H23/100</f>
        <v>-975.03262348894</v>
      </c>
      <c r="I24" s="0" t="n">
        <f aca="false">-I6*I23/100</f>
        <v>-1004.28360219361</v>
      </c>
      <c r="J24" s="0" t="n">
        <f aca="false">-J6*J23/100</f>
        <v>-1029.39069224845</v>
      </c>
      <c r="K24" s="0" t="n">
        <f aca="false">-K6*K23/100</f>
        <v>-1055.12545955466</v>
      </c>
      <c r="L24" s="0" t="n">
        <f aca="false">-L6*L23/100</f>
        <v>-1081.50359604353</v>
      </c>
    </row>
    <row r="26" customFormat="false" ht="15" hidden="false" customHeight="false" outlineLevel="0" collapsed="false">
      <c r="A26" s="2" t="s">
        <v>129</v>
      </c>
    </row>
    <row r="27" customFormat="false" ht="15" hidden="false" customHeight="false" outlineLevel="0" collapsed="false">
      <c r="A27" s="0" t="s">
        <v>107</v>
      </c>
      <c r="B27" s="4" t="n">
        <f aca="false">Assumptions!$B$34</f>
        <v>6</v>
      </c>
    </row>
    <row r="28" customFormat="false" ht="15" hidden="false" customHeight="false" outlineLevel="0" collapsed="false">
      <c r="A28" s="0" t="s">
        <v>108</v>
      </c>
      <c r="B28" s="4" t="n">
        <f aca="false">Assumptions!$B$35</f>
        <v>2.5</v>
      </c>
    </row>
    <row r="29" customFormat="false" ht="15" hidden="false" customHeight="false" outlineLevel="0" collapsed="false">
      <c r="A29" s="0" t="s">
        <v>109</v>
      </c>
      <c r="B29" s="4" t="n">
        <f aca="false">Assumptions!$B$36</f>
        <v>15</v>
      </c>
    </row>
    <row r="30" customFormat="false" ht="15" hidden="false" customHeight="false" outlineLevel="0" collapsed="false">
      <c r="A30" s="0" t="s">
        <v>130</v>
      </c>
      <c r="B30" s="0" t="n">
        <f aca="false">SUM(C21:L21)</f>
        <v>34754.3857227288</v>
      </c>
    </row>
    <row r="31" customFormat="false" ht="15" hidden="false" customHeight="false" outlineLevel="0" collapsed="false">
      <c r="A31" s="0" t="s">
        <v>131</v>
      </c>
      <c r="B31" s="0" t="n">
        <f aca="false">L19</f>
        <v>5804.5968614967</v>
      </c>
    </row>
    <row r="32" customFormat="false" ht="15" hidden="false" customHeight="false" outlineLevel="0" collapsed="false">
      <c r="A32" s="0" t="s">
        <v>132</v>
      </c>
      <c r="B32" s="0" t="n">
        <f aca="false">IF(B27&gt;B28,B31*(1+B28/100)/((B27-B28)/100),B31*B29)</f>
        <v>169991.765229546</v>
      </c>
    </row>
    <row r="33" customFormat="false" ht="15" hidden="false" customHeight="false" outlineLevel="0" collapsed="false">
      <c r="A33" s="0" t="s">
        <v>133</v>
      </c>
      <c r="B33" s="0" t="n">
        <f aca="false">B31*B29</f>
        <v>87068.9529224505</v>
      </c>
    </row>
    <row r="34" customFormat="false" ht="15" hidden="false" customHeight="false" outlineLevel="0" collapsed="false">
      <c r="A34" s="0" t="s">
        <v>134</v>
      </c>
      <c r="B34" s="0" t="n">
        <f aca="false">MAX(0,MIN(B32,B33))</f>
        <v>87068.9529224505</v>
      </c>
    </row>
    <row r="35" customFormat="false" ht="15" hidden="false" customHeight="false" outlineLevel="0" collapsed="false">
      <c r="A35" s="0" t="s">
        <v>135</v>
      </c>
      <c r="B35" s="0" t="n">
        <f aca="false">B34/(1+B27/100)^L4</f>
        <v>48618.8485433647</v>
      </c>
    </row>
    <row r="36" customFormat="false" ht="15" hidden="false" customHeight="false" outlineLevel="0" collapsed="false">
      <c r="A36" s="0" t="s">
        <v>136</v>
      </c>
      <c r="B36" s="0" t="n">
        <f aca="false">B30+B35</f>
        <v>83373.2342660934</v>
      </c>
    </row>
    <row r="37" customFormat="false" ht="15" hidden="false" customHeight="false" outlineLevel="0" collapsed="false">
      <c r="A37" s="0" t="s">
        <v>137</v>
      </c>
      <c r="B37" s="0" t="n">
        <f aca="false">B36+Assumptions!$B$5-Assumptions!$B$4</f>
        <v>28323.8642660934</v>
      </c>
    </row>
    <row r="38" customFormat="false" ht="15" hidden="false" customHeight="false" outlineLevel="0" collapsed="false">
      <c r="A38" s="0" t="s">
        <v>138</v>
      </c>
      <c r="B38" s="0" t="n">
        <f aca="false">B37/Assumptions!$B$3*Assumptions!$B$10</f>
        <v>5.29597937024851</v>
      </c>
    </row>
    <row r="39" customFormat="false" ht="15" hidden="false" customHeight="false" outlineLevel="0" collapsed="false">
      <c r="A39" s="0" t="s">
        <v>139</v>
      </c>
      <c r="B39" s="4" t="n">
        <f aca="false">B38/Assumptions!$B$2-1</f>
        <v>0.195480670484991</v>
      </c>
    </row>
    <row r="41" customFormat="false" ht="15" hidden="false" customHeight="false" outlineLevel="0" collapsed="false">
      <c r="A41" s="0" t="s">
        <v>140</v>
      </c>
      <c r="B41" s="0" t="n">
        <f aca="false">SUMPRODUCT(-C10:L10/(1+$B$27/100)^C4:L4)</f>
        <v>0</v>
      </c>
    </row>
    <row r="42" customFormat="false" ht="15" hidden="false" customHeight="false" outlineLevel="0" collapsed="false">
      <c r="A42" s="0" t="s">
        <v>141</v>
      </c>
      <c r="B42" s="0" t="n">
        <f aca="false">IF(B27&gt;B28,-L10*(1+B28/100)/((B27-B28)/100),-L10*20)/(1+B27/100)^L4</f>
        <v>0</v>
      </c>
    </row>
    <row r="43" customFormat="false" ht="15" hidden="false" customHeight="false" outlineLevel="0" collapsed="false">
      <c r="A43" s="0" t="s">
        <v>142</v>
      </c>
      <c r="B43" s="0" t="n">
        <f aca="false">(B37+B41+B42)/Assumptions!$B$3*Assumptions!$B$10</f>
        <v>5.29597937024851</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47597.6942642729</v>
      </c>
    </row>
    <row r="47" customFormat="false" ht="15" hidden="false" customHeight="false" outlineLevel="0" collapsed="false">
      <c r="A47" s="0" t="s">
        <v>144</v>
      </c>
      <c r="B47" s="0" t="n">
        <f aca="false">(SUMPRODUCT(C19:L19/(1+B45/100)^C4:L4)+B46/(1+B45/100)^L4+Assumptions!$B$5-Assumptions!$B$4)/Assumptions!$B$3*Assumptions!$B$10</f>
        <v>-3.78724456741885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Assumptions!C41</f>
        <v>3.5</v>
      </c>
      <c r="D5" s="4" t="n">
        <f aca="false">Assumptions!D41</f>
        <v>5</v>
      </c>
      <c r="E5" s="4" t="n">
        <f aca="false">Assumptions!E41</f>
        <v>6</v>
      </c>
      <c r="F5" s="4" t="n">
        <f aca="false">Assumptions!F41</f>
        <v>6</v>
      </c>
      <c r="G5" s="4" t="n">
        <f aca="false">Assumptions!G41</f>
        <v>5.5</v>
      </c>
      <c r="H5" s="4" t="n">
        <f aca="false">Assumptions!H41</f>
        <v>5</v>
      </c>
      <c r="I5" s="4" t="n">
        <f aca="false">Assumptions!I41</f>
        <v>4.5</v>
      </c>
      <c r="J5" s="4" t="n">
        <f aca="false">Assumptions!J41</f>
        <v>4</v>
      </c>
      <c r="K5" s="4" t="n">
        <f aca="false">Assumptions!K41</f>
        <v>3.5</v>
      </c>
      <c r="L5" s="4" t="n">
        <f aca="false">Assumptions!L41</f>
        <v>3</v>
      </c>
    </row>
    <row r="6" customFormat="false" ht="15" hidden="false" customHeight="false" outlineLevel="0" collapsed="false">
      <c r="A6" s="0" t="s">
        <v>38</v>
      </c>
      <c r="B6" s="3" t="n">
        <v>269574.326</v>
      </c>
      <c r="C6" s="0" t="n">
        <f aca="false">B6*(1+C5/100)</f>
        <v>279009.42741</v>
      </c>
      <c r="D6" s="0" t="n">
        <f aca="false">C6*(1+D5/100)</f>
        <v>292959.8987805</v>
      </c>
      <c r="E6" s="0" t="n">
        <f aca="false">D6*(1+E5/100)</f>
        <v>310537.49270733</v>
      </c>
      <c r="F6" s="0" t="n">
        <f aca="false">E6*(1+F5/100)</f>
        <v>329169.74226977</v>
      </c>
      <c r="G6" s="0" t="n">
        <f aca="false">F6*(1+G5/100)</f>
        <v>347274.078094607</v>
      </c>
      <c r="H6" s="0" t="n">
        <f aca="false">G6*(1+H5/100)</f>
        <v>364637.781999338</v>
      </c>
      <c r="I6" s="0" t="n">
        <f aca="false">H6*(1+I5/100)</f>
        <v>381046.482189308</v>
      </c>
      <c r="J6" s="0" t="n">
        <f aca="false">I6*(1+J5/100)</f>
        <v>396288.34147688</v>
      </c>
      <c r="K6" s="0" t="n">
        <f aca="false">J6*(1+K5/100)</f>
        <v>410158.433428571</v>
      </c>
      <c r="L6" s="0" t="n">
        <f aca="false">K6*(1+L5/100)</f>
        <v>422463.186431428</v>
      </c>
    </row>
    <row r="7" customFormat="false" ht="15" hidden="false" customHeight="false" outlineLevel="0" collapsed="false">
      <c r="A7" s="0" t="s">
        <v>101</v>
      </c>
      <c r="C7" s="4" t="n">
        <f aca="false">Assumptions!C42</f>
        <v>6.5</v>
      </c>
      <c r="D7" s="4" t="n">
        <f aca="false">Assumptions!D42</f>
        <v>6.7</v>
      </c>
      <c r="E7" s="4" t="n">
        <f aca="false">Assumptions!E42</f>
        <v>6.9</v>
      </c>
      <c r="F7" s="4" t="n">
        <f aca="false">Assumptions!F42</f>
        <v>7.1</v>
      </c>
      <c r="G7" s="4" t="n">
        <f aca="false">Assumptions!G42</f>
        <v>7.3</v>
      </c>
      <c r="H7" s="4" t="n">
        <f aca="false">Assumptions!H42</f>
        <v>7.4</v>
      </c>
      <c r="I7" s="4" t="n">
        <f aca="false">Assumptions!I42</f>
        <v>7.5</v>
      </c>
      <c r="J7" s="4" t="n">
        <f aca="false">Assumptions!J42</f>
        <v>7.5</v>
      </c>
      <c r="K7" s="4" t="n">
        <f aca="false">Assumptions!K42</f>
        <v>7.5</v>
      </c>
      <c r="L7" s="4" t="n">
        <f aca="false">Assumptions!L42</f>
        <v>7.5</v>
      </c>
    </row>
    <row r="8" customFormat="false" ht="15" hidden="false" customHeight="false" outlineLevel="0" collapsed="false">
      <c r="A8" s="0" t="s">
        <v>44</v>
      </c>
      <c r="C8" s="0" t="n">
        <f aca="false">C6*C7/100</f>
        <v>18135.61278165</v>
      </c>
      <c r="D8" s="0" t="n">
        <f aca="false">D6*D7/100</f>
        <v>19628.3132182935</v>
      </c>
      <c r="E8" s="0" t="n">
        <f aca="false">E6*E7/100</f>
        <v>21427.0869968058</v>
      </c>
      <c r="F8" s="0" t="n">
        <f aca="false">F6*F7/100</f>
        <v>23371.0517011537</v>
      </c>
      <c r="G8" s="0" t="n">
        <f aca="false">G6*G7/100</f>
        <v>25351.0077009063</v>
      </c>
      <c r="H8" s="0" t="n">
        <f aca="false">H6*H7/100</f>
        <v>26983.195867951</v>
      </c>
      <c r="I8" s="0" t="n">
        <f aca="false">I6*I7/100</f>
        <v>28578.4861641981</v>
      </c>
      <c r="J8" s="0" t="n">
        <f aca="false">J6*J7/100</f>
        <v>29721.625610766</v>
      </c>
      <c r="K8" s="0" t="n">
        <f aca="false">K6*K7/100</f>
        <v>30761.8825071428</v>
      </c>
      <c r="L8" s="0" t="n">
        <f aca="false">L6*L7/100</f>
        <v>31684.7389823571</v>
      </c>
    </row>
    <row r="9" customFormat="false" ht="15" hidden="false" customHeight="false" outlineLevel="0" collapsed="false">
      <c r="A9" s="0" t="s">
        <v>102</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117</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118</v>
      </c>
      <c r="C11" s="0" t="n">
        <f aca="false">C8+C10+C24</f>
        <v>17298.58449942</v>
      </c>
      <c r="D11" s="0" t="n">
        <f aca="false">D8+D10+D24</f>
        <v>18749.433521952</v>
      </c>
      <c r="E11" s="0" t="n">
        <f aca="false">E8+E10+E24</f>
        <v>20495.4745186838</v>
      </c>
      <c r="F11" s="0" t="n">
        <f aca="false">F8+F10+F24</f>
        <v>22383.5424743443</v>
      </c>
      <c r="G11" s="0" t="n">
        <f aca="false">G8+G10+G24</f>
        <v>24309.1854666225</v>
      </c>
      <c r="H11" s="0" t="n">
        <f aca="false">H8+H10+H24</f>
        <v>25889.282521953</v>
      </c>
      <c r="I11" s="0" t="n">
        <f aca="false">I8+I10+I24</f>
        <v>27435.3467176302</v>
      </c>
      <c r="J11" s="0" t="n">
        <f aca="false">J8+J10+J24</f>
        <v>28532.7605863354</v>
      </c>
      <c r="K11" s="0" t="n">
        <f aca="false">K8+K10+K24</f>
        <v>29531.4072068571</v>
      </c>
      <c r="L11" s="0" t="n">
        <f aca="false">L8+L10+L24</f>
        <v>30417.3494230628</v>
      </c>
    </row>
    <row r="12" customFormat="false" ht="15" hidden="false" customHeight="false" outlineLevel="0" collapsed="false">
      <c r="A12" s="0" t="s">
        <v>119</v>
      </c>
      <c r="C12" s="4" t="n">
        <f aca="false">-C6*Assumptions!C45/100</f>
        <v>-3348.11312892</v>
      </c>
      <c r="D12" s="4" t="n">
        <f aca="false">-D6*Assumptions!D45/100</f>
        <v>-3515.518785366</v>
      </c>
      <c r="E12" s="4" t="n">
        <f aca="false">-E6*Assumptions!E45/100</f>
        <v>-3726.44991248796</v>
      </c>
      <c r="F12" s="4" t="n">
        <f aca="false">-F6*Assumptions!F45/100</f>
        <v>-3950.03690723724</v>
      </c>
      <c r="G12" s="4" t="n">
        <f aca="false">-G6*Assumptions!G45/100</f>
        <v>-4167.28893713529</v>
      </c>
      <c r="H12" s="4" t="n">
        <f aca="false">-H6*Assumptions!H45/100</f>
        <v>-4375.65338399205</v>
      </c>
      <c r="I12" s="4" t="n">
        <f aca="false">-I6*Assumptions!I45/100</f>
        <v>-4572.55778627169</v>
      </c>
      <c r="J12" s="4" t="n">
        <f aca="false">-J6*Assumptions!J45/100</f>
        <v>-4755.46009772256</v>
      </c>
      <c r="K12" s="4" t="n">
        <f aca="false">-K6*Assumptions!K45/100</f>
        <v>-4921.90120114285</v>
      </c>
      <c r="L12" s="4" t="n">
        <f aca="false">-L6*Assumptions!L45/100</f>
        <v>-5069.55823717714</v>
      </c>
    </row>
    <row r="13" customFormat="false" ht="15" hidden="false" customHeight="false" outlineLevel="0" collapsed="false">
      <c r="A13" s="0" t="s">
        <v>120</v>
      </c>
      <c r="C13" s="0" t="n">
        <f aca="false">C11+C12</f>
        <v>13950.4713705</v>
      </c>
      <c r="D13" s="0" t="n">
        <f aca="false">D11+D12</f>
        <v>15233.914736586</v>
      </c>
      <c r="E13" s="0" t="n">
        <f aca="false">E11+E12</f>
        <v>16769.0246061958</v>
      </c>
      <c r="F13" s="0" t="n">
        <f aca="false">F11+F12</f>
        <v>18433.5055671071</v>
      </c>
      <c r="G13" s="0" t="n">
        <f aca="false">G11+G12</f>
        <v>20141.8965294872</v>
      </c>
      <c r="H13" s="0" t="n">
        <f aca="false">H11+H12</f>
        <v>21513.6291379609</v>
      </c>
      <c r="I13" s="0" t="n">
        <f aca="false">I11+I12</f>
        <v>22862.7889313585</v>
      </c>
      <c r="J13" s="0" t="n">
        <f aca="false">J11+J12</f>
        <v>23777.3004886128</v>
      </c>
      <c r="K13" s="0" t="n">
        <f aca="false">K11+K12</f>
        <v>24609.5060057142</v>
      </c>
      <c r="L13" s="0" t="n">
        <f aca="false">L11+L12</f>
        <v>25347.7911858857</v>
      </c>
    </row>
    <row r="14" customFormat="false" ht="15" hidden="false" customHeight="false" outlineLevel="0" collapsed="false">
      <c r="A14" s="0" t="s">
        <v>106</v>
      </c>
      <c r="C14" s="4" t="n">
        <f aca="false">Assumptions!C47</f>
        <v>61</v>
      </c>
      <c r="D14" s="4" t="n">
        <f aca="false">Assumptions!D47</f>
        <v>60.5</v>
      </c>
      <c r="E14" s="4" t="n">
        <f aca="false">Assumptions!E47</f>
        <v>60</v>
      </c>
      <c r="F14" s="4" t="n">
        <f aca="false">Assumptions!F47</f>
        <v>59.5</v>
      </c>
      <c r="G14" s="4" t="n">
        <f aca="false">Assumptions!G47</f>
        <v>59</v>
      </c>
      <c r="H14" s="4" t="n">
        <f aca="false">Assumptions!H47</f>
        <v>59</v>
      </c>
      <c r="I14" s="4" t="n">
        <f aca="false">Assumptions!I47</f>
        <v>59</v>
      </c>
      <c r="J14" s="4" t="n">
        <f aca="false">Assumptions!J47</f>
        <v>59</v>
      </c>
      <c r="K14" s="4" t="n">
        <f aca="false">Assumptions!K47</f>
        <v>59</v>
      </c>
      <c r="L14" s="4" t="n">
        <f aca="false">Assumptions!L47</f>
        <v>59</v>
      </c>
    </row>
    <row r="15" customFormat="false" ht="15" hidden="false" customHeight="false" outlineLevel="0" collapsed="false">
      <c r="A15" s="0" t="s">
        <v>121</v>
      </c>
      <c r="C15" s="0" t="n">
        <f aca="false">C13-MAX(0,C13)*C14/100</f>
        <v>5440.683834495</v>
      </c>
      <c r="D15" s="0" t="n">
        <f aca="false">D13-MAX(0,D13)*D14/100</f>
        <v>6017.39632095147</v>
      </c>
      <c r="E15" s="0" t="n">
        <f aca="false">E13-MAX(0,E13)*E14/100</f>
        <v>6707.60984247833</v>
      </c>
      <c r="F15" s="0" t="n">
        <f aca="false">F13-MAX(0,F13)*F14/100</f>
        <v>7465.56975467838</v>
      </c>
      <c r="G15" s="0" t="n">
        <f aca="false">G13-MAX(0,G13)*G14/100</f>
        <v>8258.17757708976</v>
      </c>
      <c r="H15" s="0" t="n">
        <f aca="false">H13-MAX(0,H13)*H14/100</f>
        <v>8820.58794656398</v>
      </c>
      <c r="I15" s="0" t="n">
        <f aca="false">I13-MAX(0,I13)*I14/100</f>
        <v>9373.74346185697</v>
      </c>
      <c r="J15" s="0" t="n">
        <f aca="false">J13-MAX(0,J13)*J14/100</f>
        <v>9748.69320033125</v>
      </c>
      <c r="K15" s="0" t="n">
        <f aca="false">K13-MAX(0,K13)*K14/100</f>
        <v>10089.8974623428</v>
      </c>
      <c r="L15" s="0" t="n">
        <f aca="false">L13-MAX(0,L13)*L14/100</f>
        <v>10392.5943862131</v>
      </c>
    </row>
    <row r="16" customFormat="false" ht="15" hidden="false" customHeight="false" outlineLevel="0" collapsed="false">
      <c r="A16" s="0" t="s">
        <v>122</v>
      </c>
      <c r="C16" s="0" t="n">
        <f aca="false">-C12</f>
        <v>3348.11312892</v>
      </c>
      <c r="D16" s="0" t="n">
        <f aca="false">-D12</f>
        <v>3515.518785366</v>
      </c>
      <c r="E16" s="0" t="n">
        <f aca="false">-E12</f>
        <v>3726.44991248796</v>
      </c>
      <c r="F16" s="0" t="n">
        <f aca="false">-F12</f>
        <v>3950.03690723724</v>
      </c>
      <c r="G16" s="0" t="n">
        <f aca="false">-G12</f>
        <v>4167.28893713529</v>
      </c>
      <c r="H16" s="0" t="n">
        <f aca="false">-H12</f>
        <v>4375.65338399205</v>
      </c>
      <c r="I16" s="0" t="n">
        <f aca="false">-I12</f>
        <v>4572.55778627169</v>
      </c>
      <c r="J16" s="0" t="n">
        <f aca="false">-J12</f>
        <v>4755.46009772256</v>
      </c>
      <c r="K16" s="0" t="n">
        <f aca="false">-K12</f>
        <v>4921.90120114285</v>
      </c>
      <c r="L16" s="0" t="n">
        <f aca="false">-L12</f>
        <v>5069.55823717714</v>
      </c>
    </row>
    <row r="17" customFormat="false" ht="15" hidden="false" customHeight="false" outlineLevel="0" collapsed="false">
      <c r="A17" s="0" t="s">
        <v>123</v>
      </c>
      <c r="C17" s="4" t="n">
        <f aca="false">-C6*Assumptions!C46/100</f>
        <v>-3348.11312892</v>
      </c>
      <c r="D17" s="4" t="n">
        <f aca="false">-D6*Assumptions!D46/100</f>
        <v>-3515.518785366</v>
      </c>
      <c r="E17" s="4" t="n">
        <f aca="false">-E6*Assumptions!E46/100</f>
        <v>-3726.44991248796</v>
      </c>
      <c r="F17" s="4" t="n">
        <f aca="false">-F6*Assumptions!F46/100</f>
        <v>-3950.03690723724</v>
      </c>
      <c r="G17" s="4" t="n">
        <f aca="false">-G6*Assumptions!G46/100</f>
        <v>-4167.28893713529</v>
      </c>
      <c r="H17" s="4" t="n">
        <f aca="false">-H6*Assumptions!H46/100</f>
        <v>-4375.65338399205</v>
      </c>
      <c r="I17" s="4" t="n">
        <f aca="false">-I6*Assumptions!I46/100</f>
        <v>-4572.55778627169</v>
      </c>
      <c r="J17" s="4" t="n">
        <f aca="false">-J6*Assumptions!J46/100</f>
        <v>-4755.46009772256</v>
      </c>
      <c r="K17" s="4" t="n">
        <f aca="false">-K6*Assumptions!K46/100</f>
        <v>-4921.90120114285</v>
      </c>
      <c r="L17" s="4" t="n">
        <f aca="false">-L6*Assumptions!L46/100</f>
        <v>-5069.55823717714</v>
      </c>
    </row>
    <row r="18" customFormat="false" ht="15" hidden="false" customHeight="false" outlineLevel="0" collapsed="false">
      <c r="A18" s="0" t="s">
        <v>124</v>
      </c>
      <c r="C18" s="4" t="n">
        <f aca="false">(C6-B6)*Assumptions!$B$51/100</f>
        <v>-943.510141</v>
      </c>
      <c r="D18" s="4" t="n">
        <f aca="false">(D6-C6)*Assumptions!$B$51/100</f>
        <v>-1395.04713705</v>
      </c>
      <c r="E18" s="4" t="n">
        <f aca="false">(E6-D6)*Assumptions!$B$51/100</f>
        <v>-1757.759392683</v>
      </c>
      <c r="F18" s="4" t="n">
        <f aca="false">(F6-E6)*Assumptions!$B$51/100</f>
        <v>-1863.22495624398</v>
      </c>
      <c r="G18" s="4" t="n">
        <f aca="false">(G6-F6)*Assumptions!$B$51/100</f>
        <v>-1810.43358248373</v>
      </c>
      <c r="H18" s="4" t="n">
        <f aca="false">(H6-G6)*Assumptions!$B$51/100</f>
        <v>-1736.37039047304</v>
      </c>
      <c r="I18" s="4" t="n">
        <f aca="false">(I6-H6)*Assumptions!$B$51/100</f>
        <v>-1640.87001899701</v>
      </c>
      <c r="J18" s="4" t="n">
        <f aca="false">(J6-I6)*Assumptions!$B$51/100</f>
        <v>-1524.18592875723</v>
      </c>
      <c r="K18" s="4" t="n">
        <f aca="false">(K6-J6)*Assumptions!$B$51/100</f>
        <v>-1387.00919516908</v>
      </c>
      <c r="L18" s="4" t="n">
        <f aca="false">(L6-K6)*Assumptions!$B$51/100</f>
        <v>-1230.47530028571</v>
      </c>
    </row>
    <row r="19" customFormat="false" ht="15" hidden="false" customHeight="false" outlineLevel="0" collapsed="false">
      <c r="A19" s="0" t="s">
        <v>125</v>
      </c>
      <c r="C19" s="0" t="n">
        <f aca="false">C15+C16+C17+C18</f>
        <v>4497.173693495</v>
      </c>
      <c r="D19" s="0" t="n">
        <f aca="false">D15+D16+D17+D18</f>
        <v>4622.34918390147</v>
      </c>
      <c r="E19" s="0" t="n">
        <f aca="false">E15+E16+E17+E18</f>
        <v>4949.85044979533</v>
      </c>
      <c r="F19" s="0" t="n">
        <f aca="false">F15+F16+F17+F18</f>
        <v>5602.3447984344</v>
      </c>
      <c r="G19" s="0" t="n">
        <f aca="false">G15+G16+G17+G18</f>
        <v>6447.74399460602</v>
      </c>
      <c r="H19" s="0" t="n">
        <f aca="false">H15+H16+H17+H18</f>
        <v>7084.21755609094</v>
      </c>
      <c r="I19" s="0" t="n">
        <f aca="false">I15+I16+I17+I18</f>
        <v>7732.87344285995</v>
      </c>
      <c r="J19" s="0" t="n">
        <f aca="false">J15+J16+J17+J18</f>
        <v>8224.50727157402</v>
      </c>
      <c r="K19" s="0" t="n">
        <f aca="false">K15+K16+K17+K18</f>
        <v>8702.88826717376</v>
      </c>
      <c r="L19" s="0" t="n">
        <f aca="false">L15+L16+L17+L18</f>
        <v>9162.11908592741</v>
      </c>
    </row>
    <row r="20" customFormat="false" ht="15" hidden="false" customHeight="false" outlineLevel="0" collapsed="false">
      <c r="A20" s="0" t="s">
        <v>126</v>
      </c>
      <c r="C20" s="0" t="n">
        <f aca="false">1/(1+$B$27/100)^C4</f>
        <v>0.943396226415094</v>
      </c>
      <c r="D20" s="0" t="n">
        <f aca="false">1/(1+$B$27/100)^D4</f>
        <v>0.88999644001424</v>
      </c>
      <c r="E20" s="0" t="n">
        <f aca="false">1/(1+$B$27/100)^E4</f>
        <v>0.839619283032302</v>
      </c>
      <c r="F20" s="0" t="n">
        <f aca="false">1/(1+$B$27/100)^F4</f>
        <v>0.79209366323802</v>
      </c>
      <c r="G20" s="0" t="n">
        <f aca="false">1/(1+$B$27/100)^G4</f>
        <v>0.747258172866057</v>
      </c>
      <c r="H20" s="0" t="n">
        <f aca="false">1/(1+$B$27/100)^H4</f>
        <v>0.704960540439676</v>
      </c>
      <c r="I20" s="0" t="n">
        <f aca="false">1/(1+$B$27/100)^I4</f>
        <v>0.665057113622336</v>
      </c>
      <c r="J20" s="0" t="n">
        <f aca="false">1/(1+$B$27/100)^J4</f>
        <v>0.627412371341827</v>
      </c>
      <c r="K20" s="0" t="n">
        <f aca="false">1/(1+$B$27/100)^K4</f>
        <v>0.591898463530025</v>
      </c>
      <c r="L20" s="0" t="n">
        <f aca="false">1/(1+$B$27/100)^L4</f>
        <v>0.558394776915118</v>
      </c>
    </row>
    <row r="21" customFormat="false" ht="15" hidden="false" customHeight="false" outlineLevel="0" collapsed="false">
      <c r="A21" s="0" t="s">
        <v>127</v>
      </c>
      <c r="C21" s="0" t="n">
        <f aca="false">C19*C20</f>
        <v>4242.61669197642</v>
      </c>
      <c r="D21" s="0" t="n">
        <f aca="false">D19*D20</f>
        <v>4113.87431817504</v>
      </c>
      <c r="E21" s="0" t="n">
        <f aca="false">E19*E20</f>
        <v>4155.98988577427</v>
      </c>
      <c r="F21" s="0" t="n">
        <f aca="false">F19*F20</f>
        <v>4437.58181411437</v>
      </c>
      <c r="G21" s="0" t="n">
        <f aca="false">G19*G20</f>
        <v>4818.12939651739</v>
      </c>
      <c r="H21" s="0" t="n">
        <f aca="false">H19*H20</f>
        <v>4994.09383693411</v>
      </c>
      <c r="I21" s="0" t="n">
        <f aca="false">I19*I20</f>
        <v>5142.80249191526</v>
      </c>
      <c r="J21" s="0" t="n">
        <f aca="false">J19*J20</f>
        <v>5160.15761037635</v>
      </c>
      <c r="K21" s="0" t="n">
        <f aca="false">K19*K20</f>
        <v>5151.22619361363</v>
      </c>
      <c r="L21" s="0" t="n">
        <f aca="false">L19*L20</f>
        <v>5116.07944305618</v>
      </c>
    </row>
    <row r="23" customFormat="false" ht="15" hidden="false" customHeight="false" outlineLevel="0" collapsed="false">
      <c r="A23" s="0" t="s">
        <v>103</v>
      </c>
      <c r="C23" s="4" t="n">
        <f aca="false">Assumptions!C44</f>
        <v>0.3</v>
      </c>
      <c r="D23" s="4" t="n">
        <f aca="false">Assumptions!D44</f>
        <v>0.3</v>
      </c>
      <c r="E23" s="4" t="n">
        <f aca="false">Assumptions!E44</f>
        <v>0.3</v>
      </c>
      <c r="F23" s="4" t="n">
        <f aca="false">Assumptions!F44</f>
        <v>0.3</v>
      </c>
      <c r="G23" s="4" t="n">
        <f aca="false">Assumptions!G44</f>
        <v>0.3</v>
      </c>
      <c r="H23" s="4" t="n">
        <f aca="false">Assumptions!H44</f>
        <v>0.3</v>
      </c>
      <c r="I23" s="4" t="n">
        <f aca="false">Assumptions!I44</f>
        <v>0.3</v>
      </c>
      <c r="J23" s="4" t="n">
        <f aca="false">Assumptions!J44</f>
        <v>0.3</v>
      </c>
      <c r="K23" s="4" t="n">
        <f aca="false">Assumptions!K44</f>
        <v>0.3</v>
      </c>
      <c r="L23" s="4" t="n">
        <f aca="false">Assumptions!L44</f>
        <v>0.3</v>
      </c>
    </row>
    <row r="24" customFormat="false" ht="15" hidden="false" customHeight="false" outlineLevel="0" collapsed="false">
      <c r="A24" s="0" t="s">
        <v>128</v>
      </c>
      <c r="C24" s="0" t="n">
        <f aca="false">-C6*C23/100</f>
        <v>-837.02828223</v>
      </c>
      <c r="D24" s="0" t="n">
        <f aca="false">-D6*D23/100</f>
        <v>-878.8796963415</v>
      </c>
      <c r="E24" s="0" t="n">
        <f aca="false">-E6*E23/100</f>
        <v>-931.61247812199</v>
      </c>
      <c r="F24" s="0" t="n">
        <f aca="false">-F6*F23/100</f>
        <v>-987.509226809309</v>
      </c>
      <c r="G24" s="0" t="n">
        <f aca="false">-G6*G23/100</f>
        <v>-1041.82223428382</v>
      </c>
      <c r="H24" s="0" t="n">
        <f aca="false">-H6*H23/100</f>
        <v>-1093.91334599801</v>
      </c>
      <c r="I24" s="0" t="n">
        <f aca="false">-I6*I23/100</f>
        <v>-1143.13944656792</v>
      </c>
      <c r="J24" s="0" t="n">
        <f aca="false">-J6*J23/100</f>
        <v>-1188.86502443064</v>
      </c>
      <c r="K24" s="0" t="n">
        <f aca="false">-K6*K23/100</f>
        <v>-1230.47530028571</v>
      </c>
      <c r="L24" s="0" t="n">
        <f aca="false">-L6*L23/100</f>
        <v>-1267.38955929428</v>
      </c>
    </row>
    <row r="26" customFormat="false" ht="15" hidden="false" customHeight="false" outlineLevel="0" collapsed="false">
      <c r="A26" s="2" t="s">
        <v>129</v>
      </c>
    </row>
    <row r="27" customFormat="false" ht="15" hidden="false" customHeight="false" outlineLevel="0" collapsed="false">
      <c r="A27" s="0" t="s">
        <v>107</v>
      </c>
      <c r="B27" s="4" t="n">
        <f aca="false">Assumptions!$B$48</f>
        <v>6</v>
      </c>
    </row>
    <row r="28" customFormat="false" ht="15" hidden="false" customHeight="false" outlineLevel="0" collapsed="false">
      <c r="A28" s="0" t="s">
        <v>108</v>
      </c>
      <c r="B28" s="4" t="n">
        <f aca="false">Assumptions!$B$49</f>
        <v>3</v>
      </c>
    </row>
    <row r="29" customFormat="false" ht="15" hidden="false" customHeight="false" outlineLevel="0" collapsed="false">
      <c r="A29" s="0" t="s">
        <v>109</v>
      </c>
      <c r="B29" s="4" t="n">
        <f aca="false">Assumptions!$B$50</f>
        <v>17</v>
      </c>
    </row>
    <row r="30" customFormat="false" ht="15" hidden="false" customHeight="false" outlineLevel="0" collapsed="false">
      <c r="A30" s="0" t="s">
        <v>130</v>
      </c>
      <c r="B30" s="0" t="n">
        <f aca="false">SUM(C21:L21)</f>
        <v>47332.551682453</v>
      </c>
    </row>
    <row r="31" customFormat="false" ht="15" hidden="false" customHeight="false" outlineLevel="0" collapsed="false">
      <c r="A31" s="0" t="s">
        <v>131</v>
      </c>
      <c r="B31" s="0" t="n">
        <f aca="false">L19</f>
        <v>9162.11908592741</v>
      </c>
    </row>
    <row r="32" customFormat="false" ht="15" hidden="false" customHeight="false" outlineLevel="0" collapsed="false">
      <c r="A32" s="0" t="s">
        <v>132</v>
      </c>
      <c r="B32" s="0" t="n">
        <f aca="false">IF(B27&gt;B28,B31*(1+B28/100)/((B27-B28)/100),B31*B29)</f>
        <v>314566.088616841</v>
      </c>
    </row>
    <row r="33" customFormat="false" ht="15" hidden="false" customHeight="false" outlineLevel="0" collapsed="false">
      <c r="A33" s="0" t="s">
        <v>133</v>
      </c>
      <c r="B33" s="0" t="n">
        <f aca="false">B31*B29</f>
        <v>155756.024460766</v>
      </c>
    </row>
    <row r="34" customFormat="false" ht="15" hidden="false" customHeight="false" outlineLevel="0" collapsed="false">
      <c r="A34" s="0" t="s">
        <v>134</v>
      </c>
      <c r="B34" s="0" t="n">
        <f aca="false">MAX(0,MIN(B32,B33))</f>
        <v>155756.024460766</v>
      </c>
    </row>
    <row r="35" customFormat="false" ht="15" hidden="false" customHeight="false" outlineLevel="0" collapsed="false">
      <c r="A35" s="0" t="s">
        <v>135</v>
      </c>
      <c r="B35" s="0" t="n">
        <f aca="false">B34/(1+B27/100)^L4</f>
        <v>86973.3505319551</v>
      </c>
    </row>
    <row r="36" customFormat="false" ht="15" hidden="false" customHeight="false" outlineLevel="0" collapsed="false">
      <c r="A36" s="0" t="s">
        <v>136</v>
      </c>
      <c r="B36" s="0" t="n">
        <f aca="false">B30+B35</f>
        <v>134305.902214408</v>
      </c>
    </row>
    <row r="37" customFormat="false" ht="15" hidden="false" customHeight="false" outlineLevel="0" collapsed="false">
      <c r="A37" s="0" t="s">
        <v>137</v>
      </c>
      <c r="B37" s="0" t="n">
        <f aca="false">B36+Assumptions!$B$5-Assumptions!$B$4</f>
        <v>79256.5322144081</v>
      </c>
    </row>
    <row r="38" customFormat="false" ht="15" hidden="false" customHeight="false" outlineLevel="0" collapsed="false">
      <c r="A38" s="0" t="s">
        <v>138</v>
      </c>
      <c r="B38" s="0" t="n">
        <f aca="false">B37/Assumptions!$B$3*Assumptions!$B$10</f>
        <v>14.819339466593</v>
      </c>
    </row>
    <row r="39" customFormat="false" ht="15" hidden="false" customHeight="false" outlineLevel="0" collapsed="false">
      <c r="A39" s="0" t="s">
        <v>139</v>
      </c>
      <c r="B39" s="4" t="n">
        <f aca="false">B38/Assumptions!$B$2-1</f>
        <v>2.34522335589007</v>
      </c>
    </row>
    <row r="41" customFormat="false" ht="15" hidden="false" customHeight="false" outlineLevel="0" collapsed="false">
      <c r="A41" s="0" t="s">
        <v>140</v>
      </c>
      <c r="B41" s="0" t="n">
        <f aca="false">SUMPRODUCT(-C10:L10/(1+$B$27/100)^C4:L4)</f>
        <v>0</v>
      </c>
    </row>
    <row r="42" customFormat="false" ht="15" hidden="false" customHeight="false" outlineLevel="0" collapsed="false">
      <c r="A42" s="0" t="s">
        <v>141</v>
      </c>
      <c r="B42" s="0" t="n">
        <f aca="false">IF(B27&gt;B28,-L10*(1+B28/100)/((B27-B28)/100),-L10*20)/(1+B27/100)^L4</f>
        <v>0</v>
      </c>
    </row>
    <row r="43" customFormat="false" ht="15" hidden="false" customHeight="false" outlineLevel="0" collapsed="false">
      <c r="A43" s="0" t="s">
        <v>142</v>
      </c>
      <c r="B43" s="0" t="n">
        <f aca="false">(B37+B41+B42)/Assumptions!$B$3*Assumptions!$B$10</f>
        <v>14.819339466593</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78641.5221542103</v>
      </c>
    </row>
    <row r="47" customFormat="false" ht="15" hidden="false" customHeight="false" outlineLevel="0" collapsed="false">
      <c r="A47" s="0" t="s">
        <v>144</v>
      </c>
      <c r="B47" s="0" t="n">
        <f aca="false">(SUMPRODUCT(C19:L19/(1+B45/100)^C4:L4)+B46/(1+B45/100)^L4+Assumptions!$B$5-Assumptions!$B$4)/Assumptions!$B$3*Assumptions!$B$10</f>
        <v>-0.961856924719151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147</v>
      </c>
    </row>
    <row r="3" customFormat="false" ht="15" hidden="false" customHeight="false" outlineLevel="0" collapsed="false">
      <c r="A3" s="2" t="s">
        <v>148</v>
      </c>
      <c r="B3" s="2" t="s">
        <v>149</v>
      </c>
      <c r="C3" s="2" t="s">
        <v>139</v>
      </c>
      <c r="D3" s="2" t="s">
        <v>150</v>
      </c>
      <c r="E3" s="2" t="s">
        <v>142</v>
      </c>
      <c r="F3" s="2" t="s">
        <v>151</v>
      </c>
    </row>
    <row r="4" customFormat="false" ht="15" hidden="false" customHeight="false" outlineLevel="0" collapsed="false">
      <c r="A4" s="0" t="s">
        <v>152</v>
      </c>
      <c r="B4" s="4" t="n">
        <f aca="false">DCF_Bear!$B$38</f>
        <v>-0.957372424755371</v>
      </c>
      <c r="C4" s="0" t="n">
        <f aca="false">B4/Assumptions!$B$2-1</f>
        <v>-1.21611115682965</v>
      </c>
      <c r="D4" s="4" t="n">
        <f aca="false">Assumptions!$B$24</f>
        <v>0.3</v>
      </c>
      <c r="E4" s="4" t="n">
        <f aca="false">DCF_Bear!$B$43</f>
        <v>-0.957372424755371</v>
      </c>
      <c r="F4" s="4" t="n">
        <f aca="false">DCF_Bear!$B$47</f>
        <v>-5.59932307330015</v>
      </c>
    </row>
    <row r="5" customFormat="false" ht="15" hidden="false" customHeight="false" outlineLevel="0" collapsed="false">
      <c r="A5" s="0" t="s">
        <v>153</v>
      </c>
      <c r="B5" s="4" t="n">
        <f aca="false">DCF_Base!$B$38</f>
        <v>5.29597937024851</v>
      </c>
      <c r="C5" s="0" t="n">
        <f aca="false">B5/Assumptions!$B$2-1</f>
        <v>0.195480670484991</v>
      </c>
      <c r="D5" s="4" t="n">
        <f aca="false">Assumptions!$B$38</f>
        <v>0.5</v>
      </c>
      <c r="E5" s="4" t="n">
        <f aca="false">DCF_Base!$B$43</f>
        <v>5.29597937024851</v>
      </c>
      <c r="F5" s="4" t="n">
        <f aca="false">DCF_Base!$B$47</f>
        <v>-3.78724456741885</v>
      </c>
    </row>
    <row r="6" customFormat="false" ht="15" hidden="false" customHeight="false" outlineLevel="0" collapsed="false">
      <c r="A6" s="0" t="s">
        <v>154</v>
      </c>
      <c r="B6" s="4" t="n">
        <f aca="false">DCF_Bull!$B$38</f>
        <v>14.819339466593</v>
      </c>
      <c r="C6" s="0" t="n">
        <f aca="false">B6/Assumptions!$B$2-1</f>
        <v>2.34522335589007</v>
      </c>
      <c r="D6" s="4" t="n">
        <f aca="false">Assumptions!$B$52</f>
        <v>0.2</v>
      </c>
      <c r="E6" s="4" t="n">
        <f aca="false">DCF_Bull!$B$43</f>
        <v>14.819339466593</v>
      </c>
      <c r="F6" s="4" t="n">
        <f aca="false">DCF_Bull!$B$47</f>
        <v>-0.961856924719151</v>
      </c>
    </row>
    <row r="8" customFormat="false" ht="15" hidden="false" customHeight="false" outlineLevel="0" collapsed="false">
      <c r="A8" s="0" t="s">
        <v>155</v>
      </c>
      <c r="B8" s="0" t="n">
        <f aca="false">SUMPRODUCT(B4:B6,D4:D6)</f>
        <v>5.32464585101624</v>
      </c>
    </row>
    <row r="9" customFormat="false" ht="15" hidden="false" customHeight="false" outlineLevel="0" collapsed="false">
      <c r="A9" s="0" t="s">
        <v>156</v>
      </c>
      <c r="B9" s="0" t="n">
        <f aca="false">SUMPRODUCT(E4:E6,D4:D6)</f>
        <v>5.32464585101624</v>
      </c>
    </row>
    <row r="10" customFormat="false" ht="15" hidden="false" customHeight="false" outlineLevel="0" collapsed="false">
      <c r="A10" s="0" t="s">
        <v>157</v>
      </c>
      <c r="B10" s="0" t="n">
        <f aca="false">1-Assumptions!$B$2/B8</f>
        <v>0.168019784986356</v>
      </c>
    </row>
    <row r="11" customFormat="false" ht="15" hidden="false" customHeight="false" outlineLevel="0" collapsed="false">
      <c r="A11" s="0" t="s">
        <v>158</v>
      </c>
      <c r="B11" s="0" t="str">
        <f aca="false">IF(ABS(B9-B8)&gt;0.01*ABS(B8),(Assumptions!$B$2-B8)/(B9-B8)*100,"n/a")</f>
        <v>n/a</v>
      </c>
    </row>
    <row r="12" customFormat="false" ht="15" hidden="false" customHeight="false" outlineLevel="0" collapsed="false">
      <c r="A12" s="0" t="s">
        <v>159</v>
      </c>
      <c r="B12" s="0" t="n">
        <f aca="false">SUMPRODUCT(F4:F6,D4:D6)</f>
        <v>-3.7657905906433</v>
      </c>
    </row>
    <row r="14" customFormat="false" ht="15" hidden="false" customHeight="false" outlineLevel="0" collapsed="false">
      <c r="A14" s="2" t="s">
        <v>160</v>
      </c>
      <c r="C14" s="0" t="s">
        <v>161</v>
      </c>
    </row>
    <row r="15" customFormat="false" ht="15" hidden="false" customHeight="false" outlineLevel="0" collapsed="false">
      <c r="A15" s="0" t="s">
        <v>162</v>
      </c>
      <c r="B15" s="0" t="n">
        <f aca="false">(SUMPRODUCT(DCF_Base!$C$19:$L$19/(1+$C$15/100)^DCF_Base!$C$4:$L$4)+MAX(0,MIN(IF($C$15&gt;DCF_Base!$B$28,DCF_Base!$L$19*(1+DCF_Base!$B$28/100)/(($C$15-DCF_Base!$B$28)/100),DCF_Base!$L$19*DCF_Base!$B$29),DCF_Base!$L$19*DCF_Base!$B$29))/(1+$C$15/100)^DCF_Base!$L$4+Assumptions!$B$5-Assumptions!$B$4)/Assumptions!$B$3*Assumptions!$B$10</f>
        <v>5.29597937024851</v>
      </c>
      <c r="C15" s="3" t="n">
        <v>6</v>
      </c>
    </row>
    <row r="16" customFormat="false" ht="15" hidden="false" customHeight="false" outlineLevel="0" collapsed="false">
      <c r="A16" s="0" t="s">
        <v>163</v>
      </c>
      <c r="B16" s="0" t="n">
        <f aca="false">(SUMPRODUCT(DCF_Base!$C$19:$L$19/(1+$C$16/100)^DCF_Base!$C$4:$L$4)+MAX(0,MIN(IF($C$16&gt;DCF_Base!$B$28,DCF_Base!$L$19*(1+DCF_Base!$B$28/100)/(($C$16-DCF_Base!$B$28)/100),DCF_Base!$L$19*DCF_Base!$B$29),DCF_Base!$L$19*DCF_Base!$B$29))/(1+$C$16/100)^DCF_Base!$L$4+Assumptions!$B$5-Assumptions!$B$4)/Assumptions!$B$3*Assumptions!$B$10</f>
        <v>2.19312157637371</v>
      </c>
      <c r="C16" s="3" t="n">
        <v>9</v>
      </c>
    </row>
    <row r="17" customFormat="false" ht="15" hidden="false" customHeight="false" outlineLevel="0" collapsed="false">
      <c r="A17" s="0" t="s">
        <v>164</v>
      </c>
      <c r="B17" s="0" t="n">
        <f aca="false">(SUMPRODUCT(DCF_Base!$C$19:$L$19/(1+$C$17/100)^DCF_Base!$C$4:$L$4)+MAX(0,MIN(IF($C$17&gt;DCF_Base!$B$28,DCF_Base!$L$19*(1+DCF_Base!$B$28/100)/(($C$17-DCF_Base!$B$28)/100),DCF_Base!$L$19*DCF_Base!$B$29),DCF_Base!$L$19*DCF_Base!$B$29))/(1+$C$17/100)^DCF_Base!$L$4+Assumptions!$B$5-Assumptions!$B$4)/Assumptions!$B$3*Assumptions!$B$10</f>
        <v>0.778870385946975</v>
      </c>
      <c r="C17" s="3" t="n">
        <v>10</v>
      </c>
    </row>
    <row r="18" customFormat="false" ht="15" hidden="false" customHeight="false" outlineLevel="0" collapsed="false">
      <c r="A18" s="0" t="s">
        <v>165</v>
      </c>
      <c r="B18" s="0" t="n">
        <f aca="false">(SUMPRODUCT(DCF_Base!$C$19:$L$19/(1+$C$18/100)^DCF_Base!$C$4:$L$4)+MAX(0,MIN(IF($C$18&gt;DCF_Base!$B$28,DCF_Base!$L$19*(1+DCF_Base!$B$28/100)/(($C$18-DCF_Base!$B$28)/100),DCF_Base!$L$19*DCF_Base!$B$29),DCF_Base!$L$19*DCF_Base!$B$29))/(1+$C$18/100)^DCF_Base!$L$4+Assumptions!$B$5-Assumptions!$B$4)/Assumptions!$B$3*Assumptions!$B$10</f>
        <v>-0.5693058264875</v>
      </c>
      <c r="C18" s="3" t="n">
        <v>11</v>
      </c>
    </row>
    <row r="19" customFormat="false" ht="15" hidden="false" customHeight="false" outlineLevel="0" collapsed="false">
      <c r="A19" s="0" t="s">
        <v>166</v>
      </c>
      <c r="B19" s="0" t="n">
        <f aca="false">(SUMPRODUCT(DCF_Base!$C$19:$L$19/(1+$C$19/100)^DCF_Base!$C$4:$L$4)+MAX(0,MIN(IF($C$19&gt;DCF_Base!$B$28,DCF_Base!$L$19*(1+DCF_Base!$B$28/100)/(($C$19-DCF_Base!$B$28)/100),DCF_Base!$L$19*DCF_Base!$B$29),DCF_Base!$L$19*DCF_Base!$B$29))/(1+$C$19/100)^DCF_Base!$L$4+Assumptions!$B$5-Assumptions!$B$4)/Assumptions!$B$3*Assumptions!$B$10</f>
        <v>-1.63116401604974</v>
      </c>
      <c r="C19" s="3" t="n">
        <v>12</v>
      </c>
    </row>
    <row r="20" customFormat="false" ht="15" hidden="false" customHeight="false" outlineLevel="0" collapsed="false">
      <c r="A20" s="0" t="s">
        <v>167</v>
      </c>
      <c r="B20" s="0" t="n">
        <f aca="false">(SUMPRODUCT(DCF_Base!$C$19:$L$19/(1+$C$20/100)^DCF_Base!$C$4:$L$4)+MAX(0,MIN(IF($C$20&gt;DCF_Base!$B$28,DCF_Base!$L$19*(1+DCF_Base!$B$28/100)/(($C$20-DCF_Base!$B$28)/100),DCF_Base!$L$19*DCF_Base!$B$29),DCF_Base!$L$19*DCF_Base!$B$29))/(1+$C$20/100)^DCF_Base!$L$4+Assumptions!$B$5-Assumptions!$B$4)/Assumptions!$B$3*Assumptions!$B$10</f>
        <v>-3.78724456741885</v>
      </c>
      <c r="C20" s="3" t="n">
        <v>15</v>
      </c>
    </row>
    <row r="22" customFormat="false" ht="15" hidden="false" customHeight="false" outlineLevel="0" collapsed="false">
      <c r="A22" s="2" t="s">
        <v>168</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4</v>
      </c>
      <c r="B24" s="0" t="n">
        <f aca="false">(SUMPRODUCT(DCF_Base!$C$19:$L$19/(1+$A$24/100)^DCF_Base!$C$4:$L$4)+MAX(0,MIN(IF($A$24&gt;$B$23,DCF_Base!$L$19*(1+$B$23/100)/(($A$24-$B$23)/100),DCF_Base!$L$19*DCF_Base!$B$29),DCF_Base!$L$19*DCF_Base!$B$29))/(1+$A$24/100)^DCF_Base!$L$4+Assumptions!$B$5-Assumptions!$B$4)/Assumptions!$B$3*Assumptions!$B$10</f>
        <v>7.91676535418628</v>
      </c>
      <c r="C24" s="0" t="n">
        <f aca="false">(SUMPRODUCT(DCF_Base!$C$19:$L$19/(1+$A$24/100)^DCF_Base!$C$4:$L$4)+MAX(0,MIN(IF($A$24&gt;$C$23,DCF_Base!$L$19*(1+$C$23/100)/(($A$24-$C$23)/100),DCF_Base!$L$19*DCF_Base!$B$29),DCF_Base!$L$19*DCF_Base!$B$29))/(1+$A$24/100)^DCF_Base!$L$4+Assumptions!$B$5-Assumptions!$B$4)/Assumptions!$B$3*Assumptions!$B$10</f>
        <v>7.91676535418628</v>
      </c>
      <c r="D24" s="0" t="n">
        <f aca="false">(SUMPRODUCT(DCF_Base!$C$19:$L$19/(1+$A$24/100)^DCF_Base!$C$4:$L$4)+MAX(0,MIN(IF($A$24&gt;$D$23,DCF_Base!$L$19*(1+$D$23/100)/(($A$24-$D$23)/100),DCF_Base!$L$19*DCF_Base!$B$29),DCF_Base!$L$19*DCF_Base!$B$29))/(1+$A$24/100)^DCF_Base!$L$4+Assumptions!$B$5-Assumptions!$B$4)/Assumptions!$B$3*Assumptions!$B$10</f>
        <v>7.91676535418628</v>
      </c>
      <c r="E24" s="0" t="n">
        <f aca="false">(SUMPRODUCT(DCF_Base!$C$19:$L$19/(1+$A$24/100)^DCF_Base!$C$4:$L$4)+MAX(0,MIN(IF($A$24&gt;$E$23,DCF_Base!$L$19*(1+$E$23/100)/(($A$24-$E$23)/100),DCF_Base!$L$19*DCF_Base!$B$29),DCF_Base!$L$19*DCF_Base!$B$29))/(1+$A$24/100)^DCF_Base!$L$4+Assumptions!$B$5-Assumptions!$B$4)/Assumptions!$B$3*Assumptions!$B$10</f>
        <v>7.91676535418628</v>
      </c>
      <c r="F24" s="0" t="n">
        <f aca="false">(SUMPRODUCT(DCF_Base!$C$19:$L$19/(1+$A$24/100)^DCF_Base!$C$4:$L$4)+MAX(0,MIN(IF($A$24&gt;$F$23,DCF_Base!$L$19*(1+$F$23/100)/(($A$24-$F$23)/100),DCF_Base!$L$19*DCF_Base!$B$29),DCF_Base!$L$19*DCF_Base!$B$29))/(1+$A$24/100)^DCF_Base!$L$4+Assumptions!$B$5-Assumptions!$B$4)/Assumptions!$B$3*Assumptions!$B$10</f>
        <v>7.91676535418628</v>
      </c>
    </row>
    <row r="25" customFormat="false" ht="15" hidden="false" customHeight="false" outlineLevel="0" collapsed="false">
      <c r="A25" s="3" t="n">
        <v>5</v>
      </c>
      <c r="B25" s="0" t="n">
        <f aca="false">(SUMPRODUCT(DCF_Base!$C$19:$L$19/(1+$A$25/100)^DCF_Base!$C$4:$L$4)+MAX(0,MIN(IF($A$25&gt;$B$23,DCF_Base!$L$19*(1+$B$23/100)/(($A$25-$B$23)/100),DCF_Base!$L$19*DCF_Base!$B$29),DCF_Base!$L$19*DCF_Base!$B$29))/(1+$A$25/100)^DCF_Base!$L$4+Assumptions!$B$5-Assumptions!$B$4)/Assumptions!$B$3*Assumptions!$B$10</f>
        <v>6.54288047903139</v>
      </c>
      <c r="C25" s="0" t="n">
        <f aca="false">(SUMPRODUCT(DCF_Base!$C$19:$L$19/(1+$A$25/100)^DCF_Base!$C$4:$L$4)+MAX(0,MIN(IF($A$25&gt;$C$23,DCF_Base!$L$19*(1+$C$23/100)/(($A$25-$C$23)/100),DCF_Base!$L$19*DCF_Base!$B$29),DCF_Base!$L$19*DCF_Base!$B$29))/(1+$A$25/100)^DCF_Base!$L$4+Assumptions!$B$5-Assumptions!$B$4)/Assumptions!$B$3*Assumptions!$B$10</f>
        <v>6.54288047903139</v>
      </c>
      <c r="D25" s="0" t="n">
        <f aca="false">(SUMPRODUCT(DCF_Base!$C$19:$L$19/(1+$A$25/100)^DCF_Base!$C$4:$L$4)+MAX(0,MIN(IF($A$25&gt;$D$23,DCF_Base!$L$19*(1+$D$23/100)/(($A$25-$D$23)/100),DCF_Base!$L$19*DCF_Base!$B$29),DCF_Base!$L$19*DCF_Base!$B$29))/(1+$A$25/100)^DCF_Base!$L$4+Assumptions!$B$5-Assumptions!$B$4)/Assumptions!$B$3*Assumptions!$B$10</f>
        <v>6.54288047903139</v>
      </c>
      <c r="E25" s="0" t="n">
        <f aca="false">(SUMPRODUCT(DCF_Base!$C$19:$L$19/(1+$A$25/100)^DCF_Base!$C$4:$L$4)+MAX(0,MIN(IF($A$25&gt;$E$23,DCF_Base!$L$19*(1+$E$23/100)/(($A$25-$E$23)/100),DCF_Base!$L$19*DCF_Base!$B$29),DCF_Base!$L$19*DCF_Base!$B$29))/(1+$A$25/100)^DCF_Base!$L$4+Assumptions!$B$5-Assumptions!$B$4)/Assumptions!$B$3*Assumptions!$B$10</f>
        <v>6.54288047903139</v>
      </c>
      <c r="F25" s="0" t="n">
        <f aca="false">(SUMPRODUCT(DCF_Base!$C$19:$L$19/(1+$A$25/100)^DCF_Base!$C$4:$L$4)+MAX(0,MIN(IF($A$25&gt;$F$23,DCF_Base!$L$19*(1+$F$23/100)/(($A$25-$F$23)/100),DCF_Base!$L$19*DCF_Base!$B$29),DCF_Base!$L$19*DCF_Base!$B$29))/(1+$A$25/100)^DCF_Base!$L$4+Assumptions!$B$5-Assumptions!$B$4)/Assumptions!$B$3*Assumptions!$B$10</f>
        <v>6.54288047903139</v>
      </c>
    </row>
    <row r="26" customFormat="false" ht="15" hidden="false" customHeight="false" outlineLevel="0" collapsed="false">
      <c r="A26" s="3" t="n">
        <v>6</v>
      </c>
      <c r="B26" s="0" t="n">
        <f aca="false">(SUMPRODUCT(DCF_Base!$C$19:$L$19/(1+$A$26/100)^DCF_Base!$C$4:$L$4)+MAX(0,MIN(IF($A$26&gt;$B$23,DCF_Base!$L$19*(1+$B$23/100)/(($A$26-$B$23)/100),DCF_Base!$L$19*DCF_Base!$B$29),DCF_Base!$L$19*DCF_Base!$B$29))/(1+$A$26/100)^DCF_Base!$L$4+Assumptions!$B$5-Assumptions!$B$4)/Assumptions!$B$3*Assumptions!$B$10</f>
        <v>5.29597937024851</v>
      </c>
      <c r="C26" s="0" t="n">
        <f aca="false">(SUMPRODUCT(DCF_Base!$C$19:$L$19/(1+$A$26/100)^DCF_Base!$C$4:$L$4)+MAX(0,MIN(IF($A$26&gt;$C$23,DCF_Base!$L$19*(1+$C$23/100)/(($A$26-$C$23)/100),DCF_Base!$L$19*DCF_Base!$B$29),DCF_Base!$L$19*DCF_Base!$B$29))/(1+$A$26/100)^DCF_Base!$L$4+Assumptions!$B$5-Assumptions!$B$4)/Assumptions!$B$3*Assumptions!$B$10</f>
        <v>5.29597937024851</v>
      </c>
      <c r="D26" s="0" t="n">
        <f aca="false">(SUMPRODUCT(DCF_Base!$C$19:$L$19/(1+$A$26/100)^DCF_Base!$C$4:$L$4)+MAX(0,MIN(IF($A$26&gt;$D$23,DCF_Base!$L$19*(1+$D$23/100)/(($A$26-$D$23)/100),DCF_Base!$L$19*DCF_Base!$B$29),DCF_Base!$L$19*DCF_Base!$B$29))/(1+$A$26/100)^DCF_Base!$L$4+Assumptions!$B$5-Assumptions!$B$4)/Assumptions!$B$3*Assumptions!$B$10</f>
        <v>5.29597937024851</v>
      </c>
      <c r="E26" s="0" t="n">
        <f aca="false">(SUMPRODUCT(DCF_Base!$C$19:$L$19/(1+$A$26/100)^DCF_Base!$C$4:$L$4)+MAX(0,MIN(IF($A$26&gt;$E$23,DCF_Base!$L$19*(1+$E$23/100)/(($A$26-$E$23)/100),DCF_Base!$L$19*DCF_Base!$B$29),DCF_Base!$L$19*DCF_Base!$B$29))/(1+$A$26/100)^DCF_Base!$L$4+Assumptions!$B$5-Assumptions!$B$4)/Assumptions!$B$3*Assumptions!$B$10</f>
        <v>5.29597937024851</v>
      </c>
      <c r="F26" s="0" t="n">
        <f aca="false">(SUMPRODUCT(DCF_Base!$C$19:$L$19/(1+$A$26/100)^DCF_Base!$C$4:$L$4)+MAX(0,MIN(IF($A$26&gt;$F$23,DCF_Base!$L$19*(1+$F$23/100)/(($A$26-$F$23)/100),DCF_Base!$L$19*DCF_Base!$B$29),DCF_Base!$L$19*DCF_Base!$B$29))/(1+$A$26/100)^DCF_Base!$L$4+Assumptions!$B$5-Assumptions!$B$4)/Assumptions!$B$3*Assumptions!$B$10</f>
        <v>5.29597937024851</v>
      </c>
    </row>
    <row r="27" customFormat="false" ht="15" hidden="false" customHeight="false" outlineLevel="0" collapsed="false">
      <c r="A27" s="3" t="n">
        <v>7</v>
      </c>
      <c r="B27" s="0" t="n">
        <f aca="false">(SUMPRODUCT(DCF_Base!$C$19:$L$19/(1+$A$27/100)^DCF_Base!$C$4:$L$4)+MAX(0,MIN(IF($A$27&gt;$B$23,DCF_Base!$L$19*(1+$B$23/100)/(($A$27-$B$23)/100),DCF_Base!$L$19*DCF_Base!$B$29),DCF_Base!$L$19*DCF_Base!$B$29))/(1+$A$27/100)^DCF_Base!$L$4+Assumptions!$B$5-Assumptions!$B$4)/Assumptions!$B$3*Assumptions!$B$10</f>
        <v>4.16293495902829</v>
      </c>
      <c r="C27" s="0" t="n">
        <f aca="false">(SUMPRODUCT(DCF_Base!$C$19:$L$19/(1+$A$27/100)^DCF_Base!$C$4:$L$4)+MAX(0,MIN(IF($A$27&gt;$C$23,DCF_Base!$L$19*(1+$C$23/100)/(($A$27-$C$23)/100),DCF_Base!$L$19*DCF_Base!$B$29),DCF_Base!$L$19*DCF_Base!$B$29))/(1+$A$27/100)^DCF_Base!$L$4+Assumptions!$B$5-Assumptions!$B$4)/Assumptions!$B$3*Assumptions!$B$10</f>
        <v>4.16293495902829</v>
      </c>
      <c r="D27" s="0" t="n">
        <f aca="false">(SUMPRODUCT(DCF_Base!$C$19:$L$19/(1+$A$27/100)^DCF_Base!$C$4:$L$4)+MAX(0,MIN(IF($A$27&gt;$D$23,DCF_Base!$L$19*(1+$D$23/100)/(($A$27-$D$23)/100),DCF_Base!$L$19*DCF_Base!$B$29),DCF_Base!$L$19*DCF_Base!$B$29))/(1+$A$27/100)^DCF_Base!$L$4+Assumptions!$B$5-Assumptions!$B$4)/Assumptions!$B$3*Assumptions!$B$10</f>
        <v>4.16293495902829</v>
      </c>
      <c r="E27" s="0" t="n">
        <f aca="false">(SUMPRODUCT(DCF_Base!$C$19:$L$19/(1+$A$27/100)^DCF_Base!$C$4:$L$4)+MAX(0,MIN(IF($A$27&gt;$E$23,DCF_Base!$L$19*(1+$E$23/100)/(($A$27-$E$23)/100),DCF_Base!$L$19*DCF_Base!$B$29),DCF_Base!$L$19*DCF_Base!$B$29))/(1+$A$27/100)^DCF_Base!$L$4+Assumptions!$B$5-Assumptions!$B$4)/Assumptions!$B$3*Assumptions!$B$10</f>
        <v>4.16293495902829</v>
      </c>
      <c r="F27" s="0" t="n">
        <f aca="false">(SUMPRODUCT(DCF_Base!$C$19:$L$19/(1+$A$27/100)^DCF_Base!$C$4:$L$4)+MAX(0,MIN(IF($A$27&gt;$F$23,DCF_Base!$L$19*(1+$F$23/100)/(($A$27-$F$23)/100),DCF_Base!$L$19*DCF_Base!$B$29),DCF_Base!$L$19*DCF_Base!$B$29))/(1+$A$27/100)^DCF_Base!$L$4+Assumptions!$B$5-Assumptions!$B$4)/Assumptions!$B$3*Assumptions!$B$10</f>
        <v>4.16293495902829</v>
      </c>
    </row>
    <row r="28" customFormat="false" ht="15" hidden="false" customHeight="false" outlineLevel="0" collapsed="false">
      <c r="A28" s="3" t="n">
        <v>8</v>
      </c>
      <c r="B28" s="0" t="n">
        <f aca="false">(SUMPRODUCT(DCF_Base!$C$19:$L$19/(1+$A$28/100)^DCF_Base!$C$4:$L$4)+MAX(0,MIN(IF($A$28&gt;$B$23,DCF_Base!$L$19*(1+$B$23/100)/(($A$28-$B$23)/100),DCF_Base!$L$19*DCF_Base!$B$29),DCF_Base!$L$19*DCF_Base!$B$29))/(1+$A$28/100)^DCF_Base!$L$4+Assumptions!$B$5-Assumptions!$B$4)/Assumptions!$B$3*Assumptions!$B$10</f>
        <v>3.13209872843272</v>
      </c>
      <c r="C28" s="0" t="n">
        <f aca="false">(SUMPRODUCT(DCF_Base!$C$19:$L$19/(1+$A$28/100)^DCF_Base!$C$4:$L$4)+MAX(0,MIN(IF($A$28&gt;$C$23,DCF_Base!$L$19*(1+$C$23/100)/(($A$28-$C$23)/100),DCF_Base!$L$19*DCF_Base!$B$29),DCF_Base!$L$19*DCF_Base!$B$29))/(1+$A$28/100)^DCF_Base!$L$4+Assumptions!$B$5-Assumptions!$B$4)/Assumptions!$B$3*Assumptions!$B$10</f>
        <v>3.13209872843272</v>
      </c>
      <c r="D28" s="0" t="n">
        <f aca="false">(SUMPRODUCT(DCF_Base!$C$19:$L$19/(1+$A$28/100)^DCF_Base!$C$4:$L$4)+MAX(0,MIN(IF($A$28&gt;$D$23,DCF_Base!$L$19*(1+$D$23/100)/(($A$28-$D$23)/100),DCF_Base!$L$19*DCF_Base!$B$29),DCF_Base!$L$19*DCF_Base!$B$29))/(1+$A$28/100)^DCF_Base!$L$4+Assumptions!$B$5-Assumptions!$B$4)/Assumptions!$B$3*Assumptions!$B$10</f>
        <v>3.13209872843272</v>
      </c>
      <c r="E28" s="0" t="n">
        <f aca="false">(SUMPRODUCT(DCF_Base!$C$19:$L$19/(1+$A$28/100)^DCF_Base!$C$4:$L$4)+MAX(0,MIN(IF($A$28&gt;$E$23,DCF_Base!$L$19*(1+$E$23/100)/(($A$28-$E$23)/100),DCF_Base!$L$19*DCF_Base!$B$29),DCF_Base!$L$19*DCF_Base!$B$29))/(1+$A$28/100)^DCF_Base!$L$4+Assumptions!$B$5-Assumptions!$B$4)/Assumptions!$B$3*Assumptions!$B$10</f>
        <v>3.13209872843272</v>
      </c>
      <c r="F28" s="0" t="n">
        <f aca="false">(SUMPRODUCT(DCF_Base!$C$19:$L$19/(1+$A$28/100)^DCF_Base!$C$4:$L$4)+MAX(0,MIN(IF($A$28&gt;$F$23,DCF_Base!$L$19*(1+$F$23/100)/(($A$28-$F$23)/100),DCF_Base!$L$19*DCF_Base!$B$29),DCF_Base!$L$19*DCF_Base!$B$29))/(1+$A$28/100)^DCF_Base!$L$4+Assumptions!$B$5-Assumptions!$B$4)/Assumptions!$B$3*Assumptions!$B$10</f>
        <v>3.13209872843272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2026-10-22T08:16:01Z</dcterms:created>
  <dc:creator>openpyxl</dc:creator>
  <dc:description/>
  <dc:language>en-NZ</dc:language>
  <cp:lastModifiedBy/>
  <dcterms:modified xsi:type="dcterms:W3CDTF">2026-10-22T08:16:01Z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