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<sst xmlns="http://schemas.openxmlformats.org/spreadsheetml/2006/main" count="363" uniqueCount="167">
  <si>
    <t xml:space="preserve">Ticker</t>
  </si>
  <si>
    <t xml:space="preserve">UL</t>
  </si>
  <si>
    <t xml:space="preserve">Company</t>
  </si>
  <si>
    <t xml:space="preserve">Unilever PLC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</si>
  <si>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</si>
  <si>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</si>
  <si>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</si>
  <si>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</si>
  <si>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(Friday; valuation written Saturday 2026-10-04, no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</si>
  <si>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</si>
  <si>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</si>
  <si>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</si>
  <si>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</si>
  <si>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</si>
  <si>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</si>
  <si>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</si>
  <si>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</si>
  <si>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</si>
  <si>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</si>
  <si>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</si>
  <si>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</si>
  <si>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</si>
  <si>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2026-10-04T09:08:09Z</t>
  </si>
  <si>
    <t xml:space="preserve">Drivers file</t>
  </si>
  <si>
    <t xml:space="preserve">UL_Drivers.json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</si>
  <si>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</si>
  <si>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</si>
  <si>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</si>
  <si>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Unilever as a mature, net-indebted staples compounder on continuing-operations owner FCF: SBC expensed, share count flat, leases in net debt, minority leakage in the flows, non-operating assets (TMICC stake, JVs) added back once because their income is outside the flows. The valuation is terminal-dominated and capped at 20x owner FCF; the 7% EUR WACC carries the EM translation risk once. The honest finding is that the NYSE price sits near the base case: the market is paying for the Growth Action Plan delivering roughly what management guides, with no margin of safety against the bear path.
key_risks_to_valuation: Terminal value is ~60%+ of EV and bound by the 20x cap; a 2x change in the cap moves value ~8-10%.; Structural EM-currency translation drag (2-3pp/yr historically) is modelled at ~1pp; if the decade repeats, the base case overstates nominal EUR growth.; Restructuring is modelled as a permanent ~1% of turnover; if management's 'one-off' framing is right, value is understated by ~EUR2-3/share, if the EUR800m programme is followed by another, as every prior programme was, the base is right.; NCI leakage is held at 8.55% of profit; Hindustan Unilever grows faster than the group and its minority is 38%, so leakage drifts up over time.; Pension surplus (EUR3.7bn) and the 20x-plus multiple the market assigns to HUL are both excluded; the model is conservative on both.; FX: fx_rate 1.1257 EUR-&gt;USD is dated 2026-10-02; refresh_price.py moves the price but not the rate.</t>
  </si>
  <si>
    <t xml:space="preserve">Data sources</t>
  </si>
  <si>
    <t xml:space="preserve">price: Yahoo Finance chart API for UL (NYSE, USD) at inputs.price_as_of; 52-week range 54.75-74.98. Parity: UNA.AS (EUR) and ULVR.L (GBp) same-day closes, EURUSD=X for the rate.
financials: UL_Metrics.csv (continuing-operations basis from FY2023; financial-parser adjudication), UL_Annual_FY2025.txt (20-F: non-underlying items table, FCF reconciliation, cash flow statement, TMICC fair value 1,672 at demerger), UL_HalfYear_H1-2026.txt (net debt reconciliation, diluted shares 2,183m, TMICC stake 1,852, pension surplus 3.7bn, restructuring guidance ~1.0% of turnover, UETR ~26%, net finance cost &lt;3% of net debt).
qualitative: UL_Analysis.json (Growth Action Plan 2030, Power Brands, EM price resets, guidance raised at H1 2026 to the top of the 4-6% USG range).</t>
  </si>
  <si>
    <t xml:space="preserve">Scenario narrative: bear</t>
  </si>
  <si>
    <t xml:space="preserve">The volume recovery proves to be price investment, not demand: resets spread across cash-strained Asian markets, private label keeps taking Home Care and Foods share in Europe and the US, and USG slips back to the 3-3.5% of FY2025 while EM currencies keep depreciating against the EUR, leaving 1.5-2% nominal growth. Margins give back the demerger uplift (UOM ~19%) as marketing is reinvested and restructuring recurs; a third CEO change in a decade and renewed activist pressure follow. No solvency element: net debt/UEBITDA stays ~2.5x and the dividend is covered, so the bear case is a de-rating to a 16x terminal multiple, not a distress path.</t>
  </si>
  <si>
    <t xml:space="preserve">Scenario narrative: base</t>
  </si>
  <si>
    <t xml:space="preserve">Unilever post-demerger is a four-segment staples compounder: underlying sales growth in the 4-6% range (FY2026 at the top on the best volume growth since 2010), translated into ~3.5% nominal EUR growth after the structural emerging-market currency drag that has cost 2-3pp/yr for a decade. Underlying operating margin improves modestly from 20.0% toward ~21% by the mid-2030s as Power Brands (78% of turnover) and Prestige Beauty &amp; Wellbeing (Dermalogica, Paula's Choice, Nutrafol, Liquid I.V., Gruns) raise mix, while restructuring stays a recurring ~1% of turnover rather than a one-off. The axes that decide this case are (1) whether the H1 2026 volume acceleration persists once H2 growth becomes price-led, (2) whether EM price resets (Thailand) remain contained, and (3) EUR translation. Terminal value is bound by the 20x owner-FCF cap (Gordon at 7%/2.5% would be 22.8x).</t>
  </si>
  <si>
    <t xml:space="preserve">Scenario narrative: bull</t>
  </si>
  <si>
    <t xml:space="preserve">The Growth Action Plan works: USG holds at ~6% with EM volume (India via Hindustan Unilever, Turkey, Vietnam, Indonesia) and US premiumisation both delivering, FX turns neutral, and the simplified portfolio converts productivity into ~22% underlying operating margins by the early 2030s, closing part of the gap to P&amp;G. The TMICC sell-down and EUR6bn 2026-29 buyback programme recycle capital without adding leverage. Tax plus minority leakage eases to 32.5% as the underlying ETR settles at the guided 26%.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</si>
  <si>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</si>
  <si>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</si>
  <si>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</si>
  <si>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</si>
  <si>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</si>
  <si>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</si>
  <si>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</si>
  <si>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</si>
  <si>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</si>
  <si>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</si>
  <si>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</si>
  <si>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</si>
  <si>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</si>
  <si>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</si>
  <si>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</si>
  <si>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</si>
  <si>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</si>
  <si>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</si>
  <si>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</si>
  <si>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</si>
  <si>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</si>
  <si>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</si>
  <si>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</si>
  <si>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</si>
  <si>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</si>
  <si>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</si>
  <si>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</si>
  <si>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</si>
  <si>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</si>
  <si>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</si>
  <si>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</si>
  <si>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</si>
  <si>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</si>
  <si>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</si>
  <si>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</si>
  <si>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</si>
  <si>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</si>
  <si>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</si>
  <si>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</si>
  <si>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</si>
  <si>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</si>
  <si>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</si>
  <si>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</si>
  <si>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</si>
  <si>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</si>
  <si>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</si>
  <si>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</si>
  <si>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</si>
  <si>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</si>
  <si>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</si>
  <si>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</si>
  <si>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</si>
  <si>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</si>
  <si>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</si>
  <si>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</si>
  <si>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</si>
  <si>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</si>
  <si>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</si>
  <si>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</si>
  <si>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</si>
  <si>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</si>
  <si>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</si>
  <si>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</si>
  <si>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</si>
  <si>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</si>
  <si>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</si>
  <si>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</si>
  <si>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</si>
  <si>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</si>
  <si>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</si>
  <si>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</si>
  <si>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</si>
  <si>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</si>
  <si>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</si>
  <si>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</si>
  <si>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UL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</si>
  <si>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</si>
  <si>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</si>
  <si>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</si>
  <si>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</si>
  <si>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</si>
  <si>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</si>
  <si>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</si>
  <si>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</si>
  <si>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</si>
  <si>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</si>
  <si>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</si>
  <si>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</si>
  <si>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</si>
  <si>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</si>
  <si>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</si>
  <si>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</si>
  <si>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</si>
  <si>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</si>
  <si>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</si>
  <si>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</si>
  <si>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</si>
  <si>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</si>
  <si>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</si>
  <si>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</si>
  <si>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</si>
  <si>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</si>
  <si>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</si>
  <si>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</si>
  <si>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</si>
  <si>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</si>
  <si>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UL owner-FCF component DCF: base case (millions, EUR)</t>
  </si>
  <si>
    <t xml:space="preserve">UL owner-FCF component DCF: bull case (millions, EUR)</t>
  </si>
  <si>
    <t xml:space="preserve">UL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</si>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</sst>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59.7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53272</v>
      </c>
      <c r="C2" s="0" t="n">
        <v>30808</v>
      </c>
      <c r="D2" s="0" t="n">
        <v>22464</v>
      </c>
      <c r="E2" s="0" t="n">
        <v>42.2</v>
      </c>
      <c r="F2" s="0" t="n">
        <v>7515</v>
      </c>
      <c r="G2" s="0" t="n">
        <v>14.1</v>
      </c>
      <c r="H2" s="0" t="n">
        <v>8885</v>
      </c>
      <c r="I2" s="0" t="n">
        <v>4909</v>
      </c>
      <c r="J2" s="0" t="n">
        <v>9.2</v>
      </c>
      <c r="K2" s="0" t="n">
        <v>1.94</v>
      </c>
      <c r="L2" s="0" t="n">
        <v>7330</v>
      </c>
      <c r="M2" s="0" t="n">
        <v>2201</v>
      </c>
      <c r="N2" s="0" t="n">
        <v>5129</v>
      </c>
      <c r="O2" s="0" t="n">
        <v>15439</v>
      </c>
      <c r="P2" s="0" t="n">
        <v>52298</v>
      </c>
      <c r="Q2" s="0" t="n">
        <v>36216</v>
      </c>
      <c r="R2" s="0" t="n">
        <v>14643</v>
      </c>
      <c r="S2" s="0" t="n">
        <v>2302</v>
      </c>
      <c r="T2" s="0" t="n">
        <v>2538.1</v>
      </c>
      <c r="U2" s="0" t="n">
        <v>150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52713</v>
      </c>
      <c r="C3" s="0" t="n">
        <v>30229</v>
      </c>
      <c r="D3" s="0" t="n">
        <v>22484</v>
      </c>
      <c r="E3" s="0" t="n">
        <v>42.7</v>
      </c>
      <c r="F3" s="0" t="n">
        <v>7801</v>
      </c>
      <c r="G3" s="0" t="n">
        <v>14.8</v>
      </c>
      <c r="H3" s="0" t="n">
        <v>9265</v>
      </c>
      <c r="I3" s="0" t="n">
        <v>5184</v>
      </c>
      <c r="J3" s="0" t="n">
        <v>9.8</v>
      </c>
      <c r="K3" s="0" t="n">
        <v>2.05</v>
      </c>
      <c r="L3" s="0" t="n">
        <v>7047</v>
      </c>
      <c r="M3" s="0" t="n">
        <v>2036</v>
      </c>
      <c r="N3" s="0" t="n">
        <v>5011</v>
      </c>
      <c r="O3" s="0" t="n">
        <v>16354</v>
      </c>
      <c r="P3" s="0" t="n">
        <v>56429</v>
      </c>
      <c r="Q3" s="0" t="n">
        <v>39449</v>
      </c>
      <c r="R3" s="0" t="n">
        <v>16595</v>
      </c>
      <c r="S3" s="0" t="n">
        <v>3382</v>
      </c>
      <c r="T3" s="0" t="n">
        <v>2536.8</v>
      </c>
      <c r="U3" s="0" t="n">
        <v>198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53715</v>
      </c>
      <c r="C4" s="0" t="n">
        <v>30484</v>
      </c>
      <c r="D4" s="0" t="n">
        <v>23231</v>
      </c>
      <c r="E4" s="0" t="n">
        <v>43.2</v>
      </c>
      <c r="F4" s="0" t="n">
        <v>8957</v>
      </c>
      <c r="G4" s="0" t="n">
        <v>16.7</v>
      </c>
      <c r="H4" s="0" t="n">
        <v>10982</v>
      </c>
      <c r="I4" s="0" t="n">
        <v>6023</v>
      </c>
      <c r="J4" s="0" t="n">
        <v>11.2</v>
      </c>
      <c r="K4" s="0" t="n">
        <v>2.41</v>
      </c>
      <c r="L4" s="0" t="n">
        <v>7879</v>
      </c>
      <c r="M4" s="0" t="n">
        <v>1667</v>
      </c>
      <c r="N4" s="0" t="n">
        <v>6212</v>
      </c>
      <c r="O4" s="0" t="n">
        <v>13440</v>
      </c>
      <c r="P4" s="0" t="n">
        <v>62058</v>
      </c>
      <c r="Q4" s="0" t="n">
        <v>47860</v>
      </c>
      <c r="R4" s="0" t="n">
        <v>26417</v>
      </c>
      <c r="S4" s="0" t="n">
        <v>3317</v>
      </c>
      <c r="T4" s="0" t="n">
        <v>2501.3</v>
      </c>
      <c r="U4" s="0" t="n">
        <v>284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50982</v>
      </c>
      <c r="C5" s="0" t="n">
        <v>28703</v>
      </c>
      <c r="D5" s="0" t="n">
        <v>22279</v>
      </c>
      <c r="E5" s="0" t="n">
        <v>43.7</v>
      </c>
      <c r="F5" s="0" t="n">
        <v>12639</v>
      </c>
      <c r="G5" s="0" t="n">
        <v>24.8</v>
      </c>
      <c r="H5" s="0" t="n">
        <v>14855</v>
      </c>
      <c r="I5" s="0" t="n">
        <v>9369</v>
      </c>
      <c r="J5" s="0" t="n">
        <v>18.4</v>
      </c>
      <c r="K5" s="0" t="n">
        <v>3.92</v>
      </c>
      <c r="L5" s="0" t="n">
        <v>7318</v>
      </c>
      <c r="M5" s="0" t="n">
        <v>1532</v>
      </c>
      <c r="N5" s="0" t="n">
        <v>5786</v>
      </c>
      <c r="O5" s="0" t="n">
        <v>11397</v>
      </c>
      <c r="P5" s="0" t="n">
        <v>61111</v>
      </c>
      <c r="Q5" s="0" t="n">
        <v>48994</v>
      </c>
      <c r="R5" s="0" t="n">
        <v>26738</v>
      </c>
      <c r="S5" s="0" t="n">
        <v>3230</v>
      </c>
      <c r="T5" s="0" t="n">
        <v>2395.4</v>
      </c>
      <c r="U5" s="0" t="n">
        <v>196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51980</v>
      </c>
      <c r="C6" s="0" t="n">
        <v>29102</v>
      </c>
      <c r="D6" s="0" t="n">
        <v>22878</v>
      </c>
      <c r="E6" s="0" t="n">
        <v>44</v>
      </c>
      <c r="F6" s="0" t="n">
        <v>8708</v>
      </c>
      <c r="G6" s="0" t="n">
        <v>16.8</v>
      </c>
      <c r="H6" s="0" t="n">
        <v>10690</v>
      </c>
      <c r="I6" s="0" t="n">
        <v>5625</v>
      </c>
      <c r="J6" s="0" t="n">
        <v>10.8</v>
      </c>
      <c r="K6" s="0" t="n">
        <v>2.41</v>
      </c>
      <c r="L6" s="0" t="n">
        <v>8109</v>
      </c>
      <c r="M6" s="0" t="n">
        <v>1526</v>
      </c>
      <c r="N6" s="0" t="n">
        <v>6583</v>
      </c>
      <c r="O6" s="0" t="n">
        <v>13192</v>
      </c>
      <c r="P6" s="0" t="n">
        <v>64806</v>
      </c>
      <c r="Q6" s="0" t="n">
        <v>50920</v>
      </c>
      <c r="R6" s="0" t="n">
        <v>28257</v>
      </c>
      <c r="S6" s="0" t="n">
        <v>4185</v>
      </c>
      <c r="T6" s="0" t="n">
        <v>2334.8</v>
      </c>
      <c r="U6" s="0" t="n">
        <v>151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50724</v>
      </c>
      <c r="C7" s="0" t="n">
        <v>28684</v>
      </c>
      <c r="D7" s="0" t="n">
        <v>22040</v>
      </c>
      <c r="E7" s="0" t="n">
        <v>43.5</v>
      </c>
      <c r="F7" s="0" t="n">
        <v>8303</v>
      </c>
      <c r="G7" s="0" t="n">
        <v>16.4</v>
      </c>
      <c r="H7" s="0" t="n">
        <v>10321</v>
      </c>
      <c r="I7" s="0" t="n">
        <v>5581</v>
      </c>
      <c r="J7" s="0" t="n">
        <v>11</v>
      </c>
      <c r="K7" s="0" t="n">
        <v>2.39</v>
      </c>
      <c r="L7" s="0" t="n">
        <v>9058</v>
      </c>
      <c r="M7" s="0" t="n">
        <v>1021</v>
      </c>
      <c r="N7" s="0" t="n">
        <v>8037</v>
      </c>
      <c r="O7" s="0" t="n">
        <v>15266</v>
      </c>
      <c r="P7" s="0" t="n">
        <v>67659</v>
      </c>
      <c r="Q7" s="0" t="n">
        <v>50004</v>
      </c>
      <c r="R7" s="0" t="n">
        <v>27305</v>
      </c>
      <c r="S7" s="0" t="n">
        <v>5548</v>
      </c>
      <c r="T7" s="0" t="n">
        <v>2337.6</v>
      </c>
      <c r="U7" s="0" t="n">
        <v>108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52444</v>
      </c>
      <c r="C8" s="0" t="n">
        <v>30259</v>
      </c>
      <c r="D8" s="0" t="n">
        <v>22185</v>
      </c>
      <c r="E8" s="0" t="n">
        <v>42.3</v>
      </c>
      <c r="F8" s="0" t="n">
        <v>8702</v>
      </c>
      <c r="G8" s="0" t="n">
        <v>16.6</v>
      </c>
      <c r="H8" s="0" t="n">
        <v>10465</v>
      </c>
      <c r="I8" s="0" t="n">
        <v>6049</v>
      </c>
      <c r="J8" s="0" t="n">
        <v>11.5</v>
      </c>
      <c r="K8" s="0" t="n">
        <v>2.61</v>
      </c>
      <c r="L8" s="0" t="n">
        <v>7972</v>
      </c>
      <c r="M8" s="0" t="n">
        <v>1340</v>
      </c>
      <c r="N8" s="0" t="n">
        <v>6632</v>
      </c>
      <c r="O8" s="0" t="n">
        <v>17107</v>
      </c>
      <c r="P8" s="0" t="n">
        <v>75095</v>
      </c>
      <c r="Q8" s="0" t="n">
        <v>55349</v>
      </c>
      <c r="R8" s="0" t="n">
        <v>30133</v>
      </c>
      <c r="S8" s="0" t="n">
        <v>3415</v>
      </c>
      <c r="T8" s="0" t="n">
        <v>2319.6</v>
      </c>
      <c r="U8" s="0" t="n">
        <v>161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60073</v>
      </c>
      <c r="C9" s="0" t="n">
        <v>35906</v>
      </c>
      <c r="D9" s="0" t="n">
        <v>24167</v>
      </c>
      <c r="E9" s="0" t="n">
        <v>40.2</v>
      </c>
      <c r="F9" s="0" t="n">
        <v>10755</v>
      </c>
      <c r="G9" s="0" t="n">
        <v>17.9</v>
      </c>
      <c r="H9" s="0" t="n">
        <v>12701</v>
      </c>
      <c r="I9" s="0" t="n">
        <v>7642</v>
      </c>
      <c r="J9" s="0" t="n">
        <v>12.7</v>
      </c>
      <c r="K9" s="0" t="n">
        <v>3.36</v>
      </c>
      <c r="L9" s="0" t="n">
        <v>7282</v>
      </c>
      <c r="M9" s="0" t="n">
        <v>1709</v>
      </c>
      <c r="N9" s="0" t="n">
        <v>5573</v>
      </c>
      <c r="O9" s="0" t="n">
        <v>19021</v>
      </c>
      <c r="P9" s="0" t="n">
        <v>77821</v>
      </c>
      <c r="Q9" s="0" t="n">
        <v>56120</v>
      </c>
      <c r="R9" s="0" t="n">
        <v>29488</v>
      </c>
      <c r="S9" s="0" t="n">
        <v>4326</v>
      </c>
      <c r="T9" s="0" t="n">
        <v>2275.4</v>
      </c>
      <c r="U9" s="0" t="n">
        <v>177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51680</v>
      </c>
      <c r="C10" s="0" t="n">
        <v>29180</v>
      </c>
      <c r="D10" s="0" t="n">
        <v>22500</v>
      </c>
      <c r="E10" s="0" t="n">
        <v>43.5</v>
      </c>
      <c r="F10" s="0" t="n">
        <v>8998</v>
      </c>
      <c r="G10" s="0" t="n">
        <v>17.4</v>
      </c>
      <c r="H10" s="0" t="n">
        <v>10146</v>
      </c>
      <c r="I10" s="0" t="n">
        <v>6002</v>
      </c>
      <c r="J10" s="0" t="n">
        <v>11.6</v>
      </c>
      <c r="K10" s="0" t="n">
        <v>2.67</v>
      </c>
      <c r="L10" s="0" t="n">
        <v>8393</v>
      </c>
      <c r="M10" s="0" t="n">
        <v>1435</v>
      </c>
      <c r="N10" s="0" t="n">
        <v>6958</v>
      </c>
      <c r="O10" s="0" t="n">
        <v>18102</v>
      </c>
      <c r="P10" s="0" t="n">
        <v>75266</v>
      </c>
      <c r="Q10" s="0" t="n">
        <v>54502</v>
      </c>
      <c r="R10" s="0" t="n">
        <v>29622</v>
      </c>
      <c r="S10" s="0" t="n">
        <v>4159</v>
      </c>
      <c r="T10" s="0" t="n">
        <v>2251</v>
      </c>
      <c r="U10" s="0" t="n">
        <v>192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52479</v>
      </c>
      <c r="C11" s="0" t="n">
        <v>27976</v>
      </c>
      <c r="D11" s="0" t="n">
        <v>24503</v>
      </c>
      <c r="E11" s="0" t="n">
        <v>46.7</v>
      </c>
      <c r="F11" s="0" t="n">
        <v>8829</v>
      </c>
      <c r="G11" s="0" t="n">
        <v>16.8</v>
      </c>
      <c r="H11" s="0" t="n">
        <v>10199</v>
      </c>
      <c r="I11" s="0" t="n">
        <v>5430</v>
      </c>
      <c r="J11" s="0" t="n">
        <v>10.3</v>
      </c>
      <c r="K11" s="0" t="n">
        <v>2.44</v>
      </c>
      <c r="L11" s="0" t="n">
        <v>8461</v>
      </c>
      <c r="M11" s="0" t="n">
        <v>1614</v>
      </c>
      <c r="N11" s="0" t="n">
        <v>6847</v>
      </c>
      <c r="O11" s="0" t="n">
        <v>19990</v>
      </c>
      <c r="P11" s="0" t="n">
        <v>79750</v>
      </c>
      <c r="Q11" s="0" t="n">
        <v>57195</v>
      </c>
      <c r="R11" s="0" t="n">
        <v>32053</v>
      </c>
      <c r="S11" s="0" t="n">
        <v>6136</v>
      </c>
      <c r="T11" s="0" t="n">
        <v>2228.5</v>
      </c>
      <c r="U11" s="0" t="n">
        <v>292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50503</v>
      </c>
      <c r="C12" s="0" t="n">
        <v>26794</v>
      </c>
      <c r="D12" s="0" t="n">
        <v>23709</v>
      </c>
      <c r="E12" s="0" t="n">
        <v>46.9</v>
      </c>
      <c r="F12" s="0" t="n">
        <v>9037</v>
      </c>
      <c r="G12" s="0" t="n">
        <v>17.9</v>
      </c>
      <c r="H12" s="0" t="n">
        <v>10390</v>
      </c>
      <c r="I12" s="0" t="n">
        <v>5682</v>
      </c>
      <c r="J12" s="0" t="n">
        <v>11.3</v>
      </c>
      <c r="K12" s="0" t="n">
        <v>2.59</v>
      </c>
      <c r="L12" s="0" t="n">
        <v>8052</v>
      </c>
      <c r="M12" s="0" t="n">
        <v>1591</v>
      </c>
      <c r="N12" s="0" t="n">
        <v>6461</v>
      </c>
      <c r="O12" s="0" t="n">
        <v>15530</v>
      </c>
      <c r="P12" s="0" t="n">
        <v>70471</v>
      </c>
      <c r="Q12" s="0" t="n">
        <v>52884</v>
      </c>
      <c r="R12" s="0" t="n">
        <v>28278</v>
      </c>
      <c r="S12" s="0" t="n">
        <v>3941</v>
      </c>
      <c r="T12" s="0" t="n">
        <v>2195.3</v>
      </c>
      <c r="U12" s="0" t="n">
        <v>255</v>
      </c>
      <c r="AA12" s="0" t="s">
        <v>18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59.7</v>
      </c>
    </row>
    <row r="3" customFormat="false" ht="15" hidden="false" customHeight="false" outlineLevel="0" collapsed="false">
      <c r="A3" s="0" t="s">
        <v>78</v>
      </c>
      <c r="B3" s="3" t="n">
        <v>2183</v>
      </c>
    </row>
    <row r="4" customFormat="false" ht="15" hidden="false" customHeight="false" outlineLevel="0" collapsed="false">
      <c r="A4" s="0" t="s">
        <v>79</v>
      </c>
      <c r="B4" s="3" t="n">
        <v>25961</v>
      </c>
    </row>
    <row r="5" customFormat="false" ht="15" hidden="false" customHeight="false" outlineLevel="0" collapsed="false">
      <c r="A5" s="0" t="s">
        <v>80</v>
      </c>
      <c r="B5" s="3" t="n">
        <v>4132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50503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1.1257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1</v>
      </c>
      <c r="D13" s="3" t="n">
        <v>1.5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21.5</v>
      </c>
      <c r="D14" s="3" t="n">
        <v>21.3</v>
      </c>
      <c r="E14" s="3" t="n">
        <v>21</v>
      </c>
      <c r="F14" s="3" t="n">
        <v>21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100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2.6</v>
      </c>
      <c r="D17" s="3" t="n">
        <v>2.6</v>
      </c>
      <c r="E17" s="3" t="n">
        <v>2.6</v>
      </c>
      <c r="F17" s="3" t="n">
        <v>2.6</v>
      </c>
      <c r="G17" s="3" t="n">
        <v>2.6</v>
      </c>
      <c r="H17" s="3" t="n">
        <v>2.6</v>
      </c>
      <c r="I17" s="3" t="n">
        <v>2.6</v>
      </c>
      <c r="J17" s="3" t="n">
        <v>2.6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103</v>
      </c>
      <c r="C18" s="3" t="n">
        <v>3.7</v>
      </c>
      <c r="D18" s="3" t="n">
        <v>3.7</v>
      </c>
      <c r="E18" s="3" t="n">
        <v>3.7</v>
      </c>
      <c r="F18" s="3" t="n">
        <v>3.7</v>
      </c>
      <c r="G18" s="3" t="n">
        <v>3.7</v>
      </c>
      <c r="H18" s="3" t="n">
        <v>3.7</v>
      </c>
      <c r="I18" s="3" t="n">
        <v>3.7</v>
      </c>
      <c r="J18" s="3" t="n">
        <v>3.7</v>
      </c>
      <c r="K18" s="3" t="n">
        <v>3.7</v>
      </c>
      <c r="L18" s="3" t="n">
        <v>3.7</v>
      </c>
    </row>
    <row r="19" customFormat="false" ht="15" hidden="false" customHeight="false" outlineLevel="0" collapsed="false">
      <c r="A19" s="0" t="s">
        <v>104</v>
      </c>
      <c r="C19" s="3" t="n">
        <v>34.5</v>
      </c>
      <c r="D19" s="3" t="n">
        <v>34.5</v>
      </c>
      <c r="E19" s="3" t="n">
        <v>34.5</v>
      </c>
      <c r="F19" s="3" t="n">
        <v>34.5</v>
      </c>
      <c r="G19" s="3" t="n">
        <v>34.5</v>
      </c>
      <c r="H19" s="3" t="n">
        <v>34.5</v>
      </c>
      <c r="I19" s="3" t="n">
        <v>34.5</v>
      </c>
      <c r="J19" s="3" t="n">
        <v>34.5</v>
      </c>
      <c r="K19" s="3" t="n">
        <v>34.5</v>
      </c>
      <c r="L19" s="3" t="n">
        <v>34.5</v>
      </c>
    </row>
    <row r="20" customFormat="false" ht="15" hidden="false" customHeight="false" outlineLevel="0" collapsed="false">
      <c r="A20" s="0" t="s">
        <v>105</v>
      </c>
      <c r="B20" s="3" t="n">
        <v>7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16</v>
      </c>
    </row>
    <row r="23" customFormat="false" ht="15" hidden="false" customHeight="false" outlineLevel="0" collapsed="false">
      <c r="A23" s="0" t="s">
        <v>108</v>
      </c>
      <c r="B23" s="3" t="n">
        <v>3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</v>
      </c>
      <c r="D27" s="3" t="n">
        <v>3.5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22</v>
      </c>
      <c r="D28" s="3" t="n">
        <v>22.2</v>
      </c>
      <c r="E28" s="3" t="n">
        <v>22.4</v>
      </c>
      <c r="F28" s="3" t="n">
        <v>22.6</v>
      </c>
      <c r="G28" s="3" t="n">
        <v>22.8</v>
      </c>
      <c r="H28" s="3" t="n">
        <v>22.9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100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2.6</v>
      </c>
      <c r="D31" s="3" t="n">
        <v>2.6</v>
      </c>
      <c r="E31" s="3" t="n">
        <v>2.6</v>
      </c>
      <c r="F31" s="3" t="n">
        <v>2.6</v>
      </c>
      <c r="G31" s="3" t="n">
        <v>2.6</v>
      </c>
      <c r="H31" s="3" t="n">
        <v>2.6</v>
      </c>
      <c r="I31" s="3" t="n">
        <v>2.6</v>
      </c>
      <c r="J31" s="3" t="n">
        <v>2.6</v>
      </c>
      <c r="K31" s="3" t="n">
        <v>2.6</v>
      </c>
      <c r="L31" s="3" t="n">
        <v>2.6</v>
      </c>
    </row>
    <row r="32" customFormat="false" ht="15" hidden="false" customHeight="false" outlineLevel="0" collapsed="false">
      <c r="A32" s="0" t="s">
        <v>103</v>
      </c>
      <c r="C32" s="3" t="n">
        <v>3.6</v>
      </c>
      <c r="D32" s="3" t="n">
        <v>3.6</v>
      </c>
      <c r="E32" s="3" t="n">
        <v>3.6</v>
      </c>
      <c r="F32" s="3" t="n">
        <v>3.6</v>
      </c>
      <c r="G32" s="3" t="n">
        <v>3.6</v>
      </c>
      <c r="H32" s="3" t="n">
        <v>3.6</v>
      </c>
      <c r="I32" s="3" t="n">
        <v>3.6</v>
      </c>
      <c r="J32" s="3" t="n">
        <v>3.6</v>
      </c>
      <c r="K32" s="3" t="n">
        <v>3.6</v>
      </c>
      <c r="L32" s="3" t="n">
        <v>3.6</v>
      </c>
    </row>
    <row r="33" customFormat="false" ht="15" hidden="false" customHeight="false" outlineLevel="0" collapsed="false">
      <c r="A33" s="0" t="s">
        <v>104</v>
      </c>
      <c r="C33" s="3" t="n">
        <v>34</v>
      </c>
      <c r="D33" s="3" t="n">
        <v>33.5</v>
      </c>
      <c r="E33" s="3" t="n">
        <v>33</v>
      </c>
      <c r="F33" s="3" t="n">
        <v>33</v>
      </c>
      <c r="G33" s="3" t="n">
        <v>33</v>
      </c>
      <c r="H33" s="3" t="n">
        <v>33</v>
      </c>
      <c r="I33" s="3" t="n">
        <v>33</v>
      </c>
      <c r="J33" s="3" t="n">
        <v>33</v>
      </c>
      <c r="K33" s="3" t="n">
        <v>33</v>
      </c>
      <c r="L33" s="3" t="n">
        <v>33</v>
      </c>
    </row>
    <row r="34" customFormat="false" ht="15" hidden="false" customHeight="false" outlineLevel="0" collapsed="false">
      <c r="A34" s="0" t="s">
        <v>105</v>
      </c>
      <c r="B34" s="3" t="n">
        <v>7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20</v>
      </c>
    </row>
    <row r="37" customFormat="false" ht="15" hidden="false" customHeight="false" outlineLevel="0" collapsed="false">
      <c r="A37" s="0" t="s">
        <v>108</v>
      </c>
      <c r="B37" s="3" t="n">
        <v>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3</v>
      </c>
      <c r="D41" s="3" t="n">
        <v>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22.2</v>
      </c>
      <c r="D42" s="3" t="n">
        <v>22.6</v>
      </c>
      <c r="E42" s="3" t="n">
        <v>23</v>
      </c>
      <c r="F42" s="3" t="n">
        <v>23.4</v>
      </c>
      <c r="G42" s="3" t="n">
        <v>23.8</v>
      </c>
      <c r="H42" s="3" t="n">
        <v>24</v>
      </c>
      <c r="I42" s="3" t="n">
        <v>24.2</v>
      </c>
      <c r="J42" s="3" t="n">
        <v>24.4</v>
      </c>
      <c r="K42" s="3" t="n">
        <v>24.5</v>
      </c>
      <c r="L42" s="3" t="n">
        <v>24.5</v>
      </c>
    </row>
    <row r="43" customFormat="false" ht="15" hidden="false" customHeight="false" outlineLevel="0" collapsed="false">
      <c r="A43" s="0" t="s">
        <v>100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2.6</v>
      </c>
      <c r="D45" s="3" t="n">
        <v>2.6</v>
      </c>
      <c r="E45" s="3" t="n">
        <v>2.6</v>
      </c>
      <c r="F45" s="3" t="n">
        <v>2.6</v>
      </c>
      <c r="G45" s="3" t="n">
        <v>2.6</v>
      </c>
      <c r="H45" s="3" t="n">
        <v>2.6</v>
      </c>
      <c r="I45" s="3" t="n">
        <v>2.6</v>
      </c>
      <c r="J45" s="3" t="n">
        <v>2.6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103</v>
      </c>
      <c r="C46" s="3" t="n">
        <v>3.5</v>
      </c>
      <c r="D46" s="3" t="n">
        <v>3.5</v>
      </c>
      <c r="E46" s="3" t="n">
        <v>3.5</v>
      </c>
      <c r="F46" s="3" t="n">
        <v>3.5</v>
      </c>
      <c r="G46" s="3" t="n">
        <v>3.5</v>
      </c>
      <c r="H46" s="3" t="n">
        <v>3.5</v>
      </c>
      <c r="I46" s="3" t="n">
        <v>3.5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104</v>
      </c>
      <c r="C47" s="3" t="n">
        <v>33.5</v>
      </c>
      <c r="D47" s="3" t="n">
        <v>33</v>
      </c>
      <c r="E47" s="3" t="n">
        <v>32.5</v>
      </c>
      <c r="F47" s="3" t="n">
        <v>32.5</v>
      </c>
      <c r="G47" s="3" t="n">
        <v>32.5</v>
      </c>
      <c r="H47" s="3" t="n">
        <v>32.5</v>
      </c>
      <c r="I47" s="3" t="n">
        <v>32.5</v>
      </c>
      <c r="J47" s="3" t="n">
        <v>32.5</v>
      </c>
      <c r="K47" s="3" t="n">
        <v>32.5</v>
      </c>
      <c r="L47" s="3" t="n">
        <v>32.5</v>
      </c>
    </row>
    <row r="48" customFormat="false" ht="15" hidden="false" customHeight="false" outlineLevel="0" collapsed="false">
      <c r="A48" s="0" t="s">
        <v>105</v>
      </c>
      <c r="B48" s="3" t="n">
        <v>7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20</v>
      </c>
    </row>
    <row r="51" customFormat="false" ht="15" hidden="false" customHeight="false" outlineLevel="0" collapsed="false">
      <c r="A51" s="0" t="s">
        <v>108</v>
      </c>
      <c r="B51" s="3" t="n">
        <v>8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1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50503</v>
      </c>
      <c r="C6" s="0" t="n">
        <f aca="false">B6*(1+C5/100)</f>
        <v>51008.03</v>
      </c>
      <c r="D6" s="0" t="n">
        <f aca="false">C6*(1+D5/100)</f>
        <v>51773.15045</v>
      </c>
      <c r="E6" s="0" t="n">
        <f aca="false">D6*(1+E5/100)</f>
        <v>52549.74770675</v>
      </c>
      <c r="F6" s="0" t="n">
        <f aca="false">E6*(1+F5/100)</f>
        <v>53600.742660885</v>
      </c>
      <c r="G6" s="0" t="n">
        <f aca="false">F6*(1+G5/100)</f>
        <v>54672.7575141027</v>
      </c>
      <c r="H6" s="0" t="n">
        <f aca="false">G6*(1+H5/100)</f>
        <v>55766.2126643847</v>
      </c>
      <c r="I6" s="0" t="n">
        <f aca="false">H6*(1+I5/100)</f>
        <v>56881.5369176724</v>
      </c>
      <c r="J6" s="0" t="n">
        <f aca="false">I6*(1+J5/100)</f>
        <v>58019.1676560259</v>
      </c>
      <c r="K6" s="0" t="n">
        <f aca="false">J6*(1+K5/100)</f>
        <v>59179.5510091464</v>
      </c>
      <c r="L6" s="0" t="n">
        <f aca="false">K6*(1+L5/100)</f>
        <v>60363.1420293293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21.5</v>
      </c>
      <c r="D7" s="4" t="n">
        <f aca="false">Assumptions!D14</f>
        <v>21.3</v>
      </c>
      <c r="E7" s="4" t="n">
        <f aca="false">Assumptions!E14</f>
        <v>21</v>
      </c>
      <c r="F7" s="4" t="n">
        <f aca="false">Assumptions!F14</f>
        <v>21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10966.72645</v>
      </c>
      <c r="D8" s="0" t="n">
        <f aca="false">D6*D7/100</f>
        <v>11027.68104585</v>
      </c>
      <c r="E8" s="0" t="n">
        <f aca="false">E6*E7/100</f>
        <v>11035.4470184175</v>
      </c>
      <c r="F8" s="0" t="n">
        <f aca="false">F6*F7/100</f>
        <v>11256.1559587858</v>
      </c>
      <c r="G8" s="0" t="n">
        <f aca="false">G6*G7/100</f>
        <v>11481.2790779616</v>
      </c>
      <c r="H8" s="0" t="n">
        <f aca="false">H6*H7/100</f>
        <v>11710.9046595208</v>
      </c>
      <c r="I8" s="0" t="n">
        <f aca="false">I6*I7/100</f>
        <v>11945.1227527112</v>
      </c>
      <c r="J8" s="0" t="n">
        <f aca="false">J6*J7/100</f>
        <v>12184.0252077654</v>
      </c>
      <c r="K8" s="0" t="n">
        <f aca="false">K6*K7/100</f>
        <v>12427.7057119207</v>
      </c>
      <c r="L8" s="0" t="n">
        <f aca="false">L6*L7/100</f>
        <v>12676.2598261592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-255.04015</v>
      </c>
      <c r="D10" s="0" t="n">
        <f aca="false">-D6*D9/100</f>
        <v>-258.86575225</v>
      </c>
      <c r="E10" s="0" t="n">
        <f aca="false">-E6*E9/100</f>
        <v>-262.74873853375</v>
      </c>
      <c r="F10" s="0" t="n">
        <f aca="false">-F6*F9/100</f>
        <v>-268.003713304425</v>
      </c>
      <c r="G10" s="0" t="n">
        <f aca="false">-G6*G9/100</f>
        <v>-273.363787570513</v>
      </c>
      <c r="H10" s="0" t="n">
        <f aca="false">-H6*H9/100</f>
        <v>-278.831063321924</v>
      </c>
      <c r="I10" s="0" t="n">
        <f aca="false">-I6*I9/100</f>
        <v>-284.407684588362</v>
      </c>
      <c r="J10" s="0" t="n">
        <f aca="false">-J6*J9/100</f>
        <v>-290.095838280129</v>
      </c>
      <c r="K10" s="0" t="n">
        <f aca="false">-K6*K9/100</f>
        <v>-295.897755045732</v>
      </c>
      <c r="L10" s="0" t="n">
        <f aca="false">-L6*L9/100</f>
        <v>-301.815710146647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10711.6863</v>
      </c>
      <c r="D11" s="0" t="n">
        <f aca="false">D8+D10+D24</f>
        <v>10768.8152936</v>
      </c>
      <c r="E11" s="0" t="n">
        <f aca="false">E8+E10+E24</f>
        <v>10772.6982798837</v>
      </c>
      <c r="F11" s="0" t="n">
        <f aca="false">F8+F10+F24</f>
        <v>10988.1522454814</v>
      </c>
      <c r="G11" s="0" t="n">
        <f aca="false">G8+G10+G24</f>
        <v>11207.9152903911</v>
      </c>
      <c r="H11" s="0" t="n">
        <f aca="false">H8+H10+H24</f>
        <v>11432.0735961989</v>
      </c>
      <c r="I11" s="0" t="n">
        <f aca="false">I8+I10+I24</f>
        <v>11660.7150681228</v>
      </c>
      <c r="J11" s="0" t="n">
        <f aca="false">J8+J10+J24</f>
        <v>11893.9293694853</v>
      </c>
      <c r="K11" s="0" t="n">
        <f aca="false">K8+K10+K24</f>
        <v>12131.807956875</v>
      </c>
      <c r="L11" s="0" t="n">
        <f aca="false">L8+L10+L24</f>
        <v>12374.4441160125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-1326.20878</v>
      </c>
      <c r="D12" s="4" t="n">
        <f aca="false">-D6*Assumptions!D17/100</f>
        <v>-1346.1019117</v>
      </c>
      <c r="E12" s="4" t="n">
        <f aca="false">-E6*Assumptions!E17/100</f>
        <v>-1366.2934403755</v>
      </c>
      <c r="F12" s="4" t="n">
        <f aca="false">-F6*Assumptions!F17/100</f>
        <v>-1393.61930918301</v>
      </c>
      <c r="G12" s="4" t="n">
        <f aca="false">-G6*Assumptions!G17/100</f>
        <v>-1421.49169536667</v>
      </c>
      <c r="H12" s="4" t="n">
        <f aca="false">-H6*Assumptions!H17/100</f>
        <v>-1449.921529274</v>
      </c>
      <c r="I12" s="4" t="n">
        <f aca="false">-I6*Assumptions!I17/100</f>
        <v>-1478.91995985948</v>
      </c>
      <c r="J12" s="4" t="n">
        <f aca="false">-J6*Assumptions!J17/100</f>
        <v>-1508.49835905667</v>
      </c>
      <c r="K12" s="4" t="n">
        <f aca="false">-K6*Assumptions!K17/100</f>
        <v>-1538.66832623781</v>
      </c>
      <c r="L12" s="4" t="n">
        <f aca="false">-L6*Assumptions!L17/100</f>
        <v>-1569.44169276256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9385.47752</v>
      </c>
      <c r="D13" s="0" t="n">
        <f aca="false">D11+D12</f>
        <v>9422.7133819</v>
      </c>
      <c r="E13" s="0" t="n">
        <f aca="false">E11+E12</f>
        <v>9406.40483950825</v>
      </c>
      <c r="F13" s="0" t="n">
        <f aca="false">F11+F12</f>
        <v>9594.53293629841</v>
      </c>
      <c r="G13" s="0" t="n">
        <f aca="false">G11+G12</f>
        <v>9786.42359502438</v>
      </c>
      <c r="H13" s="0" t="n">
        <f aca="false">H11+H12</f>
        <v>9982.15206692487</v>
      </c>
      <c r="I13" s="0" t="n">
        <f aca="false">I11+I12</f>
        <v>10181.7951082634</v>
      </c>
      <c r="J13" s="0" t="n">
        <f aca="false">J11+J12</f>
        <v>10385.4310104286</v>
      </c>
      <c r="K13" s="0" t="n">
        <f aca="false">K11+K12</f>
        <v>10593.1396306372</v>
      </c>
      <c r="L13" s="0" t="n">
        <f aca="false">L11+L12</f>
        <v>10805.00242325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34.5</v>
      </c>
      <c r="D14" s="4" t="n">
        <f aca="false">Assumptions!D19</f>
        <v>34.5</v>
      </c>
      <c r="E14" s="4" t="n">
        <f aca="false">Assumptions!E19</f>
        <v>34.5</v>
      </c>
      <c r="F14" s="4" t="n">
        <f aca="false">Assumptions!F19</f>
        <v>34.5</v>
      </c>
      <c r="G14" s="4" t="n">
        <f aca="false">Assumptions!G19</f>
        <v>34.5</v>
      </c>
      <c r="H14" s="4" t="n">
        <f aca="false">Assumptions!H19</f>
        <v>34.5</v>
      </c>
      <c r="I14" s="4" t="n">
        <f aca="false">Assumptions!I19</f>
        <v>34.5</v>
      </c>
      <c r="J14" s="4" t="n">
        <f aca="false">Assumptions!J19</f>
        <v>34.5</v>
      </c>
      <c r="K14" s="4" t="n">
        <f aca="false">Assumptions!K19</f>
        <v>34.5</v>
      </c>
      <c r="L14" s="4" t="n">
        <f aca="false">Assumptions!L19</f>
        <v>34.5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6147.4877756</v>
      </c>
      <c r="D15" s="0" t="n">
        <f aca="false">D13-MAX(0,D13)*D14/100</f>
        <v>6171.8772651445</v>
      </c>
      <c r="E15" s="0" t="n">
        <f aca="false">E13-MAX(0,E13)*E14/100</f>
        <v>6161.1951698779</v>
      </c>
      <c r="F15" s="0" t="n">
        <f aca="false">F13-MAX(0,F13)*F14/100</f>
        <v>6284.41907327546</v>
      </c>
      <c r="G15" s="0" t="n">
        <f aca="false">G13-MAX(0,G13)*G14/100</f>
        <v>6410.10745474097</v>
      </c>
      <c r="H15" s="0" t="n">
        <f aca="false">H13-MAX(0,H13)*H14/100</f>
        <v>6538.30960383579</v>
      </c>
      <c r="I15" s="0" t="n">
        <f aca="false">I13-MAX(0,I13)*I14/100</f>
        <v>6669.07579591251</v>
      </c>
      <c r="J15" s="0" t="n">
        <f aca="false">J13-MAX(0,J13)*J14/100</f>
        <v>6802.45731183075</v>
      </c>
      <c r="K15" s="0" t="n">
        <f aca="false">K13-MAX(0,K13)*K14/100</f>
        <v>6938.50645806737</v>
      </c>
      <c r="L15" s="0" t="n">
        <f aca="false">L13-MAX(0,L13)*L14/100</f>
        <v>7077.27658722872</v>
      </c>
    </row>
    <row r="16" customFormat="false" ht="15" hidden="false" customHeight="false" outlineLevel="0" collapsed="false">
      <c r="A16" s="0" t="s">
        <v>120</v>
      </c>
      <c r="C16" s="0" t="n">
        <f aca="false">-C12</f>
        <v>1326.20878</v>
      </c>
      <c r="D16" s="0" t="n">
        <f aca="false">-D12</f>
        <v>1346.1019117</v>
      </c>
      <c r="E16" s="0" t="n">
        <f aca="false">-E12</f>
        <v>1366.2934403755</v>
      </c>
      <c r="F16" s="0" t="n">
        <f aca="false">-F12</f>
        <v>1393.61930918301</v>
      </c>
      <c r="G16" s="0" t="n">
        <f aca="false">-G12</f>
        <v>1421.49169536667</v>
      </c>
      <c r="H16" s="0" t="n">
        <f aca="false">-H12</f>
        <v>1449.921529274</v>
      </c>
      <c r="I16" s="0" t="n">
        <f aca="false">-I12</f>
        <v>1478.91995985948</v>
      </c>
      <c r="J16" s="0" t="n">
        <f aca="false">-J12</f>
        <v>1508.49835905667</v>
      </c>
      <c r="K16" s="0" t="n">
        <f aca="false">-K12</f>
        <v>1538.66832623781</v>
      </c>
      <c r="L16" s="0" t="n">
        <f aca="false">-L12</f>
        <v>1569.44169276256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-1887.29711</v>
      </c>
      <c r="D17" s="4" t="n">
        <f aca="false">-D6*Assumptions!D18/100</f>
        <v>-1915.60656665</v>
      </c>
      <c r="E17" s="4" t="n">
        <f aca="false">-E6*Assumptions!E18/100</f>
        <v>-1944.34066514975</v>
      </c>
      <c r="F17" s="4" t="n">
        <f aca="false">-F6*Assumptions!F18/100</f>
        <v>-1983.22747845274</v>
      </c>
      <c r="G17" s="4" t="n">
        <f aca="false">-G6*Assumptions!G18/100</f>
        <v>-2022.8920280218</v>
      </c>
      <c r="H17" s="4" t="n">
        <f aca="false">-H6*Assumptions!H18/100</f>
        <v>-2063.34986858224</v>
      </c>
      <c r="I17" s="4" t="n">
        <f aca="false">-I6*Assumptions!I18/100</f>
        <v>-2104.61686595388</v>
      </c>
      <c r="J17" s="4" t="n">
        <f aca="false">-J6*Assumptions!J18/100</f>
        <v>-2146.70920327296</v>
      </c>
      <c r="K17" s="4" t="n">
        <f aca="false">-K6*Assumptions!K18/100</f>
        <v>-2189.64338733842</v>
      </c>
      <c r="L17" s="4" t="n">
        <f aca="false">-L6*Assumptions!L18/100</f>
        <v>-2233.43625508519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15.1509</v>
      </c>
      <c r="D18" s="4" t="n">
        <f aca="false">(D6-C6)*Assumptions!$B$23/100</f>
        <v>22.9536134999998</v>
      </c>
      <c r="E18" s="4" t="n">
        <f aca="false">(E6-D6)*Assumptions!$B$23/100</f>
        <v>23.2979177024998</v>
      </c>
      <c r="F18" s="4" t="n">
        <f aca="false">(F6-E6)*Assumptions!$B$23/100</f>
        <v>31.52984862405</v>
      </c>
      <c r="G18" s="4" t="n">
        <f aca="false">(G6-F6)*Assumptions!$B$23/100</f>
        <v>32.1604455965309</v>
      </c>
      <c r="H18" s="4" t="n">
        <f aca="false">(H6-G6)*Assumptions!$B$23/100</f>
        <v>32.8036545084616</v>
      </c>
      <c r="I18" s="4" t="n">
        <f aca="false">(I6-H6)*Assumptions!$B$23/100</f>
        <v>33.4597275986309</v>
      </c>
      <c r="J18" s="4" t="n">
        <f aca="false">(J6-I6)*Assumptions!$B$23/100</f>
        <v>34.1289221506035</v>
      </c>
      <c r="K18" s="4" t="n">
        <f aca="false">(K6-J6)*Assumptions!$B$23/100</f>
        <v>34.8115005936155</v>
      </c>
      <c r="L18" s="4" t="n">
        <f aca="false">(L6-K6)*Assumptions!$B$23/100</f>
        <v>35.507730605488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5601.5503456</v>
      </c>
      <c r="D19" s="0" t="n">
        <f aca="false">D15+D16+D17+D18</f>
        <v>5625.3262236945</v>
      </c>
      <c r="E19" s="0" t="n">
        <f aca="false">E15+E16+E17+E18</f>
        <v>5606.44586280615</v>
      </c>
      <c r="F19" s="0" t="n">
        <f aca="false">F15+F16+F17+F18</f>
        <v>5726.34075262978</v>
      </c>
      <c r="G19" s="0" t="n">
        <f aca="false">G15+G16+G17+G18</f>
        <v>5840.86756768237</v>
      </c>
      <c r="H19" s="0" t="n">
        <f aca="false">H15+H16+H17+H18</f>
        <v>5957.68491903602</v>
      </c>
      <c r="I19" s="0" t="n">
        <f aca="false">I15+I16+I17+I18</f>
        <v>6076.83861741674</v>
      </c>
      <c r="J19" s="0" t="n">
        <f aca="false">J15+J16+J17+J18</f>
        <v>6198.37538976507</v>
      </c>
      <c r="K19" s="0" t="n">
        <f aca="false">K15+K16+K17+K18</f>
        <v>6322.34289756037</v>
      </c>
      <c r="L19" s="0" t="n">
        <f aca="false">L15+L16+L17+L18</f>
        <v>6448.78975551158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5235.09378093458</v>
      </c>
      <c r="D21" s="0" t="n">
        <f aca="false">D19*D20</f>
        <v>4913.37778294567</v>
      </c>
      <c r="E21" s="0" t="n">
        <f aca="false">E19*E20</f>
        <v>4576.52985471216</v>
      </c>
      <c r="F21" s="0" t="n">
        <f aca="false">F19*F20</f>
        <v>4368.59794273388</v>
      </c>
      <c r="G21" s="0" t="n">
        <f aca="false">G19*G20</f>
        <v>4164.45785195192</v>
      </c>
      <c r="H21" s="0" t="n">
        <f aca="false">H19*H20</f>
        <v>3969.85701774856</v>
      </c>
      <c r="I21" s="0" t="n">
        <f aca="false">I19*I20</f>
        <v>3784.34968047059</v>
      </c>
      <c r="J21" s="0" t="n">
        <f aca="false">J19*J20</f>
        <v>3607.51091035514</v>
      </c>
      <c r="K21" s="0" t="n">
        <f aca="false">K19*K20</f>
        <v>3438.93563417032</v>
      </c>
      <c r="L21" s="0" t="n">
        <f aca="false">L19*L20</f>
        <v>3278.23770733993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41336.9481633627</v>
      </c>
    </row>
    <row r="31" customFormat="false" ht="15" hidden="false" customHeight="false" outlineLevel="0" collapsed="false">
      <c r="A31" s="0" t="s">
        <v>129</v>
      </c>
      <c r="B31" s="0" t="n">
        <f aca="false">L19</f>
        <v>6448.78975551158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131555.311012436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103180.636088185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103180.636088185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52451.8033174389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93788.7514808016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71959.7514808016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37.1072341923676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-0.378438288235049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1924.42996141177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3129.92717320697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39.7135969163439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50598.1965432447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10.2847530210542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50503</v>
      </c>
      <c r="C6" s="0" t="n">
        <f aca="false">B6*(1+C5/100)</f>
        <v>51513.06</v>
      </c>
      <c r="D6" s="0" t="n">
        <f aca="false">C6*(1+D5/100)</f>
        <v>53316.0171</v>
      </c>
      <c r="E6" s="0" t="n">
        <f aca="false">D6*(1+E5/100)</f>
        <v>55182.0776985</v>
      </c>
      <c r="F6" s="0" t="n">
        <f aca="false">E6*(1+F5/100)</f>
        <v>57113.4504179475</v>
      </c>
      <c r="G6" s="0" t="n">
        <f aca="false">F6*(1+G5/100)</f>
        <v>59112.4211825756</v>
      </c>
      <c r="H6" s="0" t="n">
        <f aca="false">G6*(1+H5/100)</f>
        <v>60885.7938180529</v>
      </c>
      <c r="I6" s="0" t="n">
        <f aca="false">H6*(1+I5/100)</f>
        <v>62712.3676325945</v>
      </c>
      <c r="J6" s="0" t="n">
        <f aca="false">I6*(1+J5/100)</f>
        <v>64593.7386615723</v>
      </c>
      <c r="K6" s="0" t="n">
        <f aca="false">J6*(1+K5/100)</f>
        <v>66208.5821281116</v>
      </c>
      <c r="L6" s="0" t="n">
        <f aca="false">K6*(1+L5/100)</f>
        <v>67863.7966813144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22</v>
      </c>
      <c r="D7" s="4" t="n">
        <f aca="false">Assumptions!D28</f>
        <v>22.2</v>
      </c>
      <c r="E7" s="4" t="n">
        <f aca="false">Assumptions!E28</f>
        <v>22.4</v>
      </c>
      <c r="F7" s="4" t="n">
        <f aca="false">Assumptions!F28</f>
        <v>22.6</v>
      </c>
      <c r="G7" s="4" t="n">
        <f aca="false">Assumptions!G28</f>
        <v>22.8</v>
      </c>
      <c r="H7" s="4" t="n">
        <f aca="false">Assumptions!H28</f>
        <v>22.9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11332.8732</v>
      </c>
      <c r="D8" s="0" t="n">
        <f aca="false">D6*D7/100</f>
        <v>11836.1557962</v>
      </c>
      <c r="E8" s="0" t="n">
        <f aca="false">E6*E7/100</f>
        <v>12360.785404464</v>
      </c>
      <c r="F8" s="0" t="n">
        <f aca="false">F6*F7/100</f>
        <v>12907.6397944561</v>
      </c>
      <c r="G8" s="0" t="n">
        <f aca="false">G6*G7/100</f>
        <v>13477.6320296272</v>
      </c>
      <c r="H8" s="0" t="n">
        <f aca="false">H6*H7/100</f>
        <v>13942.8467843341</v>
      </c>
      <c r="I8" s="0" t="n">
        <f aca="false">I6*I7/100</f>
        <v>14423.8445554967</v>
      </c>
      <c r="J8" s="0" t="n">
        <f aca="false">J6*J7/100</f>
        <v>14856.5598921616</v>
      </c>
      <c r="K8" s="0" t="n">
        <f aca="false">K6*K7/100</f>
        <v>15227.9738894657</v>
      </c>
      <c r="L8" s="0" t="n">
        <f aca="false">L6*L7/100</f>
        <v>15608.6732367023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-257.5653</v>
      </c>
      <c r="D10" s="0" t="n">
        <f aca="false">-D6*D9/100</f>
        <v>-266.5800855</v>
      </c>
      <c r="E10" s="0" t="n">
        <f aca="false">-E6*E9/100</f>
        <v>-275.9103884925</v>
      </c>
      <c r="F10" s="0" t="n">
        <f aca="false">-F6*F9/100</f>
        <v>-285.567252089737</v>
      </c>
      <c r="G10" s="0" t="n">
        <f aca="false">-G6*G9/100</f>
        <v>-295.562105912878</v>
      </c>
      <c r="H10" s="0" t="n">
        <f aca="false">-H6*H9/100</f>
        <v>-304.428969090265</v>
      </c>
      <c r="I10" s="0" t="n">
        <f aca="false">-I6*I9/100</f>
        <v>-313.561838162973</v>
      </c>
      <c r="J10" s="0" t="n">
        <f aca="false">-J6*J9/100</f>
        <v>-322.968693307862</v>
      </c>
      <c r="K10" s="0" t="n">
        <f aca="false">-K6*K9/100</f>
        <v>-331.042910640558</v>
      </c>
      <c r="L10" s="0" t="n">
        <f aca="false">-L6*L9/100</f>
        <v>-339.318983406572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11075.3079</v>
      </c>
      <c r="D11" s="0" t="n">
        <f aca="false">D8+D10+D24</f>
        <v>11569.5757107</v>
      </c>
      <c r="E11" s="0" t="n">
        <f aca="false">E8+E10+E24</f>
        <v>12084.8750159715</v>
      </c>
      <c r="F11" s="0" t="n">
        <f aca="false">F8+F10+F24</f>
        <v>12622.0725423664</v>
      </c>
      <c r="G11" s="0" t="n">
        <f aca="false">G8+G10+G24</f>
        <v>13182.0699237144</v>
      </c>
      <c r="H11" s="0" t="n">
        <f aca="false">H8+H10+H24</f>
        <v>13638.4178152439</v>
      </c>
      <c r="I11" s="0" t="n">
        <f aca="false">I8+I10+I24</f>
        <v>14110.2827173338</v>
      </c>
      <c r="J11" s="0" t="n">
        <f aca="false">J8+J10+J24</f>
        <v>14533.5911988538</v>
      </c>
      <c r="K11" s="0" t="n">
        <f aca="false">K8+K10+K24</f>
        <v>14896.9309788251</v>
      </c>
      <c r="L11" s="0" t="n">
        <f aca="false">L8+L10+L24</f>
        <v>15269.3542532957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-1339.33956</v>
      </c>
      <c r="D12" s="4" t="n">
        <f aca="false">-D6*Assumptions!D31/100</f>
        <v>-1386.2164446</v>
      </c>
      <c r="E12" s="4" t="n">
        <f aca="false">-E6*Assumptions!E31/100</f>
        <v>-1434.734020161</v>
      </c>
      <c r="F12" s="4" t="n">
        <f aca="false">-F6*Assumptions!F31/100</f>
        <v>-1484.94971086663</v>
      </c>
      <c r="G12" s="4" t="n">
        <f aca="false">-G6*Assumptions!G31/100</f>
        <v>-1536.92295074697</v>
      </c>
      <c r="H12" s="4" t="n">
        <f aca="false">-H6*Assumptions!H31/100</f>
        <v>-1583.03063926938</v>
      </c>
      <c r="I12" s="4" t="n">
        <f aca="false">-I6*Assumptions!I31/100</f>
        <v>-1630.52155844746</v>
      </c>
      <c r="J12" s="4" t="n">
        <f aca="false">-J6*Assumptions!J31/100</f>
        <v>-1679.43720520088</v>
      </c>
      <c r="K12" s="4" t="n">
        <f aca="false">-K6*Assumptions!K31/100</f>
        <v>-1721.4231353309</v>
      </c>
      <c r="L12" s="4" t="n">
        <f aca="false">-L6*Assumptions!L31/100</f>
        <v>-1764.45871371417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9735.96834</v>
      </c>
      <c r="D13" s="0" t="n">
        <f aca="false">D11+D12</f>
        <v>10183.3592661</v>
      </c>
      <c r="E13" s="0" t="n">
        <f aca="false">E11+E12</f>
        <v>10650.1409958105</v>
      </c>
      <c r="F13" s="0" t="n">
        <f aca="false">F11+F12</f>
        <v>11137.1228314998</v>
      </c>
      <c r="G13" s="0" t="n">
        <f aca="false">G11+G12</f>
        <v>11645.1469729674</v>
      </c>
      <c r="H13" s="0" t="n">
        <f aca="false">H11+H12</f>
        <v>12055.3871759745</v>
      </c>
      <c r="I13" s="0" t="n">
        <f aca="false">I11+I12</f>
        <v>12479.7611588863</v>
      </c>
      <c r="J13" s="0" t="n">
        <f aca="false">J11+J12</f>
        <v>12854.1539936529</v>
      </c>
      <c r="K13" s="0" t="n">
        <f aca="false">K11+K12</f>
        <v>13175.5078434942</v>
      </c>
      <c r="L13" s="0" t="n">
        <f aca="false">L11+L12</f>
        <v>13504.8955395816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34</v>
      </c>
      <c r="D14" s="4" t="n">
        <f aca="false">Assumptions!D33</f>
        <v>33.5</v>
      </c>
      <c r="E14" s="4" t="n">
        <f aca="false">Assumptions!E33</f>
        <v>33</v>
      </c>
      <c r="F14" s="4" t="n">
        <f aca="false">Assumptions!F33</f>
        <v>33</v>
      </c>
      <c r="G14" s="4" t="n">
        <f aca="false">Assumptions!G33</f>
        <v>33</v>
      </c>
      <c r="H14" s="4" t="n">
        <f aca="false">Assumptions!H33</f>
        <v>33</v>
      </c>
      <c r="I14" s="4" t="n">
        <f aca="false">Assumptions!I33</f>
        <v>33</v>
      </c>
      <c r="J14" s="4" t="n">
        <f aca="false">Assumptions!J33</f>
        <v>33</v>
      </c>
      <c r="K14" s="4" t="n">
        <f aca="false">Assumptions!K33</f>
        <v>33</v>
      </c>
      <c r="L14" s="4" t="n">
        <f aca="false">Assumptions!L33</f>
        <v>33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6425.7391044</v>
      </c>
      <c r="D15" s="0" t="n">
        <f aca="false">D13-MAX(0,D13)*D14/100</f>
        <v>6771.9339119565</v>
      </c>
      <c r="E15" s="0" t="n">
        <f aca="false">E13-MAX(0,E13)*E14/100</f>
        <v>7135.59446719303</v>
      </c>
      <c r="F15" s="0" t="n">
        <f aca="false">F13-MAX(0,F13)*F14/100</f>
        <v>7461.87229710484</v>
      </c>
      <c r="G15" s="0" t="n">
        <f aca="false">G13-MAX(0,G13)*G14/100</f>
        <v>7802.24847188816</v>
      </c>
      <c r="H15" s="0" t="n">
        <f aca="false">H13-MAX(0,H13)*H14/100</f>
        <v>8077.1094079029</v>
      </c>
      <c r="I15" s="0" t="n">
        <f aca="false">I13-MAX(0,I13)*I14/100</f>
        <v>8361.43997645383</v>
      </c>
      <c r="J15" s="0" t="n">
        <f aca="false">J13-MAX(0,J13)*J14/100</f>
        <v>8612.28317574744</v>
      </c>
      <c r="K15" s="0" t="n">
        <f aca="false">K13-MAX(0,K13)*K14/100</f>
        <v>8827.59025514112</v>
      </c>
      <c r="L15" s="0" t="n">
        <f aca="false">L13-MAX(0,L13)*L14/100</f>
        <v>9048.28001151965</v>
      </c>
    </row>
    <row r="16" customFormat="false" ht="15" hidden="false" customHeight="false" outlineLevel="0" collapsed="false">
      <c r="A16" s="0" t="s">
        <v>120</v>
      </c>
      <c r="C16" s="0" t="n">
        <f aca="false">-C12</f>
        <v>1339.33956</v>
      </c>
      <c r="D16" s="0" t="n">
        <f aca="false">-D12</f>
        <v>1386.2164446</v>
      </c>
      <c r="E16" s="0" t="n">
        <f aca="false">-E12</f>
        <v>1434.734020161</v>
      </c>
      <c r="F16" s="0" t="n">
        <f aca="false">-F12</f>
        <v>1484.94971086663</v>
      </c>
      <c r="G16" s="0" t="n">
        <f aca="false">-G12</f>
        <v>1536.92295074697</v>
      </c>
      <c r="H16" s="0" t="n">
        <f aca="false">-H12</f>
        <v>1583.03063926938</v>
      </c>
      <c r="I16" s="0" t="n">
        <f aca="false">-I12</f>
        <v>1630.52155844746</v>
      </c>
      <c r="J16" s="0" t="n">
        <f aca="false">-J12</f>
        <v>1679.43720520088</v>
      </c>
      <c r="K16" s="0" t="n">
        <f aca="false">-K12</f>
        <v>1721.4231353309</v>
      </c>
      <c r="L16" s="0" t="n">
        <f aca="false">-L12</f>
        <v>1764.45871371417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-1854.47016</v>
      </c>
      <c r="D17" s="4" t="n">
        <f aca="false">-D6*Assumptions!D32/100</f>
        <v>-1919.3766156</v>
      </c>
      <c r="E17" s="4" t="n">
        <f aca="false">-E6*Assumptions!E32/100</f>
        <v>-1986.554797146</v>
      </c>
      <c r="F17" s="4" t="n">
        <f aca="false">-F6*Assumptions!F32/100</f>
        <v>-2056.08421504611</v>
      </c>
      <c r="G17" s="4" t="n">
        <f aca="false">-G6*Assumptions!G32/100</f>
        <v>-2128.04716257272</v>
      </c>
      <c r="H17" s="4" t="n">
        <f aca="false">-H6*Assumptions!H32/100</f>
        <v>-2191.88857744991</v>
      </c>
      <c r="I17" s="4" t="n">
        <f aca="false">-I6*Assumptions!I32/100</f>
        <v>-2257.6452347734</v>
      </c>
      <c r="J17" s="4" t="n">
        <f aca="false">-J6*Assumptions!J32/100</f>
        <v>-2325.3745918166</v>
      </c>
      <c r="K17" s="4" t="n">
        <f aca="false">-K6*Assumptions!K32/100</f>
        <v>-2383.50895661202</v>
      </c>
      <c r="L17" s="4" t="n">
        <f aca="false">-L6*Assumptions!L32/100</f>
        <v>-2443.09668052732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50.5029999999999</v>
      </c>
      <c r="D18" s="4" t="n">
        <f aca="false">(D6-C6)*Assumptions!$B$37/100</f>
        <v>90.1478549999996</v>
      </c>
      <c r="E18" s="4" t="n">
        <f aca="false">(E6-D6)*Assumptions!$B$37/100</f>
        <v>93.3030299249997</v>
      </c>
      <c r="F18" s="4" t="n">
        <f aca="false">(F6-E6)*Assumptions!$B$37/100</f>
        <v>96.5686359723746</v>
      </c>
      <c r="G18" s="4" t="n">
        <f aca="false">(G6-F6)*Assumptions!$B$37/100</f>
        <v>99.948538231408</v>
      </c>
      <c r="H18" s="4" t="n">
        <f aca="false">(H6-G6)*Assumptions!$B$37/100</f>
        <v>88.6686317738637</v>
      </c>
      <c r="I18" s="4" t="n">
        <f aca="false">(I6-H6)*Assumptions!$B$37/100</f>
        <v>91.3286907270795</v>
      </c>
      <c r="J18" s="4" t="n">
        <f aca="false">(J6-I6)*Assumptions!$B$37/100</f>
        <v>94.068551448892</v>
      </c>
      <c r="K18" s="4" t="n">
        <f aca="false">(K6-J6)*Assumptions!$B$37/100</f>
        <v>80.742173326965</v>
      </c>
      <c r="L18" s="4" t="n">
        <f aca="false">(L6-K6)*Assumptions!$B$37/100</f>
        <v>82.7607276601389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5961.1115044</v>
      </c>
      <c r="D19" s="0" t="n">
        <f aca="false">D15+D16+D17+D18</f>
        <v>6328.9215959565</v>
      </c>
      <c r="E19" s="0" t="n">
        <f aca="false">E15+E16+E17+E18</f>
        <v>6677.07672013303</v>
      </c>
      <c r="F19" s="0" t="n">
        <f aca="false">F15+F16+F17+F18</f>
        <v>6987.30642889774</v>
      </c>
      <c r="G19" s="0" t="n">
        <f aca="false">G15+G16+G17+G18</f>
        <v>7311.07279829381</v>
      </c>
      <c r="H19" s="0" t="n">
        <f aca="false">H15+H16+H17+H18</f>
        <v>7556.92010149623</v>
      </c>
      <c r="I19" s="0" t="n">
        <f aca="false">I15+I16+I17+I18</f>
        <v>7825.64499085496</v>
      </c>
      <c r="J19" s="0" t="n">
        <f aca="false">J15+J16+J17+J18</f>
        <v>8060.41434058061</v>
      </c>
      <c r="K19" s="0" t="n">
        <f aca="false">K15+K16+K17+K18</f>
        <v>8246.24660718697</v>
      </c>
      <c r="L19" s="0" t="n">
        <f aca="false">L15+L16+L17+L18</f>
        <v>8452.40277236665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5571.1322471028</v>
      </c>
      <c r="D21" s="0" t="n">
        <f aca="false">D19*D20</f>
        <v>5527.92523011311</v>
      </c>
      <c r="E21" s="0" t="n">
        <f aca="false">E19*E20</f>
        <v>5450.48355048193</v>
      </c>
      <c r="F21" s="0" t="n">
        <f aca="false">F19*F20</f>
        <v>5330.58261971498</v>
      </c>
      <c r="G21" s="0" t="n">
        <f aca="false">G19*G20</f>
        <v>5212.69386238247</v>
      </c>
      <c r="H21" s="0" t="n">
        <f aca="false">H19*H20</f>
        <v>5035.4949456347</v>
      </c>
      <c r="I21" s="0" t="n">
        <f aca="false">I19*I20</f>
        <v>4873.41839813537</v>
      </c>
      <c r="J21" s="0" t="n">
        <f aca="false">J19*J20</f>
        <v>4691.23453278451</v>
      </c>
      <c r="K21" s="0" t="n">
        <f aca="false">K19*K20</f>
        <v>4485.41177931904</v>
      </c>
      <c r="L21" s="0" t="n">
        <f aca="false">L19*L20</f>
        <v>4296.77296617011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50475.150131839</v>
      </c>
    </row>
    <row r="31" customFormat="false" ht="15" hidden="false" customHeight="false" outlineLevel="0" collapsed="false">
      <c r="A31" s="0" t="s">
        <v>129</v>
      </c>
      <c r="B31" s="0" t="n">
        <f aca="false">L19</f>
        <v>8452.40277236665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192526.95203724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169048.055447333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169048.055447333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85935.4593234022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136410.609455241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114581.609455241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59.0858991130394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-0.0102864470177657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2066.02437927385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3928.99731440373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62.1773310510022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69309.7027334065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15.7639386241662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3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50503</v>
      </c>
      <c r="C6" s="0" t="n">
        <f aca="false">B6*(1+C5/100)</f>
        <v>52018.09</v>
      </c>
      <c r="D6" s="0" t="n">
        <f aca="false">C6*(1+D5/100)</f>
        <v>54618.9945</v>
      </c>
      <c r="E6" s="0" t="n">
        <f aca="false">D6*(1+E5/100)</f>
        <v>57349.944225</v>
      </c>
      <c r="F6" s="0" t="n">
        <f aca="false">E6*(1+F5/100)</f>
        <v>60217.44143625</v>
      </c>
      <c r="G6" s="0" t="n">
        <f aca="false">F6*(1+G5/100)</f>
        <v>62927.2263008813</v>
      </c>
      <c r="H6" s="0" t="n">
        <f aca="false">G6*(1+H5/100)</f>
        <v>65444.3153529165</v>
      </c>
      <c r="I6" s="0" t="n">
        <f aca="false">H6*(1+I5/100)</f>
        <v>68062.0879670332</v>
      </c>
      <c r="J6" s="0" t="n">
        <f aca="false">I6*(1+J5/100)</f>
        <v>70444.2610458793</v>
      </c>
      <c r="K6" s="0" t="n">
        <f aca="false">J6*(1+K5/100)</f>
        <v>72557.5888772557</v>
      </c>
      <c r="L6" s="0" t="n">
        <f aca="false">K6*(1+L5/100)</f>
        <v>74734.3165435734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22.2</v>
      </c>
      <c r="D7" s="4" t="n">
        <f aca="false">Assumptions!D42</f>
        <v>22.6</v>
      </c>
      <c r="E7" s="4" t="n">
        <f aca="false">Assumptions!E42</f>
        <v>23</v>
      </c>
      <c r="F7" s="4" t="n">
        <f aca="false">Assumptions!F42</f>
        <v>23.4</v>
      </c>
      <c r="G7" s="4" t="n">
        <f aca="false">Assumptions!G42</f>
        <v>23.8</v>
      </c>
      <c r="H7" s="4" t="n">
        <f aca="false">Assumptions!H42</f>
        <v>24</v>
      </c>
      <c r="I7" s="4" t="n">
        <f aca="false">Assumptions!I42</f>
        <v>24.2</v>
      </c>
      <c r="J7" s="4" t="n">
        <f aca="false">Assumptions!J42</f>
        <v>24.4</v>
      </c>
      <c r="K7" s="4" t="n">
        <f aca="false">Assumptions!K42</f>
        <v>24.5</v>
      </c>
      <c r="L7" s="4" t="n">
        <f aca="false">Assumptions!L42</f>
        <v>24.5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11548.01598</v>
      </c>
      <c r="D8" s="0" t="n">
        <f aca="false">D6*D7/100</f>
        <v>12343.892757</v>
      </c>
      <c r="E8" s="0" t="n">
        <f aca="false">E6*E7/100</f>
        <v>13190.48717175</v>
      </c>
      <c r="F8" s="0" t="n">
        <f aca="false">F6*F7/100</f>
        <v>14090.8812960825</v>
      </c>
      <c r="G8" s="0" t="n">
        <f aca="false">G6*G7/100</f>
        <v>14976.6798596097</v>
      </c>
      <c r="H8" s="0" t="n">
        <f aca="false">H6*H7/100</f>
        <v>15706.6356847</v>
      </c>
      <c r="I8" s="0" t="n">
        <f aca="false">I6*I7/100</f>
        <v>16471.025288022</v>
      </c>
      <c r="J8" s="0" t="n">
        <f aca="false">J6*J7/100</f>
        <v>17188.3996951946</v>
      </c>
      <c r="K8" s="0" t="n">
        <f aca="false">K6*K7/100</f>
        <v>17776.6092749277</v>
      </c>
      <c r="L8" s="0" t="n">
        <f aca="false">L6*L7/100</f>
        <v>18309.9075531755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-260.09045</v>
      </c>
      <c r="D10" s="0" t="n">
        <f aca="false">-D6*D9/100</f>
        <v>-273.0949725</v>
      </c>
      <c r="E10" s="0" t="n">
        <f aca="false">-E6*E9/100</f>
        <v>-286.749721125</v>
      </c>
      <c r="F10" s="0" t="n">
        <f aca="false">-F6*F9/100</f>
        <v>-301.08720718125</v>
      </c>
      <c r="G10" s="0" t="n">
        <f aca="false">-G6*G9/100</f>
        <v>-314.636131504406</v>
      </c>
      <c r="H10" s="0" t="n">
        <f aca="false">-H6*H9/100</f>
        <v>-327.221576764583</v>
      </c>
      <c r="I10" s="0" t="n">
        <f aca="false">-I6*I9/100</f>
        <v>-340.310439835166</v>
      </c>
      <c r="J10" s="0" t="n">
        <f aca="false">-J6*J9/100</f>
        <v>-352.221305229397</v>
      </c>
      <c r="K10" s="0" t="n">
        <f aca="false">-K6*K9/100</f>
        <v>-362.787944386279</v>
      </c>
      <c r="L10" s="0" t="n">
        <f aca="false">-L6*L9/100</f>
        <v>-373.671582717867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11287.92553</v>
      </c>
      <c r="D11" s="0" t="n">
        <f aca="false">D8+D10+D24</f>
        <v>12070.7977845</v>
      </c>
      <c r="E11" s="0" t="n">
        <f aca="false">E8+E10+E24</f>
        <v>12903.737450625</v>
      </c>
      <c r="F11" s="0" t="n">
        <f aca="false">F8+F10+F24</f>
        <v>13789.7940889013</v>
      </c>
      <c r="G11" s="0" t="n">
        <f aca="false">G8+G10+G24</f>
        <v>14662.0437281053</v>
      </c>
      <c r="H11" s="0" t="n">
        <f aca="false">H8+H10+H24</f>
        <v>15379.4141079354</v>
      </c>
      <c r="I11" s="0" t="n">
        <f aca="false">I8+I10+I24</f>
        <v>16130.7148481869</v>
      </c>
      <c r="J11" s="0" t="n">
        <f aca="false">J8+J10+J24</f>
        <v>16836.1783899652</v>
      </c>
      <c r="K11" s="0" t="n">
        <f aca="false">K8+K10+K24</f>
        <v>17413.8213305414</v>
      </c>
      <c r="L11" s="0" t="n">
        <f aca="false">L8+L10+L24</f>
        <v>17936.2359704576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-1352.47034</v>
      </c>
      <c r="D12" s="4" t="n">
        <f aca="false">-D6*Assumptions!D45/100</f>
        <v>-1420.093857</v>
      </c>
      <c r="E12" s="4" t="n">
        <f aca="false">-E6*Assumptions!E45/100</f>
        <v>-1491.09854985</v>
      </c>
      <c r="F12" s="4" t="n">
        <f aca="false">-F6*Assumptions!F45/100</f>
        <v>-1565.6534773425</v>
      </c>
      <c r="G12" s="4" t="n">
        <f aca="false">-G6*Assumptions!G45/100</f>
        <v>-1636.10788382291</v>
      </c>
      <c r="H12" s="4" t="n">
        <f aca="false">-H6*Assumptions!H45/100</f>
        <v>-1701.55219917583</v>
      </c>
      <c r="I12" s="4" t="n">
        <f aca="false">-I6*Assumptions!I45/100</f>
        <v>-1769.61428714286</v>
      </c>
      <c r="J12" s="4" t="n">
        <f aca="false">-J6*Assumptions!J45/100</f>
        <v>-1831.55078719286</v>
      </c>
      <c r="K12" s="4" t="n">
        <f aca="false">-K6*Assumptions!K45/100</f>
        <v>-1886.49731080865</v>
      </c>
      <c r="L12" s="4" t="n">
        <f aca="false">-L6*Assumptions!L45/100</f>
        <v>-1943.09223013291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9935.45519</v>
      </c>
      <c r="D13" s="0" t="n">
        <f aca="false">D11+D12</f>
        <v>10650.7039275</v>
      </c>
      <c r="E13" s="0" t="n">
        <f aca="false">E11+E12</f>
        <v>11412.638900775</v>
      </c>
      <c r="F13" s="0" t="n">
        <f aca="false">F11+F12</f>
        <v>12224.1406115588</v>
      </c>
      <c r="G13" s="0" t="n">
        <f aca="false">G11+G12</f>
        <v>13025.9358442824</v>
      </c>
      <c r="H13" s="0" t="n">
        <f aca="false">H11+H12</f>
        <v>13677.8619087596</v>
      </c>
      <c r="I13" s="0" t="n">
        <f aca="false">I11+I12</f>
        <v>14361.100561044</v>
      </c>
      <c r="J13" s="0" t="n">
        <f aca="false">J11+J12</f>
        <v>15004.6276027723</v>
      </c>
      <c r="K13" s="0" t="n">
        <f aca="false">K11+K12</f>
        <v>15527.3240197327</v>
      </c>
      <c r="L13" s="0" t="n">
        <f aca="false">L11+L12</f>
        <v>15993.1437403247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33.5</v>
      </c>
      <c r="D14" s="4" t="n">
        <f aca="false">Assumptions!D47</f>
        <v>33</v>
      </c>
      <c r="E14" s="4" t="n">
        <f aca="false">Assumptions!E47</f>
        <v>32.5</v>
      </c>
      <c r="F14" s="4" t="n">
        <f aca="false">Assumptions!F47</f>
        <v>32.5</v>
      </c>
      <c r="G14" s="4" t="n">
        <f aca="false">Assumptions!G47</f>
        <v>32.5</v>
      </c>
      <c r="H14" s="4" t="n">
        <f aca="false">Assumptions!H47</f>
        <v>32.5</v>
      </c>
      <c r="I14" s="4" t="n">
        <f aca="false">Assumptions!I47</f>
        <v>32.5</v>
      </c>
      <c r="J14" s="4" t="n">
        <f aca="false">Assumptions!J47</f>
        <v>32.5</v>
      </c>
      <c r="K14" s="4" t="n">
        <f aca="false">Assumptions!K47</f>
        <v>32.5</v>
      </c>
      <c r="L14" s="4" t="n">
        <f aca="false">Assumptions!L47</f>
        <v>32.5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6607.07770135</v>
      </c>
      <c r="D15" s="0" t="n">
        <f aca="false">D13-MAX(0,D13)*D14/100</f>
        <v>7135.971631425</v>
      </c>
      <c r="E15" s="0" t="n">
        <f aca="false">E13-MAX(0,E13)*E14/100</f>
        <v>7703.53125802313</v>
      </c>
      <c r="F15" s="0" t="n">
        <f aca="false">F13-MAX(0,F13)*F14/100</f>
        <v>8251.29491280216</v>
      </c>
      <c r="G15" s="0" t="n">
        <f aca="false">G13-MAX(0,G13)*G14/100</f>
        <v>8792.50669489064</v>
      </c>
      <c r="H15" s="0" t="n">
        <f aca="false">H13-MAX(0,H13)*H14/100</f>
        <v>9232.5567884127</v>
      </c>
      <c r="I15" s="0" t="n">
        <f aca="false">I13-MAX(0,I13)*I14/100</f>
        <v>9693.7428787047</v>
      </c>
      <c r="J15" s="0" t="n">
        <f aca="false">J13-MAX(0,J13)*J14/100</f>
        <v>10128.1236318713</v>
      </c>
      <c r="K15" s="0" t="n">
        <f aca="false">K13-MAX(0,K13)*K14/100</f>
        <v>10480.9437133196</v>
      </c>
      <c r="L15" s="0" t="n">
        <f aca="false">L13-MAX(0,L13)*L14/100</f>
        <v>10795.3720247192</v>
      </c>
    </row>
    <row r="16" customFormat="false" ht="15" hidden="false" customHeight="false" outlineLevel="0" collapsed="false">
      <c r="A16" s="0" t="s">
        <v>120</v>
      </c>
      <c r="C16" s="0" t="n">
        <f aca="false">-C12</f>
        <v>1352.47034</v>
      </c>
      <c r="D16" s="0" t="n">
        <f aca="false">-D12</f>
        <v>1420.093857</v>
      </c>
      <c r="E16" s="0" t="n">
        <f aca="false">-E12</f>
        <v>1491.09854985</v>
      </c>
      <c r="F16" s="0" t="n">
        <f aca="false">-F12</f>
        <v>1565.6534773425</v>
      </c>
      <c r="G16" s="0" t="n">
        <f aca="false">-G12</f>
        <v>1636.10788382291</v>
      </c>
      <c r="H16" s="0" t="n">
        <f aca="false">-H12</f>
        <v>1701.55219917583</v>
      </c>
      <c r="I16" s="0" t="n">
        <f aca="false">-I12</f>
        <v>1769.61428714286</v>
      </c>
      <c r="J16" s="0" t="n">
        <f aca="false">-J12</f>
        <v>1831.55078719286</v>
      </c>
      <c r="K16" s="0" t="n">
        <f aca="false">-K12</f>
        <v>1886.49731080865</v>
      </c>
      <c r="L16" s="0" t="n">
        <f aca="false">-L12</f>
        <v>1943.09223013291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-1820.63315</v>
      </c>
      <c r="D17" s="4" t="n">
        <f aca="false">-D6*Assumptions!D46/100</f>
        <v>-1911.6648075</v>
      </c>
      <c r="E17" s="4" t="n">
        <f aca="false">-E6*Assumptions!E46/100</f>
        <v>-2007.248047875</v>
      </c>
      <c r="F17" s="4" t="n">
        <f aca="false">-F6*Assumptions!F46/100</f>
        <v>-2107.61045026875</v>
      </c>
      <c r="G17" s="4" t="n">
        <f aca="false">-G6*Assumptions!G46/100</f>
        <v>-2202.45292053084</v>
      </c>
      <c r="H17" s="4" t="n">
        <f aca="false">-H6*Assumptions!H46/100</f>
        <v>-2290.55103735208</v>
      </c>
      <c r="I17" s="4" t="n">
        <f aca="false">-I6*Assumptions!I46/100</f>
        <v>-2382.17307884616</v>
      </c>
      <c r="J17" s="4" t="n">
        <f aca="false">-J6*Assumptions!J46/100</f>
        <v>-2465.54913660578</v>
      </c>
      <c r="K17" s="4" t="n">
        <f aca="false">-K6*Assumptions!K46/100</f>
        <v>-2539.51561070395</v>
      </c>
      <c r="L17" s="4" t="n">
        <f aca="false">-L6*Assumptions!L46/100</f>
        <v>-2615.70107902507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121.2072</v>
      </c>
      <c r="D18" s="4" t="n">
        <f aca="false">(D6-C6)*Assumptions!$B$51/100</f>
        <v>208.07236</v>
      </c>
      <c r="E18" s="4" t="n">
        <f aca="false">(E6-D6)*Assumptions!$B$51/100</f>
        <v>218.475978</v>
      </c>
      <c r="F18" s="4" t="n">
        <f aca="false">(F6-E6)*Assumptions!$B$51/100</f>
        <v>229.3997769</v>
      </c>
      <c r="G18" s="4" t="n">
        <f aca="false">(G6-F6)*Assumptions!$B$51/100</f>
        <v>216.7827891705</v>
      </c>
      <c r="H18" s="4" t="n">
        <f aca="false">(H6-G6)*Assumptions!$B$51/100</f>
        <v>201.36712416282</v>
      </c>
      <c r="I18" s="4" t="n">
        <f aca="false">(I6-H6)*Assumptions!$B$51/100</f>
        <v>209.421809129333</v>
      </c>
      <c r="J18" s="4" t="n">
        <f aca="false">(J6-I6)*Assumptions!$B$51/100</f>
        <v>190.573846307693</v>
      </c>
      <c r="K18" s="4" t="n">
        <f aca="false">(K6-J6)*Assumptions!$B$51/100</f>
        <v>169.066226510111</v>
      </c>
      <c r="L18" s="4" t="n">
        <f aca="false">(L6-K6)*Assumptions!$B$51/100</f>
        <v>174.138213305414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6260.12209135</v>
      </c>
      <c r="D19" s="0" t="n">
        <f aca="false">D15+D16+D17+D18</f>
        <v>6852.473040925</v>
      </c>
      <c r="E19" s="0" t="n">
        <f aca="false">E15+E16+E17+E18</f>
        <v>7405.85773799813</v>
      </c>
      <c r="F19" s="0" t="n">
        <f aca="false">F15+F16+F17+F18</f>
        <v>7938.73771677591</v>
      </c>
      <c r="G19" s="0" t="n">
        <f aca="false">G15+G16+G17+G18</f>
        <v>8442.9444473532</v>
      </c>
      <c r="H19" s="0" t="n">
        <f aca="false">H15+H16+H17+H18</f>
        <v>8844.92507439927</v>
      </c>
      <c r="I19" s="0" t="n">
        <f aca="false">I15+I16+I17+I18</f>
        <v>9290.60589613074</v>
      </c>
      <c r="J19" s="0" t="n">
        <f aca="false">J15+J16+J17+J18</f>
        <v>9684.69912876608</v>
      </c>
      <c r="K19" s="0" t="n">
        <f aca="false">K15+K16+K17+K18</f>
        <v>9996.9916399344</v>
      </c>
      <c r="L19" s="0" t="n">
        <f aca="false">L15+L16+L17+L18</f>
        <v>10296.9013891324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5850.58139378505</v>
      </c>
      <c r="D21" s="0" t="n">
        <f aca="false">D19*D20</f>
        <v>5985.215338392</v>
      </c>
      <c r="E21" s="0" t="n">
        <f aca="false">E19*E20</f>
        <v>6045.38594808356</v>
      </c>
      <c r="F21" s="0" t="n">
        <f aca="false">F19*F20</f>
        <v>6056.42499382944</v>
      </c>
      <c r="G21" s="0" t="n">
        <f aca="false">G19*G20</f>
        <v>6019.70270511121</v>
      </c>
      <c r="H21" s="0" t="n">
        <f aca="false">H19*H20</f>
        <v>5893.74704356564</v>
      </c>
      <c r="I21" s="0" t="n">
        <f aca="false">I19*I20</f>
        <v>5785.72242376687</v>
      </c>
      <c r="J21" s="0" t="n">
        <f aca="false">J19*J20</f>
        <v>5636.58306791495</v>
      </c>
      <c r="K21" s="0" t="n">
        <f aca="false">K19*K20</f>
        <v>5437.70107729196</v>
      </c>
      <c r="L21" s="0" t="n">
        <f aca="false">L19*L20</f>
        <v>5234.42253234646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57945.4865240871</v>
      </c>
    </row>
    <row r="31" customFormat="false" ht="15" hidden="false" customHeight="false" outlineLevel="0" collapsed="false">
      <c r="A31" s="0" t="s">
        <v>129</v>
      </c>
      <c r="B31" s="0" t="n">
        <f aca="false">L19</f>
        <v>10296.9013891324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265145.21077016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205938.027782649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205938.027782649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104688.450646929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162633.937171016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140804.937171016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72.608391100968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0.216220956465125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2191.96339013892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4891.3588775613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76.2610232020903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88381.7369233867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20.6876625555891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37.1072341923676</v>
      </c>
      <c r="C4" s="0" t="n">
        <f aca="false">B4/Assumptions!$B$2-1</f>
        <v>-0.378438288235049</v>
      </c>
      <c r="D4" s="4" t="n">
        <f aca="false">Assumptions!$B$24</f>
        <v>0.25</v>
      </c>
      <c r="E4" s="4" t="n">
        <f aca="false">DCF_Bear!$B$43</f>
        <v>39.7135969163439</v>
      </c>
      <c r="F4" s="4" t="n">
        <f aca="false">DCF_Bear!$B$47</f>
        <v>10.2847530210542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59.0858991130394</v>
      </c>
      <c r="C5" s="0" t="n">
        <f aca="false">B5/Assumptions!$B$2-1</f>
        <v>-0.0102864470177657</v>
      </c>
      <c r="D5" s="4" t="n">
        <f aca="false">Assumptions!$B$38</f>
        <v>0.5</v>
      </c>
      <c r="E5" s="4" t="n">
        <f aca="false">DCF_Base!$B$43</f>
        <v>62.1773310510022</v>
      </c>
      <c r="F5" s="4" t="n">
        <f aca="false">DCF_Base!$B$47</f>
        <v>15.7639386241662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72.608391100968</v>
      </c>
      <c r="C6" s="0" t="n">
        <f aca="false">B6/Assumptions!$B$2-1</f>
        <v>0.216220956465125</v>
      </c>
      <c r="D6" s="4" t="n">
        <f aca="false">Assumptions!$B$52</f>
        <v>0.25</v>
      </c>
      <c r="E6" s="4" t="n">
        <f aca="false">DCF_Bull!$B$43</f>
        <v>76.2610232020903</v>
      </c>
      <c r="F6" s="4" t="n">
        <f aca="false">DCF_Bull!$B$47</f>
        <v>20.6876625555891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56.9718558798536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60.0823205551097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-0.0478858214817457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87.7085710649266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15.6250732062439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59.0858991130394</v>
      </c>
      <c r="C15" s="3" t="n">
        <v>7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41.4214115270169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34.2833165564295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28.8289525357095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24.5264104936583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15.7639386241662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71.0461045782922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71.0461045782922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71.0461045782922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71.0461045782922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71.0461045782922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64.7763643026011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64.7763643026011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64.7763643026011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64.7763643026011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64.7763643026011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55.6616324834512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59.0858991130394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59.0858991130394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59.0858991130394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59.0858991130394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45.0630055941835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47.8583846833381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51.1620145159754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53.9150393765064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53.9150393765064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37.3048367125005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39.2161035906688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41.4214115270169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43.9942707860897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47.0349226377211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2026-10-04T09:08:09Z</dcterms:created>
  <dc:creator>openpyxl</dc:creator>
  <dc:description/>
  <dc:language>en-NZ</dc:language>
  <cp:lastModifiedBy/>
  <dcterms:modified xsi:type="dcterms:W3CDTF">2026-10-04T09:08:09Z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