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<sst xmlns="http://schemas.openxmlformats.org/spreadsheetml/2006/main" count="354" uniqueCount="163">
  <si>
    <t xml:space="preserve">Ticker</t>
  </si>
  <si>
    <t xml:space="preserve">PRN.AX</t>
  </si>
  <si>
    <t xml:space="preserve">Company</t>
  </si>
  <si>
    <t xml:space="preserve">Perenti Limited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</si>
  <si>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</si>
  <si>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</si>
  <si>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</si>
  <si>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</si>
  <si>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2026-09-25T04:15:45Z (intraday ASX print; ASX session closes 06:00Z, replace at the regular close if it moves)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</si>
  <si>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</si>
  <si>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</si>
  <si>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</si>
  <si>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</si>
  <si>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</si>
  <si>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</si>
  <si>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</si>
  <si>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</si>
  <si>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</si>
  <si>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</si>
  <si>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</si>
  <si>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</si>
  <si>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2026-09-25T04:41:06Z</t>
  </si>
  <si>
    <t xml:space="preserve">Drivers file</t>
  </si>
  <si>
    <t xml:space="preserve">PRN.AX_Drivers.json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</si>
  <si>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</si>
  <si>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</si>
  <si>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</si>
  <si>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Perenti is a capital-intensive, price-taking mining-services contractor valued on mid-cycle owner FCF, not on the FY26 record underlying EBIT(A). The engine converts a ~18% EBITDA margin into only ~4-4.5% owner-FCF margin because depreciation is ~9% of revenue and fleet capex must run at or above it, and because ~8pp of EBIT leaks to African minority partners. The stock screens cheap on P/E (~11x NPAT(A)) and EV/EBITDA (~3.8x) precisely because so little EBITDA reaches shareholders as free cash. BTP's A$100m sale proceeds and the A$50.9m July receivable are added in the bridge rather than in the flows. Terminal value is capped at 12x owner FCF (cyclical); one 10% AUD WACC; risk lives in the bear flows and the 30% bear weight.
key_risks_to_valuation: Gold/copper price reversal cutting client development capex (76% of revenue gold-linked; FY26 margins are a cyclical high); African sovereign/policy risk: Iduapriem (Ghana) forced exit and Ghana Manganese loss are precedents; ~37% of revenue and all of the NCI leakage sit there; Capex intensity: FY27 guided ~A$370m gross; if sustaining capex proves structurally above depreciation, owner FCF margin is below the 4-4.5% modelled; Statutory vs underlying gap: FY26 statutory NPAT A$18.8m vs NPAT(A) A$192.1m; impairments (A$54m) and BTP loss (A$64m) recur in some form most years for this group; CEO transition (Vanessa Torres from May 2026) during the Fourmile/Bellevue ramp; Terminal cap and WACC: the 12x cap binds in base and bull; each 1pp of WACC is worth roughly A$0.20-0.25/share
sanity_check_banner: Multiples sanity check tripped on implied P/E (214x vs a 45x 10-year average). Both figures are artefacts of FY26 statutory EPS of 2.0c, which carries the A$63.1m BTP discontinued-operations loss and A$54.3m of non-cash impairments; on FY26 underlying NPAT(A) of A$192.1m (~20c/share) the base IV of A$2.09 is ~10.4x, inside the FY19-FY25 P/E range of 6.7-15.2x, and on continuing diluted EPS of 8.6c (still after impairments) it is ~24x. Implied EV/EBITDA 4.1x (hist. avg 3.3x, max 4.4x) and P/B 1.10x (hist. max 1.11x) are inside their ranges. Fix pass applied: the peak-FCF diagnosis is already handled by construction (forward flows are margin-built at the FY20-26 mid-cycle EBITDA margin of 17.5%, not extrapolated from the A$85.9m base-year FCF; 12x terminal cap; 30% bear weight). No WACC premium was added because cyclicality and African policy risk are charged in the bear flows and weights, and stacking a premium would charge them twice. The valuation already sits BELOW the current price (weighted IV A$2.02 vs A$2.195).
sanity_check_status: tripped on statutory-EPS P/E only; explained above; not re-looped</t>
  </si>
  <si>
    <t xml:space="preserve">Data sources</t>
  </si>
  <si>
    <t xml:space="preserve">price: Yahoo Finance chart API at inputs.price_as_of (intraday ASX print); 52-week range 1.785-3.12
financials: PRN.AX_Metrics.csv (core_metrics, AUD millions) and PRN.AX_Annual_FY2026.txt: statutory-to-underlying reconciliation (line ~1011), income statement (~7090), cash-flow statement (~7318), tax note (~7950), EPS/dilution note 5 (~8029), net debt note 14 (~8774)
qualitative: PRN.AX_Analysis.json (FY27 guidance: revenue A$3.45-3.65bn, EBIT(A) A$335-355m, capex ~A$370m; BTP divestment A$100m; Iduapriem exit; Fourmile/Bellevue awards)</t>
  </si>
  <si>
    <t xml:space="preserve">Scenario narrative: bear</t>
  </si>
  <si>
    <t xml:space="preserve">FY27 misses guidance; a gold/copper reversal in FY28-29 cuts client development capex, revenue falls ~10% over two years and EBITDA margin drops to a FY22-like 15%. African policy shocks remove more work and leakage rises. Capex is cut in the trough; margins recover only to 16.5%.</t>
  </si>
  <si>
    <t xml:space="preserve">Scenario narrative: base</t>
  </si>
  <si>
    <t xml:space="preserve">Gold and copper capex stays supportive but not euphoric. FY27 lands inside guidance (revenue ~A$3.5bn, EBIT(A) ~A$340m); Fourmile and Bellevue ramp offsets the Iduapriem exit and BTP disposal. Margins ease from the FY26 record back to the FY20-26 mid-cycle average of ~17.5% EBITDA as the gold-price tailwind normalises; capex runs a little above depreciation to fund low-single-digit growth. Owner FCF settles at ~4-4.5% of revenue and the terminal value is capped at 12x.</t>
  </si>
  <si>
    <t xml:space="preserve">Scenario narrative: bull</t>
  </si>
  <si>
    <t xml:space="preserve">Top of FY27 guidance and the A$20bn tender pipeline converts: North America scales beyond Fourmile, Bellevue-sized Australian awards repeat, drilling utilisation keeps rising. Tier-one mix lifts margins toward 19% and shrinks the NCI leakage. Gold stays above US$4,000 through the horizon.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</si>
  <si>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</si>
  <si>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</si>
  <si>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</si>
  <si>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</si>
  <si>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</si>
  <si>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</si>
  <si>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</si>
  <si>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</si>
  <si>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</si>
  <si>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</si>
  <si>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</si>
  <si>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</si>
  <si>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</si>
  <si>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</si>
  <si>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</si>
  <si>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</si>
  <si>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</si>
  <si>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</si>
  <si>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</si>
  <si>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</si>
  <si>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</si>
  <si>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</si>
  <si>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</si>
  <si>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</si>
  <si>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</si>
  <si>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</si>
  <si>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</si>
  <si>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UnderlyingEBIT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</si>
  <si>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</si>
  <si>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</si>
  <si>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</si>
  <si>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</si>
  <si>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</si>
  <si>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</si>
  <si>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</si>
  <si>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</si>
  <si>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</si>
  <si>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</si>
  <si>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</si>
  <si>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</si>
  <si>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</si>
  <si>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</si>
  <si>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</si>
  <si>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</si>
  <si>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</si>
  <si>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</si>
  <si>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</si>
  <si>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</si>
  <si>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</si>
  <si>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</si>
  <si>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</si>
  <si>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</si>
  <si>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</si>
  <si>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</si>
  <si>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</si>
  <si>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</si>
  <si>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</si>
  <si>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</si>
  <si>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</si>
  <si>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</si>
  <si>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</si>
  <si>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</si>
  <si>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</si>
  <si>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</si>
  <si>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</si>
  <si>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</si>
  <si>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</si>
  <si>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</si>
  <si>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</si>
  <si>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</si>
  <si>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</si>
  <si>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</si>
  <si>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</si>
  <si>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PRN.AX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</si>
  <si>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</si>
  <si>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</si>
  <si>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</si>
  <si>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</si>
  <si>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</si>
  <si>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</si>
  <si>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</si>
  <si>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</si>
  <si>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</si>
  <si>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</si>
  <si>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</si>
  <si>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</si>
  <si>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</si>
  <si>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</si>
  <si>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</si>
  <si>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</si>
  <si>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</si>
  <si>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</si>
  <si>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</si>
  <si>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</si>
  <si>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</si>
  <si>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</si>
  <si>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</si>
  <si>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</si>
  <si>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</si>
  <si>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</si>
  <si>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</si>
  <si>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</si>
  <si>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</si>
  <si>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</si>
  <si>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PRN.AX owner-FCF component DCF: base case (millions, AUD)</t>
  </si>
  <si>
    <t xml:space="preserve">PRN.AX owner-FCF component DCF: bull case (millions, AUD)</t>
  </si>
  <si>
    <t xml:space="preserve">PRN.AX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</si>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</sst>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2.195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46.2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1638.392</v>
      </c>
      <c r="F2" s="0" t="n">
        <v>207.158</v>
      </c>
      <c r="G2" s="0" t="n">
        <v>12.6</v>
      </c>
      <c r="H2" s="0" t="n">
        <v>401.049</v>
      </c>
      <c r="I2" s="0" t="n">
        <v>181.326</v>
      </c>
      <c r="J2" s="0" t="n">
        <v>11.1</v>
      </c>
      <c r="K2" s="0" t="n">
        <v>0.298</v>
      </c>
      <c r="L2" s="0" t="n">
        <v>206.912</v>
      </c>
      <c r="M2" s="0" t="n">
        <v>206.068</v>
      </c>
      <c r="N2" s="0" t="n">
        <v>0.844</v>
      </c>
      <c r="O2" s="0" t="n">
        <v>1411.612</v>
      </c>
      <c r="P2" s="0" t="n">
        <v>2666.766</v>
      </c>
      <c r="Q2" s="0" t="n">
        <v>1255.154</v>
      </c>
      <c r="R2" s="0" t="n">
        <v>757.443</v>
      </c>
      <c r="S2" s="0" t="n">
        <v>223.524</v>
      </c>
      <c r="T2" s="0" t="n">
        <v>608.854</v>
      </c>
      <c r="U2" s="0" t="n">
        <v>2.213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2046.058</v>
      </c>
      <c r="F3" s="0" t="n">
        <v>99.672</v>
      </c>
      <c r="G3" s="0" t="n">
        <v>4.9</v>
      </c>
      <c r="H3" s="0" t="n">
        <v>370.377</v>
      </c>
      <c r="I3" s="0" t="n">
        <v>23.837</v>
      </c>
      <c r="J3" s="0" t="n">
        <v>1.2</v>
      </c>
      <c r="K3" s="0" t="n">
        <v>0.035</v>
      </c>
      <c r="L3" s="0" t="n">
        <v>306.539</v>
      </c>
      <c r="M3" s="0" t="n">
        <v>235.854</v>
      </c>
      <c r="N3" s="0" t="n">
        <v>70.685</v>
      </c>
      <c r="O3" s="0" t="n">
        <v>1399.754</v>
      </c>
      <c r="P3" s="0" t="n">
        <v>2742.894</v>
      </c>
      <c r="Q3" s="0" t="n">
        <v>1343.14</v>
      </c>
      <c r="R3" s="0" t="n">
        <v>883.857</v>
      </c>
      <c r="S3" s="0" t="n">
        <v>327.491</v>
      </c>
      <c r="T3" s="0" t="n">
        <v>690.462</v>
      </c>
      <c r="U3" s="0" t="n">
        <v>4.707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2087.542</v>
      </c>
      <c r="F4" s="0" t="n">
        <v>14.763</v>
      </c>
      <c r="G4" s="0" t="n">
        <v>0.7</v>
      </c>
      <c r="H4" s="0" t="n">
        <v>276.296</v>
      </c>
      <c r="I4" s="0" t="n">
        <v>-55.14</v>
      </c>
      <c r="J4" s="0" t="n">
        <v>-2.6</v>
      </c>
      <c r="K4" s="0" t="n">
        <v>-0.078</v>
      </c>
      <c r="L4" s="0" t="n">
        <v>296.263</v>
      </c>
      <c r="M4" s="0" t="n">
        <v>278.619</v>
      </c>
      <c r="N4" s="0" t="n">
        <v>17.644</v>
      </c>
      <c r="O4" s="0" t="n">
        <v>1302.706</v>
      </c>
      <c r="P4" s="0" t="n">
        <v>2497.465</v>
      </c>
      <c r="Q4" s="0" t="n">
        <v>1194.759</v>
      </c>
      <c r="R4" s="0" t="n">
        <v>767.999</v>
      </c>
      <c r="S4" s="0" t="n">
        <v>264.741</v>
      </c>
      <c r="T4" s="0" t="n">
        <v>703.365</v>
      </c>
      <c r="U4" s="0" t="n">
        <v>2.033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2437.656</v>
      </c>
      <c r="F5" s="0" t="n">
        <v>126.241</v>
      </c>
      <c r="G5" s="0" t="n">
        <v>5.2</v>
      </c>
      <c r="H5" s="0" t="n">
        <v>405.403</v>
      </c>
      <c r="I5" s="0" t="n">
        <v>40.658</v>
      </c>
      <c r="J5" s="0" t="n">
        <v>1.7</v>
      </c>
      <c r="K5" s="0" t="n">
        <v>0.057</v>
      </c>
      <c r="L5" s="0" t="n">
        <v>341.302</v>
      </c>
      <c r="M5" s="0" t="n">
        <v>467.937</v>
      </c>
      <c r="N5" s="0" t="n">
        <v>-126.635</v>
      </c>
      <c r="O5" s="0" t="n">
        <v>1322.36</v>
      </c>
      <c r="P5" s="0" t="n">
        <v>2789.274</v>
      </c>
      <c r="Q5" s="0" t="n">
        <v>1466.914</v>
      </c>
      <c r="R5" s="0" t="n">
        <v>901.857</v>
      </c>
      <c r="S5" s="0" t="n">
        <v>348.519</v>
      </c>
      <c r="T5" s="0" t="n">
        <v>708.531</v>
      </c>
      <c r="U5" s="0" t="n">
        <v>4.591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2880.136</v>
      </c>
      <c r="F6" s="0" t="n">
        <v>227.142</v>
      </c>
      <c r="G6" s="0" t="n">
        <v>7.9</v>
      </c>
      <c r="H6" s="0" t="n">
        <v>544.786</v>
      </c>
      <c r="I6" s="0" t="n">
        <v>95.739</v>
      </c>
      <c r="J6" s="0" t="n">
        <v>3.3</v>
      </c>
      <c r="K6" s="0" t="n">
        <v>0.134</v>
      </c>
      <c r="L6" s="0" t="n">
        <v>398.12</v>
      </c>
      <c r="M6" s="0" t="n">
        <v>373.921</v>
      </c>
      <c r="N6" s="0" t="n">
        <v>24.199</v>
      </c>
      <c r="O6" s="0" t="n">
        <v>1426.291</v>
      </c>
      <c r="P6" s="0" t="n">
        <v>2823.374</v>
      </c>
      <c r="Q6" s="0" t="n">
        <v>1397.083</v>
      </c>
      <c r="R6" s="0" t="n">
        <v>806.362</v>
      </c>
      <c r="S6" s="0" t="n">
        <v>307.36</v>
      </c>
      <c r="T6" s="0" t="n">
        <v>715.59</v>
      </c>
      <c r="U6" s="0" t="n">
        <v>12.486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3342.02</v>
      </c>
      <c r="F7" s="0" t="n">
        <v>246.396</v>
      </c>
      <c r="G7" s="0" t="n">
        <v>7.4</v>
      </c>
      <c r="H7" s="0" t="n">
        <v>624.981</v>
      </c>
      <c r="I7" s="0" t="n">
        <v>95.476</v>
      </c>
      <c r="J7" s="0" t="n">
        <v>2.9</v>
      </c>
      <c r="K7" s="0" t="n">
        <v>0.105</v>
      </c>
      <c r="L7" s="0" t="n">
        <v>487.791</v>
      </c>
      <c r="M7" s="0" t="n">
        <v>335.154</v>
      </c>
      <c r="N7" s="0" t="n">
        <v>152.637</v>
      </c>
      <c r="O7" s="0" t="n">
        <v>1788.383</v>
      </c>
      <c r="P7" s="0" t="n">
        <v>3355.798</v>
      </c>
      <c r="Q7" s="0" t="n">
        <v>1567.415</v>
      </c>
      <c r="R7" s="0" t="n">
        <v>928.604</v>
      </c>
      <c r="S7" s="0" t="n">
        <v>459.136</v>
      </c>
      <c r="T7" s="0" t="n">
        <v>907.699</v>
      </c>
      <c r="U7" s="0" t="n">
        <v>8.432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3489.546</v>
      </c>
      <c r="F8" s="0" t="n">
        <v>285.339</v>
      </c>
      <c r="G8" s="0" t="n">
        <v>8.2</v>
      </c>
      <c r="H8" s="0" t="n">
        <v>665.936</v>
      </c>
      <c r="I8" s="0" t="n">
        <v>120.615</v>
      </c>
      <c r="J8" s="0" t="n">
        <v>3.5</v>
      </c>
      <c r="K8" s="0" t="n">
        <v>0.126</v>
      </c>
      <c r="L8" s="0" t="n">
        <v>510.098</v>
      </c>
      <c r="M8" s="0" t="n">
        <v>310.453</v>
      </c>
      <c r="N8" s="0" t="n">
        <v>199.645</v>
      </c>
      <c r="O8" s="0" t="n">
        <v>1869.121</v>
      </c>
      <c r="P8" s="0" t="n">
        <v>3325.839</v>
      </c>
      <c r="Q8" s="0" t="n">
        <v>1456.718</v>
      </c>
      <c r="R8" s="0" t="n">
        <v>786.044</v>
      </c>
      <c r="S8" s="0" t="n">
        <v>481.322</v>
      </c>
      <c r="T8" s="0" t="n">
        <v>960.97</v>
      </c>
      <c r="U8" s="0" t="n">
        <v>9.546</v>
      </c>
      <c r="X8" s="0" t="n">
        <v>3352.039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3338.18</v>
      </c>
      <c r="F9" s="0" t="n">
        <v>238.882</v>
      </c>
      <c r="G9" s="0" t="n">
        <v>7.2</v>
      </c>
      <c r="H9" s="0" t="n">
        <v>558.165</v>
      </c>
      <c r="I9" s="0" t="n">
        <v>18.762</v>
      </c>
      <c r="J9" s="0" t="n">
        <v>0.6</v>
      </c>
      <c r="K9" s="0" t="n">
        <v>0.02</v>
      </c>
      <c r="L9" s="0" t="n">
        <v>443.997</v>
      </c>
      <c r="M9" s="0" t="n">
        <v>348.726</v>
      </c>
      <c r="N9" s="0" t="n">
        <v>95.271</v>
      </c>
      <c r="O9" s="0" t="n">
        <v>1829.688</v>
      </c>
      <c r="P9" s="0" t="n">
        <v>3126.631</v>
      </c>
      <c r="Q9" s="0" t="n">
        <v>1296.943</v>
      </c>
      <c r="R9" s="0" t="n">
        <v>571.309</v>
      </c>
      <c r="S9" s="0" t="n">
        <v>322.524</v>
      </c>
      <c r="T9" s="0" t="n">
        <v>959.871</v>
      </c>
      <c r="U9" s="0" t="n">
        <v>9.404</v>
      </c>
      <c r="X9" s="0" t="n">
        <v>3338.18</v>
      </c>
      <c r="AA9" s="0" t="s">
        <v>17</v>
      </c>
      <c r="AB9" s="0" t="s">
        <v>14</v>
      </c>
      <c r="AC9" s="0" t="n">
        <v>336.688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2.195</v>
      </c>
    </row>
    <row r="3" customFormat="false" ht="15" hidden="false" customHeight="false" outlineLevel="0" collapsed="false">
      <c r="A3" s="0" t="s">
        <v>75</v>
      </c>
      <c r="B3" s="3" t="n">
        <v>959.871</v>
      </c>
    </row>
    <row r="4" customFormat="false" ht="15" hidden="false" customHeight="false" outlineLevel="0" collapsed="false">
      <c r="A4" s="0" t="s">
        <v>76</v>
      </c>
      <c r="B4" s="3" t="n">
        <v>226.919</v>
      </c>
    </row>
    <row r="5" customFormat="false" ht="15" hidden="false" customHeight="false" outlineLevel="0" collapsed="false">
      <c r="A5" s="0" t="s">
        <v>77</v>
      </c>
      <c r="B5" s="3" t="n">
        <v>148.9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3338.18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2</v>
      </c>
      <c r="D13" s="3" t="n">
        <v>-6</v>
      </c>
      <c r="E13" s="3" t="n">
        <v>-4</v>
      </c>
      <c r="F13" s="3" t="n">
        <v>0</v>
      </c>
      <c r="G13" s="3" t="n">
        <v>2</v>
      </c>
      <c r="H13" s="3" t="n">
        <v>2.5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96</v>
      </c>
      <c r="C14" s="3" t="n">
        <v>17.5</v>
      </c>
      <c r="D14" s="3" t="n">
        <v>15.5</v>
      </c>
      <c r="E14" s="3" t="n">
        <v>15</v>
      </c>
      <c r="F14" s="3" t="n">
        <v>15.5</v>
      </c>
      <c r="G14" s="3" t="n">
        <v>16</v>
      </c>
      <c r="H14" s="3" t="n">
        <v>16.5</v>
      </c>
      <c r="I14" s="3" t="n">
        <v>16.5</v>
      </c>
      <c r="J14" s="3" t="n">
        <v>16.5</v>
      </c>
      <c r="K14" s="3" t="n">
        <v>16.5</v>
      </c>
      <c r="L14" s="3" t="n">
        <v>16.5</v>
      </c>
    </row>
    <row r="15" customFormat="false" ht="15" hidden="false" customHeight="false" outlineLevel="0" collapsed="false">
      <c r="A15" s="0" t="s">
        <v>97</v>
      </c>
      <c r="C15" s="3" t="n">
        <v>0.28</v>
      </c>
      <c r="D15" s="3" t="n">
        <v>0.28</v>
      </c>
      <c r="E15" s="3" t="n">
        <v>0.28</v>
      </c>
      <c r="F15" s="3" t="n">
        <v>0.28</v>
      </c>
      <c r="G15" s="3" t="n">
        <v>0.28</v>
      </c>
      <c r="H15" s="3" t="n">
        <v>0.28</v>
      </c>
      <c r="I15" s="3" t="n">
        <v>0.28</v>
      </c>
      <c r="J15" s="3" t="n">
        <v>0.28</v>
      </c>
      <c r="K15" s="3" t="n">
        <v>0.28</v>
      </c>
      <c r="L15" s="3" t="n">
        <v>0.28</v>
      </c>
    </row>
    <row r="16" customFormat="false" ht="15" hidden="false" customHeight="false" outlineLevel="0" collapsed="false">
      <c r="A16" s="0" t="s">
        <v>98</v>
      </c>
      <c r="C16" s="3" t="n">
        <v>0.5</v>
      </c>
      <c r="D16" s="3" t="n">
        <v>0.5</v>
      </c>
      <c r="E16" s="3" t="n">
        <v>0.5</v>
      </c>
      <c r="F16" s="3" t="n">
        <v>0.5</v>
      </c>
      <c r="G16" s="3" t="n">
        <v>0.5</v>
      </c>
      <c r="H16" s="3" t="n">
        <v>0.5</v>
      </c>
      <c r="I16" s="3" t="n">
        <v>0.5</v>
      </c>
      <c r="J16" s="3" t="n">
        <v>0.5</v>
      </c>
      <c r="K16" s="3" t="n">
        <v>0.5</v>
      </c>
      <c r="L16" s="3" t="n">
        <v>0.5</v>
      </c>
    </row>
    <row r="17" customFormat="false" ht="15" hidden="false" customHeight="false" outlineLevel="0" collapsed="false">
      <c r="A17" s="0" t="s">
        <v>99</v>
      </c>
      <c r="C17" s="3" t="n">
        <v>9.4</v>
      </c>
      <c r="D17" s="3" t="n">
        <v>9.8</v>
      </c>
      <c r="E17" s="3" t="n">
        <v>9.9</v>
      </c>
      <c r="F17" s="3" t="n">
        <v>9.6</v>
      </c>
      <c r="G17" s="3" t="n">
        <v>9.3</v>
      </c>
      <c r="H17" s="3" t="n">
        <v>9</v>
      </c>
      <c r="I17" s="3" t="n">
        <v>9</v>
      </c>
      <c r="J17" s="3" t="n">
        <v>9</v>
      </c>
      <c r="K17" s="3" t="n">
        <v>9</v>
      </c>
      <c r="L17" s="3" t="n">
        <v>9</v>
      </c>
    </row>
    <row r="18" customFormat="false" ht="15" hidden="false" customHeight="false" outlineLevel="0" collapsed="false">
      <c r="A18" s="0" t="s">
        <v>100</v>
      </c>
      <c r="C18" s="3" t="n">
        <v>10</v>
      </c>
      <c r="D18" s="3" t="n">
        <v>8.5</v>
      </c>
      <c r="E18" s="3" t="n">
        <v>8</v>
      </c>
      <c r="F18" s="3" t="n">
        <v>8.5</v>
      </c>
      <c r="G18" s="3" t="n">
        <v>9</v>
      </c>
      <c r="H18" s="3" t="n">
        <v>9</v>
      </c>
      <c r="I18" s="3" t="n">
        <v>9</v>
      </c>
      <c r="J18" s="3" t="n">
        <v>9</v>
      </c>
      <c r="K18" s="3" t="n">
        <v>9</v>
      </c>
      <c r="L18" s="3" t="n">
        <v>9</v>
      </c>
    </row>
    <row r="19" customFormat="false" ht="15" hidden="false" customHeight="false" outlineLevel="0" collapsed="false">
      <c r="A19" s="0" t="s">
        <v>101</v>
      </c>
      <c r="C19" s="3" t="n">
        <v>38</v>
      </c>
      <c r="D19" s="3" t="n">
        <v>40</v>
      </c>
      <c r="E19" s="3" t="n">
        <v>40</v>
      </c>
      <c r="F19" s="3" t="n">
        <v>38</v>
      </c>
      <c r="G19" s="3" t="n">
        <v>37</v>
      </c>
      <c r="H19" s="3" t="n">
        <v>37</v>
      </c>
      <c r="I19" s="3" t="n">
        <v>37</v>
      </c>
      <c r="J19" s="3" t="n">
        <v>37</v>
      </c>
      <c r="K19" s="3" t="n">
        <v>37</v>
      </c>
      <c r="L19" s="3" t="n">
        <v>37</v>
      </c>
    </row>
    <row r="20" customFormat="false" ht="15" hidden="false" customHeight="false" outlineLevel="0" collapsed="false">
      <c r="A20" s="0" t="s">
        <v>102</v>
      </c>
      <c r="B20" s="3" t="n">
        <v>10</v>
      </c>
    </row>
    <row r="21" customFormat="false" ht="15" hidden="false" customHeight="false" outlineLevel="0" collapsed="false">
      <c r="A21" s="0" t="s">
        <v>103</v>
      </c>
      <c r="B21" s="3" t="n">
        <v>2</v>
      </c>
    </row>
    <row r="22" customFormat="false" ht="15" hidden="false" customHeight="false" outlineLevel="0" collapsed="false">
      <c r="A22" s="0" t="s">
        <v>104</v>
      </c>
      <c r="B22" s="3" t="n">
        <v>12</v>
      </c>
    </row>
    <row r="23" customFormat="false" ht="15" hidden="false" customHeight="false" outlineLevel="0" collapsed="false">
      <c r="A23" s="0" t="s">
        <v>105</v>
      </c>
      <c r="B23" s="3" t="n">
        <v>-7</v>
      </c>
    </row>
    <row r="24" customFormat="false" ht="15" hidden="false" customHeight="false" outlineLevel="0" collapsed="false">
      <c r="A24" s="0" t="s">
        <v>106</v>
      </c>
      <c r="B24" s="3" t="n">
        <v>0.3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5</v>
      </c>
      <c r="D27" s="3" t="n">
        <v>4</v>
      </c>
      <c r="E27" s="3" t="n">
        <v>3.5</v>
      </c>
      <c r="F27" s="3" t="n">
        <v>3</v>
      </c>
      <c r="G27" s="3" t="n">
        <v>3</v>
      </c>
      <c r="H27" s="3" t="n">
        <v>2.5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96</v>
      </c>
      <c r="C28" s="3" t="n">
        <v>18.3</v>
      </c>
      <c r="D28" s="3" t="n">
        <v>18.1</v>
      </c>
      <c r="E28" s="3" t="n">
        <v>17.9</v>
      </c>
      <c r="F28" s="3" t="n">
        <v>17.7</v>
      </c>
      <c r="G28" s="3" t="n">
        <v>17.5</v>
      </c>
      <c r="H28" s="3" t="n">
        <v>17.5</v>
      </c>
      <c r="I28" s="3" t="n">
        <v>17.5</v>
      </c>
      <c r="J28" s="3" t="n">
        <v>17.5</v>
      </c>
      <c r="K28" s="3" t="n">
        <v>17.5</v>
      </c>
      <c r="L28" s="3" t="n">
        <v>17.5</v>
      </c>
    </row>
    <row r="29" customFormat="false" ht="15" hidden="false" customHeight="false" outlineLevel="0" collapsed="false">
      <c r="A29" s="0" t="s">
        <v>97</v>
      </c>
      <c r="C29" s="3" t="n">
        <v>0.28</v>
      </c>
      <c r="D29" s="3" t="n">
        <v>0.28</v>
      </c>
      <c r="E29" s="3" t="n">
        <v>0.28</v>
      </c>
      <c r="F29" s="3" t="n">
        <v>0.28</v>
      </c>
      <c r="G29" s="3" t="n">
        <v>0.28</v>
      </c>
      <c r="H29" s="3" t="n">
        <v>0.28</v>
      </c>
      <c r="I29" s="3" t="n">
        <v>0.28</v>
      </c>
      <c r="J29" s="3" t="n">
        <v>0.28</v>
      </c>
      <c r="K29" s="3" t="n">
        <v>0.28</v>
      </c>
      <c r="L29" s="3" t="n">
        <v>0.28</v>
      </c>
    </row>
    <row r="30" customFormat="false" ht="15" hidden="false" customHeight="false" outlineLevel="0" collapsed="false">
      <c r="A30" s="0" t="s">
        <v>98</v>
      </c>
      <c r="C30" s="3" t="n">
        <v>0.5</v>
      </c>
      <c r="D30" s="3" t="n">
        <v>0.5</v>
      </c>
      <c r="E30" s="3" t="n">
        <v>0.5</v>
      </c>
      <c r="F30" s="3" t="n">
        <v>0.5</v>
      </c>
      <c r="G30" s="3" t="n">
        <v>0.5</v>
      </c>
      <c r="H30" s="3" t="n">
        <v>0.5</v>
      </c>
      <c r="I30" s="3" t="n">
        <v>0.5</v>
      </c>
      <c r="J30" s="3" t="n">
        <v>0.5</v>
      </c>
      <c r="K30" s="3" t="n">
        <v>0.5</v>
      </c>
      <c r="L30" s="3" t="n">
        <v>0.5</v>
      </c>
    </row>
    <row r="31" customFormat="false" ht="15" hidden="false" customHeight="false" outlineLevel="0" collapsed="false">
      <c r="A31" s="0" t="s">
        <v>99</v>
      </c>
      <c r="C31" s="3" t="n">
        <v>9.2</v>
      </c>
      <c r="D31" s="3" t="n">
        <v>9</v>
      </c>
      <c r="E31" s="3" t="n">
        <v>8.8</v>
      </c>
      <c r="F31" s="3" t="n">
        <v>8.8</v>
      </c>
      <c r="G31" s="3" t="n">
        <v>8.8</v>
      </c>
      <c r="H31" s="3" t="n">
        <v>8.8</v>
      </c>
      <c r="I31" s="3" t="n">
        <v>8.8</v>
      </c>
      <c r="J31" s="3" t="n">
        <v>8.8</v>
      </c>
      <c r="K31" s="3" t="n">
        <v>8.8</v>
      </c>
      <c r="L31" s="3" t="n">
        <v>8.8</v>
      </c>
    </row>
    <row r="32" customFormat="false" ht="15" hidden="false" customHeight="false" outlineLevel="0" collapsed="false">
      <c r="A32" s="0" t="s">
        <v>100</v>
      </c>
      <c r="C32" s="3" t="n">
        <v>9.7</v>
      </c>
      <c r="D32" s="3" t="n">
        <v>9.5</v>
      </c>
      <c r="E32" s="3" t="n">
        <v>9.3</v>
      </c>
      <c r="F32" s="3" t="n">
        <v>9.3</v>
      </c>
      <c r="G32" s="3" t="n">
        <v>9.2</v>
      </c>
      <c r="H32" s="3" t="n">
        <v>9.2</v>
      </c>
      <c r="I32" s="3" t="n">
        <v>9</v>
      </c>
      <c r="J32" s="3" t="n">
        <v>9</v>
      </c>
      <c r="K32" s="3" t="n">
        <v>9</v>
      </c>
      <c r="L32" s="3" t="n">
        <v>9</v>
      </c>
    </row>
    <row r="33" customFormat="false" ht="15" hidden="false" customHeight="false" outlineLevel="0" collapsed="false">
      <c r="A33" s="0" t="s">
        <v>101</v>
      </c>
      <c r="C33" s="3" t="n">
        <v>38</v>
      </c>
      <c r="D33" s="3" t="n">
        <v>37.5</v>
      </c>
      <c r="E33" s="3" t="n">
        <v>37</v>
      </c>
      <c r="F33" s="3" t="n">
        <v>36.5</v>
      </c>
      <c r="G33" s="3" t="n">
        <v>36</v>
      </c>
      <c r="H33" s="3" t="n">
        <v>36</v>
      </c>
      <c r="I33" s="3" t="n">
        <v>36</v>
      </c>
      <c r="J33" s="3" t="n">
        <v>36</v>
      </c>
      <c r="K33" s="3" t="n">
        <v>36</v>
      </c>
      <c r="L33" s="3" t="n">
        <v>36</v>
      </c>
    </row>
    <row r="34" customFormat="false" ht="15" hidden="false" customHeight="false" outlineLevel="0" collapsed="false">
      <c r="A34" s="0" t="s">
        <v>102</v>
      </c>
      <c r="B34" s="3" t="n">
        <v>10</v>
      </c>
    </row>
    <row r="35" customFormat="false" ht="15" hidden="false" customHeight="false" outlineLevel="0" collapsed="false">
      <c r="A35" s="0" t="s">
        <v>103</v>
      </c>
      <c r="B35" s="3" t="n">
        <v>2.5</v>
      </c>
    </row>
    <row r="36" customFormat="false" ht="15" hidden="false" customHeight="false" outlineLevel="0" collapsed="false">
      <c r="A36" s="0" t="s">
        <v>104</v>
      </c>
      <c r="B36" s="3" t="n">
        <v>12</v>
      </c>
    </row>
    <row r="37" customFormat="false" ht="15" hidden="false" customHeight="false" outlineLevel="0" collapsed="false">
      <c r="A37" s="0" t="s">
        <v>105</v>
      </c>
      <c r="B37" s="3" t="n">
        <v>-7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8.5</v>
      </c>
      <c r="D41" s="3" t="n">
        <v>7</v>
      </c>
      <c r="E41" s="3" t="n">
        <v>6</v>
      </c>
      <c r="F41" s="3" t="n">
        <v>5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96</v>
      </c>
      <c r="C42" s="3" t="n">
        <v>18.8</v>
      </c>
      <c r="D42" s="3" t="n">
        <v>18.9</v>
      </c>
      <c r="E42" s="3" t="n">
        <v>19</v>
      </c>
      <c r="F42" s="3" t="n">
        <v>19</v>
      </c>
      <c r="G42" s="3" t="n">
        <v>18.8</v>
      </c>
      <c r="H42" s="3" t="n">
        <v>18.6</v>
      </c>
      <c r="I42" s="3" t="n">
        <v>18.5</v>
      </c>
      <c r="J42" s="3" t="n">
        <v>18.5</v>
      </c>
      <c r="K42" s="3" t="n">
        <v>18.5</v>
      </c>
      <c r="L42" s="3" t="n">
        <v>18.5</v>
      </c>
    </row>
    <row r="43" customFormat="false" ht="15" hidden="false" customHeight="false" outlineLevel="0" collapsed="false">
      <c r="A43" s="0" t="s">
        <v>97</v>
      </c>
      <c r="C43" s="3" t="n">
        <v>0.28</v>
      </c>
      <c r="D43" s="3" t="n">
        <v>0.28</v>
      </c>
      <c r="E43" s="3" t="n">
        <v>0.28</v>
      </c>
      <c r="F43" s="3" t="n">
        <v>0.28</v>
      </c>
      <c r="G43" s="3" t="n">
        <v>0.28</v>
      </c>
      <c r="H43" s="3" t="n">
        <v>0.28</v>
      </c>
      <c r="I43" s="3" t="n">
        <v>0.28</v>
      </c>
      <c r="J43" s="3" t="n">
        <v>0.28</v>
      </c>
      <c r="K43" s="3" t="n">
        <v>0.28</v>
      </c>
      <c r="L43" s="3" t="n">
        <v>0.28</v>
      </c>
    </row>
    <row r="44" customFormat="false" ht="15" hidden="false" customHeight="false" outlineLevel="0" collapsed="false">
      <c r="A44" s="0" t="s">
        <v>98</v>
      </c>
      <c r="C44" s="3" t="n">
        <v>0.5</v>
      </c>
      <c r="D44" s="3" t="n">
        <v>0.5</v>
      </c>
      <c r="E44" s="3" t="n">
        <v>0.5</v>
      </c>
      <c r="F44" s="3" t="n">
        <v>0.5</v>
      </c>
      <c r="G44" s="3" t="n">
        <v>0.5</v>
      </c>
      <c r="H44" s="3" t="n">
        <v>0.5</v>
      </c>
      <c r="I44" s="3" t="n">
        <v>0.5</v>
      </c>
      <c r="J44" s="3" t="n">
        <v>0.5</v>
      </c>
      <c r="K44" s="3" t="n">
        <v>0.5</v>
      </c>
      <c r="L44" s="3" t="n">
        <v>0.5</v>
      </c>
    </row>
    <row r="45" customFormat="false" ht="15" hidden="false" customHeight="false" outlineLevel="0" collapsed="false">
      <c r="A45" s="0" t="s">
        <v>99</v>
      </c>
      <c r="C45" s="3" t="n">
        <v>9.2</v>
      </c>
      <c r="D45" s="3" t="n">
        <v>9</v>
      </c>
      <c r="E45" s="3" t="n">
        <v>8.8</v>
      </c>
      <c r="F45" s="3" t="n">
        <v>8.8</v>
      </c>
      <c r="G45" s="3" t="n">
        <v>8.8</v>
      </c>
      <c r="H45" s="3" t="n">
        <v>8.8</v>
      </c>
      <c r="I45" s="3" t="n">
        <v>8.8</v>
      </c>
      <c r="J45" s="3" t="n">
        <v>8.8</v>
      </c>
      <c r="K45" s="3" t="n">
        <v>8.8</v>
      </c>
      <c r="L45" s="3" t="n">
        <v>8.8</v>
      </c>
    </row>
    <row r="46" customFormat="false" ht="15" hidden="false" customHeight="false" outlineLevel="0" collapsed="false">
      <c r="A46" s="0" t="s">
        <v>100</v>
      </c>
      <c r="C46" s="3" t="n">
        <v>10</v>
      </c>
      <c r="D46" s="3" t="n">
        <v>9.8</v>
      </c>
      <c r="E46" s="3" t="n">
        <v>9.6</v>
      </c>
      <c r="F46" s="3" t="n">
        <v>9.5</v>
      </c>
      <c r="G46" s="3" t="n">
        <v>9.4</v>
      </c>
      <c r="H46" s="3" t="n">
        <v>9.3</v>
      </c>
      <c r="I46" s="3" t="n">
        <v>9.2</v>
      </c>
      <c r="J46" s="3" t="n">
        <v>9.2</v>
      </c>
      <c r="K46" s="3" t="n">
        <v>9.2</v>
      </c>
      <c r="L46" s="3" t="n">
        <v>9.2</v>
      </c>
    </row>
    <row r="47" customFormat="false" ht="15" hidden="false" customHeight="false" outlineLevel="0" collapsed="false">
      <c r="A47" s="0" t="s">
        <v>101</v>
      </c>
      <c r="C47" s="3" t="n">
        <v>38</v>
      </c>
      <c r="D47" s="3" t="n">
        <v>37</v>
      </c>
      <c r="E47" s="3" t="n">
        <v>36</v>
      </c>
      <c r="F47" s="3" t="n">
        <v>35</v>
      </c>
      <c r="G47" s="3" t="n">
        <v>34</v>
      </c>
      <c r="H47" s="3" t="n">
        <v>34</v>
      </c>
      <c r="I47" s="3" t="n">
        <v>34</v>
      </c>
      <c r="J47" s="3" t="n">
        <v>34</v>
      </c>
      <c r="K47" s="3" t="n">
        <v>34</v>
      </c>
      <c r="L47" s="3" t="n">
        <v>34</v>
      </c>
    </row>
    <row r="48" customFormat="false" ht="15" hidden="false" customHeight="false" outlineLevel="0" collapsed="false">
      <c r="A48" s="0" t="s">
        <v>102</v>
      </c>
      <c r="B48" s="3" t="n">
        <v>10</v>
      </c>
    </row>
    <row r="49" customFormat="false" ht="15" hidden="false" customHeight="false" outlineLevel="0" collapsed="false">
      <c r="A49" s="0" t="s">
        <v>103</v>
      </c>
      <c r="B49" s="3" t="n">
        <v>2.5</v>
      </c>
    </row>
    <row r="50" customFormat="false" ht="15" hidden="false" customHeight="false" outlineLevel="0" collapsed="false">
      <c r="A50" s="0" t="s">
        <v>104</v>
      </c>
      <c r="B50" s="3" t="n">
        <v>12</v>
      </c>
    </row>
    <row r="51" customFormat="false" ht="15" hidden="false" customHeight="false" outlineLevel="0" collapsed="false">
      <c r="A51" s="0" t="s">
        <v>105</v>
      </c>
      <c r="B51" s="3" t="n">
        <v>-7</v>
      </c>
    </row>
    <row r="52" customFormat="false" ht="15" hidden="false" customHeight="false" outlineLevel="0" collapsed="false">
      <c r="A52" s="0" t="s">
        <v>106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2</v>
      </c>
      <c r="D5" s="4" t="n">
        <f aca="false">Assumptions!D13</f>
        <v>-6</v>
      </c>
      <c r="E5" s="4" t="n">
        <f aca="false">Assumptions!E13</f>
        <v>-4</v>
      </c>
      <c r="F5" s="4" t="n">
        <f aca="false">Assumptions!F13</f>
        <v>0</v>
      </c>
      <c r="G5" s="4" t="n">
        <f aca="false">Assumptions!G13</f>
        <v>2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3338.18</v>
      </c>
      <c r="C6" s="0" t="n">
        <f aca="false">B6*(1+C5/100)</f>
        <v>3404.9436</v>
      </c>
      <c r="D6" s="0" t="n">
        <f aca="false">C6*(1+D5/100)</f>
        <v>3200.646984</v>
      </c>
      <c r="E6" s="0" t="n">
        <f aca="false">D6*(1+E5/100)</f>
        <v>3072.62110464</v>
      </c>
      <c r="F6" s="0" t="n">
        <f aca="false">E6*(1+F5/100)</f>
        <v>3072.62110464</v>
      </c>
      <c r="G6" s="0" t="n">
        <f aca="false">F6*(1+G5/100)</f>
        <v>3134.0735267328</v>
      </c>
      <c r="H6" s="0" t="n">
        <f aca="false">G6*(1+H5/100)</f>
        <v>3212.42536490112</v>
      </c>
      <c r="I6" s="0" t="n">
        <f aca="false">H6*(1+I5/100)</f>
        <v>3292.73599902365</v>
      </c>
      <c r="J6" s="0" t="n">
        <f aca="false">I6*(1+J5/100)</f>
        <v>3375.05439899924</v>
      </c>
      <c r="K6" s="0" t="n">
        <f aca="false">J6*(1+K5/100)</f>
        <v>3459.43075897422</v>
      </c>
      <c r="L6" s="0" t="n">
        <f aca="false">K6*(1+L5/100)</f>
        <v>3545.91652794857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17.5</v>
      </c>
      <c r="D7" s="4" t="n">
        <f aca="false">Assumptions!D14</f>
        <v>15.5</v>
      </c>
      <c r="E7" s="4" t="n">
        <f aca="false">Assumptions!E14</f>
        <v>15</v>
      </c>
      <c r="F7" s="4" t="n">
        <f aca="false">Assumptions!F14</f>
        <v>15.5</v>
      </c>
      <c r="G7" s="4" t="n">
        <f aca="false">Assumptions!G14</f>
        <v>16</v>
      </c>
      <c r="H7" s="4" t="n">
        <f aca="false">Assumptions!H14</f>
        <v>16.5</v>
      </c>
      <c r="I7" s="4" t="n">
        <f aca="false">Assumptions!I14</f>
        <v>16.5</v>
      </c>
      <c r="J7" s="4" t="n">
        <f aca="false">Assumptions!J14</f>
        <v>16.5</v>
      </c>
      <c r="K7" s="4" t="n">
        <f aca="false">Assumptions!K14</f>
        <v>16.5</v>
      </c>
      <c r="L7" s="4" t="n">
        <f aca="false">Assumptions!L14</f>
        <v>16.5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595.86513</v>
      </c>
      <c r="D8" s="0" t="n">
        <f aca="false">D6*D7/100</f>
        <v>496.10028252</v>
      </c>
      <c r="E8" s="0" t="n">
        <f aca="false">E6*E7/100</f>
        <v>460.893165696</v>
      </c>
      <c r="F8" s="0" t="n">
        <f aca="false">F6*F7/100</f>
        <v>476.2562712192</v>
      </c>
      <c r="G8" s="0" t="n">
        <f aca="false">G6*G7/100</f>
        <v>501.451764277248</v>
      </c>
      <c r="H8" s="0" t="n">
        <f aca="false">H6*H7/100</f>
        <v>530.050185208685</v>
      </c>
      <c r="I8" s="0" t="n">
        <f aca="false">I6*I7/100</f>
        <v>543.301439838902</v>
      </c>
      <c r="J8" s="0" t="n">
        <f aca="false">J6*J7/100</f>
        <v>556.883975834874</v>
      </c>
      <c r="K8" s="0" t="n">
        <f aca="false">K6*K7/100</f>
        <v>570.806075230746</v>
      </c>
      <c r="L8" s="0" t="n">
        <f aca="false">L6*L7/100</f>
        <v>585.076227111515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0.28</v>
      </c>
      <c r="D9" s="4" t="n">
        <f aca="false">Assumptions!D15</f>
        <v>0.28</v>
      </c>
      <c r="E9" s="4" t="n">
        <f aca="false">Assumptions!E15</f>
        <v>0.28</v>
      </c>
      <c r="F9" s="4" t="n">
        <f aca="false">Assumptions!F15</f>
        <v>0.28</v>
      </c>
      <c r="G9" s="4" t="n">
        <f aca="false">Assumptions!G15</f>
        <v>0.28</v>
      </c>
      <c r="H9" s="4" t="n">
        <f aca="false">Assumptions!H15</f>
        <v>0.28</v>
      </c>
      <c r="I9" s="4" t="n">
        <f aca="false">Assumptions!I15</f>
        <v>0.28</v>
      </c>
      <c r="J9" s="4" t="n">
        <f aca="false">Assumptions!J15</f>
        <v>0.28</v>
      </c>
      <c r="K9" s="4" t="n">
        <f aca="false">Assumptions!K15</f>
        <v>0.28</v>
      </c>
      <c r="L9" s="4" t="n">
        <f aca="false">Assumptions!L15</f>
        <v>0.28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-9.53384208</v>
      </c>
      <c r="D10" s="0" t="n">
        <f aca="false">-D6*D9/100</f>
        <v>-8.9618115552</v>
      </c>
      <c r="E10" s="0" t="n">
        <f aca="false">-E6*E9/100</f>
        <v>-8.603339092992</v>
      </c>
      <c r="F10" s="0" t="n">
        <f aca="false">-F6*F9/100</f>
        <v>-8.603339092992</v>
      </c>
      <c r="G10" s="0" t="n">
        <f aca="false">-G6*G9/100</f>
        <v>-8.77540587485184</v>
      </c>
      <c r="H10" s="0" t="n">
        <f aca="false">-H6*H9/100</f>
        <v>-8.99479102172314</v>
      </c>
      <c r="I10" s="0" t="n">
        <f aca="false">-I6*I9/100</f>
        <v>-9.21966079726621</v>
      </c>
      <c r="J10" s="0" t="n">
        <f aca="false">-J6*J9/100</f>
        <v>-9.45015231719787</v>
      </c>
      <c r="K10" s="0" t="n">
        <f aca="false">-K6*K9/100</f>
        <v>-9.68640612512781</v>
      </c>
      <c r="L10" s="0" t="n">
        <f aca="false">-L6*L9/100</f>
        <v>-9.92856627825601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569.30656992</v>
      </c>
      <c r="D11" s="0" t="n">
        <f aca="false">D8+D10+D24</f>
        <v>471.1352360448</v>
      </c>
      <c r="E11" s="0" t="n">
        <f aca="false">E8+E10+E24</f>
        <v>436.926721079808</v>
      </c>
      <c r="F11" s="0" t="n">
        <f aca="false">F8+F10+F24</f>
        <v>452.289826603008</v>
      </c>
      <c r="G11" s="0" t="n">
        <f aca="false">G8+G10+G24</f>
        <v>477.005990768732</v>
      </c>
      <c r="H11" s="0" t="n">
        <f aca="false">H8+H10+H24</f>
        <v>504.993267362456</v>
      </c>
      <c r="I11" s="0" t="n">
        <f aca="false">I8+I10+I24</f>
        <v>517.618099046517</v>
      </c>
      <c r="J11" s="0" t="n">
        <f aca="false">J8+J10+J24</f>
        <v>530.55855152268</v>
      </c>
      <c r="K11" s="0" t="n">
        <f aca="false">K8+K10+K24</f>
        <v>543.822515310747</v>
      </c>
      <c r="L11" s="0" t="n">
        <f aca="false">L8+L10+L24</f>
        <v>557.418078193516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-320.0646984</v>
      </c>
      <c r="D12" s="4" t="n">
        <f aca="false">-D6*Assumptions!D17/100</f>
        <v>-313.663404432</v>
      </c>
      <c r="E12" s="4" t="n">
        <f aca="false">-E6*Assumptions!E17/100</f>
        <v>-304.18948935936</v>
      </c>
      <c r="F12" s="4" t="n">
        <f aca="false">-F6*Assumptions!F17/100</f>
        <v>-294.97162604544</v>
      </c>
      <c r="G12" s="4" t="n">
        <f aca="false">-G6*Assumptions!G17/100</f>
        <v>-291.46883798615</v>
      </c>
      <c r="H12" s="4" t="n">
        <f aca="false">-H6*Assumptions!H17/100</f>
        <v>-289.118282841101</v>
      </c>
      <c r="I12" s="4" t="n">
        <f aca="false">-I6*Assumptions!I17/100</f>
        <v>-296.346239912128</v>
      </c>
      <c r="J12" s="4" t="n">
        <f aca="false">-J6*Assumptions!J17/100</f>
        <v>-303.754895909931</v>
      </c>
      <c r="K12" s="4" t="n">
        <f aca="false">-K6*Assumptions!K17/100</f>
        <v>-311.34876830768</v>
      </c>
      <c r="L12" s="4" t="n">
        <f aca="false">-L6*Assumptions!L17/100</f>
        <v>-319.132487515372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249.24187152</v>
      </c>
      <c r="D13" s="0" t="n">
        <f aca="false">D11+D12</f>
        <v>157.4718316128</v>
      </c>
      <c r="E13" s="0" t="n">
        <f aca="false">E11+E12</f>
        <v>132.737231720448</v>
      </c>
      <c r="F13" s="0" t="n">
        <f aca="false">F11+F12</f>
        <v>157.318200557568</v>
      </c>
      <c r="G13" s="0" t="n">
        <f aca="false">G11+G12</f>
        <v>185.537152782582</v>
      </c>
      <c r="H13" s="0" t="n">
        <f aca="false">H11+H12</f>
        <v>215.874984521355</v>
      </c>
      <c r="I13" s="0" t="n">
        <f aca="false">I11+I12</f>
        <v>221.271859134389</v>
      </c>
      <c r="J13" s="0" t="n">
        <f aca="false">J11+J12</f>
        <v>226.803655612749</v>
      </c>
      <c r="K13" s="0" t="n">
        <f aca="false">K11+K12</f>
        <v>232.473747003068</v>
      </c>
      <c r="L13" s="0" t="n">
        <f aca="false">L11+L12</f>
        <v>238.285590678144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38</v>
      </c>
      <c r="D14" s="4" t="n">
        <f aca="false">Assumptions!D19</f>
        <v>40</v>
      </c>
      <c r="E14" s="4" t="n">
        <f aca="false">Assumptions!E19</f>
        <v>40</v>
      </c>
      <c r="F14" s="4" t="n">
        <f aca="false">Assumptions!F19</f>
        <v>38</v>
      </c>
      <c r="G14" s="4" t="n">
        <f aca="false">Assumptions!G19</f>
        <v>37</v>
      </c>
      <c r="H14" s="4" t="n">
        <f aca="false">Assumptions!H19</f>
        <v>37</v>
      </c>
      <c r="I14" s="4" t="n">
        <f aca="false">Assumptions!I19</f>
        <v>37</v>
      </c>
      <c r="J14" s="4" t="n">
        <f aca="false">Assumptions!J19</f>
        <v>37</v>
      </c>
      <c r="K14" s="4" t="n">
        <f aca="false">Assumptions!K19</f>
        <v>37</v>
      </c>
      <c r="L14" s="4" t="n">
        <f aca="false">Assumptions!L19</f>
        <v>37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154.5299603424</v>
      </c>
      <c r="D15" s="0" t="n">
        <f aca="false">D13-MAX(0,D13)*D14/100</f>
        <v>94.4830989676799</v>
      </c>
      <c r="E15" s="0" t="n">
        <f aca="false">E13-MAX(0,E13)*E14/100</f>
        <v>79.6423390322688</v>
      </c>
      <c r="F15" s="0" t="n">
        <f aca="false">F13-MAX(0,F13)*F14/100</f>
        <v>97.5372843456922</v>
      </c>
      <c r="G15" s="0" t="n">
        <f aca="false">G13-MAX(0,G13)*G14/100</f>
        <v>116.888406253026</v>
      </c>
      <c r="H15" s="0" t="n">
        <f aca="false">H13-MAX(0,H13)*H14/100</f>
        <v>136.001240248454</v>
      </c>
      <c r="I15" s="0" t="n">
        <f aca="false">I13-MAX(0,I13)*I14/100</f>
        <v>139.401271254665</v>
      </c>
      <c r="J15" s="0" t="n">
        <f aca="false">J13-MAX(0,J13)*J14/100</f>
        <v>142.886303036032</v>
      </c>
      <c r="K15" s="0" t="n">
        <f aca="false">K13-MAX(0,K13)*K14/100</f>
        <v>146.458460611933</v>
      </c>
      <c r="L15" s="0" t="n">
        <f aca="false">L13-MAX(0,L13)*L14/100</f>
        <v>150.119922127231</v>
      </c>
    </row>
    <row r="16" customFormat="false" ht="15" hidden="false" customHeight="false" outlineLevel="0" collapsed="false">
      <c r="A16" s="0" t="s">
        <v>117</v>
      </c>
      <c r="C16" s="0" t="n">
        <f aca="false">-C12</f>
        <v>320.0646984</v>
      </c>
      <c r="D16" s="0" t="n">
        <f aca="false">-D12</f>
        <v>313.663404432</v>
      </c>
      <c r="E16" s="0" t="n">
        <f aca="false">-E12</f>
        <v>304.18948935936</v>
      </c>
      <c r="F16" s="0" t="n">
        <f aca="false">-F12</f>
        <v>294.97162604544</v>
      </c>
      <c r="G16" s="0" t="n">
        <f aca="false">-G12</f>
        <v>291.46883798615</v>
      </c>
      <c r="H16" s="0" t="n">
        <f aca="false">-H12</f>
        <v>289.118282841101</v>
      </c>
      <c r="I16" s="0" t="n">
        <f aca="false">-I12</f>
        <v>296.346239912128</v>
      </c>
      <c r="J16" s="0" t="n">
        <f aca="false">-J12</f>
        <v>303.754895909931</v>
      </c>
      <c r="K16" s="0" t="n">
        <f aca="false">-K12</f>
        <v>311.34876830768</v>
      </c>
      <c r="L16" s="0" t="n">
        <f aca="false">-L12</f>
        <v>319.132487515372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-340.49436</v>
      </c>
      <c r="D17" s="4" t="n">
        <f aca="false">-D6*Assumptions!D18/100</f>
        <v>-272.05499364</v>
      </c>
      <c r="E17" s="4" t="n">
        <f aca="false">-E6*Assumptions!E18/100</f>
        <v>-245.8096883712</v>
      </c>
      <c r="F17" s="4" t="n">
        <f aca="false">-F6*Assumptions!F18/100</f>
        <v>-261.1727938944</v>
      </c>
      <c r="G17" s="4" t="n">
        <f aca="false">-G6*Assumptions!G18/100</f>
        <v>-282.066617405952</v>
      </c>
      <c r="H17" s="4" t="n">
        <f aca="false">-H6*Assumptions!H18/100</f>
        <v>-289.118282841101</v>
      </c>
      <c r="I17" s="4" t="n">
        <f aca="false">-I6*Assumptions!I18/100</f>
        <v>-296.346239912128</v>
      </c>
      <c r="J17" s="4" t="n">
        <f aca="false">-J6*Assumptions!J18/100</f>
        <v>-303.754895909931</v>
      </c>
      <c r="K17" s="4" t="n">
        <f aca="false">-K6*Assumptions!K18/100</f>
        <v>-311.34876830768</v>
      </c>
      <c r="L17" s="4" t="n">
        <f aca="false">-L6*Assumptions!L18/100</f>
        <v>-319.132487515372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-4.67345200000002</v>
      </c>
      <c r="D18" s="4" t="n">
        <f aca="false">(D6-C6)*Assumptions!$B$23/100</f>
        <v>14.30076312</v>
      </c>
      <c r="E18" s="4" t="n">
        <f aca="false">(E6-D6)*Assumptions!$B$23/100</f>
        <v>8.96181155520001</v>
      </c>
      <c r="F18" s="4" t="n">
        <f aca="false">(F6-E6)*Assumptions!$B$23/100</f>
        <v>-0</v>
      </c>
      <c r="G18" s="4" t="n">
        <f aca="false">(G6-F6)*Assumptions!$B$23/100</f>
        <v>-4.30166954649601</v>
      </c>
      <c r="H18" s="4" t="n">
        <f aca="false">(H6-G6)*Assumptions!$B$23/100</f>
        <v>-5.48462867178238</v>
      </c>
      <c r="I18" s="4" t="n">
        <f aca="false">(I6-H6)*Assumptions!$B$23/100</f>
        <v>-5.62174438857693</v>
      </c>
      <c r="J18" s="4" t="n">
        <f aca="false">(J6-I6)*Assumptions!$B$23/100</f>
        <v>-5.76228799829138</v>
      </c>
      <c r="K18" s="4" t="n">
        <f aca="false">(K6-J6)*Assumptions!$B$23/100</f>
        <v>-5.90634519824863</v>
      </c>
      <c r="L18" s="4" t="n">
        <f aca="false">(L6-K6)*Assumptions!$B$23/100</f>
        <v>-6.05400382820487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129.4268467424</v>
      </c>
      <c r="D19" s="0" t="n">
        <f aca="false">D15+D16+D17+D18</f>
        <v>150.39227287968</v>
      </c>
      <c r="E19" s="0" t="n">
        <f aca="false">E15+E16+E17+E18</f>
        <v>146.983951575629</v>
      </c>
      <c r="F19" s="0" t="n">
        <f aca="false">F15+F16+F17+F18</f>
        <v>131.336116496732</v>
      </c>
      <c r="G19" s="0" t="n">
        <f aca="false">G15+G16+G17+G18</f>
        <v>121.988957286729</v>
      </c>
      <c r="H19" s="0" t="n">
        <f aca="false">H15+H16+H17+H18</f>
        <v>130.516611576671</v>
      </c>
      <c r="I19" s="0" t="n">
        <f aca="false">I15+I16+I17+I18</f>
        <v>133.779526866088</v>
      </c>
      <c r="J19" s="0" t="n">
        <f aca="false">J15+J16+J17+J18</f>
        <v>137.12401503774</v>
      </c>
      <c r="K19" s="0" t="n">
        <f aca="false">K15+K16+K17+K18</f>
        <v>140.552115413684</v>
      </c>
      <c r="L19" s="0" t="n">
        <f aca="false">L15+L16+L17+L18</f>
        <v>144.065918299026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117.660769765818</v>
      </c>
      <c r="D21" s="0" t="n">
        <f aca="false">D19*D20</f>
        <v>124.291134611306</v>
      </c>
      <c r="E21" s="0" t="n">
        <f aca="false">E19*E20</f>
        <v>110.431218313771</v>
      </c>
      <c r="F21" s="0" t="n">
        <f aca="false">F19*F20</f>
        <v>89.7043347426625</v>
      </c>
      <c r="G21" s="0" t="n">
        <f aca="false">G19*G20</f>
        <v>75.7455447570824</v>
      </c>
      <c r="H21" s="0" t="n">
        <f aca="false">H19*H20</f>
        <v>73.673224673986</v>
      </c>
      <c r="I21" s="0" t="n">
        <f aca="false">I19*I20</f>
        <v>68.6500502643961</v>
      </c>
      <c r="J21" s="0" t="n">
        <f aca="false">J19*J20</f>
        <v>63.9693650190963</v>
      </c>
      <c r="K21" s="0" t="n">
        <f aca="false">K19*K20</f>
        <v>59.6078174041579</v>
      </c>
      <c r="L21" s="0" t="n">
        <f aca="false">L19*L20</f>
        <v>55.5436480356926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0.5</v>
      </c>
      <c r="D23" s="4" t="n">
        <f aca="false">Assumptions!D16</f>
        <v>0.5</v>
      </c>
      <c r="E23" s="4" t="n">
        <f aca="false">Assumptions!E16</f>
        <v>0.5</v>
      </c>
      <c r="F23" s="4" t="n">
        <f aca="false">Assumptions!F16</f>
        <v>0.5</v>
      </c>
      <c r="G23" s="4" t="n">
        <f aca="false">Assumptions!G16</f>
        <v>0.5</v>
      </c>
      <c r="H23" s="4" t="n">
        <f aca="false">Assumptions!H16</f>
        <v>0.5</v>
      </c>
      <c r="I23" s="4" t="n">
        <f aca="false">Assumptions!I16</f>
        <v>0.5</v>
      </c>
      <c r="J23" s="4" t="n">
        <f aca="false">Assumptions!J16</f>
        <v>0.5</v>
      </c>
      <c r="K23" s="4" t="n">
        <f aca="false">Assumptions!K16</f>
        <v>0.5</v>
      </c>
      <c r="L23" s="4" t="n">
        <f aca="false">Assumptions!L16</f>
        <v>0.5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-17.024718</v>
      </c>
      <c r="D24" s="0" t="n">
        <f aca="false">-D6*D23/100</f>
        <v>-16.00323492</v>
      </c>
      <c r="E24" s="0" t="n">
        <f aca="false">-E6*E23/100</f>
        <v>-15.3631055232</v>
      </c>
      <c r="F24" s="0" t="n">
        <f aca="false">-F6*F23/100</f>
        <v>-15.3631055232</v>
      </c>
      <c r="G24" s="0" t="n">
        <f aca="false">-G6*G23/100</f>
        <v>-15.670367633664</v>
      </c>
      <c r="H24" s="0" t="n">
        <f aca="false">-H6*H23/100</f>
        <v>-16.0621268245056</v>
      </c>
      <c r="I24" s="0" t="n">
        <f aca="false">-I6*I23/100</f>
        <v>-16.4636799951182</v>
      </c>
      <c r="J24" s="0" t="n">
        <f aca="false">-J6*J23/100</f>
        <v>-16.8752719949962</v>
      </c>
      <c r="K24" s="0" t="n">
        <f aca="false">-K6*K23/100</f>
        <v>-17.2971537948711</v>
      </c>
      <c r="L24" s="0" t="n">
        <f aca="false">-L6*L23/100</f>
        <v>-17.7295826397429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839.277107587968</v>
      </c>
    </row>
    <row r="31" customFormat="false" ht="15" hidden="false" customHeight="false" outlineLevel="0" collapsed="false">
      <c r="A31" s="0" t="s">
        <v>126</v>
      </c>
      <c r="B31" s="0" t="n">
        <f aca="false">L19</f>
        <v>144.065918299026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1836.84045831258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1728.79101958831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1728.79101958831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666.523776428311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1505.80088401628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1427.78188401628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1.48747267499099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-0.322335911165835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56.0153424739634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48.8056243035338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1.59667585622836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1130.36335896159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0.924237018358878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5</v>
      </c>
      <c r="D5" s="4" t="n">
        <f aca="false">Assumptions!D27</f>
        <v>4</v>
      </c>
      <c r="E5" s="4" t="n">
        <f aca="false">Assumptions!E27</f>
        <v>3.5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3338.18</v>
      </c>
      <c r="C6" s="0" t="n">
        <f aca="false">B6*(1+C5/100)</f>
        <v>3505.089</v>
      </c>
      <c r="D6" s="0" t="n">
        <f aca="false">C6*(1+D5/100)</f>
        <v>3645.29256</v>
      </c>
      <c r="E6" s="0" t="n">
        <f aca="false">D6*(1+E5/100)</f>
        <v>3772.8777996</v>
      </c>
      <c r="F6" s="0" t="n">
        <f aca="false">E6*(1+F5/100)</f>
        <v>3886.064133588</v>
      </c>
      <c r="G6" s="0" t="n">
        <f aca="false">F6*(1+G5/100)</f>
        <v>4002.64605759564</v>
      </c>
      <c r="H6" s="0" t="n">
        <f aca="false">G6*(1+H5/100)</f>
        <v>4102.71220903553</v>
      </c>
      <c r="I6" s="0" t="n">
        <f aca="false">H6*(1+I5/100)</f>
        <v>4205.28001426142</v>
      </c>
      <c r="J6" s="0" t="n">
        <f aca="false">I6*(1+J5/100)</f>
        <v>4310.41201461795</v>
      </c>
      <c r="K6" s="0" t="n">
        <f aca="false">J6*(1+K5/100)</f>
        <v>4418.1723149834</v>
      </c>
      <c r="L6" s="0" t="n">
        <f aca="false">K6*(1+L5/100)</f>
        <v>4528.62662285799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18.3</v>
      </c>
      <c r="D7" s="4" t="n">
        <f aca="false">Assumptions!D28</f>
        <v>18.1</v>
      </c>
      <c r="E7" s="4" t="n">
        <f aca="false">Assumptions!E28</f>
        <v>17.9</v>
      </c>
      <c r="F7" s="4" t="n">
        <f aca="false">Assumptions!F28</f>
        <v>17.7</v>
      </c>
      <c r="G7" s="4" t="n">
        <f aca="false">Assumptions!G28</f>
        <v>17.5</v>
      </c>
      <c r="H7" s="4" t="n">
        <f aca="false">Assumptions!H28</f>
        <v>17.5</v>
      </c>
      <c r="I7" s="4" t="n">
        <f aca="false">Assumptions!I28</f>
        <v>17.5</v>
      </c>
      <c r="J7" s="4" t="n">
        <f aca="false">Assumptions!J28</f>
        <v>17.5</v>
      </c>
      <c r="K7" s="4" t="n">
        <f aca="false">Assumptions!K28</f>
        <v>17.5</v>
      </c>
      <c r="L7" s="4" t="n">
        <f aca="false">Assumptions!L28</f>
        <v>17.5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641.431287</v>
      </c>
      <c r="D8" s="0" t="n">
        <f aca="false">D6*D7/100</f>
        <v>659.79795336</v>
      </c>
      <c r="E8" s="0" t="n">
        <f aca="false">E6*E7/100</f>
        <v>675.3451261284</v>
      </c>
      <c r="F8" s="0" t="n">
        <f aca="false">F6*F7/100</f>
        <v>687.833351645076</v>
      </c>
      <c r="G8" s="0" t="n">
        <f aca="false">G6*G7/100</f>
        <v>700.463060079237</v>
      </c>
      <c r="H8" s="0" t="n">
        <f aca="false">H6*H7/100</f>
        <v>717.974636581218</v>
      </c>
      <c r="I8" s="0" t="n">
        <f aca="false">I6*I7/100</f>
        <v>735.924002495748</v>
      </c>
      <c r="J8" s="0" t="n">
        <f aca="false">J6*J7/100</f>
        <v>754.322102558142</v>
      </c>
      <c r="K8" s="0" t="n">
        <f aca="false">K6*K7/100</f>
        <v>773.180155122096</v>
      </c>
      <c r="L8" s="0" t="n">
        <f aca="false">L6*L7/100</f>
        <v>792.509659000148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0.28</v>
      </c>
      <c r="D9" s="4" t="n">
        <f aca="false">Assumptions!D29</f>
        <v>0.28</v>
      </c>
      <c r="E9" s="4" t="n">
        <f aca="false">Assumptions!E29</f>
        <v>0.28</v>
      </c>
      <c r="F9" s="4" t="n">
        <f aca="false">Assumptions!F29</f>
        <v>0.28</v>
      </c>
      <c r="G9" s="4" t="n">
        <f aca="false">Assumptions!G29</f>
        <v>0.28</v>
      </c>
      <c r="H9" s="4" t="n">
        <f aca="false">Assumptions!H29</f>
        <v>0.28</v>
      </c>
      <c r="I9" s="4" t="n">
        <f aca="false">Assumptions!I29</f>
        <v>0.28</v>
      </c>
      <c r="J9" s="4" t="n">
        <f aca="false">Assumptions!J29</f>
        <v>0.28</v>
      </c>
      <c r="K9" s="4" t="n">
        <f aca="false">Assumptions!K29</f>
        <v>0.28</v>
      </c>
      <c r="L9" s="4" t="n">
        <f aca="false">Assumptions!L29</f>
        <v>0.28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-9.8142492</v>
      </c>
      <c r="D10" s="0" t="n">
        <f aca="false">-D6*D9/100</f>
        <v>-10.206819168</v>
      </c>
      <c r="E10" s="0" t="n">
        <f aca="false">-E6*E9/100</f>
        <v>-10.56405783888</v>
      </c>
      <c r="F10" s="0" t="n">
        <f aca="false">-F6*F9/100</f>
        <v>-10.8809795740464</v>
      </c>
      <c r="G10" s="0" t="n">
        <f aca="false">-G6*G9/100</f>
        <v>-11.2074089612678</v>
      </c>
      <c r="H10" s="0" t="n">
        <f aca="false">-H6*H9/100</f>
        <v>-11.4875941852995</v>
      </c>
      <c r="I10" s="0" t="n">
        <f aca="false">-I6*I9/100</f>
        <v>-11.774784039932</v>
      </c>
      <c r="J10" s="0" t="n">
        <f aca="false">-J6*J9/100</f>
        <v>-12.0691536409303</v>
      </c>
      <c r="K10" s="0" t="n">
        <f aca="false">-K6*K9/100</f>
        <v>-12.3708824819535</v>
      </c>
      <c r="L10" s="0" t="n">
        <f aca="false">-L6*L9/100</f>
        <v>-12.6801545440024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614.0915928</v>
      </c>
      <c r="D11" s="0" t="n">
        <f aca="false">D8+D10+D24</f>
        <v>631.364671392</v>
      </c>
      <c r="E11" s="0" t="n">
        <f aca="false">E8+E10+E24</f>
        <v>645.91667929152</v>
      </c>
      <c r="F11" s="0" t="n">
        <f aca="false">F8+F10+F24</f>
        <v>657.52205140309</v>
      </c>
      <c r="G11" s="0" t="n">
        <f aca="false">G8+G10+G24</f>
        <v>669.242420829991</v>
      </c>
      <c r="H11" s="0" t="n">
        <f aca="false">H8+H10+H24</f>
        <v>685.973481350741</v>
      </c>
      <c r="I11" s="0" t="n">
        <f aca="false">I8+I10+I24</f>
        <v>703.122818384509</v>
      </c>
      <c r="J11" s="0" t="n">
        <f aca="false">J8+J10+J24</f>
        <v>720.700888844122</v>
      </c>
      <c r="K11" s="0" t="n">
        <f aca="false">K8+K10+K24</f>
        <v>738.718411065225</v>
      </c>
      <c r="L11" s="0" t="n">
        <f aca="false">L8+L10+L24</f>
        <v>757.186371341856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-322.468188</v>
      </c>
      <c r="D12" s="4" t="n">
        <f aca="false">-D6*Assumptions!D31/100</f>
        <v>-328.0763304</v>
      </c>
      <c r="E12" s="4" t="n">
        <f aca="false">-E6*Assumptions!E31/100</f>
        <v>-332.0132463648</v>
      </c>
      <c r="F12" s="4" t="n">
        <f aca="false">-F6*Assumptions!F31/100</f>
        <v>-341.973643755744</v>
      </c>
      <c r="G12" s="4" t="n">
        <f aca="false">-G6*Assumptions!G31/100</f>
        <v>-352.232853068416</v>
      </c>
      <c r="H12" s="4" t="n">
        <f aca="false">-H6*Assumptions!H31/100</f>
        <v>-361.038674395127</v>
      </c>
      <c r="I12" s="4" t="n">
        <f aca="false">-I6*Assumptions!I31/100</f>
        <v>-370.064641255005</v>
      </c>
      <c r="J12" s="4" t="n">
        <f aca="false">-J6*Assumptions!J31/100</f>
        <v>-379.31625728638</v>
      </c>
      <c r="K12" s="4" t="n">
        <f aca="false">-K6*Assumptions!K31/100</f>
        <v>-388.799163718539</v>
      </c>
      <c r="L12" s="4" t="n">
        <f aca="false">-L6*Assumptions!L31/100</f>
        <v>-398.519142811503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291.6234048</v>
      </c>
      <c r="D13" s="0" t="n">
        <f aca="false">D11+D12</f>
        <v>303.288340992</v>
      </c>
      <c r="E13" s="0" t="n">
        <f aca="false">E11+E12</f>
        <v>313.90343292672</v>
      </c>
      <c r="F13" s="0" t="n">
        <f aca="false">F11+F12</f>
        <v>315.548407647346</v>
      </c>
      <c r="G13" s="0" t="n">
        <f aca="false">G11+G12</f>
        <v>317.009567761575</v>
      </c>
      <c r="H13" s="0" t="n">
        <f aca="false">H11+H12</f>
        <v>324.934806955614</v>
      </c>
      <c r="I13" s="0" t="n">
        <f aca="false">I11+I12</f>
        <v>333.058177129504</v>
      </c>
      <c r="J13" s="0" t="n">
        <f aca="false">J11+J12</f>
        <v>341.384631557742</v>
      </c>
      <c r="K13" s="0" t="n">
        <f aca="false">K11+K12</f>
        <v>349.919247346686</v>
      </c>
      <c r="L13" s="0" t="n">
        <f aca="false">L11+L12</f>
        <v>358.667228530353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38</v>
      </c>
      <c r="D14" s="4" t="n">
        <f aca="false">Assumptions!D33</f>
        <v>37.5</v>
      </c>
      <c r="E14" s="4" t="n">
        <f aca="false">Assumptions!E33</f>
        <v>37</v>
      </c>
      <c r="F14" s="4" t="n">
        <f aca="false">Assumptions!F33</f>
        <v>36.5</v>
      </c>
      <c r="G14" s="4" t="n">
        <f aca="false">Assumptions!G33</f>
        <v>36</v>
      </c>
      <c r="H14" s="4" t="n">
        <f aca="false">Assumptions!H33</f>
        <v>36</v>
      </c>
      <c r="I14" s="4" t="n">
        <f aca="false">Assumptions!I33</f>
        <v>36</v>
      </c>
      <c r="J14" s="4" t="n">
        <f aca="false">Assumptions!J33</f>
        <v>36</v>
      </c>
      <c r="K14" s="4" t="n">
        <f aca="false">Assumptions!K33</f>
        <v>36</v>
      </c>
      <c r="L14" s="4" t="n">
        <f aca="false">Assumptions!L33</f>
        <v>36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180.806510976</v>
      </c>
      <c r="D15" s="0" t="n">
        <f aca="false">D13-MAX(0,D13)*D14/100</f>
        <v>189.55521312</v>
      </c>
      <c r="E15" s="0" t="n">
        <f aca="false">E13-MAX(0,E13)*E14/100</f>
        <v>197.759162743834</v>
      </c>
      <c r="F15" s="0" t="n">
        <f aca="false">F13-MAX(0,F13)*F14/100</f>
        <v>200.373238856064</v>
      </c>
      <c r="G15" s="0" t="n">
        <f aca="false">G13-MAX(0,G13)*G14/100</f>
        <v>202.886123367408</v>
      </c>
      <c r="H15" s="0" t="n">
        <f aca="false">H13-MAX(0,H13)*H14/100</f>
        <v>207.958276451593</v>
      </c>
      <c r="I15" s="0" t="n">
        <f aca="false">I13-MAX(0,I13)*I14/100</f>
        <v>213.157233362883</v>
      </c>
      <c r="J15" s="0" t="n">
        <f aca="false">J13-MAX(0,J13)*J14/100</f>
        <v>218.486164196955</v>
      </c>
      <c r="K15" s="0" t="n">
        <f aca="false">K13-MAX(0,K13)*K14/100</f>
        <v>223.948318301879</v>
      </c>
      <c r="L15" s="0" t="n">
        <f aca="false">L13-MAX(0,L13)*L14/100</f>
        <v>229.547026259426</v>
      </c>
    </row>
    <row r="16" customFormat="false" ht="15" hidden="false" customHeight="false" outlineLevel="0" collapsed="false">
      <c r="A16" s="0" t="s">
        <v>117</v>
      </c>
      <c r="C16" s="0" t="n">
        <f aca="false">-C12</f>
        <v>322.468188</v>
      </c>
      <c r="D16" s="0" t="n">
        <f aca="false">-D12</f>
        <v>328.0763304</v>
      </c>
      <c r="E16" s="0" t="n">
        <f aca="false">-E12</f>
        <v>332.0132463648</v>
      </c>
      <c r="F16" s="0" t="n">
        <f aca="false">-F12</f>
        <v>341.973643755744</v>
      </c>
      <c r="G16" s="0" t="n">
        <f aca="false">-G12</f>
        <v>352.232853068416</v>
      </c>
      <c r="H16" s="0" t="n">
        <f aca="false">-H12</f>
        <v>361.038674395127</v>
      </c>
      <c r="I16" s="0" t="n">
        <f aca="false">-I12</f>
        <v>370.064641255005</v>
      </c>
      <c r="J16" s="0" t="n">
        <f aca="false">-J12</f>
        <v>379.31625728638</v>
      </c>
      <c r="K16" s="0" t="n">
        <f aca="false">-K12</f>
        <v>388.799163718539</v>
      </c>
      <c r="L16" s="0" t="n">
        <f aca="false">-L12</f>
        <v>398.519142811503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-339.993633</v>
      </c>
      <c r="D17" s="4" t="n">
        <f aca="false">-D6*Assumptions!D32/100</f>
        <v>-346.3027932</v>
      </c>
      <c r="E17" s="4" t="n">
        <f aca="false">-E6*Assumptions!E32/100</f>
        <v>-350.8776353628</v>
      </c>
      <c r="F17" s="4" t="n">
        <f aca="false">-F6*Assumptions!F32/100</f>
        <v>-361.403964423684</v>
      </c>
      <c r="G17" s="4" t="n">
        <f aca="false">-G6*Assumptions!G32/100</f>
        <v>-368.243437298799</v>
      </c>
      <c r="H17" s="4" t="n">
        <f aca="false">-H6*Assumptions!H32/100</f>
        <v>-377.449523231269</v>
      </c>
      <c r="I17" s="4" t="n">
        <f aca="false">-I6*Assumptions!I32/100</f>
        <v>-378.475201283528</v>
      </c>
      <c r="J17" s="4" t="n">
        <f aca="false">-J6*Assumptions!J32/100</f>
        <v>-387.937081315616</v>
      </c>
      <c r="K17" s="4" t="n">
        <f aca="false">-K6*Assumptions!K32/100</f>
        <v>-397.635508348506</v>
      </c>
      <c r="L17" s="4" t="n">
        <f aca="false">-L6*Assumptions!L32/100</f>
        <v>-407.576396057219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-11.68363</v>
      </c>
      <c r="D18" s="4" t="n">
        <f aca="false">(D6-C6)*Assumptions!$B$37/100</f>
        <v>-9.8142492</v>
      </c>
      <c r="E18" s="4" t="n">
        <f aca="false">(E6-D6)*Assumptions!$B$37/100</f>
        <v>-8.93096677199997</v>
      </c>
      <c r="F18" s="4" t="n">
        <f aca="false">(F6-E6)*Assumptions!$B$37/100</f>
        <v>-7.92304337916001</v>
      </c>
      <c r="G18" s="4" t="n">
        <f aca="false">(G6-F6)*Assumptions!$B$37/100</f>
        <v>-8.16073468053482</v>
      </c>
      <c r="H18" s="4" t="n">
        <f aca="false">(H6-G6)*Assumptions!$B$37/100</f>
        <v>-7.00463060079235</v>
      </c>
      <c r="I18" s="4" t="n">
        <f aca="false">(I6-H6)*Assumptions!$B$37/100</f>
        <v>-7.17974636581217</v>
      </c>
      <c r="J18" s="4" t="n">
        <f aca="false">(J6-I6)*Assumptions!$B$37/100</f>
        <v>-7.35924002495746</v>
      </c>
      <c r="K18" s="4" t="n">
        <f aca="false">(K6-J6)*Assumptions!$B$37/100</f>
        <v>-7.5432210255814</v>
      </c>
      <c r="L18" s="4" t="n">
        <f aca="false">(L6-K6)*Assumptions!$B$37/100</f>
        <v>-7.73180155122092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151.597435976</v>
      </c>
      <c r="D19" s="0" t="n">
        <f aca="false">D15+D16+D17+D18</f>
        <v>161.51450112</v>
      </c>
      <c r="E19" s="0" t="n">
        <f aca="false">E15+E16+E17+E18</f>
        <v>169.963806973834</v>
      </c>
      <c r="F19" s="0" t="n">
        <f aca="false">F15+F16+F17+F18</f>
        <v>173.019874808965</v>
      </c>
      <c r="G19" s="0" t="n">
        <f aca="false">G15+G16+G17+G18</f>
        <v>178.714804456491</v>
      </c>
      <c r="H19" s="0" t="n">
        <f aca="false">H15+H16+H17+H18</f>
        <v>184.542797014658</v>
      </c>
      <c r="I19" s="0" t="n">
        <f aca="false">I15+I16+I17+I18</f>
        <v>197.566926968548</v>
      </c>
      <c r="J19" s="0" t="n">
        <f aca="false">J15+J16+J17+J18</f>
        <v>202.506100142761</v>
      </c>
      <c r="K19" s="0" t="n">
        <f aca="false">K15+K16+K17+K18</f>
        <v>207.568752646331</v>
      </c>
      <c r="L19" s="0" t="n">
        <f aca="false">L15+L16+L17+L18</f>
        <v>212.757971462489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137.815850887273</v>
      </c>
      <c r="D21" s="0" t="n">
        <f aca="false">D19*D20</f>
        <v>133.483058776859</v>
      </c>
      <c r="E21" s="0" t="n">
        <f aca="false">E19*E20</f>
        <v>127.69632379702</v>
      </c>
      <c r="F21" s="0" t="n">
        <f aca="false">F19*F20</f>
        <v>118.174902540103</v>
      </c>
      <c r="G21" s="0" t="n">
        <f aca="false">G19*G20</f>
        <v>110.967832833382</v>
      </c>
      <c r="H21" s="0" t="n">
        <f aca="false">H19*H20</f>
        <v>104.169597893981</v>
      </c>
      <c r="I21" s="0" t="n">
        <f aca="false">I19*I20</f>
        <v>101.383072467803</v>
      </c>
      <c r="J21" s="0" t="n">
        <f aca="false">J19*J20</f>
        <v>94.4705902540895</v>
      </c>
      <c r="K21" s="0" t="n">
        <f aca="false">K19*K20</f>
        <v>88.0294136458562</v>
      </c>
      <c r="L21" s="0" t="n">
        <f aca="false">L19*L20</f>
        <v>82.0274081700023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0.5</v>
      </c>
      <c r="D23" s="4" t="n">
        <f aca="false">Assumptions!D30</f>
        <v>0.5</v>
      </c>
      <c r="E23" s="4" t="n">
        <f aca="false">Assumptions!E30</f>
        <v>0.5</v>
      </c>
      <c r="F23" s="4" t="n">
        <f aca="false">Assumptions!F30</f>
        <v>0.5</v>
      </c>
      <c r="G23" s="4" t="n">
        <f aca="false">Assumptions!G30</f>
        <v>0.5</v>
      </c>
      <c r="H23" s="4" t="n">
        <f aca="false">Assumptions!H30</f>
        <v>0.5</v>
      </c>
      <c r="I23" s="4" t="n">
        <f aca="false">Assumptions!I30</f>
        <v>0.5</v>
      </c>
      <c r="J23" s="4" t="n">
        <f aca="false">Assumptions!J30</f>
        <v>0.5</v>
      </c>
      <c r="K23" s="4" t="n">
        <f aca="false">Assumptions!K30</f>
        <v>0.5</v>
      </c>
      <c r="L23" s="4" t="n">
        <f aca="false">Assumptions!L30</f>
        <v>0.5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-17.525445</v>
      </c>
      <c r="D24" s="0" t="n">
        <f aca="false">-D6*D23/100</f>
        <v>-18.2264628</v>
      </c>
      <c r="E24" s="0" t="n">
        <f aca="false">-E6*E23/100</f>
        <v>-18.864388998</v>
      </c>
      <c r="F24" s="0" t="n">
        <f aca="false">-F6*F23/100</f>
        <v>-19.43032066794</v>
      </c>
      <c r="G24" s="0" t="n">
        <f aca="false">-G6*G23/100</f>
        <v>-20.0132302879782</v>
      </c>
      <c r="H24" s="0" t="n">
        <f aca="false">-H6*H23/100</f>
        <v>-20.5135610451777</v>
      </c>
      <c r="I24" s="0" t="n">
        <f aca="false">-I6*I23/100</f>
        <v>-21.0264000713071</v>
      </c>
      <c r="J24" s="0" t="n">
        <f aca="false">-J6*J23/100</f>
        <v>-21.5520600730898</v>
      </c>
      <c r="K24" s="0" t="n">
        <f aca="false">-K6*K23/100</f>
        <v>-22.090861574917</v>
      </c>
      <c r="L24" s="0" t="n">
        <f aca="false">-L6*L23/100</f>
        <v>-22.6431331142899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1098.21805126637</v>
      </c>
    </row>
    <row r="31" customFormat="false" ht="15" hidden="false" customHeight="false" outlineLevel="0" collapsed="false">
      <c r="A31" s="0" t="s">
        <v>126</v>
      </c>
      <c r="B31" s="0" t="n">
        <f aca="false">L19</f>
        <v>212.757971462489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2907.69227665401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2553.09565754987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2553.09565754987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984.328898040028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2082.5469493064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2004.5279493064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2.08833056661405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-0.0485965527954202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67.9774731329284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66.8128960760497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2.22875607088387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1744.61536599241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1.29033643573266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8.5</v>
      </c>
      <c r="D5" s="4" t="n">
        <f aca="false">Assumptions!D41</f>
        <v>7</v>
      </c>
      <c r="E5" s="4" t="n">
        <f aca="false">Assumptions!E41</f>
        <v>6</v>
      </c>
      <c r="F5" s="4" t="n">
        <f aca="false">Assumptions!F41</f>
        <v>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3338.18</v>
      </c>
      <c r="C6" s="0" t="n">
        <f aca="false">B6*(1+C5/100)</f>
        <v>3621.9253</v>
      </c>
      <c r="D6" s="0" t="n">
        <f aca="false">C6*(1+D5/100)</f>
        <v>3875.460071</v>
      </c>
      <c r="E6" s="0" t="n">
        <f aca="false">D6*(1+E5/100)</f>
        <v>4107.98767526</v>
      </c>
      <c r="F6" s="0" t="n">
        <f aca="false">E6*(1+F5/100)</f>
        <v>4313.387059023</v>
      </c>
      <c r="G6" s="0" t="n">
        <f aca="false">F6*(1+G5/100)</f>
        <v>4485.92254138392</v>
      </c>
      <c r="H6" s="0" t="n">
        <f aca="false">G6*(1+H5/100)</f>
        <v>4642.92983033236</v>
      </c>
      <c r="I6" s="0" t="n">
        <f aca="false">H6*(1+I5/100)</f>
        <v>4782.21772524233</v>
      </c>
      <c r="J6" s="0" t="n">
        <f aca="false">I6*(1+J5/100)</f>
        <v>4925.6842569996</v>
      </c>
      <c r="K6" s="0" t="n">
        <f aca="false">J6*(1+K5/100)</f>
        <v>5073.45478470959</v>
      </c>
      <c r="L6" s="0" t="n">
        <f aca="false">K6*(1+L5/100)</f>
        <v>5225.65842825088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18.8</v>
      </c>
      <c r="D7" s="4" t="n">
        <f aca="false">Assumptions!D42</f>
        <v>18.9</v>
      </c>
      <c r="E7" s="4" t="n">
        <f aca="false">Assumptions!E42</f>
        <v>19</v>
      </c>
      <c r="F7" s="4" t="n">
        <f aca="false">Assumptions!F42</f>
        <v>19</v>
      </c>
      <c r="G7" s="4" t="n">
        <f aca="false">Assumptions!G42</f>
        <v>18.8</v>
      </c>
      <c r="H7" s="4" t="n">
        <f aca="false">Assumptions!H42</f>
        <v>18.6</v>
      </c>
      <c r="I7" s="4" t="n">
        <f aca="false">Assumptions!I42</f>
        <v>18.5</v>
      </c>
      <c r="J7" s="4" t="n">
        <f aca="false">Assumptions!J42</f>
        <v>18.5</v>
      </c>
      <c r="K7" s="4" t="n">
        <f aca="false">Assumptions!K42</f>
        <v>18.5</v>
      </c>
      <c r="L7" s="4" t="n">
        <f aca="false">Assumptions!L42</f>
        <v>18.5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680.9219564</v>
      </c>
      <c r="D8" s="0" t="n">
        <f aca="false">D6*D7/100</f>
        <v>732.461953419</v>
      </c>
      <c r="E8" s="0" t="n">
        <f aca="false">E6*E7/100</f>
        <v>780.5176582994</v>
      </c>
      <c r="F8" s="0" t="n">
        <f aca="false">F6*F7/100</f>
        <v>819.54354121437</v>
      </c>
      <c r="G8" s="0" t="n">
        <f aca="false">G6*G7/100</f>
        <v>843.353437780177</v>
      </c>
      <c r="H8" s="0" t="n">
        <f aca="false">H6*H7/100</f>
        <v>863.584948441819</v>
      </c>
      <c r="I8" s="0" t="n">
        <f aca="false">I6*I7/100</f>
        <v>884.710279169831</v>
      </c>
      <c r="J8" s="0" t="n">
        <f aca="false">J6*J7/100</f>
        <v>911.251587544926</v>
      </c>
      <c r="K8" s="0" t="n">
        <f aca="false">K6*K7/100</f>
        <v>938.589135171274</v>
      </c>
      <c r="L8" s="0" t="n">
        <f aca="false">L6*L7/100</f>
        <v>966.746809226412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0.28</v>
      </c>
      <c r="D9" s="4" t="n">
        <f aca="false">Assumptions!D43</f>
        <v>0.28</v>
      </c>
      <c r="E9" s="4" t="n">
        <f aca="false">Assumptions!E43</f>
        <v>0.28</v>
      </c>
      <c r="F9" s="4" t="n">
        <f aca="false">Assumptions!F43</f>
        <v>0.28</v>
      </c>
      <c r="G9" s="4" t="n">
        <f aca="false">Assumptions!G43</f>
        <v>0.28</v>
      </c>
      <c r="H9" s="4" t="n">
        <f aca="false">Assumptions!H43</f>
        <v>0.28</v>
      </c>
      <c r="I9" s="4" t="n">
        <f aca="false">Assumptions!I43</f>
        <v>0.28</v>
      </c>
      <c r="J9" s="4" t="n">
        <f aca="false">Assumptions!J43</f>
        <v>0.28</v>
      </c>
      <c r="K9" s="4" t="n">
        <f aca="false">Assumptions!K43</f>
        <v>0.28</v>
      </c>
      <c r="L9" s="4" t="n">
        <f aca="false">Assumptions!L43</f>
        <v>0.28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-10.14139084</v>
      </c>
      <c r="D10" s="0" t="n">
        <f aca="false">-D6*D9/100</f>
        <v>-10.8512881988</v>
      </c>
      <c r="E10" s="0" t="n">
        <f aca="false">-E6*E9/100</f>
        <v>-11.502365490728</v>
      </c>
      <c r="F10" s="0" t="n">
        <f aca="false">-F6*F9/100</f>
        <v>-12.0774837652644</v>
      </c>
      <c r="G10" s="0" t="n">
        <f aca="false">-G6*G9/100</f>
        <v>-12.560583115875</v>
      </c>
      <c r="H10" s="0" t="n">
        <f aca="false">-H6*H9/100</f>
        <v>-13.0002035249306</v>
      </c>
      <c r="I10" s="0" t="n">
        <f aca="false">-I6*I9/100</f>
        <v>-13.3902096306785</v>
      </c>
      <c r="J10" s="0" t="n">
        <f aca="false">-J6*J9/100</f>
        <v>-13.7919159195989</v>
      </c>
      <c r="K10" s="0" t="n">
        <f aca="false">-K6*K9/100</f>
        <v>-14.2056733971869</v>
      </c>
      <c r="L10" s="0" t="n">
        <f aca="false">-L6*L9/100</f>
        <v>-14.6318435991025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652.67093906</v>
      </c>
      <c r="D11" s="0" t="n">
        <f aca="false">D8+D10+D24</f>
        <v>702.2333648652</v>
      </c>
      <c r="E11" s="0" t="n">
        <f aca="false">E8+E10+E24</f>
        <v>748.475354432372</v>
      </c>
      <c r="F11" s="0" t="n">
        <f aca="false">F8+F10+F24</f>
        <v>785.899122153991</v>
      </c>
      <c r="G11" s="0" t="n">
        <f aca="false">G8+G10+G24</f>
        <v>808.363241957383</v>
      </c>
      <c r="H11" s="0" t="n">
        <f aca="false">H8+H10+H24</f>
        <v>827.370095765226</v>
      </c>
      <c r="I11" s="0" t="n">
        <f aca="false">I8+I10+I24</f>
        <v>847.408980912941</v>
      </c>
      <c r="J11" s="0" t="n">
        <f aca="false">J8+J10+J24</f>
        <v>872.831250340329</v>
      </c>
      <c r="K11" s="0" t="n">
        <f aca="false">K8+K10+K24</f>
        <v>899.016187850539</v>
      </c>
      <c r="L11" s="0" t="n">
        <f aca="false">L8+L10+L24</f>
        <v>925.986673486055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-333.2171276</v>
      </c>
      <c r="D12" s="4" t="n">
        <f aca="false">-D6*Assumptions!D45/100</f>
        <v>-348.79140639</v>
      </c>
      <c r="E12" s="4" t="n">
        <f aca="false">-E6*Assumptions!E45/100</f>
        <v>-361.50291542288</v>
      </c>
      <c r="F12" s="4" t="n">
        <f aca="false">-F6*Assumptions!F45/100</f>
        <v>-379.578061194024</v>
      </c>
      <c r="G12" s="4" t="n">
        <f aca="false">-G6*Assumptions!G45/100</f>
        <v>-394.761183641785</v>
      </c>
      <c r="H12" s="4" t="n">
        <f aca="false">-H6*Assumptions!H45/100</f>
        <v>-408.577825069248</v>
      </c>
      <c r="I12" s="4" t="n">
        <f aca="false">-I6*Assumptions!I45/100</f>
        <v>-420.835159821325</v>
      </c>
      <c r="J12" s="4" t="n">
        <f aca="false">-J6*Assumptions!J45/100</f>
        <v>-433.460214615965</v>
      </c>
      <c r="K12" s="4" t="n">
        <f aca="false">-K6*Assumptions!K45/100</f>
        <v>-446.464021054444</v>
      </c>
      <c r="L12" s="4" t="n">
        <f aca="false">-L6*Assumptions!L45/100</f>
        <v>-459.857941686077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319.45381146</v>
      </c>
      <c r="D13" s="0" t="n">
        <f aca="false">D11+D12</f>
        <v>353.4419584752</v>
      </c>
      <c r="E13" s="0" t="n">
        <f aca="false">E11+E12</f>
        <v>386.972439009492</v>
      </c>
      <c r="F13" s="0" t="n">
        <f aca="false">F11+F12</f>
        <v>406.321060959967</v>
      </c>
      <c r="G13" s="0" t="n">
        <f aca="false">G11+G12</f>
        <v>413.602058315597</v>
      </c>
      <c r="H13" s="0" t="n">
        <f aca="false">H11+H12</f>
        <v>418.792270695979</v>
      </c>
      <c r="I13" s="0" t="n">
        <f aca="false">I11+I12</f>
        <v>426.573821091616</v>
      </c>
      <c r="J13" s="0" t="n">
        <f aca="false">J11+J12</f>
        <v>439.371035724364</v>
      </c>
      <c r="K13" s="0" t="n">
        <f aca="false">K11+K12</f>
        <v>452.552166796095</v>
      </c>
      <c r="L13" s="0" t="n">
        <f aca="false">L11+L12</f>
        <v>466.128731799978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38</v>
      </c>
      <c r="D14" s="4" t="n">
        <f aca="false">Assumptions!D47</f>
        <v>37</v>
      </c>
      <c r="E14" s="4" t="n">
        <f aca="false">Assumptions!E47</f>
        <v>36</v>
      </c>
      <c r="F14" s="4" t="n">
        <f aca="false">Assumptions!F47</f>
        <v>35</v>
      </c>
      <c r="G14" s="4" t="n">
        <f aca="false">Assumptions!G47</f>
        <v>34</v>
      </c>
      <c r="H14" s="4" t="n">
        <f aca="false">Assumptions!H47</f>
        <v>34</v>
      </c>
      <c r="I14" s="4" t="n">
        <f aca="false">Assumptions!I47</f>
        <v>34</v>
      </c>
      <c r="J14" s="4" t="n">
        <f aca="false">Assumptions!J47</f>
        <v>34</v>
      </c>
      <c r="K14" s="4" t="n">
        <f aca="false">Assumptions!K47</f>
        <v>34</v>
      </c>
      <c r="L14" s="4" t="n">
        <f aca="false">Assumptions!L47</f>
        <v>34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198.0613631052</v>
      </c>
      <c r="D15" s="0" t="n">
        <f aca="false">D13-MAX(0,D13)*D14/100</f>
        <v>222.668433839376</v>
      </c>
      <c r="E15" s="0" t="n">
        <f aca="false">E13-MAX(0,E13)*E14/100</f>
        <v>247.662360966075</v>
      </c>
      <c r="F15" s="0" t="n">
        <f aca="false">F13-MAX(0,F13)*F14/100</f>
        <v>264.108689623978</v>
      </c>
      <c r="G15" s="0" t="n">
        <f aca="false">G13-MAX(0,G13)*G14/100</f>
        <v>272.977358488294</v>
      </c>
      <c r="H15" s="0" t="n">
        <f aca="false">H13-MAX(0,H13)*H14/100</f>
        <v>276.402898659346</v>
      </c>
      <c r="I15" s="0" t="n">
        <f aca="false">I13-MAX(0,I13)*I14/100</f>
        <v>281.538721920466</v>
      </c>
      <c r="J15" s="0" t="n">
        <f aca="false">J13-MAX(0,J13)*J14/100</f>
        <v>289.984883578081</v>
      </c>
      <c r="K15" s="0" t="n">
        <f aca="false">K13-MAX(0,K13)*K14/100</f>
        <v>298.684430085423</v>
      </c>
      <c r="L15" s="0" t="n">
        <f aca="false">L13-MAX(0,L13)*L14/100</f>
        <v>307.644962987986</v>
      </c>
    </row>
    <row r="16" customFormat="false" ht="15" hidden="false" customHeight="false" outlineLevel="0" collapsed="false">
      <c r="A16" s="0" t="s">
        <v>117</v>
      </c>
      <c r="C16" s="0" t="n">
        <f aca="false">-C12</f>
        <v>333.2171276</v>
      </c>
      <c r="D16" s="0" t="n">
        <f aca="false">-D12</f>
        <v>348.79140639</v>
      </c>
      <c r="E16" s="0" t="n">
        <f aca="false">-E12</f>
        <v>361.50291542288</v>
      </c>
      <c r="F16" s="0" t="n">
        <f aca="false">-F12</f>
        <v>379.578061194024</v>
      </c>
      <c r="G16" s="0" t="n">
        <f aca="false">-G12</f>
        <v>394.761183641785</v>
      </c>
      <c r="H16" s="0" t="n">
        <f aca="false">-H12</f>
        <v>408.577825069248</v>
      </c>
      <c r="I16" s="0" t="n">
        <f aca="false">-I12</f>
        <v>420.835159821325</v>
      </c>
      <c r="J16" s="0" t="n">
        <f aca="false">-J12</f>
        <v>433.460214615965</v>
      </c>
      <c r="K16" s="0" t="n">
        <f aca="false">-K12</f>
        <v>446.464021054444</v>
      </c>
      <c r="L16" s="0" t="n">
        <f aca="false">-L12</f>
        <v>459.857941686077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-362.19253</v>
      </c>
      <c r="D17" s="4" t="n">
        <f aca="false">-D6*Assumptions!D46/100</f>
        <v>-379.795086958</v>
      </c>
      <c r="E17" s="4" t="n">
        <f aca="false">-E6*Assumptions!E46/100</f>
        <v>-394.36681682496</v>
      </c>
      <c r="F17" s="4" t="n">
        <f aca="false">-F6*Assumptions!F46/100</f>
        <v>-409.771770607185</v>
      </c>
      <c r="G17" s="4" t="n">
        <f aca="false">-G6*Assumptions!G46/100</f>
        <v>-421.676718890089</v>
      </c>
      <c r="H17" s="4" t="n">
        <f aca="false">-H6*Assumptions!H46/100</f>
        <v>-431.792474220909</v>
      </c>
      <c r="I17" s="4" t="n">
        <f aca="false">-I6*Assumptions!I46/100</f>
        <v>-439.964030722294</v>
      </c>
      <c r="J17" s="4" t="n">
        <f aca="false">-J6*Assumptions!J46/100</f>
        <v>-453.162951643963</v>
      </c>
      <c r="K17" s="4" t="n">
        <f aca="false">-K6*Assumptions!K46/100</f>
        <v>-466.757840193282</v>
      </c>
      <c r="L17" s="4" t="n">
        <f aca="false">-L6*Assumptions!L46/100</f>
        <v>-480.760575399081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-19.862171</v>
      </c>
      <c r="D18" s="4" t="n">
        <f aca="false">(D6-C6)*Assumptions!$B$51/100</f>
        <v>-17.74743397</v>
      </c>
      <c r="E18" s="4" t="n">
        <f aca="false">(E6-D6)*Assumptions!$B$51/100</f>
        <v>-16.2769322982</v>
      </c>
      <c r="F18" s="4" t="n">
        <f aca="false">(F6-E6)*Assumptions!$B$51/100</f>
        <v>-14.37795686341</v>
      </c>
      <c r="G18" s="4" t="n">
        <f aca="false">(G6-F6)*Assumptions!$B$51/100</f>
        <v>-12.0774837652644</v>
      </c>
      <c r="H18" s="4" t="n">
        <f aca="false">(H6-G6)*Assumptions!$B$51/100</f>
        <v>-10.9905102263906</v>
      </c>
      <c r="I18" s="4" t="n">
        <f aca="false">(I6-H6)*Assumptions!$B$51/100</f>
        <v>-9.75015264369799</v>
      </c>
      <c r="J18" s="4" t="n">
        <f aca="false">(J6-I6)*Assumptions!$B$51/100</f>
        <v>-10.0426572230089</v>
      </c>
      <c r="K18" s="4" t="n">
        <f aca="false">(K6-J6)*Assumptions!$B$51/100</f>
        <v>-10.3439369396992</v>
      </c>
      <c r="L18" s="4" t="n">
        <f aca="false">(L6-K6)*Assumptions!$B$51/100</f>
        <v>-10.6542550478901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149.2237897052</v>
      </c>
      <c r="D19" s="0" t="n">
        <f aca="false">D15+D16+D17+D18</f>
        <v>173.917319301376</v>
      </c>
      <c r="E19" s="0" t="n">
        <f aca="false">E15+E16+E17+E18</f>
        <v>198.521527265795</v>
      </c>
      <c r="F19" s="0" t="n">
        <f aca="false">F15+F16+F17+F18</f>
        <v>219.537023347407</v>
      </c>
      <c r="G19" s="0" t="n">
        <f aca="false">G15+G16+G17+G18</f>
        <v>233.984339474726</v>
      </c>
      <c r="H19" s="0" t="n">
        <f aca="false">H15+H16+H17+H18</f>
        <v>242.197739281294</v>
      </c>
      <c r="I19" s="0" t="n">
        <f aca="false">I15+I16+I17+I18</f>
        <v>252.659698375799</v>
      </c>
      <c r="J19" s="0" t="n">
        <f aca="false">J15+J16+J17+J18</f>
        <v>260.239489327073</v>
      </c>
      <c r="K19" s="0" t="n">
        <f aca="false">K15+K16+K17+K18</f>
        <v>268.046674006885</v>
      </c>
      <c r="L19" s="0" t="n">
        <f aca="false">L15+L16+L17+L18</f>
        <v>276.088074227092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135.657990641091</v>
      </c>
      <c r="D21" s="0" t="n">
        <f aca="false">D19*D20</f>
        <v>143.733321736674</v>
      </c>
      <c r="E21" s="0" t="n">
        <f aca="false">E19*E20</f>
        <v>149.152161732378</v>
      </c>
      <c r="F21" s="0" t="n">
        <f aca="false">F19*F20</f>
        <v>149.946740897075</v>
      </c>
      <c r="G21" s="0" t="n">
        <f aca="false">G19*G20</f>
        <v>145.28586564177</v>
      </c>
      <c r="H21" s="0" t="n">
        <f aca="false">H19*H20</f>
        <v>136.714309742252</v>
      </c>
      <c r="I21" s="0" t="n">
        <f aca="false">I19*I20</f>
        <v>129.654375371263</v>
      </c>
      <c r="J21" s="0" t="n">
        <f aca="false">J19*J20</f>
        <v>121.403642393092</v>
      </c>
      <c r="K21" s="0" t="n">
        <f aca="false">K19*K20</f>
        <v>113.677956058986</v>
      </c>
      <c r="L21" s="0" t="n">
        <f aca="false">L19*L20</f>
        <v>106.443904309778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0.5</v>
      </c>
      <c r="D23" s="4" t="n">
        <f aca="false">Assumptions!D44</f>
        <v>0.5</v>
      </c>
      <c r="E23" s="4" t="n">
        <f aca="false">Assumptions!E44</f>
        <v>0.5</v>
      </c>
      <c r="F23" s="4" t="n">
        <f aca="false">Assumptions!F44</f>
        <v>0.5</v>
      </c>
      <c r="G23" s="4" t="n">
        <f aca="false">Assumptions!G44</f>
        <v>0.5</v>
      </c>
      <c r="H23" s="4" t="n">
        <f aca="false">Assumptions!H44</f>
        <v>0.5</v>
      </c>
      <c r="I23" s="4" t="n">
        <f aca="false">Assumptions!I44</f>
        <v>0.5</v>
      </c>
      <c r="J23" s="4" t="n">
        <f aca="false">Assumptions!J44</f>
        <v>0.5</v>
      </c>
      <c r="K23" s="4" t="n">
        <f aca="false">Assumptions!K44</f>
        <v>0.5</v>
      </c>
      <c r="L23" s="4" t="n">
        <f aca="false">Assumptions!L44</f>
        <v>0.5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-18.1096265</v>
      </c>
      <c r="D24" s="0" t="n">
        <f aca="false">-D6*D23/100</f>
        <v>-19.377300355</v>
      </c>
      <c r="E24" s="0" t="n">
        <f aca="false">-E6*E23/100</f>
        <v>-20.5399383763</v>
      </c>
      <c r="F24" s="0" t="n">
        <f aca="false">-F6*F23/100</f>
        <v>-21.566935295115</v>
      </c>
      <c r="G24" s="0" t="n">
        <f aca="false">-G6*G23/100</f>
        <v>-22.4296127069196</v>
      </c>
      <c r="H24" s="0" t="n">
        <f aca="false">-H6*H23/100</f>
        <v>-23.2146491516618</v>
      </c>
      <c r="I24" s="0" t="n">
        <f aca="false">-I6*I23/100</f>
        <v>-23.9110886262117</v>
      </c>
      <c r="J24" s="0" t="n">
        <f aca="false">-J6*J23/100</f>
        <v>-24.628421284998</v>
      </c>
      <c r="K24" s="0" t="n">
        <f aca="false">-K6*K23/100</f>
        <v>-25.3672739235479</v>
      </c>
      <c r="L24" s="0" t="n">
        <f aca="false">-L6*L23/100</f>
        <v>-26.1282921412544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1331.67026852436</v>
      </c>
    </row>
    <row r="31" customFormat="false" ht="15" hidden="false" customHeight="false" outlineLevel="0" collapsed="false">
      <c r="A31" s="0" t="s">
        <v>126</v>
      </c>
      <c r="B31" s="0" t="n">
        <f aca="false">L19</f>
        <v>276.088074227092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3773.20368110359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3313.0568907251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3313.0568907251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1277.32685171733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2608.99712024169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2530.97812024169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2.63678986055594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0.201271007086988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75.1869709204213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77.096524525424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2.79543982023369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2263.92220866215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1.60901198664705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1.48747267499099</v>
      </c>
      <c r="C4" s="0" t="n">
        <f aca="false">B4/Assumptions!$B$2-1</f>
        <v>-0.322335911165835</v>
      </c>
      <c r="D4" s="4" t="n">
        <f aca="false">Assumptions!$B$24</f>
        <v>0.3</v>
      </c>
      <c r="E4" s="4" t="n">
        <f aca="false">DCF_Bear!$B$43</f>
        <v>1.59667585622836</v>
      </c>
      <c r="F4" s="4" t="n">
        <f aca="false">DCF_Bear!$B$47</f>
        <v>0.924237018358878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2.08833056661405</v>
      </c>
      <c r="C5" s="0" t="n">
        <f aca="false">B5/Assumptions!$B$2-1</f>
        <v>-0.0485965527954202</v>
      </c>
      <c r="D5" s="4" t="n">
        <f aca="false">Assumptions!$B$38</f>
        <v>0.5</v>
      </c>
      <c r="E5" s="4" t="n">
        <f aca="false">DCF_Base!$B$43</f>
        <v>2.22875607088387</v>
      </c>
      <c r="F5" s="4" t="n">
        <f aca="false">DCF_Base!$B$47</f>
        <v>1.29033643573266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2.63678986055594</v>
      </c>
      <c r="C6" s="0" t="n">
        <f aca="false">B6/Assumptions!$B$2-1</f>
        <v>0.201271007086988</v>
      </c>
      <c r="D6" s="4" t="n">
        <f aca="false">Assumptions!$B$52</f>
        <v>0.2</v>
      </c>
      <c r="E6" s="4" t="n">
        <f aca="false">DCF_Bull!$B$43</f>
        <v>2.79543982023369</v>
      </c>
      <c r="F6" s="4" t="n">
        <f aca="false">DCF_Bull!$B$47</f>
        <v>1.60901198664705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2.01776505791551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2.15246875635719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-0.0878372540892265</v>
      </c>
    </row>
    <row r="11" customFormat="false" ht="15" hidden="false" customHeight="false" outlineLevel="0" collapsed="false">
      <c r="A11" s="0" t="s">
        <v>153</v>
      </c>
      <c r="B11" s="0" t="n">
        <f aca="false">IF(ABS(B9-B8)&gt;0.01*ABS(B8),(Assumptions!$B$2-B8)/(B9-B8)*100,"n/a")</f>
        <v>131.573924201666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1.2442417207034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2.24052249492682</v>
      </c>
      <c r="C15" s="3" t="n">
        <v>9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2.08833056661405</v>
      </c>
      <c r="C16" s="3" t="n">
        <v>10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1.94909873758779</v>
      </c>
      <c r="C17" s="3" t="n">
        <v>11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1.73517839650584</v>
      </c>
      <c r="C18" s="3" t="n">
        <v>12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1.29033643573266</v>
      </c>
      <c r="C19" s="3" t="n">
        <v>15</v>
      </c>
    </row>
    <row r="21" customFormat="false" ht="15" hidden="false" customHeight="false" outlineLevel="0" collapsed="false">
      <c r="A21" s="2" t="s">
        <v>162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2.40708420479785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2.40708420479785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2.40708420479785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2.40708420479785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2.40708420479785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2.24052249492682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2.24052249492682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2.24052249492682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2.24052249492682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2.24052249492682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2.083303701903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2.08833056661405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2.08833056661405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2.08833056661405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2.08833056661405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1.84638474997269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1.89705698386281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1.94909873758779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1.94909873758779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1.94909873758779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1.65504789483839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1.69310988313043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1.73517839650584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1.78192118914518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1.82156909361605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2026-09-25T04:41:06Z</dcterms:created>
  <dc:creator>openpyxl</dc:creator>
  <dc:description/>
  <dc:language>en-NZ</dc:language>
  <cp:lastModifiedBy/>
  <dcterms:modified xsi:type="dcterms:W3CDTF">2026-09-25T04:41:07Z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