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AV Model" sheetId="1" r:id="rId1"/>
    <sheet name="Sensitivity" sheetId="2" r:id="rId2"/>
    <sheet name="Historical" sheetId="3" r:id="rId3"/>
    <sheet name="Model_Info" sheetId="4" r:id="rId4"/>
  </sheets>
  <calcPr calcId="124519" fullCalcOnLoad="1"/>
</workbook>
</file>

<file path=xl/sharedStrings.xml><?xml version="1.0" encoding="utf-8"?>
<sst xmlns="http://schemas.openxmlformats.org/spreadsheetml/2006/main" count="104" uniqueCount="98">
  <si>
    <t>BIT.NZ — The Bankers Investment Trust PLC — NAV Valuation Model</t>
  </si>
  <si>
    <t>NOT an FCF DCF — this is a closed-end investment trust. Gray cells are INPUTS.</t>
  </si>
  <si>
    <t>Fundamentals in GBP pence; NZD outputs convert at GBPNZD spot (B10).</t>
  </si>
  <si>
    <t>KEY INPUTS</t>
  </si>
  <si>
    <t>BNKR.L Price (GBp)</t>
  </si>
  <si>
    <t>BIT.NZ Price (NZD)</t>
  </si>
  <si>
    <t>Current NAV/share, debt at fair value (GBp)</t>
  </si>
  <si>
    <t>Current NAV/share, debt at par (GBp)</t>
  </si>
  <si>
    <t>GBP:NZD Spot Rate</t>
  </si>
  <si>
    <t>Shares Outstanding (M, ex-treasury)</t>
  </si>
  <si>
    <t>Total Debt, book value (GBP M)</t>
  </si>
  <si>
    <t>Total Debt, fair value (GBP M)</t>
  </si>
  <si>
    <t>Ongoing Charge Ratio</t>
  </si>
  <si>
    <t>Gearing %</t>
  </si>
  <si>
    <t>Current P/NAV (BNKR.L vs debt-at-FV NAV)</t>
  </si>
  <si>
    <t>SCENARIO ASSUMPTIONS</t>
  </si>
  <si>
    <t>Base</t>
  </si>
  <si>
    <t>Bull</t>
  </si>
  <si>
    <t>Bear</t>
  </si>
  <si>
    <t>Total Return % p.a.</t>
  </si>
  <si>
    <t>Dividend Yield %</t>
  </si>
  <si>
    <t>Implied NAV Growth %</t>
  </si>
  <si>
    <t>Exit Discount to NAV %</t>
  </si>
  <si>
    <t>Cost of Equity %</t>
  </si>
  <si>
    <t>PROJECTIONS (Base Case)</t>
  </si>
  <si>
    <t>FY2027</t>
  </si>
  <si>
    <t>FY2028</t>
  </si>
  <si>
    <t>FY2029</t>
  </si>
  <si>
    <t>FY2030</t>
  </si>
  <si>
    <t>FY2031</t>
  </si>
  <si>
    <t>NAV per Share (GBp)</t>
  </si>
  <si>
    <t>Dividend per Share (GBp)</t>
  </si>
  <si>
    <t>VALUATION — Headline (current NAV x fair discount)</t>
  </si>
  <si>
    <t>Intrinsic Value (GBp)</t>
  </si>
  <si>
    <t>Intrinsic Value (NZD)</t>
  </si>
  <si>
    <t>Upside/(Downside) vs BIT.NZ price</t>
  </si>
  <si>
    <t>5-YEAR IRR BUILD (memo cross-check)</t>
  </si>
  <si>
    <t>Year-5 NAV (GBp)</t>
  </si>
  <si>
    <t>Year-5 Exit Price (GBp)</t>
  </si>
  <si>
    <t>PV of Dividends @ CoE (GBp)</t>
  </si>
  <si>
    <t>PV of Exit Value @ CoE (GBp)</t>
  </si>
  <si>
    <t>Fair Value, 5yr IRR build (GBp)</t>
  </si>
  <si>
    <t>Fair Value, 5yr IRR build (NZD)</t>
  </si>
  <si>
    <t>ENTRY PRICE (15% IRR Target, Base Case)</t>
  </si>
  <si>
    <t>Hurdle Rate</t>
  </si>
  <si>
    <t>PV of Dividends @ 15% (GBp)</t>
  </si>
  <si>
    <t>PV of Exit Value @ 15% (GBp)</t>
  </si>
  <si>
    <t>Entry Price (GBp)</t>
  </si>
  <si>
    <t>Entry Price (NZD)</t>
  </si>
  <si>
    <t>Discount to Current Price (NZD)</t>
  </si>
  <si>
    <t>NOTE: A 15% IRR hurdle implies buying at a much deeper discount to NAV than</t>
  </si>
  <si>
    <t>Bankers has EVER historically traded at. Not an achievable near-term target —</t>
  </si>
  <si>
    <t>judge this ticker on total return vs its ~9% cost of equity instead.</t>
  </si>
  <si>
    <t>Sensitivity Analysis — Fair Value (NZD)</t>
  </si>
  <si>
    <t>5yr IRR-build fair value at base-case 9.0% cost of equity</t>
  </si>
  <si>
    <t>Discount \ Return</t>
  </si>
  <si>
    <t>Values are the 5-year IRR-build fair value in NZD, not the headline current-NAV</t>
  </si>
  <si>
    <t>intrinsic value — they capture NAV compounding over the horizon.</t>
  </si>
  <si>
    <t>Historical NAV, Price &amp; Discount</t>
  </si>
  <si>
    <t>Fiscal Year</t>
  </si>
  <si>
    <t>NAV/share (GBp, debt @ FV)</t>
  </si>
  <si>
    <t>Share Price (GBp)</t>
  </si>
  <si>
    <t>Discount to NAV %</t>
  </si>
  <si>
    <t>NAV Total Return %</t>
  </si>
  <si>
    <t>Benchmark Total Return %</t>
  </si>
  <si>
    <t>FY2018</t>
  </si>
  <si>
    <t>FY2019</t>
  </si>
  <si>
    <t>FY2020</t>
  </si>
  <si>
    <t>FY2021</t>
  </si>
  <si>
    <t>FY2022</t>
  </si>
  <si>
    <t>FY2023</t>
  </si>
  <si>
    <t>FY2024</t>
  </si>
  <si>
    <t>FY2025</t>
  </si>
  <si>
    <t>8-Year Average Discount:</t>
  </si>
  <si>
    <t>5-Year Average Discount (FY21-25):</t>
  </si>
  <si>
    <t>Current Discount (approx, 9-Aug-2026):</t>
  </si>
  <si>
    <t>Discount range (widest / narrowest):</t>
  </si>
  <si>
    <t>-15.8% / +0.6% (FY2023 / FY2020)</t>
  </si>
  <si>
    <t>Data as of 2026-08-09. NAV and price data refresh with each new annual/half-year report.</t>
  </si>
  <si>
    <t>Model Provenance &amp; Methodology</t>
  </si>
  <si>
    <t>Ticker</t>
  </si>
  <si>
    <t>BIT.NZ (NZX secondary listing) / BNKR.L (LSE primary listing)</t>
  </si>
  <si>
    <t>Company</t>
  </si>
  <si>
    <t>The Bankers Investment Trust PLC</t>
  </si>
  <si>
    <t>Model type</t>
  </si>
  <si>
    <t>NAV-compounding + exit-discount model — NOT an FCF/WACC DCF. This is a closed-end UK investment trust; FCF/EBITDA/capex concepts do not apply. See valuation_philosophy in the JSON.</t>
  </si>
  <si>
    <t>Built by</t>
  </si>
  <si>
    <t>dcf-analyst agent, following the AFI.NZ NAV-compounding schema convention used across LIC/holdco tickers in this research folder (AFI.NZ, FIH.U, FRFHF).</t>
  </si>
  <si>
    <t>Data vintage</t>
  </si>
  <si>
    <t>NAV as of 30-Apr-2026 (H1 FY2026 half-year report, released 23-Jun-2026). Share price / FX as of 9-Aug-2026 (BNKR.L 152.2p, BIT.NZ NZD 3.52, GBPNZD 2.2888). Discount history FY2018-FY2025 from the kpis table in BIT.NZ.duckdb.</t>
  </si>
  <si>
    <t>Key methodology choices</t>
  </si>
  <si>
    <t>(1) NAV-with-debt-at-fair-value (152.0p) used as primary NAV basis — this is the Company's own headline KPI and the basis its published discount is calculated on; NAV-at-par (148.1p) is ~3.9p/share lower because the GBP124.6m loan notes are carried at par but have an estimated fair value of only ~GBP88.5m. (2) Base case assumes the discount REVERTS WIDER from today's near-zero level toward the 8-year average (-7.3%) / 5-year average (-10.6%) — the discount closing from ~10% to ~0% over the past year has already happened and is not assumed to repeat or extend further. (3) Total return assumptions are built as long-run global equity return (~8.5-9%) minus a persisting but partially-narrowing benchmark-underperformance drag (Bankers has trailed the FTSE World Index by 1.2-4.3pp/yr across all trailing periods) minus the 0.51% OCR. (4) Entry price uses the corrected formula (post 2026-07-21 fix): PV of interim dividends + PV of year-5 exit value, both at the 15% hurdle, not terminal value alone.</t>
  </si>
  <si>
    <t>What to refresh after next report</t>
  </si>
  <si>
    <t>FY2026 Annual Report (year to 31-Oct-2026, expected ~Jan-2027): update NAV/share (both bases), share price, discount, dividend (60th consecutive year confirmation), gearing, OCR, shares outstanding, revenue reserves, and re-check whether Richard Clode's sole tenure (from Dec-2026) has narrowed the benchmark underperformance. Also refresh GBPNZD spot and BNKR.L/BIT.NZ prices at each re-run.</t>
  </si>
  <si>
    <t>Cell colour conventions</t>
  </si>
  <si>
    <t>Gray-shaded cells = editable inputs. White cells with borders = formulas (do not hand-edit). Green cells = headline results (intrinsic value, entry price).</t>
  </si>
  <si>
    <t>Staleness warning</t>
  </si>
  <si>
    <t>All figures in this workbook were current as of 2026-08-09 and WILL go stale — NAV, discount, dividend yield, and FX all move continuously for a listed investment trust. Re-verify before relying on any output.</t>
  </si>
</sst>
</file>

<file path=xl/styles.xml><?xml version="1.0" encoding="utf-8"?>
<styleSheet xmlns="http://schemas.openxmlformats.org/spreadsheetml/2006/main">
  <numFmts count="4">
    <numFmt numFmtId="164" formatCode="#,##0.000"/>
    <numFmt numFmtId="165" formatCode="0.00%"/>
    <numFmt numFmtId="166" formatCode="0.00&quot;p&quot;"/>
    <numFmt numFmtId="167" formatCode="&quot;$&quot;#,##0.0000"/>
  </numFmts>
  <fonts count="7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i/>
      <sz val="11"/>
      <color rgb="FFD63031"/>
      <name val="Calibri"/>
      <family val="2"/>
      <scheme val="minor"/>
    </font>
    <font>
      <i/>
      <sz val="11"/>
      <color rgb="FF80808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FE6E9"/>
        <bgColor indexed="64"/>
      </patternFill>
    </fill>
    <fill>
      <patternFill patternType="solid">
        <fgColor rgb="FF2D3436"/>
        <bgColor indexed="64"/>
      </patternFill>
    </fill>
    <fill>
      <patternFill patternType="solid">
        <fgColor rgb="FF00B894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wrapText="1"/>
    </xf>
    <xf numFmtId="0" fontId="4" fillId="0" borderId="1" xfId="0" applyFont="1" applyBorder="1"/>
    <xf numFmtId="164" fontId="0" fillId="2" borderId="2" xfId="0" applyNumberFormat="1" applyFill="1" applyBorder="1"/>
    <xf numFmtId="165" fontId="0" fillId="2" borderId="2" xfId="0" applyNumberFormat="1" applyFill="1" applyBorder="1"/>
    <xf numFmtId="165" fontId="0" fillId="0" borderId="2" xfId="0" applyNumberFormat="1" applyBorder="1"/>
    <xf numFmtId="0" fontId="5" fillId="3" borderId="2" xfId="0" applyFont="1" applyFill="1" applyBorder="1"/>
    <xf numFmtId="164" fontId="0" fillId="0" borderId="2" xfId="0" applyNumberFormat="1" applyBorder="1"/>
    <xf numFmtId="166" fontId="0" fillId="0" borderId="2" xfId="0" applyNumberFormat="1" applyBorder="1"/>
    <xf numFmtId="167" fontId="0" fillId="0" borderId="2" xfId="0" applyNumberFormat="1" applyBorder="1"/>
    <xf numFmtId="166" fontId="5" fillId="4" borderId="2" xfId="0" applyNumberFormat="1" applyFont="1" applyFill="1" applyBorder="1"/>
    <xf numFmtId="167" fontId="5" fillId="4" borderId="2" xfId="0" applyNumberFormat="1" applyFont="1" applyFill="1" applyBorder="1"/>
    <xf numFmtId="165" fontId="5" fillId="3" borderId="0" xfId="0" applyNumberFormat="1" applyFont="1" applyFill="1"/>
    <xf numFmtId="0" fontId="6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6"/>
  <sheetViews>
    <sheetView tabSelected="1" workbookViewId="0"/>
  </sheetViews>
  <sheetFormatPr defaultRowHeight="15"/>
  <cols>
    <col min="1" max="1" width="32.7109375" customWidth="1"/>
    <col min="2" max="8" width="14.7109375" customWidth="1"/>
  </cols>
  <sheetData>
    <row r="1" spans="1:2">
      <c r="A1" s="1" t="s">
        <v>0</v>
      </c>
    </row>
    <row r="2" spans="1:2">
      <c r="A2" s="2" t="s">
        <v>1</v>
      </c>
    </row>
    <row r="3" spans="1:2">
      <c r="A3" s="3" t="s">
        <v>2</v>
      </c>
    </row>
    <row r="5" spans="1:2">
      <c r="A5" s="4" t="s">
        <v>3</v>
      </c>
    </row>
    <row r="6" spans="1:2">
      <c r="A6" t="s">
        <v>4</v>
      </c>
      <c r="B6" s="5">
        <v>152.2</v>
      </c>
    </row>
    <row r="7" spans="1:2">
      <c r="A7" t="s">
        <v>5</v>
      </c>
      <c r="B7" s="5">
        <v>3.52</v>
      </c>
    </row>
    <row r="8" spans="1:2">
      <c r="A8" t="s">
        <v>6</v>
      </c>
      <c r="B8" s="5">
        <v>152</v>
      </c>
    </row>
    <row r="9" spans="1:2">
      <c r="A9" t="s">
        <v>7</v>
      </c>
      <c r="B9" s="5">
        <v>148.1</v>
      </c>
    </row>
    <row r="10" spans="1:2">
      <c r="A10" t="s">
        <v>8</v>
      </c>
      <c r="B10" s="5">
        <v>2.2888</v>
      </c>
    </row>
    <row r="11" spans="1:2">
      <c r="A11" t="s">
        <v>9</v>
      </c>
      <c r="B11" s="5">
        <v>936.350434</v>
      </c>
    </row>
    <row r="12" spans="1:2">
      <c r="A12" t="s">
        <v>10</v>
      </c>
      <c r="B12" s="5">
        <v>124.6</v>
      </c>
    </row>
    <row r="13" spans="1:2">
      <c r="A13" t="s">
        <v>11</v>
      </c>
      <c r="B13" s="5">
        <v>88.5</v>
      </c>
    </row>
    <row r="14" spans="1:2">
      <c r="A14" t="s">
        <v>12</v>
      </c>
      <c r="B14" s="6">
        <v>0.0051</v>
      </c>
    </row>
    <row r="15" spans="1:2">
      <c r="A15" t="s">
        <v>13</v>
      </c>
      <c r="B15" s="6">
        <v>0.05</v>
      </c>
    </row>
    <row r="16" spans="1:2">
      <c r="A16" t="s">
        <v>14</v>
      </c>
      <c r="B16" s="7">
        <f>B6/B8-1</f>
        <v>0</v>
      </c>
    </row>
    <row r="18" spans="1:6">
      <c r="A18" s="4" t="s">
        <v>15</v>
      </c>
    </row>
    <row r="19" spans="1:6">
      <c r="B19" s="8" t="s">
        <v>16</v>
      </c>
      <c r="C19" s="8" t="s">
        <v>17</v>
      </c>
      <c r="D19" s="8" t="s">
        <v>18</v>
      </c>
    </row>
    <row r="20" spans="1:6">
      <c r="A20" t="s">
        <v>19</v>
      </c>
      <c r="B20" s="6">
        <v>0.07000000000000001</v>
      </c>
      <c r="C20" s="6">
        <v>0.08500000000000001</v>
      </c>
      <c r="D20" s="6">
        <v>0.045</v>
      </c>
    </row>
    <row r="21" spans="1:6">
      <c r="A21" t="s">
        <v>20</v>
      </c>
      <c r="B21" s="6">
        <v>0.021</v>
      </c>
      <c r="C21" s="6">
        <v>0.021</v>
      </c>
      <c r="D21" s="6">
        <v>0.021</v>
      </c>
    </row>
    <row r="22" spans="1:6">
      <c r="A22" t="s">
        <v>21</v>
      </c>
      <c r="B22" s="6">
        <v>0.049</v>
      </c>
      <c r="C22" s="6">
        <v>0.064</v>
      </c>
      <c r="D22" s="6">
        <v>0.024</v>
      </c>
    </row>
    <row r="23" spans="1:6">
      <c r="A23" t="s">
        <v>22</v>
      </c>
      <c r="B23" s="6">
        <v>-0.08500000000000001</v>
      </c>
      <c r="C23" s="6">
        <v>-0.02</v>
      </c>
      <c r="D23" s="6">
        <v>-0.14</v>
      </c>
    </row>
    <row r="24" spans="1:6">
      <c r="A24" t="s">
        <v>23</v>
      </c>
      <c r="B24" s="6">
        <v>0.09</v>
      </c>
      <c r="C24" s="6">
        <v>0.08749999999999999</v>
      </c>
      <c r="D24" s="6">
        <v>0.0975</v>
      </c>
    </row>
    <row r="26" spans="1:6">
      <c r="A26" s="4" t="s">
        <v>24</v>
      </c>
    </row>
    <row r="27" spans="1:6">
      <c r="A27" s="8"/>
      <c r="B27" s="8" t="s">
        <v>25</v>
      </c>
      <c r="C27" s="8" t="s">
        <v>26</v>
      </c>
      <c r="D27" s="8" t="s">
        <v>27</v>
      </c>
      <c r="E27" s="8" t="s">
        <v>28</v>
      </c>
      <c r="F27" s="8" t="s">
        <v>29</v>
      </c>
    </row>
    <row r="28" spans="1:6">
      <c r="A28" t="s">
        <v>30</v>
      </c>
      <c r="B28" s="9">
        <f>$B$8*(1+$B$22)</f>
        <v>0</v>
      </c>
      <c r="C28" s="9">
        <f>B28*(1+$B$22)</f>
        <v>0</v>
      </c>
      <c r="D28" s="9">
        <f>C28*(1+$B$22)</f>
        <v>0</v>
      </c>
      <c r="E28" s="9">
        <f>D28*(1+$B$22)</f>
        <v>0</v>
      </c>
      <c r="F28" s="9">
        <f>E28*(1+$B$22)</f>
        <v>0</v>
      </c>
    </row>
    <row r="29" spans="1:6">
      <c r="A29" t="s">
        <v>31</v>
      </c>
      <c r="B29">
        <f>$B$8*$B$20</f>
        <v>0</v>
      </c>
      <c r="C29" s="9">
        <f>B28*$B$20</f>
        <v>0</v>
      </c>
      <c r="D29" s="9">
        <f>C28*$B$20</f>
        <v>0</v>
      </c>
      <c r="E29" s="9">
        <f>D28*$B$20</f>
        <v>0</v>
      </c>
      <c r="F29" s="9">
        <f>E28*$B$20</f>
        <v>0</v>
      </c>
    </row>
    <row r="31" spans="1:6">
      <c r="A31" s="4" t="s">
        <v>32</v>
      </c>
    </row>
    <row r="32" spans="1:6">
      <c r="B32" s="8" t="s">
        <v>16</v>
      </c>
      <c r="C32" s="8" t="s">
        <v>17</v>
      </c>
      <c r="D32" s="8" t="s">
        <v>18</v>
      </c>
    </row>
    <row r="33" spans="1:4">
      <c r="A33" t="s">
        <v>33</v>
      </c>
      <c r="B33" s="10">
        <f>$B$8*(1+B23)</f>
        <v>0</v>
      </c>
      <c r="C33" s="10">
        <f>$B$8*(1+C23)</f>
        <v>0</v>
      </c>
      <c r="D33" s="10">
        <f>$B$8*(1+D23)</f>
        <v>0</v>
      </c>
    </row>
    <row r="34" spans="1:4">
      <c r="A34" t="s">
        <v>34</v>
      </c>
      <c r="B34" s="11">
        <f>B33/100*$B$10</f>
        <v>0</v>
      </c>
      <c r="C34" s="11">
        <f>C33/100*$B$10</f>
        <v>0</v>
      </c>
      <c r="D34" s="11">
        <f>D33/100*$B$10</f>
        <v>0</v>
      </c>
    </row>
    <row r="35" spans="1:4">
      <c r="A35" t="s">
        <v>35</v>
      </c>
      <c r="B35" s="7">
        <f>B34/$B$7-1</f>
        <v>0</v>
      </c>
      <c r="C35" s="7">
        <f>C34/$B$7-1</f>
        <v>0</v>
      </c>
      <c r="D35" s="7">
        <f>D34/$B$7-1</f>
        <v>0</v>
      </c>
    </row>
    <row r="37" spans="1:4">
      <c r="A37" s="4" t="s">
        <v>36</v>
      </c>
    </row>
    <row r="38" spans="1:4">
      <c r="B38" s="8" t="s">
        <v>16</v>
      </c>
      <c r="C38" s="8" t="s">
        <v>17</v>
      </c>
      <c r="D38" s="8" t="s">
        <v>18</v>
      </c>
    </row>
    <row r="39" spans="1:4">
      <c r="A39" t="s">
        <v>37</v>
      </c>
      <c r="B39" s="9">
        <f>$B$8*(1+B22)^5</f>
        <v>0</v>
      </c>
      <c r="C39" s="9">
        <f>$B$8*(1+C22)^5</f>
        <v>0</v>
      </c>
      <c r="D39" s="9">
        <f>$B$8*(1+D22)^5</f>
        <v>0</v>
      </c>
    </row>
    <row r="40" spans="1:4">
      <c r="A40" t="s">
        <v>38</v>
      </c>
      <c r="B40" s="9">
        <f>B39*(1+B23)</f>
        <v>0</v>
      </c>
      <c r="C40" s="9">
        <f>C39*(1+C23)</f>
        <v>0</v>
      </c>
      <c r="D40" s="9">
        <f>D39*(1+D23)</f>
        <v>0</v>
      </c>
    </row>
    <row r="41" spans="1:4">
      <c r="A41" t="s">
        <v>39</v>
      </c>
      <c r="B41" s="9">
        <f t="array" ref="B41">SUMPRODUCT(($B$8*(1+B22)^(ROW(INDIRECT("1:5"))-1))*B20/(1+B24)^ROW(INDIRECT("1:5")))</f>
        <v>0</v>
      </c>
      <c r="C41" s="9">
        <f t="array" ref="C41">SUMPRODUCT(($B$8*(1+C22)^(ROW(INDIRECT("1:5"))-1))*C20/(1+C24)^ROW(INDIRECT("1:5")))</f>
        <v>0</v>
      </c>
      <c r="D41" s="9">
        <f t="array" ref="D41">SUMPRODUCT(($B$8*(1+D22)^(ROW(INDIRECT("1:5"))-1))*D20/(1+D24)^ROW(INDIRECT("1:5")))</f>
        <v>0</v>
      </c>
    </row>
    <row r="42" spans="1:4">
      <c r="A42" t="s">
        <v>40</v>
      </c>
      <c r="B42" s="9">
        <f>B40/(1+B24)^5</f>
        <v>0</v>
      </c>
      <c r="C42" s="9">
        <f>C40/(1+C24)^5</f>
        <v>0</v>
      </c>
      <c r="D42" s="9">
        <f>D40/(1+D24)^5</f>
        <v>0</v>
      </c>
    </row>
    <row r="43" spans="1:4">
      <c r="A43" t="s">
        <v>41</v>
      </c>
      <c r="B43" s="10">
        <f>B41+B42</f>
        <v>0</v>
      </c>
      <c r="C43" s="10">
        <f>C41+C42</f>
        <v>0</v>
      </c>
      <c r="D43" s="10">
        <f>D41+D42</f>
        <v>0</v>
      </c>
    </row>
    <row r="44" spans="1:4">
      <c r="A44" t="s">
        <v>42</v>
      </c>
      <c r="B44" s="11">
        <f>B43/100*$B$10</f>
        <v>0</v>
      </c>
      <c r="C44" s="11">
        <f>C43/100*$B$10</f>
        <v>0</v>
      </c>
      <c r="D44" s="11">
        <f>D43/100*$B$10</f>
        <v>0</v>
      </c>
    </row>
    <row r="46" spans="1:4">
      <c r="A46" s="4" t="s">
        <v>43</v>
      </c>
    </row>
    <row r="47" spans="1:4">
      <c r="A47" t="s">
        <v>44</v>
      </c>
      <c r="B47" s="6">
        <v>0.15</v>
      </c>
    </row>
    <row r="48" spans="1:4">
      <c r="A48" t="s">
        <v>45</v>
      </c>
      <c r="B48" s="9">
        <f t="array" ref="B48">SUMPRODUCT(($B$8*(1+$B$22)^(ROW(INDIRECT("1:5"))-1))*$B$20/(1+$B$47)^ROW(INDIRECT("1:5")))</f>
        <v>0</v>
      </c>
    </row>
    <row r="49" spans="1:2">
      <c r="A49" t="s">
        <v>46</v>
      </c>
      <c r="B49" s="9">
        <f>B40/(1+B47)^5</f>
        <v>0</v>
      </c>
    </row>
    <row r="50" spans="1:2">
      <c r="A50" t="s">
        <v>47</v>
      </c>
      <c r="B50" s="12">
        <f>B48+B49</f>
        <v>0</v>
      </c>
    </row>
    <row r="51" spans="1:2">
      <c r="A51" t="s">
        <v>48</v>
      </c>
      <c r="B51" s="13">
        <f>B50/100*$B$10</f>
        <v>0</v>
      </c>
    </row>
    <row r="52" spans="1:2">
      <c r="A52" t="s">
        <v>49</v>
      </c>
      <c r="B52" s="7">
        <f>B51/$B$7-1</f>
        <v>0</v>
      </c>
    </row>
    <row r="54" spans="1:2">
      <c r="A54" s="3" t="s">
        <v>50</v>
      </c>
    </row>
    <row r="55" spans="1:2">
      <c r="A55" s="3" t="s">
        <v>51</v>
      </c>
    </row>
    <row r="56" spans="1:2">
      <c r="A56" s="3" t="s">
        <v>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2"/>
  <sheetViews>
    <sheetView workbookViewId="0"/>
  </sheetViews>
  <sheetFormatPr defaultRowHeight="15"/>
  <cols>
    <col min="1" max="1" width="22.7109375" customWidth="1"/>
    <col min="2" max="7" width="12.7109375" customWidth="1"/>
  </cols>
  <sheetData>
    <row r="1" spans="1:6">
      <c r="A1" s="1" t="s">
        <v>53</v>
      </c>
    </row>
    <row r="2" spans="1:6">
      <c r="A2" t="s">
        <v>54</v>
      </c>
    </row>
    <row r="4" spans="1:6">
      <c r="A4" s="8" t="s">
        <v>55</v>
      </c>
      <c r="B4" s="14">
        <v>0.045</v>
      </c>
      <c r="C4" s="14">
        <v>0.0575</v>
      </c>
      <c r="D4" s="14">
        <v>0.07000000000000001</v>
      </c>
      <c r="E4" s="14">
        <v>0.0775</v>
      </c>
      <c r="F4" s="14">
        <v>0.08500000000000001</v>
      </c>
    </row>
    <row r="5" spans="1:6">
      <c r="A5" s="14">
        <v>-0.14</v>
      </c>
      <c r="B5" s="11">
        <v>2.486</v>
      </c>
      <c r="C5" s="11">
        <v>2.63</v>
      </c>
      <c r="D5" s="11">
        <v>2.781</v>
      </c>
      <c r="E5" s="11">
        <v>2.875</v>
      </c>
      <c r="F5" s="11">
        <v>2.971</v>
      </c>
    </row>
    <row r="6" spans="1:6">
      <c r="A6" s="14">
        <v>-0.105</v>
      </c>
      <c r="B6" s="11">
        <v>2.575</v>
      </c>
      <c r="C6" s="11">
        <v>2.725</v>
      </c>
      <c r="D6" s="11">
        <v>2.881</v>
      </c>
      <c r="E6" s="11">
        <v>2.979</v>
      </c>
      <c r="F6" s="11">
        <v>3.079</v>
      </c>
    </row>
    <row r="7" spans="1:6">
      <c r="A7" s="14">
        <v>-0.08500000000000001</v>
      </c>
      <c r="B7" s="11">
        <v>2.626</v>
      </c>
      <c r="C7" s="11">
        <v>2.779</v>
      </c>
      <c r="D7" s="11">
        <v>2.939</v>
      </c>
      <c r="E7" s="11">
        <v>3.038</v>
      </c>
      <c r="F7" s="11">
        <v>3.141</v>
      </c>
    </row>
    <row r="8" spans="1:6">
      <c r="A8" s="14">
        <v>-0.04</v>
      </c>
      <c r="B8" s="11">
        <v>2.741</v>
      </c>
      <c r="C8" s="11">
        <v>2.901</v>
      </c>
      <c r="D8" s="11">
        <v>3.068</v>
      </c>
      <c r="E8" s="11">
        <v>3.172</v>
      </c>
      <c r="F8" s="11">
        <v>3.28</v>
      </c>
    </row>
    <row r="9" spans="1:6">
      <c r="A9" s="14">
        <v>0</v>
      </c>
      <c r="B9" s="11">
        <v>2.843</v>
      </c>
      <c r="C9" s="11">
        <v>3.009</v>
      </c>
      <c r="D9" s="11">
        <v>3.183</v>
      </c>
      <c r="E9" s="11">
        <v>3.291</v>
      </c>
      <c r="F9" s="11">
        <v>3.403</v>
      </c>
    </row>
    <row r="11" spans="1:6">
      <c r="A11" s="3" t="s">
        <v>56</v>
      </c>
    </row>
    <row r="12" spans="1:6">
      <c r="A12" s="3" t="s">
        <v>57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7"/>
  <sheetViews>
    <sheetView workbookViewId="0"/>
  </sheetViews>
  <sheetFormatPr defaultRowHeight="15"/>
  <cols>
    <col min="1" max="1" width="22.7109375" customWidth="1"/>
    <col min="2" max="5" width="15.7109375" customWidth="1"/>
  </cols>
  <sheetData>
    <row r="1" spans="1:6">
      <c r="A1" s="1" t="s">
        <v>58</v>
      </c>
    </row>
    <row r="3" spans="1:6">
      <c r="A3" s="8" t="s">
        <v>59</v>
      </c>
      <c r="B3" s="8" t="s">
        <v>60</v>
      </c>
      <c r="C3" s="8" t="s">
        <v>61</v>
      </c>
      <c r="D3" s="8" t="s">
        <v>62</v>
      </c>
      <c r="E3" s="8" t="s">
        <v>63</v>
      </c>
      <c r="F3" s="8" t="s">
        <v>64</v>
      </c>
    </row>
    <row r="4" spans="1:6">
      <c r="A4" t="s">
        <v>65</v>
      </c>
      <c r="B4" s="10">
        <v>86.58</v>
      </c>
      <c r="C4" s="10">
        <v>83.5</v>
      </c>
      <c r="D4" s="7">
        <v>0.036</v>
      </c>
      <c r="E4" s="7">
        <v>0.008</v>
      </c>
      <c r="F4" s="7">
        <v>0.047</v>
      </c>
    </row>
    <row r="5" spans="1:6">
      <c r="A5" t="s">
        <v>66</v>
      </c>
      <c r="B5" s="10">
        <v>94.56999999999999</v>
      </c>
      <c r="C5" s="10">
        <v>92.75</v>
      </c>
      <c r="D5" s="7">
        <v>0.022</v>
      </c>
      <c r="E5" s="7">
        <v>0.121</v>
      </c>
      <c r="F5" s="7">
        <v>0.117</v>
      </c>
    </row>
    <row r="6" spans="1:6">
      <c r="A6" t="s">
        <v>67</v>
      </c>
      <c r="B6" s="10">
        <v>97.39</v>
      </c>
      <c r="C6" s="10">
        <v>98</v>
      </c>
      <c r="D6" s="7">
        <v>-0.004</v>
      </c>
      <c r="E6" s="7">
        <v>0.053</v>
      </c>
      <c r="F6" s="7">
        <v>0.043</v>
      </c>
    </row>
    <row r="7" spans="1:6">
      <c r="A7" t="s">
        <v>68</v>
      </c>
      <c r="B7" s="10">
        <v>120.7</v>
      </c>
      <c r="C7" s="10">
        <v>114</v>
      </c>
      <c r="D7" s="7">
        <v>0.057</v>
      </c>
      <c r="E7" s="7">
        <v>0.265</v>
      </c>
      <c r="F7" s="7">
        <v>0.323</v>
      </c>
    </row>
    <row r="8" spans="1:6">
      <c r="A8" t="s">
        <v>69</v>
      </c>
      <c r="B8" s="10">
        <v>105</v>
      </c>
      <c r="C8" s="10">
        <v>96.59999999999999</v>
      </c>
      <c r="D8" s="7">
        <v>0.081</v>
      </c>
      <c r="E8" s="7">
        <v>-0.113</v>
      </c>
      <c r="F8" s="7">
        <v>-0.028</v>
      </c>
    </row>
    <row r="9" spans="1:6">
      <c r="A9" t="s">
        <v>70</v>
      </c>
      <c r="B9" s="10">
        <v>111</v>
      </c>
      <c r="C9" s="10">
        <v>93.5</v>
      </c>
      <c r="D9" s="7">
        <v>0.158</v>
      </c>
      <c r="E9" s="7">
        <v>0.052</v>
      </c>
    </row>
    <row r="10" spans="1:6">
      <c r="A10" t="s">
        <v>71</v>
      </c>
      <c r="B10" s="10">
        <v>127.9</v>
      </c>
      <c r="C10" s="10">
        <v>110.8</v>
      </c>
      <c r="D10" s="7">
        <v>0.134</v>
      </c>
      <c r="E10" s="7">
        <v>0.211</v>
      </c>
      <c r="F10" s="7">
        <v>0.261</v>
      </c>
    </row>
    <row r="11" spans="1:6">
      <c r="A11" t="s">
        <v>72</v>
      </c>
      <c r="B11" s="10">
        <v>147.9</v>
      </c>
      <c r="C11" s="10">
        <v>133</v>
      </c>
      <c r="D11" s="7">
        <v>0.101</v>
      </c>
      <c r="E11" s="7">
        <v>0.181</v>
      </c>
      <c r="F11" s="7">
        <v>0.21</v>
      </c>
    </row>
    <row r="12" spans="1:6">
      <c r="A12" s="15" t="s">
        <v>73</v>
      </c>
      <c r="B12" s="7">
        <v>0.0731</v>
      </c>
    </row>
    <row r="13" spans="1:6">
      <c r="A13" s="15" t="s">
        <v>74</v>
      </c>
      <c r="B13" s="7">
        <v>0.1062</v>
      </c>
    </row>
    <row r="14" spans="1:6">
      <c r="A14" s="15" t="s">
        <v>75</v>
      </c>
      <c r="B14" s="7">
        <v>0.0013</v>
      </c>
    </row>
    <row r="15" spans="1:6">
      <c r="A15" s="15" t="s">
        <v>76</v>
      </c>
      <c r="B15" t="s">
        <v>77</v>
      </c>
    </row>
    <row r="17" spans="1:1">
      <c r="A17" s="3" t="s">
        <v>78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0"/>
  <sheetViews>
    <sheetView workbookViewId="0"/>
  </sheetViews>
  <sheetFormatPr defaultRowHeight="15"/>
  <cols>
    <col min="1" max="1" width="28.7109375" customWidth="1"/>
    <col min="2" max="2" width="90.7109375" customWidth="1"/>
  </cols>
  <sheetData>
    <row r="1" spans="1:2">
      <c r="A1" s="1" t="s">
        <v>79</v>
      </c>
    </row>
    <row r="4" spans="1:2">
      <c r="A4" s="15" t="s">
        <v>80</v>
      </c>
      <c r="B4" s="3" t="s">
        <v>81</v>
      </c>
    </row>
    <row r="6" spans="1:2">
      <c r="A6" s="15" t="s">
        <v>82</v>
      </c>
      <c r="B6" s="3" t="s">
        <v>83</v>
      </c>
    </row>
    <row r="8" spans="1:2">
      <c r="A8" s="15" t="s">
        <v>84</v>
      </c>
      <c r="B8" s="3" t="s">
        <v>85</v>
      </c>
    </row>
    <row r="10" spans="1:2">
      <c r="A10" s="15" t="s">
        <v>86</v>
      </c>
      <c r="B10" s="3" t="s">
        <v>87</v>
      </c>
    </row>
    <row r="12" spans="1:2">
      <c r="A12" s="15" t="s">
        <v>88</v>
      </c>
      <c r="B12" s="3" t="s">
        <v>89</v>
      </c>
    </row>
    <row r="14" spans="1:2">
      <c r="A14" s="15" t="s">
        <v>90</v>
      </c>
      <c r="B14" s="3" t="s">
        <v>91</v>
      </c>
    </row>
    <row r="16" spans="1:2">
      <c r="A16" s="15" t="s">
        <v>92</v>
      </c>
      <c r="B16" s="3" t="s">
        <v>93</v>
      </c>
    </row>
    <row r="18" spans="1:2">
      <c r="A18" s="15" t="s">
        <v>94</v>
      </c>
      <c r="B18" s="3" t="s">
        <v>95</v>
      </c>
    </row>
    <row r="20" spans="1:2">
      <c r="A20" s="15" t="s">
        <v>96</v>
      </c>
      <c r="B20" s="3" t="s">
        <v>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NAV Model</vt:lpstr>
      <vt:lpstr>Sensitivity</vt:lpstr>
      <vt:lpstr>Historical</vt:lpstr>
      <vt:lpstr>Model_Info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2026-08-09T05:36:58Z</dcterms:created>
  <dcterms:modified xsi:type="dcterms:W3CDTF">2026-08-09T05:36:58Z</dcterms:modified>
</cp:coreProperties>
</file>