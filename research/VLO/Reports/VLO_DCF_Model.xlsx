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<sst xmlns="http://schemas.openxmlformats.org/spreadsheetml/2006/main" count="390" uniqueCount="176">
  <si>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</si>
  <si>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VLO</t>
  </si>
  <si>
    <t xml:space="preserve">Company</t>
  </si>
  <si>
    <t xml:space="preserve">Valero Energy Corporation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</si>
  <si>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</si>
  <si>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</si>
  <si>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</si>
  <si>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</si>
  <si>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</si>
  <si>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</si>
  <si>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</si>
  <si>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</si>
  <si>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</si>
  <si>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</si>
  <si>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</si>
  <si>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</si>
  <si>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</si>
  <si>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</si>
  <si>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</si>
  <si>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</si>
  <si>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</si>
  <si>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2026-10-02T21:34:16Z</t>
  </si>
  <si>
    <t xml:space="preserve">Drivers file</t>
  </si>
  <si>
    <t xml:space="preserve">VLO_Drivers.json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</si>
  <si>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</si>
  <si>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</si>
  <si>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</si>
  <si>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Valero on what it earns across a refining cycle, not on the quarter it just reported. The TTM to June 2026 contains a record Q2 (13.5% EBITDA margin) and owner FCF of $9.2B, 3.4x the ten-year median; capitalising that would value a peak as if it were permanent. The DCF therefore projects from revenue and an EBITDA-margin path that credits only the guided-strong second half of 2026, then fades to a stated mid-cycle margin by year 4 (base 6.8%, ~$10B EBITDA; bull 8.5%; bear 5.0%). Cyclicality is charged once, through these flows and a 25% bear weight, not again through a stacked discount-rate premium. The market price capitalises a far higher sustained margin than the through-cycle record supports. That gap is the finding; the bull case shows what has to be true to close it.
mid_cycle_normalization: applied: True
why: Refining is a crack-spread business: EBITDA ranged $0.8B (FY2020) to $18.2B (FY2022) over FY2017-25. TTM owner FCF $9,232M is 3.4x the historical median $2,747M; the base year is the cycle peak.
how: Year-1 margin 9.5% (one strong half), 7.5% year 2, 7.0% year 3, 6.8% mid-cycle from year 4; terminal cap 11x owner FCF (~6x EV/EBITDA).
sanity_check_note: The multiples check compares the IV against FY2025 trailing EPS, a trough year with a $1.1B impairment, so implied trailing P/E reads high even though the IV is ~11-12x mid-cycle earnings.
key_risks_to_valuation: Mid-cycle margin is the single dominant assumption: each 1pp of terminal EBITDA margin is ~$1.4-1.5B of EBITDA, roughly $25-30/share in the base case; Crack-spread timing: two more years at Q2-2026 run-rates would add ~$20-30B of cash (~$70-100/share) that the base case fades away; RFS Set-2 / 45Z / LCFS policy reversal (DGD) versus RIN cost on the refining segment; NCI valued at book; if DGD earns more like the bull case the partner's share is worth more than $3.3B; Buyback timing: the flat-count model treats repurchases as value-neutral, but buying back near the top of the 52-week range, at roughly twice the weighted IV, destroys value for continuing holders; Trailing multiples mislead in both directions on a cyclical: the IV looks expensive on trough FY2025 EPS and cheap on peak TTM EPS</t>
  </si>
  <si>
    <t xml:space="preserve">Data sources</t>
  </si>
  <si>
    <t xml:space="preserve">price: Yahoo Finance chart API at inputs.price_as_of; 52-week range 155.29-419.04
financials: SEC XBRL companyfacts (CIK 1035002) for D&amp;A, investing cash flow, impairment, NCI, finance leases, share counts and Q2-2026 balance sheet; VLO_Metrics.csv for revenue, operating income, OCF, debt, cash, SBC and buybacks
qualitative: VLO_Analysis.json (Q2-2026 results, FY2026 ~$2B capital-investment guide, $4-5B cash target, $5B buyback authorisation, Benicia closure April 2026, RFS Set-2 rule)</t>
  </si>
  <si>
    <t xml:space="preserve">Scenario narrative: bear</t>
  </si>
  <si>
    <t xml:space="preserve">Record Q2-2026 margins mean-revert within five quarters, as they did from FY2023 to the Q1-2025 loss: new capacity and a demand slowdown compress cracks to the FY2024-25 run-rate (~5% EBITDA). A future administration or court unwinds the 2026-27 RVO increase or 45Z credit, hitting DGD, while SRE reallocation raises refining compliance cost. EV and efficiency erosion shrinks US gasoline volumes ~1.5%/yr and more high-cost refineries follow Benicia into closure; terminal growth zero.</t>
  </si>
  <si>
    <t xml:space="preserve">Scenario narrative: base</t>
  </si>
  <si>
    <t xml:space="preserve">The 2026 upswing (tight global product supply, closures in Europe, Australia and California, discounted heavy/sour crude) runs through H2-2026 and eases through 2027 as new Asian/Middle-East capacity (Dangote, Dos Bocas, Yulong) ramps and inventories rebuild. Margins settle at a 6.8% EBITDA mid-cycle (~$10B), above the FY2017-25 nominal average because of structural rationalisation and DGD/SAF earnings under the RFS Set-2 mandate, offset by Benicia's exit and RIN costs on the refining side. Volumes flat-to-slightly-up as Gulf Coast export capacity offsets slow erosion of US gasoline demand.</t>
  </si>
  <si>
    <t xml:space="preserve">Scenario narrative: bull</t>
  </si>
  <si>
    <t xml:space="preserve">The shortage is structural, not cyclical: no new US capacity in decades, continuing closures abroad and on the West Coast, and diesel/jet demand outrunning supply keep cracks elevated for two more years and the mid-cycle resets to ~8.5% EBITDA (~$13B+), the post-2022 regime rather than the 2017-19 one. RFS Set-2 nearly doubles the biomass-based-diesel mandate and DGD (with Port Arthur SAF) becomes a durable $1B+ earner. This is roughly the sell-side bull view (Goldman $457).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</si>
  <si>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</si>
  <si>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</si>
  <si>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</si>
  <si>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</si>
  <si>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</si>
  <si>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</si>
  <si>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</si>
  <si>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</si>
  <si>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</si>
  <si>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</si>
  <si>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</si>
  <si>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</si>
  <si>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</si>
  <si>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</si>
  <si>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</si>
  <si>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</si>
  <si>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</si>
  <si>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</si>
  <si>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</si>
  <si>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</si>
  <si>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</si>
  <si>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</si>
  <si>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</si>
  <si>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</si>
  <si>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</si>
  <si>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</si>
  <si>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</si>
  <si>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</si>
  <si>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</si>
  <si>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</si>
  <si>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</si>
  <si>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</si>
  <si>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</si>
  <si>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</si>
  <si>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</si>
  <si>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</si>
  <si>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</si>
  <si>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</si>
  <si>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</si>
  <si>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</si>
  <si>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</si>
  <si>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</si>
  <si>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</si>
  <si>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</si>
  <si>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</si>
  <si>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</si>
  <si>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</si>
  <si>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</si>
  <si>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</si>
  <si>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</si>
  <si>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</si>
  <si>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</si>
  <si>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</si>
  <si>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</si>
  <si>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</si>
  <si>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</si>
  <si>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30-Jun-2026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</si>
  <si>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</si>
  <si>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</si>
  <si>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</si>
  <si>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</si>
  <si>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to 30-Jun-2027</t>
  </si>
  <si>
    <t xml:space="preserve">TTM to 30-Jun-2028</t>
  </si>
  <si>
    <t xml:space="preserve">TTM to 30-Jun-2029</t>
  </si>
  <si>
    <t xml:space="preserve">TTM to 30-Jun-2030</t>
  </si>
  <si>
    <t xml:space="preserve">TTM to 30-Jun-2031</t>
  </si>
  <si>
    <t xml:space="preserve">TTM to 30-Jun-2032</t>
  </si>
  <si>
    <t xml:space="preserve">TTM to 30-Jun-2033</t>
  </si>
  <si>
    <t xml:space="preserve">TTM to 30-Jun-2034</t>
  </si>
  <si>
    <t xml:space="preserve">TTM to 30-Jun-2035</t>
  </si>
  <si>
    <t xml:space="preserve">TTM to 30-Jun-2036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</si>
  <si>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</si>
  <si>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</si>
  <si>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</si>
  <si>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</si>
  <si>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</si>
  <si>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</si>
  <si>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</si>
  <si>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</si>
  <si>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</si>
  <si>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</si>
  <si>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</si>
  <si>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</si>
  <si>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</si>
  <si>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</si>
  <si>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VLO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</si>
  <si>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</si>
  <si>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</si>
  <si>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</si>
  <si>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</si>
  <si>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</si>
  <si>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</si>
  <si>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</si>
  <si>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</si>
  <si>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</si>
  <si>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</si>
  <si>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</si>
  <si>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</si>
  <si>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</si>
  <si>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</si>
  <si>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</si>
  <si>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</si>
  <si>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</si>
  <si>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</si>
  <si>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</si>
  <si>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</si>
  <si>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</si>
  <si>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</si>
  <si>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</si>
  <si>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</si>
  <si>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</si>
  <si>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</si>
  <si>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</si>
  <si>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</si>
  <si>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</si>
  <si>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</si>
  <si>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VLO owner-FCF component DCF: base case (millions, USD)</t>
  </si>
  <si>
    <t xml:space="preserve">VLO owner-FCF component DCF: bull case (millions, USD)</t>
  </si>
  <si>
    <t xml:space="preserve">VLO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</si>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</sst>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406.3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68.6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1590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F3" s="0" t="n">
        <v>6630</v>
      </c>
      <c r="H3" s="0" t="n">
        <v>7874</v>
      </c>
      <c r="I3" s="0" t="n">
        <v>5234</v>
      </c>
      <c r="K3" s="0" t="n">
        <v>9.24</v>
      </c>
      <c r="L3" s="0" t="n">
        <v>5258</v>
      </c>
      <c r="M3" s="0" t="n">
        <v>2260</v>
      </c>
      <c r="N3" s="0" t="n">
        <v>2998</v>
      </c>
      <c r="S3" s="0" t="n">
        <v>2464</v>
      </c>
      <c r="T3" s="0" t="n">
        <v>579</v>
      </c>
      <c r="U3" s="0" t="n">
        <v>100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F4" s="0" t="n">
        <v>761</v>
      </c>
      <c r="H4" s="0" t="n">
        <v>2124</v>
      </c>
      <c r="I4" s="0" t="n">
        <v>-1131</v>
      </c>
      <c r="K4" s="0" t="n">
        <v>-2.16</v>
      </c>
      <c r="L4" s="0" t="n">
        <v>3095</v>
      </c>
      <c r="M4" s="0" t="n">
        <v>2893</v>
      </c>
      <c r="N4" s="0" t="n">
        <v>202</v>
      </c>
      <c r="O4" s="0" t="n">
        <v>15620</v>
      </c>
      <c r="P4" s="0" t="n">
        <v>34417</v>
      </c>
      <c r="R4" s="0" t="n">
        <v>6576</v>
      </c>
      <c r="S4" s="0" t="n">
        <v>940</v>
      </c>
      <c r="T4" s="0" t="n">
        <v>524</v>
      </c>
      <c r="U4" s="0" t="n">
        <v>59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F5" s="0" t="n">
        <v>83</v>
      </c>
      <c r="H5" s="0" t="n">
        <v>1444</v>
      </c>
      <c r="I5" s="0" t="n">
        <v>-1982</v>
      </c>
      <c r="K5" s="0" t="n">
        <v>-3.67</v>
      </c>
      <c r="L5" s="0" t="n">
        <v>1823</v>
      </c>
      <c r="M5" s="0" t="n">
        <v>2306</v>
      </c>
      <c r="N5" s="0" t="n">
        <v>-483</v>
      </c>
      <c r="O5" s="0" t="n">
        <v>14725</v>
      </c>
      <c r="P5" s="0" t="n">
        <v>35572</v>
      </c>
      <c r="R5" s="0" t="n">
        <v>7601</v>
      </c>
      <c r="S5" s="0" t="n">
        <v>825</v>
      </c>
      <c r="T5" s="0" t="n">
        <v>541</v>
      </c>
      <c r="U5" s="0" t="n">
        <v>68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F6" s="0" t="n">
        <v>1876</v>
      </c>
      <c r="H6" s="0" t="n">
        <v>3281</v>
      </c>
      <c r="I6" s="0" t="n">
        <v>324</v>
      </c>
      <c r="K6" s="0" t="n">
        <v>0.57</v>
      </c>
      <c r="L6" s="0" t="n">
        <v>3045</v>
      </c>
      <c r="M6" s="0" t="n">
        <v>1730</v>
      </c>
      <c r="N6" s="0" t="n">
        <v>1315</v>
      </c>
      <c r="O6" s="0" t="n">
        <v>15025</v>
      </c>
      <c r="P6" s="0" t="n">
        <v>37621</v>
      </c>
      <c r="R6" s="0" t="n">
        <v>9122</v>
      </c>
      <c r="S6" s="0" t="n">
        <v>3334</v>
      </c>
      <c r="T6" s="0" t="n">
        <v>568</v>
      </c>
      <c r="U6" s="0" t="n">
        <v>54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F7" s="0" t="n">
        <v>3680</v>
      </c>
      <c r="H7" s="0" t="n">
        <v>5214</v>
      </c>
      <c r="I7" s="0" t="n">
        <v>2090</v>
      </c>
      <c r="K7" s="0" t="n">
        <v>3.69</v>
      </c>
      <c r="L7" s="0" t="n">
        <v>4038</v>
      </c>
      <c r="M7" s="0" t="n">
        <v>2987</v>
      </c>
      <c r="N7" s="0" t="n">
        <v>1051</v>
      </c>
      <c r="O7" s="0" t="n">
        <v>16445</v>
      </c>
      <c r="P7" s="0" t="n">
        <v>42783</v>
      </c>
      <c r="R7" s="0" t="n">
        <v>8699</v>
      </c>
      <c r="S7" s="0" t="n">
        <v>1024</v>
      </c>
      <c r="T7" s="0" t="n">
        <v>569</v>
      </c>
      <c r="U7" s="0" t="n">
        <v>58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F8" s="0" t="n">
        <v>5044</v>
      </c>
      <c r="H8" s="0" t="n">
        <v>6618</v>
      </c>
      <c r="I8" s="0" t="n">
        <v>2083</v>
      </c>
      <c r="K8" s="0" t="n">
        <v>3.77</v>
      </c>
      <c r="L8" s="0" t="n">
        <v>5270</v>
      </c>
      <c r="M8" s="0" t="n">
        <v>3413</v>
      </c>
      <c r="N8" s="0" t="n">
        <v>1857</v>
      </c>
      <c r="O8" s="0" t="n">
        <v>18095</v>
      </c>
      <c r="P8" s="0" t="n">
        <v>44477</v>
      </c>
      <c r="R8" s="0" t="n">
        <v>7586</v>
      </c>
      <c r="S8" s="0" t="n">
        <v>1723</v>
      </c>
      <c r="T8" s="0" t="n">
        <v>556</v>
      </c>
      <c r="U8" s="0" t="n">
        <v>58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F9" s="0" t="n">
        <v>3957</v>
      </c>
      <c r="H9" s="0" t="n">
        <v>5677</v>
      </c>
      <c r="I9" s="0" t="n">
        <v>2728</v>
      </c>
      <c r="K9" s="0" t="n">
        <v>4.99</v>
      </c>
      <c r="L9" s="0" t="n">
        <v>5564</v>
      </c>
      <c r="M9" s="0" t="n">
        <v>2755</v>
      </c>
      <c r="N9" s="0" t="n">
        <v>2809</v>
      </c>
      <c r="O9" s="0" t="n">
        <v>19946</v>
      </c>
      <c r="P9" s="0" t="n">
        <v>47260</v>
      </c>
      <c r="R9" s="0" t="n">
        <v>6828</v>
      </c>
      <c r="S9" s="0" t="n">
        <v>4292</v>
      </c>
      <c r="T9" s="0" t="n">
        <v>548</v>
      </c>
      <c r="U9" s="0" t="n">
        <v>64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F10" s="0" t="n">
        <v>5902</v>
      </c>
      <c r="H10" s="0" t="n">
        <v>7592</v>
      </c>
      <c r="I10" s="0" t="n">
        <v>3711</v>
      </c>
      <c r="K10" s="0" t="n">
        <v>6.88</v>
      </c>
      <c r="L10" s="0" t="n">
        <v>4241</v>
      </c>
      <c r="M10" s="0" t="n">
        <v>2802</v>
      </c>
      <c r="N10" s="0" t="n">
        <v>1439</v>
      </c>
      <c r="O10" s="0" t="n">
        <v>21244</v>
      </c>
      <c r="P10" s="0" t="n">
        <v>45550</v>
      </c>
      <c r="R10" s="0" t="n">
        <v>6960</v>
      </c>
      <c r="S10" s="0" t="n">
        <v>3689</v>
      </c>
      <c r="T10" s="0" t="n">
        <v>530</v>
      </c>
      <c r="U10" s="0" t="n">
        <v>60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C11" s="0" t="n">
        <v>80689</v>
      </c>
      <c r="F11" s="0" t="n">
        <v>6358</v>
      </c>
      <c r="H11" s="0" t="n">
        <v>6405</v>
      </c>
      <c r="I11" s="0" t="n">
        <v>4101</v>
      </c>
      <c r="K11" s="0" t="n">
        <v>8</v>
      </c>
      <c r="L11" s="0" t="n">
        <v>5611</v>
      </c>
      <c r="M11" s="0" t="n">
        <v>2350</v>
      </c>
      <c r="N11" s="0" t="n">
        <v>3261</v>
      </c>
      <c r="O11" s="0" t="n">
        <v>21354</v>
      </c>
      <c r="P11" s="0" t="n">
        <v>44227</v>
      </c>
      <c r="R11" s="0" t="n">
        <v>7377</v>
      </c>
      <c r="S11" s="0" t="n">
        <v>4114</v>
      </c>
      <c r="T11" s="0" t="n">
        <v>500</v>
      </c>
      <c r="U11" s="0" t="n">
        <v>59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75659</v>
      </c>
      <c r="C12" s="0" t="n">
        <v>71312</v>
      </c>
      <c r="F12" s="0" t="n">
        <v>3534</v>
      </c>
      <c r="G12" s="0" t="n">
        <v>4.67095785035488</v>
      </c>
      <c r="H12" s="0" t="n">
        <v>3582</v>
      </c>
      <c r="I12" s="0" t="n">
        <v>2417</v>
      </c>
      <c r="J12" s="0" t="n">
        <v>3.19459680936835</v>
      </c>
      <c r="K12" s="0" t="n">
        <v>4.94</v>
      </c>
      <c r="L12" s="0" t="n">
        <v>4820</v>
      </c>
      <c r="M12" s="0" t="n">
        <v>1996</v>
      </c>
      <c r="N12" s="0" t="n">
        <v>2824</v>
      </c>
      <c r="O12" s="0" t="n">
        <v>20854</v>
      </c>
      <c r="P12" s="0" t="n">
        <v>46173</v>
      </c>
      <c r="R12" s="0" t="n">
        <v>8041</v>
      </c>
      <c r="S12" s="0" t="n">
        <v>4816</v>
      </c>
      <c r="T12" s="0" t="n">
        <v>464</v>
      </c>
      <c r="U12" s="0" t="n">
        <v>68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93980</v>
      </c>
      <c r="C13" s="0" t="n">
        <v>89475</v>
      </c>
      <c r="F13" s="0" t="n">
        <v>3563</v>
      </c>
      <c r="G13" s="0" t="n">
        <v>3.79123217705895</v>
      </c>
      <c r="H13" s="0" t="n">
        <v>3615</v>
      </c>
      <c r="I13" s="0" t="n">
        <v>4156</v>
      </c>
      <c r="J13" s="0" t="n">
        <v>4.42221749308364</v>
      </c>
      <c r="K13" s="0" t="n">
        <v>9.17</v>
      </c>
      <c r="L13" s="0" t="n">
        <v>5482</v>
      </c>
      <c r="M13" s="0" t="n">
        <v>1948</v>
      </c>
      <c r="N13" s="0" t="n">
        <v>3534</v>
      </c>
      <c r="O13" s="0" t="n">
        <v>22900</v>
      </c>
      <c r="P13" s="0" t="n">
        <v>50158</v>
      </c>
      <c r="R13" s="0" t="n">
        <v>8872</v>
      </c>
      <c r="S13" s="0" t="n">
        <v>5850</v>
      </c>
      <c r="T13" s="0" t="n">
        <v>444</v>
      </c>
      <c r="U13" s="0" t="n">
        <v>77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117033</v>
      </c>
      <c r="C14" s="0" t="n">
        <v>111439</v>
      </c>
      <c r="F14" s="0" t="n">
        <v>4572</v>
      </c>
      <c r="G14" s="0" t="n">
        <v>3.90659044884776</v>
      </c>
      <c r="H14" s="0" t="n">
        <v>4624</v>
      </c>
      <c r="I14" s="0" t="n">
        <v>3353</v>
      </c>
      <c r="J14" s="0" t="n">
        <v>2.86500388779233</v>
      </c>
      <c r="K14" s="0" t="n">
        <v>7.3</v>
      </c>
      <c r="L14" s="0" t="n">
        <v>4371</v>
      </c>
      <c r="M14" s="0" t="n">
        <v>3376</v>
      </c>
      <c r="N14" s="0" t="n">
        <v>995</v>
      </c>
      <c r="O14" s="0" t="n">
        <v>22731</v>
      </c>
      <c r="P14" s="0" t="n">
        <v>50155</v>
      </c>
      <c r="R14" s="0" t="n">
        <v>9109</v>
      </c>
      <c r="S14" s="0" t="n">
        <v>2982</v>
      </c>
      <c r="T14" s="0" t="n">
        <v>428</v>
      </c>
      <c r="U14" s="0" t="n">
        <v>86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108324</v>
      </c>
      <c r="C15" s="0" t="n">
        <v>103546</v>
      </c>
      <c r="F15" s="0" t="n">
        <v>3836</v>
      </c>
      <c r="G15" s="0" t="n">
        <v>3.5412281673498</v>
      </c>
      <c r="H15" s="0" t="n">
        <v>3889</v>
      </c>
      <c r="I15" s="0" t="n">
        <v>2784</v>
      </c>
      <c r="J15" s="0" t="n">
        <v>2.57006757505262</v>
      </c>
      <c r="K15" s="0" t="n">
        <v>5.84</v>
      </c>
      <c r="L15" s="0" t="n">
        <v>5531</v>
      </c>
      <c r="M15" s="0" t="n">
        <v>2846</v>
      </c>
      <c r="N15" s="0" t="n">
        <v>2685</v>
      </c>
      <c r="O15" s="0" t="n">
        <v>22536</v>
      </c>
      <c r="P15" s="0" t="n">
        <v>53864</v>
      </c>
      <c r="R15" s="0" t="n">
        <v>9672</v>
      </c>
      <c r="S15" s="0" t="n">
        <v>2583</v>
      </c>
      <c r="T15" s="0" t="n">
        <v>414</v>
      </c>
      <c r="U15" s="0" t="n">
        <v>89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64912</v>
      </c>
      <c r="C16" s="0" t="n">
        <v>65652</v>
      </c>
      <c r="F16" s="0" t="n">
        <v>-1579</v>
      </c>
      <c r="G16" s="0" t="n">
        <v>-2.43252403253636</v>
      </c>
      <c r="H16" s="0" t="n">
        <v>-1531</v>
      </c>
      <c r="I16" s="0" t="n">
        <v>-1421</v>
      </c>
      <c r="J16" s="0" t="n">
        <v>-2.18911757456249</v>
      </c>
      <c r="K16" s="0" t="n">
        <v>-3.5</v>
      </c>
      <c r="L16" s="0" t="n">
        <v>948</v>
      </c>
      <c r="M16" s="0" t="n">
        <v>2436</v>
      </c>
      <c r="N16" s="0" t="n">
        <v>-1488</v>
      </c>
      <c r="O16" s="0" t="n">
        <v>19642</v>
      </c>
      <c r="P16" s="0" t="n">
        <v>51774</v>
      </c>
      <c r="R16" s="0" t="n">
        <v>14677</v>
      </c>
      <c r="S16" s="0" t="n">
        <v>3313</v>
      </c>
      <c r="T16" s="0" t="n">
        <v>407</v>
      </c>
      <c r="U16" s="0" t="n">
        <v>80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113977</v>
      </c>
      <c r="C17" s="0" t="n">
        <v>110848</v>
      </c>
      <c r="F17" s="0" t="n">
        <v>2130</v>
      </c>
      <c r="G17" s="0" t="n">
        <v>1.86879809084289</v>
      </c>
      <c r="H17" s="0" t="n">
        <v>2177</v>
      </c>
      <c r="I17" s="0" t="n">
        <v>1288</v>
      </c>
      <c r="J17" s="0" t="n">
        <v>1.13005255446274</v>
      </c>
      <c r="K17" s="0" t="n">
        <v>2.27</v>
      </c>
      <c r="L17" s="0" t="n">
        <v>5859</v>
      </c>
      <c r="M17" s="0" t="n">
        <v>2458</v>
      </c>
      <c r="N17" s="0" t="n">
        <v>3401</v>
      </c>
      <c r="O17" s="0" t="n">
        <v>19817</v>
      </c>
      <c r="P17" s="0" t="n">
        <v>57888</v>
      </c>
      <c r="R17" s="0" t="n">
        <v>13870</v>
      </c>
      <c r="S17" s="0" t="n">
        <v>4122</v>
      </c>
      <c r="T17" s="0" t="n">
        <v>407</v>
      </c>
      <c r="U17" s="0" t="n">
        <v>88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176383</v>
      </c>
      <c r="C18" s="0" t="n">
        <v>159587</v>
      </c>
      <c r="F18" s="0" t="n">
        <v>15690</v>
      </c>
      <c r="G18" s="0" t="n">
        <v>8.89541509102351</v>
      </c>
      <c r="H18" s="0" t="n">
        <v>15735</v>
      </c>
      <c r="I18" s="0" t="n">
        <v>11879</v>
      </c>
      <c r="J18" s="0" t="n">
        <v>6.73477602716815</v>
      </c>
      <c r="K18" s="0" t="n">
        <v>29.05</v>
      </c>
      <c r="L18" s="0" t="n">
        <v>12574</v>
      </c>
      <c r="M18" s="0" t="n">
        <v>2737</v>
      </c>
      <c r="N18" s="0" t="n">
        <v>9837</v>
      </c>
      <c r="O18" s="0" t="n">
        <v>25468</v>
      </c>
      <c r="P18" s="0" t="n">
        <v>60982</v>
      </c>
      <c r="R18" s="0" t="n">
        <v>11635</v>
      </c>
      <c r="S18" s="0" t="n">
        <v>4862</v>
      </c>
      <c r="T18" s="0" t="n">
        <v>396</v>
      </c>
      <c r="U18" s="0" t="n">
        <v>103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144766</v>
      </c>
      <c r="C19" s="0" t="n">
        <v>131834</v>
      </c>
      <c r="F19" s="0" t="n">
        <v>11858</v>
      </c>
      <c r="G19" s="0" t="n">
        <v>8.19114985562909</v>
      </c>
      <c r="H19" s="0" t="n">
        <v>11901</v>
      </c>
      <c r="I19" s="0" t="n">
        <v>9149</v>
      </c>
      <c r="J19" s="0" t="n">
        <v>6.31985410939033</v>
      </c>
      <c r="K19" s="0" t="n">
        <v>24.93</v>
      </c>
      <c r="L19" s="0" t="n">
        <v>9229</v>
      </c>
      <c r="M19" s="0" t="n">
        <v>1916</v>
      </c>
      <c r="N19" s="0" t="n">
        <v>7313</v>
      </c>
      <c r="O19" s="0" t="n">
        <v>28524</v>
      </c>
      <c r="P19" s="0" t="n">
        <v>63056</v>
      </c>
      <c r="R19" s="0" t="n">
        <v>11524</v>
      </c>
      <c r="S19" s="0" t="n">
        <v>5424</v>
      </c>
      <c r="T19" s="0" t="n">
        <v>353</v>
      </c>
      <c r="U19" s="0" t="n">
        <v>107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129881</v>
      </c>
      <c r="C20" s="0" t="n">
        <v>125076</v>
      </c>
      <c r="F20" s="0" t="n">
        <v>3755</v>
      </c>
      <c r="G20" s="0" t="n">
        <v>2.89110801425921</v>
      </c>
      <c r="H20" s="0" t="n">
        <v>3800</v>
      </c>
      <c r="I20" s="0" t="n">
        <v>3006</v>
      </c>
      <c r="J20" s="0" t="n">
        <v>2.31442628252015</v>
      </c>
      <c r="K20" s="0" t="n">
        <v>8.58</v>
      </c>
      <c r="L20" s="0" t="n">
        <v>6683</v>
      </c>
      <c r="M20" s="0" t="n">
        <v>2057</v>
      </c>
      <c r="N20" s="0" t="n">
        <v>4626</v>
      </c>
      <c r="O20" s="0" t="n">
        <v>27521</v>
      </c>
      <c r="P20" s="0" t="n">
        <v>60143</v>
      </c>
      <c r="R20" s="0" t="n">
        <v>10463</v>
      </c>
      <c r="S20" s="0" t="n">
        <v>4657</v>
      </c>
      <c r="T20" s="0" t="n">
        <v>322</v>
      </c>
      <c r="U20" s="0" t="n">
        <v>100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122687</v>
      </c>
      <c r="C21" s="0" t="n">
        <v>117255</v>
      </c>
      <c r="F21" s="0" t="n">
        <v>3181</v>
      </c>
      <c r="G21" s="0" t="n">
        <v>2.59277674081199</v>
      </c>
      <c r="H21" s="0" t="n">
        <v>3244</v>
      </c>
      <c r="I21" s="0" t="n">
        <v>2348</v>
      </c>
      <c r="J21" s="0" t="n">
        <v>1.91381319944248</v>
      </c>
      <c r="K21" s="0" t="n">
        <v>7.57</v>
      </c>
      <c r="L21" s="0" t="n">
        <v>5826</v>
      </c>
      <c r="O21" s="0" t="n">
        <v>26605</v>
      </c>
      <c r="P21" s="0" t="n">
        <v>57988</v>
      </c>
      <c r="R21" s="0" t="n">
        <v>10619</v>
      </c>
      <c r="S21" s="0" t="n">
        <v>4688</v>
      </c>
      <c r="T21" s="0" t="n">
        <v>309</v>
      </c>
      <c r="U21" s="0" t="n">
        <v>117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406.3</v>
      </c>
    </row>
    <row r="3" customFormat="false" ht="15" hidden="false" customHeight="false" outlineLevel="0" collapsed="false">
      <c r="A3" s="0" t="s">
        <v>86</v>
      </c>
      <c r="B3" s="3" t="n">
        <v>291</v>
      </c>
    </row>
    <row r="4" customFormat="false" ht="15" hidden="false" customHeight="false" outlineLevel="0" collapsed="false">
      <c r="A4" s="0" t="s">
        <v>87</v>
      </c>
      <c r="B4" s="3" t="n">
        <v>3475</v>
      </c>
    </row>
    <row r="5" customFormat="false" ht="15" hidden="false" customHeight="false" outlineLevel="0" collapsed="false">
      <c r="A5" s="0" t="s">
        <v>88</v>
      </c>
      <c r="B5" s="3" t="n">
        <v>-3267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139397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-6</v>
      </c>
      <c r="D13" s="3" t="n">
        <v>-4</v>
      </c>
      <c r="E13" s="3" t="n">
        <v>-1</v>
      </c>
      <c r="F13" s="3" t="n">
        <v>-1</v>
      </c>
      <c r="G13" s="3" t="n">
        <v>-1.5</v>
      </c>
      <c r="H13" s="3" t="n">
        <v>-1.5</v>
      </c>
      <c r="I13" s="3" t="n">
        <v>-1.5</v>
      </c>
      <c r="J13" s="3" t="n">
        <v>-1.5</v>
      </c>
      <c r="K13" s="3" t="n">
        <v>-1.5</v>
      </c>
      <c r="L13" s="3" t="n">
        <v>-1.5</v>
      </c>
    </row>
    <row r="14" customFormat="false" ht="15" hidden="false" customHeight="false" outlineLevel="0" collapsed="false">
      <c r="A14" s="0" t="s">
        <v>108</v>
      </c>
      <c r="C14" s="3" t="n">
        <v>7</v>
      </c>
      <c r="D14" s="3" t="n">
        <v>5</v>
      </c>
      <c r="E14" s="3" t="n">
        <v>5</v>
      </c>
      <c r="F14" s="3" t="n">
        <v>5</v>
      </c>
      <c r="G14" s="3" t="n">
        <v>5</v>
      </c>
      <c r="H14" s="3" t="n">
        <v>5</v>
      </c>
      <c r="I14" s="3" t="n">
        <v>5</v>
      </c>
      <c r="J14" s="3" t="n">
        <v>5</v>
      </c>
      <c r="K14" s="3" t="n">
        <v>5</v>
      </c>
      <c r="L14" s="3" t="n">
        <v>5</v>
      </c>
    </row>
    <row r="15" customFormat="false" ht="15" hidden="false" customHeight="false" outlineLevel="0" collapsed="false">
      <c r="A15" s="0" t="s">
        <v>109</v>
      </c>
      <c r="C15" s="3" t="n">
        <v>0.09</v>
      </c>
      <c r="D15" s="3" t="n">
        <v>0.09</v>
      </c>
      <c r="E15" s="3" t="n">
        <v>0.09</v>
      </c>
      <c r="F15" s="3" t="n">
        <v>0.09</v>
      </c>
      <c r="G15" s="3" t="n">
        <v>0.09</v>
      </c>
      <c r="H15" s="3" t="n">
        <v>0.09</v>
      </c>
      <c r="I15" s="3" t="n">
        <v>0.09</v>
      </c>
      <c r="J15" s="3" t="n">
        <v>0.09</v>
      </c>
      <c r="K15" s="3" t="n">
        <v>0.09</v>
      </c>
      <c r="L15" s="3" t="n">
        <v>0.09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2.3</v>
      </c>
      <c r="D17" s="3" t="n">
        <v>2.25</v>
      </c>
      <c r="E17" s="3" t="n">
        <v>2.2</v>
      </c>
      <c r="F17" s="3" t="n">
        <v>2.15</v>
      </c>
      <c r="G17" s="3" t="n">
        <v>2.1</v>
      </c>
      <c r="H17" s="3" t="n">
        <v>2.05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112</v>
      </c>
      <c r="C18" s="3" t="n">
        <v>1.65</v>
      </c>
      <c r="D18" s="3" t="n">
        <v>1.7</v>
      </c>
      <c r="E18" s="3" t="n">
        <v>1.75</v>
      </c>
      <c r="F18" s="3" t="n">
        <v>1.8</v>
      </c>
      <c r="G18" s="3" t="n">
        <v>1.85</v>
      </c>
      <c r="H18" s="3" t="n">
        <v>1.9</v>
      </c>
      <c r="I18" s="3" t="n">
        <v>1.95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113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114</v>
      </c>
      <c r="B20" s="3" t="n">
        <v>9.5</v>
      </c>
    </row>
    <row r="21" customFormat="false" ht="15" hidden="false" customHeight="false" outlineLevel="0" collapsed="false">
      <c r="A21" s="0" t="s">
        <v>115</v>
      </c>
      <c r="B21" s="3" t="n">
        <v>0</v>
      </c>
    </row>
    <row r="22" customFormat="false" ht="15" hidden="false" customHeight="false" outlineLevel="0" collapsed="false">
      <c r="A22" s="0" t="s">
        <v>116</v>
      </c>
      <c r="B22" s="3" t="n">
        <v>9</v>
      </c>
    </row>
    <row r="23" customFormat="false" ht="15" hidden="false" customHeight="false" outlineLevel="0" collapsed="false">
      <c r="A23" s="0" t="s">
        <v>117</v>
      </c>
      <c r="B23" s="3" t="n">
        <v>-3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-3</v>
      </c>
      <c r="D27" s="3" t="n">
        <v>-2</v>
      </c>
      <c r="E27" s="3" t="n">
        <v>1.5</v>
      </c>
      <c r="F27" s="3" t="n">
        <v>1.5</v>
      </c>
      <c r="G27" s="3" t="n">
        <v>1.5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108</v>
      </c>
      <c r="C28" s="3" t="n">
        <v>9.5</v>
      </c>
      <c r="D28" s="3" t="n">
        <v>7.5</v>
      </c>
      <c r="E28" s="3" t="n">
        <v>7</v>
      </c>
      <c r="F28" s="3" t="n">
        <v>6.8</v>
      </c>
      <c r="G28" s="3" t="n">
        <v>6.8</v>
      </c>
      <c r="H28" s="3" t="n">
        <v>6.8</v>
      </c>
      <c r="I28" s="3" t="n">
        <v>6.8</v>
      </c>
      <c r="J28" s="3" t="n">
        <v>6.8</v>
      </c>
      <c r="K28" s="3" t="n">
        <v>6.8</v>
      </c>
      <c r="L28" s="3" t="n">
        <v>6.8</v>
      </c>
    </row>
    <row r="29" customFormat="false" ht="15" hidden="false" customHeight="false" outlineLevel="0" collapsed="false">
      <c r="A29" s="0" t="s">
        <v>109</v>
      </c>
      <c r="C29" s="3" t="n">
        <v>0.09</v>
      </c>
      <c r="D29" s="3" t="n">
        <v>0.09</v>
      </c>
      <c r="E29" s="3" t="n">
        <v>0.09</v>
      </c>
      <c r="F29" s="3" t="n">
        <v>0.09</v>
      </c>
      <c r="G29" s="3" t="n">
        <v>0.09</v>
      </c>
      <c r="H29" s="3" t="n">
        <v>0.09</v>
      </c>
      <c r="I29" s="3" t="n">
        <v>0.09</v>
      </c>
      <c r="J29" s="3" t="n">
        <v>0.09</v>
      </c>
      <c r="K29" s="3" t="n">
        <v>0.09</v>
      </c>
      <c r="L29" s="3" t="n">
        <v>0.09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2.3</v>
      </c>
      <c r="D31" s="3" t="n">
        <v>2.25</v>
      </c>
      <c r="E31" s="3" t="n">
        <v>2.2</v>
      </c>
      <c r="F31" s="3" t="n">
        <v>2.15</v>
      </c>
      <c r="G31" s="3" t="n">
        <v>2.1</v>
      </c>
      <c r="H31" s="3" t="n">
        <v>2.05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112</v>
      </c>
      <c r="C32" s="3" t="n">
        <v>1.65</v>
      </c>
      <c r="D32" s="3" t="n">
        <v>1.7</v>
      </c>
      <c r="E32" s="3" t="n">
        <v>1.75</v>
      </c>
      <c r="F32" s="3" t="n">
        <v>1.8</v>
      </c>
      <c r="G32" s="3" t="n">
        <v>1.85</v>
      </c>
      <c r="H32" s="3" t="n">
        <v>1.9</v>
      </c>
      <c r="I32" s="3" t="n">
        <v>1.95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113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114</v>
      </c>
      <c r="B34" s="3" t="n">
        <v>9.5</v>
      </c>
    </row>
    <row r="35" customFormat="false" ht="15" hidden="false" customHeight="false" outlineLevel="0" collapsed="false">
      <c r="A35" s="0" t="s">
        <v>115</v>
      </c>
      <c r="B35" s="3" t="n">
        <v>1.5</v>
      </c>
    </row>
    <row r="36" customFormat="false" ht="15" hidden="false" customHeight="false" outlineLevel="0" collapsed="false">
      <c r="A36" s="0" t="s">
        <v>116</v>
      </c>
      <c r="B36" s="3" t="n">
        <v>11</v>
      </c>
    </row>
    <row r="37" customFormat="false" ht="15" hidden="false" customHeight="false" outlineLevel="0" collapsed="false">
      <c r="A37" s="0" t="s">
        <v>117</v>
      </c>
      <c r="B37" s="3" t="n">
        <v>-3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0</v>
      </c>
      <c r="D41" s="3" t="n">
        <v>1</v>
      </c>
      <c r="E41" s="3" t="n">
        <v>2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108</v>
      </c>
      <c r="C42" s="3" t="n">
        <v>11.5</v>
      </c>
      <c r="D42" s="3" t="n">
        <v>10</v>
      </c>
      <c r="E42" s="3" t="n">
        <v>9</v>
      </c>
      <c r="F42" s="3" t="n">
        <v>8.5</v>
      </c>
      <c r="G42" s="3" t="n">
        <v>8.5</v>
      </c>
      <c r="H42" s="3" t="n">
        <v>8.5</v>
      </c>
      <c r="I42" s="3" t="n">
        <v>8.5</v>
      </c>
      <c r="J42" s="3" t="n">
        <v>8.5</v>
      </c>
      <c r="K42" s="3" t="n">
        <v>8.5</v>
      </c>
      <c r="L42" s="3" t="n">
        <v>8.5</v>
      </c>
    </row>
    <row r="43" customFormat="false" ht="15" hidden="false" customHeight="false" outlineLevel="0" collapsed="false">
      <c r="A43" s="0" t="s">
        <v>109</v>
      </c>
      <c r="C43" s="3" t="n">
        <v>0.09</v>
      </c>
      <c r="D43" s="3" t="n">
        <v>0.09</v>
      </c>
      <c r="E43" s="3" t="n">
        <v>0.09</v>
      </c>
      <c r="F43" s="3" t="n">
        <v>0.09</v>
      </c>
      <c r="G43" s="3" t="n">
        <v>0.09</v>
      </c>
      <c r="H43" s="3" t="n">
        <v>0.09</v>
      </c>
      <c r="I43" s="3" t="n">
        <v>0.09</v>
      </c>
      <c r="J43" s="3" t="n">
        <v>0.09</v>
      </c>
      <c r="K43" s="3" t="n">
        <v>0.09</v>
      </c>
      <c r="L43" s="3" t="n">
        <v>0.09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2.3</v>
      </c>
      <c r="D45" s="3" t="n">
        <v>2.25</v>
      </c>
      <c r="E45" s="3" t="n">
        <v>2.2</v>
      </c>
      <c r="F45" s="3" t="n">
        <v>2.15</v>
      </c>
      <c r="G45" s="3" t="n">
        <v>2.1</v>
      </c>
      <c r="H45" s="3" t="n">
        <v>2.05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112</v>
      </c>
      <c r="C46" s="3" t="n">
        <v>1.65</v>
      </c>
      <c r="D46" s="3" t="n">
        <v>1.7</v>
      </c>
      <c r="E46" s="3" t="n">
        <v>1.75</v>
      </c>
      <c r="F46" s="3" t="n">
        <v>1.8</v>
      </c>
      <c r="G46" s="3" t="n">
        <v>1.85</v>
      </c>
      <c r="H46" s="3" t="n">
        <v>1.9</v>
      </c>
      <c r="I46" s="3" t="n">
        <v>1.95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113</v>
      </c>
      <c r="C47" s="3" t="n">
        <v>22</v>
      </c>
      <c r="D47" s="3" t="n">
        <v>22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114</v>
      </c>
      <c r="B48" s="3" t="n">
        <v>9.5</v>
      </c>
    </row>
    <row r="49" customFormat="false" ht="15" hidden="false" customHeight="false" outlineLevel="0" collapsed="false">
      <c r="A49" s="0" t="s">
        <v>115</v>
      </c>
      <c r="B49" s="3" t="n">
        <v>2</v>
      </c>
    </row>
    <row r="50" customFormat="false" ht="15" hidden="false" customHeight="false" outlineLevel="0" collapsed="false">
      <c r="A50" s="0" t="s">
        <v>116</v>
      </c>
      <c r="B50" s="3" t="n">
        <v>12</v>
      </c>
    </row>
    <row r="51" customFormat="false" ht="15" hidden="false" customHeight="false" outlineLevel="0" collapsed="false">
      <c r="A51" s="0" t="s">
        <v>117</v>
      </c>
      <c r="B51" s="3" t="n">
        <v>-3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-6</v>
      </c>
      <c r="D5" s="4" t="n">
        <f aca="false">Assumptions!D13</f>
        <v>-4</v>
      </c>
      <c r="E5" s="4" t="n">
        <f aca="false">Assumptions!E13</f>
        <v>-1</v>
      </c>
      <c r="F5" s="4" t="n">
        <f aca="false">Assumptions!F13</f>
        <v>-1</v>
      </c>
      <c r="G5" s="4" t="n">
        <f aca="false">Assumptions!G13</f>
        <v>-1.5</v>
      </c>
      <c r="H5" s="4" t="n">
        <f aca="false">Assumptions!H13</f>
        <v>-1.5</v>
      </c>
      <c r="I5" s="4" t="n">
        <f aca="false">Assumptions!I13</f>
        <v>-1.5</v>
      </c>
      <c r="J5" s="4" t="n">
        <f aca="false">Assumptions!J13</f>
        <v>-1.5</v>
      </c>
      <c r="K5" s="4" t="n">
        <f aca="false">Assumptions!K13</f>
        <v>-1.5</v>
      </c>
      <c r="L5" s="4" t="n">
        <f aca="false">Assumptions!L13</f>
        <v>-1.5</v>
      </c>
    </row>
    <row r="6" customFormat="false" ht="15" hidden="false" customHeight="false" outlineLevel="0" collapsed="false">
      <c r="A6" s="0" t="s">
        <v>37</v>
      </c>
      <c r="B6" s="3" t="n">
        <v>139397</v>
      </c>
      <c r="C6" s="0" t="n">
        <f aca="false">B6*(1+C5/100)</f>
        <v>131033.18</v>
      </c>
      <c r="D6" s="0" t="n">
        <f aca="false">C6*(1+D5/100)</f>
        <v>125791.8528</v>
      </c>
      <c r="E6" s="0" t="n">
        <f aca="false">D6*(1+E5/100)</f>
        <v>124533.934272</v>
      </c>
      <c r="F6" s="0" t="n">
        <f aca="false">E6*(1+F5/100)</f>
        <v>123288.59492928</v>
      </c>
      <c r="G6" s="0" t="n">
        <f aca="false">F6*(1+G5/100)</f>
        <v>121439.266005341</v>
      </c>
      <c r="H6" s="0" t="n">
        <f aca="false">G6*(1+H5/100)</f>
        <v>119617.677015261</v>
      </c>
      <c r="I6" s="0" t="n">
        <f aca="false">H6*(1+I5/100)</f>
        <v>117823.411860032</v>
      </c>
      <c r="J6" s="0" t="n">
        <f aca="false">I6*(1+J5/100)</f>
        <v>116056.060682131</v>
      </c>
      <c r="K6" s="0" t="n">
        <f aca="false">J6*(1+K5/100)</f>
        <v>114315.219771899</v>
      </c>
      <c r="L6" s="0" t="n">
        <f aca="false">K6*(1+L5/100)</f>
        <v>112600.491475321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7</v>
      </c>
      <c r="D7" s="4" t="n">
        <f aca="false">Assumptions!D14</f>
        <v>5</v>
      </c>
      <c r="E7" s="4" t="n">
        <f aca="false">Assumptions!E14</f>
        <v>5</v>
      </c>
      <c r="F7" s="4" t="n">
        <f aca="false">Assumptions!F14</f>
        <v>5</v>
      </c>
      <c r="G7" s="4" t="n">
        <f aca="false">Assumptions!G14</f>
        <v>5</v>
      </c>
      <c r="H7" s="4" t="n">
        <f aca="false">Assumptions!H14</f>
        <v>5</v>
      </c>
      <c r="I7" s="4" t="n">
        <f aca="false">Assumptions!I14</f>
        <v>5</v>
      </c>
      <c r="J7" s="4" t="n">
        <f aca="false">Assumptions!J14</f>
        <v>5</v>
      </c>
      <c r="K7" s="4" t="n">
        <f aca="false">Assumptions!K14</f>
        <v>5</v>
      </c>
      <c r="L7" s="4" t="n">
        <f aca="false">Assumptions!L14</f>
        <v>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9172.3226</v>
      </c>
      <c r="D8" s="0" t="n">
        <f aca="false">D6*D7/100</f>
        <v>6289.59264</v>
      </c>
      <c r="E8" s="0" t="n">
        <f aca="false">E6*E7/100</f>
        <v>6226.6967136</v>
      </c>
      <c r="F8" s="0" t="n">
        <f aca="false">F6*F7/100</f>
        <v>6164.429746464</v>
      </c>
      <c r="G8" s="0" t="n">
        <f aca="false">G6*G7/100</f>
        <v>6071.96330026704</v>
      </c>
      <c r="H8" s="0" t="n">
        <f aca="false">H6*H7/100</f>
        <v>5980.88385076303</v>
      </c>
      <c r="I8" s="0" t="n">
        <f aca="false">I6*I7/100</f>
        <v>5891.17059300159</v>
      </c>
      <c r="J8" s="0" t="n">
        <f aca="false">J6*J7/100</f>
        <v>5802.80303410656</v>
      </c>
      <c r="K8" s="0" t="n">
        <f aca="false">K6*K7/100</f>
        <v>5715.76098859497</v>
      </c>
      <c r="L8" s="0" t="n">
        <f aca="false">L6*L7/100</f>
        <v>5630.02457376604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0.09</v>
      </c>
      <c r="D9" s="4" t="n">
        <f aca="false">Assumptions!D15</f>
        <v>0.09</v>
      </c>
      <c r="E9" s="4" t="n">
        <f aca="false">Assumptions!E15</f>
        <v>0.09</v>
      </c>
      <c r="F9" s="4" t="n">
        <f aca="false">Assumptions!F15</f>
        <v>0.09</v>
      </c>
      <c r="G9" s="4" t="n">
        <f aca="false">Assumptions!G15</f>
        <v>0.09</v>
      </c>
      <c r="H9" s="4" t="n">
        <f aca="false">Assumptions!H15</f>
        <v>0.09</v>
      </c>
      <c r="I9" s="4" t="n">
        <f aca="false">Assumptions!I15</f>
        <v>0.09</v>
      </c>
      <c r="J9" s="4" t="n">
        <f aca="false">Assumptions!J15</f>
        <v>0.09</v>
      </c>
      <c r="K9" s="4" t="n">
        <f aca="false">Assumptions!K15</f>
        <v>0.09</v>
      </c>
      <c r="L9" s="4" t="n">
        <f aca="false">Assumptions!L15</f>
        <v>0.09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-117.929862</v>
      </c>
      <c r="D10" s="0" t="n">
        <f aca="false">-D6*D9/100</f>
        <v>-113.21266752</v>
      </c>
      <c r="E10" s="0" t="n">
        <f aca="false">-E6*E9/100</f>
        <v>-112.0805408448</v>
      </c>
      <c r="F10" s="0" t="n">
        <f aca="false">-F6*F9/100</f>
        <v>-110.959735436352</v>
      </c>
      <c r="G10" s="0" t="n">
        <f aca="false">-G6*G9/100</f>
        <v>-109.295339404807</v>
      </c>
      <c r="H10" s="0" t="n">
        <f aca="false">-H6*H9/100</f>
        <v>-107.655909313735</v>
      </c>
      <c r="I10" s="0" t="n">
        <f aca="false">-I6*I9/100</f>
        <v>-106.041070674029</v>
      </c>
      <c r="J10" s="0" t="n">
        <f aca="false">-J6*J9/100</f>
        <v>-104.450454613918</v>
      </c>
      <c r="K10" s="0" t="n">
        <f aca="false">-K6*K9/100</f>
        <v>-102.883697794709</v>
      </c>
      <c r="L10" s="0" t="n">
        <f aca="false">-L6*L9/100</f>
        <v>-101.340442327789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9054.392738</v>
      </c>
      <c r="D11" s="0" t="n">
        <f aca="false">D8+D10+D24</f>
        <v>6176.37997248</v>
      </c>
      <c r="E11" s="0" t="n">
        <f aca="false">E8+E10+E24</f>
        <v>6114.6161727552</v>
      </c>
      <c r="F11" s="0" t="n">
        <f aca="false">F8+F10+F24</f>
        <v>6053.47001102765</v>
      </c>
      <c r="G11" s="0" t="n">
        <f aca="false">G8+G10+G24</f>
        <v>5962.66796086223</v>
      </c>
      <c r="H11" s="0" t="n">
        <f aca="false">H8+H10+H24</f>
        <v>5873.2279414493</v>
      </c>
      <c r="I11" s="0" t="n">
        <f aca="false">I8+I10+I24</f>
        <v>5785.12952232756</v>
      </c>
      <c r="J11" s="0" t="n">
        <f aca="false">J8+J10+J24</f>
        <v>5698.35257949265</v>
      </c>
      <c r="K11" s="0" t="n">
        <f aca="false">K8+K10+K24</f>
        <v>5612.87729080026</v>
      </c>
      <c r="L11" s="0" t="n">
        <f aca="false">L8+L10+L24</f>
        <v>5528.68413143825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-3013.76314</v>
      </c>
      <c r="D12" s="4" t="n">
        <f aca="false">-D6*Assumptions!D17/100</f>
        <v>-2830.316688</v>
      </c>
      <c r="E12" s="4" t="n">
        <f aca="false">-E6*Assumptions!E17/100</f>
        <v>-2739.746553984</v>
      </c>
      <c r="F12" s="4" t="n">
        <f aca="false">-F6*Assumptions!F17/100</f>
        <v>-2650.70479097952</v>
      </c>
      <c r="G12" s="4" t="n">
        <f aca="false">-G6*Assumptions!G17/100</f>
        <v>-2550.22458611216</v>
      </c>
      <c r="H12" s="4" t="n">
        <f aca="false">-H6*Assumptions!H17/100</f>
        <v>-2452.16237881284</v>
      </c>
      <c r="I12" s="4" t="n">
        <f aca="false">-I6*Assumptions!I17/100</f>
        <v>-2356.46823720064</v>
      </c>
      <c r="J12" s="4" t="n">
        <f aca="false">-J6*Assumptions!J17/100</f>
        <v>-2321.12121364263</v>
      </c>
      <c r="K12" s="4" t="n">
        <f aca="false">-K6*Assumptions!K17/100</f>
        <v>-2286.30439543799</v>
      </c>
      <c r="L12" s="4" t="n">
        <f aca="false">-L6*Assumptions!L17/100</f>
        <v>-2252.00982950642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6040.629598</v>
      </c>
      <c r="D13" s="0" t="n">
        <f aca="false">D11+D12</f>
        <v>3346.06328448</v>
      </c>
      <c r="E13" s="0" t="n">
        <f aca="false">E11+E12</f>
        <v>3374.8696187712</v>
      </c>
      <c r="F13" s="0" t="n">
        <f aca="false">F11+F12</f>
        <v>3402.76522004813</v>
      </c>
      <c r="G13" s="0" t="n">
        <f aca="false">G11+G12</f>
        <v>3412.44337475008</v>
      </c>
      <c r="H13" s="0" t="n">
        <f aca="false">H11+H12</f>
        <v>3421.06556263646</v>
      </c>
      <c r="I13" s="0" t="n">
        <f aca="false">I11+I12</f>
        <v>3428.66128512692</v>
      </c>
      <c r="J13" s="0" t="n">
        <f aca="false">J11+J12</f>
        <v>3377.23136585002</v>
      </c>
      <c r="K13" s="0" t="n">
        <f aca="false">K11+K12</f>
        <v>3326.57289536227</v>
      </c>
      <c r="L13" s="0" t="n">
        <f aca="false">L11+L12</f>
        <v>3276.67430193184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4711.69108644</v>
      </c>
      <c r="D15" s="0" t="n">
        <f aca="false">D13-MAX(0,D13)*D14/100</f>
        <v>2609.9293618944</v>
      </c>
      <c r="E15" s="0" t="n">
        <f aca="false">E13-MAX(0,E13)*E14/100</f>
        <v>2632.39830264154</v>
      </c>
      <c r="F15" s="0" t="n">
        <f aca="false">F13-MAX(0,F13)*F14/100</f>
        <v>2654.15687163754</v>
      </c>
      <c r="G15" s="0" t="n">
        <f aca="false">G13-MAX(0,G13)*G14/100</f>
        <v>2661.70583230506</v>
      </c>
      <c r="H15" s="0" t="n">
        <f aca="false">H13-MAX(0,H13)*H14/100</f>
        <v>2668.43113885643</v>
      </c>
      <c r="I15" s="0" t="n">
        <f aca="false">I13-MAX(0,I13)*I14/100</f>
        <v>2674.355802399</v>
      </c>
      <c r="J15" s="0" t="n">
        <f aca="false">J13-MAX(0,J13)*J14/100</f>
        <v>2634.24046536302</v>
      </c>
      <c r="K15" s="0" t="n">
        <f aca="false">K13-MAX(0,K13)*K14/100</f>
        <v>2594.72685838257</v>
      </c>
      <c r="L15" s="0" t="n">
        <f aca="false">L13-MAX(0,L13)*L14/100</f>
        <v>2555.80595550683</v>
      </c>
    </row>
    <row r="16" customFormat="false" ht="15" hidden="false" customHeight="false" outlineLevel="0" collapsed="false">
      <c r="A16" s="0" t="s">
        <v>129</v>
      </c>
      <c r="C16" s="0" t="n">
        <f aca="false">-C12</f>
        <v>3013.76314</v>
      </c>
      <c r="D16" s="0" t="n">
        <f aca="false">-D12</f>
        <v>2830.316688</v>
      </c>
      <c r="E16" s="0" t="n">
        <f aca="false">-E12</f>
        <v>2739.746553984</v>
      </c>
      <c r="F16" s="0" t="n">
        <f aca="false">-F12</f>
        <v>2650.70479097952</v>
      </c>
      <c r="G16" s="0" t="n">
        <f aca="false">-G12</f>
        <v>2550.22458611216</v>
      </c>
      <c r="H16" s="0" t="n">
        <f aca="false">-H12</f>
        <v>2452.16237881284</v>
      </c>
      <c r="I16" s="0" t="n">
        <f aca="false">-I12</f>
        <v>2356.46823720064</v>
      </c>
      <c r="J16" s="0" t="n">
        <f aca="false">-J12</f>
        <v>2321.12121364263</v>
      </c>
      <c r="K16" s="0" t="n">
        <f aca="false">-K12</f>
        <v>2286.30439543799</v>
      </c>
      <c r="L16" s="0" t="n">
        <f aca="false">-L12</f>
        <v>2252.00982950642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-2162.04747</v>
      </c>
      <c r="D17" s="4" t="n">
        <f aca="false">-D6*Assumptions!D18/100</f>
        <v>-2138.4614976</v>
      </c>
      <c r="E17" s="4" t="n">
        <f aca="false">-E6*Assumptions!E18/100</f>
        <v>-2179.34384976</v>
      </c>
      <c r="F17" s="4" t="n">
        <f aca="false">-F6*Assumptions!F18/100</f>
        <v>-2219.19470872704</v>
      </c>
      <c r="G17" s="4" t="n">
        <f aca="false">-G6*Assumptions!G18/100</f>
        <v>-2246.6264210988</v>
      </c>
      <c r="H17" s="4" t="n">
        <f aca="false">-H6*Assumptions!H18/100</f>
        <v>-2272.73586328995</v>
      </c>
      <c r="I17" s="4" t="n">
        <f aca="false">-I6*Assumptions!I18/100</f>
        <v>-2297.55653127062</v>
      </c>
      <c r="J17" s="4" t="n">
        <f aca="false">-J6*Assumptions!J18/100</f>
        <v>-2321.12121364263</v>
      </c>
      <c r="K17" s="4" t="n">
        <f aca="false">-K6*Assumptions!K18/100</f>
        <v>-2286.30439543799</v>
      </c>
      <c r="L17" s="4" t="n">
        <f aca="false">-L6*Assumptions!L18/100</f>
        <v>-2252.00982950642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250.9146</v>
      </c>
      <c r="D18" s="4" t="n">
        <f aca="false">(D6-C6)*Assumptions!$B$23/100</f>
        <v>157.239816</v>
      </c>
      <c r="E18" s="4" t="n">
        <f aca="false">(E6-D6)*Assumptions!$B$23/100</f>
        <v>37.7375558399998</v>
      </c>
      <c r="F18" s="4" t="n">
        <f aca="false">(F6-E6)*Assumptions!$B$23/100</f>
        <v>37.3601802816002</v>
      </c>
      <c r="G18" s="4" t="n">
        <f aca="false">(G6-F6)*Assumptions!$B$23/100</f>
        <v>55.4798677181761</v>
      </c>
      <c r="H18" s="4" t="n">
        <f aca="false">(H6-G6)*Assumptions!$B$23/100</f>
        <v>54.6476697024034</v>
      </c>
      <c r="I18" s="4" t="n">
        <f aca="false">(I6-H6)*Assumptions!$B$23/100</f>
        <v>53.8279546568675</v>
      </c>
      <c r="J18" s="4" t="n">
        <f aca="false">(J6-I6)*Assumptions!$B$23/100</f>
        <v>53.0205353370143</v>
      </c>
      <c r="K18" s="4" t="n">
        <f aca="false">(K6-J6)*Assumptions!$B$23/100</f>
        <v>52.2252273069591</v>
      </c>
      <c r="L18" s="4" t="n">
        <f aca="false">(L6-K6)*Assumptions!$B$23/100</f>
        <v>51.4418488973549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5814.32135644</v>
      </c>
      <c r="D19" s="0" t="n">
        <f aca="false">D15+D16+D17+D18</f>
        <v>3459.0243682944</v>
      </c>
      <c r="E19" s="0" t="n">
        <f aca="false">E15+E16+E17+E18</f>
        <v>3230.53856270554</v>
      </c>
      <c r="F19" s="0" t="n">
        <f aca="false">F15+F16+F17+F18</f>
        <v>3123.02713417162</v>
      </c>
      <c r="G19" s="0" t="n">
        <f aca="false">G15+G16+G17+G18</f>
        <v>3020.78386503659</v>
      </c>
      <c r="H19" s="0" t="n">
        <f aca="false">H15+H16+H17+H18</f>
        <v>2902.50532408173</v>
      </c>
      <c r="I19" s="0" t="n">
        <f aca="false">I15+I16+I17+I18</f>
        <v>2787.09546298588</v>
      </c>
      <c r="J19" s="0" t="n">
        <f aca="false">J15+J16+J17+J18</f>
        <v>2687.26100070003</v>
      </c>
      <c r="K19" s="0" t="n">
        <f aca="false">K15+K16+K17+K18</f>
        <v>2646.95208568953</v>
      </c>
      <c r="L19" s="0" t="n">
        <f aca="false">L15+L16+L17+L18</f>
        <v>2607.24780440419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5309.8825172968</v>
      </c>
      <c r="D21" s="0" t="n">
        <f aca="false">D19*D20</f>
        <v>2884.86425912254</v>
      </c>
      <c r="E21" s="0" t="n">
        <f aca="false">E19*E20</f>
        <v>2460.55213826648</v>
      </c>
      <c r="F21" s="0" t="n">
        <f aca="false">F19*F20</f>
        <v>2172.29739238166</v>
      </c>
      <c r="G21" s="0" t="n">
        <f aca="false">G19*G20</f>
        <v>1918.88548190831</v>
      </c>
      <c r="H21" s="0" t="n">
        <f aca="false">H19*H20</f>
        <v>1683.79148902704</v>
      </c>
      <c r="I21" s="0" t="n">
        <f aca="false">I19*I20</f>
        <v>1476.56649683717</v>
      </c>
      <c r="J21" s="0" t="n">
        <f aca="false">J19*J20</f>
        <v>1300.1602854661</v>
      </c>
      <c r="K21" s="0" t="n">
        <f aca="false">K19*K20</f>
        <v>1169.55057642384</v>
      </c>
      <c r="L21" s="0" t="n">
        <f aca="false">L19*L20</f>
        <v>1052.06147742236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21428.6121141523</v>
      </c>
    </row>
    <row r="31" customFormat="false" ht="15" hidden="false" customHeight="false" outlineLevel="0" collapsed="false">
      <c r="A31" s="0" t="s">
        <v>138</v>
      </c>
      <c r="B31" s="0" t="n">
        <f aca="false">L19</f>
        <v>2607.24780440419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27444.7137305704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23465.2302396377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23465.2302396377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9468.55329680122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30897.1654109535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24155.1654109535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83.0074412747544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-0.79569913543009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689.61285208903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430.445328102245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86.8564384575422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17381.6520293613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52.2869490056984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-3</v>
      </c>
      <c r="D5" s="4" t="n">
        <f aca="false">Assumptions!D27</f>
        <v>-2</v>
      </c>
      <c r="E5" s="4" t="n">
        <f aca="false">Assumptions!E27</f>
        <v>1.5</v>
      </c>
      <c r="F5" s="4" t="n">
        <f aca="false">Assumptions!F27</f>
        <v>1.5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139397</v>
      </c>
      <c r="C6" s="0" t="n">
        <f aca="false">B6*(1+C5/100)</f>
        <v>135215.09</v>
      </c>
      <c r="D6" s="0" t="n">
        <f aca="false">C6*(1+D5/100)</f>
        <v>132510.7882</v>
      </c>
      <c r="E6" s="0" t="n">
        <f aca="false">D6*(1+E5/100)</f>
        <v>134498.450023</v>
      </c>
      <c r="F6" s="0" t="n">
        <f aca="false">E6*(1+F5/100)</f>
        <v>136515.926773345</v>
      </c>
      <c r="G6" s="0" t="n">
        <f aca="false">F6*(1+G5/100)</f>
        <v>138563.665674945</v>
      </c>
      <c r="H6" s="0" t="n">
        <f aca="false">G6*(1+H5/100)</f>
        <v>140642.120660069</v>
      </c>
      <c r="I6" s="0" t="n">
        <f aca="false">H6*(1+I5/100)</f>
        <v>142751.75246997</v>
      </c>
      <c r="J6" s="0" t="n">
        <f aca="false">I6*(1+J5/100)</f>
        <v>144893.02875702</v>
      </c>
      <c r="K6" s="0" t="n">
        <f aca="false">J6*(1+K5/100)</f>
        <v>147066.424188375</v>
      </c>
      <c r="L6" s="0" t="n">
        <f aca="false">K6*(1+L5/100)</f>
        <v>149272.420551201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9.5</v>
      </c>
      <c r="D7" s="4" t="n">
        <f aca="false">Assumptions!D28</f>
        <v>7.5</v>
      </c>
      <c r="E7" s="4" t="n">
        <f aca="false">Assumptions!E28</f>
        <v>7</v>
      </c>
      <c r="F7" s="4" t="n">
        <f aca="false">Assumptions!F28</f>
        <v>6.8</v>
      </c>
      <c r="G7" s="4" t="n">
        <f aca="false">Assumptions!G28</f>
        <v>6.8</v>
      </c>
      <c r="H7" s="4" t="n">
        <f aca="false">Assumptions!H28</f>
        <v>6.8</v>
      </c>
      <c r="I7" s="4" t="n">
        <f aca="false">Assumptions!I28</f>
        <v>6.8</v>
      </c>
      <c r="J7" s="4" t="n">
        <f aca="false">Assumptions!J28</f>
        <v>6.8</v>
      </c>
      <c r="K7" s="4" t="n">
        <f aca="false">Assumptions!K28</f>
        <v>6.8</v>
      </c>
      <c r="L7" s="4" t="n">
        <f aca="false">Assumptions!L28</f>
        <v>6.8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12845.43355</v>
      </c>
      <c r="D8" s="0" t="n">
        <f aca="false">D6*D7/100</f>
        <v>9938.309115</v>
      </c>
      <c r="E8" s="0" t="n">
        <f aca="false">E6*E7/100</f>
        <v>9414.89150161</v>
      </c>
      <c r="F8" s="0" t="n">
        <f aca="false">F6*F7/100</f>
        <v>9283.08302058746</v>
      </c>
      <c r="G8" s="0" t="n">
        <f aca="false">G6*G7/100</f>
        <v>9422.32926589627</v>
      </c>
      <c r="H8" s="0" t="n">
        <f aca="false">H6*H7/100</f>
        <v>9563.66420488471</v>
      </c>
      <c r="I8" s="0" t="n">
        <f aca="false">I6*I7/100</f>
        <v>9707.11916795798</v>
      </c>
      <c r="J8" s="0" t="n">
        <f aca="false">J6*J7/100</f>
        <v>9852.72595547735</v>
      </c>
      <c r="K8" s="0" t="n">
        <f aca="false">K6*K7/100</f>
        <v>10000.5168448095</v>
      </c>
      <c r="L8" s="0" t="n">
        <f aca="false">L6*L7/100</f>
        <v>10150.5245974817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0.09</v>
      </c>
      <c r="D9" s="4" t="n">
        <f aca="false">Assumptions!D29</f>
        <v>0.09</v>
      </c>
      <c r="E9" s="4" t="n">
        <f aca="false">Assumptions!E29</f>
        <v>0.09</v>
      </c>
      <c r="F9" s="4" t="n">
        <f aca="false">Assumptions!F29</f>
        <v>0.09</v>
      </c>
      <c r="G9" s="4" t="n">
        <f aca="false">Assumptions!G29</f>
        <v>0.09</v>
      </c>
      <c r="H9" s="4" t="n">
        <f aca="false">Assumptions!H29</f>
        <v>0.09</v>
      </c>
      <c r="I9" s="4" t="n">
        <f aca="false">Assumptions!I29</f>
        <v>0.09</v>
      </c>
      <c r="J9" s="4" t="n">
        <f aca="false">Assumptions!J29</f>
        <v>0.09</v>
      </c>
      <c r="K9" s="4" t="n">
        <f aca="false">Assumptions!K29</f>
        <v>0.09</v>
      </c>
      <c r="L9" s="4" t="n">
        <f aca="false">Assumptions!L29</f>
        <v>0.09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-121.693581</v>
      </c>
      <c r="D10" s="0" t="n">
        <f aca="false">-D6*D9/100</f>
        <v>-119.25970938</v>
      </c>
      <c r="E10" s="0" t="n">
        <f aca="false">-E6*E9/100</f>
        <v>-121.0486050207</v>
      </c>
      <c r="F10" s="0" t="n">
        <f aca="false">-F6*F9/100</f>
        <v>-122.86433409601</v>
      </c>
      <c r="G10" s="0" t="n">
        <f aca="false">-G6*G9/100</f>
        <v>-124.707299107451</v>
      </c>
      <c r="H10" s="0" t="n">
        <f aca="false">-H6*H9/100</f>
        <v>-126.577908594062</v>
      </c>
      <c r="I10" s="0" t="n">
        <f aca="false">-I6*I9/100</f>
        <v>-128.476577222973</v>
      </c>
      <c r="J10" s="0" t="n">
        <f aca="false">-J6*J9/100</f>
        <v>-130.403725881318</v>
      </c>
      <c r="K10" s="0" t="n">
        <f aca="false">-K6*K9/100</f>
        <v>-132.359781769538</v>
      </c>
      <c r="L10" s="0" t="n">
        <f aca="false">-L6*L9/100</f>
        <v>-134.345178496081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12723.739969</v>
      </c>
      <c r="D11" s="0" t="n">
        <f aca="false">D8+D10+D24</f>
        <v>9819.04940562</v>
      </c>
      <c r="E11" s="0" t="n">
        <f aca="false">E8+E10+E24</f>
        <v>9293.8428965893</v>
      </c>
      <c r="F11" s="0" t="n">
        <f aca="false">F8+F10+F24</f>
        <v>9160.21868649145</v>
      </c>
      <c r="G11" s="0" t="n">
        <f aca="false">G8+G10+G24</f>
        <v>9297.62196678882</v>
      </c>
      <c r="H11" s="0" t="n">
        <f aca="false">H8+H10+H24</f>
        <v>9437.08629629065</v>
      </c>
      <c r="I11" s="0" t="n">
        <f aca="false">I8+I10+I24</f>
        <v>9578.64259073501</v>
      </c>
      <c r="J11" s="0" t="n">
        <f aca="false">J8+J10+J24</f>
        <v>9722.32222959603</v>
      </c>
      <c r="K11" s="0" t="n">
        <f aca="false">K8+K10+K24</f>
        <v>9868.15706303997</v>
      </c>
      <c r="L11" s="0" t="n">
        <f aca="false">L8+L10+L24</f>
        <v>10016.1794189856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-3109.94707</v>
      </c>
      <c r="D12" s="4" t="n">
        <f aca="false">-D6*Assumptions!D31/100</f>
        <v>-2981.4927345</v>
      </c>
      <c r="E12" s="4" t="n">
        <f aca="false">-E6*Assumptions!E31/100</f>
        <v>-2958.965900506</v>
      </c>
      <c r="F12" s="4" t="n">
        <f aca="false">-F6*Assumptions!F31/100</f>
        <v>-2935.09242562692</v>
      </c>
      <c r="G12" s="4" t="n">
        <f aca="false">-G6*Assumptions!G31/100</f>
        <v>-2909.83697917385</v>
      </c>
      <c r="H12" s="4" t="n">
        <f aca="false">-H6*Assumptions!H31/100</f>
        <v>-2883.16347353142</v>
      </c>
      <c r="I12" s="4" t="n">
        <f aca="false">-I6*Assumptions!I31/100</f>
        <v>-2855.03504939941</v>
      </c>
      <c r="J12" s="4" t="n">
        <f aca="false">-J6*Assumptions!J31/100</f>
        <v>-2897.8605751404</v>
      </c>
      <c r="K12" s="4" t="n">
        <f aca="false">-K6*Assumptions!K31/100</f>
        <v>-2941.3284837675</v>
      </c>
      <c r="L12" s="4" t="n">
        <f aca="false">-L6*Assumptions!L31/100</f>
        <v>-2985.44841102402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9613.792899</v>
      </c>
      <c r="D13" s="0" t="n">
        <f aca="false">D11+D12</f>
        <v>6837.55667112</v>
      </c>
      <c r="E13" s="0" t="n">
        <f aca="false">E11+E12</f>
        <v>6334.8769960833</v>
      </c>
      <c r="F13" s="0" t="n">
        <f aca="false">F11+F12</f>
        <v>6225.12626086453</v>
      </c>
      <c r="G13" s="0" t="n">
        <f aca="false">G11+G12</f>
        <v>6387.78498761497</v>
      </c>
      <c r="H13" s="0" t="n">
        <f aca="false">H11+H12</f>
        <v>6553.92282275923</v>
      </c>
      <c r="I13" s="0" t="n">
        <f aca="false">I11+I12</f>
        <v>6723.6075413356</v>
      </c>
      <c r="J13" s="0" t="n">
        <f aca="false">J11+J12</f>
        <v>6824.46165445564</v>
      </c>
      <c r="K13" s="0" t="n">
        <f aca="false">K11+K12</f>
        <v>6926.82857927247</v>
      </c>
      <c r="L13" s="0" t="n">
        <f aca="false">L11+L12</f>
        <v>7030.73100796156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7498.75846122</v>
      </c>
      <c r="D15" s="0" t="n">
        <f aca="false">D13-MAX(0,D13)*D14/100</f>
        <v>5333.2942034736</v>
      </c>
      <c r="E15" s="0" t="n">
        <f aca="false">E13-MAX(0,E13)*E14/100</f>
        <v>4941.20405694497</v>
      </c>
      <c r="F15" s="0" t="n">
        <f aca="false">F13-MAX(0,F13)*F14/100</f>
        <v>4855.59848347433</v>
      </c>
      <c r="G15" s="0" t="n">
        <f aca="false">G13-MAX(0,G13)*G14/100</f>
        <v>4982.47229033968</v>
      </c>
      <c r="H15" s="0" t="n">
        <f aca="false">H13-MAX(0,H13)*H14/100</f>
        <v>5112.0598017522</v>
      </c>
      <c r="I15" s="0" t="n">
        <f aca="false">I13-MAX(0,I13)*I14/100</f>
        <v>5244.41388224177</v>
      </c>
      <c r="J15" s="0" t="n">
        <f aca="false">J13-MAX(0,J13)*J14/100</f>
        <v>5323.0800904754</v>
      </c>
      <c r="K15" s="0" t="n">
        <f aca="false">K13-MAX(0,K13)*K14/100</f>
        <v>5402.92629183253</v>
      </c>
      <c r="L15" s="0" t="n">
        <f aca="false">L13-MAX(0,L13)*L14/100</f>
        <v>5483.97018621001</v>
      </c>
    </row>
    <row r="16" customFormat="false" ht="15" hidden="false" customHeight="false" outlineLevel="0" collapsed="false">
      <c r="A16" s="0" t="s">
        <v>129</v>
      </c>
      <c r="C16" s="0" t="n">
        <f aca="false">-C12</f>
        <v>3109.94707</v>
      </c>
      <c r="D16" s="0" t="n">
        <f aca="false">-D12</f>
        <v>2981.4927345</v>
      </c>
      <c r="E16" s="0" t="n">
        <f aca="false">-E12</f>
        <v>2958.965900506</v>
      </c>
      <c r="F16" s="0" t="n">
        <f aca="false">-F12</f>
        <v>2935.09242562692</v>
      </c>
      <c r="G16" s="0" t="n">
        <f aca="false">-G12</f>
        <v>2909.83697917385</v>
      </c>
      <c r="H16" s="0" t="n">
        <f aca="false">-H12</f>
        <v>2883.16347353142</v>
      </c>
      <c r="I16" s="0" t="n">
        <f aca="false">-I12</f>
        <v>2855.03504939941</v>
      </c>
      <c r="J16" s="0" t="n">
        <f aca="false">-J12</f>
        <v>2897.8605751404</v>
      </c>
      <c r="K16" s="0" t="n">
        <f aca="false">-K12</f>
        <v>2941.3284837675</v>
      </c>
      <c r="L16" s="0" t="n">
        <f aca="false">-L12</f>
        <v>2985.44841102402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-2231.048985</v>
      </c>
      <c r="D17" s="4" t="n">
        <f aca="false">-D6*Assumptions!D32/100</f>
        <v>-2252.6833994</v>
      </c>
      <c r="E17" s="4" t="n">
        <f aca="false">-E6*Assumptions!E32/100</f>
        <v>-2353.7228754025</v>
      </c>
      <c r="F17" s="4" t="n">
        <f aca="false">-F6*Assumptions!F32/100</f>
        <v>-2457.28668192021</v>
      </c>
      <c r="G17" s="4" t="n">
        <f aca="false">-G6*Assumptions!G32/100</f>
        <v>-2563.42781498648</v>
      </c>
      <c r="H17" s="4" t="n">
        <f aca="false">-H6*Assumptions!H32/100</f>
        <v>-2672.20029254132</v>
      </c>
      <c r="I17" s="4" t="n">
        <f aca="false">-I6*Assumptions!I32/100</f>
        <v>-2783.65917316442</v>
      </c>
      <c r="J17" s="4" t="n">
        <f aca="false">-J6*Assumptions!J32/100</f>
        <v>-2897.8605751404</v>
      </c>
      <c r="K17" s="4" t="n">
        <f aca="false">-K6*Assumptions!K32/100</f>
        <v>-2941.3284837675</v>
      </c>
      <c r="L17" s="4" t="n">
        <f aca="false">-L6*Assumptions!L32/100</f>
        <v>-2985.44841102402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125.4573</v>
      </c>
      <c r="D18" s="4" t="n">
        <f aca="false">(D6-C6)*Assumptions!$B$37/100</f>
        <v>81.1290540000005</v>
      </c>
      <c r="E18" s="4" t="n">
        <f aca="false">(E6-D6)*Assumptions!$B$37/100</f>
        <v>-59.6298546899992</v>
      </c>
      <c r="F18" s="4" t="n">
        <f aca="false">(F6-E6)*Assumptions!$B$37/100</f>
        <v>-60.52430251035</v>
      </c>
      <c r="G18" s="4" t="n">
        <f aca="false">(G6-F6)*Assumptions!$B$37/100</f>
        <v>-61.4321670480046</v>
      </c>
      <c r="H18" s="4" t="n">
        <f aca="false">(H6-G6)*Assumptions!$B$37/100</f>
        <v>-62.3536495537253</v>
      </c>
      <c r="I18" s="4" t="n">
        <f aca="false">(I6-H6)*Assumptions!$B$37/100</f>
        <v>-63.2889542970312</v>
      </c>
      <c r="J18" s="4" t="n">
        <f aca="false">(J6-I6)*Assumptions!$B$37/100</f>
        <v>-64.2382886114865</v>
      </c>
      <c r="K18" s="4" t="n">
        <f aca="false">(K6-J6)*Assumptions!$B$37/100</f>
        <v>-65.2018629406585</v>
      </c>
      <c r="L18" s="4" t="n">
        <f aca="false">(L6-K6)*Assumptions!$B$37/100</f>
        <v>-66.1798908847687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8503.11384622</v>
      </c>
      <c r="D19" s="0" t="n">
        <f aca="false">D15+D16+D17+D18</f>
        <v>6143.2325925736</v>
      </c>
      <c r="E19" s="0" t="n">
        <f aca="false">E15+E16+E17+E18</f>
        <v>5486.81722735847</v>
      </c>
      <c r="F19" s="0" t="n">
        <f aca="false">F15+F16+F17+F18</f>
        <v>5272.87992467069</v>
      </c>
      <c r="G19" s="0" t="n">
        <f aca="false">G15+G16+G17+G18</f>
        <v>5267.44928747903</v>
      </c>
      <c r="H19" s="0" t="n">
        <f aca="false">H15+H16+H17+H18</f>
        <v>5260.66933318858</v>
      </c>
      <c r="I19" s="0" t="n">
        <f aca="false">I15+I16+I17+I18</f>
        <v>5252.50080417972</v>
      </c>
      <c r="J19" s="0" t="n">
        <f aca="false">J15+J16+J17+J18</f>
        <v>5258.84180186391</v>
      </c>
      <c r="K19" s="0" t="n">
        <f aca="false">K15+K16+K17+K18</f>
        <v>5337.72442889187</v>
      </c>
      <c r="L19" s="0" t="n">
        <f aca="false">L15+L16+L17+L18</f>
        <v>5417.79029532525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7765.40077280365</v>
      </c>
      <c r="D21" s="0" t="n">
        <f aca="false">D19*D20</f>
        <v>5123.52335653852</v>
      </c>
      <c r="E21" s="0" t="n">
        <f aca="false">E19*E20</f>
        <v>4179.05547295113</v>
      </c>
      <c r="F21" s="0" t="n">
        <f aca="false">F19*F20</f>
        <v>3667.67972822688</v>
      </c>
      <c r="G21" s="0" t="n">
        <f aca="false">G19*G20</f>
        <v>3346.02951287591</v>
      </c>
      <c r="H21" s="0" t="n">
        <f aca="false">H19*H20</f>
        <v>3051.80155099659</v>
      </c>
      <c r="I21" s="0" t="n">
        <f aca="false">I19*I20</f>
        <v>2782.70580073825</v>
      </c>
      <c r="J21" s="0" t="n">
        <f aca="false">J19*J20</f>
        <v>2544.35176060356</v>
      </c>
      <c r="K21" s="0" t="n">
        <f aca="false">K19*K20</f>
        <v>2358.46304750011</v>
      </c>
      <c r="L21" s="0" t="n">
        <f aca="false">L19*L20</f>
        <v>2186.15524494302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11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37005.1662481776</v>
      </c>
    </row>
    <row r="31" customFormat="false" ht="15" hidden="false" customHeight="false" outlineLevel="0" collapsed="false">
      <c r="A31" s="0" t="s">
        <v>138</v>
      </c>
      <c r="B31" s="0" t="n">
        <f aca="false">L19</f>
        <v>5417.79029532525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68738.214371939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59595.6932485777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59595.6932485777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24047.7076943732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61052.8739425509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54310.8739425509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186.635305644505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-0.540646552683966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784.756170134459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687.791727810746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191.695607699299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40733.7566648528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114.886003920388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0</v>
      </c>
      <c r="D5" s="4" t="n">
        <f aca="false">Assumptions!D41</f>
        <v>1</v>
      </c>
      <c r="E5" s="4" t="n">
        <f aca="false">Assumptions!E41</f>
        <v>2</v>
      </c>
      <c r="F5" s="4" t="n">
        <f aca="false">Assumptions!F41</f>
        <v>2</v>
      </c>
      <c r="G5" s="4" t="n">
        <f aca="false">Assumptions!G41</f>
        <v>2</v>
      </c>
      <c r="H5" s="4" t="n">
        <f aca="false">Assumptions!H41</f>
        <v>2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139397</v>
      </c>
      <c r="C6" s="0" t="n">
        <f aca="false">B6*(1+C5/100)</f>
        <v>139397</v>
      </c>
      <c r="D6" s="0" t="n">
        <f aca="false">C6*(1+D5/100)</f>
        <v>140790.97</v>
      </c>
      <c r="E6" s="0" t="n">
        <f aca="false">D6*(1+E5/100)</f>
        <v>143606.7894</v>
      </c>
      <c r="F6" s="0" t="n">
        <f aca="false">E6*(1+F5/100)</f>
        <v>146478.925188</v>
      </c>
      <c r="G6" s="0" t="n">
        <f aca="false">F6*(1+G5/100)</f>
        <v>149408.50369176</v>
      </c>
      <c r="H6" s="0" t="n">
        <f aca="false">G6*(1+H5/100)</f>
        <v>152396.673765595</v>
      </c>
      <c r="I6" s="0" t="n">
        <f aca="false">H6*(1+I5/100)</f>
        <v>155444.607240907</v>
      </c>
      <c r="J6" s="0" t="n">
        <f aca="false">I6*(1+J5/100)</f>
        <v>158553.499385725</v>
      </c>
      <c r="K6" s="0" t="n">
        <f aca="false">J6*(1+K5/100)</f>
        <v>161724.56937344</v>
      </c>
      <c r="L6" s="0" t="n">
        <f aca="false">K6*(1+L5/100)</f>
        <v>164959.060760909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11.5</v>
      </c>
      <c r="D7" s="4" t="n">
        <f aca="false">Assumptions!D42</f>
        <v>10</v>
      </c>
      <c r="E7" s="4" t="n">
        <f aca="false">Assumptions!E42</f>
        <v>9</v>
      </c>
      <c r="F7" s="4" t="n">
        <f aca="false">Assumptions!F42</f>
        <v>8.5</v>
      </c>
      <c r="G7" s="4" t="n">
        <f aca="false">Assumptions!G42</f>
        <v>8.5</v>
      </c>
      <c r="H7" s="4" t="n">
        <f aca="false">Assumptions!H42</f>
        <v>8.5</v>
      </c>
      <c r="I7" s="4" t="n">
        <f aca="false">Assumptions!I42</f>
        <v>8.5</v>
      </c>
      <c r="J7" s="4" t="n">
        <f aca="false">Assumptions!J42</f>
        <v>8.5</v>
      </c>
      <c r="K7" s="4" t="n">
        <f aca="false">Assumptions!K42</f>
        <v>8.5</v>
      </c>
      <c r="L7" s="4" t="n">
        <f aca="false">Assumptions!L42</f>
        <v>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16030.655</v>
      </c>
      <c r="D8" s="0" t="n">
        <f aca="false">D6*D7/100</f>
        <v>14079.097</v>
      </c>
      <c r="E8" s="0" t="n">
        <f aca="false">E6*E7/100</f>
        <v>12924.611046</v>
      </c>
      <c r="F8" s="0" t="n">
        <f aca="false">F6*F7/100</f>
        <v>12450.70864098</v>
      </c>
      <c r="G8" s="0" t="n">
        <f aca="false">G6*G7/100</f>
        <v>12699.7228137996</v>
      </c>
      <c r="H8" s="0" t="n">
        <f aca="false">H6*H7/100</f>
        <v>12953.7172700756</v>
      </c>
      <c r="I8" s="0" t="n">
        <f aca="false">I6*I7/100</f>
        <v>13212.7916154771</v>
      </c>
      <c r="J8" s="0" t="n">
        <f aca="false">J6*J7/100</f>
        <v>13477.0474477867</v>
      </c>
      <c r="K8" s="0" t="n">
        <f aca="false">K6*K7/100</f>
        <v>13746.5883967424</v>
      </c>
      <c r="L8" s="0" t="n">
        <f aca="false">L6*L7/100</f>
        <v>14021.5201646772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0.09</v>
      </c>
      <c r="D9" s="4" t="n">
        <f aca="false">Assumptions!D43</f>
        <v>0.09</v>
      </c>
      <c r="E9" s="4" t="n">
        <f aca="false">Assumptions!E43</f>
        <v>0.09</v>
      </c>
      <c r="F9" s="4" t="n">
        <f aca="false">Assumptions!F43</f>
        <v>0.09</v>
      </c>
      <c r="G9" s="4" t="n">
        <f aca="false">Assumptions!G43</f>
        <v>0.09</v>
      </c>
      <c r="H9" s="4" t="n">
        <f aca="false">Assumptions!H43</f>
        <v>0.09</v>
      </c>
      <c r="I9" s="4" t="n">
        <f aca="false">Assumptions!I43</f>
        <v>0.09</v>
      </c>
      <c r="J9" s="4" t="n">
        <f aca="false">Assumptions!J43</f>
        <v>0.09</v>
      </c>
      <c r="K9" s="4" t="n">
        <f aca="false">Assumptions!K43</f>
        <v>0.09</v>
      </c>
      <c r="L9" s="4" t="n">
        <f aca="false">Assumptions!L43</f>
        <v>0.09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-125.4573</v>
      </c>
      <c r="D10" s="0" t="n">
        <f aca="false">-D6*D9/100</f>
        <v>-126.711873</v>
      </c>
      <c r="E10" s="0" t="n">
        <f aca="false">-E6*E9/100</f>
        <v>-129.24611046</v>
      </c>
      <c r="F10" s="0" t="n">
        <f aca="false">-F6*F9/100</f>
        <v>-131.8310326692</v>
      </c>
      <c r="G10" s="0" t="n">
        <f aca="false">-G6*G9/100</f>
        <v>-134.467653322584</v>
      </c>
      <c r="H10" s="0" t="n">
        <f aca="false">-H6*H9/100</f>
        <v>-137.157006389036</v>
      </c>
      <c r="I10" s="0" t="n">
        <f aca="false">-I6*I9/100</f>
        <v>-139.900146516816</v>
      </c>
      <c r="J10" s="0" t="n">
        <f aca="false">-J6*J9/100</f>
        <v>-142.698149447153</v>
      </c>
      <c r="K10" s="0" t="n">
        <f aca="false">-K6*K9/100</f>
        <v>-145.552112436096</v>
      </c>
      <c r="L10" s="0" t="n">
        <f aca="false">-L6*L9/100</f>
        <v>-148.463154684818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15905.1977</v>
      </c>
      <c r="D11" s="0" t="n">
        <f aca="false">D8+D10+D24</f>
        <v>13952.385127</v>
      </c>
      <c r="E11" s="0" t="n">
        <f aca="false">E8+E10+E24</f>
        <v>12795.36493554</v>
      </c>
      <c r="F11" s="0" t="n">
        <f aca="false">F8+F10+F24</f>
        <v>12318.8776083108</v>
      </c>
      <c r="G11" s="0" t="n">
        <f aca="false">G8+G10+G24</f>
        <v>12565.255160477</v>
      </c>
      <c r="H11" s="0" t="n">
        <f aca="false">H8+H10+H24</f>
        <v>12816.5602636866</v>
      </c>
      <c r="I11" s="0" t="n">
        <f aca="false">I8+I10+I24</f>
        <v>13072.8914689603</v>
      </c>
      <c r="J11" s="0" t="n">
        <f aca="false">J8+J10+J24</f>
        <v>13334.3492983395</v>
      </c>
      <c r="K11" s="0" t="n">
        <f aca="false">K8+K10+K24</f>
        <v>13601.0362843063</v>
      </c>
      <c r="L11" s="0" t="n">
        <f aca="false">L8+L10+L24</f>
        <v>13873.0570099924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-3206.131</v>
      </c>
      <c r="D12" s="4" t="n">
        <f aca="false">-D6*Assumptions!D45/100</f>
        <v>-3167.796825</v>
      </c>
      <c r="E12" s="4" t="n">
        <f aca="false">-E6*Assumptions!E45/100</f>
        <v>-3159.3493668</v>
      </c>
      <c r="F12" s="4" t="n">
        <f aca="false">-F6*Assumptions!F45/100</f>
        <v>-3149.296891542</v>
      </c>
      <c r="G12" s="4" t="n">
        <f aca="false">-G6*Assumptions!G45/100</f>
        <v>-3137.57857752696</v>
      </c>
      <c r="H12" s="4" t="n">
        <f aca="false">-H6*Assumptions!H45/100</f>
        <v>-3124.1318121947</v>
      </c>
      <c r="I12" s="4" t="n">
        <f aca="false">-I6*Assumptions!I45/100</f>
        <v>-3108.89214481814</v>
      </c>
      <c r="J12" s="4" t="n">
        <f aca="false">-J6*Assumptions!J45/100</f>
        <v>-3171.06998771451</v>
      </c>
      <c r="K12" s="4" t="n">
        <f aca="false">-K6*Assumptions!K45/100</f>
        <v>-3234.4913874688</v>
      </c>
      <c r="L12" s="4" t="n">
        <f aca="false">-L6*Assumptions!L45/100</f>
        <v>-3299.18121521817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12699.0667</v>
      </c>
      <c r="D13" s="0" t="n">
        <f aca="false">D11+D12</f>
        <v>10784.588302</v>
      </c>
      <c r="E13" s="0" t="n">
        <f aca="false">E11+E12</f>
        <v>9636.01556874</v>
      </c>
      <c r="F13" s="0" t="n">
        <f aca="false">F11+F12</f>
        <v>9169.5807167688</v>
      </c>
      <c r="G13" s="0" t="n">
        <f aca="false">G11+G12</f>
        <v>9427.67658295006</v>
      </c>
      <c r="H13" s="0" t="n">
        <f aca="false">H11+H12</f>
        <v>9692.42845149186</v>
      </c>
      <c r="I13" s="0" t="n">
        <f aca="false">I11+I12</f>
        <v>9963.99932414215</v>
      </c>
      <c r="J13" s="0" t="n">
        <f aca="false">J11+J12</f>
        <v>10163.279310625</v>
      </c>
      <c r="K13" s="0" t="n">
        <f aca="false">K11+K12</f>
        <v>10366.5448968375</v>
      </c>
      <c r="L13" s="0" t="n">
        <f aca="false">L11+L12</f>
        <v>10573.8757947742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22</v>
      </c>
      <c r="D14" s="4" t="n">
        <f aca="false">Assumptions!D47</f>
        <v>22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9905.272026</v>
      </c>
      <c r="D15" s="0" t="n">
        <f aca="false">D13-MAX(0,D13)*D14/100</f>
        <v>8411.97887556</v>
      </c>
      <c r="E15" s="0" t="n">
        <f aca="false">E13-MAX(0,E13)*E14/100</f>
        <v>7516.0921436172</v>
      </c>
      <c r="F15" s="0" t="n">
        <f aca="false">F13-MAX(0,F13)*F14/100</f>
        <v>7152.27295907966</v>
      </c>
      <c r="G15" s="0" t="n">
        <f aca="false">G13-MAX(0,G13)*G14/100</f>
        <v>7353.58773470105</v>
      </c>
      <c r="H15" s="0" t="n">
        <f aca="false">H13-MAX(0,H13)*H14/100</f>
        <v>7560.09419216365</v>
      </c>
      <c r="I15" s="0" t="n">
        <f aca="false">I13-MAX(0,I13)*I14/100</f>
        <v>7771.91947283088</v>
      </c>
      <c r="J15" s="0" t="n">
        <f aca="false">J13-MAX(0,J13)*J14/100</f>
        <v>7927.35786228749</v>
      </c>
      <c r="K15" s="0" t="n">
        <f aca="false">K13-MAX(0,K13)*K14/100</f>
        <v>8085.90501953324</v>
      </c>
      <c r="L15" s="0" t="n">
        <f aca="false">L13-MAX(0,L13)*L14/100</f>
        <v>8247.62311992391</v>
      </c>
    </row>
    <row r="16" customFormat="false" ht="15" hidden="false" customHeight="false" outlineLevel="0" collapsed="false">
      <c r="A16" s="0" t="s">
        <v>129</v>
      </c>
      <c r="C16" s="0" t="n">
        <f aca="false">-C12</f>
        <v>3206.131</v>
      </c>
      <c r="D16" s="0" t="n">
        <f aca="false">-D12</f>
        <v>3167.796825</v>
      </c>
      <c r="E16" s="0" t="n">
        <f aca="false">-E12</f>
        <v>3159.3493668</v>
      </c>
      <c r="F16" s="0" t="n">
        <f aca="false">-F12</f>
        <v>3149.296891542</v>
      </c>
      <c r="G16" s="0" t="n">
        <f aca="false">-G12</f>
        <v>3137.57857752696</v>
      </c>
      <c r="H16" s="0" t="n">
        <f aca="false">-H12</f>
        <v>3124.1318121947</v>
      </c>
      <c r="I16" s="0" t="n">
        <f aca="false">-I12</f>
        <v>3108.89214481814</v>
      </c>
      <c r="J16" s="0" t="n">
        <f aca="false">-J12</f>
        <v>3171.06998771451</v>
      </c>
      <c r="K16" s="0" t="n">
        <f aca="false">-K12</f>
        <v>3234.4913874688</v>
      </c>
      <c r="L16" s="0" t="n">
        <f aca="false">-L12</f>
        <v>3299.18121521817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-2300.0505</v>
      </c>
      <c r="D17" s="4" t="n">
        <f aca="false">-D6*Assumptions!D46/100</f>
        <v>-2393.44649</v>
      </c>
      <c r="E17" s="4" t="n">
        <f aca="false">-E6*Assumptions!E46/100</f>
        <v>-2513.1188145</v>
      </c>
      <c r="F17" s="4" t="n">
        <f aca="false">-F6*Assumptions!F46/100</f>
        <v>-2636.620653384</v>
      </c>
      <c r="G17" s="4" t="n">
        <f aca="false">-G6*Assumptions!G46/100</f>
        <v>-2764.05731829756</v>
      </c>
      <c r="H17" s="4" t="n">
        <f aca="false">-H6*Assumptions!H46/100</f>
        <v>-2895.53680154631</v>
      </c>
      <c r="I17" s="4" t="n">
        <f aca="false">-I6*Assumptions!I46/100</f>
        <v>-3031.16984119769</v>
      </c>
      <c r="J17" s="4" t="n">
        <f aca="false">-J6*Assumptions!J46/100</f>
        <v>-3171.06998771451</v>
      </c>
      <c r="K17" s="4" t="n">
        <f aca="false">-K6*Assumptions!K46/100</f>
        <v>-3234.4913874688</v>
      </c>
      <c r="L17" s="4" t="n">
        <f aca="false">-L6*Assumptions!L46/100</f>
        <v>-3299.18121521817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-0</v>
      </c>
      <c r="D18" s="4" t="n">
        <f aca="false">(D6-C6)*Assumptions!$B$51/100</f>
        <v>-41.8191</v>
      </c>
      <c r="E18" s="4" t="n">
        <f aca="false">(E6-D6)*Assumptions!$B$51/100</f>
        <v>-84.4745820000002</v>
      </c>
      <c r="F18" s="4" t="n">
        <f aca="false">(F6-E6)*Assumptions!$B$51/100</f>
        <v>-86.1640736400004</v>
      </c>
      <c r="G18" s="4" t="n">
        <f aca="false">(G6-F6)*Assumptions!$B$51/100</f>
        <v>-87.8873551128004</v>
      </c>
      <c r="H18" s="4" t="n">
        <f aca="false">(H6-G6)*Assumptions!$B$51/100</f>
        <v>-89.6451022150563</v>
      </c>
      <c r="I18" s="4" t="n">
        <f aca="false">(I6-H6)*Assumptions!$B$51/100</f>
        <v>-91.4380042593571</v>
      </c>
      <c r="J18" s="4" t="n">
        <f aca="false">(J6-I6)*Assumptions!$B$51/100</f>
        <v>-93.2667643445445</v>
      </c>
      <c r="K18" s="4" t="n">
        <f aca="false">(K6-J6)*Assumptions!$B$51/100</f>
        <v>-95.1320996314348</v>
      </c>
      <c r="L18" s="4" t="n">
        <f aca="false">(L6-K6)*Assumptions!$B$51/100</f>
        <v>-97.0347416240638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10811.352526</v>
      </c>
      <c r="D19" s="0" t="n">
        <f aca="false">D15+D16+D17+D18</f>
        <v>9144.51011056</v>
      </c>
      <c r="E19" s="0" t="n">
        <f aca="false">E15+E16+E17+E18</f>
        <v>8077.8481139172</v>
      </c>
      <c r="F19" s="0" t="n">
        <f aca="false">F15+F16+F17+F18</f>
        <v>7578.78512359766</v>
      </c>
      <c r="G19" s="0" t="n">
        <f aca="false">G15+G16+G17+G18</f>
        <v>7639.22163881765</v>
      </c>
      <c r="H19" s="0" t="n">
        <f aca="false">H15+H16+H17+H18</f>
        <v>7699.04410059698</v>
      </c>
      <c r="I19" s="0" t="n">
        <f aca="false">I15+I16+I17+I18</f>
        <v>7758.20377219197</v>
      </c>
      <c r="J19" s="0" t="n">
        <f aca="false">J15+J16+J17+J18</f>
        <v>7834.09109794295</v>
      </c>
      <c r="K19" s="0" t="n">
        <f aca="false">K15+K16+K17+K18</f>
        <v>7990.77291990181</v>
      </c>
      <c r="L19" s="0" t="n">
        <f aca="false">L15+L16+L17+L18</f>
        <v>8150.58837829984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9873.38130228311</v>
      </c>
      <c r="D21" s="0" t="n">
        <f aca="false">D19*D20</f>
        <v>7626.62172228269</v>
      </c>
      <c r="E21" s="0" t="n">
        <f aca="false">E19*E20</f>
        <v>6152.52412670318</v>
      </c>
      <c r="F21" s="0" t="n">
        <f aca="false">F19*F20</f>
        <v>5271.60810781075</v>
      </c>
      <c r="G21" s="0" t="n">
        <f aca="false">G19*G20</f>
        <v>4852.64492619681</v>
      </c>
      <c r="H21" s="0" t="n">
        <f aca="false">H19*H20</f>
        <v>4466.34320449709</v>
      </c>
      <c r="I21" s="0" t="n">
        <f aca="false">I19*I20</f>
        <v>4110.1942569925</v>
      </c>
      <c r="J21" s="0" t="n">
        <f aca="false">J19*J20</f>
        <v>3790.31814014923</v>
      </c>
      <c r="K21" s="0" t="n">
        <f aca="false">K19*K20</f>
        <v>3530.70730863216</v>
      </c>
      <c r="L21" s="0" t="n">
        <f aca="false">L19*L20</f>
        <v>3288.87804091763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52963.2211364651</v>
      </c>
    </row>
    <row r="31" customFormat="false" ht="15" hidden="false" customHeight="false" outlineLevel="0" collapsed="false">
      <c r="A31" s="0" t="s">
        <v>138</v>
      </c>
      <c r="B31" s="0" t="n">
        <f aca="false">L19</f>
        <v>8150.58837829984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110848.001944878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97807.0605395981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97807.0605395981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39466.5364910116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92429.7576274767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85687.7576274767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294.459648204387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-0.275265448672441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842.752564359891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814.735052078466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300.155481937852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63950.7703528142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178.406210524275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83.0074412747544</v>
      </c>
      <c r="C4" s="0" t="n">
        <f aca="false">B4/Assumptions!$B$2-1</f>
        <v>-0.79569913543009</v>
      </c>
      <c r="D4" s="4" t="n">
        <f aca="false">Assumptions!$B$24</f>
        <v>0.25</v>
      </c>
      <c r="E4" s="4" t="n">
        <f aca="false">DCF_Bear!$B$43</f>
        <v>86.8564384575422</v>
      </c>
      <c r="F4" s="4" t="n">
        <f aca="false">DCF_Bear!$B$47</f>
        <v>52.2869490056984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186.635305644505</v>
      </c>
      <c r="C5" s="0" t="n">
        <f aca="false">B5/Assumptions!$B$2-1</f>
        <v>-0.540646552683966</v>
      </c>
      <c r="D5" s="4" t="n">
        <f aca="false">Assumptions!$B$38</f>
        <v>0.5</v>
      </c>
      <c r="E5" s="4" t="n">
        <f aca="false">DCF_Base!$B$43</f>
        <v>191.695607699299</v>
      </c>
      <c r="F5" s="4" t="n">
        <f aca="false">DCF_Base!$B$47</f>
        <v>114.886003920388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294.459648204387</v>
      </c>
      <c r="C6" s="0" t="n">
        <f aca="false">B6/Assumptions!$B$2-1</f>
        <v>-0.275265448672441</v>
      </c>
      <c r="D6" s="4" t="n">
        <f aca="false">Assumptions!$B$52</f>
        <v>0.25</v>
      </c>
      <c r="E6" s="4" t="n">
        <f aca="false">DCF_Bull!$B$43</f>
        <v>300.155481937852</v>
      </c>
      <c r="F6" s="4" t="n">
        <f aca="false">DCF_Bull!$B$47</f>
        <v>178.406210524275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187.684425192038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192.600783948498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-1.16480402987236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4446.6969486448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115.116291842687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193.109079822698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186.635305644505</v>
      </c>
      <c r="C16" s="3" t="n">
        <v>9.5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180.436401687129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166.738897776807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150.135600069931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114.886003920388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214.328005077905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214.328005077905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214.328005077905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214.328005077905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214.328005077905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199.872133191231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199.872133191231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199.872133191231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199.872133191231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199.872133191231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186.635305644505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186.635305644505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186.635305644505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186.635305644505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186.635305644505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167.982020717588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171.971489754706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174.498755208085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174.498755208085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174.498755208085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151.673821780572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154.699644054995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158.028048556861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161.706811427343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163.35648087599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2026-10-02T21:34:16Z</dcterms:created>
  <dc:creator>openpyxl</dc:creator>
  <dc:description/>
  <dc:language>en-NZ</dc:language>
  <cp:lastModifiedBy/>
  <dcterms:modified xsi:type="dcterms:W3CDTF">2026-10-02T21:34:16Z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