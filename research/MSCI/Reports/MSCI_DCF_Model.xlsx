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<sst xmlns="http://schemas.openxmlformats.org/spreadsheetml/2006/main" count="383" uniqueCount="172">
  <si>
    <t xml:space="preserve">Ticker</t>
  </si>
  <si>
    <t xml:space="preserve">MSCI</t>
  </si>
  <si>
    <t xml:space="preserve">Company</t>
  </si>
  <si>
    <t xml:space="preserve">MSCI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</si>
  <si>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</si>
  <si>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</si>
  <si>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</si>
  <si>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</si>
  <si>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</si>
  <si>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</si>
  <si>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</si>
  <si>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</si>
  <si>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</si>
  <si>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</si>
  <si>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</si>
  <si>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</si>
  <si>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</si>
  <si>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</si>
  <si>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</si>
  <si>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</si>
  <si>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</si>
  <si>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2026-10-02T02:26:30Z</t>
  </si>
  <si>
    <t xml:space="preserve">Drivers file</t>
  </si>
  <si>
    <t xml:space="preserve">MSCI_Drivers.json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</si>
  <si>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</si>
  <si>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</si>
  <si>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</si>
  <si>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MSCI is valued as an asset-light compounder on fully SBC-expensed owner FCF, with equity-award tax withholding counted as part of the compensation cost and capitalized software counted as capex (both omitted by the CSV FCF line). The share count is held flat and $6.0B of net debt is deducted; the debt-funded buyback that drove book equity negative is capital structure, not a going-concern issue. The house value is well below the market price: at $545 the market is paying roughly a 7% forward return on the base path, which is the premium a 95%-retention index franchise with secular passive tailwinds has commanded for a decade. The street basis (SBC treated as non-cash) and the required-return table show what return the current price actually implies.
key_risks_to_valuation: Asset-based fees (over half of Index revenue) fall with global equity markets; a 25% drawdown in MSCI-linked ETF AUM is the bear-case trigger; Fee-rate compression from BlackRock and other concentrated ETF sponsors as their AUM scales; Sustainability &amp; Climate segment stall (3% growth) becoming a decline under US political backlash and EU ESG Rating Regulation (July 2026) compliance costs; Debt-funded buybacks at ~$557/share average above the house intrinsic value transfer value from remaining holders if the shares are overpriced; $6.4B gross debt refinances at higher coupons; Combined SBC plus vest-date tax withholding is 5.4% of revenue and lumpy with the share price; the valuation is ~$45/share more sensitive to SBC treatment than the headline suggests (see street basis); Terminal value is the majority of enterprise value; each 1pp of WACC moves the base value by roughly 15-20%</t>
  </si>
  <si>
    <t xml:space="preserve">Data sources</t>
  </si>
  <si>
    <t xml:space="preserve">price: Yahoo Finance chart API regular close at inputs.price_as_of; 52-week range 501.08-644.77
financials: SEC XBRL companyfacts (CIK 1408198) via the DB-first pipeline: MSCI_Metrics.csv / core_metrics for FY2008-H1 2026; FY2025 10-K and Q2-2026 10-Q for D&amp;A split (Depreciation, AmortizationOfIntangibleAssets), PaymentsForSoftware, AdjustmentsRelatedToTaxWithholdingForShareBasedCompensation, InterestPaidNet, IncomeTaxesPaidNet, LongTermDebt, WeightedAverageNumberOfDilutedSharesOutstanding and dei:EntityCommonStockSharesOutstanding
qualitative: MSCI_Analysis.json (2026-10-02): segment mix, Q2-2026 results and FY2026 guidance (adj-EBITDA expense $1,340-1,370M, FCF $1,485-1,545M, S&amp;C net new sales flat to slightly negative), bull/bear axes</t>
  </si>
  <si>
    <t xml:space="preserve">Scenario narrative: bear</t>
  </si>
  <si>
    <t xml:space="preserve">Equity bear market shrinks ETF AUM and asset-based fees, large clients renegotiate fee rates, ESG stalls under political and regulatory pressure and rivals take custom-index share. Two years of 2-4% growth, margin trough at 62%, recovery to mid-single-digit growth; terminal growth 2.5%, cap 18x.</t>
  </si>
  <si>
    <t xml:space="preserve">Scenario narrative: base</t>
  </si>
  <si>
    <t xml:space="preserve">Asset-based fees keep growing with the passive shift but decelerate from +25% run-rate growth; subscription retention holds ~95%; Sustainability &amp; Climate stays flat; Private Assets grows but stays &lt;10% of revenue. Revenue growth 12% fading to 4.5% over ten years, pre-SBC EBITDA margin 64.8% -&gt; 67.5%, combined SBC+withholding 5.4% -&gt; 4.5% of revenue, capex incl. software ~4%, cash tax 19% -&gt; 21%, 9% WACC, 3% terminal growth (Gordon 17.2x binds below the 20x cap).</t>
  </si>
  <si>
    <t xml:space="preserve">Scenario narrative: bull</t>
  </si>
  <si>
    <t xml:space="preserve">Secular passive flows plus non-US ETF adoption, custom/direct indexing, Private Capital Solutions scaling and AI-driven pricing hold growth at 11-13.5% through year 5 and push the pre-SBC margin to 70%. Terminal growth 3.5% (Gordon 18.8x, under the 20x cap).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</si>
  <si>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</si>
  <si>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</si>
  <si>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</si>
  <si>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</si>
  <si>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</si>
  <si>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</si>
  <si>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</si>
  <si>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</si>
  <si>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</si>
  <si>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</si>
  <si>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</si>
  <si>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</si>
  <si>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</si>
  <si>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</si>
  <si>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</si>
  <si>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</si>
  <si>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</si>
  <si>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</si>
  <si>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</si>
  <si>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</si>
  <si>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</si>
  <si>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</si>
  <si>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</si>
  <si>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</si>
  <si>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</si>
  <si>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</si>
  <si>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</si>
  <si>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</si>
  <si>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</si>
  <si>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</si>
  <si>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</si>
  <si>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</si>
  <si>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</si>
  <si>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</si>
  <si>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</si>
  <si>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</si>
  <si>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</si>
  <si>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</si>
  <si>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</si>
  <si>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</si>
  <si>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</si>
  <si>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</si>
  <si>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</si>
  <si>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</si>
  <si>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</si>
  <si>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</si>
  <si>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</si>
  <si>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</si>
  <si>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</si>
  <si>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</si>
  <si>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</si>
  <si>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</si>
  <si>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</si>
  <si>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</si>
  <si>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</si>
  <si>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</si>
  <si>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</si>
  <si>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</si>
  <si>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</si>
  <si>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</si>
  <si>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</si>
  <si>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</si>
  <si>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</si>
  <si>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</si>
  <si>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</si>
  <si>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</si>
  <si>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</si>
  <si>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</si>
  <si>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</si>
  <si>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</si>
  <si>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</si>
  <si>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</si>
  <si>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</si>
  <si>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</si>
  <si>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</si>
  <si>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</si>
  <si>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</si>
  <si>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</si>
  <si>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</si>
  <si>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</si>
  <si>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</si>
  <si>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</si>
  <si>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MSCI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</si>
  <si>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</si>
  <si>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</si>
  <si>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</si>
  <si>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</si>
  <si>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</si>
  <si>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</si>
  <si>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</si>
  <si>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</si>
  <si>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</si>
  <si>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</si>
  <si>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</si>
  <si>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</si>
  <si>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</si>
  <si>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</si>
  <si>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</si>
  <si>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</si>
  <si>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</si>
  <si>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</si>
  <si>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</si>
  <si>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</si>
  <si>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</si>
  <si>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</si>
  <si>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</si>
  <si>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</si>
  <si>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</si>
  <si>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</si>
  <si>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</si>
  <si>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</si>
  <si>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</si>
  <si>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</si>
  <si>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MSCI owner-FCF component DCF: base case (millions, USD)</t>
  </si>
  <si>
    <t xml:space="preserve">MSCI owner-FCF component DCF: bull case (millions, USD)</t>
  </si>
  <si>
    <t xml:space="preserve">MSCI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</si>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</sst>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545.39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430.961</v>
      </c>
      <c r="F2" s="0" t="n">
        <v>135.79</v>
      </c>
      <c r="G2" s="0" t="n">
        <v>31.5086515949239</v>
      </c>
      <c r="H2" s="0" t="n">
        <v>140.76</v>
      </c>
      <c r="I2" s="0" t="n">
        <v>68.268</v>
      </c>
      <c r="J2" s="0" t="n">
        <v>15.8408765526347</v>
      </c>
      <c r="K2" s="0" t="n">
        <v>0.66</v>
      </c>
      <c r="L2" s="0" t="n">
        <v>155.081</v>
      </c>
      <c r="M2" s="0" t="n">
        <v>25.556</v>
      </c>
      <c r="N2" s="0" t="n">
        <v>129.525</v>
      </c>
      <c r="T2" s="0" t="n">
        <v>100.281</v>
      </c>
      <c r="U2" s="0" t="n">
        <v>30.338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442.948</v>
      </c>
      <c r="F3" s="0" t="n">
        <v>150.992</v>
      </c>
      <c r="G3" s="0" t="n">
        <v>34.0879742091623</v>
      </c>
      <c r="H3" s="0" t="n">
        <v>188.503</v>
      </c>
      <c r="I3" s="0" t="n">
        <v>81.801</v>
      </c>
      <c r="J3" s="0" t="n">
        <v>18.4674047517993</v>
      </c>
      <c r="K3" s="0" t="n">
        <v>0.8</v>
      </c>
      <c r="L3" s="0" t="n">
        <v>130.942</v>
      </c>
      <c r="M3" s="0" t="n">
        <v>13.412</v>
      </c>
      <c r="N3" s="0" t="n">
        <v>117.53</v>
      </c>
      <c r="S3" s="0" t="n">
        <v>226.575</v>
      </c>
      <c r="T3" s="0" t="n">
        <v>100.86</v>
      </c>
      <c r="U3" s="0" t="n">
        <v>35.161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662.901</v>
      </c>
      <c r="F4" s="0" t="n">
        <v>206.123</v>
      </c>
      <c r="G4" s="0" t="n">
        <v>31.0940849387767</v>
      </c>
      <c r="H4" s="0" t="n">
        <v>265.135</v>
      </c>
      <c r="I4" s="0" t="n">
        <v>92.17</v>
      </c>
      <c r="J4" s="0" t="n">
        <v>13.9040369527275</v>
      </c>
      <c r="K4" s="0" t="n">
        <v>0.82</v>
      </c>
      <c r="L4" s="0" t="n">
        <v>183.354</v>
      </c>
      <c r="M4" s="0" t="n">
        <v>13.19</v>
      </c>
      <c r="N4" s="0" t="n">
        <v>170.164</v>
      </c>
      <c r="O4" s="0" t="n">
        <v>1102.17</v>
      </c>
      <c r="P4" s="0" t="n">
        <v>3057.481</v>
      </c>
      <c r="Q4" s="0" t="n">
        <v>1955.311</v>
      </c>
      <c r="R4" s="0" t="n">
        <v>1262.898</v>
      </c>
      <c r="S4" s="0" t="n">
        <v>269.423</v>
      </c>
      <c r="T4" s="0" t="n">
        <v>113.357</v>
      </c>
      <c r="U4" s="0" t="n">
        <v>32.285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900.941</v>
      </c>
      <c r="F5" s="0" t="n">
        <v>321.998</v>
      </c>
      <c r="G5" s="0" t="n">
        <v>35.7401872042675</v>
      </c>
      <c r="H5" s="0" t="n">
        <v>407.228</v>
      </c>
      <c r="I5" s="0" t="n">
        <v>173.454</v>
      </c>
      <c r="J5" s="0" t="n">
        <v>19.252537069575</v>
      </c>
      <c r="K5" s="0" t="n">
        <v>1.43</v>
      </c>
      <c r="L5" s="0" t="n">
        <v>254.997</v>
      </c>
      <c r="M5" s="0" t="n">
        <v>23.111</v>
      </c>
      <c r="N5" s="0" t="n">
        <v>231.886</v>
      </c>
      <c r="O5" s="0" t="n">
        <v>1294.151</v>
      </c>
      <c r="P5" s="0" t="n">
        <v>3092.996</v>
      </c>
      <c r="Q5" s="0" t="n">
        <v>1787.564</v>
      </c>
      <c r="R5" s="0" t="n">
        <v>1076.887</v>
      </c>
      <c r="S5" s="0" t="n">
        <v>252.211</v>
      </c>
      <c r="T5" s="0" t="n">
        <v>122.276</v>
      </c>
      <c r="U5" s="0" t="n">
        <v>31.723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826.99</v>
      </c>
      <c r="F6" s="0" t="n">
        <v>318.235</v>
      </c>
      <c r="G6" s="0" t="n">
        <v>38.4811182722887</v>
      </c>
      <c r="H6" s="0" t="n">
        <v>400.233</v>
      </c>
      <c r="I6" s="0" t="n">
        <v>184.238</v>
      </c>
      <c r="J6" s="0" t="n">
        <v>22.2781412108974</v>
      </c>
      <c r="K6" s="0" t="n">
        <v>1.5</v>
      </c>
      <c r="L6" s="0" t="n">
        <v>347.075</v>
      </c>
      <c r="M6" s="0" t="n">
        <v>44.884</v>
      </c>
      <c r="N6" s="0" t="n">
        <v>302.191</v>
      </c>
      <c r="O6" s="0" t="n">
        <v>1413.95</v>
      </c>
      <c r="P6" s="0" t="n">
        <v>3019.639</v>
      </c>
      <c r="Q6" s="0" t="n">
        <v>1594.408</v>
      </c>
      <c r="R6" s="0" t="n">
        <v>854.716</v>
      </c>
      <c r="S6" s="0" t="n">
        <v>183.309</v>
      </c>
      <c r="T6" s="0" t="n">
        <v>120.114586</v>
      </c>
      <c r="U6" s="0" t="n">
        <v>25.323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913.364</v>
      </c>
      <c r="C7" s="0" t="n">
        <v>240.697</v>
      </c>
      <c r="F7" s="0" t="n">
        <v>340.331</v>
      </c>
      <c r="G7" s="0" t="n">
        <v>37.2612671399355</v>
      </c>
      <c r="H7" s="0" t="n">
        <v>420.836</v>
      </c>
      <c r="I7" s="0" t="n">
        <v>222.557</v>
      </c>
      <c r="J7" s="0" t="n">
        <v>24.3667365913261</v>
      </c>
      <c r="K7" s="0" t="n">
        <v>1.85</v>
      </c>
      <c r="L7" s="0" t="n">
        <v>321.183</v>
      </c>
      <c r="M7" s="0" t="n">
        <v>40.255</v>
      </c>
      <c r="N7" s="0" t="n">
        <v>280.928</v>
      </c>
      <c r="O7" s="0" t="n">
        <v>1564.347</v>
      </c>
      <c r="P7" s="0" t="n">
        <v>3136.115</v>
      </c>
      <c r="Q7" s="0" t="n">
        <v>1571.768</v>
      </c>
      <c r="R7" s="0" t="n">
        <v>807.782</v>
      </c>
      <c r="S7" s="0" t="n">
        <v>358.434</v>
      </c>
      <c r="T7" s="0" t="n">
        <v>118.083111</v>
      </c>
      <c r="U7" s="0" t="n">
        <v>25.004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996.68</v>
      </c>
      <c r="C8" s="0" t="n">
        <v>276.623</v>
      </c>
      <c r="F8" s="0" t="n">
        <v>337.166</v>
      </c>
      <c r="G8" s="0" t="n">
        <v>33.8289119877995</v>
      </c>
      <c r="H8" s="0" t="n">
        <v>363.096</v>
      </c>
      <c r="I8" s="0" t="n">
        <v>284.113</v>
      </c>
      <c r="J8" s="0" t="n">
        <v>28.50593971987</v>
      </c>
      <c r="K8" s="0" t="n">
        <v>2.45</v>
      </c>
      <c r="L8" s="0" t="n">
        <v>305.673</v>
      </c>
      <c r="M8" s="0" t="n">
        <v>42.659</v>
      </c>
      <c r="N8" s="0" t="n">
        <v>263.014</v>
      </c>
      <c r="O8" s="0" t="n">
        <v>1432.833</v>
      </c>
      <c r="P8" s="0" t="n">
        <v>2882.533</v>
      </c>
      <c r="Q8" s="0" t="n">
        <v>1449.7</v>
      </c>
      <c r="R8" s="0" t="n">
        <v>788.358</v>
      </c>
      <c r="S8" s="0" t="n">
        <v>508.799</v>
      </c>
      <c r="T8" s="0" t="n">
        <v>112.072469</v>
      </c>
      <c r="U8" s="0" t="n">
        <v>26.585</v>
      </c>
      <c r="V8" s="0" t="n">
        <v>0.18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1075.013</v>
      </c>
      <c r="C9" s="0" t="n">
        <v>267.695</v>
      </c>
      <c r="F9" s="0" t="n">
        <v>403.898</v>
      </c>
      <c r="G9" s="0" t="n">
        <v>37.5714526242939</v>
      </c>
      <c r="H9" s="0" t="n">
        <v>434.787</v>
      </c>
      <c r="I9" s="0" t="n">
        <v>223.648</v>
      </c>
      <c r="J9" s="0" t="n">
        <v>20.804213530441</v>
      </c>
      <c r="K9" s="0" t="n">
        <v>2.05</v>
      </c>
      <c r="L9" s="0" t="n">
        <v>321.247</v>
      </c>
      <c r="M9" s="0" t="n">
        <v>40.652</v>
      </c>
      <c r="N9" s="0" t="n">
        <v>280.595</v>
      </c>
      <c r="O9" s="0" t="n">
        <v>901.487</v>
      </c>
      <c r="P9" s="0" t="n">
        <v>3146.987</v>
      </c>
      <c r="Q9" s="0" t="n">
        <v>2245.5</v>
      </c>
      <c r="R9" s="0" t="n">
        <v>1579.404</v>
      </c>
      <c r="S9" s="0" t="n">
        <v>777.706</v>
      </c>
      <c r="T9" s="0" t="n">
        <v>109.926</v>
      </c>
      <c r="U9" s="0" t="n">
        <v>28.558</v>
      </c>
      <c r="V9" s="0" t="n">
        <v>0.8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1150.669</v>
      </c>
      <c r="C10" s="0" t="n">
        <v>252.107</v>
      </c>
      <c r="F10" s="0" t="n">
        <v>488.104</v>
      </c>
      <c r="G10" s="0" t="n">
        <v>42.4191492079825</v>
      </c>
      <c r="H10" s="0" t="n">
        <v>522.424</v>
      </c>
      <c r="I10" s="0" t="n">
        <v>260.855</v>
      </c>
      <c r="J10" s="0" t="n">
        <v>22.6698555362142</v>
      </c>
      <c r="K10" s="0" t="n">
        <v>2.72</v>
      </c>
      <c r="L10" s="0" t="n">
        <v>442.363</v>
      </c>
      <c r="M10" s="0" t="n">
        <v>32.284</v>
      </c>
      <c r="N10" s="0" t="n">
        <v>410.079</v>
      </c>
      <c r="O10" s="0" t="n">
        <v>317.605</v>
      </c>
      <c r="P10" s="0" t="n">
        <v>3082.578</v>
      </c>
      <c r="Q10" s="0" t="n">
        <v>2764.973</v>
      </c>
      <c r="R10" s="0" t="n">
        <v>2075.201</v>
      </c>
      <c r="S10" s="0" t="n">
        <v>791.834</v>
      </c>
      <c r="T10" s="0" t="n">
        <v>96.54</v>
      </c>
      <c r="U10" s="0" t="n">
        <v>32.525</v>
      </c>
      <c r="V10" s="0" t="n">
        <v>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1274.172</v>
      </c>
      <c r="C11" s="0" t="n">
        <v>273.681</v>
      </c>
      <c r="F11" s="0" t="n">
        <v>579.77</v>
      </c>
      <c r="G11" s="0" t="n">
        <v>45.5017062060695</v>
      </c>
      <c r="H11" s="0" t="n">
        <v>615.21</v>
      </c>
      <c r="I11" s="0" t="n">
        <v>303.972</v>
      </c>
      <c r="J11" s="0" t="n">
        <v>23.8564338252606</v>
      </c>
      <c r="K11" s="0" t="n">
        <v>3.36</v>
      </c>
      <c r="L11" s="0" t="n">
        <v>404.158</v>
      </c>
      <c r="M11" s="0" t="n">
        <v>33.177</v>
      </c>
      <c r="N11" s="0" t="n">
        <v>370.981</v>
      </c>
      <c r="O11" s="0" t="n">
        <v>401.012</v>
      </c>
      <c r="P11" s="0" t="n">
        <v>3275.668</v>
      </c>
      <c r="Q11" s="0" t="n">
        <v>2874.656</v>
      </c>
      <c r="R11" s="0" t="n">
        <v>2078.093</v>
      </c>
      <c r="S11" s="0" t="n">
        <v>889.502</v>
      </c>
      <c r="T11" s="0" t="n">
        <v>91.914</v>
      </c>
      <c r="U11" s="0" t="n">
        <v>37.921</v>
      </c>
      <c r="V11" s="0" t="n">
        <v>1.32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1433.984</v>
      </c>
      <c r="C12" s="0" t="n">
        <v>287.335</v>
      </c>
      <c r="F12" s="0" t="n">
        <v>686.898</v>
      </c>
      <c r="G12" s="0" t="n">
        <v>47.9013712844774</v>
      </c>
      <c r="H12" s="0" t="n">
        <v>718.244</v>
      </c>
      <c r="I12" s="0" t="n">
        <v>507.885</v>
      </c>
      <c r="J12" s="0" t="n">
        <v>35.4177591939659</v>
      </c>
      <c r="K12" s="0" t="n">
        <v>5.83</v>
      </c>
      <c r="L12" s="0" t="n">
        <v>612.762</v>
      </c>
      <c r="M12" s="0" t="n">
        <v>30.257</v>
      </c>
      <c r="N12" s="0" t="n">
        <v>582.505</v>
      </c>
      <c r="O12" s="0" t="n">
        <v>-166.494</v>
      </c>
      <c r="P12" s="0" t="n">
        <v>3387.952</v>
      </c>
      <c r="Q12" s="0" t="n">
        <v>3554.446</v>
      </c>
      <c r="R12" s="0" t="n">
        <v>2575.502</v>
      </c>
      <c r="S12" s="0" t="n">
        <v>904.176</v>
      </c>
      <c r="T12" s="0" t="n">
        <v>89.701</v>
      </c>
      <c r="U12" s="0" t="n">
        <v>40.563</v>
      </c>
      <c r="V12" s="0" t="n">
        <v>1.92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1557.796</v>
      </c>
      <c r="C13" s="0" t="n">
        <v>294.961</v>
      </c>
      <c r="F13" s="0" t="n">
        <v>755.701</v>
      </c>
      <c r="G13" s="0" t="n">
        <v>48.5109090022057</v>
      </c>
      <c r="H13" s="0" t="n">
        <v>785.7</v>
      </c>
      <c r="I13" s="0" t="n">
        <v>563.648</v>
      </c>
      <c r="J13" s="0" t="n">
        <v>36.1824012900277</v>
      </c>
      <c r="K13" s="0" t="n">
        <v>6.66</v>
      </c>
      <c r="L13" s="0" t="n">
        <v>709.523</v>
      </c>
      <c r="M13" s="0" t="n">
        <v>29.116</v>
      </c>
      <c r="N13" s="0" t="n">
        <v>680.407</v>
      </c>
      <c r="O13" s="0" t="n">
        <v>-76.714</v>
      </c>
      <c r="P13" s="0" t="n">
        <v>4204.439</v>
      </c>
      <c r="Q13" s="0" t="n">
        <v>4281.153</v>
      </c>
      <c r="R13" s="0" t="n">
        <v>3071.926</v>
      </c>
      <c r="S13" s="0" t="n">
        <v>1506.567</v>
      </c>
      <c r="T13" s="0" t="n">
        <v>85.536</v>
      </c>
      <c r="U13" s="0" t="n">
        <v>44.09</v>
      </c>
      <c r="V13" s="0" t="n">
        <v>2.52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1695.39</v>
      </c>
      <c r="C14" s="0" t="n">
        <v>291.704</v>
      </c>
      <c r="F14" s="0" t="n">
        <v>884.764</v>
      </c>
      <c r="G14" s="0" t="n">
        <v>52.1864585729537</v>
      </c>
      <c r="H14" s="0" t="n">
        <v>914.569</v>
      </c>
      <c r="I14" s="0" t="n">
        <v>601.822</v>
      </c>
      <c r="J14" s="0" t="n">
        <v>35.4975551348067</v>
      </c>
      <c r="K14" s="0" t="n">
        <v>7.19</v>
      </c>
      <c r="L14" s="0" t="n">
        <v>811.109</v>
      </c>
      <c r="M14" s="0" t="n">
        <v>21.826</v>
      </c>
      <c r="N14" s="0" t="n">
        <v>789.283</v>
      </c>
      <c r="O14" s="0" t="n">
        <v>-443.234</v>
      </c>
      <c r="P14" s="0" t="n">
        <v>4198.647</v>
      </c>
      <c r="Q14" s="0" t="n">
        <v>4641.881</v>
      </c>
      <c r="R14" s="0" t="n">
        <v>3366.777</v>
      </c>
      <c r="S14" s="0" t="n">
        <v>1300.521</v>
      </c>
      <c r="T14" s="0" t="n">
        <v>84.517</v>
      </c>
      <c r="U14" s="0" t="n">
        <v>55.617</v>
      </c>
      <c r="V14" s="0" t="n">
        <v>2.92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2043.544</v>
      </c>
      <c r="F15" s="0" t="n">
        <v>1072.725</v>
      </c>
      <c r="G15" s="0" t="n">
        <v>52.4933644687856</v>
      </c>
      <c r="H15" s="0" t="n">
        <v>1101.626</v>
      </c>
      <c r="I15" s="0" t="n">
        <v>725.983</v>
      </c>
      <c r="J15" s="0" t="n">
        <v>35.5256847907361</v>
      </c>
      <c r="K15" s="0" t="n">
        <v>8.8</v>
      </c>
      <c r="L15" s="0" t="n">
        <v>936.069</v>
      </c>
      <c r="M15" s="0" t="n">
        <v>13.509</v>
      </c>
      <c r="N15" s="0" t="n">
        <v>922.56</v>
      </c>
      <c r="O15" s="0" t="n">
        <v>-163.467</v>
      </c>
      <c r="P15" s="0" t="n">
        <v>5506.703</v>
      </c>
      <c r="Q15" s="0" t="n">
        <v>5670.17</v>
      </c>
      <c r="R15" s="0" t="n">
        <v>4161.422</v>
      </c>
      <c r="S15" s="0" t="n">
        <v>1421.449</v>
      </c>
      <c r="T15" s="0" t="n">
        <v>82.439449</v>
      </c>
      <c r="U15" s="0" t="n">
        <v>58.488</v>
      </c>
      <c r="V15" s="0" t="n">
        <v>3.64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2248.598</v>
      </c>
      <c r="F16" s="0" t="n">
        <v>1207.64</v>
      </c>
      <c r="G16" s="0" t="n">
        <v>53.7063539147504</v>
      </c>
      <c r="H16" s="0" t="n">
        <v>1234.533</v>
      </c>
      <c r="I16" s="0" t="n">
        <v>870.573</v>
      </c>
      <c r="J16" s="0" t="n">
        <v>38.7162578637889</v>
      </c>
      <c r="K16" s="0" t="n">
        <v>10.78</v>
      </c>
      <c r="L16" s="0" t="n">
        <v>1095.369</v>
      </c>
      <c r="M16" s="0" t="n">
        <v>13.617</v>
      </c>
      <c r="N16" s="0" t="n">
        <v>1081.752</v>
      </c>
      <c r="O16" s="0" t="n">
        <v>-1007.925</v>
      </c>
      <c r="P16" s="0" t="n">
        <v>4997.535</v>
      </c>
      <c r="Q16" s="0" t="n">
        <v>6005.46</v>
      </c>
      <c r="R16" s="0" t="n">
        <v>4520.66</v>
      </c>
      <c r="S16" s="0" t="n">
        <v>993.564</v>
      </c>
      <c r="T16" s="0" t="n">
        <v>79.959989</v>
      </c>
      <c r="U16" s="0" t="n">
        <v>58.094</v>
      </c>
      <c r="V16" s="0" t="n">
        <v>4.58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2528.92</v>
      </c>
      <c r="F17" s="0" t="n">
        <v>1384.609</v>
      </c>
      <c r="G17" s="0" t="n">
        <v>54.7510004270598</v>
      </c>
      <c r="H17" s="0" t="n">
        <v>1405.618</v>
      </c>
      <c r="I17" s="0" t="n">
        <v>1148.592</v>
      </c>
      <c r="J17" s="0" t="n">
        <v>45.4182813216709</v>
      </c>
      <c r="K17" s="0" t="n">
        <v>14.45</v>
      </c>
      <c r="L17" s="0" t="n">
        <v>1236.029</v>
      </c>
      <c r="M17" s="0" t="n">
        <v>22.757</v>
      </c>
      <c r="N17" s="0" t="n">
        <v>1213.272</v>
      </c>
      <c r="O17" s="0" t="n">
        <v>-739.764</v>
      </c>
      <c r="P17" s="0" t="n">
        <v>5518.219</v>
      </c>
      <c r="Q17" s="0" t="n">
        <v>6257.983</v>
      </c>
      <c r="R17" s="0" t="n">
        <v>4518.63</v>
      </c>
      <c r="S17" s="0" t="n">
        <v>461.693</v>
      </c>
      <c r="T17" s="0" t="n">
        <v>79.843</v>
      </c>
      <c r="U17" s="0" t="n">
        <v>73.043</v>
      </c>
      <c r="V17" s="0" t="n">
        <v>5.52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2856.128</v>
      </c>
      <c r="F18" s="0" t="n">
        <v>1528.518</v>
      </c>
      <c r="G18" s="0" t="n">
        <v>53.5171392878751</v>
      </c>
      <c r="H18" s="0" t="n">
        <v>1545.496</v>
      </c>
      <c r="I18" s="0" t="n">
        <v>1109.128</v>
      </c>
      <c r="J18" s="0" t="n">
        <v>38.8332735787752</v>
      </c>
      <c r="K18" s="0" t="n">
        <v>14.09</v>
      </c>
      <c r="L18" s="0" t="n">
        <v>1501.627</v>
      </c>
      <c r="M18" s="0" t="n">
        <v>33.762</v>
      </c>
      <c r="N18" s="0" t="n">
        <v>1467.865</v>
      </c>
      <c r="O18" s="0" t="n">
        <v>-939.997</v>
      </c>
      <c r="P18" s="0" t="n">
        <v>5445.439</v>
      </c>
      <c r="Q18" s="0" t="n">
        <v>6385.436</v>
      </c>
      <c r="R18" s="0" t="n">
        <v>4510.816</v>
      </c>
      <c r="S18" s="0" t="n">
        <v>409.351</v>
      </c>
      <c r="T18" s="0" t="n">
        <v>78.96</v>
      </c>
      <c r="U18" s="0" t="n">
        <v>96.365</v>
      </c>
      <c r="V18" s="0" t="n">
        <v>6.4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3134.459</v>
      </c>
      <c r="F19" s="0" t="n">
        <v>1713.567</v>
      </c>
      <c r="G19" s="0" t="n">
        <v>54.6686685006887</v>
      </c>
      <c r="H19" s="0" t="n">
        <v>1736.972</v>
      </c>
      <c r="I19" s="0" t="n">
        <v>1202.305</v>
      </c>
      <c r="J19" s="0" t="n">
        <v>38.3576559782725</v>
      </c>
      <c r="K19" s="0" t="n">
        <v>15.72</v>
      </c>
      <c r="L19" s="0" t="n">
        <v>1588.446</v>
      </c>
      <c r="M19" s="0" t="n">
        <v>39.319</v>
      </c>
      <c r="N19" s="0" t="n">
        <v>1549.127</v>
      </c>
      <c r="O19" s="0" t="n">
        <v>-2654.54</v>
      </c>
      <c r="P19" s="0" t="n">
        <v>5702.459</v>
      </c>
      <c r="Q19" s="0" t="n">
        <v>8356.999</v>
      </c>
      <c r="R19" s="0" t="n">
        <v>6202.286</v>
      </c>
      <c r="S19" s="0" t="n">
        <v>515.332</v>
      </c>
      <c r="T19" s="0" t="n">
        <v>76.636</v>
      </c>
      <c r="U19" s="0" t="n">
        <v>111.837</v>
      </c>
      <c r="V19" s="0" t="n">
        <v>7.2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545.39</v>
      </c>
    </row>
    <row r="3" customFormat="false" ht="15" hidden="false" customHeight="false" outlineLevel="0" collapsed="false">
      <c r="A3" s="0" t="s">
        <v>84</v>
      </c>
      <c r="B3" s="3" t="n">
        <v>72.8</v>
      </c>
    </row>
    <row r="4" customFormat="false" ht="15" hidden="false" customHeight="false" outlineLevel="0" collapsed="false">
      <c r="A4" s="0" t="s">
        <v>85</v>
      </c>
      <c r="B4" s="3" t="n">
        <v>6024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3134.459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10</v>
      </c>
      <c r="D13" s="3" t="n">
        <v>4</v>
      </c>
      <c r="E13" s="3" t="n">
        <v>2</v>
      </c>
      <c r="F13" s="3" t="n">
        <v>5</v>
      </c>
      <c r="G13" s="3" t="n">
        <v>6</v>
      </c>
      <c r="H13" s="3" t="n">
        <v>6</v>
      </c>
      <c r="I13" s="3" t="n">
        <v>5</v>
      </c>
      <c r="J13" s="3" t="n">
        <v>4.5</v>
      </c>
      <c r="K13" s="3" t="n">
        <v>4</v>
      </c>
      <c r="L13" s="3" t="n">
        <v>3.5</v>
      </c>
    </row>
    <row r="14" customFormat="false" ht="15" hidden="false" customHeight="false" outlineLevel="0" collapsed="false">
      <c r="A14" s="0" t="s">
        <v>105</v>
      </c>
      <c r="C14" s="3" t="n">
        <v>64.4</v>
      </c>
      <c r="D14" s="3" t="n">
        <v>63</v>
      </c>
      <c r="E14" s="3" t="n">
        <v>62</v>
      </c>
      <c r="F14" s="3" t="n">
        <v>62.5</v>
      </c>
      <c r="G14" s="3" t="n">
        <v>63</v>
      </c>
      <c r="H14" s="3" t="n">
        <v>63.5</v>
      </c>
      <c r="I14" s="3" t="n">
        <v>64</v>
      </c>
      <c r="J14" s="3" t="n">
        <v>64</v>
      </c>
      <c r="K14" s="3" t="n">
        <v>64</v>
      </c>
      <c r="L14" s="3" t="n">
        <v>64</v>
      </c>
    </row>
    <row r="15" customFormat="false" ht="15" hidden="false" customHeight="false" outlineLevel="0" collapsed="false">
      <c r="A15" s="0" t="s">
        <v>106</v>
      </c>
      <c r="C15" s="3" t="n">
        <v>5.6</v>
      </c>
      <c r="D15" s="3" t="n">
        <v>5.6</v>
      </c>
      <c r="E15" s="3" t="n">
        <v>5.5</v>
      </c>
      <c r="F15" s="3" t="n">
        <v>5.4</v>
      </c>
      <c r="G15" s="3" t="n">
        <v>5.3</v>
      </c>
      <c r="H15" s="3" t="n">
        <v>5.2</v>
      </c>
      <c r="I15" s="3" t="n">
        <v>5.1</v>
      </c>
      <c r="J15" s="3" t="n">
        <v>5</v>
      </c>
      <c r="K15" s="3" t="n">
        <v>5</v>
      </c>
      <c r="L15" s="3" t="n">
        <v>5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6</v>
      </c>
      <c r="D17" s="3" t="n">
        <v>5.8</v>
      </c>
      <c r="E17" s="3" t="n">
        <v>5.6</v>
      </c>
      <c r="F17" s="3" t="n">
        <v>5.4</v>
      </c>
      <c r="G17" s="3" t="n">
        <v>5.2</v>
      </c>
      <c r="H17" s="3" t="n">
        <v>5</v>
      </c>
      <c r="I17" s="3" t="n">
        <v>4.9</v>
      </c>
      <c r="J17" s="3" t="n">
        <v>4.8</v>
      </c>
      <c r="K17" s="3" t="n">
        <v>4.7</v>
      </c>
      <c r="L17" s="3" t="n">
        <v>4.6</v>
      </c>
    </row>
    <row r="18" customFormat="false" ht="15" hidden="false" customHeight="false" outlineLevel="0" collapsed="false">
      <c r="A18" s="0" t="s">
        <v>109</v>
      </c>
      <c r="C18" s="3" t="n">
        <v>4.3</v>
      </c>
      <c r="D18" s="3" t="n">
        <v>4.3</v>
      </c>
      <c r="E18" s="3" t="n">
        <v>4.3</v>
      </c>
      <c r="F18" s="3" t="n">
        <v>4.2</v>
      </c>
      <c r="G18" s="3" t="n">
        <v>4.2</v>
      </c>
      <c r="H18" s="3" t="n">
        <v>4.1</v>
      </c>
      <c r="I18" s="3" t="n">
        <v>4.1</v>
      </c>
      <c r="J18" s="3" t="n">
        <v>4</v>
      </c>
      <c r="K18" s="3" t="n">
        <v>4</v>
      </c>
      <c r="L18" s="3" t="n">
        <v>4</v>
      </c>
    </row>
    <row r="19" customFormat="false" ht="15" hidden="false" customHeight="false" outlineLevel="0" collapsed="false">
      <c r="A19" s="0" t="s">
        <v>110</v>
      </c>
      <c r="C19" s="3" t="n">
        <v>19</v>
      </c>
      <c r="D19" s="3" t="n">
        <v>19.5</v>
      </c>
      <c r="E19" s="3" t="n">
        <v>20</v>
      </c>
      <c r="F19" s="3" t="n">
        <v>20</v>
      </c>
      <c r="G19" s="3" t="n">
        <v>20.5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111</v>
      </c>
      <c r="B20" s="3" t="n">
        <v>9</v>
      </c>
    </row>
    <row r="21" customFormat="false" ht="15" hidden="false" customHeight="false" outlineLevel="0" collapsed="false">
      <c r="A21" s="0" t="s">
        <v>112</v>
      </c>
      <c r="B21" s="3" t="n">
        <v>2.5</v>
      </c>
    </row>
    <row r="22" customFormat="false" ht="15" hidden="false" customHeight="false" outlineLevel="0" collapsed="false">
      <c r="A22" s="0" t="s">
        <v>113</v>
      </c>
      <c r="B22" s="3" t="n">
        <v>18</v>
      </c>
    </row>
    <row r="23" customFormat="false" ht="15" hidden="false" customHeight="false" outlineLevel="0" collapsed="false">
      <c r="A23" s="0" t="s">
        <v>114</v>
      </c>
      <c r="B23" s="3" t="n">
        <v>10</v>
      </c>
    </row>
    <row r="24" customFormat="false" ht="15" hidden="false" customHeight="false" outlineLevel="0" collapsed="false">
      <c r="A24" s="0" t="s">
        <v>115</v>
      </c>
      <c r="B24" s="3" t="n">
        <v>0.2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12</v>
      </c>
      <c r="D27" s="3" t="n">
        <v>10.5</v>
      </c>
      <c r="E27" s="3" t="n">
        <v>9.5</v>
      </c>
      <c r="F27" s="3" t="n">
        <v>9</v>
      </c>
      <c r="G27" s="3" t="n">
        <v>8.5</v>
      </c>
      <c r="H27" s="3" t="n">
        <v>8</v>
      </c>
      <c r="I27" s="3" t="n">
        <v>7</v>
      </c>
      <c r="J27" s="3" t="n">
        <v>6</v>
      </c>
      <c r="K27" s="3" t="n">
        <v>5</v>
      </c>
      <c r="L27" s="3" t="n">
        <v>4.5</v>
      </c>
    </row>
    <row r="28" customFormat="false" ht="15" hidden="false" customHeight="false" outlineLevel="0" collapsed="false">
      <c r="A28" s="0" t="s">
        <v>105</v>
      </c>
      <c r="C28" s="3" t="n">
        <v>64.8</v>
      </c>
      <c r="D28" s="3" t="n">
        <v>65.2</v>
      </c>
      <c r="E28" s="3" t="n">
        <v>65.6</v>
      </c>
      <c r="F28" s="3" t="n">
        <v>66</v>
      </c>
      <c r="G28" s="3" t="n">
        <v>66.4</v>
      </c>
      <c r="H28" s="3" t="n">
        <v>66.8</v>
      </c>
      <c r="I28" s="3" t="n">
        <v>67</v>
      </c>
      <c r="J28" s="3" t="n">
        <v>67.2</v>
      </c>
      <c r="K28" s="3" t="n">
        <v>67.4</v>
      </c>
      <c r="L28" s="3" t="n">
        <v>67.5</v>
      </c>
    </row>
    <row r="29" customFormat="false" ht="15" hidden="false" customHeight="false" outlineLevel="0" collapsed="false">
      <c r="A29" s="0" t="s">
        <v>106</v>
      </c>
      <c r="C29" s="3" t="n">
        <v>5.4</v>
      </c>
      <c r="D29" s="3" t="n">
        <v>5.3</v>
      </c>
      <c r="E29" s="3" t="n">
        <v>5.2</v>
      </c>
      <c r="F29" s="3" t="n">
        <v>5.1</v>
      </c>
      <c r="G29" s="3" t="n">
        <v>5</v>
      </c>
      <c r="H29" s="3" t="n">
        <v>4.9</v>
      </c>
      <c r="I29" s="3" t="n">
        <v>4.8</v>
      </c>
      <c r="J29" s="3" t="n">
        <v>4.7</v>
      </c>
      <c r="K29" s="3" t="n">
        <v>4.6</v>
      </c>
      <c r="L29" s="3" t="n">
        <v>4.5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6</v>
      </c>
      <c r="D31" s="3" t="n">
        <v>5.8</v>
      </c>
      <c r="E31" s="3" t="n">
        <v>5.6</v>
      </c>
      <c r="F31" s="3" t="n">
        <v>5.4</v>
      </c>
      <c r="G31" s="3" t="n">
        <v>5.2</v>
      </c>
      <c r="H31" s="3" t="n">
        <v>5</v>
      </c>
      <c r="I31" s="3" t="n">
        <v>4.9</v>
      </c>
      <c r="J31" s="3" t="n">
        <v>4.8</v>
      </c>
      <c r="K31" s="3" t="n">
        <v>4.7</v>
      </c>
      <c r="L31" s="3" t="n">
        <v>4.6</v>
      </c>
    </row>
    <row r="32" customFormat="false" ht="15" hidden="false" customHeight="false" outlineLevel="0" collapsed="false">
      <c r="A32" s="0" t="s">
        <v>109</v>
      </c>
      <c r="C32" s="3" t="n">
        <v>4.2</v>
      </c>
      <c r="D32" s="3" t="n">
        <v>4.2</v>
      </c>
      <c r="E32" s="3" t="n">
        <v>4.1</v>
      </c>
      <c r="F32" s="3" t="n">
        <v>4.1</v>
      </c>
      <c r="G32" s="3" t="n">
        <v>4</v>
      </c>
      <c r="H32" s="3" t="n">
        <v>4</v>
      </c>
      <c r="I32" s="3" t="n">
        <v>3.9</v>
      </c>
      <c r="J32" s="3" t="n">
        <v>3.9</v>
      </c>
      <c r="K32" s="3" t="n">
        <v>3.8</v>
      </c>
      <c r="L32" s="3" t="n">
        <v>3.8</v>
      </c>
    </row>
    <row r="33" customFormat="false" ht="15" hidden="false" customHeight="false" outlineLevel="0" collapsed="false">
      <c r="A33" s="0" t="s">
        <v>110</v>
      </c>
      <c r="C33" s="3" t="n">
        <v>19</v>
      </c>
      <c r="D33" s="3" t="n">
        <v>19.5</v>
      </c>
      <c r="E33" s="3" t="n">
        <v>20</v>
      </c>
      <c r="F33" s="3" t="n">
        <v>20</v>
      </c>
      <c r="G33" s="3" t="n">
        <v>20.5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111</v>
      </c>
      <c r="B34" s="3" t="n">
        <v>9</v>
      </c>
    </row>
    <row r="35" customFormat="false" ht="15" hidden="false" customHeight="false" outlineLevel="0" collapsed="false">
      <c r="A35" s="0" t="s">
        <v>112</v>
      </c>
      <c r="B35" s="3" t="n">
        <v>3</v>
      </c>
    </row>
    <row r="36" customFormat="false" ht="15" hidden="false" customHeight="false" outlineLevel="0" collapsed="false">
      <c r="A36" s="0" t="s">
        <v>113</v>
      </c>
      <c r="B36" s="3" t="n">
        <v>20</v>
      </c>
    </row>
    <row r="37" customFormat="false" ht="15" hidden="false" customHeight="false" outlineLevel="0" collapsed="false">
      <c r="A37" s="0" t="s">
        <v>114</v>
      </c>
      <c r="B37" s="3" t="n">
        <v>12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13.5</v>
      </c>
      <c r="D41" s="3" t="n">
        <v>12.5</v>
      </c>
      <c r="E41" s="3" t="n">
        <v>12</v>
      </c>
      <c r="F41" s="3" t="n">
        <v>11.5</v>
      </c>
      <c r="G41" s="3" t="n">
        <v>11</v>
      </c>
      <c r="H41" s="3" t="n">
        <v>10</v>
      </c>
      <c r="I41" s="3" t="n">
        <v>9</v>
      </c>
      <c r="J41" s="3" t="n">
        <v>8</v>
      </c>
      <c r="K41" s="3" t="n">
        <v>7</v>
      </c>
      <c r="L41" s="3" t="n">
        <v>6</v>
      </c>
    </row>
    <row r="42" customFormat="false" ht="15" hidden="false" customHeight="false" outlineLevel="0" collapsed="false">
      <c r="A42" s="0" t="s">
        <v>105</v>
      </c>
      <c r="C42" s="3" t="n">
        <v>65.2</v>
      </c>
      <c r="D42" s="3" t="n">
        <v>66</v>
      </c>
      <c r="E42" s="3" t="n">
        <v>66.8</v>
      </c>
      <c r="F42" s="3" t="n">
        <v>67.6</v>
      </c>
      <c r="G42" s="3" t="n">
        <v>68.4</v>
      </c>
      <c r="H42" s="3" t="n">
        <v>69</v>
      </c>
      <c r="I42" s="3" t="n">
        <v>69.5</v>
      </c>
      <c r="J42" s="3" t="n">
        <v>70</v>
      </c>
      <c r="K42" s="3" t="n">
        <v>70</v>
      </c>
      <c r="L42" s="3" t="n">
        <v>70</v>
      </c>
    </row>
    <row r="43" customFormat="false" ht="15" hidden="false" customHeight="false" outlineLevel="0" collapsed="false">
      <c r="A43" s="0" t="s">
        <v>106</v>
      </c>
      <c r="C43" s="3" t="n">
        <v>5.4</v>
      </c>
      <c r="D43" s="3" t="n">
        <v>5.3</v>
      </c>
      <c r="E43" s="3" t="n">
        <v>5.2</v>
      </c>
      <c r="F43" s="3" t="n">
        <v>5.1</v>
      </c>
      <c r="G43" s="3" t="n">
        <v>5</v>
      </c>
      <c r="H43" s="3" t="n">
        <v>4.9</v>
      </c>
      <c r="I43" s="3" t="n">
        <v>4.8</v>
      </c>
      <c r="J43" s="3" t="n">
        <v>4.7</v>
      </c>
      <c r="K43" s="3" t="n">
        <v>4.6</v>
      </c>
      <c r="L43" s="3" t="n">
        <v>4.5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6</v>
      </c>
      <c r="D45" s="3" t="n">
        <v>5.8</v>
      </c>
      <c r="E45" s="3" t="n">
        <v>5.6</v>
      </c>
      <c r="F45" s="3" t="n">
        <v>5.4</v>
      </c>
      <c r="G45" s="3" t="n">
        <v>5.2</v>
      </c>
      <c r="H45" s="3" t="n">
        <v>5</v>
      </c>
      <c r="I45" s="3" t="n">
        <v>4.9</v>
      </c>
      <c r="J45" s="3" t="n">
        <v>4.8</v>
      </c>
      <c r="K45" s="3" t="n">
        <v>4.7</v>
      </c>
      <c r="L45" s="3" t="n">
        <v>4.6</v>
      </c>
    </row>
    <row r="46" customFormat="false" ht="15" hidden="false" customHeight="false" outlineLevel="0" collapsed="false">
      <c r="A46" s="0" t="s">
        <v>109</v>
      </c>
      <c r="C46" s="3" t="n">
        <v>4.2</v>
      </c>
      <c r="D46" s="3" t="n">
        <v>4.2</v>
      </c>
      <c r="E46" s="3" t="n">
        <v>4.1</v>
      </c>
      <c r="F46" s="3" t="n">
        <v>4.1</v>
      </c>
      <c r="G46" s="3" t="n">
        <v>4</v>
      </c>
      <c r="H46" s="3" t="n">
        <v>4</v>
      </c>
      <c r="I46" s="3" t="n">
        <v>3.9</v>
      </c>
      <c r="J46" s="3" t="n">
        <v>3.9</v>
      </c>
      <c r="K46" s="3" t="n">
        <v>3.8</v>
      </c>
      <c r="L46" s="3" t="n">
        <v>3.8</v>
      </c>
    </row>
    <row r="47" customFormat="false" ht="15" hidden="false" customHeight="false" outlineLevel="0" collapsed="false">
      <c r="A47" s="0" t="s">
        <v>110</v>
      </c>
      <c r="C47" s="3" t="n">
        <v>19</v>
      </c>
      <c r="D47" s="3" t="n">
        <v>19.5</v>
      </c>
      <c r="E47" s="3" t="n">
        <v>20</v>
      </c>
      <c r="F47" s="3" t="n">
        <v>20</v>
      </c>
      <c r="G47" s="3" t="n">
        <v>20.5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111</v>
      </c>
      <c r="B48" s="3" t="n">
        <v>9</v>
      </c>
    </row>
    <row r="49" customFormat="false" ht="15" hidden="false" customHeight="false" outlineLevel="0" collapsed="false">
      <c r="A49" s="0" t="s">
        <v>112</v>
      </c>
      <c r="B49" s="3" t="n">
        <v>3.5</v>
      </c>
    </row>
    <row r="50" customFormat="false" ht="15" hidden="false" customHeight="false" outlineLevel="0" collapsed="false">
      <c r="A50" s="0" t="s">
        <v>113</v>
      </c>
      <c r="B50" s="3" t="n">
        <v>20</v>
      </c>
    </row>
    <row r="51" customFormat="false" ht="15" hidden="false" customHeight="false" outlineLevel="0" collapsed="false">
      <c r="A51" s="0" t="s">
        <v>114</v>
      </c>
      <c r="B51" s="3" t="n">
        <v>15</v>
      </c>
    </row>
    <row r="52" customFormat="false" ht="15" hidden="false" customHeight="false" outlineLevel="0" collapsed="false">
      <c r="A52" s="0" t="s">
        <v>115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10</v>
      </c>
      <c r="D5" s="4" t="n">
        <f aca="false">Assumptions!D13</f>
        <v>4</v>
      </c>
      <c r="E5" s="4" t="n">
        <f aca="false">Assumptions!E13</f>
        <v>2</v>
      </c>
      <c r="F5" s="4" t="n">
        <f aca="false">Assumptions!F13</f>
        <v>5</v>
      </c>
      <c r="G5" s="4" t="n">
        <f aca="false">Assumptions!G13</f>
        <v>6</v>
      </c>
      <c r="H5" s="4" t="n">
        <f aca="false">Assumptions!H13</f>
        <v>6</v>
      </c>
      <c r="I5" s="4" t="n">
        <f aca="false">Assumptions!I13</f>
        <v>5</v>
      </c>
      <c r="J5" s="4" t="n">
        <f aca="false">Assumptions!J13</f>
        <v>4.5</v>
      </c>
      <c r="K5" s="4" t="n">
        <f aca="false">Assumptions!K13</f>
        <v>4</v>
      </c>
      <c r="L5" s="4" t="n">
        <f aca="false">Assumptions!L13</f>
        <v>3.5</v>
      </c>
    </row>
    <row r="6" customFormat="false" ht="15" hidden="false" customHeight="false" outlineLevel="0" collapsed="false">
      <c r="A6" s="0" t="s">
        <v>37</v>
      </c>
      <c r="B6" s="3" t="n">
        <v>3134.459</v>
      </c>
      <c r="C6" s="0" t="n">
        <f aca="false">B6*(1+C5/100)</f>
        <v>3447.9049</v>
      </c>
      <c r="D6" s="0" t="n">
        <f aca="false">C6*(1+D5/100)</f>
        <v>3585.821096</v>
      </c>
      <c r="E6" s="0" t="n">
        <f aca="false">D6*(1+E5/100)</f>
        <v>3657.53751792</v>
      </c>
      <c r="F6" s="0" t="n">
        <f aca="false">E6*(1+F5/100)</f>
        <v>3840.414393816</v>
      </c>
      <c r="G6" s="0" t="n">
        <f aca="false">F6*(1+G5/100)</f>
        <v>4070.83925744496</v>
      </c>
      <c r="H6" s="0" t="n">
        <f aca="false">G6*(1+H5/100)</f>
        <v>4315.08961289166</v>
      </c>
      <c r="I6" s="0" t="n">
        <f aca="false">H6*(1+I5/100)</f>
        <v>4530.84409353624</v>
      </c>
      <c r="J6" s="0" t="n">
        <f aca="false">I6*(1+J5/100)</f>
        <v>4734.73207774537</v>
      </c>
      <c r="K6" s="0" t="n">
        <f aca="false">J6*(1+K5/100)</f>
        <v>4924.12136085519</v>
      </c>
      <c r="L6" s="0" t="n">
        <f aca="false">K6*(1+L5/100)</f>
        <v>5096.46560848512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64.4</v>
      </c>
      <c r="D7" s="4" t="n">
        <f aca="false">Assumptions!D14</f>
        <v>63</v>
      </c>
      <c r="E7" s="4" t="n">
        <f aca="false">Assumptions!E14</f>
        <v>62</v>
      </c>
      <c r="F7" s="4" t="n">
        <f aca="false">Assumptions!F14</f>
        <v>62.5</v>
      </c>
      <c r="G7" s="4" t="n">
        <f aca="false">Assumptions!G14</f>
        <v>63</v>
      </c>
      <c r="H7" s="4" t="n">
        <f aca="false">Assumptions!H14</f>
        <v>63.5</v>
      </c>
      <c r="I7" s="4" t="n">
        <f aca="false">Assumptions!I14</f>
        <v>64</v>
      </c>
      <c r="J7" s="4" t="n">
        <f aca="false">Assumptions!J14</f>
        <v>64</v>
      </c>
      <c r="K7" s="4" t="n">
        <f aca="false">Assumptions!K14</f>
        <v>64</v>
      </c>
      <c r="L7" s="4" t="n">
        <f aca="false">Assumptions!L14</f>
        <v>64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2220.4507556</v>
      </c>
      <c r="D8" s="0" t="n">
        <f aca="false">D6*D7/100</f>
        <v>2259.06729048</v>
      </c>
      <c r="E8" s="0" t="n">
        <f aca="false">E6*E7/100</f>
        <v>2267.6732611104</v>
      </c>
      <c r="F8" s="0" t="n">
        <f aca="false">F6*F7/100</f>
        <v>2400.258996135</v>
      </c>
      <c r="G8" s="0" t="n">
        <f aca="false">G6*G7/100</f>
        <v>2564.62873219033</v>
      </c>
      <c r="H8" s="0" t="n">
        <f aca="false">H6*H7/100</f>
        <v>2740.0819041862</v>
      </c>
      <c r="I8" s="0" t="n">
        <f aca="false">I6*I7/100</f>
        <v>2899.74021986319</v>
      </c>
      <c r="J8" s="0" t="n">
        <f aca="false">J6*J7/100</f>
        <v>3030.22852975704</v>
      </c>
      <c r="K8" s="0" t="n">
        <f aca="false">K6*K7/100</f>
        <v>3151.43767094732</v>
      </c>
      <c r="L8" s="0" t="n">
        <f aca="false">L6*L7/100</f>
        <v>3261.73798943048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5.6</v>
      </c>
      <c r="D9" s="4" t="n">
        <f aca="false">Assumptions!D15</f>
        <v>5.6</v>
      </c>
      <c r="E9" s="4" t="n">
        <f aca="false">Assumptions!E15</f>
        <v>5.5</v>
      </c>
      <c r="F9" s="4" t="n">
        <f aca="false">Assumptions!F15</f>
        <v>5.4</v>
      </c>
      <c r="G9" s="4" t="n">
        <f aca="false">Assumptions!G15</f>
        <v>5.3</v>
      </c>
      <c r="H9" s="4" t="n">
        <f aca="false">Assumptions!H15</f>
        <v>5.2</v>
      </c>
      <c r="I9" s="4" t="n">
        <f aca="false">Assumptions!I15</f>
        <v>5.1</v>
      </c>
      <c r="J9" s="4" t="n">
        <f aca="false">Assumptions!J15</f>
        <v>5</v>
      </c>
      <c r="K9" s="4" t="n">
        <f aca="false">Assumptions!K15</f>
        <v>5</v>
      </c>
      <c r="L9" s="4" t="n">
        <f aca="false">Assumptions!L15</f>
        <v>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-193.0826744</v>
      </c>
      <c r="D10" s="0" t="n">
        <f aca="false">-D6*D9/100</f>
        <v>-200.805981376</v>
      </c>
      <c r="E10" s="0" t="n">
        <f aca="false">-E6*E9/100</f>
        <v>-201.1645634856</v>
      </c>
      <c r="F10" s="0" t="n">
        <f aca="false">-F6*F9/100</f>
        <v>-207.382377266064</v>
      </c>
      <c r="G10" s="0" t="n">
        <f aca="false">-G6*G9/100</f>
        <v>-215.754480644583</v>
      </c>
      <c r="H10" s="0" t="n">
        <f aca="false">-H6*H9/100</f>
        <v>-224.384659870366</v>
      </c>
      <c r="I10" s="0" t="n">
        <f aca="false">-I6*I9/100</f>
        <v>-231.073048770348</v>
      </c>
      <c r="J10" s="0" t="n">
        <f aca="false">-J6*J9/100</f>
        <v>-236.736603887269</v>
      </c>
      <c r="K10" s="0" t="n">
        <f aca="false">-K6*K9/100</f>
        <v>-246.206068042759</v>
      </c>
      <c r="L10" s="0" t="n">
        <f aca="false">-L6*L9/100</f>
        <v>-254.823280424256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2027.3680812</v>
      </c>
      <c r="D11" s="0" t="n">
        <f aca="false">D8+D10+D24</f>
        <v>2058.261309104</v>
      </c>
      <c r="E11" s="0" t="n">
        <f aca="false">E8+E10+E24</f>
        <v>2066.5086976248</v>
      </c>
      <c r="F11" s="0" t="n">
        <f aca="false">F8+F10+F24</f>
        <v>2192.87661886894</v>
      </c>
      <c r="G11" s="0" t="n">
        <f aca="false">G8+G10+G24</f>
        <v>2348.87425154574</v>
      </c>
      <c r="H11" s="0" t="n">
        <f aca="false">H8+H10+H24</f>
        <v>2515.69724431584</v>
      </c>
      <c r="I11" s="0" t="n">
        <f aca="false">I8+I10+I24</f>
        <v>2668.66717109285</v>
      </c>
      <c r="J11" s="0" t="n">
        <f aca="false">J8+J10+J24</f>
        <v>2793.49192586977</v>
      </c>
      <c r="K11" s="0" t="n">
        <f aca="false">K8+K10+K24</f>
        <v>2905.23160290456</v>
      </c>
      <c r="L11" s="0" t="n">
        <f aca="false">L8+L10+L24</f>
        <v>3006.91470900622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-206.874294</v>
      </c>
      <c r="D12" s="4" t="n">
        <f aca="false">-D6*Assumptions!D17/100</f>
        <v>-207.977623568</v>
      </c>
      <c r="E12" s="4" t="n">
        <f aca="false">-E6*Assumptions!E17/100</f>
        <v>-204.82210100352</v>
      </c>
      <c r="F12" s="4" t="n">
        <f aca="false">-F6*Assumptions!F17/100</f>
        <v>-207.382377266064</v>
      </c>
      <c r="G12" s="4" t="n">
        <f aca="false">-G6*Assumptions!G17/100</f>
        <v>-211.683641387138</v>
      </c>
      <c r="H12" s="4" t="n">
        <f aca="false">-H6*Assumptions!H17/100</f>
        <v>-215.754480644583</v>
      </c>
      <c r="I12" s="4" t="n">
        <f aca="false">-I6*Assumptions!I17/100</f>
        <v>-222.011360583276</v>
      </c>
      <c r="J12" s="4" t="n">
        <f aca="false">-J6*Assumptions!J17/100</f>
        <v>-227.267139731778</v>
      </c>
      <c r="K12" s="4" t="n">
        <f aca="false">-K6*Assumptions!K17/100</f>
        <v>-231.433703960194</v>
      </c>
      <c r="L12" s="4" t="n">
        <f aca="false">-L6*Assumptions!L17/100</f>
        <v>-234.437417990315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1820.4937872</v>
      </c>
      <c r="D13" s="0" t="n">
        <f aca="false">D11+D12</f>
        <v>1850.283685536</v>
      </c>
      <c r="E13" s="0" t="n">
        <f aca="false">E11+E12</f>
        <v>1861.68659662128</v>
      </c>
      <c r="F13" s="0" t="n">
        <f aca="false">F11+F12</f>
        <v>1985.49424160287</v>
      </c>
      <c r="G13" s="0" t="n">
        <f aca="false">G11+G12</f>
        <v>2137.1906101586</v>
      </c>
      <c r="H13" s="0" t="n">
        <f aca="false">H11+H12</f>
        <v>2299.94276367125</v>
      </c>
      <c r="I13" s="0" t="n">
        <f aca="false">I11+I12</f>
        <v>2446.65581050957</v>
      </c>
      <c r="J13" s="0" t="n">
        <f aca="false">J11+J12</f>
        <v>2566.22478613799</v>
      </c>
      <c r="K13" s="0" t="n">
        <f aca="false">K11+K12</f>
        <v>2673.79789894437</v>
      </c>
      <c r="L13" s="0" t="n">
        <f aca="false">L11+L12</f>
        <v>2772.4772910159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19</v>
      </c>
      <c r="D14" s="4" t="n">
        <f aca="false">Assumptions!D19</f>
        <v>19.5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20.5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1474.599967632</v>
      </c>
      <c r="D15" s="0" t="n">
        <f aca="false">D13-MAX(0,D13)*D14/100</f>
        <v>1489.47836685648</v>
      </c>
      <c r="E15" s="0" t="n">
        <f aca="false">E13-MAX(0,E13)*E14/100</f>
        <v>1489.34927729702</v>
      </c>
      <c r="F15" s="0" t="n">
        <f aca="false">F13-MAX(0,F13)*F14/100</f>
        <v>1588.3953932823</v>
      </c>
      <c r="G15" s="0" t="n">
        <f aca="false">G13-MAX(0,G13)*G14/100</f>
        <v>1699.06653507609</v>
      </c>
      <c r="H15" s="0" t="n">
        <f aca="false">H13-MAX(0,H13)*H14/100</f>
        <v>1816.95478330029</v>
      </c>
      <c r="I15" s="0" t="n">
        <f aca="false">I13-MAX(0,I13)*I14/100</f>
        <v>1932.85809030256</v>
      </c>
      <c r="J15" s="0" t="n">
        <f aca="false">J13-MAX(0,J13)*J14/100</f>
        <v>2027.31758104901</v>
      </c>
      <c r="K15" s="0" t="n">
        <f aca="false">K13-MAX(0,K13)*K14/100</f>
        <v>2112.30034016605</v>
      </c>
      <c r="L15" s="0" t="n">
        <f aca="false">L13-MAX(0,L13)*L14/100</f>
        <v>2190.25705990256</v>
      </c>
    </row>
    <row r="16" customFormat="false" ht="15" hidden="false" customHeight="false" outlineLevel="0" collapsed="false">
      <c r="A16" s="0" t="s">
        <v>126</v>
      </c>
      <c r="C16" s="0" t="n">
        <f aca="false">-C12</f>
        <v>206.874294</v>
      </c>
      <c r="D16" s="0" t="n">
        <f aca="false">-D12</f>
        <v>207.977623568</v>
      </c>
      <c r="E16" s="0" t="n">
        <f aca="false">-E12</f>
        <v>204.82210100352</v>
      </c>
      <c r="F16" s="0" t="n">
        <f aca="false">-F12</f>
        <v>207.382377266064</v>
      </c>
      <c r="G16" s="0" t="n">
        <f aca="false">-G12</f>
        <v>211.683641387138</v>
      </c>
      <c r="H16" s="0" t="n">
        <f aca="false">-H12</f>
        <v>215.754480644583</v>
      </c>
      <c r="I16" s="0" t="n">
        <f aca="false">-I12</f>
        <v>222.011360583276</v>
      </c>
      <c r="J16" s="0" t="n">
        <f aca="false">-J12</f>
        <v>227.267139731778</v>
      </c>
      <c r="K16" s="0" t="n">
        <f aca="false">-K12</f>
        <v>231.433703960194</v>
      </c>
      <c r="L16" s="0" t="n">
        <f aca="false">-L12</f>
        <v>234.437417990315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-148.2599107</v>
      </c>
      <c r="D17" s="4" t="n">
        <f aca="false">-D6*Assumptions!D18/100</f>
        <v>-154.190307128</v>
      </c>
      <c r="E17" s="4" t="n">
        <f aca="false">-E6*Assumptions!E18/100</f>
        <v>-157.27411327056</v>
      </c>
      <c r="F17" s="4" t="n">
        <f aca="false">-F6*Assumptions!F18/100</f>
        <v>-161.297404540272</v>
      </c>
      <c r="G17" s="4" t="n">
        <f aca="false">-G6*Assumptions!G18/100</f>
        <v>-170.975248812688</v>
      </c>
      <c r="H17" s="4" t="n">
        <f aca="false">-H6*Assumptions!H18/100</f>
        <v>-176.918674128558</v>
      </c>
      <c r="I17" s="4" t="n">
        <f aca="false">-I6*Assumptions!I18/100</f>
        <v>-185.764607834986</v>
      </c>
      <c r="J17" s="4" t="n">
        <f aca="false">-J6*Assumptions!J18/100</f>
        <v>-189.389283109815</v>
      </c>
      <c r="K17" s="4" t="n">
        <f aca="false">-K6*Assumptions!K18/100</f>
        <v>-196.964854434208</v>
      </c>
      <c r="L17" s="4" t="n">
        <f aca="false">-L6*Assumptions!L18/100</f>
        <v>-203.858624339405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31.34459</v>
      </c>
      <c r="D18" s="4" t="n">
        <f aca="false">(D6-C6)*Assumptions!$B$23/100</f>
        <v>13.7916196</v>
      </c>
      <c r="E18" s="4" t="n">
        <f aca="false">(E6-D6)*Assumptions!$B$23/100</f>
        <v>7.17164219199999</v>
      </c>
      <c r="F18" s="4" t="n">
        <f aca="false">(F6-E6)*Assumptions!$B$23/100</f>
        <v>18.2876875896</v>
      </c>
      <c r="G18" s="4" t="n">
        <f aca="false">(G6-F6)*Assumptions!$B$23/100</f>
        <v>23.042486362896</v>
      </c>
      <c r="H18" s="4" t="n">
        <f aca="false">(H6-G6)*Assumptions!$B$23/100</f>
        <v>24.4250355446698</v>
      </c>
      <c r="I18" s="4" t="n">
        <f aca="false">(I6-H6)*Assumptions!$B$23/100</f>
        <v>21.5754480644583</v>
      </c>
      <c r="J18" s="4" t="n">
        <f aca="false">(J6-I6)*Assumptions!$B$23/100</f>
        <v>20.3887984209131</v>
      </c>
      <c r="K18" s="4" t="n">
        <f aca="false">(K6-J6)*Assumptions!$B$23/100</f>
        <v>18.9389283109815</v>
      </c>
      <c r="L18" s="4" t="n">
        <f aca="false">(L6-K6)*Assumptions!$B$23/100</f>
        <v>17.2344247629932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1564.558940932</v>
      </c>
      <c r="D19" s="0" t="n">
        <f aca="false">D15+D16+D17+D18</f>
        <v>1557.05730289648</v>
      </c>
      <c r="E19" s="0" t="n">
        <f aca="false">E15+E16+E17+E18</f>
        <v>1544.06890722198</v>
      </c>
      <c r="F19" s="0" t="n">
        <f aca="false">F15+F16+F17+F18</f>
        <v>1652.76805359769</v>
      </c>
      <c r="G19" s="0" t="n">
        <f aca="false">G15+G16+G17+G18</f>
        <v>1762.81741401344</v>
      </c>
      <c r="H19" s="0" t="n">
        <f aca="false">H15+H16+H17+H18</f>
        <v>1880.21562536099</v>
      </c>
      <c r="I19" s="0" t="n">
        <f aca="false">I15+I16+I17+I18</f>
        <v>1990.68029111531</v>
      </c>
      <c r="J19" s="0" t="n">
        <f aca="false">J15+J16+J17+J18</f>
        <v>2085.58423609189</v>
      </c>
      <c r="K19" s="0" t="n">
        <f aca="false">K15+K16+K17+K18</f>
        <v>2165.70811800302</v>
      </c>
      <c r="L19" s="0" t="n">
        <f aca="false">L15+L16+L17+L18</f>
        <v>2238.07027831647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1435.37517516697</v>
      </c>
      <c r="D21" s="0" t="n">
        <f aca="false">D19*D20</f>
        <v>1310.54398021756</v>
      </c>
      <c r="E21" s="0" t="n">
        <f aca="false">E19*E20</f>
        <v>1192.30450223276</v>
      </c>
      <c r="F21" s="0" t="n">
        <f aca="false">F19*F20</f>
        <v>1170.86255721176</v>
      </c>
      <c r="G21" s="0" t="n">
        <f aca="false">G19*G20</f>
        <v>1145.71036568062</v>
      </c>
      <c r="H21" s="0" t="n">
        <f aca="false">H19*H20</f>
        <v>1121.11114489053</v>
      </c>
      <c r="I21" s="0" t="n">
        <f aca="false">I19*I20</f>
        <v>1088.97028977474</v>
      </c>
      <c r="J21" s="0" t="n">
        <f aca="false">J19*J20</f>
        <v>1046.68440151161</v>
      </c>
      <c r="K21" s="0" t="n">
        <f aca="false">K19*K20</f>
        <v>997.152179852556</v>
      </c>
      <c r="L21" s="0" t="n">
        <f aca="false">L19*L20</f>
        <v>945.385072152918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11454.099668692</v>
      </c>
    </row>
    <row r="31" customFormat="false" ht="15" hidden="false" customHeight="false" outlineLevel="0" collapsed="false">
      <c r="A31" s="0" t="s">
        <v>135</v>
      </c>
      <c r="B31" s="0" t="n">
        <f aca="false">L19</f>
        <v>2238.07027831647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35292.6466965289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40285.2650096964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35292.6466965289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14907.9953685652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26362.0950372573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20338.0950372573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279.369437324962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-0.48776208341744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1388.63936253671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1697.40169518941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321.760111194827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18352.176282195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100.257512814198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12</v>
      </c>
      <c r="D5" s="4" t="n">
        <f aca="false">Assumptions!D27</f>
        <v>10.5</v>
      </c>
      <c r="E5" s="4" t="n">
        <f aca="false">Assumptions!E27</f>
        <v>9.5</v>
      </c>
      <c r="F5" s="4" t="n">
        <f aca="false">Assumptions!F27</f>
        <v>9</v>
      </c>
      <c r="G5" s="4" t="n">
        <f aca="false">Assumptions!G27</f>
        <v>8.5</v>
      </c>
      <c r="H5" s="4" t="n">
        <f aca="false">Assumptions!H27</f>
        <v>8</v>
      </c>
      <c r="I5" s="4" t="n">
        <f aca="false">Assumptions!I27</f>
        <v>7</v>
      </c>
      <c r="J5" s="4" t="n">
        <f aca="false">Assumptions!J27</f>
        <v>6</v>
      </c>
      <c r="K5" s="4" t="n">
        <f aca="false">Assumptions!K27</f>
        <v>5</v>
      </c>
      <c r="L5" s="4" t="n">
        <f aca="false">Assumptions!L27</f>
        <v>4.5</v>
      </c>
    </row>
    <row r="6" customFormat="false" ht="15" hidden="false" customHeight="false" outlineLevel="0" collapsed="false">
      <c r="A6" s="0" t="s">
        <v>37</v>
      </c>
      <c r="B6" s="3" t="n">
        <v>3134.459</v>
      </c>
      <c r="C6" s="0" t="n">
        <f aca="false">B6*(1+C5/100)</f>
        <v>3510.59408</v>
      </c>
      <c r="D6" s="0" t="n">
        <f aca="false">C6*(1+D5/100)</f>
        <v>3879.2064584</v>
      </c>
      <c r="E6" s="0" t="n">
        <f aca="false">D6*(1+E5/100)</f>
        <v>4247.731071948</v>
      </c>
      <c r="F6" s="0" t="n">
        <f aca="false">E6*(1+F5/100)</f>
        <v>4630.02686842332</v>
      </c>
      <c r="G6" s="0" t="n">
        <f aca="false">F6*(1+G5/100)</f>
        <v>5023.5791522393</v>
      </c>
      <c r="H6" s="0" t="n">
        <f aca="false">G6*(1+H5/100)</f>
        <v>5425.46548441845</v>
      </c>
      <c r="I6" s="0" t="n">
        <f aca="false">H6*(1+I5/100)</f>
        <v>5805.24806832774</v>
      </c>
      <c r="J6" s="0" t="n">
        <f aca="false">I6*(1+J5/100)</f>
        <v>6153.5629524274</v>
      </c>
      <c r="K6" s="0" t="n">
        <f aca="false">J6*(1+K5/100)</f>
        <v>6461.24110004878</v>
      </c>
      <c r="L6" s="0" t="n">
        <f aca="false">K6*(1+L5/100)</f>
        <v>6751.99694955097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64.8</v>
      </c>
      <c r="D7" s="4" t="n">
        <f aca="false">Assumptions!D28</f>
        <v>65.2</v>
      </c>
      <c r="E7" s="4" t="n">
        <f aca="false">Assumptions!E28</f>
        <v>65.6</v>
      </c>
      <c r="F7" s="4" t="n">
        <f aca="false">Assumptions!F28</f>
        <v>66</v>
      </c>
      <c r="G7" s="4" t="n">
        <f aca="false">Assumptions!G28</f>
        <v>66.4</v>
      </c>
      <c r="H7" s="4" t="n">
        <f aca="false">Assumptions!H28</f>
        <v>66.8</v>
      </c>
      <c r="I7" s="4" t="n">
        <f aca="false">Assumptions!I28</f>
        <v>67</v>
      </c>
      <c r="J7" s="4" t="n">
        <f aca="false">Assumptions!J28</f>
        <v>67.2</v>
      </c>
      <c r="K7" s="4" t="n">
        <f aca="false">Assumptions!K28</f>
        <v>67.4</v>
      </c>
      <c r="L7" s="4" t="n">
        <f aca="false">Assumptions!L28</f>
        <v>67.5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2274.86496384</v>
      </c>
      <c r="D8" s="0" t="n">
        <f aca="false">D6*D7/100</f>
        <v>2529.2426108768</v>
      </c>
      <c r="E8" s="0" t="n">
        <f aca="false">E6*E7/100</f>
        <v>2786.51158319789</v>
      </c>
      <c r="F8" s="0" t="n">
        <f aca="false">F6*F7/100</f>
        <v>3055.81773315939</v>
      </c>
      <c r="G8" s="0" t="n">
        <f aca="false">G6*G7/100</f>
        <v>3335.6565570869</v>
      </c>
      <c r="H8" s="0" t="n">
        <f aca="false">H6*H7/100</f>
        <v>3624.21094359152</v>
      </c>
      <c r="I8" s="0" t="n">
        <f aca="false">I6*I7/100</f>
        <v>3889.51620577959</v>
      </c>
      <c r="J8" s="0" t="n">
        <f aca="false">J6*J7/100</f>
        <v>4135.19430403122</v>
      </c>
      <c r="K8" s="0" t="n">
        <f aca="false">K6*K7/100</f>
        <v>4354.87650143288</v>
      </c>
      <c r="L8" s="0" t="n">
        <f aca="false">L6*L7/100</f>
        <v>4557.5979409469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5.4</v>
      </c>
      <c r="D9" s="4" t="n">
        <f aca="false">Assumptions!D29</f>
        <v>5.3</v>
      </c>
      <c r="E9" s="4" t="n">
        <f aca="false">Assumptions!E29</f>
        <v>5.2</v>
      </c>
      <c r="F9" s="4" t="n">
        <f aca="false">Assumptions!F29</f>
        <v>5.1</v>
      </c>
      <c r="G9" s="4" t="n">
        <f aca="false">Assumptions!G29</f>
        <v>5</v>
      </c>
      <c r="H9" s="4" t="n">
        <f aca="false">Assumptions!H29</f>
        <v>4.9</v>
      </c>
      <c r="I9" s="4" t="n">
        <f aca="false">Assumptions!I29</f>
        <v>4.8</v>
      </c>
      <c r="J9" s="4" t="n">
        <f aca="false">Assumptions!J29</f>
        <v>4.7</v>
      </c>
      <c r="K9" s="4" t="n">
        <f aca="false">Assumptions!K29</f>
        <v>4.6</v>
      </c>
      <c r="L9" s="4" t="n">
        <f aca="false">Assumptions!L29</f>
        <v>4.5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-189.57208032</v>
      </c>
      <c r="D10" s="0" t="n">
        <f aca="false">-D6*D9/100</f>
        <v>-205.5979422952</v>
      </c>
      <c r="E10" s="0" t="n">
        <f aca="false">-E6*E9/100</f>
        <v>-220.882015741296</v>
      </c>
      <c r="F10" s="0" t="n">
        <f aca="false">-F6*F9/100</f>
        <v>-236.131370289589</v>
      </c>
      <c r="G10" s="0" t="n">
        <f aca="false">-G6*G9/100</f>
        <v>-251.178957611965</v>
      </c>
      <c r="H10" s="0" t="n">
        <f aca="false">-H6*H9/100</f>
        <v>-265.847808736504</v>
      </c>
      <c r="I10" s="0" t="n">
        <f aca="false">-I6*I9/100</f>
        <v>-278.651907279732</v>
      </c>
      <c r="J10" s="0" t="n">
        <f aca="false">-J6*J9/100</f>
        <v>-289.217458764088</v>
      </c>
      <c r="K10" s="0" t="n">
        <f aca="false">-K6*K9/100</f>
        <v>-297.217090602244</v>
      </c>
      <c r="L10" s="0" t="n">
        <f aca="false">-L6*L9/100</f>
        <v>-303.839862729794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2085.29288352</v>
      </c>
      <c r="D11" s="0" t="n">
        <f aca="false">D8+D10+D24</f>
        <v>2323.6446685816</v>
      </c>
      <c r="E11" s="0" t="n">
        <f aca="false">E8+E10+E24</f>
        <v>2565.62956745659</v>
      </c>
      <c r="F11" s="0" t="n">
        <f aca="false">F8+F10+F24</f>
        <v>2819.6863628698</v>
      </c>
      <c r="G11" s="0" t="n">
        <f aca="false">G8+G10+G24</f>
        <v>3084.47759947493</v>
      </c>
      <c r="H11" s="0" t="n">
        <f aca="false">H8+H10+H24</f>
        <v>3358.36313485502</v>
      </c>
      <c r="I11" s="0" t="n">
        <f aca="false">I8+I10+I24</f>
        <v>3610.86429849985</v>
      </c>
      <c r="J11" s="0" t="n">
        <f aca="false">J8+J10+J24</f>
        <v>3845.97684526713</v>
      </c>
      <c r="K11" s="0" t="n">
        <f aca="false">K8+K10+K24</f>
        <v>4057.65941083063</v>
      </c>
      <c r="L11" s="0" t="n">
        <f aca="false">L8+L10+L24</f>
        <v>4253.75807821711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-210.6356448</v>
      </c>
      <c r="D12" s="4" t="n">
        <f aca="false">-D6*Assumptions!D31/100</f>
        <v>-224.9939745872</v>
      </c>
      <c r="E12" s="4" t="n">
        <f aca="false">-E6*Assumptions!E31/100</f>
        <v>-237.872940029088</v>
      </c>
      <c r="F12" s="4" t="n">
        <f aca="false">-F6*Assumptions!F31/100</f>
        <v>-250.021450894859</v>
      </c>
      <c r="G12" s="4" t="n">
        <f aca="false">-G6*Assumptions!G31/100</f>
        <v>-261.226115916444</v>
      </c>
      <c r="H12" s="4" t="n">
        <f aca="false">-H6*Assumptions!H31/100</f>
        <v>-271.273274220922</v>
      </c>
      <c r="I12" s="4" t="n">
        <f aca="false">-I6*Assumptions!I31/100</f>
        <v>-284.457155348059</v>
      </c>
      <c r="J12" s="4" t="n">
        <f aca="false">-J6*Assumptions!J31/100</f>
        <v>-295.371021716515</v>
      </c>
      <c r="K12" s="4" t="n">
        <f aca="false">-K6*Assumptions!K31/100</f>
        <v>-303.678331702292</v>
      </c>
      <c r="L12" s="4" t="n">
        <f aca="false">-L6*Assumptions!L31/100</f>
        <v>-310.591859679345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1874.65723872</v>
      </c>
      <c r="D13" s="0" t="n">
        <f aca="false">D11+D12</f>
        <v>2098.6506939944</v>
      </c>
      <c r="E13" s="0" t="n">
        <f aca="false">E11+E12</f>
        <v>2327.7566274275</v>
      </c>
      <c r="F13" s="0" t="n">
        <f aca="false">F11+F12</f>
        <v>2569.66491197494</v>
      </c>
      <c r="G13" s="0" t="n">
        <f aca="false">G11+G12</f>
        <v>2823.25148355849</v>
      </c>
      <c r="H13" s="0" t="n">
        <f aca="false">H11+H12</f>
        <v>3087.0898606341</v>
      </c>
      <c r="I13" s="0" t="n">
        <f aca="false">I11+I12</f>
        <v>3326.4071431518</v>
      </c>
      <c r="J13" s="0" t="n">
        <f aca="false">J11+J12</f>
        <v>3550.60582355061</v>
      </c>
      <c r="K13" s="0" t="n">
        <f aca="false">K11+K12</f>
        <v>3753.98107912834</v>
      </c>
      <c r="L13" s="0" t="n">
        <f aca="false">L11+L12</f>
        <v>3943.16621853777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19</v>
      </c>
      <c r="D14" s="4" t="n">
        <f aca="false">Assumptions!D33</f>
        <v>19.5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20.5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1518.4723633632</v>
      </c>
      <c r="D15" s="0" t="n">
        <f aca="false">D13-MAX(0,D13)*D14/100</f>
        <v>1689.41380866549</v>
      </c>
      <c r="E15" s="0" t="n">
        <f aca="false">E13-MAX(0,E13)*E14/100</f>
        <v>1862.205301942</v>
      </c>
      <c r="F15" s="0" t="n">
        <f aca="false">F13-MAX(0,F13)*F14/100</f>
        <v>2055.73192957996</v>
      </c>
      <c r="G15" s="0" t="n">
        <f aca="false">G13-MAX(0,G13)*G14/100</f>
        <v>2244.484929429</v>
      </c>
      <c r="H15" s="0" t="n">
        <f aca="false">H13-MAX(0,H13)*H14/100</f>
        <v>2438.80098990094</v>
      </c>
      <c r="I15" s="0" t="n">
        <f aca="false">I13-MAX(0,I13)*I14/100</f>
        <v>2627.86164308992</v>
      </c>
      <c r="J15" s="0" t="n">
        <f aca="false">J13-MAX(0,J13)*J14/100</f>
        <v>2804.97860060498</v>
      </c>
      <c r="K15" s="0" t="n">
        <f aca="false">K13-MAX(0,K13)*K14/100</f>
        <v>2965.64505251139</v>
      </c>
      <c r="L15" s="0" t="n">
        <f aca="false">L13-MAX(0,L13)*L14/100</f>
        <v>3115.10131264483</v>
      </c>
    </row>
    <row r="16" customFormat="false" ht="15" hidden="false" customHeight="false" outlineLevel="0" collapsed="false">
      <c r="A16" s="0" t="s">
        <v>126</v>
      </c>
      <c r="C16" s="0" t="n">
        <f aca="false">-C12</f>
        <v>210.6356448</v>
      </c>
      <c r="D16" s="0" t="n">
        <f aca="false">-D12</f>
        <v>224.9939745872</v>
      </c>
      <c r="E16" s="0" t="n">
        <f aca="false">-E12</f>
        <v>237.872940029088</v>
      </c>
      <c r="F16" s="0" t="n">
        <f aca="false">-F12</f>
        <v>250.021450894859</v>
      </c>
      <c r="G16" s="0" t="n">
        <f aca="false">-G12</f>
        <v>261.226115916444</v>
      </c>
      <c r="H16" s="0" t="n">
        <f aca="false">-H12</f>
        <v>271.273274220922</v>
      </c>
      <c r="I16" s="0" t="n">
        <f aca="false">-I12</f>
        <v>284.457155348059</v>
      </c>
      <c r="J16" s="0" t="n">
        <f aca="false">-J12</f>
        <v>295.371021716515</v>
      </c>
      <c r="K16" s="0" t="n">
        <f aca="false">-K12</f>
        <v>303.678331702292</v>
      </c>
      <c r="L16" s="0" t="n">
        <f aca="false">-L12</f>
        <v>310.591859679345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-147.44495136</v>
      </c>
      <c r="D17" s="4" t="n">
        <f aca="false">-D6*Assumptions!D32/100</f>
        <v>-162.9266712528</v>
      </c>
      <c r="E17" s="4" t="n">
        <f aca="false">-E6*Assumptions!E32/100</f>
        <v>-174.156973949868</v>
      </c>
      <c r="F17" s="4" t="n">
        <f aca="false">-F6*Assumptions!F32/100</f>
        <v>-189.831101605356</v>
      </c>
      <c r="G17" s="4" t="n">
        <f aca="false">-G6*Assumptions!G32/100</f>
        <v>-200.943166089572</v>
      </c>
      <c r="H17" s="4" t="n">
        <f aca="false">-H6*Assumptions!H32/100</f>
        <v>-217.018619376738</v>
      </c>
      <c r="I17" s="4" t="n">
        <f aca="false">-I6*Assumptions!I32/100</f>
        <v>-226.404674664782</v>
      </c>
      <c r="J17" s="4" t="n">
        <f aca="false">-J6*Assumptions!J32/100</f>
        <v>-239.988955144669</v>
      </c>
      <c r="K17" s="4" t="n">
        <f aca="false">-K6*Assumptions!K32/100</f>
        <v>-245.527161801853</v>
      </c>
      <c r="L17" s="4" t="n">
        <f aca="false">-L6*Assumptions!L32/100</f>
        <v>-256.575884082937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45.1362096000001</v>
      </c>
      <c r="D18" s="4" t="n">
        <f aca="false">(D6-C6)*Assumptions!$B$37/100</f>
        <v>44.233485408</v>
      </c>
      <c r="E18" s="4" t="n">
        <f aca="false">(E6-D6)*Assumptions!$B$37/100</f>
        <v>44.22295362576</v>
      </c>
      <c r="F18" s="4" t="n">
        <f aca="false">(F6-E6)*Assumptions!$B$37/100</f>
        <v>45.8754955770385</v>
      </c>
      <c r="G18" s="4" t="n">
        <f aca="false">(G6-F6)*Assumptions!$B$37/100</f>
        <v>47.2262740579179</v>
      </c>
      <c r="H18" s="4" t="n">
        <f aca="false">(H6-G6)*Assumptions!$B$37/100</f>
        <v>48.2263598614974</v>
      </c>
      <c r="I18" s="4" t="n">
        <f aca="false">(I6-H6)*Assumptions!$B$37/100</f>
        <v>45.573910069115</v>
      </c>
      <c r="J18" s="4" t="n">
        <f aca="false">(J6-I6)*Assumptions!$B$37/100</f>
        <v>41.7977860919598</v>
      </c>
      <c r="K18" s="4" t="n">
        <f aca="false">(K6-J6)*Assumptions!$B$37/100</f>
        <v>36.9213777145645</v>
      </c>
      <c r="L18" s="4" t="n">
        <f aca="false">(L6-K6)*Assumptions!$B$37/100</f>
        <v>34.8907019402633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1626.7992664032</v>
      </c>
      <c r="D19" s="0" t="n">
        <f aca="false">D15+D16+D17+D18</f>
        <v>1795.71459740789</v>
      </c>
      <c r="E19" s="0" t="n">
        <f aca="false">E15+E16+E17+E18</f>
        <v>1970.14422164698</v>
      </c>
      <c r="F19" s="0" t="n">
        <f aca="false">F15+F16+F17+F18</f>
        <v>2161.7977744465</v>
      </c>
      <c r="G19" s="0" t="n">
        <f aca="false">G15+G16+G17+G18</f>
        <v>2351.99415331379</v>
      </c>
      <c r="H19" s="0" t="n">
        <f aca="false">H15+H16+H17+H18</f>
        <v>2541.28200460662</v>
      </c>
      <c r="I19" s="0" t="n">
        <f aca="false">I15+I16+I17+I18</f>
        <v>2731.48803384231</v>
      </c>
      <c r="J19" s="0" t="n">
        <f aca="false">J15+J16+J17+J18</f>
        <v>2902.15845326879</v>
      </c>
      <c r="K19" s="0" t="n">
        <f aca="false">K15+K16+K17+K18</f>
        <v>3060.71760012639</v>
      </c>
      <c r="L19" s="0" t="n">
        <f aca="false">L15+L16+L17+L18</f>
        <v>3204.00799018151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1492.4763911956</v>
      </c>
      <c r="D21" s="0" t="n">
        <f aca="false">D19*D20</f>
        <v>1511.41705025494</v>
      </c>
      <c r="E21" s="0" t="n">
        <f aca="false">E19*E20</f>
        <v>1521.31282129356</v>
      </c>
      <c r="F21" s="0" t="n">
        <f aca="false">F19*F20</f>
        <v>1531.47204464253</v>
      </c>
      <c r="G21" s="0" t="n">
        <f aca="false">G19*G20</f>
        <v>1528.63482062883</v>
      </c>
      <c r="H21" s="0" t="n">
        <f aca="false">H19*H20</f>
        <v>1515.28342773304</v>
      </c>
      <c r="I21" s="0" t="n">
        <f aca="false">I19*I20</f>
        <v>1494.21749389149</v>
      </c>
      <c r="J21" s="0" t="n">
        <f aca="false">J19*J20</f>
        <v>1456.49546596288</v>
      </c>
      <c r="K21" s="0" t="n">
        <f aca="false">K19*K20</f>
        <v>1409.23940835266</v>
      </c>
      <c r="L21" s="0" t="n">
        <f aca="false">L19*L20</f>
        <v>1353.4076004328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14813.9565243883</v>
      </c>
    </row>
    <row r="31" customFormat="false" ht="15" hidden="false" customHeight="false" outlineLevel="0" collapsed="false">
      <c r="A31" s="0" t="s">
        <v>135</v>
      </c>
      <c r="B31" s="0" t="n">
        <f aca="false">L19</f>
        <v>3204.00799018151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55002.1371647825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64080.1598036301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55002.1371647825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23233.4971407631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38047.4536651515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32023.4536651515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439.882605290542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-0.193453115586017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1569.34819662834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2203.25998050418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491.70414618522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27501.0685823913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164.606135464912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13.5</v>
      </c>
      <c r="D5" s="4" t="n">
        <f aca="false">Assumptions!D41</f>
        <v>12.5</v>
      </c>
      <c r="E5" s="4" t="n">
        <f aca="false">Assumptions!E41</f>
        <v>12</v>
      </c>
      <c r="F5" s="4" t="n">
        <f aca="false">Assumptions!F41</f>
        <v>11.5</v>
      </c>
      <c r="G5" s="4" t="n">
        <f aca="false">Assumptions!G41</f>
        <v>11</v>
      </c>
      <c r="H5" s="4" t="n">
        <f aca="false">Assumptions!H41</f>
        <v>10</v>
      </c>
      <c r="I5" s="4" t="n">
        <f aca="false">Assumptions!I41</f>
        <v>9</v>
      </c>
      <c r="J5" s="4" t="n">
        <f aca="false">Assumptions!J41</f>
        <v>8</v>
      </c>
      <c r="K5" s="4" t="n">
        <f aca="false">Assumptions!K41</f>
        <v>7</v>
      </c>
      <c r="L5" s="4" t="n">
        <f aca="false">Assumptions!L41</f>
        <v>6</v>
      </c>
    </row>
    <row r="6" customFormat="false" ht="15" hidden="false" customHeight="false" outlineLevel="0" collapsed="false">
      <c r="A6" s="0" t="s">
        <v>37</v>
      </c>
      <c r="B6" s="3" t="n">
        <v>3134.459</v>
      </c>
      <c r="C6" s="0" t="n">
        <f aca="false">B6*(1+C5/100)</f>
        <v>3557.610965</v>
      </c>
      <c r="D6" s="0" t="n">
        <f aca="false">C6*(1+D5/100)</f>
        <v>4002.312335625</v>
      </c>
      <c r="E6" s="0" t="n">
        <f aca="false">D6*(1+E5/100)</f>
        <v>4482.5898159</v>
      </c>
      <c r="F6" s="0" t="n">
        <f aca="false">E6*(1+F5/100)</f>
        <v>4998.0876447285</v>
      </c>
      <c r="G6" s="0" t="n">
        <f aca="false">F6*(1+G5/100)</f>
        <v>5547.87728564864</v>
      </c>
      <c r="H6" s="0" t="n">
        <f aca="false">G6*(1+H5/100)</f>
        <v>6102.6650142135</v>
      </c>
      <c r="I6" s="0" t="n">
        <f aca="false">H6*(1+I5/100)</f>
        <v>6651.90486549272</v>
      </c>
      <c r="J6" s="0" t="n">
        <f aca="false">I6*(1+J5/100)</f>
        <v>7184.05725473213</v>
      </c>
      <c r="K6" s="0" t="n">
        <f aca="false">J6*(1+K5/100)</f>
        <v>7686.94126256338</v>
      </c>
      <c r="L6" s="0" t="n">
        <f aca="false">K6*(1+L5/100)</f>
        <v>8148.15773831719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65.2</v>
      </c>
      <c r="D7" s="4" t="n">
        <f aca="false">Assumptions!D42</f>
        <v>66</v>
      </c>
      <c r="E7" s="4" t="n">
        <f aca="false">Assumptions!E42</f>
        <v>66.8</v>
      </c>
      <c r="F7" s="4" t="n">
        <f aca="false">Assumptions!F42</f>
        <v>67.6</v>
      </c>
      <c r="G7" s="4" t="n">
        <f aca="false">Assumptions!G42</f>
        <v>68.4</v>
      </c>
      <c r="H7" s="4" t="n">
        <f aca="false">Assumptions!H42</f>
        <v>69</v>
      </c>
      <c r="I7" s="4" t="n">
        <f aca="false">Assumptions!I42</f>
        <v>69.5</v>
      </c>
      <c r="J7" s="4" t="n">
        <f aca="false">Assumptions!J42</f>
        <v>70</v>
      </c>
      <c r="K7" s="4" t="n">
        <f aca="false">Assumptions!K42</f>
        <v>70</v>
      </c>
      <c r="L7" s="4" t="n">
        <f aca="false">Assumptions!L42</f>
        <v>70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2319.56234918</v>
      </c>
      <c r="D8" s="0" t="n">
        <f aca="false">D6*D7/100</f>
        <v>2641.5261415125</v>
      </c>
      <c r="E8" s="0" t="n">
        <f aca="false">E6*E7/100</f>
        <v>2994.3699970212</v>
      </c>
      <c r="F8" s="0" t="n">
        <f aca="false">F6*F7/100</f>
        <v>3378.70724783647</v>
      </c>
      <c r="G8" s="0" t="n">
        <f aca="false">G6*G7/100</f>
        <v>3794.74806338367</v>
      </c>
      <c r="H8" s="0" t="n">
        <f aca="false">H6*H7/100</f>
        <v>4210.83885980731</v>
      </c>
      <c r="I8" s="0" t="n">
        <f aca="false">I6*I7/100</f>
        <v>4623.07388151744</v>
      </c>
      <c r="J8" s="0" t="n">
        <f aca="false">J6*J7/100</f>
        <v>5028.84007831249</v>
      </c>
      <c r="K8" s="0" t="n">
        <f aca="false">K6*K7/100</f>
        <v>5380.85888379437</v>
      </c>
      <c r="L8" s="0" t="n">
        <f aca="false">L6*L7/100</f>
        <v>5703.71041682203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5.4</v>
      </c>
      <c r="D9" s="4" t="n">
        <f aca="false">Assumptions!D43</f>
        <v>5.3</v>
      </c>
      <c r="E9" s="4" t="n">
        <f aca="false">Assumptions!E43</f>
        <v>5.2</v>
      </c>
      <c r="F9" s="4" t="n">
        <f aca="false">Assumptions!F43</f>
        <v>5.1</v>
      </c>
      <c r="G9" s="4" t="n">
        <f aca="false">Assumptions!G43</f>
        <v>5</v>
      </c>
      <c r="H9" s="4" t="n">
        <f aca="false">Assumptions!H43</f>
        <v>4.9</v>
      </c>
      <c r="I9" s="4" t="n">
        <f aca="false">Assumptions!I43</f>
        <v>4.8</v>
      </c>
      <c r="J9" s="4" t="n">
        <f aca="false">Assumptions!J43</f>
        <v>4.7</v>
      </c>
      <c r="K9" s="4" t="n">
        <f aca="false">Assumptions!K43</f>
        <v>4.6</v>
      </c>
      <c r="L9" s="4" t="n">
        <f aca="false">Assumptions!L43</f>
        <v>4.5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-192.11099211</v>
      </c>
      <c r="D10" s="0" t="n">
        <f aca="false">-D6*D9/100</f>
        <v>-212.122553788125</v>
      </c>
      <c r="E10" s="0" t="n">
        <f aca="false">-E6*E9/100</f>
        <v>-233.0946704268</v>
      </c>
      <c r="F10" s="0" t="n">
        <f aca="false">-F6*F9/100</f>
        <v>-254.902469881153</v>
      </c>
      <c r="G10" s="0" t="n">
        <f aca="false">-G6*G9/100</f>
        <v>-277.393864282432</v>
      </c>
      <c r="H10" s="0" t="n">
        <f aca="false">-H6*H9/100</f>
        <v>-299.030585696462</v>
      </c>
      <c r="I10" s="0" t="n">
        <f aca="false">-I6*I9/100</f>
        <v>-319.29143354365</v>
      </c>
      <c r="J10" s="0" t="n">
        <f aca="false">-J6*J9/100</f>
        <v>-337.65069097241</v>
      </c>
      <c r="K10" s="0" t="n">
        <f aca="false">-K6*K9/100</f>
        <v>-353.599298077916</v>
      </c>
      <c r="L10" s="0" t="n">
        <f aca="false">-L6*L9/100</f>
        <v>-366.667098224273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2127.45135707</v>
      </c>
      <c r="D11" s="0" t="n">
        <f aca="false">D8+D10+D24</f>
        <v>2429.40358772438</v>
      </c>
      <c r="E11" s="0" t="n">
        <f aca="false">E8+E10+E24</f>
        <v>2761.2753265944</v>
      </c>
      <c r="F11" s="0" t="n">
        <f aca="false">F8+F10+F24</f>
        <v>3123.80477795531</v>
      </c>
      <c r="G11" s="0" t="n">
        <f aca="false">G8+G10+G24</f>
        <v>3517.35419910124</v>
      </c>
      <c r="H11" s="0" t="n">
        <f aca="false">H8+H10+H24</f>
        <v>3911.80827411085</v>
      </c>
      <c r="I11" s="0" t="n">
        <f aca="false">I8+I10+I24</f>
        <v>4303.78244797379</v>
      </c>
      <c r="J11" s="0" t="n">
        <f aca="false">J8+J10+J24</f>
        <v>4691.18938734008</v>
      </c>
      <c r="K11" s="0" t="n">
        <f aca="false">K8+K10+K24</f>
        <v>5027.25958571645</v>
      </c>
      <c r="L11" s="0" t="n">
        <f aca="false">L8+L10+L24</f>
        <v>5337.04331859776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-213.4566579</v>
      </c>
      <c r="D12" s="4" t="n">
        <f aca="false">-D6*Assumptions!D45/100</f>
        <v>-232.13411546625</v>
      </c>
      <c r="E12" s="4" t="n">
        <f aca="false">-E6*Assumptions!E45/100</f>
        <v>-251.0250296904</v>
      </c>
      <c r="F12" s="4" t="n">
        <f aca="false">-F6*Assumptions!F45/100</f>
        <v>-269.896732815339</v>
      </c>
      <c r="G12" s="4" t="n">
        <f aca="false">-G6*Assumptions!G45/100</f>
        <v>-288.489618853729</v>
      </c>
      <c r="H12" s="4" t="n">
        <f aca="false">-H6*Assumptions!H45/100</f>
        <v>-305.133250710675</v>
      </c>
      <c r="I12" s="4" t="n">
        <f aca="false">-I6*Assumptions!I45/100</f>
        <v>-325.943338409143</v>
      </c>
      <c r="J12" s="4" t="n">
        <f aca="false">-J6*Assumptions!J45/100</f>
        <v>-344.834748227142</v>
      </c>
      <c r="K12" s="4" t="n">
        <f aca="false">-K6*Assumptions!K45/100</f>
        <v>-361.286239340479</v>
      </c>
      <c r="L12" s="4" t="n">
        <f aca="false">-L6*Assumptions!L45/100</f>
        <v>-374.815255962591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1913.99469917</v>
      </c>
      <c r="D13" s="0" t="n">
        <f aca="false">D11+D12</f>
        <v>2197.26947225813</v>
      </c>
      <c r="E13" s="0" t="n">
        <f aca="false">E11+E12</f>
        <v>2510.250296904</v>
      </c>
      <c r="F13" s="0" t="n">
        <f aca="false">F11+F12</f>
        <v>2853.90804513997</v>
      </c>
      <c r="G13" s="0" t="n">
        <f aca="false">G11+G12</f>
        <v>3228.86458024751</v>
      </c>
      <c r="H13" s="0" t="n">
        <f aca="false">H11+H12</f>
        <v>3606.67502340018</v>
      </c>
      <c r="I13" s="0" t="n">
        <f aca="false">I11+I12</f>
        <v>3977.83910956464</v>
      </c>
      <c r="J13" s="0" t="n">
        <f aca="false">J11+J12</f>
        <v>4346.35463911294</v>
      </c>
      <c r="K13" s="0" t="n">
        <f aca="false">K11+K12</f>
        <v>4665.97334637597</v>
      </c>
      <c r="L13" s="0" t="n">
        <f aca="false">L11+L12</f>
        <v>4962.22806263517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19</v>
      </c>
      <c r="D14" s="4" t="n">
        <f aca="false">Assumptions!D47</f>
        <v>19.5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20.5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1550.3357063277</v>
      </c>
      <c r="D15" s="0" t="n">
        <f aca="false">D13-MAX(0,D13)*D14/100</f>
        <v>1768.80192516779</v>
      </c>
      <c r="E15" s="0" t="n">
        <f aca="false">E13-MAX(0,E13)*E14/100</f>
        <v>2008.2002375232</v>
      </c>
      <c r="F15" s="0" t="n">
        <f aca="false">F13-MAX(0,F13)*F14/100</f>
        <v>2283.12643611198</v>
      </c>
      <c r="G15" s="0" t="n">
        <f aca="false">G13-MAX(0,G13)*G14/100</f>
        <v>2566.94734129677</v>
      </c>
      <c r="H15" s="0" t="n">
        <f aca="false">H13-MAX(0,H13)*H14/100</f>
        <v>2849.27326848614</v>
      </c>
      <c r="I15" s="0" t="n">
        <f aca="false">I13-MAX(0,I13)*I14/100</f>
        <v>3142.49289655607</v>
      </c>
      <c r="J15" s="0" t="n">
        <f aca="false">J13-MAX(0,J13)*J14/100</f>
        <v>3433.62016489922</v>
      </c>
      <c r="K15" s="0" t="n">
        <f aca="false">K13-MAX(0,K13)*K14/100</f>
        <v>3686.11894363702</v>
      </c>
      <c r="L15" s="0" t="n">
        <f aca="false">L13-MAX(0,L13)*L14/100</f>
        <v>3920.16016948178</v>
      </c>
    </row>
    <row r="16" customFormat="false" ht="15" hidden="false" customHeight="false" outlineLevel="0" collapsed="false">
      <c r="A16" s="0" t="s">
        <v>126</v>
      </c>
      <c r="C16" s="0" t="n">
        <f aca="false">-C12</f>
        <v>213.4566579</v>
      </c>
      <c r="D16" s="0" t="n">
        <f aca="false">-D12</f>
        <v>232.13411546625</v>
      </c>
      <c r="E16" s="0" t="n">
        <f aca="false">-E12</f>
        <v>251.0250296904</v>
      </c>
      <c r="F16" s="0" t="n">
        <f aca="false">-F12</f>
        <v>269.896732815339</v>
      </c>
      <c r="G16" s="0" t="n">
        <f aca="false">-G12</f>
        <v>288.489618853729</v>
      </c>
      <c r="H16" s="0" t="n">
        <f aca="false">-H12</f>
        <v>305.133250710675</v>
      </c>
      <c r="I16" s="0" t="n">
        <f aca="false">-I12</f>
        <v>325.943338409143</v>
      </c>
      <c r="J16" s="0" t="n">
        <f aca="false">-J12</f>
        <v>344.834748227142</v>
      </c>
      <c r="K16" s="0" t="n">
        <f aca="false">-K12</f>
        <v>361.286239340479</v>
      </c>
      <c r="L16" s="0" t="n">
        <f aca="false">-L12</f>
        <v>374.815255962591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-149.41966053</v>
      </c>
      <c r="D17" s="4" t="n">
        <f aca="false">-D6*Assumptions!D46/100</f>
        <v>-168.09711809625</v>
      </c>
      <c r="E17" s="4" t="n">
        <f aca="false">-E6*Assumptions!E46/100</f>
        <v>-183.7861824519</v>
      </c>
      <c r="F17" s="4" t="n">
        <f aca="false">-F6*Assumptions!F46/100</f>
        <v>-204.921593433868</v>
      </c>
      <c r="G17" s="4" t="n">
        <f aca="false">-G6*Assumptions!G46/100</f>
        <v>-221.915091425945</v>
      </c>
      <c r="H17" s="4" t="n">
        <f aca="false">-H6*Assumptions!H46/100</f>
        <v>-244.10660056854</v>
      </c>
      <c r="I17" s="4" t="n">
        <f aca="false">-I6*Assumptions!I46/100</f>
        <v>-259.424289754216</v>
      </c>
      <c r="J17" s="4" t="n">
        <f aca="false">-J6*Assumptions!J46/100</f>
        <v>-280.178232934553</v>
      </c>
      <c r="K17" s="4" t="n">
        <f aca="false">-K6*Assumptions!K46/100</f>
        <v>-292.103767977409</v>
      </c>
      <c r="L17" s="4" t="n">
        <f aca="false">-L6*Assumptions!L46/100</f>
        <v>-309.629994056053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63.47279475</v>
      </c>
      <c r="D18" s="4" t="n">
        <f aca="false">(D6-C6)*Assumptions!$B$51/100</f>
        <v>66.70520559375</v>
      </c>
      <c r="E18" s="4" t="n">
        <f aca="false">(E6-D6)*Assumptions!$B$51/100</f>
        <v>72.04162204125</v>
      </c>
      <c r="F18" s="4" t="n">
        <f aca="false">(F6-E6)*Assumptions!$B$51/100</f>
        <v>77.324674324275</v>
      </c>
      <c r="G18" s="4" t="n">
        <f aca="false">(G6-F6)*Assumptions!$B$51/100</f>
        <v>82.4684461380204</v>
      </c>
      <c r="H18" s="4" t="n">
        <f aca="false">(H6-G6)*Assumptions!$B$51/100</f>
        <v>83.2181592847296</v>
      </c>
      <c r="I18" s="4" t="n">
        <f aca="false">(I6-H6)*Assumptions!$B$51/100</f>
        <v>82.3859776918823</v>
      </c>
      <c r="J18" s="4" t="n">
        <f aca="false">(J6-I6)*Assumptions!$B$51/100</f>
        <v>79.8228583859127</v>
      </c>
      <c r="K18" s="4" t="n">
        <f aca="false">(K6-J6)*Assumptions!$B$51/100</f>
        <v>75.4326011746875</v>
      </c>
      <c r="L18" s="4" t="n">
        <f aca="false">(L6-K6)*Assumptions!$B$51/100</f>
        <v>69.1824713630705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1677.8454984477</v>
      </c>
      <c r="D19" s="0" t="n">
        <f aca="false">D15+D16+D17+D18</f>
        <v>1899.54412813154</v>
      </c>
      <c r="E19" s="0" t="n">
        <f aca="false">E15+E16+E17+E18</f>
        <v>2147.48070680295</v>
      </c>
      <c r="F19" s="0" t="n">
        <f aca="false">F15+F16+F17+F18</f>
        <v>2425.42624981772</v>
      </c>
      <c r="G19" s="0" t="n">
        <f aca="false">G15+G16+G17+G18</f>
        <v>2715.99031486257</v>
      </c>
      <c r="H19" s="0" t="n">
        <f aca="false">H15+H16+H17+H18</f>
        <v>2993.51807791301</v>
      </c>
      <c r="I19" s="0" t="n">
        <f aca="false">I15+I16+I17+I18</f>
        <v>3291.39792290288</v>
      </c>
      <c r="J19" s="0" t="n">
        <f aca="false">J15+J16+J17+J18</f>
        <v>3578.09953857772</v>
      </c>
      <c r="K19" s="0" t="n">
        <f aca="false">K15+K16+K17+K18</f>
        <v>3830.73401617478</v>
      </c>
      <c r="L19" s="0" t="n">
        <f aca="false">L15+L16+L17+L18</f>
        <v>4054.52790275139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1539.30779674101</v>
      </c>
      <c r="D21" s="0" t="n">
        <f aca="false">D19*D20</f>
        <v>1598.80828897529</v>
      </c>
      <c r="E21" s="0" t="n">
        <f aca="false">E19*E20</f>
        <v>1658.2491255431</v>
      </c>
      <c r="F21" s="0" t="n">
        <f aca="false">F19*F20</f>
        <v>1718.23310295019</v>
      </c>
      <c r="G21" s="0" t="n">
        <f aca="false">G19*G20</f>
        <v>1765.20735051151</v>
      </c>
      <c r="H21" s="0" t="n">
        <f aca="false">H19*H20</f>
        <v>1784.9370222818</v>
      </c>
      <c r="I21" s="0" t="n">
        <f aca="false">I19*I20</f>
        <v>1800.50737723404</v>
      </c>
      <c r="J21" s="0" t="n">
        <f aca="false">J19*J20</f>
        <v>1795.72750372485</v>
      </c>
      <c r="K21" s="0" t="n">
        <f aca="false">K19*K20</f>
        <v>1763.77635698491</v>
      </c>
      <c r="L21" s="0" t="n">
        <f aca="false">L19*L20</f>
        <v>1712.6764029823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17137.430327929</v>
      </c>
    </row>
    <row r="31" customFormat="false" ht="15" hidden="false" customHeight="false" outlineLevel="0" collapsed="false">
      <c r="A31" s="0" t="s">
        <v>135</v>
      </c>
      <c r="B31" s="0" t="n">
        <f aca="false">L19</f>
        <v>4054.52790275139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76298.843260867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81090.5580550278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76298.843260867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32229.4559470305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49366.8862749595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43342.8862749595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595.36931696373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0.0916395917851991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1735.7581916476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2914.63799803312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659.2483855033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36490.7511247625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217.48259375467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279.369437324962</v>
      </c>
      <c r="C4" s="0" t="n">
        <f aca="false">B4/Assumptions!$B$2-1</f>
        <v>-0.48776208341744</v>
      </c>
      <c r="D4" s="4" t="n">
        <f aca="false">Assumptions!$B$24</f>
        <v>0.2</v>
      </c>
      <c r="E4" s="4" t="n">
        <f aca="false">DCF_Bear!$B$43</f>
        <v>321.760111194827</v>
      </c>
      <c r="F4" s="4" t="n">
        <f aca="false">DCF_Bear!$B$47</f>
        <v>100.257512814198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439.882605290542</v>
      </c>
      <c r="C5" s="0" t="n">
        <f aca="false">B5/Assumptions!$B$2-1</f>
        <v>-0.193453115586017</v>
      </c>
      <c r="D5" s="4" t="n">
        <f aca="false">Assumptions!$B$38</f>
        <v>0.5</v>
      </c>
      <c r="E5" s="4" t="n">
        <f aca="false">DCF_Base!$B$43</f>
        <v>491.70414618522</v>
      </c>
      <c r="F5" s="4" t="n">
        <f aca="false">DCF_Base!$B$47</f>
        <v>164.606135464912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595.36931696373</v>
      </c>
      <c r="C6" s="0" t="n">
        <f aca="false">B6/Assumptions!$B$2-1</f>
        <v>0.0916395917851991</v>
      </c>
      <c r="D6" s="4" t="n">
        <f aca="false">Assumptions!$B$52</f>
        <v>0.3</v>
      </c>
      <c r="E6" s="4" t="n">
        <f aca="false">DCF_Bull!$B$43</f>
        <v>659.2483855033</v>
      </c>
      <c r="F6" s="4" t="n">
        <f aca="false">DCF_Bull!$B$47</f>
        <v>217.48259375467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454.425985199383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507.978610982565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-0.200173444660535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169.859112359684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167.599348421697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439.882605290542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360.65666503739</v>
      </c>
      <c r="C16" s="3" t="n">
        <v>10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301.458023322193</v>
      </c>
      <c r="C17" s="3" t="n">
        <v>11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255.59717697135</v>
      </c>
      <c r="C18" s="3" t="n">
        <v>12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164.606135464912</v>
      </c>
      <c r="C19" s="3" t="n">
        <v>15</v>
      </c>
    </row>
    <row r="21" customFormat="false" ht="15" hidden="false" customHeight="false" outlineLevel="0" collapsed="false">
      <c r="A21" s="2" t="s">
        <v>171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589.991416551682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589.991416551682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589.991416551682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589.991416551682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589.991416551682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477.790838059149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511.14918154419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538.947801115057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538.947801115057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538.947801115057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391.635147007191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413.90320467643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439.882605290542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470.585533289039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492.556435893467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327.326304021829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342.880472495757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360.65666503739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381.167656431581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405.097146391471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277.562150091642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288.807266906019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301.458023322193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315.795547260523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332.181288904329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2026-10-02T02:26:30Z</dcterms:created>
  <dc:creator>openpyxl</dc:creator>
  <dc:description/>
  <dc:language>en-NZ</dc:language>
  <cp:lastModifiedBy/>
  <dcterms:modified xsi:type="dcterms:W3CDTF">2026-10-02T02:26:30Z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