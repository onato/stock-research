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<sst xmlns="http://schemas.openxmlformats.org/spreadsheetml/2006/main" count="386" uniqueCount="173">
  <si>
    <t xml:space="preserve">Ticker</t>
  </si>
  <si>
    <t xml:space="preserve">ODFL</t>
  </si>
  <si>
    <t xml:space="preserve">Company</t>
  </si>
  <si>
    <t xml:space="preserve">Old Dominion Freight Line, Inc.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</si>
  <si>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</si>
  <si>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</si>
  <si>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</si>
  <si>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</si>
  <si>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2026-10-01T20:00:00Z regular close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</si>
  <si>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</si>
  <si>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</si>
  <si>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</si>
  <si>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</si>
  <si>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</si>
  <si>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</si>
  <si>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</si>
  <si>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</si>
  <si>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</si>
  <si>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</si>
  <si>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</si>
  <si>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</si>
  <si>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2026-10-02T06:23:40Z</t>
  </si>
  <si>
    <t xml:space="preserve">Drivers file</t>
  </si>
  <si>
    <t xml:space="preserve">ODFL_Drivers.json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</si>
  <si>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</si>
  <si>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</si>
  <si>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</si>
  <si>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DCF on a strict basis: SBC expensed (trivial here), share count flat, net cash added once, and -- the judgment that matters for ODFL -- capex restored to a mid-cycle 9-10% of revenue rather than the 4.6% trough the company is guiding for FY2026. ODFL is the best operator in a consolidated, rational industry, and the model credits it with a 34.5% mid-cycle EBITDA margin and a decade of above-GDP growth. Even so, at ~34x trailing earnings and ~33x trough-capex FCF, the market is capitalising ODFL at a discount rate several points below the 9% USD WACC used here; the required-return table shows what return the current price implies. The gap between house value and price is a statement about the multiple, not about the business.
key_risks_to_valuation: Capex normalisation assumption: if ODFL can sustain growth on ~6-7% capex (the FY2020 and FY2026 pattern) rather than the 9-10% modelled, owner FCF is ~$200M/yr higher and the base value rises materially; the 2016-2025 record says it cannot.; Freight-cycle timing: each year the volume recovery slips costs roughly one year of growth at the front of the path, and the market's premium multiple is sensitive to it.; Pricing discipline: LTL yield has risen 4-5% ex-fuel for a decade on industry consolidation; a price war led by newly built competitor capacity would compress the margin plateau toward the bear's 31%.; Discount rate: a long-duration compounder with ~55-60% of value in the terminal; one point of WACC moves the base value by roughly 15-20% (see sensitivity grid).; Operating-ratio ceiling: the bull assumes a sustained sub-70 OR that ODFL has reached only in peak quarters; a structural OR of 72-73 is the base, not a floor.</t>
  </si>
  <si>
    <t xml:space="preserve">Data sources</t>
  </si>
  <si>
    <t xml:space="preserve">price: Yahoo Finance chart API at inputs.price_as_of (regular close); 52-week range 126.01-252.03.
financials: ODFL_Metrics.csv derived from SEC XBRL companyfacts (10-K FY2025 for FY0 flows, SBC and buybacks; 10-Q Q2 2026 for cash, debt, equity and share count at 2026-06-30). FY2023-25 cash taxes paid from the kpis table. No PDF/text filings exist for this ticker.
qualitative: ODFL_Analysis.json (2026-10-02): business model, Q2 2026 results and Q3 2026 guidance (revenue $1.54-1.55B, revenue/cwt +4-4.5%, OR +150-200bps sequentially), FY2026 capex guidance (~$265M), bull/bear points.</t>
  </si>
  <si>
    <t xml:space="preserve">Scenario narrative: bear</t>
  </si>
  <si>
    <t xml:space="preserve">The freight recession becomes structural: tariff-driven manufacturing weakness and nearshoring friction keep LTL tonnage falling through 2028, and the competitive set -- Saia's network build-out, XPO's service push, a standalone FedEx Freight -- turns to price to fill their own new doors. ODFL's premium yield stalls, revenue is flat for two years and the operating ratio drifts back to 75-76 with no leverage. No balance-sheet stress (net cash, no debt), and management keeps investing through the downturn as it always has, so capex never falls below 8.5% -- which is why bear FCF is thin rather than catastrophic. Terminal growth 2.5%, 15x cap.</t>
  </si>
  <si>
    <t xml:space="preserve">Scenario narrative: base</t>
  </si>
  <si>
    <t xml:space="preserve">ODFL's two axes are the freight cycle (volume) and yield discipline (price). Base: the cycle bottoms in late 2026 -- Q1 2026 tons/day -7.7% YoY improving sequentially, Q2 +10% revenue on +15% revenue/cwt -- and 2027-28 bring a modest tonnage recovery layered on 4-5% ex-fuel yield, giving 7-8% growth before decay to 3%. Operating leverage on the fixed network lifts the EBITDA margin from 31.4% (FY2025) to a 34.5% plateau, an operating ratio of ~72.5, short of management's sub-70 ambition. The capex pause (FY2026 ~$265M) ends in FY2027-28 as the ~30% excess door capacity is absorbed; capex returns to the 10% of revenue the company has historically spent and settles at 9%. Owner-FCF margin runs ~21% in the trough-capex year, falls to ~17% while capex rebuilds, and matures at ~18%. The stock at ~34x trailing earnings prices a recovery the base case delivers, at a discount rate well below the 9% used here.</t>
  </si>
  <si>
    <t xml:space="preserve">Scenario narrative: bull</t>
  </si>
  <si>
    <t xml:space="preserve">The industrial economy turns in 2027 and the Yellow-exit share gains repeat: with spare capacity already built and competitors capacity-constrained, ODFL grows revenue 10-11% for two years and sustains high single digits into 2030. Yield stays +4-5% ex-fuel through the upturn. Operating leverage delivers the sub-70 operating ratio management targets (36.5% EBITDA), the level hit in Q2 2026 with property gains. Capex runs heavier to keep 20-25% headroom. Terminal growth 3.5% reflects a structural share gainer in a consolidated industry (top 10 ~82% of LTL).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</si>
  <si>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</si>
  <si>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</si>
  <si>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</si>
  <si>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</si>
  <si>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</si>
  <si>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</si>
  <si>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</si>
  <si>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</si>
  <si>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</si>
  <si>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</si>
  <si>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</si>
  <si>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</si>
  <si>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</si>
  <si>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</si>
  <si>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</si>
  <si>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</si>
  <si>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</si>
  <si>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</si>
  <si>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</si>
  <si>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</si>
  <si>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</si>
  <si>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</si>
  <si>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</si>
  <si>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</si>
  <si>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</si>
  <si>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</si>
  <si>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</si>
  <si>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</si>
  <si>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</si>
  <si>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</si>
  <si>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</si>
  <si>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</si>
  <si>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</si>
  <si>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</si>
  <si>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</si>
  <si>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</si>
  <si>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</si>
  <si>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</si>
  <si>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</si>
  <si>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</si>
  <si>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</si>
  <si>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</si>
  <si>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</si>
  <si>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</si>
  <si>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</si>
  <si>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</si>
  <si>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</si>
  <si>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</si>
  <si>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</si>
  <si>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</si>
  <si>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</si>
  <si>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</si>
  <si>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</si>
  <si>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</si>
  <si>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</si>
  <si>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</si>
  <si>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</si>
  <si>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</si>
  <si>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</si>
  <si>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</si>
  <si>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</si>
  <si>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</si>
  <si>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</si>
  <si>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</si>
  <si>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</si>
  <si>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</si>
  <si>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</si>
  <si>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</si>
  <si>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</si>
  <si>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</si>
  <si>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</si>
  <si>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</si>
  <si>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</si>
  <si>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</si>
  <si>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</si>
  <si>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</si>
  <si>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</si>
  <si>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</si>
  <si>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</si>
  <si>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</si>
  <si>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</si>
  <si>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</si>
  <si>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</si>
  <si>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ODFL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</si>
  <si>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</si>
  <si>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</si>
  <si>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</si>
  <si>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</si>
  <si>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</si>
  <si>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</si>
  <si>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</si>
  <si>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</si>
  <si>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</si>
  <si>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</si>
  <si>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</si>
  <si>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</si>
  <si>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</si>
  <si>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</si>
  <si>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</si>
  <si>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</si>
  <si>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</si>
  <si>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</si>
  <si>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</si>
  <si>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</si>
  <si>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</si>
  <si>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</si>
  <si>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</si>
  <si>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</si>
  <si>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</si>
  <si>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</si>
  <si>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</si>
  <si>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</si>
  <si>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</si>
  <si>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</si>
  <si>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ODFL owner-FCF component DCF: base case (millions, USD)</t>
  </si>
  <si>
    <t xml:space="preserve">ODFL owner-FCF component DCF: bull case (millions, USD)</t>
  </si>
  <si>
    <t xml:space="preserve">ODFL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</si>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</sst>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178.1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489.452</v>
      </c>
      <c r="S2" s="0" t="n">
        <v>6.328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F3" s="0" t="n">
        <v>129.07</v>
      </c>
      <c r="H3" s="0" t="n">
        <v>216.153</v>
      </c>
      <c r="I3" s="0" t="n">
        <v>68.677</v>
      </c>
      <c r="K3" s="0" t="n">
        <v>1.23</v>
      </c>
      <c r="L3" s="0" t="n">
        <v>196.506</v>
      </c>
      <c r="M3" s="0" t="n">
        <v>181.499</v>
      </c>
      <c r="N3" s="0" t="n">
        <v>15.007</v>
      </c>
      <c r="O3" s="0" t="n">
        <v>558.129</v>
      </c>
      <c r="S3" s="0" t="n">
        <v>24.104</v>
      </c>
      <c r="T3" s="0" t="n">
        <v>55.927013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F4" s="0" t="n">
        <v>70.391</v>
      </c>
      <c r="H4" s="0" t="n">
        <v>165.175</v>
      </c>
      <c r="I4" s="0" t="n">
        <v>34.871</v>
      </c>
      <c r="K4" s="0" t="n">
        <v>0.62</v>
      </c>
      <c r="L4" s="0" t="n">
        <v>130.716</v>
      </c>
      <c r="M4" s="0" t="n">
        <v>210.888</v>
      </c>
      <c r="N4" s="0" t="n">
        <v>-80.172</v>
      </c>
      <c r="O4" s="0" t="n">
        <v>593</v>
      </c>
      <c r="P4" s="0" t="n">
        <v>1159.278</v>
      </c>
      <c r="Q4" s="0" t="n">
        <v>566.278</v>
      </c>
      <c r="R4" s="0" t="n">
        <v>305.532</v>
      </c>
      <c r="S4" s="0" t="n">
        <v>4.171</v>
      </c>
      <c r="T4" s="0" t="n">
        <v>55.927013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F5" s="0" t="n">
        <v>137.739</v>
      </c>
      <c r="H5" s="0" t="n">
        <v>218.101</v>
      </c>
      <c r="I5" s="0" t="n">
        <v>75.651</v>
      </c>
      <c r="K5" s="0" t="n">
        <v>0.9</v>
      </c>
      <c r="L5" s="0" t="n">
        <v>140.522</v>
      </c>
      <c r="M5" s="0" t="n">
        <v>106.347</v>
      </c>
      <c r="N5" s="0" t="n">
        <v>34.175</v>
      </c>
      <c r="O5" s="0" t="n">
        <v>668.649</v>
      </c>
      <c r="P5" s="0" t="n">
        <v>1239.881</v>
      </c>
      <c r="Q5" s="0" t="n">
        <v>571.232</v>
      </c>
      <c r="R5" s="0" t="n">
        <v>271.217</v>
      </c>
      <c r="S5" s="0" t="n">
        <v>5.45</v>
      </c>
      <c r="T5" s="0" t="n">
        <v>83.890483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F6" s="0" t="n">
        <v>234.072</v>
      </c>
      <c r="H6" s="0" t="n">
        <v>324.892</v>
      </c>
      <c r="I6" s="0" t="n">
        <v>139.47</v>
      </c>
      <c r="K6" s="0" t="n">
        <v>1.63</v>
      </c>
      <c r="L6" s="0" t="n">
        <v>277.934</v>
      </c>
      <c r="M6" s="0" t="n">
        <v>250.768</v>
      </c>
      <c r="N6" s="0" t="n">
        <v>27.166</v>
      </c>
      <c r="O6" s="0" t="n">
        <v>856.519</v>
      </c>
      <c r="P6" s="0" t="n">
        <v>1513.074</v>
      </c>
      <c r="Q6" s="0" t="n">
        <v>656.555</v>
      </c>
      <c r="R6" s="0" t="n">
        <v>269.185</v>
      </c>
      <c r="S6" s="0" t="n">
        <v>75.85</v>
      </c>
      <c r="T6" s="0" t="n">
        <v>86.164986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F7" s="0" t="n">
        <v>285.254</v>
      </c>
      <c r="H7" s="0" t="n">
        <v>395.997</v>
      </c>
      <c r="I7" s="0" t="n">
        <v>169.452</v>
      </c>
      <c r="K7" s="0" t="n">
        <v>1.97</v>
      </c>
      <c r="L7" s="0" t="n">
        <v>328.056</v>
      </c>
      <c r="M7" s="0" t="n">
        <v>373.193</v>
      </c>
      <c r="N7" s="0" t="n">
        <v>-45.137</v>
      </c>
      <c r="O7" s="0" t="n">
        <v>1025.969</v>
      </c>
      <c r="P7" s="0" t="n">
        <v>1712.514</v>
      </c>
      <c r="Q7" s="0" t="n">
        <v>686.545</v>
      </c>
      <c r="R7" s="0" t="n">
        <v>240.407</v>
      </c>
      <c r="S7" s="0" t="n">
        <v>12.857</v>
      </c>
      <c r="T7" s="0" t="n">
        <v>86.164964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F8" s="0" t="n">
        <v>338.438</v>
      </c>
      <c r="H8" s="0" t="n">
        <v>465.51</v>
      </c>
      <c r="I8" s="0" t="n">
        <v>206.113</v>
      </c>
      <c r="K8" s="0" t="n">
        <v>2.39</v>
      </c>
      <c r="L8" s="0" t="n">
        <v>350.666</v>
      </c>
      <c r="M8" s="0" t="n">
        <v>295.606</v>
      </c>
      <c r="N8" s="0" t="n">
        <v>55.06</v>
      </c>
      <c r="O8" s="0" t="n">
        <v>1232.082</v>
      </c>
      <c r="P8" s="0" t="n">
        <v>1932.089</v>
      </c>
      <c r="Q8" s="0" t="n">
        <v>700.007</v>
      </c>
      <c r="R8" s="0" t="n">
        <v>191.429</v>
      </c>
      <c r="S8" s="0" t="n">
        <v>30.174</v>
      </c>
      <c r="T8" s="0" t="n">
        <v>86.164917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F9" s="0" t="n">
        <v>441.307</v>
      </c>
      <c r="H9" s="0" t="n">
        <v>587.773</v>
      </c>
      <c r="I9" s="0" t="n">
        <v>267.514</v>
      </c>
      <c r="K9" s="0" t="n">
        <v>3.1</v>
      </c>
      <c r="L9" s="0" t="n">
        <v>391.674</v>
      </c>
      <c r="M9" s="0" t="n">
        <v>367.68</v>
      </c>
      <c r="N9" s="0" t="n">
        <v>23.994</v>
      </c>
      <c r="O9" s="0" t="n">
        <v>1494.064</v>
      </c>
      <c r="P9" s="0" t="n">
        <v>2206.866</v>
      </c>
      <c r="Q9" s="0" t="n">
        <v>712.802</v>
      </c>
      <c r="R9" s="0" t="n">
        <v>155.714</v>
      </c>
      <c r="S9" s="0" t="n">
        <v>34.787</v>
      </c>
      <c r="T9" s="0" t="n">
        <v>86.162137</v>
      </c>
      <c r="U9" s="0" t="n">
        <v>0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F10" s="0" t="n">
        <v>498.24</v>
      </c>
      <c r="H10" s="0" t="n">
        <v>663.583</v>
      </c>
      <c r="I10" s="0" t="n">
        <v>304.69</v>
      </c>
      <c r="K10" s="0" t="n">
        <v>3.57</v>
      </c>
      <c r="L10" s="0" t="n">
        <v>553.88</v>
      </c>
      <c r="M10" s="0" t="n">
        <v>462.059</v>
      </c>
      <c r="N10" s="0" t="n">
        <v>91.821</v>
      </c>
      <c r="O10" s="0" t="n">
        <v>1684.637</v>
      </c>
      <c r="P10" s="0" t="n">
        <v>2466.504</v>
      </c>
      <c r="Q10" s="0" t="n">
        <v>781.867</v>
      </c>
      <c r="R10" s="0" t="n">
        <v>133.805</v>
      </c>
      <c r="S10" s="0" t="n">
        <v>11.472</v>
      </c>
      <c r="T10" s="0" t="n">
        <v>85.37848</v>
      </c>
      <c r="U10" s="0" t="n">
        <v>-2.5E-006</v>
      </c>
      <c r="V10" s="0" t="n">
        <v>0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2991.517</v>
      </c>
      <c r="F11" s="0" t="n">
        <v>483.835</v>
      </c>
      <c r="G11" s="0" t="n">
        <v>16.1735667890238</v>
      </c>
      <c r="H11" s="0" t="n">
        <v>673.702</v>
      </c>
      <c r="I11" s="0" t="n">
        <v>295.765</v>
      </c>
      <c r="J11" s="0" t="n">
        <v>9.88678987951598</v>
      </c>
      <c r="K11" s="0" t="n">
        <v>3.56</v>
      </c>
      <c r="L11" s="0" t="n">
        <v>565.583</v>
      </c>
      <c r="M11" s="0" t="n">
        <v>417.941</v>
      </c>
      <c r="N11" s="0" t="n">
        <v>147.642</v>
      </c>
      <c r="O11" s="0" t="n">
        <v>1851.158</v>
      </c>
      <c r="P11" s="0" t="n">
        <v>2696.247</v>
      </c>
      <c r="Q11" s="0" t="n">
        <v>845.089</v>
      </c>
      <c r="R11" s="0" t="n">
        <v>104.975</v>
      </c>
      <c r="S11" s="0" t="n">
        <v>10.171</v>
      </c>
      <c r="T11" s="0" t="n">
        <v>83.153659</v>
      </c>
      <c r="U11" s="0" t="n">
        <v>16.2</v>
      </c>
      <c r="V11" s="0" t="n">
        <v>0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3358.112</v>
      </c>
      <c r="F12" s="0" t="n">
        <v>575.886</v>
      </c>
      <c r="G12" s="0" t="n">
        <v>17.1491004469178</v>
      </c>
      <c r="H12" s="0" t="n">
        <v>781.649</v>
      </c>
      <c r="I12" s="0" t="n">
        <v>463.774</v>
      </c>
      <c r="J12" s="0" t="n">
        <v>13.8105578372609</v>
      </c>
      <c r="K12" s="0" t="n">
        <v>5.63</v>
      </c>
      <c r="L12" s="0" t="n">
        <v>536.294</v>
      </c>
      <c r="M12" s="0" t="n">
        <v>382.125</v>
      </c>
      <c r="N12" s="0" t="n">
        <v>154.169</v>
      </c>
      <c r="O12" s="0" t="n">
        <v>2276.854</v>
      </c>
      <c r="P12" s="0" t="n">
        <v>3068.424</v>
      </c>
      <c r="Q12" s="0" t="n">
        <v>791.57</v>
      </c>
      <c r="R12" s="0" t="n">
        <v>95</v>
      </c>
      <c r="S12" s="0" t="n">
        <v>127.462</v>
      </c>
      <c r="T12" s="0" t="n">
        <v>82.407068</v>
      </c>
      <c r="U12" s="0" t="n">
        <v>22.7</v>
      </c>
      <c r="V12" s="0" t="n">
        <v>0.4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4043.695</v>
      </c>
      <c r="F13" s="0" t="n">
        <v>817.051</v>
      </c>
      <c r="G13" s="0" t="n">
        <v>20.2055545732307</v>
      </c>
      <c r="H13" s="0" t="n">
        <v>1047.408</v>
      </c>
      <c r="I13" s="0" t="n">
        <v>605.668</v>
      </c>
      <c r="J13" s="0" t="n">
        <v>14.9780831640369</v>
      </c>
      <c r="K13" s="0" t="n">
        <v>4.93</v>
      </c>
      <c r="L13" s="0" t="n">
        <v>900.116</v>
      </c>
      <c r="M13" s="0" t="n">
        <v>588.292</v>
      </c>
      <c r="N13" s="0" t="n">
        <v>311.824</v>
      </c>
      <c r="O13" s="0" t="n">
        <v>2680.483</v>
      </c>
      <c r="P13" s="0" t="n">
        <v>3545.283</v>
      </c>
      <c r="Q13" s="0" t="n">
        <v>864.8</v>
      </c>
      <c r="R13" s="0" t="n">
        <v>45</v>
      </c>
      <c r="S13" s="0" t="n">
        <v>190.282</v>
      </c>
      <c r="T13" s="0" t="n">
        <v>123.029672</v>
      </c>
      <c r="U13" s="0" t="n">
        <v>10.7</v>
      </c>
      <c r="V13" s="0" t="n">
        <v>0.35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4109.111</v>
      </c>
      <c r="F14" s="0" t="n">
        <v>818.706</v>
      </c>
      <c r="G14" s="0" t="n">
        <v>19.9241636451291</v>
      </c>
      <c r="H14" s="0" t="n">
        <v>1072.387</v>
      </c>
      <c r="I14" s="0" t="n">
        <v>615.518</v>
      </c>
      <c r="J14" s="0" t="n">
        <v>14.9793471142542</v>
      </c>
      <c r="K14" s="0" t="n">
        <v>5.11</v>
      </c>
      <c r="L14" s="0" t="n">
        <v>983.888</v>
      </c>
      <c r="M14" s="0" t="n">
        <v>479.325</v>
      </c>
      <c r="N14" s="0" t="n">
        <v>504.563</v>
      </c>
      <c r="O14" s="0" t="n">
        <v>3080.717</v>
      </c>
      <c r="P14" s="0" t="n">
        <v>3995.568</v>
      </c>
      <c r="Q14" s="0" t="n">
        <v>914.851</v>
      </c>
      <c r="R14" s="0" t="n">
        <v>45</v>
      </c>
      <c r="S14" s="0" t="n">
        <v>403.571</v>
      </c>
      <c r="T14" s="0" t="n">
        <v>120.609599</v>
      </c>
      <c r="U14" s="0" t="n">
        <v>42.9</v>
      </c>
      <c r="V14" s="0" t="n">
        <v>0.45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4015.129</v>
      </c>
      <c r="F15" s="0" t="n">
        <v>906.882</v>
      </c>
      <c r="G15" s="0" t="n">
        <v>22.5866217498865</v>
      </c>
      <c r="H15" s="0" t="n">
        <v>1168.141</v>
      </c>
      <c r="I15" s="0" t="n">
        <v>672.682</v>
      </c>
      <c r="J15" s="0" t="n">
        <v>16.7536833810321</v>
      </c>
      <c r="K15" s="0" t="n">
        <v>5.71</v>
      </c>
      <c r="L15" s="0" t="n">
        <v>933.024</v>
      </c>
      <c r="M15" s="0" t="n">
        <v>225.081</v>
      </c>
      <c r="N15" s="0" t="n">
        <v>707.943</v>
      </c>
      <c r="O15" s="0" t="n">
        <v>3326.288</v>
      </c>
      <c r="P15" s="0" t="n">
        <v>4369.41</v>
      </c>
      <c r="Q15" s="0" t="n">
        <v>1043.122</v>
      </c>
      <c r="R15" s="0" t="n">
        <v>99.931</v>
      </c>
      <c r="S15" s="0" t="n">
        <v>401.43</v>
      </c>
      <c r="T15" s="0" t="n">
        <v>118.493203</v>
      </c>
      <c r="U15" s="0" t="n">
        <v>14.3</v>
      </c>
      <c r="V15" s="0" t="n">
        <v>0.6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5256.328</v>
      </c>
      <c r="F16" s="0" t="n">
        <v>1391.602</v>
      </c>
      <c r="G16" s="0" t="n">
        <v>26.4747938104319</v>
      </c>
      <c r="H16" s="0" t="n">
        <v>1651.485</v>
      </c>
      <c r="I16" s="0" t="n">
        <v>1034.375</v>
      </c>
      <c r="J16" s="0" t="n">
        <v>19.6786616055923</v>
      </c>
      <c r="K16" s="0" t="n">
        <v>8.94</v>
      </c>
      <c r="L16" s="0" t="n">
        <v>1212.606</v>
      </c>
      <c r="M16" s="0" t="n">
        <v>550.077</v>
      </c>
      <c r="N16" s="0" t="n">
        <v>662.529</v>
      </c>
      <c r="O16" s="0" t="n">
        <v>3679.807</v>
      </c>
      <c r="P16" s="0" t="n">
        <v>4821.544</v>
      </c>
      <c r="Q16" s="0" t="n">
        <v>1141.737</v>
      </c>
      <c r="R16" s="0" t="n">
        <v>99.947</v>
      </c>
      <c r="S16" s="0" t="n">
        <v>462.564</v>
      </c>
      <c r="T16" s="0" t="n">
        <v>116.409989</v>
      </c>
      <c r="U16" s="0" t="n">
        <v>15.039</v>
      </c>
      <c r="V16" s="0" t="n">
        <v>0.8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6260.077</v>
      </c>
      <c r="F17" s="0" t="n">
        <v>1840.632</v>
      </c>
      <c r="G17" s="0" t="n">
        <v>29.4027054299811</v>
      </c>
      <c r="H17" s="0" t="n">
        <v>2116.682</v>
      </c>
      <c r="I17" s="0" t="n">
        <v>1377.159</v>
      </c>
      <c r="J17" s="0" t="n">
        <v>21.9990744522791</v>
      </c>
      <c r="K17" s="0" t="n">
        <v>6.13</v>
      </c>
      <c r="L17" s="0" t="n">
        <v>1691.582</v>
      </c>
      <c r="M17" s="0" t="n">
        <v>775.148</v>
      </c>
      <c r="N17" s="0" t="n">
        <v>916.434</v>
      </c>
      <c r="O17" s="0" t="n">
        <v>3652.917</v>
      </c>
      <c r="P17" s="0" t="n">
        <v>4838.61</v>
      </c>
      <c r="Q17" s="0" t="n">
        <v>1185.693</v>
      </c>
      <c r="R17" s="0" t="n">
        <v>99.963</v>
      </c>
      <c r="S17" s="0" t="n">
        <v>186.312</v>
      </c>
      <c r="T17" s="0" t="n">
        <v>226.156</v>
      </c>
      <c r="U17" s="0" t="n">
        <v>15.9</v>
      </c>
      <c r="V17" s="0" t="n">
        <v>0.6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5866.152</v>
      </c>
      <c r="F18" s="0" t="n">
        <v>1640.673</v>
      </c>
      <c r="G18" s="0" t="n">
        <v>27.9684706431064</v>
      </c>
      <c r="H18" s="0" t="n">
        <v>1965.108</v>
      </c>
      <c r="I18" s="0" t="n">
        <v>1239.502</v>
      </c>
      <c r="J18" s="0" t="n">
        <v>21.1297286534682</v>
      </c>
      <c r="K18" s="0" t="n">
        <v>5.66</v>
      </c>
      <c r="L18" s="0" t="n">
        <v>1569.135</v>
      </c>
      <c r="M18" s="0" t="n">
        <v>757.309</v>
      </c>
      <c r="N18" s="0" t="n">
        <v>811.826</v>
      </c>
      <c r="O18" s="0" t="n">
        <v>4257.811</v>
      </c>
      <c r="P18" s="0" t="n">
        <v>5512.393</v>
      </c>
      <c r="Q18" s="0" t="n">
        <v>1254.582</v>
      </c>
      <c r="R18" s="0" t="n">
        <v>79.977</v>
      </c>
      <c r="S18" s="0" t="n">
        <v>433.799</v>
      </c>
      <c r="T18" s="0" t="n">
        <v>220.18</v>
      </c>
      <c r="U18" s="0" t="n">
        <v>11.1</v>
      </c>
      <c r="V18" s="0" t="n">
        <v>0.8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5814.81</v>
      </c>
      <c r="F19" s="0" t="n">
        <v>1543.998</v>
      </c>
      <c r="G19" s="0" t="n">
        <v>26.5528538335732</v>
      </c>
      <c r="H19" s="0" t="n">
        <v>1888.566</v>
      </c>
      <c r="I19" s="0" t="n">
        <v>1186.073</v>
      </c>
      <c r="J19" s="0" t="n">
        <v>20.3974506475706</v>
      </c>
      <c r="K19" s="0" t="n">
        <v>5.51</v>
      </c>
      <c r="L19" s="0" t="n">
        <v>1659.283</v>
      </c>
      <c r="M19" s="0" t="n">
        <v>771.318</v>
      </c>
      <c r="N19" s="0" t="n">
        <v>887.965</v>
      </c>
      <c r="O19" s="0" t="n">
        <v>4244.588</v>
      </c>
      <c r="P19" s="0" t="n">
        <v>5491.395</v>
      </c>
      <c r="Q19" s="0" t="n">
        <v>1246.807</v>
      </c>
      <c r="R19" s="0" t="n">
        <v>59.987</v>
      </c>
      <c r="S19" s="0" t="n">
        <v>108.676</v>
      </c>
      <c r="T19" s="0" t="n">
        <v>216.485</v>
      </c>
      <c r="U19" s="0" t="n">
        <v>11.349</v>
      </c>
      <c r="V19" s="0" t="n">
        <v>1.04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5496.389</v>
      </c>
      <c r="F20" s="0" t="n">
        <v>1361.045</v>
      </c>
      <c r="G20" s="0" t="n">
        <v>24.7625304540854</v>
      </c>
      <c r="H20" s="0" t="n">
        <v>1725.728</v>
      </c>
      <c r="I20" s="0" t="n">
        <v>1023.703</v>
      </c>
      <c r="J20" s="0" t="n">
        <v>18.6250099838276</v>
      </c>
      <c r="K20" s="0" t="n">
        <v>4.86</v>
      </c>
      <c r="L20" s="0" t="n">
        <v>1370.133</v>
      </c>
      <c r="M20" s="0" t="n">
        <v>415.034</v>
      </c>
      <c r="N20" s="0" t="n">
        <v>955.099</v>
      </c>
      <c r="O20" s="0" t="n">
        <v>4311.057</v>
      </c>
      <c r="P20" s="0" t="n">
        <v>5470.16</v>
      </c>
      <c r="Q20" s="0" t="n">
        <v>1159.103</v>
      </c>
      <c r="R20" s="0" t="n">
        <v>39.995</v>
      </c>
      <c r="S20" s="0" t="n">
        <v>120.091</v>
      </c>
      <c r="T20" s="0" t="n">
        <v>211.598</v>
      </c>
      <c r="U20" s="0" t="n">
        <v>12.854</v>
      </c>
      <c r="V20" s="0" t="n">
        <v>1.12</v>
      </c>
      <c r="AA20" s="0" t="s">
        <v>17</v>
      </c>
      <c r="AB2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0" t="s">
        <v>84</v>
      </c>
      <c r="B2" s="3" t="n">
        <v>178.1</v>
      </c>
    </row>
    <row r="3" customFormat="false" ht="15" hidden="false" customHeight="false" outlineLevel="0" collapsed="false">
      <c r="A3" s="0" t="s">
        <v>85</v>
      </c>
      <c r="B3" s="3" t="n">
        <v>208.715</v>
      </c>
    </row>
    <row r="4" customFormat="false" ht="15" hidden="false" customHeight="false" outlineLevel="0" collapsed="false">
      <c r="A4" s="0" t="s">
        <v>86</v>
      </c>
      <c r="B4" s="3" t="n">
        <v>-263.942</v>
      </c>
    </row>
    <row r="5" customFormat="false" ht="15" hidden="false" customHeight="false" outlineLevel="0" collapsed="false">
      <c r="A5" s="0" t="s">
        <v>87</v>
      </c>
      <c r="B5" s="3" t="n">
        <v>0</v>
      </c>
    </row>
    <row r="6" customFormat="false" ht="15" hidden="false" customHeight="false" outlineLevel="0" collapsed="false">
      <c r="A6" s="0" t="s">
        <v>88</v>
      </c>
      <c r="B6" s="3" t="n">
        <v>15</v>
      </c>
    </row>
    <row r="7" customFormat="false" ht="15" hidden="false" customHeight="false" outlineLevel="0" collapsed="false">
      <c r="A7" s="0" t="s">
        <v>89</v>
      </c>
      <c r="B7" s="3" t="n">
        <v>5496.389</v>
      </c>
    </row>
    <row r="8" customFormat="false" ht="15" hidden="false" customHeight="false" outlineLevel="0" collapsed="false">
      <c r="A8" s="0" t="s">
        <v>90</v>
      </c>
      <c r="B8" s="3" t="s">
        <v>81</v>
      </c>
    </row>
    <row r="9" customFormat="false" ht="15" hidden="false" customHeight="false" outlineLevel="0" collapsed="false">
      <c r="A9" s="0" t="s">
        <v>91</v>
      </c>
      <c r="B9" s="3" t="s">
        <v>92</v>
      </c>
    </row>
    <row r="10" customFormat="false" ht="15" hidden="false" customHeight="false" outlineLevel="0" collapsed="false">
      <c r="A10" s="0" t="s">
        <v>93</v>
      </c>
      <c r="B10" s="3" t="n">
        <v>1</v>
      </c>
    </row>
    <row r="12" customFormat="false" ht="15" hidden="false" customHeight="false" outlineLevel="0" collapsed="false">
      <c r="A12" s="2" t="s">
        <v>94</v>
      </c>
      <c r="C12" s="2" t="s">
        <v>95</v>
      </c>
      <c r="D12" s="2" t="s">
        <v>96</v>
      </c>
      <c r="E12" s="2" t="s">
        <v>97</v>
      </c>
      <c r="F12" s="2" t="s">
        <v>98</v>
      </c>
      <c r="G12" s="2" t="s">
        <v>99</v>
      </c>
      <c r="H12" s="2" t="s">
        <v>100</v>
      </c>
      <c r="I12" s="2" t="s">
        <v>101</v>
      </c>
      <c r="J12" s="2" t="s">
        <v>102</v>
      </c>
      <c r="K12" s="2" t="s">
        <v>103</v>
      </c>
      <c r="L12" s="2" t="s">
        <v>104</v>
      </c>
    </row>
    <row r="13" customFormat="false" ht="15" hidden="false" customHeight="false" outlineLevel="0" collapsed="false">
      <c r="A13" s="0" t="s">
        <v>105</v>
      </c>
      <c r="C13" s="3" t="n">
        <v>6</v>
      </c>
      <c r="D13" s="3" t="n">
        <v>1</v>
      </c>
      <c r="E13" s="3" t="n">
        <v>0</v>
      </c>
      <c r="F13" s="3" t="n">
        <v>3</v>
      </c>
      <c r="G13" s="3" t="n">
        <v>3.5</v>
      </c>
      <c r="H13" s="3" t="n">
        <v>3.5</v>
      </c>
      <c r="I13" s="3" t="n">
        <v>3</v>
      </c>
      <c r="J13" s="3" t="n">
        <v>3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106</v>
      </c>
      <c r="C14" s="3" t="n">
        <v>32.5</v>
      </c>
      <c r="D14" s="3" t="n">
        <v>30.5</v>
      </c>
      <c r="E14" s="3" t="n">
        <v>30</v>
      </c>
      <c r="F14" s="3" t="n">
        <v>30.5</v>
      </c>
      <c r="G14" s="3" t="n">
        <v>31</v>
      </c>
      <c r="H14" s="3" t="n">
        <v>31.5</v>
      </c>
      <c r="I14" s="3" t="n">
        <v>31.5</v>
      </c>
      <c r="J14" s="3" t="n">
        <v>31.5</v>
      </c>
      <c r="K14" s="3" t="n">
        <v>31.5</v>
      </c>
      <c r="L14" s="3" t="n">
        <v>31.5</v>
      </c>
    </row>
    <row r="15" customFormat="false" ht="15" hidden="false" customHeight="false" outlineLevel="0" collapsed="false">
      <c r="A15" s="0" t="s">
        <v>107</v>
      </c>
      <c r="C15" s="3" t="n">
        <v>0.23</v>
      </c>
      <c r="D15" s="3" t="n">
        <v>0.23</v>
      </c>
      <c r="E15" s="3" t="n">
        <v>0.23</v>
      </c>
      <c r="F15" s="3" t="n">
        <v>0.23</v>
      </c>
      <c r="G15" s="3" t="n">
        <v>0.23</v>
      </c>
      <c r="H15" s="3" t="n">
        <v>0.23</v>
      </c>
      <c r="I15" s="3" t="n">
        <v>0.23</v>
      </c>
      <c r="J15" s="3" t="n">
        <v>0.23</v>
      </c>
      <c r="K15" s="3" t="n">
        <v>0.23</v>
      </c>
      <c r="L15" s="3" t="n">
        <v>0.23</v>
      </c>
    </row>
    <row r="16" customFormat="false" ht="15" hidden="false" customHeight="false" outlineLevel="0" collapsed="false">
      <c r="A16" s="0" t="s">
        <v>108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109</v>
      </c>
      <c r="C17" s="3" t="n">
        <v>6.4</v>
      </c>
      <c r="D17" s="3" t="n">
        <v>6.6</v>
      </c>
      <c r="E17" s="3" t="n">
        <v>6.8</v>
      </c>
      <c r="F17" s="3" t="n">
        <v>7</v>
      </c>
      <c r="G17" s="3" t="n">
        <v>7</v>
      </c>
      <c r="H17" s="3" t="n">
        <v>7</v>
      </c>
      <c r="I17" s="3" t="n">
        <v>7</v>
      </c>
      <c r="J17" s="3" t="n">
        <v>7</v>
      </c>
      <c r="K17" s="3" t="n">
        <v>7</v>
      </c>
      <c r="L17" s="3" t="n">
        <v>7</v>
      </c>
    </row>
    <row r="18" customFormat="false" ht="15" hidden="false" customHeight="false" outlineLevel="0" collapsed="false">
      <c r="A18" s="0" t="s">
        <v>110</v>
      </c>
      <c r="C18" s="3" t="n">
        <v>4.6</v>
      </c>
      <c r="D18" s="3" t="n">
        <v>7</v>
      </c>
      <c r="E18" s="3" t="n">
        <v>8.5</v>
      </c>
      <c r="F18" s="3" t="n">
        <v>9</v>
      </c>
      <c r="G18" s="3" t="n">
        <v>9</v>
      </c>
      <c r="H18" s="3" t="n">
        <v>9</v>
      </c>
      <c r="I18" s="3" t="n">
        <v>8.5</v>
      </c>
      <c r="J18" s="3" t="n">
        <v>8.5</v>
      </c>
      <c r="K18" s="3" t="n">
        <v>8.5</v>
      </c>
      <c r="L18" s="3" t="n">
        <v>8.5</v>
      </c>
    </row>
    <row r="19" customFormat="false" ht="15" hidden="false" customHeight="false" outlineLevel="0" collapsed="false">
      <c r="A19" s="0" t="s">
        <v>111</v>
      </c>
      <c r="C19" s="3" t="n">
        <v>24</v>
      </c>
      <c r="D19" s="3" t="n">
        <v>23</v>
      </c>
      <c r="E19" s="3" t="n">
        <v>23</v>
      </c>
      <c r="F19" s="3" t="n">
        <v>23</v>
      </c>
      <c r="G19" s="3" t="n">
        <v>23</v>
      </c>
      <c r="H19" s="3" t="n">
        <v>23.5</v>
      </c>
      <c r="I19" s="3" t="n">
        <v>24</v>
      </c>
      <c r="J19" s="3" t="n">
        <v>24</v>
      </c>
      <c r="K19" s="3" t="n">
        <v>24.5</v>
      </c>
      <c r="L19" s="3" t="n">
        <v>25</v>
      </c>
    </row>
    <row r="20" customFormat="false" ht="15" hidden="false" customHeight="false" outlineLevel="0" collapsed="false">
      <c r="A20" s="0" t="s">
        <v>112</v>
      </c>
      <c r="B20" s="3" t="n">
        <v>9</v>
      </c>
    </row>
    <row r="21" customFormat="false" ht="15" hidden="false" customHeight="false" outlineLevel="0" collapsed="false">
      <c r="A21" s="0" t="s">
        <v>113</v>
      </c>
      <c r="B21" s="3" t="n">
        <v>2.5</v>
      </c>
    </row>
    <row r="22" customFormat="false" ht="15" hidden="false" customHeight="false" outlineLevel="0" collapsed="false">
      <c r="A22" s="0" t="s">
        <v>114</v>
      </c>
      <c r="B22" s="3" t="n">
        <v>15</v>
      </c>
    </row>
    <row r="23" customFormat="false" ht="15" hidden="false" customHeight="false" outlineLevel="0" collapsed="false">
      <c r="A23" s="0" t="s">
        <v>115</v>
      </c>
      <c r="B23" s="3" t="n">
        <v>-4</v>
      </c>
    </row>
    <row r="24" customFormat="false" ht="15" hidden="false" customHeight="false" outlineLevel="0" collapsed="false">
      <c r="A24" s="0" t="s">
        <v>116</v>
      </c>
      <c r="B24" s="3" t="n">
        <v>0.25</v>
      </c>
    </row>
    <row r="26" customFormat="false" ht="15" hidden="false" customHeight="false" outlineLevel="0" collapsed="false">
      <c r="A26" s="2" t="s">
        <v>117</v>
      </c>
      <c r="C26" s="2" t="s">
        <v>95</v>
      </c>
      <c r="D26" s="2" t="s">
        <v>96</v>
      </c>
      <c r="E26" s="2" t="s">
        <v>97</v>
      </c>
      <c r="F26" s="2" t="s">
        <v>98</v>
      </c>
      <c r="G26" s="2" t="s">
        <v>99</v>
      </c>
      <c r="H26" s="2" t="s">
        <v>100</v>
      </c>
      <c r="I26" s="2" t="s">
        <v>101</v>
      </c>
      <c r="J26" s="2" t="s">
        <v>102</v>
      </c>
      <c r="K26" s="2" t="s">
        <v>103</v>
      </c>
      <c r="L26" s="2" t="s">
        <v>104</v>
      </c>
    </row>
    <row r="27" customFormat="false" ht="15" hidden="false" customHeight="false" outlineLevel="0" collapsed="false">
      <c r="A27" s="0" t="s">
        <v>105</v>
      </c>
      <c r="C27" s="3" t="n">
        <v>6.5</v>
      </c>
      <c r="D27" s="3" t="n">
        <v>8</v>
      </c>
      <c r="E27" s="3" t="n">
        <v>7</v>
      </c>
      <c r="F27" s="3" t="n">
        <v>6</v>
      </c>
      <c r="G27" s="3" t="n">
        <v>5</v>
      </c>
      <c r="H27" s="3" t="n">
        <v>4.5</v>
      </c>
      <c r="I27" s="3" t="n">
        <v>4</v>
      </c>
      <c r="J27" s="3" t="n">
        <v>3.5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106</v>
      </c>
      <c r="C28" s="3" t="n">
        <v>33</v>
      </c>
      <c r="D28" s="3" t="n">
        <v>33.5</v>
      </c>
      <c r="E28" s="3" t="n">
        <v>34</v>
      </c>
      <c r="F28" s="3" t="n">
        <v>34.5</v>
      </c>
      <c r="G28" s="3" t="n">
        <v>34.5</v>
      </c>
      <c r="H28" s="3" t="n">
        <v>34.5</v>
      </c>
      <c r="I28" s="3" t="n">
        <v>34.5</v>
      </c>
      <c r="J28" s="3" t="n">
        <v>34.5</v>
      </c>
      <c r="K28" s="3" t="n">
        <v>34.5</v>
      </c>
      <c r="L28" s="3" t="n">
        <v>34.5</v>
      </c>
    </row>
    <row r="29" customFormat="false" ht="15" hidden="false" customHeight="false" outlineLevel="0" collapsed="false">
      <c r="A29" s="0" t="s">
        <v>107</v>
      </c>
      <c r="C29" s="3" t="n">
        <v>0.23</v>
      </c>
      <c r="D29" s="3" t="n">
        <v>0.23</v>
      </c>
      <c r="E29" s="3" t="n">
        <v>0.23</v>
      </c>
      <c r="F29" s="3" t="n">
        <v>0.23</v>
      </c>
      <c r="G29" s="3" t="n">
        <v>0.23</v>
      </c>
      <c r="H29" s="3" t="n">
        <v>0.23</v>
      </c>
      <c r="I29" s="3" t="n">
        <v>0.23</v>
      </c>
      <c r="J29" s="3" t="n">
        <v>0.23</v>
      </c>
      <c r="K29" s="3" t="n">
        <v>0.23</v>
      </c>
      <c r="L29" s="3" t="n">
        <v>0.23</v>
      </c>
    </row>
    <row r="30" customFormat="false" ht="15" hidden="false" customHeight="false" outlineLevel="0" collapsed="false">
      <c r="A30" s="0" t="s">
        <v>108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109</v>
      </c>
      <c r="C31" s="3" t="n">
        <v>6.4</v>
      </c>
      <c r="D31" s="3" t="n">
        <v>6.5</v>
      </c>
      <c r="E31" s="3" t="n">
        <v>6.7</v>
      </c>
      <c r="F31" s="3" t="n">
        <v>6.9</v>
      </c>
      <c r="G31" s="3" t="n">
        <v>7</v>
      </c>
      <c r="H31" s="3" t="n">
        <v>7</v>
      </c>
      <c r="I31" s="3" t="n">
        <v>7</v>
      </c>
      <c r="J31" s="3" t="n">
        <v>7</v>
      </c>
      <c r="K31" s="3" t="n">
        <v>7</v>
      </c>
      <c r="L31" s="3" t="n">
        <v>7</v>
      </c>
    </row>
    <row r="32" customFormat="false" ht="15" hidden="false" customHeight="false" outlineLevel="0" collapsed="false">
      <c r="A32" s="0" t="s">
        <v>110</v>
      </c>
      <c r="C32" s="3" t="n">
        <v>4.6</v>
      </c>
      <c r="D32" s="3" t="n">
        <v>8</v>
      </c>
      <c r="E32" s="3" t="n">
        <v>10</v>
      </c>
      <c r="F32" s="3" t="n">
        <v>10.5</v>
      </c>
      <c r="G32" s="3" t="n">
        <v>10.5</v>
      </c>
      <c r="H32" s="3" t="n">
        <v>10</v>
      </c>
      <c r="I32" s="3" t="n">
        <v>9.5</v>
      </c>
      <c r="J32" s="3" t="n">
        <v>9.5</v>
      </c>
      <c r="K32" s="3" t="n">
        <v>9</v>
      </c>
      <c r="L32" s="3" t="n">
        <v>9</v>
      </c>
    </row>
    <row r="33" customFormat="false" ht="15" hidden="false" customHeight="false" outlineLevel="0" collapsed="false">
      <c r="A33" s="0" t="s">
        <v>111</v>
      </c>
      <c r="C33" s="3" t="n">
        <v>24</v>
      </c>
      <c r="D33" s="3" t="n">
        <v>23</v>
      </c>
      <c r="E33" s="3" t="n">
        <v>23</v>
      </c>
      <c r="F33" s="3" t="n">
        <v>23</v>
      </c>
      <c r="G33" s="3" t="n">
        <v>23</v>
      </c>
      <c r="H33" s="3" t="n">
        <v>23.5</v>
      </c>
      <c r="I33" s="3" t="n">
        <v>24</v>
      </c>
      <c r="J33" s="3" t="n">
        <v>24</v>
      </c>
      <c r="K33" s="3" t="n">
        <v>24.5</v>
      </c>
      <c r="L33" s="3" t="n">
        <v>25</v>
      </c>
    </row>
    <row r="34" customFormat="false" ht="15" hidden="false" customHeight="false" outlineLevel="0" collapsed="false">
      <c r="A34" s="0" t="s">
        <v>112</v>
      </c>
      <c r="B34" s="3" t="n">
        <v>9</v>
      </c>
    </row>
    <row r="35" customFormat="false" ht="15" hidden="false" customHeight="false" outlineLevel="0" collapsed="false">
      <c r="A35" s="0" t="s">
        <v>113</v>
      </c>
      <c r="B35" s="3" t="n">
        <v>3</v>
      </c>
    </row>
    <row r="36" customFormat="false" ht="15" hidden="false" customHeight="false" outlineLevel="0" collapsed="false">
      <c r="A36" s="0" t="s">
        <v>114</v>
      </c>
      <c r="B36" s="3" t="n">
        <v>18</v>
      </c>
    </row>
    <row r="37" customFormat="false" ht="15" hidden="false" customHeight="false" outlineLevel="0" collapsed="false">
      <c r="A37" s="0" t="s">
        <v>115</v>
      </c>
      <c r="B37" s="3" t="n">
        <v>-4</v>
      </c>
    </row>
    <row r="38" customFormat="false" ht="15" hidden="false" customHeight="false" outlineLevel="0" collapsed="false">
      <c r="A38" s="0" t="s">
        <v>116</v>
      </c>
      <c r="B38" s="3" t="n">
        <v>0.5</v>
      </c>
    </row>
    <row r="40" customFormat="false" ht="15" hidden="false" customHeight="false" outlineLevel="0" collapsed="false">
      <c r="A40" s="2" t="s">
        <v>118</v>
      </c>
      <c r="C40" s="2" t="s">
        <v>95</v>
      </c>
      <c r="D40" s="2" t="s">
        <v>96</v>
      </c>
      <c r="E40" s="2" t="s">
        <v>97</v>
      </c>
      <c r="F40" s="2" t="s">
        <v>98</v>
      </c>
      <c r="G40" s="2" t="s">
        <v>99</v>
      </c>
      <c r="H40" s="2" t="s">
        <v>100</v>
      </c>
      <c r="I40" s="2" t="s">
        <v>101</v>
      </c>
      <c r="J40" s="2" t="s">
        <v>102</v>
      </c>
      <c r="K40" s="2" t="s">
        <v>103</v>
      </c>
      <c r="L40" s="2" t="s">
        <v>104</v>
      </c>
    </row>
    <row r="41" customFormat="false" ht="15" hidden="false" customHeight="false" outlineLevel="0" collapsed="false">
      <c r="A41" s="0" t="s">
        <v>105</v>
      </c>
      <c r="C41" s="3" t="n">
        <v>7</v>
      </c>
      <c r="D41" s="3" t="n">
        <v>11</v>
      </c>
      <c r="E41" s="3" t="n">
        <v>10</v>
      </c>
      <c r="F41" s="3" t="n">
        <v>8</v>
      </c>
      <c r="G41" s="3" t="n">
        <v>7</v>
      </c>
      <c r="H41" s="3" t="n">
        <v>6</v>
      </c>
      <c r="I41" s="3" t="n">
        <v>5</v>
      </c>
      <c r="J41" s="3" t="n">
        <v>4</v>
      </c>
      <c r="K41" s="3" t="n">
        <v>3.5</v>
      </c>
      <c r="L41" s="3" t="n">
        <v>3.5</v>
      </c>
    </row>
    <row r="42" customFormat="false" ht="15" hidden="false" customHeight="false" outlineLevel="0" collapsed="false">
      <c r="A42" s="0" t="s">
        <v>106</v>
      </c>
      <c r="C42" s="3" t="n">
        <v>33.5</v>
      </c>
      <c r="D42" s="3" t="n">
        <v>34.5</v>
      </c>
      <c r="E42" s="3" t="n">
        <v>35.5</v>
      </c>
      <c r="F42" s="3" t="n">
        <v>36</v>
      </c>
      <c r="G42" s="3" t="n">
        <v>36.5</v>
      </c>
      <c r="H42" s="3" t="n">
        <v>36.5</v>
      </c>
      <c r="I42" s="3" t="n">
        <v>36.5</v>
      </c>
      <c r="J42" s="3" t="n">
        <v>36.5</v>
      </c>
      <c r="K42" s="3" t="n">
        <v>36.5</v>
      </c>
      <c r="L42" s="3" t="n">
        <v>36.5</v>
      </c>
    </row>
    <row r="43" customFormat="false" ht="15" hidden="false" customHeight="false" outlineLevel="0" collapsed="false">
      <c r="A43" s="0" t="s">
        <v>107</v>
      </c>
      <c r="C43" s="3" t="n">
        <v>0.23</v>
      </c>
      <c r="D43" s="3" t="n">
        <v>0.23</v>
      </c>
      <c r="E43" s="3" t="n">
        <v>0.23</v>
      </c>
      <c r="F43" s="3" t="n">
        <v>0.23</v>
      </c>
      <c r="G43" s="3" t="n">
        <v>0.23</v>
      </c>
      <c r="H43" s="3" t="n">
        <v>0.23</v>
      </c>
      <c r="I43" s="3" t="n">
        <v>0.23</v>
      </c>
      <c r="J43" s="3" t="n">
        <v>0.23</v>
      </c>
      <c r="K43" s="3" t="n">
        <v>0.23</v>
      </c>
      <c r="L43" s="3" t="n">
        <v>0.23</v>
      </c>
    </row>
    <row r="44" customFormat="false" ht="15" hidden="false" customHeight="false" outlineLevel="0" collapsed="false">
      <c r="A44" s="0" t="s">
        <v>108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109</v>
      </c>
      <c r="C45" s="3" t="n">
        <v>6.4</v>
      </c>
      <c r="D45" s="3" t="n">
        <v>6.5</v>
      </c>
      <c r="E45" s="3" t="n">
        <v>6.7</v>
      </c>
      <c r="F45" s="3" t="n">
        <v>6.9</v>
      </c>
      <c r="G45" s="3" t="n">
        <v>7</v>
      </c>
      <c r="H45" s="3" t="n">
        <v>7</v>
      </c>
      <c r="I45" s="3" t="n">
        <v>7</v>
      </c>
      <c r="J45" s="3" t="n">
        <v>7</v>
      </c>
      <c r="K45" s="3" t="n">
        <v>7</v>
      </c>
      <c r="L45" s="3" t="n">
        <v>7</v>
      </c>
    </row>
    <row r="46" customFormat="false" ht="15" hidden="false" customHeight="false" outlineLevel="0" collapsed="false">
      <c r="A46" s="0" t="s">
        <v>110</v>
      </c>
      <c r="C46" s="3" t="n">
        <v>4.6</v>
      </c>
      <c r="D46" s="3" t="n">
        <v>8.5</v>
      </c>
      <c r="E46" s="3" t="n">
        <v>10.5</v>
      </c>
      <c r="F46" s="3" t="n">
        <v>11</v>
      </c>
      <c r="G46" s="3" t="n">
        <v>11</v>
      </c>
      <c r="H46" s="3" t="n">
        <v>10.5</v>
      </c>
      <c r="I46" s="3" t="n">
        <v>10</v>
      </c>
      <c r="J46" s="3" t="n">
        <v>9.5</v>
      </c>
      <c r="K46" s="3" t="n">
        <v>9.5</v>
      </c>
      <c r="L46" s="3" t="n">
        <v>9.5</v>
      </c>
    </row>
    <row r="47" customFormat="false" ht="15" hidden="false" customHeight="false" outlineLevel="0" collapsed="false">
      <c r="A47" s="0" t="s">
        <v>111</v>
      </c>
      <c r="C47" s="3" t="n">
        <v>24</v>
      </c>
      <c r="D47" s="3" t="n">
        <v>23</v>
      </c>
      <c r="E47" s="3" t="n">
        <v>23</v>
      </c>
      <c r="F47" s="3" t="n">
        <v>23</v>
      </c>
      <c r="G47" s="3" t="n">
        <v>23</v>
      </c>
      <c r="H47" s="3" t="n">
        <v>23.5</v>
      </c>
      <c r="I47" s="3" t="n">
        <v>24</v>
      </c>
      <c r="J47" s="3" t="n">
        <v>24</v>
      </c>
      <c r="K47" s="3" t="n">
        <v>24.5</v>
      </c>
      <c r="L47" s="3" t="n">
        <v>25</v>
      </c>
    </row>
    <row r="48" customFormat="false" ht="15" hidden="false" customHeight="false" outlineLevel="0" collapsed="false">
      <c r="A48" s="0" t="s">
        <v>112</v>
      </c>
      <c r="B48" s="3" t="n">
        <v>9</v>
      </c>
    </row>
    <row r="49" customFormat="false" ht="15" hidden="false" customHeight="false" outlineLevel="0" collapsed="false">
      <c r="A49" s="0" t="s">
        <v>113</v>
      </c>
      <c r="B49" s="3" t="n">
        <v>3.5</v>
      </c>
    </row>
    <row r="50" customFormat="false" ht="15" hidden="false" customHeight="false" outlineLevel="0" collapsed="false">
      <c r="A50" s="0" t="s">
        <v>114</v>
      </c>
      <c r="B50" s="3" t="n">
        <v>20</v>
      </c>
    </row>
    <row r="51" customFormat="false" ht="15" hidden="false" customHeight="false" outlineLevel="0" collapsed="false">
      <c r="A51" s="0" t="s">
        <v>115</v>
      </c>
      <c r="B51" s="3" t="n">
        <v>-4</v>
      </c>
    </row>
    <row r="52" customFormat="false" ht="15" hidden="false" customHeight="false" outlineLevel="0" collapsed="false">
      <c r="A52" s="0" t="s">
        <v>116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119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Assumptions!C13</f>
        <v>6</v>
      </c>
      <c r="D5" s="4" t="n">
        <f aca="false">Assumptions!D13</f>
        <v>1</v>
      </c>
      <c r="E5" s="4" t="n">
        <f aca="false">Assumptions!E13</f>
        <v>0</v>
      </c>
      <c r="F5" s="4" t="n">
        <f aca="false">Assumptions!F13</f>
        <v>3</v>
      </c>
      <c r="G5" s="4" t="n">
        <f aca="false">Assumptions!G13</f>
        <v>3.5</v>
      </c>
      <c r="H5" s="4" t="n">
        <f aca="false">Assumptions!H13</f>
        <v>3.5</v>
      </c>
      <c r="I5" s="4" t="n">
        <f aca="false">Assumptions!I13</f>
        <v>3</v>
      </c>
      <c r="J5" s="4" t="n">
        <f aca="false">Assumptions!J13</f>
        <v>3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5496.389</v>
      </c>
      <c r="C6" s="0" t="n">
        <f aca="false">B6*(1+C5/100)</f>
        <v>5826.17234</v>
      </c>
      <c r="D6" s="0" t="n">
        <f aca="false">C6*(1+D5/100)</f>
        <v>5884.4340634</v>
      </c>
      <c r="E6" s="0" t="n">
        <f aca="false">D6*(1+E5/100)</f>
        <v>5884.4340634</v>
      </c>
      <c r="F6" s="0" t="n">
        <f aca="false">E6*(1+F5/100)</f>
        <v>6060.967085302</v>
      </c>
      <c r="G6" s="0" t="n">
        <f aca="false">F6*(1+G5/100)</f>
        <v>6273.10093328757</v>
      </c>
      <c r="H6" s="0" t="n">
        <f aca="false">G6*(1+H5/100)</f>
        <v>6492.65946595263</v>
      </c>
      <c r="I6" s="0" t="n">
        <f aca="false">H6*(1+I5/100)</f>
        <v>6687.43924993121</v>
      </c>
      <c r="J6" s="0" t="n">
        <f aca="false">I6*(1+J5/100)</f>
        <v>6888.06242742915</v>
      </c>
      <c r="K6" s="0" t="n">
        <f aca="false">J6*(1+K5/100)</f>
        <v>7060.26398811488</v>
      </c>
      <c r="L6" s="0" t="n">
        <f aca="false">K6*(1+L5/100)</f>
        <v>7236.77058781775</v>
      </c>
    </row>
    <row r="7" customFormat="false" ht="15" hidden="false" customHeight="false" outlineLevel="0" collapsed="false">
      <c r="A7" s="0" t="s">
        <v>106</v>
      </c>
      <c r="C7" s="4" t="n">
        <f aca="false">Assumptions!C14</f>
        <v>32.5</v>
      </c>
      <c r="D7" s="4" t="n">
        <f aca="false">Assumptions!D14</f>
        <v>30.5</v>
      </c>
      <c r="E7" s="4" t="n">
        <f aca="false">Assumptions!E14</f>
        <v>30</v>
      </c>
      <c r="F7" s="4" t="n">
        <f aca="false">Assumptions!F14</f>
        <v>30.5</v>
      </c>
      <c r="G7" s="4" t="n">
        <f aca="false">Assumptions!G14</f>
        <v>31</v>
      </c>
      <c r="H7" s="4" t="n">
        <f aca="false">Assumptions!H14</f>
        <v>31.5</v>
      </c>
      <c r="I7" s="4" t="n">
        <f aca="false">Assumptions!I14</f>
        <v>31.5</v>
      </c>
      <c r="J7" s="4" t="n">
        <f aca="false">Assumptions!J14</f>
        <v>31.5</v>
      </c>
      <c r="K7" s="4" t="n">
        <f aca="false">Assumptions!K14</f>
        <v>31.5</v>
      </c>
      <c r="L7" s="4" t="n">
        <f aca="false">Assumptions!L14</f>
        <v>31.5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1893.5060105</v>
      </c>
      <c r="D8" s="0" t="n">
        <f aca="false">D6*D7/100</f>
        <v>1794.752389337</v>
      </c>
      <c r="E8" s="0" t="n">
        <f aca="false">E6*E7/100</f>
        <v>1765.33021902</v>
      </c>
      <c r="F8" s="0" t="n">
        <f aca="false">F6*F7/100</f>
        <v>1848.59496101711</v>
      </c>
      <c r="G8" s="0" t="n">
        <f aca="false">G6*G7/100</f>
        <v>1944.66128931915</v>
      </c>
      <c r="H8" s="0" t="n">
        <f aca="false">H6*H7/100</f>
        <v>2045.18773177508</v>
      </c>
      <c r="I8" s="0" t="n">
        <f aca="false">I6*I7/100</f>
        <v>2106.54336372833</v>
      </c>
      <c r="J8" s="0" t="n">
        <f aca="false">J6*J7/100</f>
        <v>2169.73966464018</v>
      </c>
      <c r="K8" s="0" t="n">
        <f aca="false">K6*K7/100</f>
        <v>2223.98315625619</v>
      </c>
      <c r="L8" s="0" t="n">
        <f aca="false">L6*L7/100</f>
        <v>2279.58273516259</v>
      </c>
    </row>
    <row r="9" customFormat="false" ht="15" hidden="false" customHeight="false" outlineLevel="0" collapsed="false">
      <c r="A9" s="0" t="s">
        <v>107</v>
      </c>
      <c r="C9" s="4" t="n">
        <f aca="false">Assumptions!C15</f>
        <v>0.23</v>
      </c>
      <c r="D9" s="4" t="n">
        <f aca="false">Assumptions!D15</f>
        <v>0.23</v>
      </c>
      <c r="E9" s="4" t="n">
        <f aca="false">Assumptions!E15</f>
        <v>0.23</v>
      </c>
      <c r="F9" s="4" t="n">
        <f aca="false">Assumptions!F15</f>
        <v>0.23</v>
      </c>
      <c r="G9" s="4" t="n">
        <f aca="false">Assumptions!G15</f>
        <v>0.23</v>
      </c>
      <c r="H9" s="4" t="n">
        <f aca="false">Assumptions!H15</f>
        <v>0.23</v>
      </c>
      <c r="I9" s="4" t="n">
        <f aca="false">Assumptions!I15</f>
        <v>0.23</v>
      </c>
      <c r="J9" s="4" t="n">
        <f aca="false">Assumptions!J15</f>
        <v>0.23</v>
      </c>
      <c r="K9" s="4" t="n">
        <f aca="false">Assumptions!K15</f>
        <v>0.23</v>
      </c>
      <c r="L9" s="4" t="n">
        <f aca="false">Assumptions!L15</f>
        <v>0.23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-13.400196382</v>
      </c>
      <c r="D10" s="0" t="n">
        <f aca="false">-D6*D9/100</f>
        <v>-13.53419834582</v>
      </c>
      <c r="E10" s="0" t="n">
        <f aca="false">-E6*E9/100</f>
        <v>-13.53419834582</v>
      </c>
      <c r="F10" s="0" t="n">
        <f aca="false">-F6*F9/100</f>
        <v>-13.9402242961946</v>
      </c>
      <c r="G10" s="0" t="n">
        <f aca="false">-G6*G9/100</f>
        <v>-14.4281321465614</v>
      </c>
      <c r="H10" s="0" t="n">
        <f aca="false">-H6*H9/100</f>
        <v>-14.9331167716911</v>
      </c>
      <c r="I10" s="0" t="n">
        <f aca="false">-I6*I9/100</f>
        <v>-15.3811102748418</v>
      </c>
      <c r="J10" s="0" t="n">
        <f aca="false">-J6*J9/100</f>
        <v>-15.842543583087</v>
      </c>
      <c r="K10" s="0" t="n">
        <f aca="false">-K6*K9/100</f>
        <v>-16.2386071726642</v>
      </c>
      <c r="L10" s="0" t="n">
        <f aca="false">-L6*L9/100</f>
        <v>-16.6445723519808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1880.105814118</v>
      </c>
      <c r="D11" s="0" t="n">
        <f aca="false">D8+D10+D24</f>
        <v>1781.21819099118</v>
      </c>
      <c r="E11" s="0" t="n">
        <f aca="false">E8+E10+E24</f>
        <v>1751.79602067418</v>
      </c>
      <c r="F11" s="0" t="n">
        <f aca="false">F8+F10+F24</f>
        <v>1834.65473672092</v>
      </c>
      <c r="G11" s="0" t="n">
        <f aca="false">G8+G10+G24</f>
        <v>1930.23315717259</v>
      </c>
      <c r="H11" s="0" t="n">
        <f aca="false">H8+H10+H24</f>
        <v>2030.25461500339</v>
      </c>
      <c r="I11" s="0" t="n">
        <f aca="false">I8+I10+I24</f>
        <v>2091.16225345349</v>
      </c>
      <c r="J11" s="0" t="n">
        <f aca="false">J8+J10+J24</f>
        <v>2153.8971210571</v>
      </c>
      <c r="K11" s="0" t="n">
        <f aca="false">K8+K10+K24</f>
        <v>2207.74454908352</v>
      </c>
      <c r="L11" s="0" t="n">
        <f aca="false">L8+L10+L24</f>
        <v>2262.93816281061</v>
      </c>
    </row>
    <row r="12" customFormat="false" ht="15" hidden="false" customHeight="false" outlineLevel="0" collapsed="false">
      <c r="A12" s="0" t="s">
        <v>124</v>
      </c>
      <c r="C12" s="4" t="n">
        <f aca="false">-C6*Assumptions!C17/100</f>
        <v>-372.87502976</v>
      </c>
      <c r="D12" s="4" t="n">
        <f aca="false">-D6*Assumptions!D17/100</f>
        <v>-388.3726481844</v>
      </c>
      <c r="E12" s="4" t="n">
        <f aca="false">-E6*Assumptions!E17/100</f>
        <v>-400.1415163112</v>
      </c>
      <c r="F12" s="4" t="n">
        <f aca="false">-F6*Assumptions!F17/100</f>
        <v>-424.26769597114</v>
      </c>
      <c r="G12" s="4" t="n">
        <f aca="false">-G6*Assumptions!G17/100</f>
        <v>-439.11706533013</v>
      </c>
      <c r="H12" s="4" t="n">
        <f aca="false">-H6*Assumptions!H17/100</f>
        <v>-454.486162616684</v>
      </c>
      <c r="I12" s="4" t="n">
        <f aca="false">-I6*Assumptions!I17/100</f>
        <v>-468.120747495185</v>
      </c>
      <c r="J12" s="4" t="n">
        <f aca="false">-J6*Assumptions!J17/100</f>
        <v>-482.164369920041</v>
      </c>
      <c r="K12" s="4" t="n">
        <f aca="false">-K6*Assumptions!K17/100</f>
        <v>-494.218479168041</v>
      </c>
      <c r="L12" s="4" t="n">
        <f aca="false">-L6*Assumptions!L17/100</f>
        <v>-506.573941147242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1507.230784358</v>
      </c>
      <c r="D13" s="0" t="n">
        <f aca="false">D11+D12</f>
        <v>1392.84554280678</v>
      </c>
      <c r="E13" s="0" t="n">
        <f aca="false">E11+E12</f>
        <v>1351.65450436298</v>
      </c>
      <c r="F13" s="0" t="n">
        <f aca="false">F11+F12</f>
        <v>1410.38704074978</v>
      </c>
      <c r="G13" s="0" t="n">
        <f aca="false">G11+G12</f>
        <v>1491.11609184246</v>
      </c>
      <c r="H13" s="0" t="n">
        <f aca="false">H11+H12</f>
        <v>1575.7684523867</v>
      </c>
      <c r="I13" s="0" t="n">
        <f aca="false">I11+I12</f>
        <v>1623.04150595831</v>
      </c>
      <c r="J13" s="0" t="n">
        <f aca="false">J11+J12</f>
        <v>1671.73275113705</v>
      </c>
      <c r="K13" s="0" t="n">
        <f aca="false">K11+K12</f>
        <v>1713.52606991548</v>
      </c>
      <c r="L13" s="0" t="n">
        <f aca="false">L11+L12</f>
        <v>1756.36422166337</v>
      </c>
    </row>
    <row r="14" customFormat="false" ht="15" hidden="false" customHeight="false" outlineLevel="0" collapsed="false">
      <c r="A14" s="0" t="s">
        <v>111</v>
      </c>
      <c r="C14" s="4" t="n">
        <f aca="false">Assumptions!C19</f>
        <v>24</v>
      </c>
      <c r="D14" s="4" t="n">
        <f aca="false">Assumptions!D19</f>
        <v>23</v>
      </c>
      <c r="E14" s="4" t="n">
        <f aca="false">Assumptions!E19</f>
        <v>23</v>
      </c>
      <c r="F14" s="4" t="n">
        <f aca="false">Assumptions!F19</f>
        <v>23</v>
      </c>
      <c r="G14" s="4" t="n">
        <f aca="false">Assumptions!G19</f>
        <v>23</v>
      </c>
      <c r="H14" s="4" t="n">
        <f aca="false">Assumptions!H19</f>
        <v>23.5</v>
      </c>
      <c r="I14" s="4" t="n">
        <f aca="false">Assumptions!I19</f>
        <v>24</v>
      </c>
      <c r="J14" s="4" t="n">
        <f aca="false">Assumptions!J19</f>
        <v>24</v>
      </c>
      <c r="K14" s="4" t="n">
        <f aca="false">Assumptions!K19</f>
        <v>24.5</v>
      </c>
      <c r="L14" s="4" t="n">
        <f aca="false">Assumptions!L19</f>
        <v>25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1145.49539611208</v>
      </c>
      <c r="D15" s="0" t="n">
        <f aca="false">D13-MAX(0,D13)*D14/100</f>
        <v>1072.49106796122</v>
      </c>
      <c r="E15" s="0" t="n">
        <f aca="false">E13-MAX(0,E13)*E14/100</f>
        <v>1040.77396835949</v>
      </c>
      <c r="F15" s="0" t="n">
        <f aca="false">F13-MAX(0,F13)*F14/100</f>
        <v>1085.99802137733</v>
      </c>
      <c r="G15" s="0" t="n">
        <f aca="false">G13-MAX(0,G13)*G14/100</f>
        <v>1148.15939071869</v>
      </c>
      <c r="H15" s="0" t="n">
        <f aca="false">H13-MAX(0,H13)*H14/100</f>
        <v>1205.46286607583</v>
      </c>
      <c r="I15" s="0" t="n">
        <f aca="false">I13-MAX(0,I13)*I14/100</f>
        <v>1233.51154452831</v>
      </c>
      <c r="J15" s="0" t="n">
        <f aca="false">J13-MAX(0,J13)*J14/100</f>
        <v>1270.51689086416</v>
      </c>
      <c r="K15" s="0" t="n">
        <f aca="false">K13-MAX(0,K13)*K14/100</f>
        <v>1293.71218278619</v>
      </c>
      <c r="L15" s="0" t="n">
        <f aca="false">L13-MAX(0,L13)*L14/100</f>
        <v>1317.27316624753</v>
      </c>
    </row>
    <row r="16" customFormat="false" ht="15" hidden="false" customHeight="false" outlineLevel="0" collapsed="false">
      <c r="A16" s="0" t="s">
        <v>127</v>
      </c>
      <c r="C16" s="0" t="n">
        <f aca="false">-C12</f>
        <v>372.87502976</v>
      </c>
      <c r="D16" s="0" t="n">
        <f aca="false">-D12</f>
        <v>388.3726481844</v>
      </c>
      <c r="E16" s="0" t="n">
        <f aca="false">-E12</f>
        <v>400.1415163112</v>
      </c>
      <c r="F16" s="0" t="n">
        <f aca="false">-F12</f>
        <v>424.26769597114</v>
      </c>
      <c r="G16" s="0" t="n">
        <f aca="false">-G12</f>
        <v>439.11706533013</v>
      </c>
      <c r="H16" s="0" t="n">
        <f aca="false">-H12</f>
        <v>454.486162616684</v>
      </c>
      <c r="I16" s="0" t="n">
        <f aca="false">-I12</f>
        <v>468.120747495185</v>
      </c>
      <c r="J16" s="0" t="n">
        <f aca="false">-J12</f>
        <v>482.164369920041</v>
      </c>
      <c r="K16" s="0" t="n">
        <f aca="false">-K12</f>
        <v>494.218479168041</v>
      </c>
      <c r="L16" s="0" t="n">
        <f aca="false">-L12</f>
        <v>506.573941147242</v>
      </c>
    </row>
    <row r="17" customFormat="false" ht="15" hidden="false" customHeight="false" outlineLevel="0" collapsed="false">
      <c r="A17" s="0" t="s">
        <v>128</v>
      </c>
      <c r="C17" s="4" t="n">
        <f aca="false">-C6*Assumptions!C18/100</f>
        <v>-268.00392764</v>
      </c>
      <c r="D17" s="4" t="n">
        <f aca="false">-D6*Assumptions!D18/100</f>
        <v>-411.910384438</v>
      </c>
      <c r="E17" s="4" t="n">
        <f aca="false">-E6*Assumptions!E18/100</f>
        <v>-500.176895389</v>
      </c>
      <c r="F17" s="4" t="n">
        <f aca="false">-F6*Assumptions!F18/100</f>
        <v>-545.48703767718</v>
      </c>
      <c r="G17" s="4" t="n">
        <f aca="false">-G6*Assumptions!G18/100</f>
        <v>-564.579083995881</v>
      </c>
      <c r="H17" s="4" t="n">
        <f aca="false">-H6*Assumptions!H18/100</f>
        <v>-584.339351935737</v>
      </c>
      <c r="I17" s="4" t="n">
        <f aca="false">-I6*Assumptions!I18/100</f>
        <v>-568.432336244153</v>
      </c>
      <c r="J17" s="4" t="n">
        <f aca="false">-J6*Assumptions!J18/100</f>
        <v>-585.485306331478</v>
      </c>
      <c r="K17" s="4" t="n">
        <f aca="false">-K6*Assumptions!K18/100</f>
        <v>-600.122438989765</v>
      </c>
      <c r="L17" s="4" t="n">
        <f aca="false">-L6*Assumptions!L18/100</f>
        <v>-615.125499964509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(C6-B6)*Assumptions!$B$23/100</f>
        <v>-13.1913336</v>
      </c>
      <c r="D18" s="4" t="n">
        <f aca="false">(D6-C6)*Assumptions!$B$23/100</f>
        <v>-2.330468936</v>
      </c>
      <c r="E18" s="4" t="n">
        <f aca="false">(E6-D6)*Assumptions!$B$23/100</f>
        <v>-0</v>
      </c>
      <c r="F18" s="4" t="n">
        <f aca="false">(F6-E6)*Assumptions!$B$23/100</f>
        <v>-7.06132087607999</v>
      </c>
      <c r="G18" s="4" t="n">
        <f aca="false">(G6-F6)*Assumptions!$B$23/100</f>
        <v>-8.48535391942278</v>
      </c>
      <c r="H18" s="4" t="n">
        <f aca="false">(H6-G6)*Assumptions!$B$23/100</f>
        <v>-8.78234130660258</v>
      </c>
      <c r="I18" s="4" t="n">
        <f aca="false">(I6-H6)*Assumptions!$B$23/100</f>
        <v>-7.79119135914316</v>
      </c>
      <c r="J18" s="4" t="n">
        <f aca="false">(J6-I6)*Assumptions!$B$23/100</f>
        <v>-8.02492709991748</v>
      </c>
      <c r="K18" s="4" t="n">
        <f aca="false">(K6-J6)*Assumptions!$B$23/100</f>
        <v>-6.88806242742914</v>
      </c>
      <c r="L18" s="4" t="n">
        <f aca="false">(L6-K6)*Assumptions!$B$23/100</f>
        <v>-7.06026398811486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1237.17516463208</v>
      </c>
      <c r="D19" s="0" t="n">
        <f aca="false">D15+D16+D17+D18</f>
        <v>1046.62286277162</v>
      </c>
      <c r="E19" s="0" t="n">
        <f aca="false">E15+E16+E17+E18</f>
        <v>940.738589281695</v>
      </c>
      <c r="F19" s="0" t="n">
        <f aca="false">F15+F16+F17+F18</f>
        <v>957.717358795207</v>
      </c>
      <c r="G19" s="0" t="n">
        <f aca="false">G15+G16+G17+G18</f>
        <v>1014.21201813352</v>
      </c>
      <c r="H19" s="0" t="n">
        <f aca="false">H15+H16+H17+H18</f>
        <v>1066.82733545017</v>
      </c>
      <c r="I19" s="0" t="n">
        <f aca="false">I15+I16+I17+I18</f>
        <v>1125.4087644202</v>
      </c>
      <c r="J19" s="0" t="n">
        <f aca="false">J15+J16+J17+J18</f>
        <v>1159.17102735281</v>
      </c>
      <c r="K19" s="0" t="n">
        <f aca="false">K15+K16+K17+K18</f>
        <v>1180.92016053704</v>
      </c>
      <c r="L19" s="0" t="n">
        <f aca="false">L15+L16+L17+L18</f>
        <v>1201.66134344214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1135.02308681842</v>
      </c>
      <c r="D21" s="0" t="n">
        <f aca="false">D19*D20</f>
        <v>880.921524090245</v>
      </c>
      <c r="E21" s="0" t="n">
        <f aca="false">E19*E20</f>
        <v>726.422797699275</v>
      </c>
      <c r="F21" s="0" t="n">
        <f aca="false">F19*F20</f>
        <v>678.471122045297</v>
      </c>
      <c r="G21" s="0" t="n">
        <f aca="false">G19*G20</f>
        <v>659.168222945959</v>
      </c>
      <c r="H21" s="0" t="n">
        <f aca="false">H19*H20</f>
        <v>636.114283550551</v>
      </c>
      <c r="I21" s="0" t="n">
        <f aca="false">I19*I20</f>
        <v>615.637133584655</v>
      </c>
      <c r="J21" s="0" t="n">
        <f aca="false">J19*J20</f>
        <v>581.748851002014</v>
      </c>
      <c r="K21" s="0" t="n">
        <f aca="false">K19*K20</f>
        <v>543.728447302101</v>
      </c>
      <c r="L21" s="0" t="n">
        <f aca="false">L19*L20</f>
        <v>507.594737698754</v>
      </c>
    </row>
    <row r="23" customFormat="false" ht="15" hidden="false" customHeight="false" outlineLevel="0" collapsed="false">
      <c r="A23" s="0" t="s">
        <v>108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113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114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6964.83020673727</v>
      </c>
    </row>
    <row r="31" customFormat="false" ht="15" hidden="false" customHeight="false" outlineLevel="0" collapsed="false">
      <c r="A31" s="0" t="s">
        <v>136</v>
      </c>
      <c r="B31" s="0" t="n">
        <f aca="false">L19</f>
        <v>1201.66134344214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18949.275031203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18024.9201516322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18024.9201516322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7613.92106548131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14578.7512722186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14842.6932722186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71.1146456757712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-0.600703842359511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93.1655239194121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110.871052593458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72.0922303079867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9853.62301622558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38.9676855644895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Assumptions!C27</f>
        <v>6.5</v>
      </c>
      <c r="D5" s="4" t="n">
        <f aca="false">Assumptions!D27</f>
        <v>8</v>
      </c>
      <c r="E5" s="4" t="n">
        <f aca="false">Assumptions!E27</f>
        <v>7</v>
      </c>
      <c r="F5" s="4" t="n">
        <f aca="false">Assumptions!F27</f>
        <v>6</v>
      </c>
      <c r="G5" s="4" t="n">
        <f aca="false">Assumptions!G27</f>
        <v>5</v>
      </c>
      <c r="H5" s="4" t="n">
        <f aca="false">Assumptions!H27</f>
        <v>4.5</v>
      </c>
      <c r="I5" s="4" t="n">
        <f aca="false">Assumptions!I27</f>
        <v>4</v>
      </c>
      <c r="J5" s="4" t="n">
        <f aca="false">Assumptions!J27</f>
        <v>3.5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5496.389</v>
      </c>
      <c r="C6" s="0" t="n">
        <f aca="false">B6*(1+C5/100)</f>
        <v>5853.654285</v>
      </c>
      <c r="D6" s="0" t="n">
        <f aca="false">C6*(1+D5/100)</f>
        <v>6321.9466278</v>
      </c>
      <c r="E6" s="0" t="n">
        <f aca="false">D6*(1+E5/100)</f>
        <v>6764.482891746</v>
      </c>
      <c r="F6" s="0" t="n">
        <f aca="false">E6*(1+F5/100)</f>
        <v>7170.35186525076</v>
      </c>
      <c r="G6" s="0" t="n">
        <f aca="false">F6*(1+G5/100)</f>
        <v>7528.8694585133</v>
      </c>
      <c r="H6" s="0" t="n">
        <f aca="false">G6*(1+H5/100)</f>
        <v>7867.6685841464</v>
      </c>
      <c r="I6" s="0" t="n">
        <f aca="false">H6*(1+I5/100)</f>
        <v>8182.37532751225</v>
      </c>
      <c r="J6" s="0" t="n">
        <f aca="false">I6*(1+J5/100)</f>
        <v>8468.75846397518</v>
      </c>
      <c r="K6" s="0" t="n">
        <f aca="false">J6*(1+K5/100)</f>
        <v>8722.82121789444</v>
      </c>
      <c r="L6" s="0" t="n">
        <f aca="false">K6*(1+L5/100)</f>
        <v>8984.50585443127</v>
      </c>
    </row>
    <row r="7" customFormat="false" ht="15" hidden="false" customHeight="false" outlineLevel="0" collapsed="false">
      <c r="A7" s="0" t="s">
        <v>106</v>
      </c>
      <c r="C7" s="4" t="n">
        <f aca="false">Assumptions!C28</f>
        <v>33</v>
      </c>
      <c r="D7" s="4" t="n">
        <f aca="false">Assumptions!D28</f>
        <v>33.5</v>
      </c>
      <c r="E7" s="4" t="n">
        <f aca="false">Assumptions!E28</f>
        <v>34</v>
      </c>
      <c r="F7" s="4" t="n">
        <f aca="false">Assumptions!F28</f>
        <v>34.5</v>
      </c>
      <c r="G7" s="4" t="n">
        <f aca="false">Assumptions!G28</f>
        <v>34.5</v>
      </c>
      <c r="H7" s="4" t="n">
        <f aca="false">Assumptions!H28</f>
        <v>34.5</v>
      </c>
      <c r="I7" s="4" t="n">
        <f aca="false">Assumptions!I28</f>
        <v>34.5</v>
      </c>
      <c r="J7" s="4" t="n">
        <f aca="false">Assumptions!J28</f>
        <v>34.5</v>
      </c>
      <c r="K7" s="4" t="n">
        <f aca="false">Assumptions!K28</f>
        <v>34.5</v>
      </c>
      <c r="L7" s="4" t="n">
        <f aca="false">Assumptions!L28</f>
        <v>34.5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1931.70591405</v>
      </c>
      <c r="D8" s="0" t="n">
        <f aca="false">D6*D7/100</f>
        <v>2117.852120313</v>
      </c>
      <c r="E8" s="0" t="n">
        <f aca="false">E6*E7/100</f>
        <v>2299.92418319364</v>
      </c>
      <c r="F8" s="0" t="n">
        <f aca="false">F6*F7/100</f>
        <v>2473.77139351151</v>
      </c>
      <c r="G8" s="0" t="n">
        <f aca="false">G6*G7/100</f>
        <v>2597.45996318709</v>
      </c>
      <c r="H8" s="0" t="n">
        <f aca="false">H6*H7/100</f>
        <v>2714.34566153051</v>
      </c>
      <c r="I8" s="0" t="n">
        <f aca="false">I6*I7/100</f>
        <v>2822.91948799173</v>
      </c>
      <c r="J8" s="0" t="n">
        <f aca="false">J6*J7/100</f>
        <v>2921.72167007144</v>
      </c>
      <c r="K8" s="0" t="n">
        <f aca="false">K6*K7/100</f>
        <v>3009.37332017358</v>
      </c>
      <c r="L8" s="0" t="n">
        <f aca="false">L6*L7/100</f>
        <v>3099.65451977879</v>
      </c>
    </row>
    <row r="9" customFormat="false" ht="15" hidden="false" customHeight="false" outlineLevel="0" collapsed="false">
      <c r="A9" s="0" t="s">
        <v>107</v>
      </c>
      <c r="C9" s="4" t="n">
        <f aca="false">Assumptions!C29</f>
        <v>0.23</v>
      </c>
      <c r="D9" s="4" t="n">
        <f aca="false">Assumptions!D29</f>
        <v>0.23</v>
      </c>
      <c r="E9" s="4" t="n">
        <f aca="false">Assumptions!E29</f>
        <v>0.23</v>
      </c>
      <c r="F9" s="4" t="n">
        <f aca="false">Assumptions!F29</f>
        <v>0.23</v>
      </c>
      <c r="G9" s="4" t="n">
        <f aca="false">Assumptions!G29</f>
        <v>0.23</v>
      </c>
      <c r="H9" s="4" t="n">
        <f aca="false">Assumptions!H29</f>
        <v>0.23</v>
      </c>
      <c r="I9" s="4" t="n">
        <f aca="false">Assumptions!I29</f>
        <v>0.23</v>
      </c>
      <c r="J9" s="4" t="n">
        <f aca="false">Assumptions!J29</f>
        <v>0.23</v>
      </c>
      <c r="K9" s="4" t="n">
        <f aca="false">Assumptions!K29</f>
        <v>0.23</v>
      </c>
      <c r="L9" s="4" t="n">
        <f aca="false">Assumptions!L29</f>
        <v>0.23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-13.4634048555</v>
      </c>
      <c r="D10" s="0" t="n">
        <f aca="false">-D6*D9/100</f>
        <v>-14.54047724394</v>
      </c>
      <c r="E10" s="0" t="n">
        <f aca="false">-E6*E9/100</f>
        <v>-15.5583106510158</v>
      </c>
      <c r="F10" s="0" t="n">
        <f aca="false">-F6*F9/100</f>
        <v>-16.4918092900768</v>
      </c>
      <c r="G10" s="0" t="n">
        <f aca="false">-G6*G9/100</f>
        <v>-17.3163997545806</v>
      </c>
      <c r="H10" s="0" t="n">
        <f aca="false">-H6*H9/100</f>
        <v>-18.0956377435367</v>
      </c>
      <c r="I10" s="0" t="n">
        <f aca="false">-I6*I9/100</f>
        <v>-18.8194632532782</v>
      </c>
      <c r="J10" s="0" t="n">
        <f aca="false">-J6*J9/100</f>
        <v>-19.4781444671429</v>
      </c>
      <c r="K10" s="0" t="n">
        <f aca="false">-K6*K9/100</f>
        <v>-20.0624888011572</v>
      </c>
      <c r="L10" s="0" t="n">
        <f aca="false">-L6*L9/100</f>
        <v>-20.6643634651919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1918.2425091945</v>
      </c>
      <c r="D11" s="0" t="n">
        <f aca="false">D8+D10+D24</f>
        <v>2103.31164306906</v>
      </c>
      <c r="E11" s="0" t="n">
        <f aca="false">E8+E10+E24</f>
        <v>2284.36587254262</v>
      </c>
      <c r="F11" s="0" t="n">
        <f aca="false">F8+F10+F24</f>
        <v>2457.27958422144</v>
      </c>
      <c r="G11" s="0" t="n">
        <f aca="false">G8+G10+G24</f>
        <v>2580.14356343251</v>
      </c>
      <c r="H11" s="0" t="n">
        <f aca="false">H8+H10+H24</f>
        <v>2696.25002378697</v>
      </c>
      <c r="I11" s="0" t="n">
        <f aca="false">I8+I10+I24</f>
        <v>2804.10002473845</v>
      </c>
      <c r="J11" s="0" t="n">
        <f aca="false">J8+J10+J24</f>
        <v>2902.24352560429</v>
      </c>
      <c r="K11" s="0" t="n">
        <f aca="false">K8+K10+K24</f>
        <v>2989.31083137242</v>
      </c>
      <c r="L11" s="0" t="n">
        <f aca="false">L8+L10+L24</f>
        <v>3078.9901563136</v>
      </c>
    </row>
    <row r="12" customFormat="false" ht="15" hidden="false" customHeight="false" outlineLevel="0" collapsed="false">
      <c r="A12" s="0" t="s">
        <v>124</v>
      </c>
      <c r="C12" s="4" t="n">
        <f aca="false">-C6*Assumptions!C31/100</f>
        <v>-374.63387424</v>
      </c>
      <c r="D12" s="4" t="n">
        <f aca="false">-D6*Assumptions!D31/100</f>
        <v>-410.926530807</v>
      </c>
      <c r="E12" s="4" t="n">
        <f aca="false">-E6*Assumptions!E31/100</f>
        <v>-453.220353746982</v>
      </c>
      <c r="F12" s="4" t="n">
        <f aca="false">-F6*Assumptions!F31/100</f>
        <v>-494.754278702303</v>
      </c>
      <c r="G12" s="4" t="n">
        <f aca="false">-G6*Assumptions!G31/100</f>
        <v>-527.020862095931</v>
      </c>
      <c r="H12" s="4" t="n">
        <f aca="false">-H6*Assumptions!H31/100</f>
        <v>-550.736800890248</v>
      </c>
      <c r="I12" s="4" t="n">
        <f aca="false">-I6*Assumptions!I31/100</f>
        <v>-572.766272925858</v>
      </c>
      <c r="J12" s="4" t="n">
        <f aca="false">-J6*Assumptions!J31/100</f>
        <v>-592.813092478263</v>
      </c>
      <c r="K12" s="4" t="n">
        <f aca="false">-K6*Assumptions!K31/100</f>
        <v>-610.597485252611</v>
      </c>
      <c r="L12" s="4" t="n">
        <f aca="false">-L6*Assumptions!L31/100</f>
        <v>-628.915409810189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1543.6086349545</v>
      </c>
      <c r="D13" s="0" t="n">
        <f aca="false">D11+D12</f>
        <v>1692.38511226206</v>
      </c>
      <c r="E13" s="0" t="n">
        <f aca="false">E11+E12</f>
        <v>1831.14551879564</v>
      </c>
      <c r="F13" s="0" t="n">
        <f aca="false">F11+F12</f>
        <v>1962.52530551913</v>
      </c>
      <c r="G13" s="0" t="n">
        <f aca="false">G11+G12</f>
        <v>2053.12270133658</v>
      </c>
      <c r="H13" s="0" t="n">
        <f aca="false">H11+H12</f>
        <v>2145.51322289672</v>
      </c>
      <c r="I13" s="0" t="n">
        <f aca="false">I11+I12</f>
        <v>2231.33375181259</v>
      </c>
      <c r="J13" s="0" t="n">
        <f aca="false">J11+J12</f>
        <v>2309.43043312603</v>
      </c>
      <c r="K13" s="0" t="n">
        <f aca="false">K11+K12</f>
        <v>2378.71334611981</v>
      </c>
      <c r="L13" s="0" t="n">
        <f aca="false">L11+L12</f>
        <v>2450.07474650341</v>
      </c>
    </row>
    <row r="14" customFormat="false" ht="15" hidden="false" customHeight="false" outlineLevel="0" collapsed="false">
      <c r="A14" s="0" t="s">
        <v>111</v>
      </c>
      <c r="C14" s="4" t="n">
        <f aca="false">Assumptions!C33</f>
        <v>24</v>
      </c>
      <c r="D14" s="4" t="n">
        <f aca="false">Assumptions!D33</f>
        <v>23</v>
      </c>
      <c r="E14" s="4" t="n">
        <f aca="false">Assumptions!E33</f>
        <v>23</v>
      </c>
      <c r="F14" s="4" t="n">
        <f aca="false">Assumptions!F33</f>
        <v>23</v>
      </c>
      <c r="G14" s="4" t="n">
        <f aca="false">Assumptions!G33</f>
        <v>23</v>
      </c>
      <c r="H14" s="4" t="n">
        <f aca="false">Assumptions!H33</f>
        <v>23.5</v>
      </c>
      <c r="I14" s="4" t="n">
        <f aca="false">Assumptions!I33</f>
        <v>24</v>
      </c>
      <c r="J14" s="4" t="n">
        <f aca="false">Assumptions!J33</f>
        <v>24</v>
      </c>
      <c r="K14" s="4" t="n">
        <f aca="false">Assumptions!K33</f>
        <v>24.5</v>
      </c>
      <c r="L14" s="4" t="n">
        <f aca="false">Assumptions!L33</f>
        <v>25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1173.14256256542</v>
      </c>
      <c r="D15" s="0" t="n">
        <f aca="false">D13-MAX(0,D13)*D14/100</f>
        <v>1303.13653644179</v>
      </c>
      <c r="E15" s="0" t="n">
        <f aca="false">E13-MAX(0,E13)*E14/100</f>
        <v>1409.98204947264</v>
      </c>
      <c r="F15" s="0" t="n">
        <f aca="false">F13-MAX(0,F13)*F14/100</f>
        <v>1511.14448524973</v>
      </c>
      <c r="G15" s="0" t="n">
        <f aca="false">G13-MAX(0,G13)*G14/100</f>
        <v>1580.90448002916</v>
      </c>
      <c r="H15" s="0" t="n">
        <f aca="false">H13-MAX(0,H13)*H14/100</f>
        <v>1641.31761551599</v>
      </c>
      <c r="I15" s="0" t="n">
        <f aca="false">I13-MAX(0,I13)*I14/100</f>
        <v>1695.81365137757</v>
      </c>
      <c r="J15" s="0" t="n">
        <f aca="false">J13-MAX(0,J13)*J14/100</f>
        <v>1755.16712917578</v>
      </c>
      <c r="K15" s="0" t="n">
        <f aca="false">K13-MAX(0,K13)*K14/100</f>
        <v>1795.92857632046</v>
      </c>
      <c r="L15" s="0" t="n">
        <f aca="false">L13-MAX(0,L13)*L14/100</f>
        <v>1837.55605987755</v>
      </c>
    </row>
    <row r="16" customFormat="false" ht="15" hidden="false" customHeight="false" outlineLevel="0" collapsed="false">
      <c r="A16" s="0" t="s">
        <v>127</v>
      </c>
      <c r="C16" s="0" t="n">
        <f aca="false">-C12</f>
        <v>374.63387424</v>
      </c>
      <c r="D16" s="0" t="n">
        <f aca="false">-D12</f>
        <v>410.926530807</v>
      </c>
      <c r="E16" s="0" t="n">
        <f aca="false">-E12</f>
        <v>453.220353746982</v>
      </c>
      <c r="F16" s="0" t="n">
        <f aca="false">-F12</f>
        <v>494.754278702303</v>
      </c>
      <c r="G16" s="0" t="n">
        <f aca="false">-G12</f>
        <v>527.020862095931</v>
      </c>
      <c r="H16" s="0" t="n">
        <f aca="false">-H12</f>
        <v>550.736800890248</v>
      </c>
      <c r="I16" s="0" t="n">
        <f aca="false">-I12</f>
        <v>572.766272925858</v>
      </c>
      <c r="J16" s="0" t="n">
        <f aca="false">-J12</f>
        <v>592.813092478263</v>
      </c>
      <c r="K16" s="0" t="n">
        <f aca="false">-K12</f>
        <v>610.597485252611</v>
      </c>
      <c r="L16" s="0" t="n">
        <f aca="false">-L12</f>
        <v>628.915409810189</v>
      </c>
    </row>
    <row r="17" customFormat="false" ht="15" hidden="false" customHeight="false" outlineLevel="0" collapsed="false">
      <c r="A17" s="0" t="s">
        <v>128</v>
      </c>
      <c r="C17" s="4" t="n">
        <f aca="false">-C6*Assumptions!C32/100</f>
        <v>-269.26809711</v>
      </c>
      <c r="D17" s="4" t="n">
        <f aca="false">-D6*Assumptions!D32/100</f>
        <v>-505.755730224</v>
      </c>
      <c r="E17" s="4" t="n">
        <f aca="false">-E6*Assumptions!E32/100</f>
        <v>-676.4482891746</v>
      </c>
      <c r="F17" s="4" t="n">
        <f aca="false">-F6*Assumptions!F32/100</f>
        <v>-752.88694585133</v>
      </c>
      <c r="G17" s="4" t="n">
        <f aca="false">-G6*Assumptions!G32/100</f>
        <v>-790.531293143896</v>
      </c>
      <c r="H17" s="4" t="n">
        <f aca="false">-H6*Assumptions!H32/100</f>
        <v>-786.76685841464</v>
      </c>
      <c r="I17" s="4" t="n">
        <f aca="false">-I6*Assumptions!I32/100</f>
        <v>-777.325656113664</v>
      </c>
      <c r="J17" s="4" t="n">
        <f aca="false">-J6*Assumptions!J32/100</f>
        <v>-804.532054077642</v>
      </c>
      <c r="K17" s="4" t="n">
        <f aca="false">-K6*Assumptions!K32/100</f>
        <v>-785.053909610499</v>
      </c>
      <c r="L17" s="4" t="n">
        <f aca="false">-L6*Assumptions!L32/100</f>
        <v>-808.605526898814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(C6-B6)*Assumptions!$B$37/100</f>
        <v>-14.2906114</v>
      </c>
      <c r="D18" s="4" t="n">
        <f aca="false">(D6-C6)*Assumptions!$B$37/100</f>
        <v>-18.731693712</v>
      </c>
      <c r="E18" s="4" t="n">
        <f aca="false">(E6-D6)*Assumptions!$B$37/100</f>
        <v>-17.70145055784</v>
      </c>
      <c r="F18" s="4" t="n">
        <f aca="false">(F6-E6)*Assumptions!$B$37/100</f>
        <v>-16.2347589401904</v>
      </c>
      <c r="G18" s="4" t="n">
        <f aca="false">(G6-F6)*Assumptions!$B$37/100</f>
        <v>-14.3407037305015</v>
      </c>
      <c r="H18" s="4" t="n">
        <f aca="false">(H6-G6)*Assumptions!$B$37/100</f>
        <v>-13.5519650253239</v>
      </c>
      <c r="I18" s="4" t="n">
        <f aca="false">(I6-H6)*Assumptions!$B$37/100</f>
        <v>-12.5882697346342</v>
      </c>
      <c r="J18" s="4" t="n">
        <f aca="false">(J6-I6)*Assumptions!$B$37/100</f>
        <v>-11.4553254585171</v>
      </c>
      <c r="K18" s="4" t="n">
        <f aca="false">(K6-J6)*Assumptions!$B$37/100</f>
        <v>-10.1625101567702</v>
      </c>
      <c r="L18" s="4" t="n">
        <f aca="false">(L6-K6)*Assumptions!$B$37/100</f>
        <v>-10.4673854614733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1264.21772829542</v>
      </c>
      <c r="D19" s="0" t="n">
        <f aca="false">D15+D16+D17+D18</f>
        <v>1189.57564331279</v>
      </c>
      <c r="E19" s="0" t="n">
        <f aca="false">E15+E16+E17+E18</f>
        <v>1169.05266348719</v>
      </c>
      <c r="F19" s="0" t="n">
        <f aca="false">F15+F16+F17+F18</f>
        <v>1236.77705916051</v>
      </c>
      <c r="G19" s="0" t="n">
        <f aca="false">G15+G16+G17+G18</f>
        <v>1303.0533452507</v>
      </c>
      <c r="H19" s="0" t="n">
        <f aca="false">H15+H16+H17+H18</f>
        <v>1391.73559296628</v>
      </c>
      <c r="I19" s="0" t="n">
        <f aca="false">I15+I16+I17+I18</f>
        <v>1478.66599845513</v>
      </c>
      <c r="J19" s="0" t="n">
        <f aca="false">J15+J16+J17+J18</f>
        <v>1531.99284211789</v>
      </c>
      <c r="K19" s="0" t="n">
        <f aca="false">K15+K16+K17+K18</f>
        <v>1611.3096418058</v>
      </c>
      <c r="L19" s="0" t="n">
        <f aca="false">L15+L16+L17+L18</f>
        <v>1647.39855732746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1159.83277825268</v>
      </c>
      <c r="D21" s="0" t="n">
        <f aca="false">D19*D20</f>
        <v>1001.24201945357</v>
      </c>
      <c r="E21" s="0" t="n">
        <f aca="false">E19*E20</f>
        <v>902.723154066192</v>
      </c>
      <c r="F21" s="0" t="n">
        <f aca="false">F19*F20</f>
        <v>876.16404917638</v>
      </c>
      <c r="G21" s="0" t="n">
        <f aca="false">G19*G20</f>
        <v>846.895267099482</v>
      </c>
      <c r="H21" s="0" t="n">
        <f aca="false">H19*H20</f>
        <v>829.846461740662</v>
      </c>
      <c r="I21" s="0" t="n">
        <f aca="false">I19*I20</f>
        <v>808.880937840391</v>
      </c>
      <c r="J21" s="0" t="n">
        <f aca="false">J19*J20</f>
        <v>768.855548159014</v>
      </c>
      <c r="K21" s="0" t="n">
        <f aca="false">K19*K20</f>
        <v>741.89172048985</v>
      </c>
      <c r="L21" s="0" t="n">
        <f aca="false">L19*L20</f>
        <v>695.878953879485</v>
      </c>
    </row>
    <row r="23" customFormat="false" ht="15" hidden="false" customHeight="false" outlineLevel="0" collapsed="false">
      <c r="A23" s="0" t="s">
        <v>108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113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114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8632.21089015771</v>
      </c>
    </row>
    <row r="31" customFormat="false" ht="15" hidden="false" customHeight="false" outlineLevel="0" collapsed="false">
      <c r="A31" s="0" t="s">
        <v>136</v>
      </c>
      <c r="B31" s="0" t="n">
        <f aca="false">L19</f>
        <v>1647.39855732746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28280.341900788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29653.1740318942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28280.341900788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11945.9220415978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20578.1329317555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20842.0749317555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99.8590179515393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-0.439309275959914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108.368061929244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149.845265977951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101.096175452951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14140.170950394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49.8539384107049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Assumptions!C41</f>
        <v>7</v>
      </c>
      <c r="D5" s="4" t="n">
        <f aca="false">Assumptions!D41</f>
        <v>11</v>
      </c>
      <c r="E5" s="4" t="n">
        <f aca="false">Assumptions!E41</f>
        <v>10</v>
      </c>
      <c r="F5" s="4" t="n">
        <f aca="false">Assumptions!F41</f>
        <v>8</v>
      </c>
      <c r="G5" s="4" t="n">
        <f aca="false">Assumptions!G41</f>
        <v>7</v>
      </c>
      <c r="H5" s="4" t="n">
        <f aca="false">Assumptions!H41</f>
        <v>6</v>
      </c>
      <c r="I5" s="4" t="n">
        <f aca="false">Assumptions!I41</f>
        <v>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37</v>
      </c>
      <c r="B6" s="3" t="n">
        <v>5496.389</v>
      </c>
      <c r="C6" s="0" t="n">
        <f aca="false">B6*(1+C5/100)</f>
        <v>5881.13623</v>
      </c>
      <c r="D6" s="0" t="n">
        <f aca="false">C6*(1+D5/100)</f>
        <v>6528.0612153</v>
      </c>
      <c r="E6" s="0" t="n">
        <f aca="false">D6*(1+E5/100)</f>
        <v>7180.86733683</v>
      </c>
      <c r="F6" s="0" t="n">
        <f aca="false">E6*(1+F5/100)</f>
        <v>7755.3367237764</v>
      </c>
      <c r="G6" s="0" t="n">
        <f aca="false">F6*(1+G5/100)</f>
        <v>8298.21029444075</v>
      </c>
      <c r="H6" s="0" t="n">
        <f aca="false">G6*(1+H5/100)</f>
        <v>8796.1029121072</v>
      </c>
      <c r="I6" s="0" t="n">
        <f aca="false">H6*(1+I5/100)</f>
        <v>9235.90805771256</v>
      </c>
      <c r="J6" s="0" t="n">
        <f aca="false">I6*(1+J5/100)</f>
        <v>9605.34438002106</v>
      </c>
      <c r="K6" s="0" t="n">
        <f aca="false">J6*(1+K5/100)</f>
        <v>9941.5314333218</v>
      </c>
      <c r="L6" s="0" t="n">
        <f aca="false">K6*(1+L5/100)</f>
        <v>10289.4850334881</v>
      </c>
    </row>
    <row r="7" customFormat="false" ht="15" hidden="false" customHeight="false" outlineLevel="0" collapsed="false">
      <c r="A7" s="0" t="s">
        <v>106</v>
      </c>
      <c r="C7" s="4" t="n">
        <f aca="false">Assumptions!C42</f>
        <v>33.5</v>
      </c>
      <c r="D7" s="4" t="n">
        <f aca="false">Assumptions!D42</f>
        <v>34.5</v>
      </c>
      <c r="E7" s="4" t="n">
        <f aca="false">Assumptions!E42</f>
        <v>35.5</v>
      </c>
      <c r="F7" s="4" t="n">
        <f aca="false">Assumptions!F42</f>
        <v>36</v>
      </c>
      <c r="G7" s="4" t="n">
        <f aca="false">Assumptions!G42</f>
        <v>36.5</v>
      </c>
      <c r="H7" s="4" t="n">
        <f aca="false">Assumptions!H42</f>
        <v>36.5</v>
      </c>
      <c r="I7" s="4" t="n">
        <f aca="false">Assumptions!I42</f>
        <v>36.5</v>
      </c>
      <c r="J7" s="4" t="n">
        <f aca="false">Assumptions!J42</f>
        <v>36.5</v>
      </c>
      <c r="K7" s="4" t="n">
        <f aca="false">Assumptions!K42</f>
        <v>36.5</v>
      </c>
      <c r="L7" s="4" t="n">
        <f aca="false">Assumptions!L42</f>
        <v>36.5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1970.18063705</v>
      </c>
      <c r="D8" s="0" t="n">
        <f aca="false">D6*D7/100</f>
        <v>2252.1811192785</v>
      </c>
      <c r="E8" s="0" t="n">
        <f aca="false">E6*E7/100</f>
        <v>2549.20790457465</v>
      </c>
      <c r="F8" s="0" t="n">
        <f aca="false">F6*F7/100</f>
        <v>2791.9212205595</v>
      </c>
      <c r="G8" s="0" t="n">
        <f aca="false">G6*G7/100</f>
        <v>3028.84675747087</v>
      </c>
      <c r="H8" s="0" t="n">
        <f aca="false">H6*H7/100</f>
        <v>3210.57756291913</v>
      </c>
      <c r="I8" s="0" t="n">
        <f aca="false">I6*I7/100</f>
        <v>3371.10644106508</v>
      </c>
      <c r="J8" s="0" t="n">
        <f aca="false">J6*J7/100</f>
        <v>3505.95069870769</v>
      </c>
      <c r="K8" s="0" t="n">
        <f aca="false">K6*K7/100</f>
        <v>3628.65897316246</v>
      </c>
      <c r="L8" s="0" t="n">
        <f aca="false">L6*L7/100</f>
        <v>3755.66203722314</v>
      </c>
    </row>
    <row r="9" customFormat="false" ht="15" hidden="false" customHeight="false" outlineLevel="0" collapsed="false">
      <c r="A9" s="0" t="s">
        <v>107</v>
      </c>
      <c r="C9" s="4" t="n">
        <f aca="false">Assumptions!C43</f>
        <v>0.23</v>
      </c>
      <c r="D9" s="4" t="n">
        <f aca="false">Assumptions!D43</f>
        <v>0.23</v>
      </c>
      <c r="E9" s="4" t="n">
        <f aca="false">Assumptions!E43</f>
        <v>0.23</v>
      </c>
      <c r="F9" s="4" t="n">
        <f aca="false">Assumptions!F43</f>
        <v>0.23</v>
      </c>
      <c r="G9" s="4" t="n">
        <f aca="false">Assumptions!G43</f>
        <v>0.23</v>
      </c>
      <c r="H9" s="4" t="n">
        <f aca="false">Assumptions!H43</f>
        <v>0.23</v>
      </c>
      <c r="I9" s="4" t="n">
        <f aca="false">Assumptions!I43</f>
        <v>0.23</v>
      </c>
      <c r="J9" s="4" t="n">
        <f aca="false">Assumptions!J43</f>
        <v>0.23</v>
      </c>
      <c r="K9" s="4" t="n">
        <f aca="false">Assumptions!K43</f>
        <v>0.23</v>
      </c>
      <c r="L9" s="4" t="n">
        <f aca="false">Assumptions!L43</f>
        <v>0.23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-13.526613329</v>
      </c>
      <c r="D10" s="0" t="n">
        <f aca="false">-D6*D9/100</f>
        <v>-15.01454079519</v>
      </c>
      <c r="E10" s="0" t="n">
        <f aca="false">-E6*E9/100</f>
        <v>-16.515994874709</v>
      </c>
      <c r="F10" s="0" t="n">
        <f aca="false">-F6*F9/100</f>
        <v>-17.8372744646857</v>
      </c>
      <c r="G10" s="0" t="n">
        <f aca="false">-G6*G9/100</f>
        <v>-19.0858836772137</v>
      </c>
      <c r="H10" s="0" t="n">
        <f aca="false">-H6*H9/100</f>
        <v>-20.2310366978466</v>
      </c>
      <c r="I10" s="0" t="n">
        <f aca="false">-I6*I9/100</f>
        <v>-21.2425885327389</v>
      </c>
      <c r="J10" s="0" t="n">
        <f aca="false">-J6*J9/100</f>
        <v>-22.0922920740484</v>
      </c>
      <c r="K10" s="0" t="n">
        <f aca="false">-K6*K9/100</f>
        <v>-22.8655222966401</v>
      </c>
      <c r="L10" s="0" t="n">
        <f aca="false">-L6*L9/100</f>
        <v>-23.6658155770225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1956.654023721</v>
      </c>
      <c r="D11" s="0" t="n">
        <f aca="false">D8+D10+D24</f>
        <v>2237.16657848331</v>
      </c>
      <c r="E11" s="0" t="n">
        <f aca="false">E8+E10+E24</f>
        <v>2532.69190969994</v>
      </c>
      <c r="F11" s="0" t="n">
        <f aca="false">F8+F10+F24</f>
        <v>2774.08394609482</v>
      </c>
      <c r="G11" s="0" t="n">
        <f aca="false">G8+G10+G24</f>
        <v>3009.76087379366</v>
      </c>
      <c r="H11" s="0" t="n">
        <f aca="false">H8+H10+H24</f>
        <v>3190.34652622128</v>
      </c>
      <c r="I11" s="0" t="n">
        <f aca="false">I8+I10+I24</f>
        <v>3349.86385253234</v>
      </c>
      <c r="J11" s="0" t="n">
        <f aca="false">J8+J10+J24</f>
        <v>3483.85840663364</v>
      </c>
      <c r="K11" s="0" t="n">
        <f aca="false">K8+K10+K24</f>
        <v>3605.79345086582</v>
      </c>
      <c r="L11" s="0" t="n">
        <f aca="false">L8+L10+L24</f>
        <v>3731.99622164612</v>
      </c>
    </row>
    <row r="12" customFormat="false" ht="15" hidden="false" customHeight="false" outlineLevel="0" collapsed="false">
      <c r="A12" s="0" t="s">
        <v>124</v>
      </c>
      <c r="C12" s="4" t="n">
        <f aca="false">-C6*Assumptions!C45/100</f>
        <v>-376.39271872</v>
      </c>
      <c r="D12" s="4" t="n">
        <f aca="false">-D6*Assumptions!D45/100</f>
        <v>-424.3239789945</v>
      </c>
      <c r="E12" s="4" t="n">
        <f aca="false">-E6*Assumptions!E45/100</f>
        <v>-481.11811156761</v>
      </c>
      <c r="F12" s="4" t="n">
        <f aca="false">-F6*Assumptions!F45/100</f>
        <v>-535.118233940572</v>
      </c>
      <c r="G12" s="4" t="n">
        <f aca="false">-G6*Assumptions!G45/100</f>
        <v>-580.874720610853</v>
      </c>
      <c r="H12" s="4" t="n">
        <f aca="false">-H6*Assumptions!H45/100</f>
        <v>-615.727203847504</v>
      </c>
      <c r="I12" s="4" t="n">
        <f aca="false">-I6*Assumptions!I45/100</f>
        <v>-646.513564039879</v>
      </c>
      <c r="J12" s="4" t="n">
        <f aca="false">-J6*Assumptions!J45/100</f>
        <v>-672.374106601474</v>
      </c>
      <c r="K12" s="4" t="n">
        <f aca="false">-K6*Assumptions!K45/100</f>
        <v>-695.907200332526</v>
      </c>
      <c r="L12" s="4" t="n">
        <f aca="false">-L6*Assumptions!L45/100</f>
        <v>-720.263952344164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1580.261305001</v>
      </c>
      <c r="D13" s="0" t="n">
        <f aca="false">D11+D12</f>
        <v>1812.84259948881</v>
      </c>
      <c r="E13" s="0" t="n">
        <f aca="false">E11+E12</f>
        <v>2051.57379813233</v>
      </c>
      <c r="F13" s="0" t="n">
        <f aca="false">F11+F12</f>
        <v>2238.96571215425</v>
      </c>
      <c r="G13" s="0" t="n">
        <f aca="false">G11+G12</f>
        <v>2428.88615318281</v>
      </c>
      <c r="H13" s="0" t="n">
        <f aca="false">H11+H12</f>
        <v>2574.61932237378</v>
      </c>
      <c r="I13" s="0" t="n">
        <f aca="false">I11+I12</f>
        <v>2703.35028849247</v>
      </c>
      <c r="J13" s="0" t="n">
        <f aca="false">J11+J12</f>
        <v>2811.48430003216</v>
      </c>
      <c r="K13" s="0" t="n">
        <f aca="false">K11+K12</f>
        <v>2909.88625053329</v>
      </c>
      <c r="L13" s="0" t="n">
        <f aca="false">L11+L12</f>
        <v>3011.73226930195</v>
      </c>
    </row>
    <row r="14" customFormat="false" ht="15" hidden="false" customHeight="false" outlineLevel="0" collapsed="false">
      <c r="A14" s="0" t="s">
        <v>111</v>
      </c>
      <c r="C14" s="4" t="n">
        <f aca="false">Assumptions!C47</f>
        <v>24</v>
      </c>
      <c r="D14" s="4" t="n">
        <f aca="false">Assumptions!D47</f>
        <v>23</v>
      </c>
      <c r="E14" s="4" t="n">
        <f aca="false">Assumptions!E47</f>
        <v>23</v>
      </c>
      <c r="F14" s="4" t="n">
        <f aca="false">Assumptions!F47</f>
        <v>23</v>
      </c>
      <c r="G14" s="4" t="n">
        <f aca="false">Assumptions!G47</f>
        <v>23</v>
      </c>
      <c r="H14" s="4" t="n">
        <f aca="false">Assumptions!H47</f>
        <v>23.5</v>
      </c>
      <c r="I14" s="4" t="n">
        <f aca="false">Assumptions!I47</f>
        <v>24</v>
      </c>
      <c r="J14" s="4" t="n">
        <f aca="false">Assumptions!J47</f>
        <v>24</v>
      </c>
      <c r="K14" s="4" t="n">
        <f aca="false">Assumptions!K47</f>
        <v>24.5</v>
      </c>
      <c r="L14" s="4" t="n">
        <f aca="false">Assumptions!L47</f>
        <v>25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1200.99859180076</v>
      </c>
      <c r="D15" s="0" t="n">
        <f aca="false">D13-MAX(0,D13)*D14/100</f>
        <v>1395.88880160638</v>
      </c>
      <c r="E15" s="0" t="n">
        <f aca="false">E13-MAX(0,E13)*E14/100</f>
        <v>1579.7118245619</v>
      </c>
      <c r="F15" s="0" t="n">
        <f aca="false">F13-MAX(0,F13)*F14/100</f>
        <v>1724.00359835877</v>
      </c>
      <c r="G15" s="0" t="n">
        <f aca="false">G13-MAX(0,G13)*G14/100</f>
        <v>1870.24233795076</v>
      </c>
      <c r="H15" s="0" t="n">
        <f aca="false">H13-MAX(0,H13)*H14/100</f>
        <v>1969.58378161594</v>
      </c>
      <c r="I15" s="0" t="n">
        <f aca="false">I13-MAX(0,I13)*I14/100</f>
        <v>2054.54621925427</v>
      </c>
      <c r="J15" s="0" t="n">
        <f aca="false">J13-MAX(0,J13)*J14/100</f>
        <v>2136.72806802444</v>
      </c>
      <c r="K15" s="0" t="n">
        <f aca="false">K13-MAX(0,K13)*K14/100</f>
        <v>2196.96411915263</v>
      </c>
      <c r="L15" s="0" t="n">
        <f aca="false">L13-MAX(0,L13)*L14/100</f>
        <v>2258.79920197647</v>
      </c>
    </row>
    <row r="16" customFormat="false" ht="15" hidden="false" customHeight="false" outlineLevel="0" collapsed="false">
      <c r="A16" s="0" t="s">
        <v>127</v>
      </c>
      <c r="C16" s="0" t="n">
        <f aca="false">-C12</f>
        <v>376.39271872</v>
      </c>
      <c r="D16" s="0" t="n">
        <f aca="false">-D12</f>
        <v>424.3239789945</v>
      </c>
      <c r="E16" s="0" t="n">
        <f aca="false">-E12</f>
        <v>481.11811156761</v>
      </c>
      <c r="F16" s="0" t="n">
        <f aca="false">-F12</f>
        <v>535.118233940572</v>
      </c>
      <c r="G16" s="0" t="n">
        <f aca="false">-G12</f>
        <v>580.874720610853</v>
      </c>
      <c r="H16" s="0" t="n">
        <f aca="false">-H12</f>
        <v>615.727203847504</v>
      </c>
      <c r="I16" s="0" t="n">
        <f aca="false">-I12</f>
        <v>646.513564039879</v>
      </c>
      <c r="J16" s="0" t="n">
        <f aca="false">-J12</f>
        <v>672.374106601474</v>
      </c>
      <c r="K16" s="0" t="n">
        <f aca="false">-K12</f>
        <v>695.907200332526</v>
      </c>
      <c r="L16" s="0" t="n">
        <f aca="false">-L12</f>
        <v>720.263952344164</v>
      </c>
    </row>
    <row r="17" customFormat="false" ht="15" hidden="false" customHeight="false" outlineLevel="0" collapsed="false">
      <c r="A17" s="0" t="s">
        <v>128</v>
      </c>
      <c r="C17" s="4" t="n">
        <f aca="false">-C6*Assumptions!C46/100</f>
        <v>-270.53226658</v>
      </c>
      <c r="D17" s="4" t="n">
        <f aca="false">-D6*Assumptions!D46/100</f>
        <v>-554.8852033005</v>
      </c>
      <c r="E17" s="4" t="n">
        <f aca="false">-E6*Assumptions!E46/100</f>
        <v>-753.99107036715</v>
      </c>
      <c r="F17" s="4" t="n">
        <f aca="false">-F6*Assumptions!F46/100</f>
        <v>-853.087039615404</v>
      </c>
      <c r="G17" s="4" t="n">
        <f aca="false">-G6*Assumptions!G46/100</f>
        <v>-912.803132388483</v>
      </c>
      <c r="H17" s="4" t="n">
        <f aca="false">-H6*Assumptions!H46/100</f>
        <v>-923.590805771256</v>
      </c>
      <c r="I17" s="4" t="n">
        <f aca="false">-I6*Assumptions!I46/100</f>
        <v>-923.590805771256</v>
      </c>
      <c r="J17" s="4" t="n">
        <f aca="false">-J6*Assumptions!J46/100</f>
        <v>-912.507716102001</v>
      </c>
      <c r="K17" s="4" t="n">
        <f aca="false">-K6*Assumptions!K46/100</f>
        <v>-944.445486165571</v>
      </c>
      <c r="L17" s="4" t="n">
        <f aca="false">-L6*Assumptions!L46/100</f>
        <v>-977.501078181365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(C6-B6)*Assumptions!$B$51/100</f>
        <v>-15.3898892</v>
      </c>
      <c r="D18" s="4" t="n">
        <f aca="false">(D6-C6)*Assumptions!$B$51/100</f>
        <v>-25.876999412</v>
      </c>
      <c r="E18" s="4" t="n">
        <f aca="false">(E6-D6)*Assumptions!$B$51/100</f>
        <v>-26.1122448612</v>
      </c>
      <c r="F18" s="4" t="n">
        <f aca="false">(F6-E6)*Assumptions!$B$51/100</f>
        <v>-22.978775477856</v>
      </c>
      <c r="G18" s="4" t="n">
        <f aca="false">(G6-F6)*Assumptions!$B$51/100</f>
        <v>-21.7149428265739</v>
      </c>
      <c r="H18" s="4" t="n">
        <f aca="false">(H6-G6)*Assumptions!$B$51/100</f>
        <v>-19.9157047066579</v>
      </c>
      <c r="I18" s="4" t="n">
        <f aca="false">(I6-H6)*Assumptions!$B$51/100</f>
        <v>-17.5922058242144</v>
      </c>
      <c r="J18" s="4" t="n">
        <f aca="false">(J6-I6)*Assumptions!$B$51/100</f>
        <v>-14.7774528923401</v>
      </c>
      <c r="K18" s="4" t="n">
        <f aca="false">(K6-J6)*Assumptions!$B$51/100</f>
        <v>-13.4474821320295</v>
      </c>
      <c r="L18" s="4" t="n">
        <f aca="false">(L6-K6)*Assumptions!$B$51/100</f>
        <v>-13.9181440066505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1291.46915474076</v>
      </c>
      <c r="D19" s="0" t="n">
        <f aca="false">D15+D16+D17+D18</f>
        <v>1239.45057788838</v>
      </c>
      <c r="E19" s="0" t="n">
        <f aca="false">E15+E16+E17+E18</f>
        <v>1280.72662090116</v>
      </c>
      <c r="F19" s="0" t="n">
        <f aca="false">F15+F16+F17+F18</f>
        <v>1383.05601720608</v>
      </c>
      <c r="G19" s="0" t="n">
        <f aca="false">G15+G16+G17+G18</f>
        <v>1516.59898334656</v>
      </c>
      <c r="H19" s="0" t="n">
        <f aca="false">H15+H16+H17+H18</f>
        <v>1641.80447498553</v>
      </c>
      <c r="I19" s="0" t="n">
        <f aca="false">I15+I16+I17+I18</f>
        <v>1759.87677169868</v>
      </c>
      <c r="J19" s="0" t="n">
        <f aca="false">J15+J16+J17+J18</f>
        <v>1881.81700563158</v>
      </c>
      <c r="K19" s="0" t="n">
        <f aca="false">K15+K16+K17+K18</f>
        <v>1934.97835118756</v>
      </c>
      <c r="L19" s="0" t="n">
        <f aca="false">L15+L16+L17+L18</f>
        <v>1987.64393213261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1184.83408691813</v>
      </c>
      <c r="D21" s="0" t="n">
        <f aca="false">D19*D20</f>
        <v>1043.22075405133</v>
      </c>
      <c r="E21" s="0" t="n">
        <f aca="false">E19*E20</f>
        <v>988.955939134301</v>
      </c>
      <c r="F21" s="0" t="n">
        <f aca="false">F19*F20</f>
        <v>979.791750904208</v>
      </c>
      <c r="G21" s="0" t="n">
        <f aca="false">G19*G20</f>
        <v>985.68527970509</v>
      </c>
      <c r="H21" s="0" t="n">
        <f aca="false">H19*H20</f>
        <v>978.954365557956</v>
      </c>
      <c r="I21" s="0" t="n">
        <f aca="false">I19*I20</f>
        <v>962.712860823484</v>
      </c>
      <c r="J21" s="0" t="n">
        <f aca="false">J19*J20</f>
        <v>944.420499641268</v>
      </c>
      <c r="K21" s="0" t="n">
        <f aca="false">K19*K20</f>
        <v>890.917785649401</v>
      </c>
      <c r="L21" s="0" t="n">
        <f aca="false">L19*L20</f>
        <v>839.602277193457</v>
      </c>
    </row>
    <row r="23" customFormat="false" ht="15" hidden="false" customHeight="false" outlineLevel="0" collapsed="false">
      <c r="A23" s="0" t="s">
        <v>108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113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114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9799.09559957862</v>
      </c>
    </row>
    <row r="31" customFormat="false" ht="15" hidden="false" customHeight="false" outlineLevel="0" collapsed="false">
      <c r="A31" s="0" t="s">
        <v>136</v>
      </c>
      <c r="B31" s="0" t="n">
        <f aca="false">L19</f>
        <v>1987.64393213261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37403.8449046774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39752.8786426523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37403.8449046774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15799.788307186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25598.8839067646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25862.8259067646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123.914552891573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-0.30424170190021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118.136967651284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188.119647683916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125.381896471743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17888.7953891935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58.2651337515984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2" t="s">
        <v>153</v>
      </c>
      <c r="B3" s="2" t="s">
        <v>154</v>
      </c>
      <c r="C3" s="2" t="s">
        <v>144</v>
      </c>
      <c r="D3" s="2" t="s">
        <v>155</v>
      </c>
      <c r="E3" s="2" t="s">
        <v>147</v>
      </c>
      <c r="F3" s="2" t="s">
        <v>156</v>
      </c>
    </row>
    <row r="4" customFormat="false" ht="15" hidden="false" customHeight="false" outlineLevel="0" collapsed="false">
      <c r="A4" s="0" t="s">
        <v>157</v>
      </c>
      <c r="B4" s="4" t="n">
        <f aca="false">DCF_Bear!$B$38</f>
        <v>71.1146456757712</v>
      </c>
      <c r="C4" s="0" t="n">
        <f aca="false">B4/Assumptions!$B$2-1</f>
        <v>-0.600703842359511</v>
      </c>
      <c r="D4" s="4" t="n">
        <f aca="false">Assumptions!$B$24</f>
        <v>0.25</v>
      </c>
      <c r="E4" s="4" t="n">
        <f aca="false">DCF_Bear!$B$43</f>
        <v>72.0922303079867</v>
      </c>
      <c r="F4" s="4" t="n">
        <f aca="false">DCF_Bear!$B$47</f>
        <v>38.9676855644895</v>
      </c>
    </row>
    <row r="5" customFormat="false" ht="15" hidden="false" customHeight="false" outlineLevel="0" collapsed="false">
      <c r="A5" s="0" t="s">
        <v>158</v>
      </c>
      <c r="B5" s="4" t="n">
        <f aca="false">DCF_Base!$B$38</f>
        <v>99.8590179515393</v>
      </c>
      <c r="C5" s="0" t="n">
        <f aca="false">B5/Assumptions!$B$2-1</f>
        <v>-0.439309275959914</v>
      </c>
      <c r="D5" s="4" t="n">
        <f aca="false">Assumptions!$B$38</f>
        <v>0.5</v>
      </c>
      <c r="E5" s="4" t="n">
        <f aca="false">DCF_Base!$B$43</f>
        <v>101.096175452951</v>
      </c>
      <c r="F5" s="4" t="n">
        <f aca="false">DCF_Base!$B$47</f>
        <v>49.8539384107049</v>
      </c>
    </row>
    <row r="6" customFormat="false" ht="15" hidden="false" customHeight="false" outlineLevel="0" collapsed="false">
      <c r="A6" s="0" t="s">
        <v>159</v>
      </c>
      <c r="B6" s="4" t="n">
        <f aca="false">DCF_Bull!$B$38</f>
        <v>123.914552891573</v>
      </c>
      <c r="C6" s="0" t="n">
        <f aca="false">B6/Assumptions!$B$2-1</f>
        <v>-0.30424170190021</v>
      </c>
      <c r="D6" s="4" t="n">
        <f aca="false">Assumptions!$B$52</f>
        <v>0.25</v>
      </c>
      <c r="E6" s="4" t="n">
        <f aca="false">DCF_Bull!$B$43</f>
        <v>125.381896471743</v>
      </c>
      <c r="F6" s="4" t="n">
        <f aca="false">DCF_Bull!$B$47</f>
        <v>58.2651337515984</v>
      </c>
    </row>
    <row r="8" customFormat="false" ht="15" hidden="false" customHeight="false" outlineLevel="0" collapsed="false">
      <c r="A8" s="0" t="s">
        <v>160</v>
      </c>
      <c r="B8" s="0" t="n">
        <f aca="false">SUMPRODUCT(B4:B6,D4:D6)</f>
        <v>98.6868086176056</v>
      </c>
    </row>
    <row r="9" customFormat="false" ht="15" hidden="false" customHeight="false" outlineLevel="0" collapsed="false">
      <c r="A9" s="0" t="s">
        <v>161</v>
      </c>
      <c r="B9" s="0" t="n">
        <f aca="false">SUMPRODUCT(E4:E6,D4:D6)</f>
        <v>99.916619421408</v>
      </c>
    </row>
    <row r="10" customFormat="false" ht="15" hidden="false" customHeight="false" outlineLevel="0" collapsed="false">
      <c r="A10" s="0" t="s">
        <v>162</v>
      </c>
      <c r="B10" s="0" t="n">
        <f aca="false">1-Assumptions!$B$2/B8</f>
        <v>-0.804699153765392</v>
      </c>
    </row>
    <row r="11" customFormat="false" ht="15" hidden="false" customHeight="false" outlineLevel="0" collapsed="false">
      <c r="A11" s="0" t="s">
        <v>163</v>
      </c>
      <c r="B11" s="0" t="n">
        <f aca="false">IF(ABS(B9-B8)&gt;0.01*ABS(B8),(Assumptions!$B$2-B8)/(B9-B8)*100,"n/a")</f>
        <v>6457.35027996683</v>
      </c>
    </row>
    <row r="12" customFormat="false" ht="15" hidden="false" customHeight="false" outlineLevel="0" collapsed="false">
      <c r="A12" s="0" t="s">
        <v>164</v>
      </c>
      <c r="B12" s="0" t="n">
        <f aca="false">SUMPRODUCT(F4:F6,D4:D6)</f>
        <v>49.2351740343744</v>
      </c>
    </row>
    <row r="14" customFormat="false" ht="15" hidden="false" customHeight="false" outlineLevel="0" collapsed="false">
      <c r="A14" s="2" t="s">
        <v>165</v>
      </c>
      <c r="C14" s="0" t="s">
        <v>166</v>
      </c>
    </row>
    <row r="15" customFormat="false" ht="15" hidden="false" customHeight="false" outlineLevel="0" collapsed="false">
      <c r="A15" s="0" t="s">
        <v>167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99.8590179515393</v>
      </c>
      <c r="C15" s="3" t="n">
        <v>9</v>
      </c>
    </row>
    <row r="16" customFormat="false" ht="15" hidden="false" customHeight="false" outlineLevel="0" collapsed="false">
      <c r="A16" s="0" t="s">
        <v>168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85.5317490842419</v>
      </c>
      <c r="C16" s="3" t="n">
        <v>10</v>
      </c>
    </row>
    <row r="17" customFormat="false" ht="15" hidden="false" customHeight="false" outlineLevel="0" collapsed="false">
      <c r="A17" s="0" t="s">
        <v>169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74.8017226247407</v>
      </c>
      <c r="C17" s="3" t="n">
        <v>11</v>
      </c>
    </row>
    <row r="18" customFormat="false" ht="15" hidden="false" customHeight="false" outlineLevel="0" collapsed="false">
      <c r="A18" s="0" t="s">
        <v>170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66.4688760562688</v>
      </c>
      <c r="C18" s="3" t="n">
        <v>12</v>
      </c>
    </row>
    <row r="19" customFormat="false" ht="15" hidden="false" customHeight="false" outlineLevel="0" collapsed="false">
      <c r="A19" s="0" t="s">
        <v>171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49.8539384107049</v>
      </c>
      <c r="C19" s="3" t="n">
        <v>15</v>
      </c>
    </row>
    <row r="21" customFormat="false" ht="15" hidden="false" customHeight="false" outlineLevel="0" collapsed="false">
      <c r="A21" s="2" t="s">
        <v>172</v>
      </c>
    </row>
    <row r="22" customFormat="false" ht="15" hidden="false" customHeight="false" outlineLevel="0" collapsed="false">
      <c r="B22" s="3" t="n">
        <v>2</v>
      </c>
      <c r="C22" s="3" t="n">
        <v>2.5</v>
      </c>
      <c r="D22" s="3" t="n">
        <v>3</v>
      </c>
      <c r="E22" s="3" t="n">
        <v>3.5</v>
      </c>
      <c r="F22" s="3" t="n">
        <v>4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119.010494248734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119.010494248734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119.010494248734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119.010494248734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119.010494248734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106.782154537017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110.438165288684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110.438165288684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110.438165288684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110.438165288684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91.2062063626143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95.1998117113489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99.8590179515393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102.637443691102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102.637443691102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79.5542044773374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82.3437252938928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85.5317490842419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89.2102380731062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93.5018085601146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70.5161810403017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72.5329064918024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74.8017226247407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77.3730475754042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80.3117046618766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2026-10-02T06:23:40Z</dcterms:created>
  <dc:creator>openpyxl</dc:creator>
  <dc:description/>
  <dc:language>en-NZ</dc:language>
  <cp:lastModifiedBy/>
  <dcterms:modified xsi:type="dcterms:W3CDTF">2026-10-02T06:23:40Z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