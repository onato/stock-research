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<sst xmlns="http://schemas.openxmlformats.org/spreadsheetml/2006/main" count="345" uniqueCount="161">
  <si>
    <t xml:space="preserve">Ticker</t>
  </si>
  <si>
    <t xml:space="preserve">SOLV</t>
  </si>
  <si>
    <t xml:space="preserve">Company</t>
  </si>
  <si>
    <t xml:space="preserve">Solventum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</si>
  <si>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</si>
  <si>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</si>
  <si>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</si>
  <si>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</si>
  <si>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</si>
  <si>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</si>
  <si>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</si>
  <si>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</si>
  <si>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</si>
  <si>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</si>
  <si>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</si>
  <si>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</si>
  <si>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</si>
  <si>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</si>
  <si>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</si>
  <si>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</si>
  <si>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</si>
  <si>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2026-10-02T08:50:50Z</t>
  </si>
  <si>
    <t xml:space="preserve">Drivers file</t>
  </si>
  <si>
    <t xml:space="preserve">SOLV_Drivers.json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</si>
  <si>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</si>
  <si>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</si>
  <si>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</si>
  <si>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continuing business (MedSurg, Dental, HIS) on owner FCF after SBC and after every recurring 'special' cash cost, not on Solventum's adjusted metrics. The Q3-2025 P&amp;F gain and the four months of P&amp;F in FY2025 are excluded; the $4B sale proceeds already sit in the lower 2026-06-30 net debt. The valuation is mostly a margin-normalisation question: how much of the ~13-point gap between adjusted and GAAP operating margin in 2026 is genuinely temporary.
key_risks_to_valuation: Special items do not roll off: each 1pp of permanent special-items charge is worth roughly $6-7/share in the base case.; PFAS: 3M's indemnity for Solventum product claims lapsed after 2025; no liability is accrued and the exposure is unquantified.; HIS separation: execution cost and dis-synergies, or a sale below the value this model implicitly assigns the segment.; Leverage: ~$4.9B net debt (~2.6x FY2026E adjusted EBITDA) makes equity value sensitive to margin misses and refinancing rates.; FY2026 includes one-offs (IEEPA tariff refund, ERP advance orders) that flatter H1; the FY2027 starting margin assumes these do not repeat.</t>
  </si>
  <si>
    <t xml:space="preserve">Data sources</t>
  </si>
  <si>
    <t xml:space="preserve">price: Yahoo Finance chart API at inputs.price_as_of; 52-week range 62.38-94.16
financials: SOLV_Metrics.csv (SEC XBRL, CIK 1964738); 10-K FY2025 (filed 2026-02-27) segment, cash flow and amortization tables; 10-Q Q2-2026 (filed 2026-08-05) balance sheet, finance lease, litigation accrual, buyback and Transform for the Future notes; Q2-2026 earnings release (8-K Ex-99.1, 2026-08-05) non-GAAP reconciliation and FY2026 guidance.
qualitative: SOLV_Analysis.json (2026-10-02)</t>
  </si>
  <si>
    <t xml:space="preserve">Scenario narrative: bear</t>
  </si>
  <si>
    <t xml:space="preserve">The standalone cost base proves structurally higher than 3M's allocation: savings are reinvested or competed away by Smith &amp; Nephew/ConvaTec in wound care and Align/Envista in dental, adjusted EBITA stalls near 21%, and HIS loses share to Microsoft/Nuance, Epic and Optum autonomous coding. With 3M's PFAS indemnity lapsed after 2025, product-PFAS and other litigation becomes a permanent ~2.5%-of-sales cash drain (the Q2-26 $204M legal charge is the first sign). Organic growth falls to ~2%, leverage stays ~3x and limits buybacks, and the exit multiple compresses to 12x.</t>
  </si>
  <si>
    <t xml:space="preserve">Scenario narrative: base</t>
  </si>
  <si>
    <t xml:space="preserve">Solventum finishes the 3M separation on plan: TSA exits and ERP cutovers complete through 2027, the ~$500M Transform for the Future cost programme lifts adjusted EBITA margin from the guided ~21.5% to ~23.5% by FY2030, and MedSurg (advanced wound care incl. Acera, infection prevention) and Dental compound ~3.5-4% organically while HIS grows low-single-digit against AI-native coding competition. Special items fall from ~$600M+/yr today to a permanent ~1.5% of sales for litigation and ongoing restructuring. Leverage drifts to ~2x net debt/EBITDA, freeing cash for the buyback; the HIS separation is value-neutral.</t>
  </si>
  <si>
    <t xml:space="preserve">Scenario narrative: bull</t>
  </si>
  <si>
    <t xml:space="preserve">Separation savings come through at the top of the range and stick, taking adjusted EBITA to ~25.5% (closer to wound-care/dental peers) with only ~1% recurring specials; the H1-2026 organic acceleration (+5.8%, strong in Advanced Wound Care and Dental) proves more durable than the ERP pull-forward explanation, Acera's synthetic tissue matrices scale, and an HIS separation crystallises a software multiple for the slower asset. Growth runs ~4.5-5% through FY2031 and the market re-rates a deleveraged, investment-grade-upgraded med-tech to ~17x owner FCF at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</si>
  <si>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</si>
  <si>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</si>
  <si>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</si>
  <si>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</si>
  <si>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</si>
  <si>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</si>
  <si>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</si>
  <si>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</si>
  <si>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</si>
  <si>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</si>
  <si>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</si>
  <si>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</si>
  <si>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</si>
  <si>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</si>
  <si>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</si>
  <si>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</si>
  <si>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</si>
  <si>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</si>
  <si>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</si>
  <si>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</si>
  <si>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</si>
  <si>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</si>
  <si>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</si>
  <si>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</si>
  <si>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</si>
  <si>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</si>
  <si>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</si>
  <si>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</si>
  <si>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</si>
  <si>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</si>
  <si>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</si>
  <si>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</si>
  <si>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</si>
  <si>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</si>
  <si>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</si>
  <si>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</si>
  <si>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</si>
  <si>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</si>
  <si>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</si>
  <si>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</si>
  <si>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</si>
  <si>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</si>
  <si>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</si>
  <si>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</si>
  <si>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</si>
  <si>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</si>
  <si>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</si>
  <si>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</si>
  <si>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</si>
  <si>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</si>
  <si>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</si>
  <si>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</si>
  <si>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</si>
  <si>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</si>
  <si>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</si>
  <si>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</si>
  <si>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</si>
  <si>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</si>
  <si>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</si>
  <si>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</si>
  <si>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</si>
  <si>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</si>
  <si>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</si>
  <si>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</si>
  <si>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</si>
  <si>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</si>
  <si>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</si>
  <si>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</si>
  <si>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</si>
  <si>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</si>
  <si>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SOLV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</si>
  <si>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</si>
  <si>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</si>
  <si>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</si>
  <si>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</si>
  <si>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</si>
  <si>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</si>
  <si>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</si>
  <si>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</si>
  <si>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</si>
  <si>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</si>
  <si>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</si>
  <si>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</si>
  <si>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</si>
  <si>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</si>
  <si>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</si>
  <si>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</si>
  <si>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</si>
  <si>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</si>
  <si>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</si>
  <si>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</si>
  <si>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</si>
  <si>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</si>
  <si>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</si>
  <si>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</si>
  <si>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</si>
  <si>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</si>
  <si>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</si>
  <si>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</si>
  <si>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</si>
  <si>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</si>
  <si>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SOLV owner-FCF component DCF: base case (millions, USD)</t>
  </si>
  <si>
    <t xml:space="preserve">SOLV owner-FCF component DCF: bull case (millions, USD)</t>
  </si>
  <si>
    <t xml:space="preserve">SOLV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</si>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</sst>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87.77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12059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8130</v>
      </c>
      <c r="D3" s="0" t="n">
        <v>4695</v>
      </c>
      <c r="E3" s="0" t="n">
        <v>57.7490774907749</v>
      </c>
      <c r="F3" s="0" t="n">
        <v>1693</v>
      </c>
      <c r="G3" s="0" t="n">
        <v>20.8241082410824</v>
      </c>
      <c r="H3" s="0" t="n">
        <v>2271</v>
      </c>
      <c r="I3" s="0" t="n">
        <v>1343</v>
      </c>
      <c r="J3" s="0" t="n">
        <v>16.5190651906519</v>
      </c>
      <c r="K3" s="0" t="n">
        <v>7.78</v>
      </c>
      <c r="L3" s="0" t="n">
        <v>1679</v>
      </c>
      <c r="M3" s="0" t="n">
        <v>251</v>
      </c>
      <c r="N3" s="0" t="n">
        <v>1428</v>
      </c>
      <c r="O3" s="0" t="n">
        <v>11742</v>
      </c>
      <c r="T3" s="0" t="n">
        <v>172.7</v>
      </c>
      <c r="U3" s="0" t="n">
        <v>37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8197</v>
      </c>
      <c r="D4" s="0" t="n">
        <v>4693</v>
      </c>
      <c r="E4" s="0" t="n">
        <v>57.2526534097841</v>
      </c>
      <c r="F4" s="0" t="n">
        <v>1692</v>
      </c>
      <c r="G4" s="0" t="n">
        <v>20.6416981822618</v>
      </c>
      <c r="H4" s="0" t="n">
        <v>2253</v>
      </c>
      <c r="I4" s="0" t="n">
        <v>1346</v>
      </c>
      <c r="J4" s="0" t="n">
        <v>16.4206416981823</v>
      </c>
      <c r="K4" s="0" t="n">
        <v>7.79</v>
      </c>
      <c r="L4" s="0" t="n">
        <v>1915</v>
      </c>
      <c r="M4" s="0" t="n">
        <v>290</v>
      </c>
      <c r="N4" s="0" t="n">
        <v>1625</v>
      </c>
      <c r="O4" s="0" t="n">
        <v>11666</v>
      </c>
      <c r="P4" s="0" t="n">
        <v>13943</v>
      </c>
      <c r="Q4" s="0" t="n">
        <v>2277</v>
      </c>
      <c r="R4" s="0" t="n">
        <v>0</v>
      </c>
      <c r="S4" s="0" t="n">
        <v>194</v>
      </c>
      <c r="T4" s="0" t="n">
        <v>172.7</v>
      </c>
      <c r="U4" s="0" t="n">
        <v>39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8254</v>
      </c>
      <c r="D5" s="0" t="n">
        <v>4593</v>
      </c>
      <c r="E5" s="0" t="n">
        <v>55.6457475163557</v>
      </c>
      <c r="F5" s="0" t="n">
        <v>1036</v>
      </c>
      <c r="G5" s="0" t="n">
        <v>12.5514901865762</v>
      </c>
      <c r="H5" s="0" t="n">
        <v>1591</v>
      </c>
      <c r="I5" s="0" t="n">
        <v>479</v>
      </c>
      <c r="J5" s="0" t="n">
        <v>5.80324691058881</v>
      </c>
      <c r="K5" s="0" t="n">
        <v>2.77</v>
      </c>
      <c r="L5" s="0" t="n">
        <v>1185</v>
      </c>
      <c r="M5" s="0" t="n">
        <v>380</v>
      </c>
      <c r="N5" s="0" t="n">
        <v>805</v>
      </c>
      <c r="O5" s="0" t="n">
        <v>2959</v>
      </c>
      <c r="P5" s="0" t="n">
        <v>14457</v>
      </c>
      <c r="Q5" s="0" t="n">
        <v>11498</v>
      </c>
      <c r="R5" s="0" t="n">
        <v>8210</v>
      </c>
      <c r="S5" s="0" t="n">
        <v>762</v>
      </c>
      <c r="T5" s="0" t="n">
        <v>173.7</v>
      </c>
      <c r="U5" s="0" t="n">
        <v>112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8325</v>
      </c>
      <c r="D6" s="0" t="n">
        <v>4451</v>
      </c>
      <c r="E6" s="0" t="n">
        <v>53.4654654654655</v>
      </c>
      <c r="F6" s="0" t="n">
        <v>2181</v>
      </c>
      <c r="G6" s="0" t="n">
        <v>26.1981981981982</v>
      </c>
      <c r="H6" s="0" t="n">
        <v>2670</v>
      </c>
      <c r="I6" s="0" t="n">
        <v>1556</v>
      </c>
      <c r="J6" s="0" t="n">
        <v>18.6906906906907</v>
      </c>
      <c r="K6" s="0" t="n">
        <v>8.94</v>
      </c>
      <c r="L6" s="0" t="n">
        <v>369</v>
      </c>
      <c r="M6" s="0" t="n">
        <v>379</v>
      </c>
      <c r="N6" s="0" t="n">
        <v>-10</v>
      </c>
      <c r="O6" s="0" t="n">
        <v>5049</v>
      </c>
      <c r="P6" s="0" t="n">
        <v>14294</v>
      </c>
      <c r="Q6" s="0" t="n">
        <v>9245</v>
      </c>
      <c r="R6" s="0" t="n">
        <v>5035</v>
      </c>
      <c r="S6" s="0" t="n">
        <v>878</v>
      </c>
      <c r="T6" s="0" t="n">
        <v>175.3</v>
      </c>
      <c r="U6" s="0" t="n">
        <v>161</v>
      </c>
      <c r="AA6" s="0" t="s">
        <v>17</v>
      </c>
      <c r="AB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68</v>
      </c>
      <c r="B1" s="2" t="s">
        <v>69</v>
      </c>
    </row>
    <row r="2" customFormat="false" ht="15" hidden="false" customHeight="false" outlineLevel="0" collapsed="false">
      <c r="A2" s="0" t="s">
        <v>70</v>
      </c>
      <c r="B2" s="3" t="n">
        <v>87.77</v>
      </c>
    </row>
    <row r="3" customFormat="false" ht="15" hidden="false" customHeight="false" outlineLevel="0" collapsed="false">
      <c r="A3" s="0" t="s">
        <v>71</v>
      </c>
      <c r="B3" s="3" t="n">
        <v>170.7</v>
      </c>
    </row>
    <row r="4" customFormat="false" ht="15" hidden="false" customHeight="false" outlineLevel="0" collapsed="false">
      <c r="A4" s="0" t="s">
        <v>72</v>
      </c>
      <c r="B4" s="3" t="n">
        <v>4885</v>
      </c>
    </row>
    <row r="5" customFormat="false" ht="15" hidden="false" customHeight="false" outlineLevel="0" collapsed="false">
      <c r="A5" s="0" t="s">
        <v>73</v>
      </c>
      <c r="B5" s="3" t="n">
        <v>-179</v>
      </c>
    </row>
    <row r="6" customFormat="false" ht="15" hidden="false" customHeight="false" outlineLevel="0" collapsed="false">
      <c r="A6" s="0" t="s">
        <v>74</v>
      </c>
      <c r="B6" s="3" t="n">
        <v>15</v>
      </c>
    </row>
    <row r="7" customFormat="false" ht="15" hidden="false" customHeight="false" outlineLevel="0" collapsed="false">
      <c r="A7" s="0" t="s">
        <v>75</v>
      </c>
      <c r="B7" s="3" t="n">
        <v>8225</v>
      </c>
    </row>
    <row r="8" customFormat="false" ht="15" hidden="false" customHeight="false" outlineLevel="0" collapsed="false">
      <c r="A8" s="0" t="s">
        <v>76</v>
      </c>
      <c r="B8" s="3" t="s">
        <v>77</v>
      </c>
    </row>
    <row r="9" customFormat="false" ht="15" hidden="false" customHeight="false" outlineLevel="0" collapsed="false">
      <c r="A9" s="0" t="s">
        <v>78</v>
      </c>
      <c r="B9" s="3" t="s">
        <v>79</v>
      </c>
    </row>
    <row r="10" customFormat="false" ht="15" hidden="false" customHeight="false" outlineLevel="0" collapsed="false">
      <c r="A10" s="0" t="s">
        <v>80</v>
      </c>
      <c r="B10" s="3" t="n">
        <v>1</v>
      </c>
    </row>
    <row r="12" customFormat="false" ht="15" hidden="false" customHeight="false" outlineLevel="0" collapsed="false">
      <c r="A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88</v>
      </c>
      <c r="J12" s="2" t="s">
        <v>89</v>
      </c>
      <c r="K12" s="2" t="s">
        <v>90</v>
      </c>
      <c r="L12" s="2" t="s">
        <v>91</v>
      </c>
    </row>
    <row r="13" customFormat="false" ht="15" hidden="false" customHeight="false" outlineLevel="0" collapsed="false">
      <c r="A13" s="0" t="s">
        <v>92</v>
      </c>
      <c r="C13" s="3" t="n">
        <v>2</v>
      </c>
      <c r="D13" s="3" t="n">
        <v>1.5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93</v>
      </c>
      <c r="C14" s="3" t="n">
        <v>19.4</v>
      </c>
      <c r="D14" s="3" t="n">
        <v>21.1</v>
      </c>
      <c r="E14" s="3" t="n">
        <v>22.2</v>
      </c>
      <c r="F14" s="3" t="n">
        <v>22.9</v>
      </c>
      <c r="G14" s="3" t="n">
        <v>23.4</v>
      </c>
      <c r="H14" s="3" t="n">
        <v>23.5</v>
      </c>
      <c r="I14" s="3" t="n">
        <v>23.5</v>
      </c>
      <c r="J14" s="3" t="n">
        <v>23.5</v>
      </c>
      <c r="K14" s="3" t="n">
        <v>23.5</v>
      </c>
      <c r="L14" s="3" t="n">
        <v>23.5</v>
      </c>
    </row>
    <row r="15" customFormat="false" ht="15" hidden="false" customHeight="false" outlineLevel="0" collapsed="false">
      <c r="A15" s="0" t="s">
        <v>94</v>
      </c>
      <c r="C15" s="3" t="n">
        <v>2</v>
      </c>
      <c r="D15" s="3" t="n">
        <v>2</v>
      </c>
      <c r="E15" s="3" t="n">
        <v>1.9</v>
      </c>
      <c r="F15" s="3" t="n">
        <v>1.9</v>
      </c>
      <c r="G15" s="3" t="n">
        <v>1.8</v>
      </c>
      <c r="H15" s="3" t="n">
        <v>1.8</v>
      </c>
      <c r="I15" s="3" t="n">
        <v>1.8</v>
      </c>
      <c r="J15" s="3" t="n">
        <v>1.8</v>
      </c>
      <c r="K15" s="3" t="n">
        <v>1.8</v>
      </c>
      <c r="L15" s="3" t="n">
        <v>1.8</v>
      </c>
    </row>
    <row r="16" customFormat="false" ht="15" hidden="false" customHeight="false" outlineLevel="0" collapsed="false">
      <c r="A16" s="0" t="s">
        <v>95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96</v>
      </c>
      <c r="C17" s="3" t="n">
        <v>2.4</v>
      </c>
      <c r="D17" s="3" t="n">
        <v>2.6</v>
      </c>
      <c r="E17" s="3" t="n">
        <v>2.8</v>
      </c>
      <c r="F17" s="3" t="n">
        <v>3</v>
      </c>
      <c r="G17" s="3" t="n">
        <v>3.1</v>
      </c>
      <c r="H17" s="3" t="n">
        <v>3.2</v>
      </c>
      <c r="I17" s="3" t="n">
        <v>3.2</v>
      </c>
      <c r="J17" s="3" t="n">
        <v>3.2</v>
      </c>
      <c r="K17" s="3" t="n">
        <v>3.2</v>
      </c>
      <c r="L17" s="3" t="n">
        <v>3.2</v>
      </c>
    </row>
    <row r="18" customFormat="false" ht="15" hidden="false" customHeight="false" outlineLevel="0" collapsed="false">
      <c r="A18" s="0" t="s">
        <v>97</v>
      </c>
      <c r="C18" s="3" t="n">
        <v>4.4</v>
      </c>
      <c r="D18" s="3" t="n">
        <v>4.2</v>
      </c>
      <c r="E18" s="3" t="n">
        <v>4</v>
      </c>
      <c r="F18" s="3" t="n">
        <v>3.8</v>
      </c>
      <c r="G18" s="3" t="n">
        <v>3.7</v>
      </c>
      <c r="H18" s="3" t="n">
        <v>3.6</v>
      </c>
      <c r="I18" s="3" t="n">
        <v>3.6</v>
      </c>
      <c r="J18" s="3" t="n">
        <v>3.6</v>
      </c>
      <c r="K18" s="3" t="n">
        <v>3.6</v>
      </c>
      <c r="L18" s="3" t="n">
        <v>3.6</v>
      </c>
    </row>
    <row r="19" customFormat="false" ht="15" hidden="false" customHeight="false" outlineLevel="0" collapsed="false">
      <c r="A19" s="0" t="s">
        <v>98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99</v>
      </c>
      <c r="B20" s="3" t="n">
        <v>8.25</v>
      </c>
    </row>
    <row r="21" customFormat="false" ht="15" hidden="false" customHeight="false" outlineLevel="0" collapsed="false">
      <c r="A21" s="0" t="s">
        <v>100</v>
      </c>
      <c r="B21" s="3" t="n">
        <v>2</v>
      </c>
    </row>
    <row r="22" customFormat="false" ht="15" hidden="false" customHeight="false" outlineLevel="0" collapsed="false">
      <c r="A22" s="0" t="s">
        <v>101</v>
      </c>
      <c r="B22" s="3" t="n">
        <v>12</v>
      </c>
    </row>
    <row r="23" customFormat="false" ht="15" hidden="false" customHeight="false" outlineLevel="0" collapsed="false">
      <c r="A23" s="0" t="s">
        <v>102</v>
      </c>
      <c r="B23" s="3" t="n">
        <v>-12</v>
      </c>
    </row>
    <row r="24" customFormat="false" ht="15" hidden="false" customHeight="false" outlineLevel="0" collapsed="false">
      <c r="A24" s="0" t="s">
        <v>103</v>
      </c>
      <c r="B24" s="3" t="n">
        <v>0.25</v>
      </c>
    </row>
    <row r="26" customFormat="false" ht="15" hidden="false" customHeight="false" outlineLevel="0" collapsed="false">
      <c r="A26" s="2" t="s">
        <v>104</v>
      </c>
      <c r="C26" s="2" t="s">
        <v>82</v>
      </c>
      <c r="D26" s="2" t="s">
        <v>83</v>
      </c>
      <c r="E26" s="2" t="s">
        <v>84</v>
      </c>
      <c r="F26" s="2" t="s">
        <v>85</v>
      </c>
      <c r="G26" s="2" t="s">
        <v>86</v>
      </c>
      <c r="H26" s="2" t="s">
        <v>87</v>
      </c>
      <c r="I26" s="2" t="s">
        <v>88</v>
      </c>
      <c r="J26" s="2" t="s">
        <v>89</v>
      </c>
      <c r="K26" s="2" t="s">
        <v>90</v>
      </c>
      <c r="L26" s="2" t="s">
        <v>91</v>
      </c>
    </row>
    <row r="27" customFormat="false" ht="15" hidden="false" customHeight="false" outlineLevel="0" collapsed="false">
      <c r="A27" s="0" t="s">
        <v>92</v>
      </c>
      <c r="C27" s="3" t="n">
        <v>3.75</v>
      </c>
      <c r="D27" s="3" t="n">
        <v>3.75</v>
      </c>
      <c r="E27" s="3" t="n">
        <v>3.75</v>
      </c>
      <c r="F27" s="3" t="n">
        <v>3.5</v>
      </c>
      <c r="G27" s="3" t="n">
        <v>3.25</v>
      </c>
      <c r="H27" s="3" t="n">
        <v>3</v>
      </c>
      <c r="I27" s="3" t="n">
        <v>3</v>
      </c>
      <c r="J27" s="3" t="n">
        <v>3</v>
      </c>
      <c r="K27" s="3" t="n">
        <v>2.75</v>
      </c>
      <c r="L27" s="3" t="n">
        <v>2.5</v>
      </c>
    </row>
    <row r="28" customFormat="false" ht="15" hidden="false" customHeight="false" outlineLevel="0" collapsed="false">
      <c r="A28" s="0" t="s">
        <v>93</v>
      </c>
      <c r="C28" s="3" t="n">
        <v>21.4</v>
      </c>
      <c r="D28" s="3" t="n">
        <v>24.1</v>
      </c>
      <c r="E28" s="3" t="n">
        <v>25.7</v>
      </c>
      <c r="F28" s="3" t="n">
        <v>26.9</v>
      </c>
      <c r="G28" s="3" t="n">
        <v>26.9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94</v>
      </c>
      <c r="C29" s="3" t="n">
        <v>2</v>
      </c>
      <c r="D29" s="3" t="n">
        <v>2</v>
      </c>
      <c r="E29" s="3" t="n">
        <v>1.9</v>
      </c>
      <c r="F29" s="3" t="n">
        <v>1.9</v>
      </c>
      <c r="G29" s="3" t="n">
        <v>1.8</v>
      </c>
      <c r="H29" s="3" t="n">
        <v>1.8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95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96</v>
      </c>
      <c r="C31" s="3" t="n">
        <v>2.4</v>
      </c>
      <c r="D31" s="3" t="n">
        <v>2.6</v>
      </c>
      <c r="E31" s="3" t="n">
        <v>2.8</v>
      </c>
      <c r="F31" s="3" t="n">
        <v>3</v>
      </c>
      <c r="G31" s="3" t="n">
        <v>3.1</v>
      </c>
      <c r="H31" s="3" t="n">
        <v>3.2</v>
      </c>
      <c r="I31" s="3" t="n">
        <v>3.2</v>
      </c>
      <c r="J31" s="3" t="n">
        <v>3.2</v>
      </c>
      <c r="K31" s="3" t="n">
        <v>3.2</v>
      </c>
      <c r="L31" s="3" t="n">
        <v>3.2</v>
      </c>
    </row>
    <row r="32" customFormat="false" ht="15" hidden="false" customHeight="false" outlineLevel="0" collapsed="false">
      <c r="A32" s="0" t="s">
        <v>97</v>
      </c>
      <c r="C32" s="3" t="n">
        <v>4.2</v>
      </c>
      <c r="D32" s="3" t="n">
        <v>4</v>
      </c>
      <c r="E32" s="3" t="n">
        <v>3.8</v>
      </c>
      <c r="F32" s="3" t="n">
        <v>3.7</v>
      </c>
      <c r="G32" s="3" t="n">
        <v>3.6</v>
      </c>
      <c r="H32" s="3" t="n">
        <v>3.6</v>
      </c>
      <c r="I32" s="3" t="n">
        <v>3.6</v>
      </c>
      <c r="J32" s="3" t="n">
        <v>3.6</v>
      </c>
      <c r="K32" s="3" t="n">
        <v>3.6</v>
      </c>
      <c r="L32" s="3" t="n">
        <v>3.6</v>
      </c>
    </row>
    <row r="33" customFormat="false" ht="15" hidden="false" customHeight="false" outlineLevel="0" collapsed="false">
      <c r="A33" s="0" t="s">
        <v>98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99</v>
      </c>
      <c r="B34" s="3" t="n">
        <v>8.25</v>
      </c>
    </row>
    <row r="35" customFormat="false" ht="15" hidden="false" customHeight="false" outlineLevel="0" collapsed="false">
      <c r="A35" s="0" t="s">
        <v>100</v>
      </c>
      <c r="B35" s="3" t="n">
        <v>2.5</v>
      </c>
    </row>
    <row r="36" customFormat="false" ht="15" hidden="false" customHeight="false" outlineLevel="0" collapsed="false">
      <c r="A36" s="0" t="s">
        <v>101</v>
      </c>
      <c r="B36" s="3" t="n">
        <v>15</v>
      </c>
    </row>
    <row r="37" customFormat="false" ht="15" hidden="false" customHeight="false" outlineLevel="0" collapsed="false">
      <c r="A37" s="0" t="s">
        <v>102</v>
      </c>
      <c r="B37" s="3" t="n">
        <v>-12</v>
      </c>
    </row>
    <row r="38" customFormat="false" ht="15" hidden="false" customHeight="false" outlineLevel="0" collapsed="false">
      <c r="A38" s="0" t="s">
        <v>103</v>
      </c>
      <c r="B38" s="3" t="n">
        <v>0.5</v>
      </c>
    </row>
    <row r="40" customFormat="false" ht="15" hidden="false" customHeight="false" outlineLevel="0" collapsed="false">
      <c r="A40" s="2" t="s">
        <v>105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  <c r="H40" s="2" t="s">
        <v>87</v>
      </c>
      <c r="I40" s="2" t="s">
        <v>88</v>
      </c>
      <c r="J40" s="2" t="s">
        <v>89</v>
      </c>
      <c r="K40" s="2" t="s">
        <v>90</v>
      </c>
      <c r="L40" s="2" t="s">
        <v>91</v>
      </c>
    </row>
    <row r="41" customFormat="false" ht="15" hidden="false" customHeight="false" outlineLevel="0" collapsed="false">
      <c r="A41" s="0" t="s">
        <v>92</v>
      </c>
      <c r="C41" s="3" t="n">
        <v>4.5</v>
      </c>
      <c r="D41" s="3" t="n">
        <v>5</v>
      </c>
      <c r="E41" s="3" t="n">
        <v>5</v>
      </c>
      <c r="F41" s="3" t="n">
        <v>4.75</v>
      </c>
      <c r="G41" s="3" t="n">
        <v>4.5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93</v>
      </c>
      <c r="C42" s="3" t="n">
        <v>22.4</v>
      </c>
      <c r="D42" s="3" t="n">
        <v>25.6</v>
      </c>
      <c r="E42" s="3" t="n">
        <v>27.8</v>
      </c>
      <c r="F42" s="3" t="n">
        <v>28.9</v>
      </c>
      <c r="G42" s="3" t="n">
        <v>29.4</v>
      </c>
      <c r="H42" s="3" t="n">
        <v>29.5</v>
      </c>
      <c r="I42" s="3" t="n">
        <v>29.5</v>
      </c>
      <c r="J42" s="3" t="n">
        <v>29.5</v>
      </c>
      <c r="K42" s="3" t="n">
        <v>29.5</v>
      </c>
      <c r="L42" s="3" t="n">
        <v>29.5</v>
      </c>
    </row>
    <row r="43" customFormat="false" ht="15" hidden="false" customHeight="false" outlineLevel="0" collapsed="false">
      <c r="A43" s="0" t="s">
        <v>94</v>
      </c>
      <c r="C43" s="3" t="n">
        <v>2</v>
      </c>
      <c r="D43" s="3" t="n">
        <v>2</v>
      </c>
      <c r="E43" s="3" t="n">
        <v>1.9</v>
      </c>
      <c r="F43" s="3" t="n">
        <v>1.9</v>
      </c>
      <c r="G43" s="3" t="n">
        <v>1.8</v>
      </c>
      <c r="H43" s="3" t="n">
        <v>1.8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95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96</v>
      </c>
      <c r="C45" s="3" t="n">
        <v>2.4</v>
      </c>
      <c r="D45" s="3" t="n">
        <v>2.6</v>
      </c>
      <c r="E45" s="3" t="n">
        <v>2.8</v>
      </c>
      <c r="F45" s="3" t="n">
        <v>3</v>
      </c>
      <c r="G45" s="3" t="n">
        <v>3.1</v>
      </c>
      <c r="H45" s="3" t="n">
        <v>3.2</v>
      </c>
      <c r="I45" s="3" t="n">
        <v>3.2</v>
      </c>
      <c r="J45" s="3" t="n">
        <v>3.2</v>
      </c>
      <c r="K45" s="3" t="n">
        <v>3.2</v>
      </c>
      <c r="L45" s="3" t="n">
        <v>3.2</v>
      </c>
    </row>
    <row r="46" customFormat="false" ht="15" hidden="false" customHeight="false" outlineLevel="0" collapsed="false">
      <c r="A46" s="0" t="s">
        <v>97</v>
      </c>
      <c r="C46" s="3" t="n">
        <v>4.2</v>
      </c>
      <c r="D46" s="3" t="n">
        <v>4</v>
      </c>
      <c r="E46" s="3" t="n">
        <v>3.8</v>
      </c>
      <c r="F46" s="3" t="n">
        <v>3.7</v>
      </c>
      <c r="G46" s="3" t="n">
        <v>3.6</v>
      </c>
      <c r="H46" s="3" t="n">
        <v>3.6</v>
      </c>
      <c r="I46" s="3" t="n">
        <v>3.6</v>
      </c>
      <c r="J46" s="3" t="n">
        <v>3.6</v>
      </c>
      <c r="K46" s="3" t="n">
        <v>3.6</v>
      </c>
      <c r="L46" s="3" t="n">
        <v>3.6</v>
      </c>
    </row>
    <row r="47" customFormat="false" ht="15" hidden="false" customHeight="false" outlineLevel="0" collapsed="false">
      <c r="A47" s="0" t="s">
        <v>98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99</v>
      </c>
      <c r="B48" s="3" t="n">
        <v>8.25</v>
      </c>
    </row>
    <row r="49" customFormat="false" ht="15" hidden="false" customHeight="false" outlineLevel="0" collapsed="false">
      <c r="A49" s="0" t="s">
        <v>100</v>
      </c>
      <c r="B49" s="3" t="n">
        <v>3</v>
      </c>
    </row>
    <row r="50" customFormat="false" ht="15" hidden="false" customHeight="false" outlineLevel="0" collapsed="false">
      <c r="A50" s="0" t="s">
        <v>101</v>
      </c>
      <c r="B50" s="3" t="n">
        <v>17</v>
      </c>
    </row>
    <row r="51" customFormat="false" ht="15" hidden="false" customHeight="false" outlineLevel="0" collapsed="false">
      <c r="A51" s="0" t="s">
        <v>102</v>
      </c>
      <c r="B51" s="3" t="n">
        <v>-12</v>
      </c>
    </row>
    <row r="52" customFormat="false" ht="15" hidden="false" customHeight="false" outlineLevel="0" collapsed="false">
      <c r="A52" s="0" t="s">
        <v>103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106</v>
      </c>
    </row>
    <row r="3" customFormat="false" ht="15" hidden="false" customHeight="false" outlineLevel="0" collapsed="false">
      <c r="A3" s="0" t="s">
        <v>107</v>
      </c>
      <c r="B3" s="0" t="s">
        <v>77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8225</v>
      </c>
      <c r="C6" s="0" t="n">
        <f aca="false">B6*(1+C5/100)</f>
        <v>8389.5</v>
      </c>
      <c r="D6" s="0" t="n">
        <f aca="false">C6*(1+D5/100)</f>
        <v>8515.3425</v>
      </c>
      <c r="E6" s="0" t="n">
        <f aca="false">D6*(1+E5/100)</f>
        <v>8685.64935</v>
      </c>
      <c r="F6" s="0" t="n">
        <f aca="false">E6*(1+F5/100)</f>
        <v>8859.362337</v>
      </c>
      <c r="G6" s="0" t="n">
        <f aca="false">F6*(1+G5/100)</f>
        <v>9036.54958374</v>
      </c>
      <c r="H6" s="0" t="n">
        <f aca="false">G6*(1+H5/100)</f>
        <v>9217.2805754148</v>
      </c>
      <c r="I6" s="0" t="n">
        <f aca="false">H6*(1+I5/100)</f>
        <v>9401.6261869231</v>
      </c>
      <c r="J6" s="0" t="n">
        <f aca="false">I6*(1+J5/100)</f>
        <v>9589.65871066156</v>
      </c>
      <c r="K6" s="0" t="n">
        <f aca="false">J6*(1+K5/100)</f>
        <v>9781.45188487479</v>
      </c>
      <c r="L6" s="0" t="n">
        <f aca="false">K6*(1+L5/100)</f>
        <v>9977.08092257229</v>
      </c>
    </row>
    <row r="7" customFormat="false" ht="15" hidden="false" customHeight="false" outlineLevel="0" collapsed="false">
      <c r="A7" s="0" t="s">
        <v>93</v>
      </c>
      <c r="C7" s="4" t="n">
        <f aca="false">Assumptions!C14</f>
        <v>19.4</v>
      </c>
      <c r="D7" s="4" t="n">
        <f aca="false">Assumptions!D14</f>
        <v>21.1</v>
      </c>
      <c r="E7" s="4" t="n">
        <f aca="false">Assumptions!E14</f>
        <v>22.2</v>
      </c>
      <c r="F7" s="4" t="n">
        <f aca="false">Assumptions!F14</f>
        <v>22.9</v>
      </c>
      <c r="G7" s="4" t="n">
        <f aca="false">Assumptions!G14</f>
        <v>23.4</v>
      </c>
      <c r="H7" s="4" t="n">
        <f aca="false">Assumptions!H14</f>
        <v>23.5</v>
      </c>
      <c r="I7" s="4" t="n">
        <f aca="false">Assumptions!I14</f>
        <v>23.5</v>
      </c>
      <c r="J7" s="4" t="n">
        <f aca="false">Assumptions!J14</f>
        <v>23.5</v>
      </c>
      <c r="K7" s="4" t="n">
        <f aca="false">Assumptions!K14</f>
        <v>23.5</v>
      </c>
      <c r="L7" s="4" t="n">
        <f aca="false">Assumptions!L14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1627.563</v>
      </c>
      <c r="D8" s="0" t="n">
        <f aca="false">D6*D7/100</f>
        <v>1796.7372675</v>
      </c>
      <c r="E8" s="0" t="n">
        <f aca="false">E6*E7/100</f>
        <v>1928.2141557</v>
      </c>
      <c r="F8" s="0" t="n">
        <f aca="false">F6*F7/100</f>
        <v>2028.793975173</v>
      </c>
      <c r="G8" s="0" t="n">
        <f aca="false">G6*G7/100</f>
        <v>2114.55260259516</v>
      </c>
      <c r="H8" s="0" t="n">
        <f aca="false">H6*H7/100</f>
        <v>2166.06093522248</v>
      </c>
      <c r="I8" s="0" t="n">
        <f aca="false">I6*I7/100</f>
        <v>2209.38215392693</v>
      </c>
      <c r="J8" s="0" t="n">
        <f aca="false">J6*J7/100</f>
        <v>2253.56979700547</v>
      </c>
      <c r="K8" s="0" t="n">
        <f aca="false">K6*K7/100</f>
        <v>2298.64119294558</v>
      </c>
      <c r="L8" s="0" t="n">
        <f aca="false">L6*L7/100</f>
        <v>2344.61401680449</v>
      </c>
    </row>
    <row r="9" customFormat="false" ht="15" hidden="false" customHeight="false" outlineLevel="0" collapsed="false">
      <c r="A9" s="0" t="s">
        <v>94</v>
      </c>
      <c r="C9" s="4" t="n">
        <f aca="false">Assumptions!C15</f>
        <v>2</v>
      </c>
      <c r="D9" s="4" t="n">
        <f aca="false">Assumptions!D15</f>
        <v>2</v>
      </c>
      <c r="E9" s="4" t="n">
        <f aca="false">Assumptions!E15</f>
        <v>1.9</v>
      </c>
      <c r="F9" s="4" t="n">
        <f aca="false">Assumptions!F15</f>
        <v>1.9</v>
      </c>
      <c r="G9" s="4" t="n">
        <f aca="false">Assumptions!G15</f>
        <v>1.8</v>
      </c>
      <c r="H9" s="4" t="n">
        <f aca="false">Assumptions!H15</f>
        <v>1.8</v>
      </c>
      <c r="I9" s="4" t="n">
        <f aca="false">Assumptions!I15</f>
        <v>1.8</v>
      </c>
      <c r="J9" s="4" t="n">
        <f aca="false">Assumptions!J15</f>
        <v>1.8</v>
      </c>
      <c r="K9" s="4" t="n">
        <f aca="false">Assumptions!K15</f>
        <v>1.8</v>
      </c>
      <c r="L9" s="4" t="n">
        <f aca="false">Assumptions!L15</f>
        <v>1.8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-167.79</v>
      </c>
      <c r="D10" s="0" t="n">
        <f aca="false">-D6*D9/100</f>
        <v>-170.30685</v>
      </c>
      <c r="E10" s="0" t="n">
        <f aca="false">-E6*E9/100</f>
        <v>-165.02733765</v>
      </c>
      <c r="F10" s="0" t="n">
        <f aca="false">-F6*F9/100</f>
        <v>-168.327884403</v>
      </c>
      <c r="G10" s="0" t="n">
        <f aca="false">-G6*G9/100</f>
        <v>-162.65789250732</v>
      </c>
      <c r="H10" s="0" t="n">
        <f aca="false">-H6*H9/100</f>
        <v>-165.911050357466</v>
      </c>
      <c r="I10" s="0" t="n">
        <f aca="false">-I6*I9/100</f>
        <v>-169.229271364616</v>
      </c>
      <c r="J10" s="0" t="n">
        <f aca="false">-J6*J9/100</f>
        <v>-172.613856791908</v>
      </c>
      <c r="K10" s="0" t="n">
        <f aca="false">-K6*K9/100</f>
        <v>-176.066133927746</v>
      </c>
      <c r="L10" s="0" t="n">
        <f aca="false">-L6*L9/100</f>
        <v>-179.587456606301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1459.773</v>
      </c>
      <c r="D11" s="0" t="n">
        <f aca="false">D8+D10+D24</f>
        <v>1626.4304175</v>
      </c>
      <c r="E11" s="0" t="n">
        <f aca="false">E8+E10+E24</f>
        <v>1763.18681805</v>
      </c>
      <c r="F11" s="0" t="n">
        <f aca="false">F8+F10+F24</f>
        <v>1860.46609077</v>
      </c>
      <c r="G11" s="0" t="n">
        <f aca="false">G8+G10+G24</f>
        <v>1951.89471008784</v>
      </c>
      <c r="H11" s="0" t="n">
        <f aca="false">H8+H10+H24</f>
        <v>2000.14988486501</v>
      </c>
      <c r="I11" s="0" t="n">
        <f aca="false">I8+I10+I24</f>
        <v>2040.15288256231</v>
      </c>
      <c r="J11" s="0" t="n">
        <f aca="false">J8+J10+J24</f>
        <v>2080.95594021356</v>
      </c>
      <c r="K11" s="0" t="n">
        <f aca="false">K8+K10+K24</f>
        <v>2122.57505901783</v>
      </c>
      <c r="L11" s="0" t="n">
        <f aca="false">L8+L10+L24</f>
        <v>2165.02656019819</v>
      </c>
    </row>
    <row r="12" customFormat="false" ht="15" hidden="false" customHeight="false" outlineLevel="0" collapsed="false">
      <c r="A12" s="0" t="s">
        <v>111</v>
      </c>
      <c r="C12" s="4" t="n">
        <f aca="false">-C6*Assumptions!C17/100</f>
        <v>-201.348</v>
      </c>
      <c r="D12" s="4" t="n">
        <f aca="false">-D6*Assumptions!D17/100</f>
        <v>-221.398905</v>
      </c>
      <c r="E12" s="4" t="n">
        <f aca="false">-E6*Assumptions!E17/100</f>
        <v>-243.1981818</v>
      </c>
      <c r="F12" s="4" t="n">
        <f aca="false">-F6*Assumptions!F17/100</f>
        <v>-265.78087011</v>
      </c>
      <c r="G12" s="4" t="n">
        <f aca="false">-G6*Assumptions!G17/100</f>
        <v>-280.13303709594</v>
      </c>
      <c r="H12" s="4" t="n">
        <f aca="false">-H6*Assumptions!H17/100</f>
        <v>-294.952978413274</v>
      </c>
      <c r="I12" s="4" t="n">
        <f aca="false">-I6*Assumptions!I17/100</f>
        <v>-300.852037981539</v>
      </c>
      <c r="J12" s="4" t="n">
        <f aca="false">-J6*Assumptions!J17/100</f>
        <v>-306.86907874117</v>
      </c>
      <c r="K12" s="4" t="n">
        <f aca="false">-K6*Assumptions!K17/100</f>
        <v>-313.006460315993</v>
      </c>
      <c r="L12" s="4" t="n">
        <f aca="false">-L6*Assumptions!L17/100</f>
        <v>-319.266589522313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1258.425</v>
      </c>
      <c r="D13" s="0" t="n">
        <f aca="false">D11+D12</f>
        <v>1405.0315125</v>
      </c>
      <c r="E13" s="0" t="n">
        <f aca="false">E11+E12</f>
        <v>1519.98863625</v>
      </c>
      <c r="F13" s="0" t="n">
        <f aca="false">F11+F12</f>
        <v>1594.68522066</v>
      </c>
      <c r="G13" s="0" t="n">
        <f aca="false">G11+G12</f>
        <v>1671.7616729919</v>
      </c>
      <c r="H13" s="0" t="n">
        <f aca="false">H11+H12</f>
        <v>1705.19690645174</v>
      </c>
      <c r="I13" s="0" t="n">
        <f aca="false">I11+I12</f>
        <v>1739.30084458077</v>
      </c>
      <c r="J13" s="0" t="n">
        <f aca="false">J11+J12</f>
        <v>1774.08686147239</v>
      </c>
      <c r="K13" s="0" t="n">
        <f aca="false">K11+K12</f>
        <v>1809.56859870184</v>
      </c>
      <c r="L13" s="0" t="n">
        <f aca="false">L11+L12</f>
        <v>1845.75997067587</v>
      </c>
    </row>
    <row r="14" customFormat="false" ht="15" hidden="false" customHeight="false" outlineLevel="0" collapsed="false">
      <c r="A14" s="0" t="s">
        <v>98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994.15575</v>
      </c>
      <c r="D15" s="0" t="n">
        <f aca="false">D13-MAX(0,D13)*D14/100</f>
        <v>1109.974894875</v>
      </c>
      <c r="E15" s="0" t="n">
        <f aca="false">E13-MAX(0,E13)*E14/100</f>
        <v>1200.7910226375</v>
      </c>
      <c r="F15" s="0" t="n">
        <f aca="false">F13-MAX(0,F13)*F14/100</f>
        <v>1259.8013243214</v>
      </c>
      <c r="G15" s="0" t="n">
        <f aca="false">G13-MAX(0,G13)*G14/100</f>
        <v>1320.6917216636</v>
      </c>
      <c r="H15" s="0" t="n">
        <f aca="false">H13-MAX(0,H13)*H14/100</f>
        <v>1347.10555609687</v>
      </c>
      <c r="I15" s="0" t="n">
        <f aca="false">I13-MAX(0,I13)*I14/100</f>
        <v>1374.04766721881</v>
      </c>
      <c r="J15" s="0" t="n">
        <f aca="false">J13-MAX(0,J13)*J14/100</f>
        <v>1401.52862056319</v>
      </c>
      <c r="K15" s="0" t="n">
        <f aca="false">K13-MAX(0,K13)*K14/100</f>
        <v>1429.55919297445</v>
      </c>
      <c r="L15" s="0" t="n">
        <f aca="false">L13-MAX(0,L13)*L14/100</f>
        <v>1458.15037683394</v>
      </c>
    </row>
    <row r="16" customFormat="false" ht="15" hidden="false" customHeight="false" outlineLevel="0" collapsed="false">
      <c r="A16" s="0" t="s">
        <v>114</v>
      </c>
      <c r="C16" s="0" t="n">
        <f aca="false">-C12</f>
        <v>201.348</v>
      </c>
      <c r="D16" s="0" t="n">
        <f aca="false">-D12</f>
        <v>221.398905</v>
      </c>
      <c r="E16" s="0" t="n">
        <f aca="false">-E12</f>
        <v>243.1981818</v>
      </c>
      <c r="F16" s="0" t="n">
        <f aca="false">-F12</f>
        <v>265.78087011</v>
      </c>
      <c r="G16" s="0" t="n">
        <f aca="false">-G12</f>
        <v>280.13303709594</v>
      </c>
      <c r="H16" s="0" t="n">
        <f aca="false">-H12</f>
        <v>294.952978413274</v>
      </c>
      <c r="I16" s="0" t="n">
        <f aca="false">-I12</f>
        <v>300.852037981539</v>
      </c>
      <c r="J16" s="0" t="n">
        <f aca="false">-J12</f>
        <v>306.86907874117</v>
      </c>
      <c r="K16" s="0" t="n">
        <f aca="false">-K12</f>
        <v>313.006460315993</v>
      </c>
      <c r="L16" s="0" t="n">
        <f aca="false">-L12</f>
        <v>319.266589522313</v>
      </c>
    </row>
    <row r="17" customFormat="false" ht="15" hidden="false" customHeight="false" outlineLevel="0" collapsed="false">
      <c r="A17" s="0" t="s">
        <v>115</v>
      </c>
      <c r="C17" s="4" t="n">
        <f aca="false">-C6*Assumptions!C18/100</f>
        <v>-369.138</v>
      </c>
      <c r="D17" s="4" t="n">
        <f aca="false">-D6*Assumptions!D18/100</f>
        <v>-357.644385</v>
      </c>
      <c r="E17" s="4" t="n">
        <f aca="false">-E6*Assumptions!E18/100</f>
        <v>-347.425974</v>
      </c>
      <c r="F17" s="4" t="n">
        <f aca="false">-F6*Assumptions!F18/100</f>
        <v>-336.655768806</v>
      </c>
      <c r="G17" s="4" t="n">
        <f aca="false">-G6*Assumptions!G18/100</f>
        <v>-334.35233459838</v>
      </c>
      <c r="H17" s="4" t="n">
        <f aca="false">-H6*Assumptions!H18/100</f>
        <v>-331.822100714933</v>
      </c>
      <c r="I17" s="4" t="n">
        <f aca="false">-I6*Assumptions!I18/100</f>
        <v>-338.458542729232</v>
      </c>
      <c r="J17" s="4" t="n">
        <f aca="false">-J6*Assumptions!J18/100</f>
        <v>-345.227713583816</v>
      </c>
      <c r="K17" s="4" t="n">
        <f aca="false">-K6*Assumptions!K18/100</f>
        <v>-352.132267855492</v>
      </c>
      <c r="L17" s="4" t="n">
        <f aca="false">-L6*Assumptions!L18/100</f>
        <v>-359.174913212602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(C6-B6)*Assumptions!$B$23/100</f>
        <v>-19.74</v>
      </c>
      <c r="D18" s="4" t="n">
        <f aca="false">(D6-C6)*Assumptions!$B$23/100</f>
        <v>-15.1010999999999</v>
      </c>
      <c r="E18" s="4" t="n">
        <f aca="false">(E6-D6)*Assumptions!$B$23/100</f>
        <v>-20.4368220000001</v>
      </c>
      <c r="F18" s="4" t="n">
        <f aca="false">(F6-E6)*Assumptions!$B$23/100</f>
        <v>-20.8455584400001</v>
      </c>
      <c r="G18" s="4" t="n">
        <f aca="false">(G6-F6)*Assumptions!$B$23/100</f>
        <v>-21.2624696088001</v>
      </c>
      <c r="H18" s="4" t="n">
        <f aca="false">(H6-G6)*Assumptions!$B$23/100</f>
        <v>-21.687719000976</v>
      </c>
      <c r="I18" s="4" t="n">
        <f aca="false">(I6-H6)*Assumptions!$B$23/100</f>
        <v>-22.1214733809955</v>
      </c>
      <c r="J18" s="4" t="n">
        <f aca="false">(J6-I6)*Assumptions!$B$23/100</f>
        <v>-22.5639028486155</v>
      </c>
      <c r="K18" s="4" t="n">
        <f aca="false">(K6-J6)*Assumptions!$B$23/100</f>
        <v>-23.0151809055878</v>
      </c>
      <c r="L18" s="4" t="n">
        <f aca="false">(L6-K6)*Assumptions!$B$23/100</f>
        <v>-23.4754845236995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806.62575</v>
      </c>
      <c r="D19" s="0" t="n">
        <f aca="false">D15+D16+D17+D18</f>
        <v>958.628314875</v>
      </c>
      <c r="E19" s="0" t="n">
        <f aca="false">E15+E16+E17+E18</f>
        <v>1076.1264084375</v>
      </c>
      <c r="F19" s="0" t="n">
        <f aca="false">F15+F16+F17+F18</f>
        <v>1168.0808671854</v>
      </c>
      <c r="G19" s="0" t="n">
        <f aca="false">G15+G16+G17+G18</f>
        <v>1245.20995455236</v>
      </c>
      <c r="H19" s="0" t="n">
        <f aca="false">H15+H16+H17+H18</f>
        <v>1288.54871479424</v>
      </c>
      <c r="I19" s="0" t="n">
        <f aca="false">I15+I16+I17+I18</f>
        <v>1314.31968909012</v>
      </c>
      <c r="J19" s="0" t="n">
        <f aca="false">J15+J16+J17+J18</f>
        <v>1340.60608287193</v>
      </c>
      <c r="K19" s="0" t="n">
        <f aca="false">K15+K16+K17+K18</f>
        <v>1367.41820452936</v>
      </c>
      <c r="L19" s="0" t="n">
        <f aca="false">L15+L16+L17+L18</f>
        <v>1394.76656861995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745.150808314088</v>
      </c>
      <c r="D21" s="0" t="n">
        <f aca="false">D19*D20</f>
        <v>818.077489239369</v>
      </c>
      <c r="E21" s="0" t="n">
        <f aca="false">E19*E20</f>
        <v>848.358809829237</v>
      </c>
      <c r="F21" s="0" t="n">
        <f aca="false">F19*F20</f>
        <v>850.670339190451</v>
      </c>
      <c r="G21" s="0" t="n">
        <f aca="false">G19*G20</f>
        <v>837.728052733457</v>
      </c>
      <c r="H21" s="0" t="n">
        <f aca="false">H19*H20</f>
        <v>800.81723610669</v>
      </c>
      <c r="I21" s="0" t="n">
        <f aca="false">I19*I20</f>
        <v>754.580675130554</v>
      </c>
      <c r="J21" s="0" t="n">
        <f aca="false">J19*J20</f>
        <v>711.013661554886</v>
      </c>
      <c r="K21" s="0" t="n">
        <f aca="false">K19*K20</f>
        <v>669.962064467422</v>
      </c>
      <c r="L21" s="0" t="n">
        <f aca="false">L19*L20</f>
        <v>631.280651969303</v>
      </c>
    </row>
    <row r="23" customFormat="false" ht="15" hidden="false" customHeight="false" outlineLevel="0" collapsed="false">
      <c r="A23" s="0" t="s">
        <v>95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Assumptions!$B$20</f>
        <v>8.25</v>
      </c>
    </row>
    <row r="28" customFormat="false" ht="15" hidden="false" customHeight="false" outlineLevel="0" collapsed="false">
      <c r="A28" s="0" t="s">
        <v>100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7667.63978853546</v>
      </c>
    </row>
    <row r="31" customFormat="false" ht="15" hidden="false" customHeight="false" outlineLevel="0" collapsed="false">
      <c r="A31" s="0" t="s">
        <v>123</v>
      </c>
      <c r="B31" s="0" t="n">
        <f aca="false">L19</f>
        <v>1394.76656861995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22762.5903998776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16737.1988234394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16737.1988234394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7575.36782363163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15243.0076121671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10179.0076121671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59.6309760525313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-0.320599566451734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1121.81891902794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1326.53008498981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73.9739696320143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10943.5530768642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19.2428886616931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107</v>
      </c>
      <c r="B3" s="0" t="s">
        <v>77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Assumptions!C27</f>
        <v>3.75</v>
      </c>
      <c r="D5" s="4" t="n">
        <f aca="false">Assumptions!D27</f>
        <v>3.75</v>
      </c>
      <c r="E5" s="4" t="n">
        <f aca="false">Assumptions!E27</f>
        <v>3.75</v>
      </c>
      <c r="F5" s="4" t="n">
        <f aca="false">Assumptions!F27</f>
        <v>3.5</v>
      </c>
      <c r="G5" s="4" t="n">
        <f aca="false">Assumptions!G27</f>
        <v>3.25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2.75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8225</v>
      </c>
      <c r="C6" s="0" t="n">
        <f aca="false">B6*(1+C5/100)</f>
        <v>8533.4375</v>
      </c>
      <c r="D6" s="0" t="n">
        <f aca="false">C6*(1+D5/100)</f>
        <v>8853.44140625</v>
      </c>
      <c r="E6" s="0" t="n">
        <f aca="false">D6*(1+E5/100)</f>
        <v>9185.44545898438</v>
      </c>
      <c r="F6" s="0" t="n">
        <f aca="false">E6*(1+F5/100)</f>
        <v>9506.93605004883</v>
      </c>
      <c r="G6" s="0" t="n">
        <f aca="false">F6*(1+G5/100)</f>
        <v>9815.91147167541</v>
      </c>
      <c r="H6" s="0" t="n">
        <f aca="false">G6*(1+H5/100)</f>
        <v>10110.3888158257</v>
      </c>
      <c r="I6" s="0" t="n">
        <f aca="false">H6*(1+I5/100)</f>
        <v>10413.7004803004</v>
      </c>
      <c r="J6" s="0" t="n">
        <f aca="false">I6*(1+J5/100)</f>
        <v>10726.1114947095</v>
      </c>
      <c r="K6" s="0" t="n">
        <f aca="false">J6*(1+K5/100)</f>
        <v>11021.079560814</v>
      </c>
      <c r="L6" s="0" t="n">
        <f aca="false">K6*(1+L5/100)</f>
        <v>11296.6065498343</v>
      </c>
    </row>
    <row r="7" customFormat="false" ht="15" hidden="false" customHeight="false" outlineLevel="0" collapsed="false">
      <c r="A7" s="0" t="s">
        <v>93</v>
      </c>
      <c r="C7" s="4" t="n">
        <f aca="false">Assumptions!C28</f>
        <v>21.4</v>
      </c>
      <c r="D7" s="4" t="n">
        <f aca="false">Assumptions!D28</f>
        <v>24.1</v>
      </c>
      <c r="E7" s="4" t="n">
        <f aca="false">Assumptions!E28</f>
        <v>25.7</v>
      </c>
      <c r="F7" s="4" t="n">
        <f aca="false">Assumptions!F28</f>
        <v>26.9</v>
      </c>
      <c r="G7" s="4" t="n">
        <f aca="false">Assumptions!G28</f>
        <v>26.9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1826.155625</v>
      </c>
      <c r="D8" s="0" t="n">
        <f aca="false">D6*D7/100</f>
        <v>2133.67937890625</v>
      </c>
      <c r="E8" s="0" t="n">
        <f aca="false">E6*E7/100</f>
        <v>2360.65948295898</v>
      </c>
      <c r="F8" s="0" t="n">
        <f aca="false">F6*F7/100</f>
        <v>2557.36579746313</v>
      </c>
      <c r="G8" s="0" t="n">
        <f aca="false">G6*G7/100</f>
        <v>2640.48018588069</v>
      </c>
      <c r="H8" s="0" t="n">
        <f aca="false">H6*H7/100</f>
        <v>2729.80498027293</v>
      </c>
      <c r="I8" s="0" t="n">
        <f aca="false">I6*I7/100</f>
        <v>2811.69912968112</v>
      </c>
      <c r="J8" s="0" t="n">
        <f aca="false">J6*J7/100</f>
        <v>2896.05010357155</v>
      </c>
      <c r="K8" s="0" t="n">
        <f aca="false">K6*K7/100</f>
        <v>2975.69148141977</v>
      </c>
      <c r="L8" s="0" t="n">
        <f aca="false">L6*L7/100</f>
        <v>3050.08376845527</v>
      </c>
    </row>
    <row r="9" customFormat="false" ht="15" hidden="false" customHeight="false" outlineLevel="0" collapsed="false">
      <c r="A9" s="0" t="s">
        <v>94</v>
      </c>
      <c r="C9" s="4" t="n">
        <f aca="false">Assumptions!C29</f>
        <v>2</v>
      </c>
      <c r="D9" s="4" t="n">
        <f aca="false">Assumptions!D29</f>
        <v>2</v>
      </c>
      <c r="E9" s="4" t="n">
        <f aca="false">Assumptions!E29</f>
        <v>1.9</v>
      </c>
      <c r="F9" s="4" t="n">
        <f aca="false">Assumptions!F29</f>
        <v>1.9</v>
      </c>
      <c r="G9" s="4" t="n">
        <f aca="false">Assumptions!G29</f>
        <v>1.8</v>
      </c>
      <c r="H9" s="4" t="n">
        <f aca="false">Assumptions!H29</f>
        <v>1.8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-170.66875</v>
      </c>
      <c r="D10" s="0" t="n">
        <f aca="false">-D6*D9/100</f>
        <v>-177.068828125</v>
      </c>
      <c r="E10" s="0" t="n">
        <f aca="false">-E6*E9/100</f>
        <v>-174.523463720703</v>
      </c>
      <c r="F10" s="0" t="n">
        <f aca="false">-F6*F9/100</f>
        <v>-180.631784950928</v>
      </c>
      <c r="G10" s="0" t="n">
        <f aca="false">-G6*G9/100</f>
        <v>-176.686406490157</v>
      </c>
      <c r="H10" s="0" t="n">
        <f aca="false">-H6*H9/100</f>
        <v>-181.986998684862</v>
      </c>
      <c r="I10" s="0" t="n">
        <f aca="false">-I6*I9/100</f>
        <v>-187.446608645408</v>
      </c>
      <c r="J10" s="0" t="n">
        <f aca="false">-J6*J9/100</f>
        <v>-193.07000690477</v>
      </c>
      <c r="K10" s="0" t="n">
        <f aca="false">-K6*K9/100</f>
        <v>-198.379432094652</v>
      </c>
      <c r="L10" s="0" t="n">
        <f aca="false">-L6*L9/100</f>
        <v>-203.338917897018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1655.486875</v>
      </c>
      <c r="D11" s="0" t="n">
        <f aca="false">D8+D10+D24</f>
        <v>1956.61055078125</v>
      </c>
      <c r="E11" s="0" t="n">
        <f aca="false">E8+E10+E24</f>
        <v>2186.13601923828</v>
      </c>
      <c r="F11" s="0" t="n">
        <f aca="false">F8+F10+F24</f>
        <v>2376.73401251221</v>
      </c>
      <c r="G11" s="0" t="n">
        <f aca="false">G8+G10+G24</f>
        <v>2463.79377939053</v>
      </c>
      <c r="H11" s="0" t="n">
        <f aca="false">H8+H10+H24</f>
        <v>2547.81798158807</v>
      </c>
      <c r="I11" s="0" t="n">
        <f aca="false">I8+I10+I24</f>
        <v>2624.25252103571</v>
      </c>
      <c r="J11" s="0" t="n">
        <f aca="false">J8+J10+J24</f>
        <v>2702.98009666678</v>
      </c>
      <c r="K11" s="0" t="n">
        <f aca="false">K8+K10+K24</f>
        <v>2777.31204932512</v>
      </c>
      <c r="L11" s="0" t="n">
        <f aca="false">L8+L10+L24</f>
        <v>2846.74485055825</v>
      </c>
    </row>
    <row r="12" customFormat="false" ht="15" hidden="false" customHeight="false" outlineLevel="0" collapsed="false">
      <c r="A12" s="0" t="s">
        <v>111</v>
      </c>
      <c r="C12" s="4" t="n">
        <f aca="false">-C6*Assumptions!C31/100</f>
        <v>-204.8025</v>
      </c>
      <c r="D12" s="4" t="n">
        <f aca="false">-D6*Assumptions!D31/100</f>
        <v>-230.1894765625</v>
      </c>
      <c r="E12" s="4" t="n">
        <f aca="false">-E6*Assumptions!E31/100</f>
        <v>-257.192472851563</v>
      </c>
      <c r="F12" s="4" t="n">
        <f aca="false">-F6*Assumptions!F31/100</f>
        <v>-285.208081501465</v>
      </c>
      <c r="G12" s="4" t="n">
        <f aca="false">-G6*Assumptions!G31/100</f>
        <v>-304.293255621938</v>
      </c>
      <c r="H12" s="4" t="n">
        <f aca="false">-H6*Assumptions!H31/100</f>
        <v>-323.532442106422</v>
      </c>
      <c r="I12" s="4" t="n">
        <f aca="false">-I6*Assumptions!I31/100</f>
        <v>-333.238415369614</v>
      </c>
      <c r="J12" s="4" t="n">
        <f aca="false">-J6*Assumptions!J31/100</f>
        <v>-343.235567830703</v>
      </c>
      <c r="K12" s="4" t="n">
        <f aca="false">-K6*Assumptions!K31/100</f>
        <v>-352.674545946047</v>
      </c>
      <c r="L12" s="4" t="n">
        <f aca="false">-L6*Assumptions!L31/100</f>
        <v>-361.491409594698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1450.684375</v>
      </c>
      <c r="D13" s="0" t="n">
        <f aca="false">D11+D12</f>
        <v>1726.42107421875</v>
      </c>
      <c r="E13" s="0" t="n">
        <f aca="false">E11+E12</f>
        <v>1928.94354638672</v>
      </c>
      <c r="F13" s="0" t="n">
        <f aca="false">F11+F12</f>
        <v>2091.52593101074</v>
      </c>
      <c r="G13" s="0" t="n">
        <f aca="false">G11+G12</f>
        <v>2159.50052376859</v>
      </c>
      <c r="H13" s="0" t="n">
        <f aca="false">H11+H12</f>
        <v>2224.28553948165</v>
      </c>
      <c r="I13" s="0" t="n">
        <f aca="false">I11+I12</f>
        <v>2291.0141056661</v>
      </c>
      <c r="J13" s="0" t="n">
        <f aca="false">J11+J12</f>
        <v>2359.74452883608</v>
      </c>
      <c r="K13" s="0" t="n">
        <f aca="false">K11+K12</f>
        <v>2424.63750337907</v>
      </c>
      <c r="L13" s="0" t="n">
        <f aca="false">L11+L12</f>
        <v>2485.25344096355</v>
      </c>
    </row>
    <row r="14" customFormat="false" ht="15" hidden="false" customHeight="false" outlineLevel="0" collapsed="false">
      <c r="A14" s="0" t="s">
        <v>98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1146.04065625</v>
      </c>
      <c r="D15" s="0" t="n">
        <f aca="false">D13-MAX(0,D13)*D14/100</f>
        <v>1363.87264863281</v>
      </c>
      <c r="E15" s="0" t="n">
        <f aca="false">E13-MAX(0,E13)*E14/100</f>
        <v>1523.86540164551</v>
      </c>
      <c r="F15" s="0" t="n">
        <f aca="false">F13-MAX(0,F13)*F14/100</f>
        <v>1652.30548549849</v>
      </c>
      <c r="G15" s="0" t="n">
        <f aca="false">G13-MAX(0,G13)*G14/100</f>
        <v>1706.00541377719</v>
      </c>
      <c r="H15" s="0" t="n">
        <f aca="false">H13-MAX(0,H13)*H14/100</f>
        <v>1757.1855761905</v>
      </c>
      <c r="I15" s="0" t="n">
        <f aca="false">I13-MAX(0,I13)*I14/100</f>
        <v>1809.90114347622</v>
      </c>
      <c r="J15" s="0" t="n">
        <f aca="false">J13-MAX(0,J13)*J14/100</f>
        <v>1864.1981777805</v>
      </c>
      <c r="K15" s="0" t="n">
        <f aca="false">K13-MAX(0,K13)*K14/100</f>
        <v>1915.46362766947</v>
      </c>
      <c r="L15" s="0" t="n">
        <f aca="false">L13-MAX(0,L13)*L14/100</f>
        <v>1963.3502183612</v>
      </c>
    </row>
    <row r="16" customFormat="false" ht="15" hidden="false" customHeight="false" outlineLevel="0" collapsed="false">
      <c r="A16" s="0" t="s">
        <v>114</v>
      </c>
      <c r="C16" s="0" t="n">
        <f aca="false">-C12</f>
        <v>204.8025</v>
      </c>
      <c r="D16" s="0" t="n">
        <f aca="false">-D12</f>
        <v>230.1894765625</v>
      </c>
      <c r="E16" s="0" t="n">
        <f aca="false">-E12</f>
        <v>257.192472851563</v>
      </c>
      <c r="F16" s="0" t="n">
        <f aca="false">-F12</f>
        <v>285.208081501465</v>
      </c>
      <c r="G16" s="0" t="n">
        <f aca="false">-G12</f>
        <v>304.293255621938</v>
      </c>
      <c r="H16" s="0" t="n">
        <f aca="false">-H12</f>
        <v>323.532442106422</v>
      </c>
      <c r="I16" s="0" t="n">
        <f aca="false">-I12</f>
        <v>333.238415369614</v>
      </c>
      <c r="J16" s="0" t="n">
        <f aca="false">-J12</f>
        <v>343.235567830703</v>
      </c>
      <c r="K16" s="0" t="n">
        <f aca="false">-K12</f>
        <v>352.674545946047</v>
      </c>
      <c r="L16" s="0" t="n">
        <f aca="false">-L12</f>
        <v>361.491409594698</v>
      </c>
    </row>
    <row r="17" customFormat="false" ht="15" hidden="false" customHeight="false" outlineLevel="0" collapsed="false">
      <c r="A17" s="0" t="s">
        <v>115</v>
      </c>
      <c r="C17" s="4" t="n">
        <f aca="false">-C6*Assumptions!C32/100</f>
        <v>-358.404375</v>
      </c>
      <c r="D17" s="4" t="n">
        <f aca="false">-D6*Assumptions!D32/100</f>
        <v>-354.13765625</v>
      </c>
      <c r="E17" s="4" t="n">
        <f aca="false">-E6*Assumptions!E32/100</f>
        <v>-349.046927441406</v>
      </c>
      <c r="F17" s="4" t="n">
        <f aca="false">-F6*Assumptions!F32/100</f>
        <v>-351.756633851807</v>
      </c>
      <c r="G17" s="4" t="n">
        <f aca="false">-G6*Assumptions!G32/100</f>
        <v>-353.372812980315</v>
      </c>
      <c r="H17" s="4" t="n">
        <f aca="false">-H6*Assumptions!H32/100</f>
        <v>-363.973997369724</v>
      </c>
      <c r="I17" s="4" t="n">
        <f aca="false">-I6*Assumptions!I32/100</f>
        <v>-374.893217290816</v>
      </c>
      <c r="J17" s="4" t="n">
        <f aca="false">-J6*Assumptions!J32/100</f>
        <v>-386.140013809541</v>
      </c>
      <c r="K17" s="4" t="n">
        <f aca="false">-K6*Assumptions!K32/100</f>
        <v>-396.758864189303</v>
      </c>
      <c r="L17" s="4" t="n">
        <f aca="false">-L6*Assumptions!L32/100</f>
        <v>-406.677835794036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(C6-B6)*Assumptions!$B$37/100</f>
        <v>-37.0125</v>
      </c>
      <c r="D18" s="4" t="n">
        <f aca="false">(D6-C6)*Assumptions!$B$37/100</f>
        <v>-38.40046875</v>
      </c>
      <c r="E18" s="4" t="n">
        <f aca="false">(E6-D6)*Assumptions!$B$37/100</f>
        <v>-39.840486328125</v>
      </c>
      <c r="F18" s="4" t="n">
        <f aca="false">(F6-E6)*Assumptions!$B$37/100</f>
        <v>-38.5788709277342</v>
      </c>
      <c r="G18" s="4" t="n">
        <f aca="false">(G6-F6)*Assumptions!$B$37/100</f>
        <v>-37.0770505951904</v>
      </c>
      <c r="H18" s="4" t="n">
        <f aca="false">(H6-G6)*Assumptions!$B$37/100</f>
        <v>-35.3372812980315</v>
      </c>
      <c r="I18" s="4" t="n">
        <f aca="false">(I6-H6)*Assumptions!$B$37/100</f>
        <v>-36.3973997369724</v>
      </c>
      <c r="J18" s="4" t="n">
        <f aca="false">(J6-I6)*Assumptions!$B$37/100</f>
        <v>-37.4893217290816</v>
      </c>
      <c r="K18" s="4" t="n">
        <f aca="false">(K6-J6)*Assumptions!$B$37/100</f>
        <v>-35.3961679325414</v>
      </c>
      <c r="L18" s="4" t="n">
        <f aca="false">(L6-K6)*Assumptions!$B$37/100</f>
        <v>-33.0632386824419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955.42628125</v>
      </c>
      <c r="D19" s="0" t="n">
        <f aca="false">D15+D16+D17+D18</f>
        <v>1201.52400019531</v>
      </c>
      <c r="E19" s="0" t="n">
        <f aca="false">E15+E16+E17+E18</f>
        <v>1392.17046072754</v>
      </c>
      <c r="F19" s="0" t="n">
        <f aca="false">F15+F16+F17+F18</f>
        <v>1547.17806222041</v>
      </c>
      <c r="G19" s="0" t="n">
        <f aca="false">G15+G16+G17+G18</f>
        <v>1619.84880582362</v>
      </c>
      <c r="H19" s="0" t="n">
        <f aca="false">H15+H16+H17+H18</f>
        <v>1681.40673962917</v>
      </c>
      <c r="I19" s="0" t="n">
        <f aca="false">I15+I16+I17+I18</f>
        <v>1731.84894181804</v>
      </c>
      <c r="J19" s="0" t="n">
        <f aca="false">J15+J16+J17+J18</f>
        <v>1783.80441007259</v>
      </c>
      <c r="K19" s="0" t="n">
        <f aca="false">K15+K16+K17+K18</f>
        <v>1835.98314149367</v>
      </c>
      <c r="L19" s="0" t="n">
        <f aca="false">L15+L16+L17+L18</f>
        <v>1885.10055347943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882.610883371824</v>
      </c>
      <c r="D21" s="0" t="n">
        <f aca="false">D19*D20</f>
        <v>1025.36063465723</v>
      </c>
      <c r="E21" s="0" t="n">
        <f aca="false">E19*E20</f>
        <v>1097.51053954442</v>
      </c>
      <c r="F21" s="0" t="n">
        <f aca="false">F19*F20</f>
        <v>1126.75288496799</v>
      </c>
      <c r="G21" s="0" t="n">
        <f aca="false">G19*G20</f>
        <v>1089.77026794896</v>
      </c>
      <c r="H21" s="0" t="n">
        <f aca="false">H19*H20</f>
        <v>1044.97368437949</v>
      </c>
      <c r="I21" s="0" t="n">
        <f aca="false">I19*I20</f>
        <v>994.293667354157</v>
      </c>
      <c r="J21" s="0" t="n">
        <f aca="false">J19*J20</f>
        <v>946.071572632593</v>
      </c>
      <c r="K21" s="0" t="n">
        <f aca="false">K19*K20</f>
        <v>899.533918539454</v>
      </c>
      <c r="L21" s="0" t="n">
        <f aca="false">L19*L20</f>
        <v>853.209084015869</v>
      </c>
    </row>
    <row r="23" customFormat="false" ht="15" hidden="false" customHeight="false" outlineLevel="0" collapsed="false">
      <c r="A23" s="0" t="s">
        <v>95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Assumptions!$B$34</f>
        <v>8.25</v>
      </c>
    </row>
    <row r="28" customFormat="false" ht="15" hidden="false" customHeight="false" outlineLevel="0" collapsed="false">
      <c r="A28" s="0" t="s">
        <v>100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9960.08713741198</v>
      </c>
    </row>
    <row r="31" customFormat="false" ht="15" hidden="false" customHeight="false" outlineLevel="0" collapsed="false">
      <c r="A31" s="0" t="s">
        <v>123</v>
      </c>
      <c r="B31" s="0" t="n">
        <f aca="false">L19</f>
        <v>1885.10055347943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33603.9663881115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28276.5083021914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28276.5083021914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12798.136260238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22758.22339765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17694.22339765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103.656844743117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0.18100540894516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1209.1150244762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1640.58024802475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120.35101739983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15457.8245385313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35.4456970365614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107</v>
      </c>
      <c r="B3" s="0" t="s">
        <v>77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Assumptions!C41</f>
        <v>4.5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4.75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8225</v>
      </c>
      <c r="C6" s="0" t="n">
        <f aca="false">B6*(1+C5/100)</f>
        <v>8595.125</v>
      </c>
      <c r="D6" s="0" t="n">
        <f aca="false">C6*(1+D5/100)</f>
        <v>9024.88125</v>
      </c>
      <c r="E6" s="0" t="n">
        <f aca="false">D6*(1+E5/100)</f>
        <v>9476.1253125</v>
      </c>
      <c r="F6" s="0" t="n">
        <f aca="false">E6*(1+F5/100)</f>
        <v>9926.24126484375</v>
      </c>
      <c r="G6" s="0" t="n">
        <f aca="false">F6*(1+G5/100)</f>
        <v>10372.9221217617</v>
      </c>
      <c r="H6" s="0" t="n">
        <f aca="false">G6*(1+H5/100)</f>
        <v>10787.8390066322</v>
      </c>
      <c r="I6" s="0" t="n">
        <f aca="false">H6*(1+I5/100)</f>
        <v>11165.4133718643</v>
      </c>
      <c r="J6" s="0" t="n">
        <f aca="false">I6*(1+J5/100)</f>
        <v>11556.2028398796</v>
      </c>
      <c r="K6" s="0" t="n">
        <f aca="false">J6*(1+K5/100)</f>
        <v>11902.888925076</v>
      </c>
      <c r="L6" s="0" t="n">
        <f aca="false">K6*(1+L5/100)</f>
        <v>12259.9755928282</v>
      </c>
    </row>
    <row r="7" customFormat="false" ht="15" hidden="false" customHeight="false" outlineLevel="0" collapsed="false">
      <c r="A7" s="0" t="s">
        <v>93</v>
      </c>
      <c r="C7" s="4" t="n">
        <f aca="false">Assumptions!C42</f>
        <v>22.4</v>
      </c>
      <c r="D7" s="4" t="n">
        <f aca="false">Assumptions!D42</f>
        <v>25.6</v>
      </c>
      <c r="E7" s="4" t="n">
        <f aca="false">Assumptions!E42</f>
        <v>27.8</v>
      </c>
      <c r="F7" s="4" t="n">
        <f aca="false">Assumptions!F42</f>
        <v>28.9</v>
      </c>
      <c r="G7" s="4" t="n">
        <f aca="false">Assumptions!G42</f>
        <v>29.4</v>
      </c>
      <c r="H7" s="4" t="n">
        <f aca="false">Assumptions!H42</f>
        <v>29.5</v>
      </c>
      <c r="I7" s="4" t="n">
        <f aca="false">Assumptions!I42</f>
        <v>29.5</v>
      </c>
      <c r="J7" s="4" t="n">
        <f aca="false">Assumptions!J42</f>
        <v>29.5</v>
      </c>
      <c r="K7" s="4" t="n">
        <f aca="false">Assumptions!K42</f>
        <v>29.5</v>
      </c>
      <c r="L7" s="4" t="n">
        <f aca="false">Assumptions!L42</f>
        <v>29.5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1925.308</v>
      </c>
      <c r="D8" s="0" t="n">
        <f aca="false">D6*D7/100</f>
        <v>2310.3696</v>
      </c>
      <c r="E8" s="0" t="n">
        <f aca="false">E6*E7/100</f>
        <v>2634.362836875</v>
      </c>
      <c r="F8" s="0" t="n">
        <f aca="false">F6*F7/100</f>
        <v>2868.68372553984</v>
      </c>
      <c r="G8" s="0" t="n">
        <f aca="false">G6*G7/100</f>
        <v>3049.63910379795</v>
      </c>
      <c r="H8" s="0" t="n">
        <f aca="false">H6*H7/100</f>
        <v>3182.4125069565</v>
      </c>
      <c r="I8" s="0" t="n">
        <f aca="false">I6*I7/100</f>
        <v>3293.79694469997</v>
      </c>
      <c r="J8" s="0" t="n">
        <f aca="false">J6*J7/100</f>
        <v>3409.07983776447</v>
      </c>
      <c r="K8" s="0" t="n">
        <f aca="false">K6*K7/100</f>
        <v>3511.35223289741</v>
      </c>
      <c r="L8" s="0" t="n">
        <f aca="false">L6*L7/100</f>
        <v>3616.69279988433</v>
      </c>
    </row>
    <row r="9" customFormat="false" ht="15" hidden="false" customHeight="false" outlineLevel="0" collapsed="false">
      <c r="A9" s="0" t="s">
        <v>94</v>
      </c>
      <c r="C9" s="4" t="n">
        <f aca="false">Assumptions!C43</f>
        <v>2</v>
      </c>
      <c r="D9" s="4" t="n">
        <f aca="false">Assumptions!D43</f>
        <v>2</v>
      </c>
      <c r="E9" s="4" t="n">
        <f aca="false">Assumptions!E43</f>
        <v>1.9</v>
      </c>
      <c r="F9" s="4" t="n">
        <f aca="false">Assumptions!F43</f>
        <v>1.9</v>
      </c>
      <c r="G9" s="4" t="n">
        <f aca="false">Assumptions!G43</f>
        <v>1.8</v>
      </c>
      <c r="H9" s="4" t="n">
        <f aca="false">Assumptions!H43</f>
        <v>1.8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-171.9025</v>
      </c>
      <c r="D10" s="0" t="n">
        <f aca="false">-D6*D9/100</f>
        <v>-180.497625</v>
      </c>
      <c r="E10" s="0" t="n">
        <f aca="false">-E6*E9/100</f>
        <v>-180.0463809375</v>
      </c>
      <c r="F10" s="0" t="n">
        <f aca="false">-F6*F9/100</f>
        <v>-188.598584032031</v>
      </c>
      <c r="G10" s="0" t="n">
        <f aca="false">-G6*G9/100</f>
        <v>-186.712598191711</v>
      </c>
      <c r="H10" s="0" t="n">
        <f aca="false">-H6*H9/100</f>
        <v>-194.181102119379</v>
      </c>
      <c r="I10" s="0" t="n">
        <f aca="false">-I6*I9/100</f>
        <v>-200.977440693558</v>
      </c>
      <c r="J10" s="0" t="n">
        <f aca="false">-J6*J9/100</f>
        <v>-208.011651117832</v>
      </c>
      <c r="K10" s="0" t="n">
        <f aca="false">-K6*K9/100</f>
        <v>-214.252000651367</v>
      </c>
      <c r="L10" s="0" t="n">
        <f aca="false">-L6*L9/100</f>
        <v>-220.679560670908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1753.4055</v>
      </c>
      <c r="D11" s="0" t="n">
        <f aca="false">D8+D10+D24</f>
        <v>2129.871975</v>
      </c>
      <c r="E11" s="0" t="n">
        <f aca="false">E8+E10+E24</f>
        <v>2454.3164559375</v>
      </c>
      <c r="F11" s="0" t="n">
        <f aca="false">F8+F10+F24</f>
        <v>2680.08514150781</v>
      </c>
      <c r="G11" s="0" t="n">
        <f aca="false">G8+G10+G24</f>
        <v>2862.92650560623</v>
      </c>
      <c r="H11" s="0" t="n">
        <f aca="false">H8+H10+H24</f>
        <v>2988.23140483712</v>
      </c>
      <c r="I11" s="0" t="n">
        <f aca="false">I8+I10+I24</f>
        <v>3092.81950400641</v>
      </c>
      <c r="J11" s="0" t="n">
        <f aca="false">J8+J10+J24</f>
        <v>3201.06818664664</v>
      </c>
      <c r="K11" s="0" t="n">
        <f aca="false">K8+K10+K24</f>
        <v>3297.10023224604</v>
      </c>
      <c r="L11" s="0" t="n">
        <f aca="false">L8+L10+L24</f>
        <v>3396.01323921342</v>
      </c>
    </row>
    <row r="12" customFormat="false" ht="15" hidden="false" customHeight="false" outlineLevel="0" collapsed="false">
      <c r="A12" s="0" t="s">
        <v>111</v>
      </c>
      <c r="C12" s="4" t="n">
        <f aca="false">-C6*Assumptions!C45/100</f>
        <v>-206.283</v>
      </c>
      <c r="D12" s="4" t="n">
        <f aca="false">-D6*Assumptions!D45/100</f>
        <v>-234.6469125</v>
      </c>
      <c r="E12" s="4" t="n">
        <f aca="false">-E6*Assumptions!E45/100</f>
        <v>-265.33150875</v>
      </c>
      <c r="F12" s="4" t="n">
        <f aca="false">-F6*Assumptions!F45/100</f>
        <v>-297.787237945313</v>
      </c>
      <c r="G12" s="4" t="n">
        <f aca="false">-G6*Assumptions!G45/100</f>
        <v>-321.560585774613</v>
      </c>
      <c r="H12" s="4" t="n">
        <f aca="false">-H6*Assumptions!H45/100</f>
        <v>-345.21084821223</v>
      </c>
      <c r="I12" s="4" t="n">
        <f aca="false">-I6*Assumptions!I45/100</f>
        <v>-357.293227899658</v>
      </c>
      <c r="J12" s="4" t="n">
        <f aca="false">-J6*Assumptions!J45/100</f>
        <v>-369.798490876146</v>
      </c>
      <c r="K12" s="4" t="n">
        <f aca="false">-K6*Assumptions!K45/100</f>
        <v>-380.89244560243</v>
      </c>
      <c r="L12" s="4" t="n">
        <f aca="false">-L6*Assumptions!L45/100</f>
        <v>-392.319218970503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1547.1225</v>
      </c>
      <c r="D13" s="0" t="n">
        <f aca="false">D11+D12</f>
        <v>1895.2250625</v>
      </c>
      <c r="E13" s="0" t="n">
        <f aca="false">E11+E12</f>
        <v>2188.9849471875</v>
      </c>
      <c r="F13" s="0" t="n">
        <f aca="false">F11+F12</f>
        <v>2382.2979035625</v>
      </c>
      <c r="G13" s="0" t="n">
        <f aca="false">G11+G12</f>
        <v>2541.36591983162</v>
      </c>
      <c r="H13" s="0" t="n">
        <f aca="false">H11+H12</f>
        <v>2643.02055662489</v>
      </c>
      <c r="I13" s="0" t="n">
        <f aca="false">I11+I12</f>
        <v>2735.52627610676</v>
      </c>
      <c r="J13" s="0" t="n">
        <f aca="false">J11+J12</f>
        <v>2831.26969577049</v>
      </c>
      <c r="K13" s="0" t="n">
        <f aca="false">K11+K12</f>
        <v>2916.20778664361</v>
      </c>
      <c r="L13" s="0" t="n">
        <f aca="false">L11+L12</f>
        <v>3003.69402024292</v>
      </c>
    </row>
    <row r="14" customFormat="false" ht="15" hidden="false" customHeight="false" outlineLevel="0" collapsed="false">
      <c r="A14" s="0" t="s">
        <v>98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1222.226775</v>
      </c>
      <c r="D15" s="0" t="n">
        <f aca="false">D13-MAX(0,D13)*D14/100</f>
        <v>1497.227799375</v>
      </c>
      <c r="E15" s="0" t="n">
        <f aca="false">E13-MAX(0,E13)*E14/100</f>
        <v>1729.29810827813</v>
      </c>
      <c r="F15" s="0" t="n">
        <f aca="false">F13-MAX(0,F13)*F14/100</f>
        <v>1882.01534381438</v>
      </c>
      <c r="G15" s="0" t="n">
        <f aca="false">G13-MAX(0,G13)*G14/100</f>
        <v>2007.67907666698</v>
      </c>
      <c r="H15" s="0" t="n">
        <f aca="false">H13-MAX(0,H13)*H14/100</f>
        <v>2087.98623973366</v>
      </c>
      <c r="I15" s="0" t="n">
        <f aca="false">I13-MAX(0,I13)*I14/100</f>
        <v>2161.06575812434</v>
      </c>
      <c r="J15" s="0" t="n">
        <f aca="false">J13-MAX(0,J13)*J14/100</f>
        <v>2236.70305965869</v>
      </c>
      <c r="K15" s="0" t="n">
        <f aca="false">K13-MAX(0,K13)*K14/100</f>
        <v>2303.80415144845</v>
      </c>
      <c r="L15" s="0" t="n">
        <f aca="false">L13-MAX(0,L13)*L14/100</f>
        <v>2372.9182759919</v>
      </c>
    </row>
    <row r="16" customFormat="false" ht="15" hidden="false" customHeight="false" outlineLevel="0" collapsed="false">
      <c r="A16" s="0" t="s">
        <v>114</v>
      </c>
      <c r="C16" s="0" t="n">
        <f aca="false">-C12</f>
        <v>206.283</v>
      </c>
      <c r="D16" s="0" t="n">
        <f aca="false">-D12</f>
        <v>234.6469125</v>
      </c>
      <c r="E16" s="0" t="n">
        <f aca="false">-E12</f>
        <v>265.33150875</v>
      </c>
      <c r="F16" s="0" t="n">
        <f aca="false">-F12</f>
        <v>297.787237945313</v>
      </c>
      <c r="G16" s="0" t="n">
        <f aca="false">-G12</f>
        <v>321.560585774613</v>
      </c>
      <c r="H16" s="0" t="n">
        <f aca="false">-H12</f>
        <v>345.21084821223</v>
      </c>
      <c r="I16" s="0" t="n">
        <f aca="false">-I12</f>
        <v>357.293227899658</v>
      </c>
      <c r="J16" s="0" t="n">
        <f aca="false">-J12</f>
        <v>369.798490876146</v>
      </c>
      <c r="K16" s="0" t="n">
        <f aca="false">-K12</f>
        <v>380.89244560243</v>
      </c>
      <c r="L16" s="0" t="n">
        <f aca="false">-L12</f>
        <v>392.319218970503</v>
      </c>
    </row>
    <row r="17" customFormat="false" ht="15" hidden="false" customHeight="false" outlineLevel="0" collapsed="false">
      <c r="A17" s="0" t="s">
        <v>115</v>
      </c>
      <c r="C17" s="4" t="n">
        <f aca="false">-C6*Assumptions!C46/100</f>
        <v>-360.99525</v>
      </c>
      <c r="D17" s="4" t="n">
        <f aca="false">-D6*Assumptions!D46/100</f>
        <v>-360.99525</v>
      </c>
      <c r="E17" s="4" t="n">
        <f aca="false">-E6*Assumptions!E46/100</f>
        <v>-360.092761875</v>
      </c>
      <c r="F17" s="4" t="n">
        <f aca="false">-F6*Assumptions!F46/100</f>
        <v>-367.270926799219</v>
      </c>
      <c r="G17" s="4" t="n">
        <f aca="false">-G6*Assumptions!G46/100</f>
        <v>-373.425196383422</v>
      </c>
      <c r="H17" s="4" t="n">
        <f aca="false">-H6*Assumptions!H46/100</f>
        <v>-388.362204238759</v>
      </c>
      <c r="I17" s="4" t="n">
        <f aca="false">-I6*Assumptions!I46/100</f>
        <v>-401.954881387115</v>
      </c>
      <c r="J17" s="4" t="n">
        <f aca="false">-J6*Assumptions!J46/100</f>
        <v>-416.023302235664</v>
      </c>
      <c r="K17" s="4" t="n">
        <f aca="false">-K6*Assumptions!K46/100</f>
        <v>-428.504001302734</v>
      </c>
      <c r="L17" s="4" t="n">
        <f aca="false">-L6*Assumptions!L46/100</f>
        <v>-441.359121341816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(C6-B6)*Assumptions!$B$51/100</f>
        <v>-44.415</v>
      </c>
      <c r="D18" s="4" t="n">
        <f aca="false">(D6-C6)*Assumptions!$B$51/100</f>
        <v>-51.5707500000001</v>
      </c>
      <c r="E18" s="4" t="n">
        <f aca="false">(E6-D6)*Assumptions!$B$51/100</f>
        <v>-54.1492875</v>
      </c>
      <c r="F18" s="4" t="n">
        <f aca="false">(F6-E6)*Assumptions!$B$51/100</f>
        <v>-54.0139142812501</v>
      </c>
      <c r="G18" s="4" t="n">
        <f aca="false">(G6-F6)*Assumptions!$B$51/100</f>
        <v>-53.6017028301562</v>
      </c>
      <c r="H18" s="4" t="n">
        <f aca="false">(H6-G6)*Assumptions!$B$51/100</f>
        <v>-49.7900261844562</v>
      </c>
      <c r="I18" s="4" t="n">
        <f aca="false">(I6-H6)*Assumptions!$B$51/100</f>
        <v>-45.308923827855</v>
      </c>
      <c r="J18" s="4" t="n">
        <f aca="false">(J6-I6)*Assumptions!$B$51/100</f>
        <v>-46.8947361618299</v>
      </c>
      <c r="K18" s="4" t="n">
        <f aca="false">(K6-J6)*Assumptions!$B$51/100</f>
        <v>-41.6023302235664</v>
      </c>
      <c r="L18" s="4" t="n">
        <f aca="false">(L6-K6)*Assumptions!$B$51/100</f>
        <v>-42.8504001302735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1023.099525</v>
      </c>
      <c r="D19" s="0" t="n">
        <f aca="false">D15+D16+D17+D18</f>
        <v>1319.308711875</v>
      </c>
      <c r="E19" s="0" t="n">
        <f aca="false">E15+E16+E17+E18</f>
        <v>1580.38756765313</v>
      </c>
      <c r="F19" s="0" t="n">
        <f aca="false">F15+F16+F17+F18</f>
        <v>1758.51774067922</v>
      </c>
      <c r="G19" s="0" t="n">
        <f aca="false">G15+G16+G17+G18</f>
        <v>1902.21276322802</v>
      </c>
      <c r="H19" s="0" t="n">
        <f aca="false">H15+H16+H17+H18</f>
        <v>1995.04485752268</v>
      </c>
      <c r="I19" s="0" t="n">
        <f aca="false">I15+I16+I17+I18</f>
        <v>2071.09518080903</v>
      </c>
      <c r="J19" s="0" t="n">
        <f aca="false">J15+J16+J17+J18</f>
        <v>2143.58351213734</v>
      </c>
      <c r="K19" s="0" t="n">
        <f aca="false">K15+K16+K17+K18</f>
        <v>2214.59026552458</v>
      </c>
      <c r="L19" s="0" t="n">
        <f aca="false">L15+L16+L17+L18</f>
        <v>2281.02797349032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945.126581986143</v>
      </c>
      <c r="D21" s="0" t="n">
        <f aca="false">D19*D20</f>
        <v>1125.87615220093</v>
      </c>
      <c r="E21" s="0" t="n">
        <f aca="false">E19*E20</f>
        <v>1245.89054357455</v>
      </c>
      <c r="F21" s="0" t="n">
        <f aca="false">F19*F20</f>
        <v>1280.66380073545</v>
      </c>
      <c r="G21" s="0" t="n">
        <f aca="false">G19*G20</f>
        <v>1279.73358082942</v>
      </c>
      <c r="H21" s="0" t="n">
        <f aca="false">H19*H20</f>
        <v>1239.89593126504</v>
      </c>
      <c r="I21" s="0" t="n">
        <f aca="false">I19*I20</f>
        <v>1189.062609932</v>
      </c>
      <c r="J21" s="0" t="n">
        <f aca="false">J19*J20</f>
        <v>1136.8866524523</v>
      </c>
      <c r="K21" s="0" t="n">
        <f aca="false">K19*K20</f>
        <v>1085.03123720732</v>
      </c>
      <c r="L21" s="0" t="n">
        <f aca="false">L19*L20</f>
        <v>1032.40847512567</v>
      </c>
    </row>
    <row r="23" customFormat="false" ht="15" hidden="false" customHeight="false" outlineLevel="0" collapsed="false">
      <c r="A23" s="0" t="s">
        <v>95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Assumptions!$B$48</f>
        <v>8.25</v>
      </c>
    </row>
    <row r="28" customFormat="false" ht="15" hidden="false" customHeight="false" outlineLevel="0" collapsed="false">
      <c r="A28" s="0" t="s">
        <v>100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101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11560.5755653088</v>
      </c>
    </row>
    <row r="31" customFormat="false" ht="15" hidden="false" customHeight="false" outlineLevel="0" collapsed="false">
      <c r="A31" s="0" t="s">
        <v>123</v>
      </c>
      <c r="B31" s="0" t="n">
        <f aca="false">L19</f>
        <v>2281.02797349032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44751.5964322862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38777.4755493354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38777.4755493354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17550.9440771364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29111.5196424452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24047.5196424452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140.875920576715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0.605057771182803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1268.97854797245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1959.57090117859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159.789508445203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19578.8234391252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47.9692128528369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2" t="s">
        <v>140</v>
      </c>
      <c r="B3" s="2" t="s">
        <v>141</v>
      </c>
      <c r="C3" s="2" t="s">
        <v>131</v>
      </c>
      <c r="D3" s="2" t="s">
        <v>142</v>
      </c>
      <c r="E3" s="2" t="s">
        <v>134</v>
      </c>
      <c r="F3" s="2" t="s">
        <v>143</v>
      </c>
    </row>
    <row r="4" customFormat="false" ht="15" hidden="false" customHeight="false" outlineLevel="0" collapsed="false">
      <c r="A4" s="0" t="s">
        <v>144</v>
      </c>
      <c r="B4" s="4" t="n">
        <f aca="false">DCF_Bear!$B$38</f>
        <v>59.6309760525313</v>
      </c>
      <c r="C4" s="0" t="n">
        <f aca="false">B4/Assumptions!$B$2-1</f>
        <v>-0.320599566451734</v>
      </c>
      <c r="D4" s="4" t="n">
        <f aca="false">Assumptions!$B$24</f>
        <v>0.25</v>
      </c>
      <c r="E4" s="4" t="n">
        <f aca="false">DCF_Bear!$B$43</f>
        <v>73.9739696320143</v>
      </c>
      <c r="F4" s="4" t="n">
        <f aca="false">DCF_Bear!$B$47</f>
        <v>19.2428886616931</v>
      </c>
    </row>
    <row r="5" customFormat="false" ht="15" hidden="false" customHeight="false" outlineLevel="0" collapsed="false">
      <c r="A5" s="0" t="s">
        <v>145</v>
      </c>
      <c r="B5" s="4" t="n">
        <f aca="false">DCF_Base!$B$38</f>
        <v>103.656844743117</v>
      </c>
      <c r="C5" s="0" t="n">
        <f aca="false">B5/Assumptions!$B$2-1</f>
        <v>0.18100540894516</v>
      </c>
      <c r="D5" s="4" t="n">
        <f aca="false">Assumptions!$B$38</f>
        <v>0.5</v>
      </c>
      <c r="E5" s="4" t="n">
        <f aca="false">DCF_Base!$B$43</f>
        <v>120.35101739983</v>
      </c>
      <c r="F5" s="4" t="n">
        <f aca="false">DCF_Base!$B$47</f>
        <v>35.4456970365614</v>
      </c>
    </row>
    <row r="6" customFormat="false" ht="15" hidden="false" customHeight="false" outlineLevel="0" collapsed="false">
      <c r="A6" s="0" t="s">
        <v>146</v>
      </c>
      <c r="B6" s="4" t="n">
        <f aca="false">DCF_Bull!$B$38</f>
        <v>140.875920576715</v>
      </c>
      <c r="C6" s="0" t="n">
        <f aca="false">B6/Assumptions!$B$2-1</f>
        <v>0.605057771182803</v>
      </c>
      <c r="D6" s="4" t="n">
        <f aca="false">Assumptions!$B$52</f>
        <v>0.25</v>
      </c>
      <c r="E6" s="4" t="n">
        <f aca="false">DCF_Bull!$B$43</f>
        <v>159.789508445203</v>
      </c>
      <c r="F6" s="4" t="n">
        <f aca="false">DCF_Bull!$B$47</f>
        <v>47.9692128528369</v>
      </c>
    </row>
    <row r="8" customFormat="false" ht="15" hidden="false" customHeight="false" outlineLevel="0" collapsed="false">
      <c r="A8" s="0" t="s">
        <v>147</v>
      </c>
      <c r="B8" s="0" t="n">
        <f aca="false">SUMPRODUCT(B4:B6,D4:D6)</f>
        <v>101.95514652887</v>
      </c>
    </row>
    <row r="9" customFormat="false" ht="15" hidden="false" customHeight="false" outlineLevel="0" collapsed="false">
      <c r="A9" s="0" t="s">
        <v>148</v>
      </c>
      <c r="B9" s="0" t="n">
        <f aca="false">SUMPRODUCT(E4:E6,D4:D6)</f>
        <v>118.616378219219</v>
      </c>
    </row>
    <row r="10" customFormat="false" ht="15" hidden="false" customHeight="false" outlineLevel="0" collapsed="false">
      <c r="A10" s="0" t="s">
        <v>149</v>
      </c>
      <c r="B10" s="0" t="n">
        <f aca="false">1-Assumptions!$B$2/B8</f>
        <v>0.139131245570356</v>
      </c>
    </row>
    <row r="11" customFormat="false" ht="15" hidden="false" customHeight="false" outlineLevel="0" collapsed="false">
      <c r="A11" s="0" t="s">
        <v>150</v>
      </c>
      <c r="B11" s="0" t="n">
        <f aca="false">IF(ABS(B9-B8)&gt;0.01*ABS(B8),(Assumptions!$B$2-B8)/(B9-B8)*100,"n/a")</f>
        <v>-85.1386427636444</v>
      </c>
    </row>
    <row r="12" customFormat="false" ht="15" hidden="false" customHeight="false" outlineLevel="0" collapsed="false">
      <c r="A12" s="0" t="s">
        <v>151</v>
      </c>
      <c r="B12" s="0" t="n">
        <f aca="false">SUMPRODUCT(F4:F6,D4:D6)</f>
        <v>34.5258738969132</v>
      </c>
    </row>
    <row r="14" customFormat="false" ht="15" hidden="false" customHeight="false" outlineLevel="0" collapsed="false">
      <c r="A14" s="2" t="s">
        <v>152</v>
      </c>
      <c r="C14" s="0" t="s">
        <v>153</v>
      </c>
    </row>
    <row r="15" customFormat="false" ht="15" hidden="false" customHeight="false" outlineLevel="0" collapsed="false">
      <c r="A15" s="0" t="s">
        <v>154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103.656844743117</v>
      </c>
      <c r="C15" s="3" t="n">
        <v>8.25</v>
      </c>
    </row>
    <row r="16" customFormat="false" ht="15" hidden="false" customHeight="false" outlineLevel="0" collapsed="false">
      <c r="A16" s="0" t="s">
        <v>155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96.5366442862666</v>
      </c>
      <c r="C16" s="3" t="n">
        <v>9</v>
      </c>
    </row>
    <row r="17" customFormat="false" ht="15" hidden="false" customHeight="false" outlineLevel="0" collapsed="false">
      <c r="A17" s="0" t="s">
        <v>156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82.0986337109577</v>
      </c>
      <c r="C17" s="3" t="n">
        <v>10</v>
      </c>
    </row>
    <row r="18" customFormat="false" ht="15" hidden="false" customHeight="false" outlineLevel="0" collapsed="false">
      <c r="A18" s="0" t="s">
        <v>157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68.3363829207654</v>
      </c>
      <c r="C18" s="3" t="n">
        <v>11</v>
      </c>
    </row>
    <row r="19" customFormat="false" ht="15" hidden="false" customHeight="false" outlineLevel="0" collapsed="false">
      <c r="A19" s="0" t="s">
        <v>158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57.4906350438446</v>
      </c>
      <c r="C19" s="3" t="n">
        <v>12</v>
      </c>
    </row>
    <row r="20" customFormat="false" ht="15" hidden="false" customHeight="false" outlineLevel="0" collapsed="false">
      <c r="A20" s="0" t="s">
        <v>159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35.4456970365614</v>
      </c>
      <c r="C20" s="3" t="n">
        <v>15</v>
      </c>
    </row>
    <row r="22" customFormat="false" ht="15" hidden="false" customHeight="false" outlineLevel="0" collapsed="false">
      <c r="A22" s="2" t="s">
        <v>160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125.274200568523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125.274200568523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125.274200568523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125.274200568523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125.274200568523</v>
      </c>
    </row>
    <row r="25" customFormat="false" ht="15" hidden="false" customHeight="false" outlineLevel="0" collapsed="false">
      <c r="A25" s="3" t="n">
        <v>7.25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113.957192131685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113.957192131685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113.957192131685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113.957192131685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113.957192131685</v>
      </c>
    </row>
    <row r="26" customFormat="false" ht="15" hidden="false" customHeight="false" outlineLevel="0" collapsed="false">
      <c r="A26" s="3" t="n">
        <v>8.25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103.656844743117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103.656844743117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103.656844743117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103.656844743117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103.656844743117</v>
      </c>
    </row>
    <row r="27" customFormat="false" ht="15" hidden="false" customHeight="false" outlineLevel="0" collapsed="false">
      <c r="A27" s="3" t="n">
        <v>9.25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85.5934704274789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90.0258636720972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94.2706155551014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94.2706155551014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94.2706155551014</v>
      </c>
    </row>
    <row r="28" customFormat="false" ht="15" hidden="false" customHeight="false" outlineLevel="0" collapsed="false">
      <c r="A28" s="3" t="n">
        <v>10.25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71.5560324598737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74.7343817229197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78.3228405682943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82.4062592544101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85.7072541786739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2026-10-02T08:50:50Z</dcterms:created>
  <dc:creator>openpyxl</dc:creator>
  <dc:description/>
  <dc:language>en-NZ</dc:language>
  <cp:lastModifiedBy/>
  <dcterms:modified xsi:type="dcterms:W3CDTF">2026-10-02T08:50:50Z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