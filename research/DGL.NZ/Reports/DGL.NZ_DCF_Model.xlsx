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ensitivity" sheetId="2" r:id="rId2"/>
    <sheet name="Historical" sheetId="3" r:id="rId3"/>
    <sheet name="FCF Quality" sheetId="4" r:id="rId4"/>
    <sheet name="Model_Info" sheetId="5" r:id="rId5"/>
  </sheets>
  <calcPr calcId="124519" fullCalcOnLoad="1"/>
</workbook>
</file>

<file path=xl/sharedStrings.xml><?xml version="1.0" encoding="utf-8"?>
<sst xmlns="http://schemas.openxmlformats.org/spreadsheetml/2006/main" count="170" uniqueCount="142">
  <si>
    <t>DGL.NZ (Delegat Group) DCF Valuation Model</t>
  </si>
  <si>
    <t>Gray cells are INPUTS - adjust to see valuation change. Base case shown; SBC verified nil (no adjustment needed).</t>
  </si>
  <si>
    <t>KEY INPUTS</t>
  </si>
  <si>
    <t>Current Stock Price (NZD)</t>
  </si>
  <si>
    <t>Shares Outstanding (M)</t>
  </si>
  <si>
    <t>Cash (M)</t>
  </si>
  <si>
    <t>Bank Debt (M)</t>
  </si>
  <si>
    <t>IFRS-16 Lease Liability (M)</t>
  </si>
  <si>
    <t>Net Debt incl. Leases (M)</t>
  </si>
  <si>
    <t>FY2025 Base Revenue (M)</t>
  </si>
  <si>
    <t>SBC (verified NIL)</t>
  </si>
  <si>
    <t>WACC (Base)</t>
  </si>
  <si>
    <t>Terminal Growth Rate</t>
  </si>
  <si>
    <t>Terminal FCF-Multiple Cap</t>
  </si>
  <si>
    <t>EV/EBITDA Anchor Multiple (hist avg ex-FY24)</t>
  </si>
  <si>
    <t>COMPONENT ASSUMPTIONS (Base Case)</t>
  </si>
  <si>
    <t>Year 1
FY2027</t>
  </si>
  <si>
    <t>Year 2
FY2028</t>
  </si>
  <si>
    <t>Year 3
FY2029</t>
  </si>
  <si>
    <t>Year 4
FY2030</t>
  </si>
  <si>
    <t>Year 5
FY2031</t>
  </si>
  <si>
    <t>Revenue Growth %</t>
  </si>
  <si>
    <t>EBITDA Margin %</t>
  </si>
  <si>
    <t>D&amp;A % of Revenue</t>
  </si>
  <si>
    <t>Capex % of Revenue</t>
  </si>
  <si>
    <t>Lease Principal % of Revenue</t>
  </si>
  <si>
    <t>Cash Tax Rate %</t>
  </si>
  <si>
    <t>WC Capture % of Rev Increase</t>
  </si>
  <si>
    <t>PROJECTIONS (Component Build)</t>
  </si>
  <si>
    <t>Revenue</t>
  </si>
  <si>
    <t>EBITDA</t>
  </si>
  <si>
    <t>D&amp;A</t>
  </si>
  <si>
    <t>EBIT</t>
  </si>
  <si>
    <t>NOPAT</t>
  </si>
  <si>
    <t>Capex</t>
  </si>
  <si>
    <t>Lease Principal Repayment</t>
  </si>
  <si>
    <t>Working Capital (use of cash)</t>
  </si>
  <si>
    <t>Free Cash Flow (Owner FCF)</t>
  </si>
  <si>
    <t>FCF Margin %</t>
  </si>
  <si>
    <t>Discount Factor</t>
  </si>
  <si>
    <t>PV of FCF</t>
  </si>
  <si>
    <t>VALUATION</t>
  </si>
  <si>
    <t>Sum of PV of FCF</t>
  </si>
  <si>
    <t>Terminal EBITDA (Year 5)</t>
  </si>
  <si>
    <t>TV: EV/EBITDA Anchor</t>
  </si>
  <si>
    <t>TV: FCF-Multiple Cap</t>
  </si>
  <si>
    <t>TV: Gordon Growth (disclosure only)</t>
  </si>
  <si>
    <t>Terminal Value Used (MIN of anchor, cap)</t>
  </si>
  <si>
    <t>PV of Terminal Value</t>
  </si>
  <si>
    <t>Enterprise Value</t>
  </si>
  <si>
    <t>Less: Net Debt (incl. leases)</t>
  </si>
  <si>
    <t>Equity Value</t>
  </si>
  <si>
    <t>INTRINSIC VALUE/SHARE</t>
  </si>
  <si>
    <t>ENTRY PRICE (15% IRR Target)</t>
  </si>
  <si>
    <t>PV of Yrs 1-5 FCF @15%</t>
  </si>
  <si>
    <t>PV of Terminal Value @15%</t>
  </si>
  <si>
    <t>Less: Net Debt</t>
  </si>
  <si>
    <t>Entry Price (15% CAGR)</t>
  </si>
  <si>
    <t>Upside to IV</t>
  </si>
  <si>
    <t>Upside to Entry Price</t>
  </si>
  <si>
    <t>Note: Terminal value uses MIN(EV/EBITDA-anchored TV, FCF-multiple cap), NOT Gordon growth,</t>
  </si>
  <si>
    <t>because pure Gordon growth on FCF understated value vs. DGL's own 8yr trading history</t>
  </si>
  <si>
    <t>(see sanity_check in JSON / Model_Info tab). Gordon shown on row 49 for disclosure only.</t>
  </si>
  <si>
    <t>Sensitivity Analysis (Gordon-Growth Basis)</t>
  </si>
  <si>
    <t>Intrinsic Value by WACC &amp; Terminal Growth - uncapped Gordon, for directional sensitivity only.</t>
  </si>
  <si>
    <t>Headline valuation uses the capped EV/EBITDA-anchor methodology (see DCF Model tab) which is largely insensitive to terminal growth.</t>
  </si>
  <si>
    <t>WACC \ Term G</t>
  </si>
  <si>
    <t>Historical Financials &amp; Multiples</t>
  </si>
  <si>
    <t>FY</t>
  </si>
  <si>
    <t>Net Income</t>
  </si>
  <si>
    <t>Reported FCF</t>
  </si>
  <si>
    <t>Equity</t>
  </si>
  <si>
    <t>Bank Debt</t>
  </si>
  <si>
    <t>Lease Liab</t>
  </si>
  <si>
    <t>Cash</t>
  </si>
  <si>
    <t>June Price</t>
  </si>
  <si>
    <t>FY2018</t>
  </si>
  <si>
    <t>FY2019</t>
  </si>
  <si>
    <t>FY2020</t>
  </si>
  <si>
    <t>FY2021</t>
  </si>
  <si>
    <t>FY2022</t>
  </si>
  <si>
    <t>FY2023</t>
  </si>
  <si>
    <t>FY2024</t>
  </si>
  <si>
    <t>FY2025</t>
  </si>
  <si>
    <t>Implied Multiples (EV incl. lease liabilities in net debt)</t>
  </si>
  <si>
    <t>P/E</t>
  </si>
  <si>
    <t>P/B</t>
  </si>
  <si>
    <t>EV/EBITDA</t>
  </si>
  <si>
    <t>P/S</t>
  </si>
  <si>
    <t>Average ex-FY2024 (tariff/vintage outlier)</t>
  </si>
  <si>
    <t>Growth Rates</t>
  </si>
  <si>
    <t>Metric</t>
  </si>
  <si>
    <t>3-Year CAGR</t>
  </si>
  <si>
    <t>5-Year CAGR</t>
  </si>
  <si>
    <t>EPS</t>
  </si>
  <si>
    <t>Equity (Book Value)</t>
  </si>
  <si>
    <t>Selected Growth Rate:</t>
  </si>
  <si>
    <t>Source:</t>
  </si>
  <si>
    <t>revenue_5yr_cagr (FY2020-FY2025), NOT equity_5yr_cagr</t>
  </si>
  <si>
    <t>Note: Equity CAGR diverges &gt;30% above Revenue/EPS CAGR - NOT used as growth driver.</t>
  </si>
  <si>
    <t>See growth_divergence_warning in JSON for full explanation.</t>
  </si>
  <si>
    <t>FCF Quality - Reported to Owner FCF Reconciliation</t>
  </si>
  <si>
    <t>SBC is verified NIL throughout - no SBC/interest-income adjustment needed.</t>
  </si>
  <si>
    <t>The only adjustment applied is deducting IFRS-16 lease PRINCIPAL repayment (financing cash flow) from reported FCF,</t>
  </si>
  <si>
    <t>since reported FCF (OCF - capex) already includes the ROU D&amp;A add-back inside OCF without the offsetting lease cash cost.</t>
  </si>
  <si>
    <t>SBC</t>
  </si>
  <si>
    <t>Interest Income</t>
  </si>
  <si>
    <t>Lease Principal Repaid</t>
  </si>
  <si>
    <t>Owner FCF (adj)</t>
  </si>
  <si>
    <t>Reported FCF Margin</t>
  </si>
  <si>
    <t>Owner FCF Margin</t>
  </si>
  <si>
    <t>pre-IFRS16</t>
  </si>
  <si>
    <t>Memo: FY2023 lease repayment ($45.1m) is a ONE-OFF - Dashwood vineyard land purchase</t>
  </si>
  <si>
    <t>(buying out a previously-leased vineyard), not a recurring lease amortization cost.</t>
  </si>
  <si>
    <t>Normalized lease principal run-rate is ~$5-10.4m/yr; projections use ~1.7-2.0% of revenue.</t>
  </si>
  <si>
    <t>Memo: Effective cash tax rate FY2025 = 19.326/(86.118-17.754) = 28.3% - matches NZ statutory</t>
  </si>
  <si>
    <t>rate of 28%. No ramp needed (unlike companies with valuation-allowance releases).</t>
  </si>
  <si>
    <t>Model Provenance &amp; Notes</t>
  </si>
  <si>
    <t>Built by</t>
  </si>
  <si>
    <t>Claude agent (DCF valuation skill), Stocks Research project</t>
  </si>
  <si>
    <t>Data vintage</t>
  </si>
  <si>
    <t>Share price NZ$4.20 fetched live from Yahoo Finance 2026-08-10 (regularMarketTime fresh). Financials from Metrics.csv (FY2018-FY2025 annual + H1 FY2019-H1 FY2026 half-year, NZD millions). Lease liabilities queried from DGL.NZ.duckdb kpis table.</t>
  </si>
  <si>
    <t>Latest filing basis</t>
  </si>
  <si>
    <t>H1 FY2026 (six months to 31 Dec 2025) is the latest balance sheet date used for net debt/shares. FY2025 (year to 30 Jun 2025) is the latest full audited income statement used as the FCF projection base year. FY2026 full-year results are due late Aug 2026 and were NOT yet published as of valuation date - guidance ($60-62m Operating NPAT) is a forecast, not an actual.</t>
  </si>
  <si>
    <t>SBC treatment</t>
  </si>
  <si>
    <t>Verified NIL throughout FY2018-H1FY2026 - family-controlled (~66% Delegat/Douglas families), no option/LTI scheme. No owner-FCF SBC adjustment needed; reported FCF == owner FCF before the lease adjustment below. Shares flat at 101.13m, zero dilution, zero buybacks.</t>
  </si>
  <si>
    <t>Lease liability treatment</t>
  </si>
  <si>
    <t>TotalDebt column = bank borrowings ONLY. IFRS-16 lease liabilities (vineyard land leases) held separately, included in net debt alongside bank debt (net debt = bank debt + lease liability - cash = $408.2m at H1 FY2026). Lease PRINCIPAL repayment (not the full liability) is deducted from owner FCF each projected year as a % of revenue, offsetting the ROU depreciation added back in the D&amp;A step. FY2023 lease repayment spike ($45.1m, Dashwood vineyard purchase) is a one-off excluded from the normalized path.</t>
  </si>
  <si>
    <t>Horizon</t>
  </si>
  <si>
    <t>5-year explicit projection (FY2027-FY2031). Base-case FCF margin matures by Year 4-5 (16.1% -&gt; 16.2%), confirming 5yr is sufficient (does not need the 10yr extension reserved for still-ramping margins).</t>
  </si>
  <si>
    <t>Terminal value methodology - IMPORTANT</t>
  </si>
  <si>
    <t>Terminal value = MIN(EV/EBITDA-anchored TV using 12.69x [8yr historical average ex-FY2024], FCF-multiple cap of 12-15x by scenario). Pure Gordon growth on FCF was tested first and FAILED the Step 8c sanity check: it produced a negative base-case intrinsic value at an 18% WACC, because DGL's owner-FCF/EBITDA conversion (~45-50%, driven by heavy vineyard capex/D&amp;A/lease drag) means a Gordon FCF-multiple implies a much lower EV/EBITDA multiple (~3.5-4.5x) than the market has EVER paid for this stock, even at its FY2025 trading trough (7.3x). WACC was also recalibrated down from an initial 18% to a base of 12.8% for the same reason - see wacc_rationale and sanity_check blocks in the JSON for the full diagnosis. Gordon growth is retained in the model for disclosure only (row 49 on the DCF Model tab) and used for the Sensitivity tab (uncapped), which will therefore show LOWER values than the headline scenarios at matching WACC/g - this is expected and documented.</t>
  </si>
  <si>
    <t>WACC</t>
  </si>
  <si>
    <t>Base 12.8% = 9.5% NZ small-cap floor + 3.3% stacked premium (illiquidity/thin free float +1.0%, family/founder governance +0.5%, single-brand concentration +0.5%, vintage/weather cyclicality +0.5%, US tariff/trade policy +0.8%). Bull 11.8%, Bear 14.8%. Still above the ~8.6% WACC the market's own $4.20 price implicitly assumes on the base-case FCF path (solved by bisection) - the model remains conservative relative to market pricing.</t>
  </si>
  <si>
    <t>Growth driver</t>
  </si>
  <si>
    <t>Revenue 5yr CAGR (2.8%), NOT equity CAGR (7.7%) - equity CAGR is inflated by retained-earnings compounding even as revenue has stagnated/declined since the FY2023 peak ($381.4m -&gt; FY2025 $349.6m) and EPS CAGR is negative. See growth_divergence_warning in JSON.</t>
  </si>
  <si>
    <t>What to refresh after next earnings</t>
  </si>
  <si>
    <t>FY2026 full-year results (due late Aug 2026): update base-year revenue/EBITDA/FCF from FY2025 to FY2026 actuals, re-verify the $60-62m Operating NPAT guidance against the reported figure, refresh net debt and lease liability from the FY2026 balance sheet, and re-check the Section 301 tariff impact (effective 24-Jul-2026, ~17% total on NZ wine into the US) once it shows up in a full reporting period.</t>
  </si>
  <si>
    <t>Cell colour conventions</t>
  </si>
  <si>
    <t>Gray-shaded cells (light blue-gray, #dfe6e9) are INPUTS - safe to edit. White cells with borders are FORMULAS - do not hand-edit, they recalculate automatically. Green cells are headline OUTPUTS (intrinsic value, entry price).</t>
  </si>
  <si>
    <t>Staleness warning</t>
  </si>
  <si>
    <t>All figures (price, financials, guidance) are dated 2026-08-10 or the FY2025/H1FY2026 filings. Re-verify before relying on this model beyond the next earnings release or major tariff development.</t>
  </si>
</sst>
</file>

<file path=xl/styles.xml><?xml version="1.0" encoding="utf-8"?>
<styleSheet xmlns="http://schemas.openxmlformats.org/spreadsheetml/2006/main">
  <numFmts count="5">
    <numFmt numFmtId="164" formatCode="#,##0.00"/>
    <numFmt numFmtId="165" formatCode="#,##0.0"/>
    <numFmt numFmtId="166" formatCode="0.00%"/>
    <numFmt numFmtId="167" formatCode="0.0%"/>
    <numFmt numFmtId="168" formatCode="&quot;$&quot;#,##0.00"/>
  </numFmts>
  <fonts count="6">
    <font>
      <sz val="11"/>
      <color theme="1"/>
      <name val="Calibri"/>
      <family val="2"/>
      <scheme val="minor"/>
    </font>
    <font>
      <b/>
      <sz val="16"/>
      <color theme="1"/>
      <name val="Calibri"/>
      <family val="2"/>
      <scheme val="minor"/>
    </font>
    <font>
      <i/>
      <sz val="11"/>
      <color rgb="FF80808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1" xfId="0" applyFont="1" applyBorder="1"/>
    <xf numFmtId="164" fontId="0" fillId="2" borderId="2" xfId="0" applyNumberFormat="1" applyFill="1" applyBorder="1"/>
    <xf numFmtId="165" fontId="0" fillId="0" borderId="2" xfId="0" applyNumberFormat="1" applyBorder="1"/>
    <xf numFmtId="166" fontId="0" fillId="2" borderId="2" xfId="0" applyNumberFormat="1" applyFill="1" applyBorder="1"/>
    <xf numFmtId="0" fontId="4" fillId="3" borderId="2" xfId="0" applyFont="1" applyFill="1" applyBorder="1"/>
    <xf numFmtId="167" fontId="0" fillId="0" borderId="2" xfId="0" applyNumberFormat="1" applyBorder="1"/>
    <xf numFmtId="0" fontId="5" fillId="0" borderId="0" xfId="0" applyFont="1"/>
    <xf numFmtId="168" fontId="4" fillId="4" borderId="2" xfId="0" applyNumberFormat="1" applyFont="1" applyFill="1" applyBorder="1"/>
    <xf numFmtId="167" fontId="4" fillId="3" borderId="0" xfId="0" applyNumberFormat="1" applyFont="1" applyFill="1"/>
    <xf numFmtId="168" fontId="0" fillId="0" borderId="2" xfId="0" applyNumberFormat="1" applyBorder="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8"/>
  <sheetViews>
    <sheetView tabSelected="1" workbookViewId="0"/>
  </sheetViews>
  <sheetFormatPr defaultRowHeight="15"/>
  <cols>
    <col min="1" max="1" width="32.7109375" customWidth="1"/>
    <col min="2" max="8" width="13.7109375" customWidth="1"/>
  </cols>
  <sheetData>
    <row r="1" spans="1:2">
      <c r="A1" s="1" t="s">
        <v>0</v>
      </c>
    </row>
    <row r="2" spans="1:2">
      <c r="A2" s="2" t="s">
        <v>1</v>
      </c>
    </row>
    <row r="4" spans="1:2">
      <c r="A4" s="3" t="s">
        <v>2</v>
      </c>
    </row>
    <row r="5" spans="1:2">
      <c r="A5" t="s">
        <v>3</v>
      </c>
      <c r="B5" s="4">
        <v>4.2</v>
      </c>
    </row>
    <row r="6" spans="1:2">
      <c r="A6" t="s">
        <v>4</v>
      </c>
      <c r="B6" s="4">
        <v>101.13</v>
      </c>
    </row>
    <row r="7" spans="1:2">
      <c r="A7" t="s">
        <v>5</v>
      </c>
      <c r="B7" s="4">
        <v>16.397</v>
      </c>
    </row>
    <row r="8" spans="1:2">
      <c r="A8" t="s">
        <v>6</v>
      </c>
      <c r="B8" s="4">
        <v>323.426</v>
      </c>
    </row>
    <row r="9" spans="1:2">
      <c r="A9" t="s">
        <v>7</v>
      </c>
      <c r="B9" s="4">
        <v>101.153</v>
      </c>
    </row>
    <row r="10" spans="1:2">
      <c r="A10" t="s">
        <v>8</v>
      </c>
      <c r="B10" s="5">
        <f>B8+B9-B7</f>
        <v>0</v>
      </c>
    </row>
    <row r="11" spans="1:2">
      <c r="A11" t="s">
        <v>9</v>
      </c>
      <c r="B11" s="4">
        <v>349.556</v>
      </c>
    </row>
    <row r="12" spans="1:2">
      <c r="A12" t="s">
        <v>10</v>
      </c>
      <c r="B12" s="4">
        <v>0</v>
      </c>
    </row>
    <row r="14" spans="1:2">
      <c r="A14" t="s">
        <v>11</v>
      </c>
      <c r="B14" s="6">
        <v>0.128</v>
      </c>
    </row>
    <row r="15" spans="1:2">
      <c r="A15" t="s">
        <v>12</v>
      </c>
      <c r="B15" s="6">
        <v>0.02</v>
      </c>
    </row>
    <row r="16" spans="1:2">
      <c r="A16" t="s">
        <v>13</v>
      </c>
      <c r="B16" s="4">
        <v>14</v>
      </c>
    </row>
    <row r="17" spans="1:6">
      <c r="A17" t="s">
        <v>14</v>
      </c>
      <c r="B17" s="4">
        <v>12.69</v>
      </c>
    </row>
    <row r="19" spans="1:6">
      <c r="A19" s="3" t="s">
        <v>15</v>
      </c>
    </row>
    <row r="20" spans="1:6">
      <c r="B20" s="7" t="s">
        <v>16</v>
      </c>
      <c r="C20" s="7" t="s">
        <v>17</v>
      </c>
      <c r="D20" s="7" t="s">
        <v>18</v>
      </c>
      <c r="E20" s="7" t="s">
        <v>19</v>
      </c>
      <c r="F20" s="7" t="s">
        <v>20</v>
      </c>
    </row>
    <row r="21" spans="1:6">
      <c r="A21" t="s">
        <v>21</v>
      </c>
      <c r="B21" s="6">
        <v>0.03</v>
      </c>
      <c r="C21" s="6">
        <v>0.035</v>
      </c>
      <c r="D21" s="6">
        <v>0.03</v>
      </c>
      <c r="E21" s="6">
        <v>0.025</v>
      </c>
      <c r="F21" s="6">
        <v>0.02</v>
      </c>
    </row>
    <row r="22" spans="1:6">
      <c r="A22" t="s">
        <v>22</v>
      </c>
      <c r="B22" s="6">
        <v>0.325</v>
      </c>
      <c r="C22" s="6">
        <v>0.33</v>
      </c>
      <c r="D22" s="6">
        <v>0.335</v>
      </c>
      <c r="E22" s="6">
        <v>0.34</v>
      </c>
      <c r="F22" s="6">
        <v>0.34</v>
      </c>
    </row>
    <row r="23" spans="1:6">
      <c r="A23" t="s">
        <v>23</v>
      </c>
      <c r="B23" s="6">
        <v>0.079</v>
      </c>
      <c r="C23" s="6">
        <v>0.078</v>
      </c>
      <c r="D23" s="6">
        <v>0.077</v>
      </c>
      <c r="E23" s="6">
        <v>0.076</v>
      </c>
      <c r="F23" s="6">
        <v>0.075</v>
      </c>
    </row>
    <row r="24" spans="1:6">
      <c r="A24" t="s">
        <v>24</v>
      </c>
      <c r="B24" s="6">
        <v>0.08500000000000001</v>
      </c>
      <c r="C24" s="6">
        <v>0.083</v>
      </c>
      <c r="D24" s="6">
        <v>0.08199999999999999</v>
      </c>
      <c r="E24" s="6">
        <v>0.08199999999999999</v>
      </c>
      <c r="F24" s="6">
        <v>0.08199999999999999</v>
      </c>
    </row>
    <row r="25" spans="1:6">
      <c r="A25" t="s">
        <v>25</v>
      </c>
      <c r="B25" s="6">
        <v>0.02</v>
      </c>
      <c r="C25" s="6">
        <v>0.019</v>
      </c>
      <c r="D25" s="6">
        <v>0.018</v>
      </c>
      <c r="E25" s="6">
        <v>0.017</v>
      </c>
      <c r="F25" s="6">
        <v>0.017</v>
      </c>
    </row>
    <row r="26" spans="1:6">
      <c r="A26" t="s">
        <v>26</v>
      </c>
      <c r="B26" s="6">
        <v>0.28</v>
      </c>
      <c r="C26" s="6">
        <v>0.28</v>
      </c>
      <c r="D26" s="6">
        <v>0.28</v>
      </c>
      <c r="E26" s="6">
        <v>0.28</v>
      </c>
      <c r="F26" s="6">
        <v>0.28</v>
      </c>
    </row>
    <row r="27" spans="1:6">
      <c r="A27" t="s">
        <v>27</v>
      </c>
      <c r="B27" s="6">
        <v>0.25</v>
      </c>
    </row>
    <row r="29" spans="1:6">
      <c r="A29" s="3" t="s">
        <v>28</v>
      </c>
    </row>
    <row r="30" spans="1:6">
      <c r="A30" s="7"/>
      <c r="B30" s="7" t="s">
        <v>16</v>
      </c>
      <c r="C30" s="7" t="s">
        <v>17</v>
      </c>
      <c r="D30" s="7" t="s">
        <v>18</v>
      </c>
      <c r="E30" s="7" t="s">
        <v>19</v>
      </c>
      <c r="F30" s="7" t="s">
        <v>20</v>
      </c>
    </row>
    <row r="31" spans="1:6">
      <c r="A31" t="s">
        <v>29</v>
      </c>
      <c r="B31">
        <f>$B$11*(1+B21)</f>
        <v>0</v>
      </c>
      <c r="C31">
        <f>B31*(1+C21)</f>
        <v>0</v>
      </c>
      <c r="D31">
        <f>C31*(1+D21)</f>
        <v>0</v>
      </c>
      <c r="E31">
        <f>D31*(1+E21)</f>
        <v>0</v>
      </c>
      <c r="F31">
        <f>E31*(1+F21)</f>
        <v>0</v>
      </c>
    </row>
    <row r="32" spans="1:6">
      <c r="A32" t="s">
        <v>30</v>
      </c>
      <c r="B32" s="5">
        <f>B31*B22</f>
        <v>0</v>
      </c>
      <c r="C32" s="5">
        <f>C31*C22</f>
        <v>0</v>
      </c>
      <c r="D32" s="5">
        <f>D31*D22</f>
        <v>0</v>
      </c>
      <c r="E32" s="5">
        <f>E31*E22</f>
        <v>0</v>
      </c>
      <c r="F32" s="5">
        <f>F31*F22</f>
        <v>0</v>
      </c>
    </row>
    <row r="33" spans="1:6">
      <c r="A33" t="s">
        <v>31</v>
      </c>
      <c r="B33" s="5">
        <f>B31*B23</f>
        <v>0</v>
      </c>
      <c r="C33" s="5">
        <f>C31*C23</f>
        <v>0</v>
      </c>
      <c r="D33" s="5">
        <f>D31*D23</f>
        <v>0</v>
      </c>
      <c r="E33" s="5">
        <f>E31*E23</f>
        <v>0</v>
      </c>
      <c r="F33" s="5">
        <f>F31*F23</f>
        <v>0</v>
      </c>
    </row>
    <row r="34" spans="1:6">
      <c r="A34" t="s">
        <v>32</v>
      </c>
      <c r="B34" s="5">
        <f>B32-B33</f>
        <v>0</v>
      </c>
      <c r="C34" s="5">
        <f>C32-C33</f>
        <v>0</v>
      </c>
      <c r="D34" s="5">
        <f>D32-D33</f>
        <v>0</v>
      </c>
      <c r="E34" s="5">
        <f>E32-E33</f>
        <v>0</v>
      </c>
      <c r="F34" s="5">
        <f>F32-F33</f>
        <v>0</v>
      </c>
    </row>
    <row r="35" spans="1:6">
      <c r="A35" t="s">
        <v>33</v>
      </c>
      <c r="B35" s="5">
        <f>B34*(1-B26)</f>
        <v>0</v>
      </c>
      <c r="C35" s="5">
        <f>C34*(1-C26)</f>
        <v>0</v>
      </c>
      <c r="D35" s="5">
        <f>D34*(1-D26)</f>
        <v>0</v>
      </c>
      <c r="E35" s="5">
        <f>E34*(1-E26)</f>
        <v>0</v>
      </c>
      <c r="F35" s="5">
        <f>F34*(1-F26)</f>
        <v>0</v>
      </c>
    </row>
    <row r="36" spans="1:6">
      <c r="A36" t="s">
        <v>34</v>
      </c>
      <c r="B36" s="5">
        <f>B31*B24</f>
        <v>0</v>
      </c>
      <c r="C36" s="5">
        <f>C31*C24</f>
        <v>0</v>
      </c>
      <c r="D36" s="5">
        <f>D31*D24</f>
        <v>0</v>
      </c>
      <c r="E36" s="5">
        <f>E31*E24</f>
        <v>0</v>
      </c>
      <c r="F36" s="5">
        <f>F31*F24</f>
        <v>0</v>
      </c>
    </row>
    <row r="37" spans="1:6">
      <c r="A37" t="s">
        <v>35</v>
      </c>
      <c r="B37" s="5">
        <f>B31*B25</f>
        <v>0</v>
      </c>
      <c r="C37" s="5">
        <f>C31*C25</f>
        <v>0</v>
      </c>
      <c r="D37" s="5">
        <f>D31*D25</f>
        <v>0</v>
      </c>
      <c r="E37" s="5">
        <f>E31*E25</f>
        <v>0</v>
      </c>
      <c r="F37" s="5">
        <f>F31*F25</f>
        <v>0</v>
      </c>
    </row>
    <row r="38" spans="1:6">
      <c r="A38" t="s">
        <v>36</v>
      </c>
      <c r="B38" s="5">
        <f>$B$27*(B31-$B$11)</f>
        <v>0</v>
      </c>
      <c r="C38" s="5">
        <f>$B$27*(C31-B31)</f>
        <v>0</v>
      </c>
      <c r="D38" s="5">
        <f>$B$27*(D31-C31)</f>
        <v>0</v>
      </c>
      <c r="E38" s="5">
        <f>$B$27*(E31-D31)</f>
        <v>0</v>
      </c>
      <c r="F38" s="5">
        <f>$B$27*(F31-E31)</f>
        <v>0</v>
      </c>
    </row>
    <row r="39" spans="1:6">
      <c r="A39" t="s">
        <v>37</v>
      </c>
      <c r="B39" s="5">
        <f>B35+B33-B36-B37-B38</f>
        <v>0</v>
      </c>
      <c r="C39" s="5">
        <f>C35+C33-C36-C37-C38</f>
        <v>0</v>
      </c>
      <c r="D39" s="5">
        <f>D35+D33-D36-D37-D38</f>
        <v>0</v>
      </c>
      <c r="E39" s="5">
        <f>E35+E33-E36-E37-E38</f>
        <v>0</v>
      </c>
      <c r="F39" s="5">
        <f>F35+F33-F36-F37-F38</f>
        <v>0</v>
      </c>
    </row>
    <row r="40" spans="1:6">
      <c r="A40" t="s">
        <v>38</v>
      </c>
      <c r="B40" s="8">
        <f>B39/B31</f>
        <v>0</v>
      </c>
      <c r="C40" s="8">
        <f>C39/C31</f>
        <v>0</v>
      </c>
      <c r="D40" s="8">
        <f>D39/D31</f>
        <v>0</v>
      </c>
      <c r="E40" s="8">
        <f>E39/E31</f>
        <v>0</v>
      </c>
      <c r="F40" s="8">
        <f>F39/F31</f>
        <v>0</v>
      </c>
    </row>
    <row r="41" spans="1:6">
      <c r="A41" t="s">
        <v>39</v>
      </c>
      <c r="B41" s="5">
        <f>1/(1+$B$14)^1</f>
        <v>0</v>
      </c>
      <c r="C41" s="5">
        <f>1/(1+$B$14)^2</f>
        <v>0</v>
      </c>
      <c r="D41" s="5">
        <f>1/(1+$B$14)^3</f>
        <v>0</v>
      </c>
      <c r="E41" s="5">
        <f>1/(1+$B$14)^4</f>
        <v>0</v>
      </c>
      <c r="F41" s="5">
        <f>1/(1+$B$14)^5</f>
        <v>0</v>
      </c>
    </row>
    <row r="42" spans="1:6">
      <c r="A42" t="s">
        <v>40</v>
      </c>
      <c r="B42" s="5">
        <f>B39*B41</f>
        <v>0</v>
      </c>
      <c r="C42" s="5">
        <f>C39*C41</f>
        <v>0</v>
      </c>
      <c r="D42" s="5">
        <f>D39*D41</f>
        <v>0</v>
      </c>
      <c r="E42" s="5">
        <f>E39*E41</f>
        <v>0</v>
      </c>
      <c r="F42" s="5">
        <f>F39*F41</f>
        <v>0</v>
      </c>
    </row>
    <row r="44" spans="1:6">
      <c r="A44" s="3" t="s">
        <v>41</v>
      </c>
    </row>
    <row r="45" spans="1:6">
      <c r="A45" t="s">
        <v>42</v>
      </c>
      <c r="B45" s="5">
        <f>SUM(B42:F42)</f>
        <v>0</v>
      </c>
    </row>
    <row r="46" spans="1:6">
      <c r="A46" t="s">
        <v>43</v>
      </c>
      <c r="B46" s="5">
        <f>F32</f>
        <v>0</v>
      </c>
    </row>
    <row r="47" spans="1:6">
      <c r="A47" t="s">
        <v>44</v>
      </c>
      <c r="B47" s="5">
        <f>B46*B17</f>
        <v>0</v>
      </c>
    </row>
    <row r="48" spans="1:6">
      <c r="A48" t="s">
        <v>45</v>
      </c>
      <c r="B48" s="5">
        <f>F39*B16</f>
        <v>0</v>
      </c>
    </row>
    <row r="49" spans="1:2">
      <c r="A49" t="s">
        <v>46</v>
      </c>
      <c r="B49" s="5">
        <f>F39*(1+B15)/(B14-B15)</f>
        <v>0</v>
      </c>
    </row>
    <row r="50" spans="1:2">
      <c r="A50" t="s">
        <v>47</v>
      </c>
      <c r="B50" s="5">
        <f>MIN(B47,B48)</f>
        <v>0</v>
      </c>
    </row>
    <row r="51" spans="1:2">
      <c r="A51" t="s">
        <v>48</v>
      </c>
      <c r="B51" s="5">
        <f>B50*F41</f>
        <v>0</v>
      </c>
    </row>
    <row r="52" spans="1:2">
      <c r="A52" t="s">
        <v>49</v>
      </c>
      <c r="B52" s="5">
        <f>B45+B51</f>
        <v>0</v>
      </c>
    </row>
    <row r="53" spans="1:2">
      <c r="A53" t="s">
        <v>50</v>
      </c>
      <c r="B53" s="5">
        <f>B10</f>
        <v>0</v>
      </c>
    </row>
    <row r="54" spans="1:2">
      <c r="A54" t="s">
        <v>51</v>
      </c>
      <c r="B54" s="5">
        <f>B52-B53</f>
        <v>0</v>
      </c>
    </row>
    <row r="55" spans="1:2">
      <c r="A55" s="9" t="s">
        <v>52</v>
      </c>
      <c r="B55" s="10">
        <f>B54/B6</f>
        <v>0</v>
      </c>
    </row>
    <row r="57" spans="1:2">
      <c r="A57" s="3" t="s">
        <v>53</v>
      </c>
    </row>
    <row r="58" spans="1:2">
      <c r="A58" t="s">
        <v>54</v>
      </c>
      <c r="B58" s="5">
        <f>NPV(0.15,B39:F39)</f>
        <v>0</v>
      </c>
    </row>
    <row r="59" spans="1:2">
      <c r="A59" t="s">
        <v>55</v>
      </c>
      <c r="B59" s="5">
        <f>B50/(1.15^5)</f>
        <v>0</v>
      </c>
    </row>
    <row r="60" spans="1:2">
      <c r="A60" t="s">
        <v>56</v>
      </c>
      <c r="B60" s="5">
        <f>B10</f>
        <v>0</v>
      </c>
    </row>
    <row r="61" spans="1:2">
      <c r="A61" t="s">
        <v>57</v>
      </c>
      <c r="B61" s="10">
        <f>(B58+B59-B60)/B6</f>
        <v>0</v>
      </c>
    </row>
    <row r="63" spans="1:2">
      <c r="A63" t="s">
        <v>58</v>
      </c>
      <c r="B63" s="8">
        <f>(B55-B5)/B5</f>
        <v>0</v>
      </c>
    </row>
    <row r="64" spans="1:2">
      <c r="A64" t="s">
        <v>59</v>
      </c>
      <c r="B64" s="8">
        <f>(B5-B61)/B5</f>
        <v>0</v>
      </c>
    </row>
    <row r="66" spans="1:1">
      <c r="A66" s="2" t="s">
        <v>60</v>
      </c>
    </row>
    <row r="67" spans="1:1">
      <c r="A67" s="2" t="s">
        <v>61</v>
      </c>
    </row>
    <row r="68" spans="1:1">
      <c r="A68" s="2"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
  <sheetViews>
    <sheetView workbookViewId="0"/>
  </sheetViews>
  <sheetFormatPr defaultRowHeight="15"/>
  <cols>
    <col min="1" max="1" width="20.7109375" customWidth="1"/>
    <col min="2" max="7" width="12.7109375" customWidth="1"/>
  </cols>
  <sheetData>
    <row r="1" spans="1:6">
      <c r="A1" s="1" t="s">
        <v>63</v>
      </c>
    </row>
    <row r="2" spans="1:6">
      <c r="A2" t="s">
        <v>64</v>
      </c>
    </row>
    <row r="3" spans="1:6">
      <c r="A3" s="2" t="s">
        <v>65</v>
      </c>
    </row>
    <row r="5" spans="1:6">
      <c r="A5" s="7" t="s">
        <v>66</v>
      </c>
      <c r="B5" s="11">
        <v>0.01</v>
      </c>
      <c r="C5" s="11">
        <v>0.015</v>
      </c>
      <c r="D5" s="11">
        <v>0.02</v>
      </c>
      <c r="E5" s="11">
        <v>0.025</v>
      </c>
      <c r="F5" s="11">
        <v>0.03</v>
      </c>
    </row>
    <row r="6" spans="1:6">
      <c r="A6" s="11">
        <v>0.108</v>
      </c>
      <c r="B6" s="12">
        <f>('DCF Model'!$F$39*(1+0.01)/(0.10800000000000001-0.01)/(1+0.10800000000000001)^5 + SUMPRODUCT('DCF Model'!$B$39:$F$39,1/(1+0.10800000000000001)^{1,2,3,4,5}) - 'DCF Model'!$B$10)/'DCF Model'!$B$6</f>
        <v>0</v>
      </c>
      <c r="C6" s="12">
        <f>('DCF Model'!$F$39*(1+0.015)/(0.10800000000000001-0.015)/(1+0.10800000000000001)^5 + SUMPRODUCT('DCF Model'!$B$39:$F$39,1/(1+0.10800000000000001)^{1,2,3,4,5}) - 'DCF Model'!$B$10)/'DCF Model'!$B$6</f>
        <v>0</v>
      </c>
      <c r="D6" s="12">
        <f>('DCF Model'!$F$39*(1+0.02)/(0.10800000000000001-0.02)/(1+0.10800000000000001)^5 + SUMPRODUCT('DCF Model'!$B$39:$F$39,1/(1+0.10800000000000001)^{1,2,3,4,5}) - 'DCF Model'!$B$10)/'DCF Model'!$B$6</f>
        <v>0</v>
      </c>
      <c r="E6" s="12">
        <f>('DCF Model'!$F$39*(1+0.025)/(0.10800000000000001-0.025)/(1+0.10800000000000001)^5 + SUMPRODUCT('DCF Model'!$B$39:$F$39,1/(1+0.10800000000000001)^{1,2,3,4,5}) - 'DCF Model'!$B$10)/'DCF Model'!$B$6</f>
        <v>0</v>
      </c>
      <c r="F6" s="12">
        <f>('DCF Model'!$F$39*(1+0.03)/(0.10800000000000001-0.03)/(1+0.10800000000000001)^5 + SUMPRODUCT('DCF Model'!$B$39:$F$39,1/(1+0.10800000000000001)^{1,2,3,4,5}) - 'DCF Model'!$B$10)/'DCF Model'!$B$6</f>
        <v>0</v>
      </c>
    </row>
    <row r="7" spans="1:6">
      <c r="A7" s="11">
        <v>0.118</v>
      </c>
      <c r="B7" s="12">
        <f>('DCF Model'!$F$39*(1+0.01)/(0.11800000000000001-0.01)/(1+0.11800000000000001)^5 + SUMPRODUCT('DCF Model'!$B$39:$F$39,1/(1+0.11800000000000001)^{1,2,3,4,5}) - 'DCF Model'!$B$10)/'DCF Model'!$B$6</f>
        <v>0</v>
      </c>
      <c r="C7" s="12">
        <f>('DCF Model'!$F$39*(1+0.015)/(0.11800000000000001-0.015)/(1+0.11800000000000001)^5 + SUMPRODUCT('DCF Model'!$B$39:$F$39,1/(1+0.11800000000000001)^{1,2,3,4,5}) - 'DCF Model'!$B$10)/'DCF Model'!$B$6</f>
        <v>0</v>
      </c>
      <c r="D7" s="12">
        <f>('DCF Model'!$F$39*(1+0.02)/(0.11800000000000001-0.02)/(1+0.11800000000000001)^5 + SUMPRODUCT('DCF Model'!$B$39:$F$39,1/(1+0.11800000000000001)^{1,2,3,4,5}) - 'DCF Model'!$B$10)/'DCF Model'!$B$6</f>
        <v>0</v>
      </c>
      <c r="E7" s="12">
        <f>('DCF Model'!$F$39*(1+0.025)/(0.11800000000000001-0.025)/(1+0.11800000000000001)^5 + SUMPRODUCT('DCF Model'!$B$39:$F$39,1/(1+0.11800000000000001)^{1,2,3,4,5}) - 'DCF Model'!$B$10)/'DCF Model'!$B$6</f>
        <v>0</v>
      </c>
      <c r="F7" s="12">
        <f>('DCF Model'!$F$39*(1+0.03)/(0.11800000000000001-0.03)/(1+0.11800000000000001)^5 + SUMPRODUCT('DCF Model'!$B$39:$F$39,1/(1+0.11800000000000001)^{1,2,3,4,5}) - 'DCF Model'!$B$10)/'DCF Model'!$B$6</f>
        <v>0</v>
      </c>
    </row>
    <row r="8" spans="1:6">
      <c r="A8" s="11">
        <v>0.128</v>
      </c>
      <c r="B8" s="12">
        <f>('DCF Model'!$F$39*(1+0.01)/(0.128-0.01)/(1+0.128)^5 + SUMPRODUCT('DCF Model'!$B$39:$F$39,1/(1+0.128)^{1,2,3,4,5}) - 'DCF Model'!$B$10)/'DCF Model'!$B$6</f>
        <v>0</v>
      </c>
      <c r="C8" s="12">
        <f>('DCF Model'!$F$39*(1+0.015)/(0.128-0.015)/(1+0.128)^5 + SUMPRODUCT('DCF Model'!$B$39:$F$39,1/(1+0.128)^{1,2,3,4,5}) - 'DCF Model'!$B$10)/'DCF Model'!$B$6</f>
        <v>0</v>
      </c>
      <c r="D8" s="12">
        <f>('DCF Model'!$F$39*(1+0.02)/(0.128-0.02)/(1+0.128)^5 + SUMPRODUCT('DCF Model'!$B$39:$F$39,1/(1+0.128)^{1,2,3,4,5}) - 'DCF Model'!$B$10)/'DCF Model'!$B$6</f>
        <v>0</v>
      </c>
      <c r="E8" s="12">
        <f>('DCF Model'!$F$39*(1+0.025)/(0.128-0.025)/(1+0.128)^5 + SUMPRODUCT('DCF Model'!$B$39:$F$39,1/(1+0.128)^{1,2,3,4,5}) - 'DCF Model'!$B$10)/'DCF Model'!$B$6</f>
        <v>0</v>
      </c>
      <c r="F8" s="12">
        <f>('DCF Model'!$F$39*(1+0.03)/(0.128-0.03)/(1+0.128)^5 + SUMPRODUCT('DCF Model'!$B$39:$F$39,1/(1+0.128)^{1,2,3,4,5}) - 'DCF Model'!$B$10)/'DCF Model'!$B$6</f>
        <v>0</v>
      </c>
    </row>
    <row r="9" spans="1:6">
      <c r="A9" s="11">
        <v>0.138</v>
      </c>
      <c r="B9" s="12">
        <f>('DCF Model'!$F$39*(1+0.01)/(0.138-0.01)/(1+0.138)^5 + SUMPRODUCT('DCF Model'!$B$39:$F$39,1/(1+0.138)^{1,2,3,4,5}) - 'DCF Model'!$B$10)/'DCF Model'!$B$6</f>
        <v>0</v>
      </c>
      <c r="C9" s="12">
        <f>('DCF Model'!$F$39*(1+0.015)/(0.138-0.015)/(1+0.138)^5 + SUMPRODUCT('DCF Model'!$B$39:$F$39,1/(1+0.138)^{1,2,3,4,5}) - 'DCF Model'!$B$10)/'DCF Model'!$B$6</f>
        <v>0</v>
      </c>
      <c r="D9" s="12">
        <f>('DCF Model'!$F$39*(1+0.02)/(0.138-0.02)/(1+0.138)^5 + SUMPRODUCT('DCF Model'!$B$39:$F$39,1/(1+0.138)^{1,2,3,4,5}) - 'DCF Model'!$B$10)/'DCF Model'!$B$6</f>
        <v>0</v>
      </c>
      <c r="E9" s="12">
        <f>('DCF Model'!$F$39*(1+0.025)/(0.138-0.025)/(1+0.138)^5 + SUMPRODUCT('DCF Model'!$B$39:$F$39,1/(1+0.138)^{1,2,3,4,5}) - 'DCF Model'!$B$10)/'DCF Model'!$B$6</f>
        <v>0</v>
      </c>
      <c r="F9" s="12">
        <f>('DCF Model'!$F$39*(1+0.03)/(0.138-0.03)/(1+0.138)^5 + SUMPRODUCT('DCF Model'!$B$39:$F$39,1/(1+0.138)^{1,2,3,4,5}) - 'DCF Model'!$B$10)/'DCF Model'!$B$6</f>
        <v>0</v>
      </c>
    </row>
    <row r="10" spans="1:6">
      <c r="A10" s="11">
        <v>0.148</v>
      </c>
      <c r="B10" s="12">
        <f>('DCF Model'!$F$39*(1+0.01)/(0.14800000000000002-0.01)/(1+0.14800000000000002)^5 + SUMPRODUCT('DCF Model'!$B$39:$F$39,1/(1+0.14800000000000002)^{1,2,3,4,5}) - 'DCF Model'!$B$10)/'DCF Model'!$B$6</f>
        <v>0</v>
      </c>
      <c r="C10" s="12">
        <f>('DCF Model'!$F$39*(1+0.015)/(0.14800000000000002-0.015)/(1+0.14800000000000002)^5 + SUMPRODUCT('DCF Model'!$B$39:$F$39,1/(1+0.14800000000000002)^{1,2,3,4,5}) - 'DCF Model'!$B$10)/'DCF Model'!$B$6</f>
        <v>0</v>
      </c>
      <c r="D10" s="12">
        <f>('DCF Model'!$F$39*(1+0.02)/(0.14800000000000002-0.02)/(1+0.14800000000000002)^5 + SUMPRODUCT('DCF Model'!$B$39:$F$39,1/(1+0.14800000000000002)^{1,2,3,4,5}) - 'DCF Model'!$B$10)/'DCF Model'!$B$6</f>
        <v>0</v>
      </c>
      <c r="E10" s="12">
        <f>('DCF Model'!$F$39*(1+0.025)/(0.14800000000000002-0.025)/(1+0.14800000000000002)^5 + SUMPRODUCT('DCF Model'!$B$39:$F$39,1/(1+0.14800000000000002)^{1,2,3,4,5}) - 'DCF Model'!$B$10)/'DCF Model'!$B$6</f>
        <v>0</v>
      </c>
      <c r="F10" s="12">
        <f>('DCF Model'!$F$39*(1+0.03)/(0.14800000000000002-0.03)/(1+0.14800000000000002)^5 + SUMPRODUCT('DCF Model'!$B$39:$F$39,1/(1+0.14800000000000002)^{1,2,3,4,5}) - 'DCF Model'!$B$10)/'DCF Model'!$B$6</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
  <sheetViews>
    <sheetView workbookViewId="0"/>
  </sheetViews>
  <sheetFormatPr defaultRowHeight="15"/>
  <cols>
    <col min="1" max="1" width="12.7109375" customWidth="1"/>
    <col min="2" max="11" width="11.7109375" customWidth="1"/>
  </cols>
  <sheetData>
    <row r="1" spans="1:11">
      <c r="A1" s="1" t="s">
        <v>67</v>
      </c>
    </row>
    <row r="3" spans="1:11">
      <c r="A3" s="7" t="s">
        <v>68</v>
      </c>
      <c r="B3" s="7" t="s">
        <v>29</v>
      </c>
      <c r="C3" s="7" t="s">
        <v>30</v>
      </c>
      <c r="D3" s="7" t="s">
        <v>69</v>
      </c>
      <c r="E3" s="7" t="s">
        <v>70</v>
      </c>
      <c r="F3" s="7" t="s">
        <v>34</v>
      </c>
      <c r="G3" s="7" t="s">
        <v>71</v>
      </c>
      <c r="H3" s="7" t="s">
        <v>72</v>
      </c>
      <c r="I3" s="7" t="s">
        <v>73</v>
      </c>
      <c r="J3" s="7" t="s">
        <v>74</v>
      </c>
      <c r="K3" s="7" t="s">
        <v>75</v>
      </c>
    </row>
    <row r="4" spans="1:11">
      <c r="A4" t="s">
        <v>76</v>
      </c>
      <c r="B4" s="5">
        <v>255.8</v>
      </c>
      <c r="C4" s="5">
        <v>92.2</v>
      </c>
      <c r="D4" s="5">
        <v>46.8</v>
      </c>
      <c r="E4" s="5">
        <v>11.873</v>
      </c>
      <c r="F4" s="5">
        <v>45.896</v>
      </c>
      <c r="G4" s="5">
        <v>325.961</v>
      </c>
      <c r="H4" s="5">
        <v>285.754</v>
      </c>
      <c r="J4" s="5">
        <v>4.264</v>
      </c>
      <c r="K4" s="5">
        <v>9.15</v>
      </c>
    </row>
    <row r="5" spans="1:11">
      <c r="A5" t="s">
        <v>77</v>
      </c>
      <c r="B5" s="5">
        <v>277.974</v>
      </c>
      <c r="C5" s="5">
        <v>98.09999999999999</v>
      </c>
      <c r="D5" s="5">
        <v>46.795</v>
      </c>
      <c r="E5" s="5">
        <v>29.172</v>
      </c>
      <c r="F5" s="5">
        <v>30.393</v>
      </c>
      <c r="G5" s="5">
        <v>356.696</v>
      </c>
      <c r="H5" s="5">
        <v>275.989</v>
      </c>
      <c r="I5" s="5">
        <v>86.429</v>
      </c>
      <c r="J5" s="5">
        <v>5.647</v>
      </c>
      <c r="K5" s="5">
        <v>12.4</v>
      </c>
    </row>
    <row r="6" spans="1:11">
      <c r="A6" t="s">
        <v>78</v>
      </c>
      <c r="B6" s="5">
        <v>304.181</v>
      </c>
      <c r="C6" s="5">
        <v>117.4</v>
      </c>
      <c r="D6" s="5">
        <v>65.42700000000001</v>
      </c>
      <c r="E6" s="5">
        <v>57.137</v>
      </c>
      <c r="F6" s="5">
        <v>27.176</v>
      </c>
      <c r="G6" s="5">
        <v>404.58</v>
      </c>
      <c r="H6" s="5">
        <v>254.296</v>
      </c>
      <c r="I6" s="5">
        <v>84.062</v>
      </c>
      <c r="J6" s="5">
        <v>14.755</v>
      </c>
      <c r="K6" s="5">
        <v>13</v>
      </c>
    </row>
    <row r="7" spans="1:11">
      <c r="A7" t="s">
        <v>79</v>
      </c>
      <c r="B7" s="5">
        <v>305.376</v>
      </c>
      <c r="C7" s="5">
        <v>117.8</v>
      </c>
      <c r="D7" s="5">
        <v>61.923</v>
      </c>
      <c r="E7" s="5">
        <v>14.464</v>
      </c>
      <c r="F7" s="5">
        <v>59.816</v>
      </c>
      <c r="G7" s="5">
        <v>453.85</v>
      </c>
      <c r="H7" s="5">
        <v>258.001</v>
      </c>
      <c r="I7" s="5">
        <v>98.703</v>
      </c>
      <c r="J7" s="5">
        <v>8.943</v>
      </c>
      <c r="K7" s="5">
        <v>13.6</v>
      </c>
    </row>
    <row r="8" spans="1:11">
      <c r="A8" t="s">
        <v>80</v>
      </c>
      <c r="B8" s="5">
        <v>325.566</v>
      </c>
      <c r="C8" s="5">
        <v>119</v>
      </c>
      <c r="D8" s="5">
        <v>63.014</v>
      </c>
      <c r="E8" s="5">
        <v>29.181</v>
      </c>
      <c r="F8" s="5">
        <v>36.462</v>
      </c>
      <c r="G8" s="5">
        <v>499.466</v>
      </c>
      <c r="H8" s="5">
        <v>253.777</v>
      </c>
      <c r="I8" s="5">
        <v>124.323</v>
      </c>
      <c r="J8" s="5">
        <v>5.117</v>
      </c>
      <c r="K8" s="5">
        <v>11.5</v>
      </c>
    </row>
    <row r="9" spans="1:11">
      <c r="A9" t="s">
        <v>81</v>
      </c>
      <c r="B9" s="5">
        <v>381.442</v>
      </c>
      <c r="C9" s="5">
        <v>128.1</v>
      </c>
      <c r="D9" s="5">
        <v>64.825</v>
      </c>
      <c r="E9" s="5">
        <v>-3.141</v>
      </c>
      <c r="F9" s="5">
        <v>62.857</v>
      </c>
      <c r="G9" s="5">
        <v>544.771</v>
      </c>
      <c r="H9" s="5">
        <v>326.008</v>
      </c>
      <c r="I9" s="5">
        <v>93.559</v>
      </c>
      <c r="J9" s="5">
        <v>6.61</v>
      </c>
      <c r="K9" s="5">
        <v>9.220000000000001</v>
      </c>
    </row>
    <row r="10" spans="1:11">
      <c r="A10" t="s">
        <v>82</v>
      </c>
      <c r="B10" s="5">
        <v>378.346</v>
      </c>
      <c r="C10" s="5">
        <v>107.2</v>
      </c>
      <c r="D10" s="5">
        <v>31.377</v>
      </c>
      <c r="E10" s="5">
        <v>-9.117000000000001</v>
      </c>
      <c r="F10" s="5">
        <v>65.97799999999999</v>
      </c>
      <c r="G10" s="5">
        <v>555.999</v>
      </c>
      <c r="H10" s="5">
        <v>369.478</v>
      </c>
      <c r="I10" s="5">
        <v>94.613</v>
      </c>
      <c r="J10" s="5">
        <v>9.384</v>
      </c>
      <c r="K10" s="5">
        <v>5.07</v>
      </c>
    </row>
    <row r="11" spans="1:11">
      <c r="A11" t="s">
        <v>83</v>
      </c>
      <c r="B11" s="5">
        <v>349.556</v>
      </c>
      <c r="C11" s="5">
        <v>113.6</v>
      </c>
      <c r="D11" s="5">
        <v>49.038</v>
      </c>
      <c r="E11" s="5">
        <v>59.273</v>
      </c>
      <c r="F11" s="5">
        <v>46.389</v>
      </c>
      <c r="G11" s="5">
        <v>586.115</v>
      </c>
      <c r="H11" s="5">
        <v>337.179</v>
      </c>
      <c r="I11" s="5">
        <v>103.948</v>
      </c>
      <c r="J11" s="5">
        <v>8.625</v>
      </c>
      <c r="K11" s="5">
        <v>3.9</v>
      </c>
    </row>
    <row r="13" spans="1:11">
      <c r="A13" s="9" t="s">
        <v>84</v>
      </c>
    </row>
    <row r="14" spans="1:11">
      <c r="A14" s="7" t="s">
        <v>68</v>
      </c>
      <c r="B14" s="7" t="s">
        <v>85</v>
      </c>
      <c r="C14" s="7" t="s">
        <v>86</v>
      </c>
      <c r="D14" s="7" t="s">
        <v>87</v>
      </c>
      <c r="E14" s="7" t="s">
        <v>88</v>
      </c>
    </row>
    <row r="15" spans="1:11">
      <c r="A15" t="s">
        <v>76</v>
      </c>
      <c r="B15" s="5">
        <v>19.8</v>
      </c>
      <c r="C15" s="5">
        <v>2.84</v>
      </c>
      <c r="D15" s="5">
        <v>13.1</v>
      </c>
      <c r="E15" s="5">
        <v>3.62</v>
      </c>
    </row>
    <row r="16" spans="1:11">
      <c r="A16" t="s">
        <v>77</v>
      </c>
      <c r="B16" s="5">
        <v>26.8</v>
      </c>
      <c r="C16" s="5">
        <v>3.52</v>
      </c>
      <c r="D16" s="5">
        <v>16.4</v>
      </c>
      <c r="E16" s="5">
        <v>4.51</v>
      </c>
    </row>
    <row r="17" spans="1:5">
      <c r="A17" t="s">
        <v>78</v>
      </c>
      <c r="B17" s="5">
        <v>20.1</v>
      </c>
      <c r="C17" s="5">
        <v>3.25</v>
      </c>
      <c r="D17" s="5">
        <v>14</v>
      </c>
      <c r="E17" s="5">
        <v>4.32</v>
      </c>
    </row>
    <row r="18" spans="1:5">
      <c r="A18" t="s">
        <v>79</v>
      </c>
      <c r="B18" s="5">
        <v>22.2</v>
      </c>
      <c r="C18" s="5">
        <v>3.03</v>
      </c>
      <c r="D18" s="5">
        <v>14.6</v>
      </c>
      <c r="E18" s="5">
        <v>4.5</v>
      </c>
    </row>
    <row r="19" spans="1:5">
      <c r="A19" t="s">
        <v>80</v>
      </c>
      <c r="B19" s="5">
        <v>18.5</v>
      </c>
      <c r="C19" s="5">
        <v>2.33</v>
      </c>
      <c r="D19" s="5">
        <v>12.9</v>
      </c>
      <c r="E19" s="5">
        <v>3.57</v>
      </c>
    </row>
    <row r="20" spans="1:5">
      <c r="A20" t="s">
        <v>81</v>
      </c>
      <c r="B20" s="5">
        <v>14.4</v>
      </c>
      <c r="C20" s="5">
        <v>1.71</v>
      </c>
      <c r="D20" s="5">
        <v>10.5</v>
      </c>
      <c r="E20" s="5">
        <v>2.44</v>
      </c>
    </row>
    <row r="21" spans="1:5">
      <c r="A21" t="s">
        <v>82</v>
      </c>
      <c r="B21" s="5">
        <v>16.3</v>
      </c>
      <c r="C21" s="5">
        <v>0.92</v>
      </c>
      <c r="D21" s="5">
        <v>9</v>
      </c>
      <c r="E21" s="5">
        <v>1.36</v>
      </c>
    </row>
    <row r="22" spans="1:5">
      <c r="A22" t="s">
        <v>83</v>
      </c>
      <c r="B22" s="5">
        <v>8</v>
      </c>
      <c r="C22" s="5">
        <v>0.67</v>
      </c>
      <c r="D22" s="5">
        <v>7.3</v>
      </c>
      <c r="E22" s="5">
        <v>1.13</v>
      </c>
    </row>
    <row r="24" spans="1:5">
      <c r="A24" s="9" t="s">
        <v>89</v>
      </c>
      <c r="B24" s="5">
        <v>18.5</v>
      </c>
      <c r="C24" s="5">
        <v>2.48</v>
      </c>
      <c r="D24" s="5">
        <v>12.69</v>
      </c>
      <c r="E24" s="5">
        <v>3.5</v>
      </c>
    </row>
    <row r="26" spans="1:5">
      <c r="A26" s="1" t="s">
        <v>90</v>
      </c>
    </row>
    <row r="28" spans="1:5">
      <c r="A28" s="7" t="s">
        <v>91</v>
      </c>
      <c r="B28" s="7" t="s">
        <v>92</v>
      </c>
      <c r="C28" s="7" t="s">
        <v>93</v>
      </c>
    </row>
    <row r="29" spans="1:5">
      <c r="A29" t="s">
        <v>29</v>
      </c>
      <c r="B29" s="8">
        <v>0.024</v>
      </c>
      <c r="C29" s="8">
        <v>0.0282</v>
      </c>
    </row>
    <row r="30" spans="1:5">
      <c r="A30" t="s">
        <v>94</v>
      </c>
      <c r="B30" s="8">
        <v>-0.08019999999999999</v>
      </c>
      <c r="C30" s="8">
        <v>-0.05599999999999999</v>
      </c>
    </row>
    <row r="31" spans="1:5">
      <c r="A31" t="s">
        <v>95</v>
      </c>
      <c r="B31" s="8">
        <v>0.0548</v>
      </c>
      <c r="C31" s="8">
        <v>0.077</v>
      </c>
    </row>
    <row r="33" spans="1:2">
      <c r="A33" s="9" t="s">
        <v>96</v>
      </c>
      <c r="B33" s="8">
        <v>0.028</v>
      </c>
    </row>
    <row r="34" spans="1:2">
      <c r="A34" t="s">
        <v>97</v>
      </c>
      <c r="B34" t="s">
        <v>98</v>
      </c>
    </row>
    <row r="36" spans="1:2">
      <c r="A36" s="2" t="s">
        <v>99</v>
      </c>
    </row>
    <row r="37" spans="1:2">
      <c r="A37" s="2"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1"/>
  <sheetViews>
    <sheetView workbookViewId="0"/>
  </sheetViews>
  <sheetFormatPr defaultRowHeight="15"/>
  <cols>
    <col min="1" max="1" width="30.7109375" customWidth="1"/>
    <col min="2" max="9" width="12.7109375" customWidth="1"/>
  </cols>
  <sheetData>
    <row r="1" spans="1:8">
      <c r="A1" s="1" t="s">
        <v>101</v>
      </c>
    </row>
    <row r="3" spans="1:8">
      <c r="A3" s="2" t="s">
        <v>102</v>
      </c>
    </row>
    <row r="4" spans="1:8">
      <c r="A4" s="2" t="s">
        <v>103</v>
      </c>
    </row>
    <row r="5" spans="1:8">
      <c r="A5" s="2" t="s">
        <v>104</v>
      </c>
    </row>
    <row r="7" spans="1:8">
      <c r="A7" s="7" t="s">
        <v>68</v>
      </c>
      <c r="B7" s="7" t="s">
        <v>70</v>
      </c>
      <c r="C7" s="7" t="s">
        <v>105</v>
      </c>
      <c r="D7" s="7" t="s">
        <v>106</v>
      </c>
      <c r="E7" s="7" t="s">
        <v>107</v>
      </c>
      <c r="F7" s="7" t="s">
        <v>108</v>
      </c>
      <c r="G7" s="7" t="s">
        <v>109</v>
      </c>
      <c r="H7" s="7" t="s">
        <v>110</v>
      </c>
    </row>
    <row r="8" spans="1:8">
      <c r="A8" t="s">
        <v>77</v>
      </c>
      <c r="B8" s="5">
        <v>29.172</v>
      </c>
      <c r="C8" s="5">
        <v>0</v>
      </c>
      <c r="D8" s="5">
        <v>0</v>
      </c>
      <c r="E8" t="s">
        <v>111</v>
      </c>
      <c r="F8" s="5">
        <v>29.172</v>
      </c>
      <c r="G8" s="8">
        <v>0.1049450668048091</v>
      </c>
      <c r="H8" s="8">
        <v>0.1049450668048091</v>
      </c>
    </row>
    <row r="9" spans="1:8">
      <c r="A9" t="s">
        <v>78</v>
      </c>
      <c r="B9" s="5">
        <v>57.137</v>
      </c>
      <c r="C9" s="5">
        <v>0</v>
      </c>
      <c r="D9" s="5">
        <v>0</v>
      </c>
      <c r="E9" t="s">
        <v>111</v>
      </c>
      <c r="F9" s="5">
        <v>57.137</v>
      </c>
      <c r="G9" s="8">
        <v>0.1878388196501425</v>
      </c>
      <c r="H9" s="8">
        <v>0.1878388196501425</v>
      </c>
    </row>
    <row r="10" spans="1:8">
      <c r="A10" t="s">
        <v>79</v>
      </c>
      <c r="B10" s="5">
        <v>14.464</v>
      </c>
      <c r="C10" s="5">
        <v>0</v>
      </c>
      <c r="D10" s="5">
        <v>0</v>
      </c>
      <c r="E10" s="5">
        <v>4.179</v>
      </c>
      <c r="F10" s="5">
        <v>10.285</v>
      </c>
      <c r="G10" s="8">
        <v>0.0473645604107723</v>
      </c>
      <c r="H10" s="8">
        <v>0.03367979147018758</v>
      </c>
    </row>
    <row r="11" spans="1:8">
      <c r="A11" t="s">
        <v>80</v>
      </c>
      <c r="B11" s="5">
        <v>29.181</v>
      </c>
      <c r="C11" s="5">
        <v>0</v>
      </c>
      <c r="D11" s="5">
        <v>0</v>
      </c>
      <c r="E11" s="5">
        <v>5.133</v>
      </c>
      <c r="F11" s="5">
        <v>24.048</v>
      </c>
      <c r="G11" s="8">
        <v>0.08963159543686995</v>
      </c>
      <c r="H11" s="8">
        <v>0.07386520705479074</v>
      </c>
    </row>
    <row r="12" spans="1:8">
      <c r="A12" t="s">
        <v>81</v>
      </c>
      <c r="B12" s="5">
        <v>-3.141</v>
      </c>
      <c r="C12" s="5">
        <v>0</v>
      </c>
      <c r="D12" s="5">
        <v>0</v>
      </c>
      <c r="E12" s="5">
        <v>45.053</v>
      </c>
      <c r="F12" s="5">
        <v>-48.194</v>
      </c>
      <c r="G12" s="8">
        <v>-0.008234541555465838</v>
      </c>
      <c r="H12" s="8">
        <v>-0.1263468626947216</v>
      </c>
    </row>
    <row r="13" spans="1:8">
      <c r="A13" t="s">
        <v>82</v>
      </c>
      <c r="B13" s="5">
        <v>-9.117000000000001</v>
      </c>
      <c r="C13" s="5">
        <v>0</v>
      </c>
      <c r="D13" s="5">
        <v>0</v>
      </c>
      <c r="E13" s="5">
        <v>5.188</v>
      </c>
      <c r="F13" s="5">
        <v>-14.305</v>
      </c>
      <c r="G13" s="8">
        <v>-0.02409699058533723</v>
      </c>
      <c r="H13" s="8">
        <v>-0.03780930682496973</v>
      </c>
    </row>
    <row r="14" spans="1:8">
      <c r="A14" t="s">
        <v>83</v>
      </c>
      <c r="B14" s="5">
        <v>59.273</v>
      </c>
      <c r="C14" s="5">
        <v>0</v>
      </c>
      <c r="D14" s="5">
        <v>0</v>
      </c>
      <c r="E14" s="5">
        <v>10.435</v>
      </c>
      <c r="F14" s="5">
        <v>48.838</v>
      </c>
      <c r="G14" s="8">
        <v>0.1695665358340295</v>
      </c>
      <c r="H14" s="8">
        <v>0.1397143805284418</v>
      </c>
    </row>
    <row r="16" spans="1:8">
      <c r="A16" s="2" t="s">
        <v>112</v>
      </c>
    </row>
    <row r="17" spans="1:1">
      <c r="A17" s="2" t="s">
        <v>113</v>
      </c>
    </row>
    <row r="18" spans="1:1">
      <c r="A18" s="2" t="s">
        <v>114</v>
      </c>
    </row>
    <row r="20" spans="1:1">
      <c r="A20" s="2" t="s">
        <v>115</v>
      </c>
    </row>
    <row r="21" spans="1:1">
      <c r="A21" s="2" t="s">
        <v>116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28.7109375" customWidth="1"/>
    <col min="2" max="2" width="90.7109375" customWidth="1"/>
  </cols>
  <sheetData>
    <row r="1" spans="1:2">
      <c r="A1" s="1" t="s">
        <v>117</v>
      </c>
    </row>
    <row r="3" spans="1:2" ht="45" customHeight="1">
      <c r="A3" s="9" t="s">
        <v>118</v>
      </c>
      <c r="B3" s="13" t="s">
        <v>119</v>
      </c>
    </row>
    <row r="4" spans="1:2" ht="45" customHeight="1">
      <c r="A4" s="9" t="s">
        <v>120</v>
      </c>
      <c r="B4" s="13" t="s">
        <v>121</v>
      </c>
    </row>
    <row r="5" spans="1:2" ht="45" customHeight="1">
      <c r="A5" s="9" t="s">
        <v>122</v>
      </c>
      <c r="B5" s="13" t="s">
        <v>123</v>
      </c>
    </row>
    <row r="6" spans="1:2" ht="45" customHeight="1">
      <c r="A6" s="9" t="s">
        <v>124</v>
      </c>
      <c r="B6" s="13" t="s">
        <v>125</v>
      </c>
    </row>
    <row r="7" spans="1:2" ht="45" customHeight="1">
      <c r="A7" s="9" t="s">
        <v>126</v>
      </c>
      <c r="B7" s="13" t="s">
        <v>127</v>
      </c>
    </row>
    <row r="8" spans="1:2" ht="45" customHeight="1">
      <c r="A8" s="9" t="s">
        <v>128</v>
      </c>
      <c r="B8" s="13" t="s">
        <v>129</v>
      </c>
    </row>
    <row r="9" spans="1:2" ht="45" customHeight="1">
      <c r="A9" s="9" t="s">
        <v>130</v>
      </c>
      <c r="B9" s="13" t="s">
        <v>131</v>
      </c>
    </row>
    <row r="10" spans="1:2" ht="45" customHeight="1">
      <c r="A10" s="9" t="s">
        <v>132</v>
      </c>
      <c r="B10" s="13" t="s">
        <v>133</v>
      </c>
    </row>
    <row r="11" spans="1:2" ht="45" customHeight="1">
      <c r="A11" s="9" t="s">
        <v>134</v>
      </c>
      <c r="B11" s="13" t="s">
        <v>135</v>
      </c>
    </row>
    <row r="12" spans="1:2" ht="45" customHeight="1">
      <c r="A12" s="9" t="s">
        <v>136</v>
      </c>
      <c r="B12" s="13" t="s">
        <v>137</v>
      </c>
    </row>
    <row r="13" spans="1:2" ht="45" customHeight="1">
      <c r="A13" s="9" t="s">
        <v>138</v>
      </c>
      <c r="B13" s="13" t="s">
        <v>139</v>
      </c>
    </row>
    <row r="14" spans="1:2" ht="45" customHeight="1">
      <c r="A14" s="9" t="s">
        <v>140</v>
      </c>
      <c r="B14" s="13"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Sensitivity</vt:lpstr>
      <vt:lpstr>Historical</vt:lpstr>
      <vt:lpstr>FCF Quality</vt:lpstr>
      <vt:lpstr>Model_Info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2026-08-10T05:46:27Z</dcterms:created>
  <dcterms:modified xsi:type="dcterms:W3CDTF">2026-08-10T05:46:27Z</dcterms:modified>
</cp:coreProperties>
</file>