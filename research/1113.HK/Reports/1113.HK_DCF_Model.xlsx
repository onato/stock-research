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<sst xmlns="http://schemas.openxmlformats.org/spreadsheetml/2006/main" count="355" uniqueCount="164">
  <si>
    <t xml:space="preserve">Ticker</t>
  </si>
  <si>
    <t xml:space="preserve">1113.HK</t>
  </si>
  <si>
    <t xml:space="preserve">Company</t>
  </si>
  <si>
    <t xml:space="preserve">CK Asset Holdings Limited</t>
  </si>
  <si>
    <t xml:space="preserve">Valuation date</t>
  </si>
  <si>
    <t xml:space="preserve">2026-10-16</t>
  </si>
  <si>
    <t xml:space="preserve">Current price</t>
  </si>
  <si>
    <t xml:space="preserve">Price as of</t>
  </si>
  <si>
    <t xml:space="preserve">2026-10-16T03:24:47Z (HKEX morning session, live intraday print; 52-week range 36.74-52.35)</t>
  </si>
  <si>
    <t xml:space="preserve">Balance sheet date</t>
  </si>
  <si>
    <t xml:space="preserve">2026-06-30</t>
  </si>
  <si>
    <t xml:space="preserve">Model</t>
  </si>
  <si>
    <t xml:space="preserve">Sum-of-parts: owner-FCF DCF on consolidated operations plus equity-accounted infrastructure JVs, REIT stakes and investments via equity bridge (engine route)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</si>
  <si>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</si>
  <si>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</si>
  <si>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</si>
  <si>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</si>
  <si>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</si>
  <si>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</si>
  <si>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</si>
  <si>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</si>
  <si>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2026-10-16T03:49:00Z</t>
  </si>
  <si>
    <t xml:space="preserve">Drivers file</t>
  </si>
  <si>
    <t xml:space="preserve">1113.HK_Drivers.json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</si>
  <si>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</si>
  <si>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</si>
  <si>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</si>
  <si>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what the consolidated business can earn through a cycle, add the holdco assets at book, deduct the claims that rank ahead of ordinary shareholders, and do not pay for a re-rating of the conglomerate discount. The equity bridge alone (JVs, REIT stakes, investments, net cash less perpetuals and NCI) is worth roughly HK$25/share, so the market is paying ~HK$20/share, about 0.4x their book, for HK$154bn of investment properties, HK$72bn of hotels and pubs and HK$102bn of development inventory. The DCF asks whether those operating assets can earn their keep; the P/B cross-check (base equity ~0.48x shareholders' funds, within the stock's own 0.37-0.46x range over the past year) says the base case is not a re-rating thesis.
key_risks_to_valuation: Property-sales margin on the next launch cycle (Victoria Blossom, Borrett Road Ph2, Yuen Long): the model assumes 20-25% from FY2028; FY2025 delivered 13% after Blue Coast provisions and H1 FY2026 3.5%.; Greene King: 45% of consolidated revenue at a ~1% contribution margin; a third consecutive impairment or a failed restructuring takes the mature consolidated margin below the bear path.; JV carrying value HK$73bn is taken at book; it understates value if stakes are sold at UKPN-like multiples but could be impaired (Hui Xian lost HK$6bn in H1 FY2026) if European regulated returns reset lower.; Capital redeployment of the ~HK$25bn UK proceeds: the model treats cash as cash; value-destructive M&amp;A or a Mainland land grab would turn the bridge's largest line into operating risk.; Translation: 67% of borrowings and most JV income are in GBP, AUD, EUR, CAD and RMB; the HKD peg transmits USD strength straight into reported HKD flows.; Terminal cap multiple: Gordon at 8%/2% implies 17x; the 13x cap binds in the base case and the valuation moves ~HK$4/share per turn of the cap.</t>
  </si>
  <si>
    <t xml:space="preserve">Data sources</t>
  </si>
  <si>
    <t xml:space="preserve">price: Yahoo Finance chart API at inputs.price_as_of (HKEX intraday); 52-week range 36.74-52.35.
financials: FY2025 Annual Report (research/1113.HK/Extracted/1113.HK_Annual_FY2025.txt: income statement 3783-3818, balance sheet 3831-3876, cash flow 3895-3937 and note (a) 3952-3975, segment note 3 4119-4145, JV note 10 4319-4405, associates/investments notes 11-12 4414-4425, lease note 21 4628-4646); H1 FY2026 Interim Report (1113.HK_HalfYear_H1-2026.txt: income statement 2433-2468, balance sheet 2533-2570, cash flow 2640-2670, segment note 2703-2772, JV table 687-718, REIT interests 727-739). Metrics.csv / metrics_normalized via make dcf-context for the FY2018-2025 history.
qualitative: research/1113.HK/Reports/1113.HK_Analysis.json (2026-10-16): segment mix, UK Rails/UKPN disposals, Greene King restructuring, Hui Xian impairment, guidance items.</t>
  </si>
  <si>
    <t xml:space="preserve">Scenario narrative: bear</t>
  </si>
  <si>
    <t xml:space="preserve">Prolonged HK/Mainland property weakness forces discounting on the new launches, Greene King stays at breakeven with more impairments, GBP/AUD translation bites: mature margin 21%, 1.5% terminal growth, 11x cap. Balance sheet is not the axis; the risk is a permanent value trap.</t>
  </si>
  <si>
    <t xml:space="preserve">Scenario narrative: base</t>
  </si>
  <si>
    <t xml:space="preserve">Consolidated operations earn a mid-cycle 25% EBITDA margin on ~HK$55-60bn of revenue once the FY2026 Blue Coast handovers (high volume, near-zero margin) and the FY2027 recognition gap wash through; Victoria Blossom, Borrett Road Ph2 and the Yuen Long projects restore property-sales contribution at 20-25% from FY2028. Rental (Cheung Kong Center II leasing, Civitas) grows with indexation, hotels hold ~90% occupancy, Greene King stays a ~7% EBITDA-margin business after its 300-site restructuring. The infrastructure JVs, Hui Xian, Fortune and Prosperity stakes are carried at 30 June 2026 book; the HK$24.95bn of UK disposal proceeds sit in cash. Capital is redeployed at roughly book returns (buybacks or acquisitions are value-neutral in this model).</t>
  </si>
  <si>
    <t xml:space="preserve">Scenario narrative: bull</t>
  </si>
  <si>
    <t xml:space="preserve">HK residential recovery plus a Greene King turnaround: mature margin 28%, shallower FY2027 trough, 2.5% terminal growth and a 15x cap. Further JV monetisations at UKPN-like multiples would add value the bridge does not credit.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</si>
  <si>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</si>
  <si>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</si>
  <si>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</si>
  <si>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</si>
  <si>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</si>
  <si>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</si>
  <si>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</si>
  <si>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</si>
  <si>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</si>
  <si>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</si>
  <si>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</si>
  <si>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</si>
  <si>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</si>
  <si>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</si>
  <si>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</si>
  <si>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</si>
  <si>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</si>
  <si>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</si>
  <si>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</si>
  <si>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</si>
  <si>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</si>
  <si>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</si>
  <si>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</si>
  <si>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</si>
  <si>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</si>
  <si>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</si>
  <si>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</si>
  <si>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PerpetualCapitalSecurities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</si>
  <si>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</si>
  <si>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</si>
  <si>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</si>
  <si>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</si>
  <si>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</si>
  <si>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</si>
  <si>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</si>
  <si>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</si>
  <si>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</si>
  <si>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</si>
  <si>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</si>
  <si>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</si>
  <si>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</si>
  <si>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</si>
  <si>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</si>
  <si>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</si>
  <si>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</si>
  <si>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</si>
  <si>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</si>
  <si>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</si>
  <si>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</si>
  <si>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</si>
  <si>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</si>
  <si>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</si>
  <si>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</si>
  <si>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</si>
  <si>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</si>
  <si>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</si>
  <si>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</si>
  <si>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</si>
  <si>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</si>
  <si>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</si>
  <si>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</si>
  <si>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</si>
  <si>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</si>
  <si>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</si>
  <si>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</si>
  <si>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</si>
  <si>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</si>
  <si>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</si>
  <si>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</si>
  <si>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</si>
  <si>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</si>
  <si>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</si>
  <si>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</si>
  <si>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1113.HK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</si>
  <si>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</si>
  <si>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</si>
  <si>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</si>
  <si>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</si>
  <si>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</si>
  <si>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</si>
  <si>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</si>
  <si>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</si>
  <si>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</si>
  <si>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</si>
  <si>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</si>
  <si>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</si>
  <si>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</si>
  <si>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</si>
  <si>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</si>
  <si>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</si>
  <si>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</si>
  <si>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</si>
  <si>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</si>
  <si>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</si>
  <si>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</si>
  <si>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</si>
  <si>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</si>
  <si>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</si>
  <si>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</si>
  <si>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</si>
  <si>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</si>
  <si>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</si>
  <si>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</si>
  <si>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</si>
  <si>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1113.HK owner-FCF component DCF: base case (millions, HKD)</t>
  </si>
  <si>
    <t xml:space="preserve">1113.HK owner-FCF component DCF: bull case (millions, HKD)</t>
  </si>
  <si>
    <t xml:space="preserve">1113.HK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</si>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</sst>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44.44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50368</v>
      </c>
      <c r="I2" s="0" t="n">
        <v>40117</v>
      </c>
      <c r="J2" s="0" t="n">
        <v>79.6</v>
      </c>
      <c r="K2" s="0" t="n">
        <v>10.85</v>
      </c>
      <c r="L2" s="0" t="n">
        <v>13967</v>
      </c>
      <c r="M2" s="0" t="n">
        <v>1125</v>
      </c>
      <c r="N2" s="0" t="n">
        <v>12842</v>
      </c>
      <c r="O2" s="0" t="n">
        <v>323520</v>
      </c>
      <c r="R2" s="0" t="n">
        <v>69492</v>
      </c>
      <c r="S2" s="0" t="n">
        <v>56725</v>
      </c>
      <c r="T2" s="0" t="n">
        <v>3694</v>
      </c>
      <c r="AA2" s="0" t="s">
        <v>17</v>
      </c>
      <c r="AB2" s="0" t="s">
        <v>14</v>
      </c>
      <c r="AC2" s="0" t="n">
        <v>11670</v>
      </c>
    </row>
    <row r="3" customFormat="false" ht="15" hidden="false" customHeight="false" outlineLevel="0" collapsed="false">
      <c r="A3" s="0" t="s">
        <v>65</v>
      </c>
      <c r="B3" s="0" t="n">
        <v>82382</v>
      </c>
      <c r="I3" s="0" t="n">
        <v>29134</v>
      </c>
      <c r="J3" s="0" t="n">
        <v>35.4</v>
      </c>
      <c r="K3" s="0" t="n">
        <v>7.89</v>
      </c>
      <c r="L3" s="0" t="n">
        <v>41915</v>
      </c>
      <c r="M3" s="0" t="n">
        <v>677</v>
      </c>
      <c r="N3" s="0" t="n">
        <v>41238</v>
      </c>
      <c r="O3" s="0" t="n">
        <v>344253</v>
      </c>
      <c r="R3" s="0" t="n">
        <v>80082</v>
      </c>
      <c r="S3" s="0" t="n">
        <v>60304</v>
      </c>
      <c r="T3" s="0" t="n">
        <v>3694</v>
      </c>
      <c r="AA3" s="0" t="s">
        <v>17</v>
      </c>
      <c r="AB3" s="0" t="s">
        <v>14</v>
      </c>
      <c r="AC3" s="0" t="n">
        <v>11670</v>
      </c>
    </row>
    <row r="4" customFormat="false" ht="15" hidden="false" customHeight="false" outlineLevel="0" collapsed="false">
      <c r="A4" s="0" t="s">
        <v>66</v>
      </c>
      <c r="B4" s="0" t="n">
        <v>57623</v>
      </c>
      <c r="I4" s="0" t="n">
        <v>16332</v>
      </c>
      <c r="J4" s="0" t="n">
        <v>28.3</v>
      </c>
      <c r="K4" s="0" t="n">
        <v>4.42</v>
      </c>
      <c r="L4" s="0" t="n">
        <v>24297</v>
      </c>
      <c r="M4" s="0" t="n">
        <v>1324</v>
      </c>
      <c r="N4" s="0" t="n">
        <v>22973</v>
      </c>
      <c r="O4" s="0" t="n">
        <v>354639</v>
      </c>
      <c r="R4" s="0" t="n">
        <v>77893</v>
      </c>
      <c r="S4" s="0" t="n">
        <v>59519</v>
      </c>
      <c r="T4" s="0" t="n">
        <v>3694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62094</v>
      </c>
      <c r="I5" s="0" t="n">
        <v>21241</v>
      </c>
      <c r="J5" s="0" t="n">
        <v>34.2</v>
      </c>
      <c r="K5" s="0" t="n">
        <v>5.77</v>
      </c>
      <c r="L5" s="0" t="n">
        <v>25358</v>
      </c>
      <c r="M5" s="0" t="n">
        <v>3188</v>
      </c>
      <c r="N5" s="0" t="n">
        <v>22170</v>
      </c>
      <c r="O5" s="0" t="n">
        <v>371228</v>
      </c>
      <c r="R5" s="0" t="n">
        <v>96468</v>
      </c>
      <c r="S5" s="0" t="n">
        <v>63365</v>
      </c>
      <c r="T5" s="0" t="n">
        <v>3644</v>
      </c>
      <c r="AA5" s="0" t="s">
        <v>17</v>
      </c>
      <c r="AB5" s="0" t="s">
        <v>14</v>
      </c>
      <c r="AC5" s="0" t="n">
        <v>7929</v>
      </c>
    </row>
    <row r="6" customFormat="false" ht="15" hidden="false" customHeight="false" outlineLevel="0" collapsed="false">
      <c r="A6" s="0" t="s">
        <v>68</v>
      </c>
      <c r="B6" s="0" t="n">
        <v>56341</v>
      </c>
      <c r="I6" s="0" t="n">
        <v>21683</v>
      </c>
      <c r="J6" s="0" t="n">
        <v>38.5</v>
      </c>
      <c r="K6" s="0" t="n">
        <v>5.98</v>
      </c>
      <c r="L6" s="0" t="n">
        <v>6574</v>
      </c>
      <c r="M6" s="0" t="n">
        <v>2460</v>
      </c>
      <c r="N6" s="0" t="n">
        <v>4114</v>
      </c>
      <c r="O6" s="0" t="n">
        <v>379631</v>
      </c>
      <c r="R6" s="0" t="n">
        <v>48537</v>
      </c>
      <c r="S6" s="0" t="n">
        <v>61198</v>
      </c>
      <c r="T6" s="0" t="n">
        <v>3605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47243</v>
      </c>
      <c r="I7" s="0" t="n">
        <v>17340</v>
      </c>
      <c r="J7" s="0" t="n">
        <v>36.7</v>
      </c>
      <c r="K7" s="0" t="n">
        <v>4.86</v>
      </c>
      <c r="L7" s="0" t="n">
        <v>378</v>
      </c>
      <c r="M7" s="0" t="n">
        <v>2403</v>
      </c>
      <c r="N7" s="0" t="n">
        <v>-2025</v>
      </c>
      <c r="O7" s="0" t="n">
        <v>385844</v>
      </c>
      <c r="R7" s="0" t="n">
        <v>54869</v>
      </c>
      <c r="S7" s="0" t="n">
        <v>42481</v>
      </c>
      <c r="T7" s="0" t="n">
        <v>3549</v>
      </c>
      <c r="AA7" s="0" t="s">
        <v>17</v>
      </c>
      <c r="AB7" s="0" t="s">
        <v>14</v>
      </c>
      <c r="AC7" s="0" t="n">
        <v>7929</v>
      </c>
    </row>
    <row r="8" customFormat="false" ht="15" hidden="false" customHeight="false" outlineLevel="0" collapsed="false">
      <c r="A8" s="0" t="s">
        <v>70</v>
      </c>
      <c r="B8" s="0" t="n">
        <v>45529</v>
      </c>
      <c r="I8" s="0" t="n">
        <v>13657</v>
      </c>
      <c r="J8" s="0" t="n">
        <v>30</v>
      </c>
      <c r="K8" s="0" t="n">
        <v>3.89</v>
      </c>
      <c r="L8" s="0" t="n">
        <v>11865</v>
      </c>
      <c r="M8" s="0" t="n">
        <v>2276</v>
      </c>
      <c r="N8" s="0" t="n">
        <v>9589</v>
      </c>
      <c r="O8" s="0" t="n">
        <v>387675</v>
      </c>
      <c r="R8" s="0" t="n">
        <v>52716</v>
      </c>
      <c r="S8" s="0" t="n">
        <v>36069</v>
      </c>
      <c r="T8" s="0" t="n">
        <v>3500</v>
      </c>
      <c r="AA8" s="0" t="s">
        <v>17</v>
      </c>
      <c r="AB8" s="0" t="s">
        <v>14</v>
      </c>
      <c r="AC8" s="0" t="n">
        <v>7929</v>
      </c>
    </row>
    <row r="9" customFormat="false" ht="15" hidden="false" customHeight="false" outlineLevel="0" collapsed="false">
      <c r="A9" s="0" t="s">
        <v>71</v>
      </c>
      <c r="B9" s="0" t="n">
        <v>57935</v>
      </c>
      <c r="I9" s="0" t="n">
        <v>10847</v>
      </c>
      <c r="J9" s="0" t="n">
        <v>18.7</v>
      </c>
      <c r="K9" s="0" t="n">
        <v>3.1</v>
      </c>
      <c r="L9" s="0" t="n">
        <v>18670</v>
      </c>
      <c r="M9" s="0" t="n">
        <v>2468</v>
      </c>
      <c r="N9" s="0" t="n">
        <v>16202</v>
      </c>
      <c r="O9" s="0" t="n">
        <v>396442</v>
      </c>
      <c r="R9" s="0" t="n">
        <v>51360</v>
      </c>
      <c r="S9" s="0" t="n">
        <v>41743</v>
      </c>
      <c r="T9" s="0" t="n">
        <v>3500</v>
      </c>
      <c r="AA9" s="0" t="s">
        <v>17</v>
      </c>
      <c r="AB9" s="0" t="s">
        <v>14</v>
      </c>
      <c r="AC9" s="0" t="n">
        <v>7929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44.44</v>
      </c>
    </row>
    <row r="3" customFormat="false" ht="15" hidden="false" customHeight="false" outlineLevel="0" collapsed="false">
      <c r="A3" s="0" t="s">
        <v>75</v>
      </c>
      <c r="B3" s="3" t="n">
        <v>3499.778</v>
      </c>
    </row>
    <row r="4" customFormat="false" ht="15" hidden="false" customHeight="false" outlineLevel="0" collapsed="false">
      <c r="A4" s="0" t="s">
        <v>76</v>
      </c>
      <c r="B4" s="3" t="n">
        <v>-16770</v>
      </c>
    </row>
    <row r="5" customFormat="false" ht="15" hidden="false" customHeight="false" outlineLevel="0" collapsed="false">
      <c r="A5" s="0" t="s">
        <v>77</v>
      </c>
      <c r="B5" s="3" t="n">
        <v>71678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57935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6</v>
      </c>
      <c r="D13" s="3" t="n">
        <v>-30</v>
      </c>
      <c r="E13" s="3" t="n">
        <v>2</v>
      </c>
      <c r="F13" s="3" t="n">
        <v>3</v>
      </c>
      <c r="G13" s="3" t="n">
        <v>3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1.5</v>
      </c>
    </row>
    <row r="14" customFormat="false" ht="15" hidden="false" customHeight="false" outlineLevel="0" collapsed="false">
      <c r="A14" s="0" t="s">
        <v>96</v>
      </c>
      <c r="C14" s="3" t="n">
        <v>16</v>
      </c>
      <c r="D14" s="3" t="n">
        <v>19</v>
      </c>
      <c r="E14" s="3" t="n">
        <v>20</v>
      </c>
      <c r="F14" s="3" t="n">
        <v>21</v>
      </c>
      <c r="G14" s="3" t="n">
        <v>21</v>
      </c>
      <c r="H14" s="3" t="n">
        <v>21</v>
      </c>
      <c r="I14" s="3" t="n">
        <v>21</v>
      </c>
      <c r="J14" s="3" t="n">
        <v>21</v>
      </c>
      <c r="K14" s="3" t="n">
        <v>21</v>
      </c>
      <c r="L14" s="3" t="n">
        <v>21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3.7</v>
      </c>
      <c r="D17" s="3" t="n">
        <v>5</v>
      </c>
      <c r="E17" s="3" t="n">
        <v>4.7</v>
      </c>
      <c r="F17" s="3" t="n">
        <v>4.5</v>
      </c>
      <c r="G17" s="3" t="n">
        <v>4.4</v>
      </c>
      <c r="H17" s="3" t="n">
        <v>4.4</v>
      </c>
      <c r="I17" s="3" t="n">
        <v>4.4</v>
      </c>
      <c r="J17" s="3" t="n">
        <v>4.4</v>
      </c>
      <c r="K17" s="3" t="n">
        <v>4.4</v>
      </c>
      <c r="L17" s="3" t="n">
        <v>4.4</v>
      </c>
    </row>
    <row r="18" customFormat="false" ht="15" hidden="false" customHeight="false" outlineLevel="0" collapsed="false">
      <c r="A18" s="0" t="s">
        <v>100</v>
      </c>
      <c r="C18" s="3" t="n">
        <v>6.5</v>
      </c>
      <c r="D18" s="3" t="n">
        <v>6.5</v>
      </c>
      <c r="E18" s="3" t="n">
        <v>6.5</v>
      </c>
      <c r="F18" s="3" t="n">
        <v>6.5</v>
      </c>
      <c r="G18" s="3" t="n">
        <v>6.5</v>
      </c>
      <c r="H18" s="3" t="n">
        <v>6.5</v>
      </c>
      <c r="I18" s="3" t="n">
        <v>6.5</v>
      </c>
      <c r="J18" s="3" t="n">
        <v>6.5</v>
      </c>
      <c r="K18" s="3" t="n">
        <v>6.5</v>
      </c>
      <c r="L18" s="3" t="n">
        <v>6.5</v>
      </c>
    </row>
    <row r="19" customFormat="false" ht="15" hidden="false" customHeight="false" outlineLevel="0" collapsed="false">
      <c r="A19" s="0" t="s">
        <v>101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102</v>
      </c>
      <c r="B20" s="3" t="n">
        <v>8</v>
      </c>
    </row>
    <row r="21" customFormat="false" ht="15" hidden="false" customHeight="false" outlineLevel="0" collapsed="false">
      <c r="A21" s="0" t="s">
        <v>103</v>
      </c>
      <c r="B21" s="3" t="n">
        <v>1.5</v>
      </c>
    </row>
    <row r="22" customFormat="false" ht="15" hidden="false" customHeight="false" outlineLevel="0" collapsed="false">
      <c r="A22" s="0" t="s">
        <v>104</v>
      </c>
      <c r="B22" s="3" t="n">
        <v>11</v>
      </c>
    </row>
    <row r="23" customFormat="false" ht="15" hidden="false" customHeight="false" outlineLevel="0" collapsed="false">
      <c r="A23" s="0" t="s">
        <v>105</v>
      </c>
      <c r="B23" s="3" t="n">
        <v>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8</v>
      </c>
      <c r="D27" s="3" t="n">
        <v>-22</v>
      </c>
      <c r="E27" s="3" t="n">
        <v>8</v>
      </c>
      <c r="F27" s="3" t="n">
        <v>6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</v>
      </c>
    </row>
    <row r="28" customFormat="false" ht="15" hidden="false" customHeight="false" outlineLevel="0" collapsed="false">
      <c r="A28" s="0" t="s">
        <v>96</v>
      </c>
      <c r="C28" s="3" t="n">
        <v>18</v>
      </c>
      <c r="D28" s="3" t="n">
        <v>23</v>
      </c>
      <c r="E28" s="3" t="n">
        <v>24</v>
      </c>
      <c r="F28" s="3" t="n">
        <v>24.5</v>
      </c>
      <c r="G28" s="3" t="n">
        <v>25</v>
      </c>
      <c r="H28" s="3" t="n">
        <v>25</v>
      </c>
      <c r="I28" s="3" t="n">
        <v>25</v>
      </c>
      <c r="J28" s="3" t="n">
        <v>25</v>
      </c>
      <c r="K28" s="3" t="n">
        <v>25</v>
      </c>
      <c r="L28" s="3" t="n">
        <v>25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3.6</v>
      </c>
      <c r="D31" s="3" t="n">
        <v>4.5</v>
      </c>
      <c r="E31" s="3" t="n">
        <v>4.3</v>
      </c>
      <c r="F31" s="3" t="n">
        <v>4.1</v>
      </c>
      <c r="G31" s="3" t="n">
        <v>4</v>
      </c>
      <c r="H31" s="3" t="n">
        <v>4</v>
      </c>
      <c r="I31" s="3" t="n">
        <v>4</v>
      </c>
      <c r="J31" s="3" t="n">
        <v>4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100</v>
      </c>
      <c r="C32" s="3" t="n">
        <v>6</v>
      </c>
      <c r="D32" s="3" t="n">
        <v>6</v>
      </c>
      <c r="E32" s="3" t="n">
        <v>6</v>
      </c>
      <c r="F32" s="3" t="n">
        <v>6</v>
      </c>
      <c r="G32" s="3" t="n">
        <v>6</v>
      </c>
      <c r="H32" s="3" t="n">
        <v>6</v>
      </c>
      <c r="I32" s="3" t="n">
        <v>6</v>
      </c>
      <c r="J32" s="3" t="n">
        <v>6</v>
      </c>
      <c r="K32" s="3" t="n">
        <v>6</v>
      </c>
      <c r="L32" s="3" t="n">
        <v>6</v>
      </c>
    </row>
    <row r="33" customFormat="false" ht="15" hidden="false" customHeight="false" outlineLevel="0" collapsed="false">
      <c r="A33" s="0" t="s">
        <v>101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102</v>
      </c>
      <c r="B34" s="3" t="n">
        <v>8</v>
      </c>
    </row>
    <row r="35" customFormat="false" ht="15" hidden="false" customHeight="false" outlineLevel="0" collapsed="false">
      <c r="A35" s="0" t="s">
        <v>103</v>
      </c>
      <c r="B35" s="3" t="n">
        <v>2</v>
      </c>
    </row>
    <row r="36" customFormat="false" ht="15" hidden="false" customHeight="false" outlineLevel="0" collapsed="false">
      <c r="A36" s="0" t="s">
        <v>104</v>
      </c>
      <c r="B36" s="3" t="n">
        <v>13</v>
      </c>
    </row>
    <row r="37" customFormat="false" ht="15" hidden="false" customHeight="false" outlineLevel="0" collapsed="false">
      <c r="A37" s="0" t="s">
        <v>105</v>
      </c>
      <c r="B37" s="3" t="n">
        <v>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10</v>
      </c>
      <c r="D41" s="3" t="n">
        <v>-15</v>
      </c>
      <c r="E41" s="3" t="n">
        <v>10</v>
      </c>
      <c r="F41" s="3" t="n">
        <v>8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96</v>
      </c>
      <c r="C42" s="3" t="n">
        <v>19</v>
      </c>
      <c r="D42" s="3" t="n">
        <v>25</v>
      </c>
      <c r="E42" s="3" t="n">
        <v>27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3.5</v>
      </c>
      <c r="D45" s="3" t="n">
        <v>4.3</v>
      </c>
      <c r="E45" s="3" t="n">
        <v>4.1</v>
      </c>
      <c r="F45" s="3" t="n">
        <v>4</v>
      </c>
      <c r="G45" s="3" t="n">
        <v>3.9</v>
      </c>
      <c r="H45" s="3" t="n">
        <v>3.9</v>
      </c>
      <c r="I45" s="3" t="n">
        <v>3.9</v>
      </c>
      <c r="J45" s="3" t="n">
        <v>3.9</v>
      </c>
      <c r="K45" s="3" t="n">
        <v>3.9</v>
      </c>
      <c r="L45" s="3" t="n">
        <v>3.9</v>
      </c>
    </row>
    <row r="46" customFormat="false" ht="15" hidden="false" customHeight="false" outlineLevel="0" collapsed="false">
      <c r="A46" s="0" t="s">
        <v>100</v>
      </c>
      <c r="C46" s="3" t="n">
        <v>5.5</v>
      </c>
      <c r="D46" s="3" t="n">
        <v>5.5</v>
      </c>
      <c r="E46" s="3" t="n">
        <v>5.5</v>
      </c>
      <c r="F46" s="3" t="n">
        <v>5.5</v>
      </c>
      <c r="G46" s="3" t="n">
        <v>5.5</v>
      </c>
      <c r="H46" s="3" t="n">
        <v>5.5</v>
      </c>
      <c r="I46" s="3" t="n">
        <v>5.5</v>
      </c>
      <c r="J46" s="3" t="n">
        <v>5.5</v>
      </c>
      <c r="K46" s="3" t="n">
        <v>5.5</v>
      </c>
      <c r="L46" s="3" t="n">
        <v>5.5</v>
      </c>
    </row>
    <row r="47" customFormat="false" ht="15" hidden="false" customHeight="false" outlineLevel="0" collapsed="false">
      <c r="A47" s="0" t="s">
        <v>101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102</v>
      </c>
      <c r="B48" s="3" t="n">
        <v>8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15</v>
      </c>
    </row>
    <row r="51" customFormat="false" ht="15" hidden="false" customHeight="false" outlineLevel="0" collapsed="false">
      <c r="A51" s="0" t="s">
        <v>105</v>
      </c>
      <c r="B51" s="3" t="n">
        <v>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6</v>
      </c>
      <c r="D5" s="4" t="n">
        <f aca="false">Assumptions!D13</f>
        <v>-30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57935</v>
      </c>
      <c r="C6" s="0" t="n">
        <f aca="false">B6*(1+C5/100)</f>
        <v>61411.1</v>
      </c>
      <c r="D6" s="0" t="n">
        <f aca="false">C6*(1+D5/100)</f>
        <v>42987.77</v>
      </c>
      <c r="E6" s="0" t="n">
        <f aca="false">D6*(1+E5/100)</f>
        <v>43847.5254</v>
      </c>
      <c r="F6" s="0" t="n">
        <f aca="false">E6*(1+F5/100)</f>
        <v>45162.951162</v>
      </c>
      <c r="G6" s="0" t="n">
        <f aca="false">F6*(1+G5/100)</f>
        <v>46517.83969686</v>
      </c>
      <c r="H6" s="0" t="n">
        <f aca="false">G6*(1+H5/100)</f>
        <v>47448.1964907972</v>
      </c>
      <c r="I6" s="0" t="n">
        <f aca="false">H6*(1+I5/100)</f>
        <v>48397.1604206132</v>
      </c>
      <c r="J6" s="0" t="n">
        <f aca="false">I6*(1+J5/100)</f>
        <v>49365.1036290254</v>
      </c>
      <c r="K6" s="0" t="n">
        <f aca="false">J6*(1+K5/100)</f>
        <v>50352.4057016059</v>
      </c>
      <c r="L6" s="0" t="n">
        <f aca="false">K6*(1+L5/100)</f>
        <v>51107.69178713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16</v>
      </c>
      <c r="D7" s="4" t="n">
        <f aca="false">Assumptions!D14</f>
        <v>19</v>
      </c>
      <c r="E7" s="4" t="n">
        <f aca="false">Assumptions!E14</f>
        <v>20</v>
      </c>
      <c r="F7" s="4" t="n">
        <f aca="false">Assumptions!F14</f>
        <v>21</v>
      </c>
      <c r="G7" s="4" t="n">
        <f aca="false">Assumptions!G14</f>
        <v>21</v>
      </c>
      <c r="H7" s="4" t="n">
        <f aca="false">Assumptions!H14</f>
        <v>21</v>
      </c>
      <c r="I7" s="4" t="n">
        <f aca="false">Assumptions!I14</f>
        <v>21</v>
      </c>
      <c r="J7" s="4" t="n">
        <f aca="false">Assumptions!J14</f>
        <v>21</v>
      </c>
      <c r="K7" s="4" t="n">
        <f aca="false">Assumptions!K14</f>
        <v>21</v>
      </c>
      <c r="L7" s="4" t="n">
        <f aca="false">Assumptions!L14</f>
        <v>21</v>
      </c>
    </row>
    <row r="8" customFormat="false" ht="15" hidden="false" customHeight="false" outlineLevel="0" collapsed="false">
      <c r="A8" s="0" t="s">
        <v>43</v>
      </c>
      <c r="C8" s="0" t="n">
        <f aca="false">C6*C7/100</f>
        <v>9825.776</v>
      </c>
      <c r="D8" s="0" t="n">
        <f aca="false">D6*D7/100</f>
        <v>8167.6763</v>
      </c>
      <c r="E8" s="0" t="n">
        <f aca="false">E6*E7/100</f>
        <v>8769.50508</v>
      </c>
      <c r="F8" s="0" t="n">
        <f aca="false">F6*F7/100</f>
        <v>9484.21974402</v>
      </c>
      <c r="G8" s="0" t="n">
        <f aca="false">G6*G7/100</f>
        <v>9768.7463363406</v>
      </c>
      <c r="H8" s="0" t="n">
        <f aca="false">H6*H7/100</f>
        <v>9964.12126306741</v>
      </c>
      <c r="I8" s="0" t="n">
        <f aca="false">I6*I7/100</f>
        <v>10163.4036883288</v>
      </c>
      <c r="J8" s="0" t="n">
        <f aca="false">J6*J7/100</f>
        <v>10366.6717620953</v>
      </c>
      <c r="K8" s="0" t="n">
        <f aca="false">K6*K7/100</f>
        <v>10574.0051973372</v>
      </c>
      <c r="L8" s="0" t="n">
        <f aca="false">L6*L7/100</f>
        <v>10732.6152752973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9825.776</v>
      </c>
      <c r="D11" s="0" t="n">
        <f aca="false">D8+D10+D24</f>
        <v>8167.6763</v>
      </c>
      <c r="E11" s="0" t="n">
        <f aca="false">E8+E10+E24</f>
        <v>8769.50508</v>
      </c>
      <c r="F11" s="0" t="n">
        <f aca="false">F8+F10+F24</f>
        <v>9484.21974402</v>
      </c>
      <c r="G11" s="0" t="n">
        <f aca="false">G8+G10+G24</f>
        <v>9768.7463363406</v>
      </c>
      <c r="H11" s="0" t="n">
        <f aca="false">H8+H10+H24</f>
        <v>9964.12126306741</v>
      </c>
      <c r="I11" s="0" t="n">
        <f aca="false">I8+I10+I24</f>
        <v>10163.4036883288</v>
      </c>
      <c r="J11" s="0" t="n">
        <f aca="false">J8+J10+J24</f>
        <v>10366.6717620953</v>
      </c>
      <c r="K11" s="0" t="n">
        <f aca="false">K8+K10+K24</f>
        <v>10574.0051973372</v>
      </c>
      <c r="L11" s="0" t="n">
        <f aca="false">L8+L10+L24</f>
        <v>10732.6152752973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-2272.2107</v>
      </c>
      <c r="D12" s="4" t="n">
        <f aca="false">-D6*Assumptions!D17/100</f>
        <v>-2149.3885</v>
      </c>
      <c r="E12" s="4" t="n">
        <f aca="false">-E6*Assumptions!E17/100</f>
        <v>-2060.8336938</v>
      </c>
      <c r="F12" s="4" t="n">
        <f aca="false">-F6*Assumptions!F17/100</f>
        <v>-2032.33280229</v>
      </c>
      <c r="G12" s="4" t="n">
        <f aca="false">-G6*Assumptions!G17/100</f>
        <v>-2046.78494666184</v>
      </c>
      <c r="H12" s="4" t="n">
        <f aca="false">-H6*Assumptions!H17/100</f>
        <v>-2087.72064559508</v>
      </c>
      <c r="I12" s="4" t="n">
        <f aca="false">-I6*Assumptions!I17/100</f>
        <v>-2129.47505850698</v>
      </c>
      <c r="J12" s="4" t="n">
        <f aca="false">-J6*Assumptions!J17/100</f>
        <v>-2172.06455967712</v>
      </c>
      <c r="K12" s="4" t="n">
        <f aca="false">-K6*Assumptions!K17/100</f>
        <v>-2215.50585087066</v>
      </c>
      <c r="L12" s="4" t="n">
        <f aca="false">-L6*Assumptions!L17/100</f>
        <v>-2248.73843863372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7553.5653</v>
      </c>
      <c r="D13" s="0" t="n">
        <f aca="false">D11+D12</f>
        <v>6018.2878</v>
      </c>
      <c r="E13" s="0" t="n">
        <f aca="false">E11+E12</f>
        <v>6708.6713862</v>
      </c>
      <c r="F13" s="0" t="n">
        <f aca="false">F11+F12</f>
        <v>7451.88694173</v>
      </c>
      <c r="G13" s="0" t="n">
        <f aca="false">G11+G12</f>
        <v>7721.96138967876</v>
      </c>
      <c r="H13" s="0" t="n">
        <f aca="false">H11+H12</f>
        <v>7876.40061747234</v>
      </c>
      <c r="I13" s="0" t="n">
        <f aca="false">I11+I12</f>
        <v>8033.92862982178</v>
      </c>
      <c r="J13" s="0" t="n">
        <f aca="false">J11+J12</f>
        <v>8194.60720241822</v>
      </c>
      <c r="K13" s="0" t="n">
        <f aca="false">K11+K12</f>
        <v>8358.49934646659</v>
      </c>
      <c r="L13" s="0" t="n">
        <f aca="false">L11+L12</f>
        <v>8483.87683666358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5589.638322</v>
      </c>
      <c r="D15" s="0" t="n">
        <f aca="false">D13-MAX(0,D13)*D14/100</f>
        <v>4453.532972</v>
      </c>
      <c r="E15" s="0" t="n">
        <f aca="false">E13-MAX(0,E13)*E14/100</f>
        <v>4964.416825788</v>
      </c>
      <c r="F15" s="0" t="n">
        <f aca="false">F13-MAX(0,F13)*F14/100</f>
        <v>5514.3963368802</v>
      </c>
      <c r="G15" s="0" t="n">
        <f aca="false">G13-MAX(0,G13)*G14/100</f>
        <v>5714.25142836228</v>
      </c>
      <c r="H15" s="0" t="n">
        <f aca="false">H13-MAX(0,H13)*H14/100</f>
        <v>5828.53645692953</v>
      </c>
      <c r="I15" s="0" t="n">
        <f aca="false">I13-MAX(0,I13)*I14/100</f>
        <v>5945.10718606812</v>
      </c>
      <c r="J15" s="0" t="n">
        <f aca="false">J13-MAX(0,J13)*J14/100</f>
        <v>6064.00932978948</v>
      </c>
      <c r="K15" s="0" t="n">
        <f aca="false">K13-MAX(0,K13)*K14/100</f>
        <v>6185.28951638527</v>
      </c>
      <c r="L15" s="0" t="n">
        <f aca="false">L13-MAX(0,L13)*L14/100</f>
        <v>6278.06885913105</v>
      </c>
    </row>
    <row r="16" customFormat="false" ht="15" hidden="false" customHeight="false" outlineLevel="0" collapsed="false">
      <c r="A16" s="0" t="s">
        <v>117</v>
      </c>
      <c r="C16" s="0" t="n">
        <f aca="false">-C12</f>
        <v>2272.2107</v>
      </c>
      <c r="D16" s="0" t="n">
        <f aca="false">-D12</f>
        <v>2149.3885</v>
      </c>
      <c r="E16" s="0" t="n">
        <f aca="false">-E12</f>
        <v>2060.8336938</v>
      </c>
      <c r="F16" s="0" t="n">
        <f aca="false">-F12</f>
        <v>2032.33280229</v>
      </c>
      <c r="G16" s="0" t="n">
        <f aca="false">-G12</f>
        <v>2046.78494666184</v>
      </c>
      <c r="H16" s="0" t="n">
        <f aca="false">-H12</f>
        <v>2087.72064559508</v>
      </c>
      <c r="I16" s="0" t="n">
        <f aca="false">-I12</f>
        <v>2129.47505850698</v>
      </c>
      <c r="J16" s="0" t="n">
        <f aca="false">-J12</f>
        <v>2172.06455967712</v>
      </c>
      <c r="K16" s="0" t="n">
        <f aca="false">-K12</f>
        <v>2215.50585087066</v>
      </c>
      <c r="L16" s="0" t="n">
        <f aca="false">-L12</f>
        <v>2248.73843863372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-3991.7215</v>
      </c>
      <c r="D17" s="4" t="n">
        <f aca="false">-D6*Assumptions!D18/100</f>
        <v>-2794.20505</v>
      </c>
      <c r="E17" s="4" t="n">
        <f aca="false">-E6*Assumptions!E18/100</f>
        <v>-2850.089151</v>
      </c>
      <c r="F17" s="4" t="n">
        <f aca="false">-F6*Assumptions!F18/100</f>
        <v>-2935.59182553</v>
      </c>
      <c r="G17" s="4" t="n">
        <f aca="false">-G6*Assumptions!G18/100</f>
        <v>-3023.6595802959</v>
      </c>
      <c r="H17" s="4" t="n">
        <f aca="false">-H6*Assumptions!H18/100</f>
        <v>-3084.13277190182</v>
      </c>
      <c r="I17" s="4" t="n">
        <f aca="false">-I6*Assumptions!I18/100</f>
        <v>-3145.81542733985</v>
      </c>
      <c r="J17" s="4" t="n">
        <f aca="false">-J6*Assumptions!J18/100</f>
        <v>-3208.73173588665</v>
      </c>
      <c r="K17" s="4" t="n">
        <f aca="false">-K6*Assumptions!K18/100</f>
        <v>-3272.90637060439</v>
      </c>
      <c r="L17" s="4" t="n">
        <f aca="false">-L6*Assumptions!L18/100</f>
        <v>-3321.99996616345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3870.127522</v>
      </c>
      <c r="D19" s="0" t="n">
        <f aca="false">D15+D16+D17+D18</f>
        <v>3808.716422</v>
      </c>
      <c r="E19" s="0" t="n">
        <f aca="false">E15+E16+E17+E18</f>
        <v>4175.161368588</v>
      </c>
      <c r="F19" s="0" t="n">
        <f aca="false">F15+F16+F17+F18</f>
        <v>4611.1373136402</v>
      </c>
      <c r="G19" s="0" t="n">
        <f aca="false">G15+G16+G17+G18</f>
        <v>4737.37679472823</v>
      </c>
      <c r="H19" s="0" t="n">
        <f aca="false">H15+H16+H17+H18</f>
        <v>4832.12433062279</v>
      </c>
      <c r="I19" s="0" t="n">
        <f aca="false">I15+I16+I17+I18</f>
        <v>4928.76681723524</v>
      </c>
      <c r="J19" s="0" t="n">
        <f aca="false">J15+J16+J17+J18</f>
        <v>5027.34215357995</v>
      </c>
      <c r="K19" s="0" t="n">
        <f aca="false">K15+K16+K17+K18</f>
        <v>5127.88899665155</v>
      </c>
      <c r="L19" s="0" t="n">
        <f aca="false">L15+L16+L17+L18</f>
        <v>5204.80733160132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3583.45140925926</v>
      </c>
      <c r="D21" s="0" t="n">
        <f aca="false">D19*D20</f>
        <v>3265.36044410151</v>
      </c>
      <c r="E21" s="0" t="n">
        <f aca="false">E19*E20</f>
        <v>3314.37770584705</v>
      </c>
      <c r="F21" s="0" t="n">
        <f aca="false">F19*F20</f>
        <v>3389.32358086919</v>
      </c>
      <c r="G21" s="0" t="n">
        <f aca="false">G19*G20</f>
        <v>3224.17904450965</v>
      </c>
      <c r="H21" s="0" t="n">
        <f aca="false">H19*H20</f>
        <v>3045.05798648133</v>
      </c>
      <c r="I21" s="0" t="n">
        <f aca="false">I19*I20</f>
        <v>2875.88809834348</v>
      </c>
      <c r="J21" s="0" t="n">
        <f aca="false">J19*J20</f>
        <v>2716.1165373244</v>
      </c>
      <c r="K21" s="0" t="n">
        <f aca="false">K19*K20</f>
        <v>2565.22117413971</v>
      </c>
      <c r="L21" s="0" t="n">
        <f aca="false">L19*L20</f>
        <v>2410.83286273315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30389.8088436087</v>
      </c>
    </row>
    <row r="31" customFormat="false" ht="15" hidden="false" customHeight="false" outlineLevel="0" collapsed="false">
      <c r="A31" s="0" t="s">
        <v>126</v>
      </c>
      <c r="B31" s="0" t="n">
        <f aca="false">L19</f>
        <v>5204.80733160132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81275.0683319283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57252.8806476145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57252.8806476145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26519.1614900647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56908.9703336734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145356.970333673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41.5331973438525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-0.0654096007233911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41.5331973438525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39132.4403079655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34.4115589911441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8</v>
      </c>
      <c r="D5" s="4" t="n">
        <f aca="false">Assumptions!D27</f>
        <v>-22</v>
      </c>
      <c r="E5" s="4" t="n">
        <f aca="false">Assumptions!E27</f>
        <v>8</v>
      </c>
      <c r="F5" s="4" t="n">
        <f aca="false">Assumptions!F27</f>
        <v>6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57935</v>
      </c>
      <c r="C6" s="0" t="n">
        <f aca="false">B6*(1+C5/100)</f>
        <v>62569.8</v>
      </c>
      <c r="D6" s="0" t="n">
        <f aca="false">C6*(1+D5/100)</f>
        <v>48804.444</v>
      </c>
      <c r="E6" s="0" t="n">
        <f aca="false">D6*(1+E5/100)</f>
        <v>52708.79952</v>
      </c>
      <c r="F6" s="0" t="n">
        <f aca="false">E6*(1+F5/100)</f>
        <v>55871.3274912</v>
      </c>
      <c r="G6" s="0" t="n">
        <f aca="false">F6*(1+G5/100)</f>
        <v>57547.467315936</v>
      </c>
      <c r="H6" s="0" t="n">
        <f aca="false">G6*(1+H5/100)</f>
        <v>59273.8913354141</v>
      </c>
      <c r="I6" s="0" t="n">
        <f aca="false">H6*(1+I5/100)</f>
        <v>60755.7386187994</v>
      </c>
      <c r="J6" s="0" t="n">
        <f aca="false">I6*(1+J5/100)</f>
        <v>62274.6320842694</v>
      </c>
      <c r="K6" s="0" t="n">
        <f aca="false">J6*(1+K5/100)</f>
        <v>63831.4978863762</v>
      </c>
      <c r="L6" s="0" t="n">
        <f aca="false">K6*(1+L5/100)</f>
        <v>65108.1278441037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18</v>
      </c>
      <c r="D7" s="4" t="n">
        <f aca="false">Assumptions!D28</f>
        <v>23</v>
      </c>
      <c r="E7" s="4" t="n">
        <f aca="false">Assumptions!E28</f>
        <v>24</v>
      </c>
      <c r="F7" s="4" t="n">
        <f aca="false">Assumptions!F28</f>
        <v>24.5</v>
      </c>
      <c r="G7" s="4" t="n">
        <f aca="false">Assumptions!G28</f>
        <v>25</v>
      </c>
      <c r="H7" s="4" t="n">
        <f aca="false">Assumptions!H28</f>
        <v>25</v>
      </c>
      <c r="I7" s="4" t="n">
        <f aca="false">Assumptions!I28</f>
        <v>25</v>
      </c>
      <c r="J7" s="4" t="n">
        <f aca="false">Assumptions!J28</f>
        <v>25</v>
      </c>
      <c r="K7" s="4" t="n">
        <f aca="false">Assumptions!K28</f>
        <v>25</v>
      </c>
      <c r="L7" s="4" t="n">
        <f aca="false">Assumptions!L28</f>
        <v>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11262.564</v>
      </c>
      <c r="D8" s="0" t="n">
        <f aca="false">D6*D7/100</f>
        <v>11225.02212</v>
      </c>
      <c r="E8" s="0" t="n">
        <f aca="false">E6*E7/100</f>
        <v>12650.1118848</v>
      </c>
      <c r="F8" s="0" t="n">
        <f aca="false">F6*F7/100</f>
        <v>13688.475235344</v>
      </c>
      <c r="G8" s="0" t="n">
        <f aca="false">G6*G7/100</f>
        <v>14386.866828984</v>
      </c>
      <c r="H8" s="0" t="n">
        <f aca="false">H6*H7/100</f>
        <v>14818.4728338535</v>
      </c>
      <c r="I8" s="0" t="n">
        <f aca="false">I6*I7/100</f>
        <v>15188.9346546999</v>
      </c>
      <c r="J8" s="0" t="n">
        <f aca="false">J6*J7/100</f>
        <v>15568.6580210674</v>
      </c>
      <c r="K8" s="0" t="n">
        <f aca="false">K6*K7/100</f>
        <v>15957.874471594</v>
      </c>
      <c r="L8" s="0" t="n">
        <f aca="false">L6*L7/100</f>
        <v>16277.0319610259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11262.564</v>
      </c>
      <c r="D11" s="0" t="n">
        <f aca="false">D8+D10+D24</f>
        <v>11225.02212</v>
      </c>
      <c r="E11" s="0" t="n">
        <f aca="false">E8+E10+E24</f>
        <v>12650.1118848</v>
      </c>
      <c r="F11" s="0" t="n">
        <f aca="false">F8+F10+F24</f>
        <v>13688.475235344</v>
      </c>
      <c r="G11" s="0" t="n">
        <f aca="false">G8+G10+G24</f>
        <v>14386.866828984</v>
      </c>
      <c r="H11" s="0" t="n">
        <f aca="false">H8+H10+H24</f>
        <v>14818.4728338535</v>
      </c>
      <c r="I11" s="0" t="n">
        <f aca="false">I8+I10+I24</f>
        <v>15188.9346546999</v>
      </c>
      <c r="J11" s="0" t="n">
        <f aca="false">J8+J10+J24</f>
        <v>15568.6580210674</v>
      </c>
      <c r="K11" s="0" t="n">
        <f aca="false">K8+K10+K24</f>
        <v>15957.874471594</v>
      </c>
      <c r="L11" s="0" t="n">
        <f aca="false">L8+L10+L24</f>
        <v>16277.0319610259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-2252.5128</v>
      </c>
      <c r="D12" s="4" t="n">
        <f aca="false">-D6*Assumptions!D31/100</f>
        <v>-2196.19998</v>
      </c>
      <c r="E12" s="4" t="n">
        <f aca="false">-E6*Assumptions!E31/100</f>
        <v>-2266.47837936</v>
      </c>
      <c r="F12" s="4" t="n">
        <f aca="false">-F6*Assumptions!F31/100</f>
        <v>-2290.7244271392</v>
      </c>
      <c r="G12" s="4" t="n">
        <f aca="false">-G6*Assumptions!G31/100</f>
        <v>-2301.89869263744</v>
      </c>
      <c r="H12" s="4" t="n">
        <f aca="false">-H6*Assumptions!H31/100</f>
        <v>-2370.95565341656</v>
      </c>
      <c r="I12" s="4" t="n">
        <f aca="false">-I6*Assumptions!I31/100</f>
        <v>-2430.22954475198</v>
      </c>
      <c r="J12" s="4" t="n">
        <f aca="false">-J6*Assumptions!J31/100</f>
        <v>-2490.98528337078</v>
      </c>
      <c r="K12" s="4" t="n">
        <f aca="false">-K6*Assumptions!K31/100</f>
        <v>-2553.25991545505</v>
      </c>
      <c r="L12" s="4" t="n">
        <f aca="false">-L6*Assumptions!L31/100</f>
        <v>-2604.32511376415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9010.0512</v>
      </c>
      <c r="D13" s="0" t="n">
        <f aca="false">D11+D12</f>
        <v>9028.82214</v>
      </c>
      <c r="E13" s="0" t="n">
        <f aca="false">E11+E12</f>
        <v>10383.63350544</v>
      </c>
      <c r="F13" s="0" t="n">
        <f aca="false">F11+F12</f>
        <v>11397.7508082048</v>
      </c>
      <c r="G13" s="0" t="n">
        <f aca="false">G11+G12</f>
        <v>12084.9681363466</v>
      </c>
      <c r="H13" s="0" t="n">
        <f aca="false">H11+H12</f>
        <v>12447.517180437</v>
      </c>
      <c r="I13" s="0" t="n">
        <f aca="false">I11+I12</f>
        <v>12758.7051099479</v>
      </c>
      <c r="J13" s="0" t="n">
        <f aca="false">J11+J12</f>
        <v>13077.6727376966</v>
      </c>
      <c r="K13" s="0" t="n">
        <f aca="false">K11+K12</f>
        <v>13404.614556139</v>
      </c>
      <c r="L13" s="0" t="n">
        <f aca="false">L11+L12</f>
        <v>13672.7068472618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6757.5384</v>
      </c>
      <c r="D15" s="0" t="n">
        <f aca="false">D13-MAX(0,D13)*D14/100</f>
        <v>6771.616605</v>
      </c>
      <c r="E15" s="0" t="n">
        <f aca="false">E13-MAX(0,E13)*E14/100</f>
        <v>7787.72512908</v>
      </c>
      <c r="F15" s="0" t="n">
        <f aca="false">F13-MAX(0,F13)*F14/100</f>
        <v>8548.3131061536</v>
      </c>
      <c r="G15" s="0" t="n">
        <f aca="false">G13-MAX(0,G13)*G14/100</f>
        <v>9063.72610225992</v>
      </c>
      <c r="H15" s="0" t="n">
        <f aca="false">H13-MAX(0,H13)*H14/100</f>
        <v>9335.63788532772</v>
      </c>
      <c r="I15" s="0" t="n">
        <f aca="false">I13-MAX(0,I13)*I14/100</f>
        <v>9569.02883246091</v>
      </c>
      <c r="J15" s="0" t="n">
        <f aca="false">J13-MAX(0,J13)*J14/100</f>
        <v>9808.25455327244</v>
      </c>
      <c r="K15" s="0" t="n">
        <f aca="false">K13-MAX(0,K13)*K14/100</f>
        <v>10053.4609171042</v>
      </c>
      <c r="L15" s="0" t="n">
        <f aca="false">L13-MAX(0,L13)*L14/100</f>
        <v>10254.5301354463</v>
      </c>
    </row>
    <row r="16" customFormat="false" ht="15" hidden="false" customHeight="false" outlineLevel="0" collapsed="false">
      <c r="A16" s="0" t="s">
        <v>117</v>
      </c>
      <c r="C16" s="0" t="n">
        <f aca="false">-C12</f>
        <v>2252.5128</v>
      </c>
      <c r="D16" s="0" t="n">
        <f aca="false">-D12</f>
        <v>2196.19998</v>
      </c>
      <c r="E16" s="0" t="n">
        <f aca="false">-E12</f>
        <v>2266.47837936</v>
      </c>
      <c r="F16" s="0" t="n">
        <f aca="false">-F12</f>
        <v>2290.7244271392</v>
      </c>
      <c r="G16" s="0" t="n">
        <f aca="false">-G12</f>
        <v>2301.89869263744</v>
      </c>
      <c r="H16" s="0" t="n">
        <f aca="false">-H12</f>
        <v>2370.95565341656</v>
      </c>
      <c r="I16" s="0" t="n">
        <f aca="false">-I12</f>
        <v>2430.22954475198</v>
      </c>
      <c r="J16" s="0" t="n">
        <f aca="false">-J12</f>
        <v>2490.98528337078</v>
      </c>
      <c r="K16" s="0" t="n">
        <f aca="false">-K12</f>
        <v>2553.25991545505</v>
      </c>
      <c r="L16" s="0" t="n">
        <f aca="false">-L12</f>
        <v>2604.32511376415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-3754.188</v>
      </c>
      <c r="D17" s="4" t="n">
        <f aca="false">-D6*Assumptions!D32/100</f>
        <v>-2928.26664</v>
      </c>
      <c r="E17" s="4" t="n">
        <f aca="false">-E6*Assumptions!E32/100</f>
        <v>-3162.5279712</v>
      </c>
      <c r="F17" s="4" t="n">
        <f aca="false">-F6*Assumptions!F32/100</f>
        <v>-3352.279649472</v>
      </c>
      <c r="G17" s="4" t="n">
        <f aca="false">-G6*Assumptions!G32/100</f>
        <v>-3452.84803895616</v>
      </c>
      <c r="H17" s="4" t="n">
        <f aca="false">-H6*Assumptions!H32/100</f>
        <v>-3556.43348012485</v>
      </c>
      <c r="I17" s="4" t="n">
        <f aca="false">-I6*Assumptions!I32/100</f>
        <v>-3645.34431712797</v>
      </c>
      <c r="J17" s="4" t="n">
        <f aca="false">-J6*Assumptions!J32/100</f>
        <v>-3736.47792505617</v>
      </c>
      <c r="K17" s="4" t="n">
        <f aca="false">-K6*Assumptions!K32/100</f>
        <v>-3829.88987318257</v>
      </c>
      <c r="L17" s="4" t="n">
        <f aca="false">-L6*Assumptions!L32/100</f>
        <v>-3906.48767064622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5255.8632</v>
      </c>
      <c r="D19" s="0" t="n">
        <f aca="false">D15+D16+D17+D18</f>
        <v>6039.549945</v>
      </c>
      <c r="E19" s="0" t="n">
        <f aca="false">E15+E16+E17+E18</f>
        <v>6891.67553724</v>
      </c>
      <c r="F19" s="0" t="n">
        <f aca="false">F15+F16+F17+F18</f>
        <v>7486.75788382081</v>
      </c>
      <c r="G19" s="0" t="n">
        <f aca="false">G15+G16+G17+G18</f>
        <v>7912.7767559412</v>
      </c>
      <c r="H19" s="0" t="n">
        <f aca="false">H15+H16+H17+H18</f>
        <v>8150.16005861944</v>
      </c>
      <c r="I19" s="0" t="n">
        <f aca="false">I15+I16+I17+I18</f>
        <v>8353.91406008492</v>
      </c>
      <c r="J19" s="0" t="n">
        <f aca="false">J15+J16+J17+J18</f>
        <v>8562.76191158705</v>
      </c>
      <c r="K19" s="0" t="n">
        <f aca="false">K15+K16+K17+K18</f>
        <v>8776.83095937672</v>
      </c>
      <c r="L19" s="0" t="n">
        <f aca="false">L15+L16+L17+L18</f>
        <v>8952.36757856426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4866.54</v>
      </c>
      <c r="D21" s="0" t="n">
        <f aca="false">D19*D20</f>
        <v>5177.940625</v>
      </c>
      <c r="E21" s="0" t="n">
        <f aca="false">E19*E20</f>
        <v>5470.83423611111</v>
      </c>
      <c r="F21" s="0" t="n">
        <f aca="false">F19*F20</f>
        <v>5502.99054526749</v>
      </c>
      <c r="G21" s="0" t="n">
        <f aca="false">G19*G20</f>
        <v>5385.30290197283</v>
      </c>
      <c r="H21" s="0" t="n">
        <f aca="false">H19*H20</f>
        <v>5135.98332317779</v>
      </c>
      <c r="I21" s="0" t="n">
        <f aca="false">I19*I20</f>
        <v>4874.42861690485</v>
      </c>
      <c r="J21" s="0" t="n">
        <f aca="false">J19*J20</f>
        <v>4626.19382622914</v>
      </c>
      <c r="K21" s="0" t="n">
        <f aca="false">K19*K20</f>
        <v>4390.60062211562</v>
      </c>
      <c r="L21" s="0" t="n">
        <f aca="false">L19*L20</f>
        <v>4146.67836533142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49577.4930621103</v>
      </c>
    </row>
    <row r="31" customFormat="false" ht="15" hidden="false" customHeight="false" outlineLevel="0" collapsed="false">
      <c r="A31" s="0" t="s">
        <v>126</v>
      </c>
      <c r="B31" s="0" t="n">
        <f aca="false">L19</f>
        <v>8952.36757856426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152190.248835592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116380.778521335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116380.778521335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53906.8187493084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103484.311811419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191932.311811419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54.8412818788559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0.234052247499008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54.8412818788559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70241.6533087349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40.5353823135389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10</v>
      </c>
      <c r="D5" s="4" t="n">
        <f aca="false">Assumptions!D41</f>
        <v>-15</v>
      </c>
      <c r="E5" s="4" t="n">
        <f aca="false">Assumptions!E41</f>
        <v>10</v>
      </c>
      <c r="F5" s="4" t="n">
        <f aca="false">Assumptions!F41</f>
        <v>8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57935</v>
      </c>
      <c r="C6" s="0" t="n">
        <f aca="false">B6*(1+C5/100)</f>
        <v>63728.5</v>
      </c>
      <c r="D6" s="0" t="n">
        <f aca="false">C6*(1+D5/100)</f>
        <v>54169.225</v>
      </c>
      <c r="E6" s="0" t="n">
        <f aca="false">D6*(1+E5/100)</f>
        <v>59586.1475</v>
      </c>
      <c r="F6" s="0" t="n">
        <f aca="false">E6*(1+F5/100)</f>
        <v>64353.0393</v>
      </c>
      <c r="G6" s="0" t="n">
        <f aca="false">F6*(1+G5/100)</f>
        <v>67570.691265</v>
      </c>
      <c r="H6" s="0" t="n">
        <f aca="false">G6*(1+H5/100)</f>
        <v>70273.5189156</v>
      </c>
      <c r="I6" s="0" t="n">
        <f aca="false">H6*(1+I5/100)</f>
        <v>72733.092077646</v>
      </c>
      <c r="J6" s="0" t="n">
        <f aca="false">I6*(1+J5/100)</f>
        <v>74915.0848399754</v>
      </c>
      <c r="K6" s="0" t="n">
        <f aca="false">J6*(1+K5/100)</f>
        <v>77162.5373851747</v>
      </c>
      <c r="L6" s="0" t="n">
        <f aca="false">K6*(1+L5/100)</f>
        <v>79091.600819804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19</v>
      </c>
      <c r="D7" s="4" t="n">
        <f aca="false">Assumptions!D42</f>
        <v>25</v>
      </c>
      <c r="E7" s="4" t="n">
        <f aca="false">Assumptions!E42</f>
        <v>27</v>
      </c>
      <c r="F7" s="4" t="n">
        <f aca="false">Assumptions!F42</f>
        <v>28</v>
      </c>
      <c r="G7" s="4" t="n">
        <f aca="false">Assumptions!G42</f>
        <v>28</v>
      </c>
      <c r="H7" s="4" t="n">
        <f aca="false">Assumptions!H42</f>
        <v>28</v>
      </c>
      <c r="I7" s="4" t="n">
        <f aca="false">Assumptions!I42</f>
        <v>28</v>
      </c>
      <c r="J7" s="4" t="n">
        <f aca="false">Assumptions!J42</f>
        <v>28</v>
      </c>
      <c r="K7" s="4" t="n">
        <f aca="false">Assumptions!K42</f>
        <v>28</v>
      </c>
      <c r="L7" s="4" t="n">
        <f aca="false">Assumptions!L42</f>
        <v>28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12108.415</v>
      </c>
      <c r="D8" s="0" t="n">
        <f aca="false">D6*D7/100</f>
        <v>13542.30625</v>
      </c>
      <c r="E8" s="0" t="n">
        <f aca="false">E6*E7/100</f>
        <v>16088.259825</v>
      </c>
      <c r="F8" s="0" t="n">
        <f aca="false">F6*F7/100</f>
        <v>18018.851004</v>
      </c>
      <c r="G8" s="0" t="n">
        <f aca="false">G6*G7/100</f>
        <v>18919.7935542</v>
      </c>
      <c r="H8" s="0" t="n">
        <f aca="false">H6*H7/100</f>
        <v>19676.585296368</v>
      </c>
      <c r="I8" s="0" t="n">
        <f aca="false">I6*I7/100</f>
        <v>20365.2657817409</v>
      </c>
      <c r="J8" s="0" t="n">
        <f aca="false">J6*J7/100</f>
        <v>20976.2237551931</v>
      </c>
      <c r="K8" s="0" t="n">
        <f aca="false">K6*K7/100</f>
        <v>21605.5104678489</v>
      </c>
      <c r="L8" s="0" t="n">
        <f aca="false">L6*L7/100</f>
        <v>22145.6482295451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12108.415</v>
      </c>
      <c r="D11" s="0" t="n">
        <f aca="false">D8+D10+D24</f>
        <v>13542.30625</v>
      </c>
      <c r="E11" s="0" t="n">
        <f aca="false">E8+E10+E24</f>
        <v>16088.259825</v>
      </c>
      <c r="F11" s="0" t="n">
        <f aca="false">F8+F10+F24</f>
        <v>18018.851004</v>
      </c>
      <c r="G11" s="0" t="n">
        <f aca="false">G8+G10+G24</f>
        <v>18919.7935542</v>
      </c>
      <c r="H11" s="0" t="n">
        <f aca="false">H8+H10+H24</f>
        <v>19676.585296368</v>
      </c>
      <c r="I11" s="0" t="n">
        <f aca="false">I8+I10+I24</f>
        <v>20365.2657817409</v>
      </c>
      <c r="J11" s="0" t="n">
        <f aca="false">J8+J10+J24</f>
        <v>20976.2237551931</v>
      </c>
      <c r="K11" s="0" t="n">
        <f aca="false">K8+K10+K24</f>
        <v>21605.5104678489</v>
      </c>
      <c r="L11" s="0" t="n">
        <f aca="false">L8+L10+L24</f>
        <v>22145.6482295451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-2230.4975</v>
      </c>
      <c r="D12" s="4" t="n">
        <f aca="false">-D6*Assumptions!D45/100</f>
        <v>-2329.276675</v>
      </c>
      <c r="E12" s="4" t="n">
        <f aca="false">-E6*Assumptions!E45/100</f>
        <v>-2443.0320475</v>
      </c>
      <c r="F12" s="4" t="n">
        <f aca="false">-F6*Assumptions!F45/100</f>
        <v>-2574.121572</v>
      </c>
      <c r="G12" s="4" t="n">
        <f aca="false">-G6*Assumptions!G45/100</f>
        <v>-2635.256959335</v>
      </c>
      <c r="H12" s="4" t="n">
        <f aca="false">-H6*Assumptions!H45/100</f>
        <v>-2740.6672377084</v>
      </c>
      <c r="I12" s="4" t="n">
        <f aca="false">-I6*Assumptions!I45/100</f>
        <v>-2836.59059102819</v>
      </c>
      <c r="J12" s="4" t="n">
        <f aca="false">-J6*Assumptions!J45/100</f>
        <v>-2921.68830875904</v>
      </c>
      <c r="K12" s="4" t="n">
        <f aca="false">-K6*Assumptions!K45/100</f>
        <v>-3009.33895802181</v>
      </c>
      <c r="L12" s="4" t="n">
        <f aca="false">-L6*Assumptions!L45/100</f>
        <v>-3084.57243197236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9877.9175</v>
      </c>
      <c r="D13" s="0" t="n">
        <f aca="false">D11+D12</f>
        <v>11213.029575</v>
      </c>
      <c r="E13" s="0" t="n">
        <f aca="false">E11+E12</f>
        <v>13645.2277775</v>
      </c>
      <c r="F13" s="0" t="n">
        <f aca="false">F11+F12</f>
        <v>15444.729432</v>
      </c>
      <c r="G13" s="0" t="n">
        <f aca="false">G11+G12</f>
        <v>16284.536594865</v>
      </c>
      <c r="H13" s="0" t="n">
        <f aca="false">H11+H12</f>
        <v>16935.9180586596</v>
      </c>
      <c r="I13" s="0" t="n">
        <f aca="false">I11+I12</f>
        <v>17528.6751907127</v>
      </c>
      <c r="J13" s="0" t="n">
        <f aca="false">J11+J12</f>
        <v>18054.5354464341</v>
      </c>
      <c r="K13" s="0" t="n">
        <f aca="false">K11+K12</f>
        <v>18596.1715098271</v>
      </c>
      <c r="L13" s="0" t="n">
        <f aca="false">L11+L12</f>
        <v>19061.0757975728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7507.2173</v>
      </c>
      <c r="D15" s="0" t="n">
        <f aca="false">D13-MAX(0,D13)*D14/100</f>
        <v>8521.902477</v>
      </c>
      <c r="E15" s="0" t="n">
        <f aca="false">E13-MAX(0,E13)*E14/100</f>
        <v>10370.3731109</v>
      </c>
      <c r="F15" s="0" t="n">
        <f aca="false">F13-MAX(0,F13)*F14/100</f>
        <v>11737.99436832</v>
      </c>
      <c r="G15" s="0" t="n">
        <f aca="false">G13-MAX(0,G13)*G14/100</f>
        <v>12376.2478120974</v>
      </c>
      <c r="H15" s="0" t="n">
        <f aca="false">H13-MAX(0,H13)*H14/100</f>
        <v>12871.2977245813</v>
      </c>
      <c r="I15" s="0" t="n">
        <f aca="false">I13-MAX(0,I13)*I14/100</f>
        <v>13321.7931449416</v>
      </c>
      <c r="J15" s="0" t="n">
        <f aca="false">J13-MAX(0,J13)*J14/100</f>
        <v>13721.4469392899</v>
      </c>
      <c r="K15" s="0" t="n">
        <f aca="false">K13-MAX(0,K13)*K14/100</f>
        <v>14133.0903474686</v>
      </c>
      <c r="L15" s="0" t="n">
        <f aca="false">L13-MAX(0,L13)*L14/100</f>
        <v>14486.4176061553</v>
      </c>
    </row>
    <row r="16" customFormat="false" ht="15" hidden="false" customHeight="false" outlineLevel="0" collapsed="false">
      <c r="A16" s="0" t="s">
        <v>117</v>
      </c>
      <c r="C16" s="0" t="n">
        <f aca="false">-C12</f>
        <v>2230.4975</v>
      </c>
      <c r="D16" s="0" t="n">
        <f aca="false">-D12</f>
        <v>2329.276675</v>
      </c>
      <c r="E16" s="0" t="n">
        <f aca="false">-E12</f>
        <v>2443.0320475</v>
      </c>
      <c r="F16" s="0" t="n">
        <f aca="false">-F12</f>
        <v>2574.121572</v>
      </c>
      <c r="G16" s="0" t="n">
        <f aca="false">-G12</f>
        <v>2635.256959335</v>
      </c>
      <c r="H16" s="0" t="n">
        <f aca="false">-H12</f>
        <v>2740.6672377084</v>
      </c>
      <c r="I16" s="0" t="n">
        <f aca="false">-I12</f>
        <v>2836.59059102819</v>
      </c>
      <c r="J16" s="0" t="n">
        <f aca="false">-J12</f>
        <v>2921.68830875904</v>
      </c>
      <c r="K16" s="0" t="n">
        <f aca="false">-K12</f>
        <v>3009.33895802181</v>
      </c>
      <c r="L16" s="0" t="n">
        <f aca="false">-L12</f>
        <v>3084.57243197236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-3505.0675</v>
      </c>
      <c r="D17" s="4" t="n">
        <f aca="false">-D6*Assumptions!D46/100</f>
        <v>-2979.307375</v>
      </c>
      <c r="E17" s="4" t="n">
        <f aca="false">-E6*Assumptions!E46/100</f>
        <v>-3277.2381125</v>
      </c>
      <c r="F17" s="4" t="n">
        <f aca="false">-F6*Assumptions!F46/100</f>
        <v>-3539.4171615</v>
      </c>
      <c r="G17" s="4" t="n">
        <f aca="false">-G6*Assumptions!G46/100</f>
        <v>-3716.388019575</v>
      </c>
      <c r="H17" s="4" t="n">
        <f aca="false">-H6*Assumptions!H46/100</f>
        <v>-3865.043540358</v>
      </c>
      <c r="I17" s="4" t="n">
        <f aca="false">-I6*Assumptions!I46/100</f>
        <v>-4000.32006427053</v>
      </c>
      <c r="J17" s="4" t="n">
        <f aca="false">-J6*Assumptions!J46/100</f>
        <v>-4120.32966619865</v>
      </c>
      <c r="K17" s="4" t="n">
        <f aca="false">-K6*Assumptions!K46/100</f>
        <v>-4243.93955618461</v>
      </c>
      <c r="L17" s="4" t="n">
        <f aca="false">-L6*Assumptions!L46/100</f>
        <v>-4350.03804508922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0</v>
      </c>
      <c r="D18" s="4" t="n">
        <f aca="false">(D6-C6)*Assumptions!$B$51/100</f>
        <v>-0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6232.6473</v>
      </c>
      <c r="D19" s="0" t="n">
        <f aca="false">D15+D16+D17+D18</f>
        <v>7871.871777</v>
      </c>
      <c r="E19" s="0" t="n">
        <f aca="false">E15+E16+E17+E18</f>
        <v>9536.1670459</v>
      </c>
      <c r="F19" s="0" t="n">
        <f aca="false">F15+F16+F17+F18</f>
        <v>10772.69877882</v>
      </c>
      <c r="G19" s="0" t="n">
        <f aca="false">G15+G16+G17+G18</f>
        <v>11295.1167518574</v>
      </c>
      <c r="H19" s="0" t="n">
        <f aca="false">H15+H16+H17+H18</f>
        <v>11746.9214219317</v>
      </c>
      <c r="I19" s="0" t="n">
        <f aca="false">I15+I16+I17+I18</f>
        <v>12158.0636716993</v>
      </c>
      <c r="J19" s="0" t="n">
        <f aca="false">J15+J16+J17+J18</f>
        <v>12522.8055818503</v>
      </c>
      <c r="K19" s="0" t="n">
        <f aca="false">K15+K16+K17+K18</f>
        <v>12898.4897493058</v>
      </c>
      <c r="L19" s="0" t="n">
        <f aca="false">L15+L16+L17+L18</f>
        <v>13220.9519930384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5770.96972222222</v>
      </c>
      <c r="D21" s="0" t="n">
        <f aca="false">D19*D20</f>
        <v>6748.86126286008</v>
      </c>
      <c r="E21" s="0" t="n">
        <f aca="false">E19*E20</f>
        <v>7570.11685678949</v>
      </c>
      <c r="F21" s="0" t="n">
        <f aca="false">F19*F20</f>
        <v>7918.2551976166</v>
      </c>
      <c r="G21" s="0" t="n">
        <f aca="false">G19*G20</f>
        <v>7687.26666984861</v>
      </c>
      <c r="H21" s="0" t="n">
        <f aca="false">H19*H20</f>
        <v>7402.55308948385</v>
      </c>
      <c r="I21" s="0" t="n">
        <f aca="false">I19*I20</f>
        <v>7094.11337742202</v>
      </c>
      <c r="J21" s="0" t="n">
        <f aca="false">J19*J20</f>
        <v>6765.68220254137</v>
      </c>
      <c r="K21" s="0" t="n">
        <f aca="false">K19*K20</f>
        <v>6452.45617464594</v>
      </c>
      <c r="L21" s="0" t="n">
        <f aca="false">L19*L20</f>
        <v>6123.85886945563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69534.1334228858</v>
      </c>
    </row>
    <row r="31" customFormat="false" ht="15" hidden="false" customHeight="false" outlineLevel="0" collapsed="false">
      <c r="A31" s="0" t="s">
        <v>126</v>
      </c>
      <c r="B31" s="0" t="n">
        <f aca="false">L19</f>
        <v>13220.9519930384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246390.468961171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198314.279895577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198314.279895577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91857.8830418345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161392.01646472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249840.01646472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71.387389847219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0.606376909253352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71.387389847219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108411.806342915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47.2431006320986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41.5331973438525</v>
      </c>
      <c r="C4" s="0" t="n">
        <f aca="false">B4/Assumptions!$B$2-1</f>
        <v>-0.0654096007233911</v>
      </c>
      <c r="D4" s="4" t="n">
        <f aca="false">Assumptions!$B$24</f>
        <v>0.25</v>
      </c>
      <c r="E4" s="4" t="n">
        <f aca="false">DCF_Bear!$B$43</f>
        <v>41.5331973438525</v>
      </c>
      <c r="F4" s="4" t="n">
        <f aca="false">DCF_Bear!$B$47</f>
        <v>34.4115589911441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54.8412818788559</v>
      </c>
      <c r="C5" s="0" t="n">
        <f aca="false">B5/Assumptions!$B$2-1</f>
        <v>0.234052247499008</v>
      </c>
      <c r="D5" s="4" t="n">
        <f aca="false">Assumptions!$B$38</f>
        <v>0.5</v>
      </c>
      <c r="E5" s="4" t="n">
        <f aca="false">DCF_Base!$B$43</f>
        <v>54.8412818788559</v>
      </c>
      <c r="F5" s="4" t="n">
        <f aca="false">DCF_Base!$B$47</f>
        <v>40.5353823135389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71.387389847219</v>
      </c>
      <c r="C6" s="0" t="n">
        <f aca="false">B6/Assumptions!$B$2-1</f>
        <v>0.606376909253352</v>
      </c>
      <c r="D6" s="4" t="n">
        <f aca="false">Assumptions!$B$52</f>
        <v>0.25</v>
      </c>
      <c r="E6" s="4" t="n">
        <f aca="false">DCF_Bull!$B$43</f>
        <v>71.387389847219</v>
      </c>
      <c r="F6" s="4" t="n">
        <f aca="false">DCF_Bull!$B$47</f>
        <v>47.2431006320986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55.6507877371958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55.6507877371958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0.201448859810169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40.6813560625801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54.8412818788559</v>
      </c>
      <c r="C15" s="3" t="n">
        <v>8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52.8123652561533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50.7131411208743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47.7644578823182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45.4095068579027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40.5353823135389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59.5081015413615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59.5081015413615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59.5081015413615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59.5081015413615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59.5081015413615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57.0659054472776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57.0659054472776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57.0659054472776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57.0659054472776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57.0659054472776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54.8412818788559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54.8412818788559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54.8412818788559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54.8412818788559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54.8412818788559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52.4071706110407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52.8123652561533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52.8123652561533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52.8123652561533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52.8123652561533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49.2064273899271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49.915469145667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50.7131411208743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50.9596942768475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50.9596942768475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2026-10-16T03:49:00Z</dcterms:created>
  <dc:creator>openpyxl</dc:creator>
  <dc:description/>
  <dc:language>en-NZ</dc:language>
  <cp:lastModifiedBy/>
  <dcterms:modified xsi:type="dcterms:W3CDTF">2026-10-16T03:49:00Z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