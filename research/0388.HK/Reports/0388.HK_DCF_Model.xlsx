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<sst xmlns="http://schemas.openxmlformats.org/spreadsheetml/2006/main" count="360" uniqueCount="165">
  <si>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</si>
  <si>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0388.HK</t>
  </si>
  <si>
    <t xml:space="preserve">Company</t>
  </si>
  <si>
    <t xml:space="preserve">Hong Kong Exchanges and Clearing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</si>
  <si>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</si>
  <si>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</si>
  <si>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</si>
  <si>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</si>
  <si>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2026-09-25T08:08:12Z regular close (Yahoo Finance chart API)</t>
  </si>
  <si>
    <t xml:space="preserve">Balance sheet date</t>
  </si>
  <si>
    <t xml:space="preserve">2025-12-31 (Corporate Funds note); borrowings/lease refreshed to 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</si>
  <si>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</si>
  <si>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</si>
  <si>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</si>
  <si>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</si>
  <si>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</si>
  <si>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</si>
  <si>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</si>
  <si>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</si>
  <si>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</si>
  <si>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</si>
  <si>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2026-09-25T18:28:44Z</t>
  </si>
  <si>
    <t xml:space="preserve">Drivers file</t>
  </si>
  <si>
    <t xml:space="preserve">0388.HK_Drivers.json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</si>
  <si>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</si>
  <si>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</si>
  <si>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</si>
  <si>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HKEX is valued as an asset-light, high-margin, regulatory-monopoly operating company on owner FCF -- not as a bank, REIT or LIC. Participant margin and clearing-fund balances are excluded entirely (fully matched asset/liability pairs generating no net exposure beyond the investment spread already inside core business revenue); only the Group's own Corporate Funds treasury income is stripped as non-operating and offset by its matching asset in the bridge. The valuation deliberately does NOT extrapolate the FY2025/H1-FY2026 cyclical-peak growth rate, and caps the terminal multiple at 18x to avoid capitalizing today's rich ~22-23x EV/core-EBITDA market multiple into perpetuity.
key_risks_to_valuation: Trading-volume cyclicality: core business revenue is directly tied to ADT/ADV and IPO fundraising, both of which have historically swung double digits year to year (2021 peak -&gt; 2022 -9% -&gt; 2025 record +32%); HK/Mainland political and regulatory risk: franchise value is inseparable from confidence in Hong Kong's rule of law and its special capital-account access to Mainland China; LME litigation overhang: the September 2026 Elliott Competition Appeal Tribunal claim over the 2022 nickel crisis is unresolved and could result in fines, damages or further reputational damage; Interest-rate sensitivity of Margin Funds investment income (inside core revenue) and Corporate Funds income (stripped, valued via its matching asset) -- both compress in a falling-rate environment; Capex-supercycle execution: the HK$6.3bn HQ acquisition and the 2028 Orion Derivatives Platform build are large, multi-year commitments with limited near-term revenue offset; Terminal-value dependency at an 8.5% WACC / 3.5% terminal growth on a business whose historical growth has been lumpy rather than smooth</t>
  </si>
  <si>
    <t xml:space="preserve">Data sources</t>
  </si>
  <si>
    <t xml:space="preserve">price: Yahoo Finance chart API at inputs.price_as_of; 52-week range 360.0-460.2 HKD
financials: research/0388.HK/Reports/0388.HK_Metrics.csv (core_metrics export) and research/0388.HK/Extracted/0388.HK_Annual_FY2025.txt, 0388.HK_HalfYear_H1-2026.txt
qualitative: research/0388.HK/Reports/0388.HK_Analysis.json (2026-09-26)</t>
  </si>
  <si>
    <t xml:space="preserve">Scenario narrative: bear</t>
  </si>
  <si>
    <t xml:space="preserve">A China/HK sentiment or political shock (echoing 2022-2023), compounded by an adverse LME nickel-litigation outcome and falling-rate pressure on Margin Funds income, cuts volumes sharply in year 1 with only a modest, structurally-capped recovery.</t>
  </si>
  <si>
    <t xml:space="preserve">Scenario narrative: base</t>
  </si>
  <si>
    <t xml:space="preserve">Cyclical moderation off FY2025/H1-FY2026 record volumes into a structurally growing but more normal mid-single-digit trajectory, carried by Stock Connect deepening and the IPO reform pipeline; capex normalizes once the HQ acquisition completes in FY2027.</t>
  </si>
  <si>
    <t xml:space="preserve">Scenario narrative: bull</t>
  </si>
  <si>
    <t xml:space="preserve">The capital-diversification-into-Asia thesis compounds without a sentiment interruption: Stock Connect, IPO pipeline and LME all keep setting records, and operating leverage lifts margins above the FY2025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</si>
  <si>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</si>
  <si>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</si>
  <si>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</si>
  <si>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</si>
  <si>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</si>
  <si>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</si>
  <si>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</si>
  <si>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</si>
  <si>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</si>
  <si>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</si>
  <si>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</si>
  <si>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</si>
  <si>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</si>
  <si>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</si>
  <si>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</si>
  <si>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</si>
  <si>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</si>
  <si>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</si>
  <si>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</si>
  <si>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</si>
  <si>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</si>
  <si>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</si>
  <si>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</si>
  <si>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</si>
  <si>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</si>
  <si>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</si>
  <si>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</si>
  <si>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</si>
  <si>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</si>
  <si>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</si>
  <si>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</si>
  <si>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</si>
  <si>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</si>
  <si>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</si>
  <si>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</si>
  <si>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</si>
  <si>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</si>
  <si>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</si>
  <si>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</si>
  <si>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</si>
  <si>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</si>
  <si>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</si>
  <si>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</si>
  <si>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</si>
  <si>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</si>
  <si>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</si>
  <si>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</si>
  <si>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</si>
  <si>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</si>
  <si>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</si>
  <si>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</si>
  <si>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</si>
  <si>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</si>
  <si>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</si>
  <si>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</si>
  <si>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</si>
  <si>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</si>
  <si>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</si>
  <si>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</si>
  <si>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</si>
  <si>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</si>
  <si>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</si>
  <si>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</si>
  <si>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</si>
  <si>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</si>
  <si>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</si>
  <si>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</si>
  <si>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</si>
  <si>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</si>
  <si>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</si>
  <si>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</si>
  <si>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</si>
  <si>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</si>
  <si>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</si>
  <si>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0388.HK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</si>
  <si>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</si>
  <si>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</si>
  <si>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</si>
  <si>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</si>
  <si>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</si>
  <si>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</si>
  <si>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</si>
  <si>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</si>
  <si>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</si>
  <si>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</si>
  <si>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</si>
  <si>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</si>
  <si>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</si>
  <si>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</si>
  <si>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</si>
  <si>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</si>
  <si>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</si>
  <si>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</si>
  <si>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</si>
  <si>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</si>
  <si>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</si>
  <si>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</si>
  <si>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</si>
  <si>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</si>
  <si>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</si>
  <si>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</si>
  <si>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</si>
  <si>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</si>
  <si>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</si>
  <si>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</si>
  <si>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0388.HK owner-FCF component DCF: base case (millions, HKD)</t>
  </si>
  <si>
    <t xml:space="preserve">0388.HK owner-FCF component DCF: bull case (millions, HKD)</t>
  </si>
  <si>
    <t xml:space="preserve">0388.HK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</si>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</sst>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388.4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11116</v>
      </c>
      <c r="F2" s="0" t="n">
        <v>6890</v>
      </c>
      <c r="G2" s="0" t="n">
        <v>61.98</v>
      </c>
      <c r="H2" s="0" t="n">
        <v>7661</v>
      </c>
      <c r="I2" s="0" t="n">
        <v>5741</v>
      </c>
      <c r="J2" s="0" t="n">
        <v>51.65</v>
      </c>
      <c r="K2" s="0" t="n">
        <v>4.76</v>
      </c>
      <c r="O2" s="0" t="n">
        <v>32266</v>
      </c>
      <c r="P2" s="0" t="n">
        <v>247318</v>
      </c>
      <c r="Q2" s="0" t="n">
        <v>214934</v>
      </c>
      <c r="V2" s="0" t="n">
        <v>4.25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13180</v>
      </c>
      <c r="F3" s="0" t="n">
        <v>8756</v>
      </c>
      <c r="G3" s="0" t="n">
        <v>66.43</v>
      </c>
      <c r="H3" s="0" t="n">
        <v>9614</v>
      </c>
      <c r="I3" s="0" t="n">
        <v>7355</v>
      </c>
      <c r="J3" s="0" t="n">
        <v>55.8</v>
      </c>
      <c r="K3" s="0" t="n">
        <v>6.03</v>
      </c>
      <c r="L3" s="0" t="n">
        <v>7413</v>
      </c>
      <c r="M3" s="0" t="n">
        <v>688</v>
      </c>
      <c r="N3" s="0" t="n">
        <v>6725</v>
      </c>
      <c r="O3" s="0" t="n">
        <v>37273</v>
      </c>
      <c r="P3" s="0" t="n">
        <v>317604</v>
      </c>
      <c r="Q3" s="0" t="n">
        <v>280229</v>
      </c>
      <c r="R3" s="0" t="n">
        <v>1860</v>
      </c>
      <c r="S3" s="0" t="n">
        <v>13546</v>
      </c>
      <c r="U3" s="0" t="n">
        <v>220</v>
      </c>
      <c r="V3" s="0" t="n">
        <v>5.4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15867</v>
      </c>
      <c r="F4" s="0" t="n">
        <v>10995</v>
      </c>
      <c r="G4" s="0" t="n">
        <v>69.29</v>
      </c>
      <c r="H4" s="0" t="n">
        <v>11757</v>
      </c>
      <c r="I4" s="0" t="n">
        <v>9291</v>
      </c>
      <c r="J4" s="0" t="n">
        <v>58.56</v>
      </c>
      <c r="K4" s="0" t="n">
        <v>7.5</v>
      </c>
      <c r="L4" s="0" t="n">
        <v>9480</v>
      </c>
      <c r="M4" s="0" t="n">
        <v>860</v>
      </c>
      <c r="N4" s="0" t="n">
        <v>8620</v>
      </c>
      <c r="O4" s="0" t="n">
        <v>40729</v>
      </c>
      <c r="P4" s="0" t="n">
        <v>255948</v>
      </c>
      <c r="Q4" s="0" t="n">
        <v>215045</v>
      </c>
      <c r="R4" s="0" t="n">
        <v>1166</v>
      </c>
      <c r="S4" s="0" t="n">
        <v>11180</v>
      </c>
      <c r="T4" s="0" t="n">
        <v>1247</v>
      </c>
      <c r="U4" s="0" t="n">
        <v>226</v>
      </c>
      <c r="V4" s="0" t="n">
        <v>6.71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16311</v>
      </c>
      <c r="F5" s="0" t="n">
        <v>11219</v>
      </c>
      <c r="G5" s="0" t="n">
        <v>68.78</v>
      </c>
      <c r="H5" s="0" t="n">
        <v>12263</v>
      </c>
      <c r="I5" s="0" t="n">
        <v>9390</v>
      </c>
      <c r="J5" s="0" t="n">
        <v>57.57</v>
      </c>
      <c r="K5" s="0" t="n">
        <v>7.49</v>
      </c>
      <c r="L5" s="0" t="n">
        <v>10062</v>
      </c>
      <c r="M5" s="0" t="n">
        <v>1091</v>
      </c>
      <c r="N5" s="0" t="n">
        <v>8971</v>
      </c>
      <c r="O5" s="0" t="n">
        <v>44173</v>
      </c>
      <c r="P5" s="0" t="n">
        <v>279051</v>
      </c>
      <c r="Q5" s="0" t="n">
        <v>234550</v>
      </c>
      <c r="R5" s="0" t="n">
        <v>418</v>
      </c>
      <c r="S5" s="0" t="n">
        <v>10603</v>
      </c>
      <c r="T5" s="0" t="n">
        <v>1253.6</v>
      </c>
      <c r="U5" s="0" t="n">
        <v>240</v>
      </c>
      <c r="V5" s="0" t="n">
        <v>6.71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19190</v>
      </c>
      <c r="F6" s="0" t="n">
        <v>13444</v>
      </c>
      <c r="G6" s="0" t="n">
        <v>70.06</v>
      </c>
      <c r="H6" s="0" t="n">
        <v>14641</v>
      </c>
      <c r="I6" s="0" t="n">
        <v>11487</v>
      </c>
      <c r="J6" s="0" t="n">
        <v>59.86</v>
      </c>
      <c r="K6" s="0" t="n">
        <v>9.11</v>
      </c>
      <c r="L6" s="0" t="n">
        <v>14769</v>
      </c>
      <c r="M6" s="0" t="n">
        <v>1351</v>
      </c>
      <c r="N6" s="0" t="n">
        <v>13418</v>
      </c>
      <c r="O6" s="0" t="n">
        <v>48918</v>
      </c>
      <c r="P6" s="0" t="n">
        <v>399106</v>
      </c>
      <c r="Q6" s="0" t="n">
        <v>349870</v>
      </c>
      <c r="R6" s="0" t="n">
        <v>423</v>
      </c>
      <c r="S6" s="0" t="n">
        <v>10442</v>
      </c>
      <c r="T6" s="0" t="n">
        <v>1260.9</v>
      </c>
      <c r="U6" s="0" t="n">
        <v>281</v>
      </c>
      <c r="V6" s="0" t="n">
        <v>8.2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20950</v>
      </c>
      <c r="F7" s="0" t="n">
        <v>14915</v>
      </c>
      <c r="G7" s="0" t="n">
        <v>71.19</v>
      </c>
      <c r="H7" s="0" t="n">
        <v>16269</v>
      </c>
      <c r="I7" s="0" t="n">
        <v>12498</v>
      </c>
      <c r="J7" s="0" t="n">
        <v>59.66</v>
      </c>
      <c r="K7" s="0" t="n">
        <v>9.91</v>
      </c>
      <c r="L7" s="0" t="n">
        <v>12340</v>
      </c>
      <c r="M7" s="0" t="n">
        <v>1070</v>
      </c>
      <c r="N7" s="0" t="n">
        <v>11270</v>
      </c>
      <c r="O7" s="0" t="n">
        <v>49626</v>
      </c>
      <c r="P7" s="0" t="n">
        <v>399304</v>
      </c>
      <c r="Q7" s="0" t="n">
        <v>349394</v>
      </c>
      <c r="R7" s="0" t="n">
        <v>426</v>
      </c>
      <c r="S7" s="0" t="n">
        <v>12398</v>
      </c>
      <c r="T7" s="0" t="n">
        <v>1265.6</v>
      </c>
      <c r="U7" s="0" t="n">
        <v>324</v>
      </c>
      <c r="V7" s="0" t="n">
        <v>8.92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18456</v>
      </c>
      <c r="F8" s="0" t="n">
        <v>11726</v>
      </c>
      <c r="G8" s="0" t="n">
        <v>63.53</v>
      </c>
      <c r="H8" s="0" t="n">
        <v>13185</v>
      </c>
      <c r="I8" s="0" t="n">
        <v>10095</v>
      </c>
      <c r="J8" s="0" t="n">
        <v>54.7</v>
      </c>
      <c r="K8" s="0" t="n">
        <v>7.96</v>
      </c>
      <c r="L8" s="0" t="n">
        <v>14956</v>
      </c>
      <c r="M8" s="0" t="n">
        <v>1284</v>
      </c>
      <c r="N8" s="0" t="n">
        <v>13672</v>
      </c>
      <c r="O8" s="0" t="n">
        <v>49728</v>
      </c>
      <c r="P8" s="0" t="n">
        <v>406051</v>
      </c>
      <c r="Q8" s="0" t="n">
        <v>355952</v>
      </c>
      <c r="R8" s="0" t="n">
        <v>491</v>
      </c>
      <c r="S8" s="0" t="n">
        <v>15258</v>
      </c>
      <c r="T8" s="0" t="n">
        <v>1266</v>
      </c>
      <c r="U8" s="0" t="n">
        <v>380</v>
      </c>
      <c r="V8" s="0" t="n">
        <v>7.16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20516</v>
      </c>
      <c r="F9" s="0" t="n">
        <v>13385</v>
      </c>
      <c r="G9" s="0" t="n">
        <v>65.24</v>
      </c>
      <c r="H9" s="0" t="n">
        <v>14828</v>
      </c>
      <c r="I9" s="0" t="n">
        <v>11981</v>
      </c>
      <c r="J9" s="0" t="n">
        <v>58.4</v>
      </c>
      <c r="K9" s="0" t="n">
        <v>9.37</v>
      </c>
      <c r="L9" s="0" t="n">
        <v>11500</v>
      </c>
      <c r="M9" s="0" t="n">
        <v>1386</v>
      </c>
      <c r="N9" s="0" t="n">
        <v>10114</v>
      </c>
      <c r="O9" s="0" t="n">
        <v>51344</v>
      </c>
      <c r="P9" s="0" t="n">
        <v>341179</v>
      </c>
      <c r="Q9" s="0" t="n">
        <v>289383</v>
      </c>
      <c r="R9" s="0" t="n">
        <v>447</v>
      </c>
      <c r="S9" s="0" t="n">
        <v>9212</v>
      </c>
      <c r="T9" s="0" t="n">
        <v>1265.5</v>
      </c>
      <c r="U9" s="0" t="n">
        <v>399</v>
      </c>
      <c r="V9" s="0" t="n">
        <v>8.42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22374</v>
      </c>
      <c r="F10" s="0" t="n">
        <v>14879</v>
      </c>
      <c r="G10" s="0" t="n">
        <v>66.5</v>
      </c>
      <c r="H10" s="0" t="n">
        <v>16281</v>
      </c>
      <c r="I10" s="0" t="n">
        <v>13155</v>
      </c>
      <c r="J10" s="0" t="n">
        <v>58.8</v>
      </c>
      <c r="K10" s="0" t="n">
        <v>10.32</v>
      </c>
      <c r="L10" s="0" t="n">
        <v>12774</v>
      </c>
      <c r="M10" s="0" t="n">
        <v>1604</v>
      </c>
      <c r="N10" s="0" t="n">
        <v>11170</v>
      </c>
      <c r="O10" s="0" t="n">
        <v>53852</v>
      </c>
      <c r="P10" s="0" t="n">
        <v>381629</v>
      </c>
      <c r="Q10" s="0" t="n">
        <v>327222</v>
      </c>
      <c r="R10" s="0" t="n">
        <v>452</v>
      </c>
      <c r="S10" s="0" t="n">
        <v>13910</v>
      </c>
      <c r="T10" s="0" t="n">
        <v>1264.5</v>
      </c>
      <c r="U10" s="0" t="n">
        <v>390</v>
      </c>
      <c r="V10" s="0" t="n">
        <v>9.26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29161</v>
      </c>
      <c r="F11" s="0" t="n">
        <v>21228</v>
      </c>
      <c r="G11" s="0" t="n">
        <v>72.79</v>
      </c>
      <c r="H11" s="0" t="n">
        <v>22796</v>
      </c>
      <c r="I11" s="0" t="n">
        <v>17837</v>
      </c>
      <c r="J11" s="0" t="n">
        <v>61.17</v>
      </c>
      <c r="K11" s="0" t="n">
        <v>14.05</v>
      </c>
      <c r="L11" s="0" t="n">
        <v>25627</v>
      </c>
      <c r="M11" s="0" t="n">
        <v>4881</v>
      </c>
      <c r="N11" s="0" t="n">
        <v>20746</v>
      </c>
      <c r="O11" s="0" t="n">
        <v>58147</v>
      </c>
      <c r="P11" s="0" t="n">
        <v>580775</v>
      </c>
      <c r="Q11" s="0" t="n">
        <v>522046</v>
      </c>
      <c r="R11" s="0" t="n">
        <v>398</v>
      </c>
      <c r="S11" s="0" t="n">
        <v>19353</v>
      </c>
      <c r="T11" s="0" t="n">
        <v>1263.9</v>
      </c>
      <c r="U11" s="0" t="n">
        <v>361</v>
      </c>
      <c r="V11" s="0" t="n">
        <v>12.52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388.4</v>
      </c>
    </row>
    <row r="3" customFormat="false" ht="15" hidden="false" customHeight="false" outlineLevel="0" collapsed="false">
      <c r="A3" s="0" t="s">
        <v>76</v>
      </c>
      <c r="B3" s="3" t="n">
        <v>1267.5</v>
      </c>
    </row>
    <row r="4" customFormat="false" ht="15" hidden="false" customHeight="false" outlineLevel="0" collapsed="false">
      <c r="A4" s="0" t="s">
        <v>77</v>
      </c>
      <c r="B4" s="3" t="n">
        <v>398</v>
      </c>
    </row>
    <row r="5" customFormat="false" ht="15" hidden="false" customHeight="false" outlineLevel="0" collapsed="false">
      <c r="A5" s="0" t="s">
        <v>78</v>
      </c>
      <c r="B5" s="3" t="n">
        <v>39393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27103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-8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97</v>
      </c>
      <c r="C14" s="3" t="n">
        <v>68</v>
      </c>
      <c r="D14" s="3" t="n">
        <v>68.5</v>
      </c>
      <c r="E14" s="3" t="n">
        <v>69</v>
      </c>
      <c r="F14" s="3" t="n">
        <v>69.5</v>
      </c>
      <c r="G14" s="3" t="n">
        <v>70</v>
      </c>
      <c r="H14" s="3" t="n">
        <v>70</v>
      </c>
      <c r="I14" s="3" t="n">
        <v>70.5</v>
      </c>
      <c r="J14" s="3" t="n">
        <v>70.5</v>
      </c>
      <c r="K14" s="3" t="n">
        <v>71</v>
      </c>
      <c r="L14" s="3" t="n">
        <v>71</v>
      </c>
    </row>
    <row r="15" customFormat="false" ht="15" hidden="false" customHeight="false" outlineLevel="0" collapsed="false">
      <c r="A15" s="0" t="s">
        <v>98</v>
      </c>
      <c r="C15" s="3" t="n">
        <v>1.3</v>
      </c>
      <c r="D15" s="3" t="n">
        <v>1.3</v>
      </c>
      <c r="E15" s="3" t="n">
        <v>1.3</v>
      </c>
      <c r="F15" s="3" t="n">
        <v>1.3</v>
      </c>
      <c r="G15" s="3" t="n">
        <v>1.3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6</v>
      </c>
      <c r="D17" s="3" t="n">
        <v>6.5</v>
      </c>
      <c r="E17" s="3" t="n">
        <v>6.8</v>
      </c>
      <c r="F17" s="3" t="n">
        <v>6.8</v>
      </c>
      <c r="G17" s="3" t="n">
        <v>6.8</v>
      </c>
      <c r="H17" s="3" t="n">
        <v>6.8</v>
      </c>
      <c r="I17" s="3" t="n">
        <v>6.8</v>
      </c>
      <c r="J17" s="3" t="n">
        <v>6.8</v>
      </c>
      <c r="K17" s="3" t="n">
        <v>6.8</v>
      </c>
      <c r="L17" s="3" t="n">
        <v>6.8</v>
      </c>
    </row>
    <row r="18" customFormat="false" ht="15" hidden="false" customHeight="false" outlineLevel="0" collapsed="false">
      <c r="A18" s="0" t="s">
        <v>101</v>
      </c>
      <c r="C18" s="3" t="n">
        <v>16</v>
      </c>
      <c r="D18" s="3" t="n">
        <v>9.5</v>
      </c>
      <c r="E18" s="3" t="n">
        <v>7.5</v>
      </c>
      <c r="F18" s="3" t="n">
        <v>7.2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102</v>
      </c>
      <c r="C19" s="3" t="n">
        <v>15.5</v>
      </c>
      <c r="D19" s="3" t="n">
        <v>15.5</v>
      </c>
      <c r="E19" s="3" t="n">
        <v>15.5</v>
      </c>
      <c r="F19" s="3" t="n">
        <v>15.5</v>
      </c>
      <c r="G19" s="3" t="n">
        <v>15.5</v>
      </c>
      <c r="H19" s="3" t="n">
        <v>15.5</v>
      </c>
      <c r="I19" s="3" t="n">
        <v>15.5</v>
      </c>
      <c r="J19" s="3" t="n">
        <v>15.5</v>
      </c>
      <c r="K19" s="3" t="n">
        <v>15.5</v>
      </c>
      <c r="L19" s="3" t="n">
        <v>15.5</v>
      </c>
    </row>
    <row r="20" customFormat="false" ht="15" hidden="false" customHeight="false" outlineLevel="0" collapsed="false">
      <c r="A20" s="0" t="s">
        <v>103</v>
      </c>
      <c r="B20" s="3" t="n">
        <v>8.5</v>
      </c>
    </row>
    <row r="21" customFormat="false" ht="15" hidden="false" customHeight="false" outlineLevel="0" collapsed="false">
      <c r="A21" s="0" t="s">
        <v>104</v>
      </c>
      <c r="B21" s="3" t="n">
        <v>2.5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3</v>
      </c>
    </row>
    <row r="24" customFormat="false" ht="15" hidden="false" customHeight="false" outlineLevel="0" collapsed="false">
      <c r="A24" s="0" t="s">
        <v>107</v>
      </c>
      <c r="B24" s="3" t="n">
        <v>0.2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12</v>
      </c>
      <c r="D27" s="3" t="n">
        <v>9</v>
      </c>
      <c r="E27" s="3" t="n">
        <v>7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97</v>
      </c>
      <c r="C28" s="3" t="n">
        <v>75</v>
      </c>
      <c r="D28" s="3" t="n">
        <v>74.5</v>
      </c>
      <c r="E28" s="3" t="n">
        <v>74.5</v>
      </c>
      <c r="F28" s="3" t="n">
        <v>75</v>
      </c>
      <c r="G28" s="3" t="n">
        <v>75</v>
      </c>
      <c r="H28" s="3" t="n">
        <v>75.5</v>
      </c>
      <c r="I28" s="3" t="n">
        <v>75.5</v>
      </c>
      <c r="J28" s="3" t="n">
        <v>76</v>
      </c>
      <c r="K28" s="3" t="n">
        <v>76</v>
      </c>
      <c r="L28" s="3" t="n">
        <v>76</v>
      </c>
    </row>
    <row r="29" customFormat="false" ht="15" hidden="false" customHeight="false" outlineLevel="0" collapsed="false">
      <c r="A29" s="0" t="s">
        <v>98</v>
      </c>
      <c r="C29" s="3" t="n">
        <v>1.3</v>
      </c>
      <c r="D29" s="3" t="n">
        <v>1.3</v>
      </c>
      <c r="E29" s="3" t="n">
        <v>1.3</v>
      </c>
      <c r="F29" s="3" t="n">
        <v>1.3</v>
      </c>
      <c r="G29" s="3" t="n">
        <v>1.3</v>
      </c>
      <c r="H29" s="3" t="n">
        <v>1.3</v>
      </c>
      <c r="I29" s="3" t="n">
        <v>1.3</v>
      </c>
      <c r="J29" s="3" t="n">
        <v>1.3</v>
      </c>
      <c r="K29" s="3" t="n">
        <v>1.3</v>
      </c>
      <c r="L29" s="3" t="n">
        <v>1.3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6</v>
      </c>
      <c r="D31" s="3" t="n">
        <v>6.3</v>
      </c>
      <c r="E31" s="3" t="n">
        <v>6.5</v>
      </c>
      <c r="F31" s="3" t="n">
        <v>6.5</v>
      </c>
      <c r="G31" s="3" t="n">
        <v>6.5</v>
      </c>
      <c r="H31" s="3" t="n">
        <v>6.5</v>
      </c>
      <c r="I31" s="3" t="n">
        <v>6.5</v>
      </c>
      <c r="J31" s="3" t="n">
        <v>6.5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101</v>
      </c>
      <c r="C32" s="3" t="n">
        <v>16</v>
      </c>
      <c r="D32" s="3" t="n">
        <v>9</v>
      </c>
      <c r="E32" s="3" t="n">
        <v>7</v>
      </c>
      <c r="F32" s="3" t="n">
        <v>6.8</v>
      </c>
      <c r="G32" s="3" t="n">
        <v>6.8</v>
      </c>
      <c r="H32" s="3" t="n">
        <v>6.8</v>
      </c>
      <c r="I32" s="3" t="n">
        <v>6.8</v>
      </c>
      <c r="J32" s="3" t="n">
        <v>6.8</v>
      </c>
      <c r="K32" s="3" t="n">
        <v>6.8</v>
      </c>
      <c r="L32" s="3" t="n">
        <v>6.8</v>
      </c>
    </row>
    <row r="33" customFormat="false" ht="15" hidden="false" customHeight="false" outlineLevel="0" collapsed="false">
      <c r="A33" s="0" t="s">
        <v>102</v>
      </c>
      <c r="C33" s="3" t="n">
        <v>15.5</v>
      </c>
      <c r="D33" s="3" t="n">
        <v>15.5</v>
      </c>
      <c r="E33" s="3" t="n">
        <v>15.5</v>
      </c>
      <c r="F33" s="3" t="n">
        <v>15.5</v>
      </c>
      <c r="G33" s="3" t="n">
        <v>15.5</v>
      </c>
      <c r="H33" s="3" t="n">
        <v>15.5</v>
      </c>
      <c r="I33" s="3" t="n">
        <v>15.5</v>
      </c>
      <c r="J33" s="3" t="n">
        <v>15.5</v>
      </c>
      <c r="K33" s="3" t="n">
        <v>15.5</v>
      </c>
      <c r="L33" s="3" t="n">
        <v>15.5</v>
      </c>
    </row>
    <row r="34" customFormat="false" ht="15" hidden="false" customHeight="false" outlineLevel="0" collapsed="false">
      <c r="A34" s="0" t="s">
        <v>103</v>
      </c>
      <c r="B34" s="3" t="n">
        <v>8.5</v>
      </c>
    </row>
    <row r="35" customFormat="false" ht="15" hidden="false" customHeight="false" outlineLevel="0" collapsed="false">
      <c r="A35" s="0" t="s">
        <v>104</v>
      </c>
      <c r="B35" s="3" t="n">
        <v>3.5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6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18</v>
      </c>
      <c r="D41" s="3" t="n">
        <v>15</v>
      </c>
      <c r="E41" s="3" t="n">
        <v>12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97</v>
      </c>
      <c r="C42" s="3" t="n">
        <v>76</v>
      </c>
      <c r="D42" s="3" t="n">
        <v>76.5</v>
      </c>
      <c r="E42" s="3" t="n">
        <v>77</v>
      </c>
      <c r="F42" s="3" t="n">
        <v>77.5</v>
      </c>
      <c r="G42" s="3" t="n">
        <v>78</v>
      </c>
      <c r="H42" s="3" t="n">
        <v>78</v>
      </c>
      <c r="I42" s="3" t="n">
        <v>78.5</v>
      </c>
      <c r="J42" s="3" t="n">
        <v>78.5</v>
      </c>
      <c r="K42" s="3" t="n">
        <v>79</v>
      </c>
      <c r="L42" s="3" t="n">
        <v>79</v>
      </c>
    </row>
    <row r="43" customFormat="false" ht="15" hidden="false" customHeight="false" outlineLevel="0" collapsed="false">
      <c r="A43" s="0" t="s">
        <v>98</v>
      </c>
      <c r="C43" s="3" t="n">
        <v>1.3</v>
      </c>
      <c r="D43" s="3" t="n">
        <v>1.3</v>
      </c>
      <c r="E43" s="3" t="n">
        <v>1.3</v>
      </c>
      <c r="F43" s="3" t="n">
        <v>1.3</v>
      </c>
      <c r="G43" s="3" t="n">
        <v>1.3</v>
      </c>
      <c r="H43" s="3" t="n">
        <v>1.3</v>
      </c>
      <c r="I43" s="3" t="n">
        <v>1.3</v>
      </c>
      <c r="J43" s="3" t="n">
        <v>1.3</v>
      </c>
      <c r="K43" s="3" t="n">
        <v>1.3</v>
      </c>
      <c r="L43" s="3" t="n">
        <v>1.3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6</v>
      </c>
      <c r="D45" s="3" t="n">
        <v>6.2</v>
      </c>
      <c r="E45" s="3" t="n">
        <v>6.3</v>
      </c>
      <c r="F45" s="3" t="n">
        <v>6.3</v>
      </c>
      <c r="G45" s="3" t="n">
        <v>6.3</v>
      </c>
      <c r="H45" s="3" t="n">
        <v>6.3</v>
      </c>
      <c r="I45" s="3" t="n">
        <v>6.3</v>
      </c>
      <c r="J45" s="3" t="n">
        <v>6.3</v>
      </c>
      <c r="K45" s="3" t="n">
        <v>6.3</v>
      </c>
      <c r="L45" s="3" t="n">
        <v>6.3</v>
      </c>
    </row>
    <row r="46" customFormat="false" ht="15" hidden="false" customHeight="false" outlineLevel="0" collapsed="false">
      <c r="A46" s="0" t="s">
        <v>101</v>
      </c>
      <c r="C46" s="3" t="n">
        <v>16</v>
      </c>
      <c r="D46" s="3" t="n">
        <v>9</v>
      </c>
      <c r="E46" s="3" t="n">
        <v>7</v>
      </c>
      <c r="F46" s="3" t="n">
        <v>6.5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102</v>
      </c>
      <c r="C47" s="3" t="n">
        <v>15.5</v>
      </c>
      <c r="D47" s="3" t="n">
        <v>15.5</v>
      </c>
      <c r="E47" s="3" t="n">
        <v>15.5</v>
      </c>
      <c r="F47" s="3" t="n">
        <v>15.5</v>
      </c>
      <c r="G47" s="3" t="n">
        <v>15.5</v>
      </c>
      <c r="H47" s="3" t="n">
        <v>15.5</v>
      </c>
      <c r="I47" s="3" t="n">
        <v>15.5</v>
      </c>
      <c r="J47" s="3" t="n">
        <v>15.5</v>
      </c>
      <c r="K47" s="3" t="n">
        <v>15.5</v>
      </c>
      <c r="L47" s="3" t="n">
        <v>15.5</v>
      </c>
    </row>
    <row r="48" customFormat="false" ht="15" hidden="false" customHeight="false" outlineLevel="0" collapsed="false">
      <c r="A48" s="0" t="s">
        <v>103</v>
      </c>
      <c r="B48" s="3" t="n">
        <v>8.5</v>
      </c>
    </row>
    <row r="49" customFormat="false" ht="15" hidden="false" customHeight="false" outlineLevel="0" collapsed="false">
      <c r="A49" s="0" t="s">
        <v>104</v>
      </c>
      <c r="B49" s="3" t="n">
        <v>4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8</v>
      </c>
    </row>
    <row r="52" customFormat="false" ht="15" hidden="false" customHeight="false" outlineLevel="0" collapsed="false">
      <c r="A52" s="0" t="s">
        <v>107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-8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27103</v>
      </c>
      <c r="C6" s="0" t="n">
        <f aca="false">B6*(1+C5/100)</f>
        <v>24934.76</v>
      </c>
      <c r="D6" s="0" t="n">
        <f aca="false">C6*(1+D5/100)</f>
        <v>25433.4552</v>
      </c>
      <c r="E6" s="0" t="n">
        <f aca="false">D6*(1+E5/100)</f>
        <v>26196.458856</v>
      </c>
      <c r="F6" s="0" t="n">
        <f aca="false">E6*(1+F5/100)</f>
        <v>26982.35262168</v>
      </c>
      <c r="G6" s="0" t="n">
        <f aca="false">F6*(1+G5/100)</f>
        <v>27791.8232003304</v>
      </c>
      <c r="H6" s="0" t="n">
        <f aca="false">G6*(1+H5/100)</f>
        <v>28625.5778963403</v>
      </c>
      <c r="I6" s="0" t="n">
        <f aca="false">H6*(1+I5/100)</f>
        <v>29484.3452332305</v>
      </c>
      <c r="J6" s="0" t="n">
        <f aca="false">I6*(1+J5/100)</f>
        <v>30368.8755902275</v>
      </c>
      <c r="K6" s="0" t="n">
        <f aca="false">J6*(1+K5/100)</f>
        <v>31279.9418579343</v>
      </c>
      <c r="L6" s="0" t="n">
        <f aca="false">K6*(1+L5/100)</f>
        <v>32218.3401136723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68</v>
      </c>
      <c r="D7" s="4" t="n">
        <f aca="false">Assumptions!D14</f>
        <v>68.5</v>
      </c>
      <c r="E7" s="4" t="n">
        <f aca="false">Assumptions!E14</f>
        <v>69</v>
      </c>
      <c r="F7" s="4" t="n">
        <f aca="false">Assumptions!F14</f>
        <v>69.5</v>
      </c>
      <c r="G7" s="4" t="n">
        <f aca="false">Assumptions!G14</f>
        <v>70</v>
      </c>
      <c r="H7" s="4" t="n">
        <f aca="false">Assumptions!H14</f>
        <v>70</v>
      </c>
      <c r="I7" s="4" t="n">
        <f aca="false">Assumptions!I14</f>
        <v>70.5</v>
      </c>
      <c r="J7" s="4" t="n">
        <f aca="false">Assumptions!J14</f>
        <v>70.5</v>
      </c>
      <c r="K7" s="4" t="n">
        <f aca="false">Assumptions!K14</f>
        <v>71</v>
      </c>
      <c r="L7" s="4" t="n">
        <f aca="false">Assumptions!L14</f>
        <v>71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16955.6368</v>
      </c>
      <c r="D8" s="0" t="n">
        <f aca="false">D6*D7/100</f>
        <v>17421.916812</v>
      </c>
      <c r="E8" s="0" t="n">
        <f aca="false">E6*E7/100</f>
        <v>18075.55661064</v>
      </c>
      <c r="F8" s="0" t="n">
        <f aca="false">F6*F7/100</f>
        <v>18752.7350720676</v>
      </c>
      <c r="G8" s="0" t="n">
        <f aca="false">G6*G7/100</f>
        <v>19454.2762402313</v>
      </c>
      <c r="H8" s="0" t="n">
        <f aca="false">H6*H7/100</f>
        <v>20037.9045274382</v>
      </c>
      <c r="I8" s="0" t="n">
        <f aca="false">I6*I7/100</f>
        <v>20786.4633894275</v>
      </c>
      <c r="J8" s="0" t="n">
        <f aca="false">J6*J7/100</f>
        <v>21410.0572911104</v>
      </c>
      <c r="K8" s="0" t="n">
        <f aca="false">K6*K7/100</f>
        <v>22208.7587191333</v>
      </c>
      <c r="L8" s="0" t="n">
        <f aca="false">L6*L7/100</f>
        <v>22875.0214807073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1.3</v>
      </c>
      <c r="D9" s="4" t="n">
        <f aca="false">Assumptions!D15</f>
        <v>1.3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1.3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-324.15188</v>
      </c>
      <c r="D10" s="0" t="n">
        <f aca="false">-D6*D9/100</f>
        <v>-330.6349176</v>
      </c>
      <c r="E10" s="0" t="n">
        <f aca="false">-E6*E9/100</f>
        <v>-340.553965128</v>
      </c>
      <c r="F10" s="0" t="n">
        <f aca="false">-F6*F9/100</f>
        <v>-350.77058408184</v>
      </c>
      <c r="G10" s="0" t="n">
        <f aca="false">-G6*G9/100</f>
        <v>-361.293701604295</v>
      </c>
      <c r="H10" s="0" t="n">
        <f aca="false">-H6*H9/100</f>
        <v>-372.132512652424</v>
      </c>
      <c r="I10" s="0" t="n">
        <f aca="false">-I6*I9/100</f>
        <v>-383.296488031997</v>
      </c>
      <c r="J10" s="0" t="n">
        <f aca="false">-J6*J9/100</f>
        <v>-394.795382672957</v>
      </c>
      <c r="K10" s="0" t="n">
        <f aca="false">-K6*K9/100</f>
        <v>-406.639244153146</v>
      </c>
      <c r="L10" s="0" t="n">
        <f aca="false">-L6*L9/100</f>
        <v>-418.83842147774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16631.48492</v>
      </c>
      <c r="D11" s="0" t="n">
        <f aca="false">D8+D10+D24</f>
        <v>17091.2818944</v>
      </c>
      <c r="E11" s="0" t="n">
        <f aca="false">E8+E10+E24</f>
        <v>17735.002645512</v>
      </c>
      <c r="F11" s="0" t="n">
        <f aca="false">F8+F10+F24</f>
        <v>18401.9644879858</v>
      </c>
      <c r="G11" s="0" t="n">
        <f aca="false">G8+G10+G24</f>
        <v>19092.982538627</v>
      </c>
      <c r="H11" s="0" t="n">
        <f aca="false">H8+H10+H24</f>
        <v>19665.7720147858</v>
      </c>
      <c r="I11" s="0" t="n">
        <f aca="false">I8+I10+I24</f>
        <v>20403.1669013955</v>
      </c>
      <c r="J11" s="0" t="n">
        <f aca="false">J8+J10+J24</f>
        <v>21015.2619084374</v>
      </c>
      <c r="K11" s="0" t="n">
        <f aca="false">K8+K10+K24</f>
        <v>21802.1194749802</v>
      </c>
      <c r="L11" s="0" t="n">
        <f aca="false">L8+L10+L24</f>
        <v>22456.1830592296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-1496.0856</v>
      </c>
      <c r="D12" s="4" t="n">
        <f aca="false">-D6*Assumptions!D17/100</f>
        <v>-1653.174588</v>
      </c>
      <c r="E12" s="4" t="n">
        <f aca="false">-E6*Assumptions!E17/100</f>
        <v>-1781.359202208</v>
      </c>
      <c r="F12" s="4" t="n">
        <f aca="false">-F6*Assumptions!F17/100</f>
        <v>-1834.79997827424</v>
      </c>
      <c r="G12" s="4" t="n">
        <f aca="false">-G6*Assumptions!G17/100</f>
        <v>-1889.84397762247</v>
      </c>
      <c r="H12" s="4" t="n">
        <f aca="false">-H6*Assumptions!H17/100</f>
        <v>-1946.53929695114</v>
      </c>
      <c r="I12" s="4" t="n">
        <f aca="false">-I6*Assumptions!I17/100</f>
        <v>-2004.93547585968</v>
      </c>
      <c r="J12" s="4" t="n">
        <f aca="false">-J6*Assumptions!J17/100</f>
        <v>-2065.08354013547</v>
      </c>
      <c r="K12" s="4" t="n">
        <f aca="false">-K6*Assumptions!K17/100</f>
        <v>-2127.03604633953</v>
      </c>
      <c r="L12" s="4" t="n">
        <f aca="false">-L6*Assumptions!L17/100</f>
        <v>-2190.84712772972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15135.39932</v>
      </c>
      <c r="D13" s="0" t="n">
        <f aca="false">D11+D12</f>
        <v>15438.1073064</v>
      </c>
      <c r="E13" s="0" t="n">
        <f aca="false">E11+E12</f>
        <v>15953.643443304</v>
      </c>
      <c r="F13" s="0" t="n">
        <f aca="false">F11+F12</f>
        <v>16567.1645097115</v>
      </c>
      <c r="G13" s="0" t="n">
        <f aca="false">G11+G12</f>
        <v>17203.1385610045</v>
      </c>
      <c r="H13" s="0" t="n">
        <f aca="false">H11+H12</f>
        <v>17719.2327178347</v>
      </c>
      <c r="I13" s="0" t="n">
        <f aca="false">I11+I12</f>
        <v>18398.2314255359</v>
      </c>
      <c r="J13" s="0" t="n">
        <f aca="false">J11+J12</f>
        <v>18950.1783683019</v>
      </c>
      <c r="K13" s="0" t="n">
        <f aca="false">K11+K12</f>
        <v>19675.0834286407</v>
      </c>
      <c r="L13" s="0" t="n">
        <f aca="false">L11+L12</f>
        <v>20265.3359314999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15.5</v>
      </c>
      <c r="D14" s="4" t="n">
        <f aca="false">Assumptions!D19</f>
        <v>15.5</v>
      </c>
      <c r="E14" s="4" t="n">
        <f aca="false">Assumptions!E19</f>
        <v>15.5</v>
      </c>
      <c r="F14" s="4" t="n">
        <f aca="false">Assumptions!F19</f>
        <v>15.5</v>
      </c>
      <c r="G14" s="4" t="n">
        <f aca="false">Assumptions!G19</f>
        <v>15.5</v>
      </c>
      <c r="H14" s="4" t="n">
        <f aca="false">Assumptions!H19</f>
        <v>15.5</v>
      </c>
      <c r="I14" s="4" t="n">
        <f aca="false">Assumptions!I19</f>
        <v>15.5</v>
      </c>
      <c r="J14" s="4" t="n">
        <f aca="false">Assumptions!J19</f>
        <v>15.5</v>
      </c>
      <c r="K14" s="4" t="n">
        <f aca="false">Assumptions!K19</f>
        <v>15.5</v>
      </c>
      <c r="L14" s="4" t="n">
        <f aca="false">Assumptions!L19</f>
        <v>15.5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12789.4124254</v>
      </c>
      <c r="D15" s="0" t="n">
        <f aca="false">D13-MAX(0,D13)*D14/100</f>
        <v>13045.200673908</v>
      </c>
      <c r="E15" s="0" t="n">
        <f aca="false">E13-MAX(0,E13)*E14/100</f>
        <v>13480.8287095919</v>
      </c>
      <c r="F15" s="0" t="n">
        <f aca="false">F13-MAX(0,F13)*F14/100</f>
        <v>13999.2540107062</v>
      </c>
      <c r="G15" s="0" t="n">
        <f aca="false">G13-MAX(0,G13)*G14/100</f>
        <v>14536.6520840488</v>
      </c>
      <c r="H15" s="0" t="n">
        <f aca="false">H13-MAX(0,H13)*H14/100</f>
        <v>14972.7516465703</v>
      </c>
      <c r="I15" s="0" t="n">
        <f aca="false">I13-MAX(0,I13)*I14/100</f>
        <v>15546.5055545778</v>
      </c>
      <c r="J15" s="0" t="n">
        <f aca="false">J13-MAX(0,J13)*J14/100</f>
        <v>16012.9007212151</v>
      </c>
      <c r="K15" s="0" t="n">
        <f aca="false">K13-MAX(0,K13)*K14/100</f>
        <v>16625.4454972014</v>
      </c>
      <c r="L15" s="0" t="n">
        <f aca="false">L13-MAX(0,L13)*L14/100</f>
        <v>17124.2088621174</v>
      </c>
    </row>
    <row r="16" customFormat="false" ht="15" hidden="false" customHeight="false" outlineLevel="0" collapsed="false">
      <c r="A16" s="0" t="s">
        <v>118</v>
      </c>
      <c r="C16" s="0" t="n">
        <f aca="false">-C12</f>
        <v>1496.0856</v>
      </c>
      <c r="D16" s="0" t="n">
        <f aca="false">-D12</f>
        <v>1653.174588</v>
      </c>
      <c r="E16" s="0" t="n">
        <f aca="false">-E12</f>
        <v>1781.359202208</v>
      </c>
      <c r="F16" s="0" t="n">
        <f aca="false">-F12</f>
        <v>1834.79997827424</v>
      </c>
      <c r="G16" s="0" t="n">
        <f aca="false">-G12</f>
        <v>1889.84397762247</v>
      </c>
      <c r="H16" s="0" t="n">
        <f aca="false">-H12</f>
        <v>1946.53929695114</v>
      </c>
      <c r="I16" s="0" t="n">
        <f aca="false">-I12</f>
        <v>2004.93547585968</v>
      </c>
      <c r="J16" s="0" t="n">
        <f aca="false">-J12</f>
        <v>2065.08354013547</v>
      </c>
      <c r="K16" s="0" t="n">
        <f aca="false">-K12</f>
        <v>2127.03604633953</v>
      </c>
      <c r="L16" s="0" t="n">
        <f aca="false">-L12</f>
        <v>2190.84712772972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-3989.5616</v>
      </c>
      <c r="D17" s="4" t="n">
        <f aca="false">-D6*Assumptions!D18/100</f>
        <v>-2416.178244</v>
      </c>
      <c r="E17" s="4" t="n">
        <f aca="false">-E6*Assumptions!E18/100</f>
        <v>-1964.7344142</v>
      </c>
      <c r="F17" s="4" t="n">
        <f aca="false">-F6*Assumptions!F18/100</f>
        <v>-1942.72938876096</v>
      </c>
      <c r="G17" s="4" t="n">
        <f aca="false">-G6*Assumptions!G18/100</f>
        <v>-1945.42762402313</v>
      </c>
      <c r="H17" s="4" t="n">
        <f aca="false">-H6*Assumptions!H18/100</f>
        <v>-2003.79045274382</v>
      </c>
      <c r="I17" s="4" t="n">
        <f aca="false">-I6*Assumptions!I18/100</f>
        <v>-2063.90416632614</v>
      </c>
      <c r="J17" s="4" t="n">
        <f aca="false">-J6*Assumptions!J18/100</f>
        <v>-2125.82129131592</v>
      </c>
      <c r="K17" s="4" t="n">
        <f aca="false">-K6*Assumptions!K18/100</f>
        <v>-2189.5959300554</v>
      </c>
      <c r="L17" s="4" t="n">
        <f aca="false">-L6*Assumptions!L18/100</f>
        <v>-2255.28380795706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-65.0471999999999</v>
      </c>
      <c r="D18" s="4" t="n">
        <f aca="false">(D6-C6)*Assumptions!$B$23/100</f>
        <v>14.9608560000001</v>
      </c>
      <c r="E18" s="4" t="n">
        <f aca="false">(E6-D6)*Assumptions!$B$23/100</f>
        <v>22.89010968</v>
      </c>
      <c r="F18" s="4" t="n">
        <f aca="false">(F6-E6)*Assumptions!$B$23/100</f>
        <v>23.5768129704</v>
      </c>
      <c r="G18" s="4" t="n">
        <f aca="false">(G6-F6)*Assumptions!$B$23/100</f>
        <v>24.2841173595121</v>
      </c>
      <c r="H18" s="4" t="n">
        <f aca="false">(H6-G6)*Assumptions!$B$23/100</f>
        <v>25.0126408802974</v>
      </c>
      <c r="I18" s="4" t="n">
        <f aca="false">(I6-H6)*Assumptions!$B$23/100</f>
        <v>25.7630201067063</v>
      </c>
      <c r="J18" s="4" t="n">
        <f aca="false">(J6-I6)*Assumptions!$B$23/100</f>
        <v>26.5359107099075</v>
      </c>
      <c r="K18" s="4" t="n">
        <f aca="false">(K6-J6)*Assumptions!$B$23/100</f>
        <v>27.3319880312047</v>
      </c>
      <c r="L18" s="4" t="n">
        <f aca="false">(L6-K6)*Assumptions!$B$23/100</f>
        <v>28.1519476721409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10230.8892254</v>
      </c>
      <c r="D19" s="0" t="n">
        <f aca="false">D15+D16+D17+D18</f>
        <v>12297.157873908</v>
      </c>
      <c r="E19" s="0" t="n">
        <f aca="false">E15+E16+E17+E18</f>
        <v>13320.3436072799</v>
      </c>
      <c r="F19" s="0" t="n">
        <f aca="false">F15+F16+F17+F18</f>
        <v>13914.9014131899</v>
      </c>
      <c r="G19" s="0" t="n">
        <f aca="false">G15+G16+G17+G18</f>
        <v>14505.3525550077</v>
      </c>
      <c r="H19" s="0" t="n">
        <f aca="false">H15+H16+H17+H18</f>
        <v>14940.5131316579</v>
      </c>
      <c r="I19" s="0" t="n">
        <f aca="false">I15+I16+I17+I18</f>
        <v>15513.299884218</v>
      </c>
      <c r="J19" s="0" t="n">
        <f aca="false">J15+J16+J17+J18</f>
        <v>15978.6988807446</v>
      </c>
      <c r="K19" s="0" t="n">
        <f aca="false">K15+K16+K17+K18</f>
        <v>16590.2176015167</v>
      </c>
      <c r="L19" s="0" t="n">
        <f aca="false">L15+L16+L17+L18</f>
        <v>17087.9241295622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9429.39099115207</v>
      </c>
      <c r="D21" s="0" t="n">
        <f aca="false">D19*D20</f>
        <v>10445.8857685727</v>
      </c>
      <c r="E21" s="0" t="n">
        <f aca="false">E19*E20</f>
        <v>10428.6048840194</v>
      </c>
      <c r="F21" s="0" t="n">
        <f aca="false">F19*F20</f>
        <v>10040.6350278816</v>
      </c>
      <c r="G21" s="0" t="n">
        <f aca="false">G19*G20</f>
        <v>9646.71832989307</v>
      </c>
      <c r="H21" s="0" t="n">
        <f aca="false">H19*H20</f>
        <v>9157.71417492154</v>
      </c>
      <c r="I21" s="0" t="n">
        <f aca="false">I19*I20</f>
        <v>8763.87189203443</v>
      </c>
      <c r="J21" s="0" t="n">
        <f aca="false">J19*J20</f>
        <v>8319.62032147048</v>
      </c>
      <c r="K21" s="0" t="n">
        <f aca="false">K19*K20</f>
        <v>7961.30823602155</v>
      </c>
      <c r="L21" s="0" t="n">
        <f aca="false">L19*L20</f>
        <v>7557.73961576239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91751.4892417293</v>
      </c>
    </row>
    <row r="31" customFormat="false" ht="15" hidden="false" customHeight="false" outlineLevel="0" collapsed="false">
      <c r="A31" s="0" t="s">
        <v>127</v>
      </c>
      <c r="B31" s="0" t="n">
        <f aca="false">L19</f>
        <v>17087.9241295622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291918.703880021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256318.861943433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256318.861943433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113366.094236436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205117.583478165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244112.583478165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192.593754223405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-0.50413554525385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2370.19629527534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3164.62130339329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196.960474222354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140120.97786241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112.194158707363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12</v>
      </c>
      <c r="D5" s="4" t="n">
        <f aca="false">Assumptions!D27</f>
        <v>9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27103</v>
      </c>
      <c r="C6" s="0" t="n">
        <f aca="false">B6*(1+C5/100)</f>
        <v>30355.36</v>
      </c>
      <c r="D6" s="0" t="n">
        <f aca="false">C6*(1+D5/100)</f>
        <v>33087.3424</v>
      </c>
      <c r="E6" s="0" t="n">
        <f aca="false">D6*(1+E5/100)</f>
        <v>35403.456368</v>
      </c>
      <c r="F6" s="0" t="n">
        <f aca="false">E6*(1+F5/100)</f>
        <v>37527.66375008</v>
      </c>
      <c r="G6" s="0" t="n">
        <f aca="false">F6*(1+G5/100)</f>
        <v>39591.6852563344</v>
      </c>
      <c r="H6" s="0" t="n">
        <f aca="false">G6*(1+H5/100)</f>
        <v>41571.2695191511</v>
      </c>
      <c r="I6" s="0" t="n">
        <f aca="false">H6*(1+I5/100)</f>
        <v>43441.9766475129</v>
      </c>
      <c r="J6" s="0" t="n">
        <f aca="false">I6*(1+J5/100)</f>
        <v>45179.6557134135</v>
      </c>
      <c r="K6" s="0" t="n">
        <f aca="false">J6*(1+K5/100)</f>
        <v>46760.9436633829</v>
      </c>
      <c r="L6" s="0" t="n">
        <f aca="false">K6*(1+L5/100)</f>
        <v>48397.5766916013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75</v>
      </c>
      <c r="D7" s="4" t="n">
        <f aca="false">Assumptions!D28</f>
        <v>74.5</v>
      </c>
      <c r="E7" s="4" t="n">
        <f aca="false">Assumptions!E28</f>
        <v>74.5</v>
      </c>
      <c r="F7" s="4" t="n">
        <f aca="false">Assumptions!F28</f>
        <v>75</v>
      </c>
      <c r="G7" s="4" t="n">
        <f aca="false">Assumptions!G28</f>
        <v>75</v>
      </c>
      <c r="H7" s="4" t="n">
        <f aca="false">Assumptions!H28</f>
        <v>75.5</v>
      </c>
      <c r="I7" s="4" t="n">
        <f aca="false">Assumptions!I28</f>
        <v>75.5</v>
      </c>
      <c r="J7" s="4" t="n">
        <f aca="false">Assumptions!J28</f>
        <v>76</v>
      </c>
      <c r="K7" s="4" t="n">
        <f aca="false">Assumptions!K28</f>
        <v>76</v>
      </c>
      <c r="L7" s="4" t="n">
        <f aca="false">Assumptions!L28</f>
        <v>76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22766.52</v>
      </c>
      <c r="D8" s="0" t="n">
        <f aca="false">D6*D7/100</f>
        <v>24650.070088</v>
      </c>
      <c r="E8" s="0" t="n">
        <f aca="false">E6*E7/100</f>
        <v>26375.57499416</v>
      </c>
      <c r="F8" s="0" t="n">
        <f aca="false">F6*F7/100</f>
        <v>28145.74781256</v>
      </c>
      <c r="G8" s="0" t="n">
        <f aca="false">G6*G7/100</f>
        <v>29693.7639422508</v>
      </c>
      <c r="H8" s="0" t="n">
        <f aca="false">H6*H7/100</f>
        <v>31386.3084869591</v>
      </c>
      <c r="I8" s="0" t="n">
        <f aca="false">I6*I7/100</f>
        <v>32798.6923688723</v>
      </c>
      <c r="J8" s="0" t="n">
        <f aca="false">J6*J7/100</f>
        <v>34336.5383421942</v>
      </c>
      <c r="K8" s="0" t="n">
        <f aca="false">K6*K7/100</f>
        <v>35538.317184171</v>
      </c>
      <c r="L8" s="0" t="n">
        <f aca="false">L6*L7/100</f>
        <v>36782.158285617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1.3</v>
      </c>
      <c r="D9" s="4" t="n">
        <f aca="false">Assumptions!D29</f>
        <v>1.3</v>
      </c>
      <c r="E9" s="4" t="n">
        <f aca="false">Assumptions!E29</f>
        <v>1.3</v>
      </c>
      <c r="F9" s="4" t="n">
        <f aca="false">Assumptions!F29</f>
        <v>1.3</v>
      </c>
      <c r="G9" s="4" t="n">
        <f aca="false">Assumptions!G29</f>
        <v>1.3</v>
      </c>
      <c r="H9" s="4" t="n">
        <f aca="false">Assumptions!H29</f>
        <v>1.3</v>
      </c>
      <c r="I9" s="4" t="n">
        <f aca="false">Assumptions!I29</f>
        <v>1.3</v>
      </c>
      <c r="J9" s="4" t="n">
        <f aca="false">Assumptions!J29</f>
        <v>1.3</v>
      </c>
      <c r="K9" s="4" t="n">
        <f aca="false">Assumptions!K29</f>
        <v>1.3</v>
      </c>
      <c r="L9" s="4" t="n">
        <f aca="false">Assumptions!L29</f>
        <v>1.3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-394.61968</v>
      </c>
      <c r="D10" s="0" t="n">
        <f aca="false">-D6*D9/100</f>
        <v>-430.1354512</v>
      </c>
      <c r="E10" s="0" t="n">
        <f aca="false">-E6*E9/100</f>
        <v>-460.244932784</v>
      </c>
      <c r="F10" s="0" t="n">
        <f aca="false">-F6*F9/100</f>
        <v>-487.85962875104</v>
      </c>
      <c r="G10" s="0" t="n">
        <f aca="false">-G6*G9/100</f>
        <v>-514.691908332347</v>
      </c>
      <c r="H10" s="0" t="n">
        <f aca="false">-H6*H9/100</f>
        <v>-540.426503748965</v>
      </c>
      <c r="I10" s="0" t="n">
        <f aca="false">-I6*I9/100</f>
        <v>-564.745696417668</v>
      </c>
      <c r="J10" s="0" t="n">
        <f aca="false">-J6*J9/100</f>
        <v>-587.335524274375</v>
      </c>
      <c r="K10" s="0" t="n">
        <f aca="false">-K6*K9/100</f>
        <v>-607.892267623978</v>
      </c>
      <c r="L10" s="0" t="n">
        <f aca="false">-L6*L9/100</f>
        <v>-629.168496990817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22371.90032</v>
      </c>
      <c r="D11" s="0" t="n">
        <f aca="false">D8+D10+D24</f>
        <v>24219.9346368</v>
      </c>
      <c r="E11" s="0" t="n">
        <f aca="false">E8+E10+E24</f>
        <v>25915.330061376</v>
      </c>
      <c r="F11" s="0" t="n">
        <f aca="false">F8+F10+F24</f>
        <v>27657.888183809</v>
      </c>
      <c r="G11" s="0" t="n">
        <f aca="false">G8+G10+G24</f>
        <v>29179.0720339185</v>
      </c>
      <c r="H11" s="0" t="n">
        <f aca="false">H8+H10+H24</f>
        <v>30845.8819832101</v>
      </c>
      <c r="I11" s="0" t="n">
        <f aca="false">I8+I10+I24</f>
        <v>32233.9466724546</v>
      </c>
      <c r="J11" s="0" t="n">
        <f aca="false">J8+J10+J24</f>
        <v>33749.2028179198</v>
      </c>
      <c r="K11" s="0" t="n">
        <f aca="false">K8+K10+K24</f>
        <v>34930.4249165471</v>
      </c>
      <c r="L11" s="0" t="n">
        <f aca="false">L8+L10+L24</f>
        <v>36152.9897886262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-1821.3216</v>
      </c>
      <c r="D12" s="4" t="n">
        <f aca="false">-D6*Assumptions!D31/100</f>
        <v>-2084.5025712</v>
      </c>
      <c r="E12" s="4" t="n">
        <f aca="false">-E6*Assumptions!E31/100</f>
        <v>-2301.22466392</v>
      </c>
      <c r="F12" s="4" t="n">
        <f aca="false">-F6*Assumptions!F31/100</f>
        <v>-2439.2981437552</v>
      </c>
      <c r="G12" s="4" t="n">
        <f aca="false">-G6*Assumptions!G31/100</f>
        <v>-2573.45954166174</v>
      </c>
      <c r="H12" s="4" t="n">
        <f aca="false">-H6*Assumptions!H31/100</f>
        <v>-2702.13251874482</v>
      </c>
      <c r="I12" s="4" t="n">
        <f aca="false">-I6*Assumptions!I31/100</f>
        <v>-2823.72848208834</v>
      </c>
      <c r="J12" s="4" t="n">
        <f aca="false">-J6*Assumptions!J31/100</f>
        <v>-2936.67762137188</v>
      </c>
      <c r="K12" s="4" t="n">
        <f aca="false">-K6*Assumptions!K31/100</f>
        <v>-3039.46133811989</v>
      </c>
      <c r="L12" s="4" t="n">
        <f aca="false">-L6*Assumptions!L31/100</f>
        <v>-3145.84248495409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20550.57872</v>
      </c>
      <c r="D13" s="0" t="n">
        <f aca="false">D11+D12</f>
        <v>22135.4320656</v>
      </c>
      <c r="E13" s="0" t="n">
        <f aca="false">E11+E12</f>
        <v>23614.105397456</v>
      </c>
      <c r="F13" s="0" t="n">
        <f aca="false">F11+F12</f>
        <v>25218.5900400538</v>
      </c>
      <c r="G13" s="0" t="n">
        <f aca="false">G11+G12</f>
        <v>26605.6124922567</v>
      </c>
      <c r="H13" s="0" t="n">
        <f aca="false">H11+H12</f>
        <v>28143.7494644653</v>
      </c>
      <c r="I13" s="0" t="n">
        <f aca="false">I11+I12</f>
        <v>29410.2181903663</v>
      </c>
      <c r="J13" s="0" t="n">
        <f aca="false">J11+J12</f>
        <v>30812.525196548</v>
      </c>
      <c r="K13" s="0" t="n">
        <f aca="false">K11+K12</f>
        <v>31890.9635784272</v>
      </c>
      <c r="L13" s="0" t="n">
        <f aca="false">L11+L12</f>
        <v>33007.1473036721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15.5</v>
      </c>
      <c r="D14" s="4" t="n">
        <f aca="false">Assumptions!D33</f>
        <v>15.5</v>
      </c>
      <c r="E14" s="4" t="n">
        <f aca="false">Assumptions!E33</f>
        <v>15.5</v>
      </c>
      <c r="F14" s="4" t="n">
        <f aca="false">Assumptions!F33</f>
        <v>15.5</v>
      </c>
      <c r="G14" s="4" t="n">
        <f aca="false">Assumptions!G33</f>
        <v>15.5</v>
      </c>
      <c r="H14" s="4" t="n">
        <f aca="false">Assumptions!H33</f>
        <v>15.5</v>
      </c>
      <c r="I14" s="4" t="n">
        <f aca="false">Assumptions!I33</f>
        <v>15.5</v>
      </c>
      <c r="J14" s="4" t="n">
        <f aca="false">Assumptions!J33</f>
        <v>15.5</v>
      </c>
      <c r="K14" s="4" t="n">
        <f aca="false">Assumptions!K33</f>
        <v>15.5</v>
      </c>
      <c r="L14" s="4" t="n">
        <f aca="false">Assumptions!L33</f>
        <v>15.5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17365.2390184</v>
      </c>
      <c r="D15" s="0" t="n">
        <f aca="false">D13-MAX(0,D13)*D14/100</f>
        <v>18704.440095432</v>
      </c>
      <c r="E15" s="0" t="n">
        <f aca="false">E13-MAX(0,E13)*E14/100</f>
        <v>19953.9190608503</v>
      </c>
      <c r="F15" s="0" t="n">
        <f aca="false">F13-MAX(0,F13)*F14/100</f>
        <v>21309.7085838454</v>
      </c>
      <c r="G15" s="0" t="n">
        <f aca="false">G13-MAX(0,G13)*G14/100</f>
        <v>22481.7425559569</v>
      </c>
      <c r="H15" s="0" t="n">
        <f aca="false">H13-MAX(0,H13)*H14/100</f>
        <v>23781.4682974732</v>
      </c>
      <c r="I15" s="0" t="n">
        <f aca="false">I13-MAX(0,I13)*I14/100</f>
        <v>24851.6343708595</v>
      </c>
      <c r="J15" s="0" t="n">
        <f aca="false">J13-MAX(0,J13)*J14/100</f>
        <v>26036.583791083</v>
      </c>
      <c r="K15" s="0" t="n">
        <f aca="false">K13-MAX(0,K13)*K14/100</f>
        <v>26947.864223771</v>
      </c>
      <c r="L15" s="0" t="n">
        <f aca="false">L13-MAX(0,L13)*L14/100</f>
        <v>27891.0394716029</v>
      </c>
    </row>
    <row r="16" customFormat="false" ht="15" hidden="false" customHeight="false" outlineLevel="0" collapsed="false">
      <c r="A16" s="0" t="s">
        <v>118</v>
      </c>
      <c r="C16" s="0" t="n">
        <f aca="false">-C12</f>
        <v>1821.3216</v>
      </c>
      <c r="D16" s="0" t="n">
        <f aca="false">-D12</f>
        <v>2084.5025712</v>
      </c>
      <c r="E16" s="0" t="n">
        <f aca="false">-E12</f>
        <v>2301.22466392</v>
      </c>
      <c r="F16" s="0" t="n">
        <f aca="false">-F12</f>
        <v>2439.2981437552</v>
      </c>
      <c r="G16" s="0" t="n">
        <f aca="false">-G12</f>
        <v>2573.45954166174</v>
      </c>
      <c r="H16" s="0" t="n">
        <f aca="false">-H12</f>
        <v>2702.13251874482</v>
      </c>
      <c r="I16" s="0" t="n">
        <f aca="false">-I12</f>
        <v>2823.72848208834</v>
      </c>
      <c r="J16" s="0" t="n">
        <f aca="false">-J12</f>
        <v>2936.67762137188</v>
      </c>
      <c r="K16" s="0" t="n">
        <f aca="false">-K12</f>
        <v>3039.46133811989</v>
      </c>
      <c r="L16" s="0" t="n">
        <f aca="false">-L12</f>
        <v>3145.84248495409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-4856.8576</v>
      </c>
      <c r="D17" s="4" t="n">
        <f aca="false">-D6*Assumptions!D32/100</f>
        <v>-2977.860816</v>
      </c>
      <c r="E17" s="4" t="n">
        <f aca="false">-E6*Assumptions!E32/100</f>
        <v>-2478.24194576</v>
      </c>
      <c r="F17" s="4" t="n">
        <f aca="false">-F6*Assumptions!F32/100</f>
        <v>-2551.88113500544</v>
      </c>
      <c r="G17" s="4" t="n">
        <f aca="false">-G6*Assumptions!G32/100</f>
        <v>-2692.23459743074</v>
      </c>
      <c r="H17" s="4" t="n">
        <f aca="false">-H6*Assumptions!H32/100</f>
        <v>-2826.84632730228</v>
      </c>
      <c r="I17" s="4" t="n">
        <f aca="false">-I6*Assumptions!I32/100</f>
        <v>-2954.05441203088</v>
      </c>
      <c r="J17" s="4" t="n">
        <f aca="false">-J6*Assumptions!J32/100</f>
        <v>-3072.21658851212</v>
      </c>
      <c r="K17" s="4" t="n">
        <f aca="false">-K6*Assumptions!K32/100</f>
        <v>-3179.74416911004</v>
      </c>
      <c r="L17" s="4" t="n">
        <f aca="false">-L6*Assumptions!L32/100</f>
        <v>-3291.03521502889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195.1416</v>
      </c>
      <c r="D18" s="4" t="n">
        <f aca="false">(D6-C6)*Assumptions!$B$37/100</f>
        <v>163.918944</v>
      </c>
      <c r="E18" s="4" t="n">
        <f aca="false">(E6-D6)*Assumptions!$B$37/100</f>
        <v>138.96683808</v>
      </c>
      <c r="F18" s="4" t="n">
        <f aca="false">(F6-E6)*Assumptions!$B$37/100</f>
        <v>127.4524429248</v>
      </c>
      <c r="G18" s="4" t="n">
        <f aca="false">(G6-F6)*Assumptions!$B$37/100</f>
        <v>123.841290375264</v>
      </c>
      <c r="H18" s="4" t="n">
        <f aca="false">(H6-G6)*Assumptions!$B$37/100</f>
        <v>118.775055769003</v>
      </c>
      <c r="I18" s="4" t="n">
        <f aca="false">(I6-H6)*Assumptions!$B$37/100</f>
        <v>112.242427701708</v>
      </c>
      <c r="J18" s="4" t="n">
        <f aca="false">(J6-I6)*Assumptions!$B$37/100</f>
        <v>104.260743954031</v>
      </c>
      <c r="K18" s="4" t="n">
        <f aca="false">(K6-J6)*Assumptions!$B$37/100</f>
        <v>94.8772769981681</v>
      </c>
      <c r="L18" s="4" t="n">
        <f aca="false">(L6-K6)*Assumptions!$B$37/100</f>
        <v>98.1979816931039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14524.8446184</v>
      </c>
      <c r="D19" s="0" t="n">
        <f aca="false">D15+D16+D17+D18</f>
        <v>17975.000794632</v>
      </c>
      <c r="E19" s="0" t="n">
        <f aca="false">E15+E16+E17+E18</f>
        <v>19915.8686170903</v>
      </c>
      <c r="F19" s="0" t="n">
        <f aca="false">F15+F16+F17+F18</f>
        <v>21324.57803552</v>
      </c>
      <c r="G19" s="0" t="n">
        <f aca="false">G15+G16+G17+G18</f>
        <v>22486.8087905632</v>
      </c>
      <c r="H19" s="0" t="n">
        <f aca="false">H15+H16+H17+H18</f>
        <v>23775.5295446848</v>
      </c>
      <c r="I19" s="0" t="n">
        <f aca="false">I15+I16+I17+I18</f>
        <v>24833.5508686187</v>
      </c>
      <c r="J19" s="0" t="n">
        <f aca="false">J15+J16+J17+J18</f>
        <v>26005.3055678968</v>
      </c>
      <c r="K19" s="0" t="n">
        <f aca="false">K15+K16+K17+K18</f>
        <v>26902.458669779</v>
      </c>
      <c r="L19" s="0" t="n">
        <f aca="false">L15+L16+L17+L18</f>
        <v>27844.0447232212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13386.9535653456</v>
      </c>
      <c r="D21" s="0" t="n">
        <f aca="false">D19*D20</f>
        <v>15268.9594551866</v>
      </c>
      <c r="E21" s="0" t="n">
        <f aca="false">E19*E20</f>
        <v>15592.2948276024</v>
      </c>
      <c r="F21" s="0" t="n">
        <f aca="false">F19*F20</f>
        <v>15387.2671332965</v>
      </c>
      <c r="G21" s="0" t="n">
        <f aca="false">G19*G20</f>
        <v>14954.7492705262</v>
      </c>
      <c r="H21" s="0" t="n">
        <f aca="false">H19*H20</f>
        <v>14573.0941105545</v>
      </c>
      <c r="I21" s="0" t="n">
        <f aca="false">I19*I20</f>
        <v>14029.1272689379</v>
      </c>
      <c r="J21" s="0" t="n">
        <f aca="false">J19*J20</f>
        <v>13540.1680877437</v>
      </c>
      <c r="K21" s="0" t="n">
        <f aca="false">K19*K20</f>
        <v>12909.9431316296</v>
      </c>
      <c r="L21" s="0" t="n">
        <f aca="false">L19*L20</f>
        <v>12315.0148767158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141957.571727539</v>
      </c>
    </row>
    <row r="31" customFormat="false" ht="15" hidden="false" customHeight="false" outlineLevel="0" collapsed="false">
      <c r="A31" s="0" t="s">
        <v>127</v>
      </c>
      <c r="B31" s="0" t="n">
        <f aca="false">L19</f>
        <v>27844.0447232212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576371.725770679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501192.805017982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501192.805017982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221670.267780884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363627.839508423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402622.839508423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317.651155430708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-0.182154594668619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3309.8219074426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5760.23143126827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324.807016052965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250596.402508991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162.740616992638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18</v>
      </c>
      <c r="D5" s="4" t="n">
        <f aca="false">Assumptions!D41</f>
        <v>15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27103</v>
      </c>
      <c r="C6" s="0" t="n">
        <f aca="false">B6*(1+C5/100)</f>
        <v>31981.54</v>
      </c>
      <c r="D6" s="0" t="n">
        <f aca="false">C6*(1+D5/100)</f>
        <v>36778.771</v>
      </c>
      <c r="E6" s="0" t="n">
        <f aca="false">D6*(1+E5/100)</f>
        <v>41192.22352</v>
      </c>
      <c r="F6" s="0" t="n">
        <f aca="false">E6*(1+F5/100)</f>
        <v>45311.445872</v>
      </c>
      <c r="G6" s="0" t="n">
        <f aca="false">F6*(1+G5/100)</f>
        <v>49389.47600048</v>
      </c>
      <c r="H6" s="0" t="n">
        <f aca="false">G6*(1+H5/100)</f>
        <v>53340.6340805184</v>
      </c>
      <c r="I6" s="0" t="n">
        <f aca="false">H6*(1+I5/100)</f>
        <v>57074.4784661547</v>
      </c>
      <c r="J6" s="0" t="n">
        <f aca="false">I6*(1+J5/100)</f>
        <v>60498.947174124</v>
      </c>
      <c r="K6" s="0" t="n">
        <f aca="false">J6*(1+K5/100)</f>
        <v>63523.8945328302</v>
      </c>
      <c r="L6" s="0" t="n">
        <f aca="false">K6*(1+L5/100)</f>
        <v>66382.4697868076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76</v>
      </c>
      <c r="D7" s="4" t="n">
        <f aca="false">Assumptions!D42</f>
        <v>76.5</v>
      </c>
      <c r="E7" s="4" t="n">
        <f aca="false">Assumptions!E42</f>
        <v>77</v>
      </c>
      <c r="F7" s="4" t="n">
        <f aca="false">Assumptions!F42</f>
        <v>77.5</v>
      </c>
      <c r="G7" s="4" t="n">
        <f aca="false">Assumptions!G42</f>
        <v>78</v>
      </c>
      <c r="H7" s="4" t="n">
        <f aca="false">Assumptions!H42</f>
        <v>78</v>
      </c>
      <c r="I7" s="4" t="n">
        <f aca="false">Assumptions!I42</f>
        <v>78.5</v>
      </c>
      <c r="J7" s="4" t="n">
        <f aca="false">Assumptions!J42</f>
        <v>78.5</v>
      </c>
      <c r="K7" s="4" t="n">
        <f aca="false">Assumptions!K42</f>
        <v>79</v>
      </c>
      <c r="L7" s="4" t="n">
        <f aca="false">Assumptions!L42</f>
        <v>79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24305.9704</v>
      </c>
      <c r="D8" s="0" t="n">
        <f aca="false">D6*D7/100</f>
        <v>28135.759815</v>
      </c>
      <c r="E8" s="0" t="n">
        <f aca="false">E6*E7/100</f>
        <v>31718.0121104</v>
      </c>
      <c r="F8" s="0" t="n">
        <f aca="false">F6*F7/100</f>
        <v>35116.3705508</v>
      </c>
      <c r="G8" s="0" t="n">
        <f aca="false">G6*G7/100</f>
        <v>38523.7912803744</v>
      </c>
      <c r="H8" s="0" t="n">
        <f aca="false">H6*H7/100</f>
        <v>41605.6945828044</v>
      </c>
      <c r="I8" s="0" t="n">
        <f aca="false">I6*I7/100</f>
        <v>44803.4655959314</v>
      </c>
      <c r="J8" s="0" t="n">
        <f aca="false">J6*J7/100</f>
        <v>47491.6735316873</v>
      </c>
      <c r="K8" s="0" t="n">
        <f aca="false">K6*K7/100</f>
        <v>50183.8766809359</v>
      </c>
      <c r="L8" s="0" t="n">
        <f aca="false">L6*L7/100</f>
        <v>52442.151131578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1.3</v>
      </c>
      <c r="F9" s="4" t="n">
        <f aca="false">Assumptions!F43</f>
        <v>1.3</v>
      </c>
      <c r="G9" s="4" t="n">
        <f aca="false">Assumptions!G43</f>
        <v>1.3</v>
      </c>
      <c r="H9" s="4" t="n">
        <f aca="false">Assumptions!H43</f>
        <v>1.3</v>
      </c>
      <c r="I9" s="4" t="n">
        <f aca="false">Assumptions!I43</f>
        <v>1.3</v>
      </c>
      <c r="J9" s="4" t="n">
        <f aca="false">Assumptions!J43</f>
        <v>1.3</v>
      </c>
      <c r="K9" s="4" t="n">
        <f aca="false">Assumptions!K43</f>
        <v>1.3</v>
      </c>
      <c r="L9" s="4" t="n">
        <f aca="false">Assumptions!L43</f>
        <v>1.3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-415.76002</v>
      </c>
      <c r="D10" s="0" t="n">
        <f aca="false">-D6*D9/100</f>
        <v>-478.124023</v>
      </c>
      <c r="E10" s="0" t="n">
        <f aca="false">-E6*E9/100</f>
        <v>-535.49890576</v>
      </c>
      <c r="F10" s="0" t="n">
        <f aca="false">-F6*F9/100</f>
        <v>-589.048796336</v>
      </c>
      <c r="G10" s="0" t="n">
        <f aca="false">-G6*G9/100</f>
        <v>-642.06318800624</v>
      </c>
      <c r="H10" s="0" t="n">
        <f aca="false">-H6*H9/100</f>
        <v>-693.428243046739</v>
      </c>
      <c r="I10" s="0" t="n">
        <f aca="false">-I6*I9/100</f>
        <v>-741.968220060011</v>
      </c>
      <c r="J10" s="0" t="n">
        <f aca="false">-J6*J9/100</f>
        <v>-786.486313263612</v>
      </c>
      <c r="K10" s="0" t="n">
        <f aca="false">-K6*K9/100</f>
        <v>-825.810628926793</v>
      </c>
      <c r="L10" s="0" t="n">
        <f aca="false">-L6*L9/100</f>
        <v>-862.972107228498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23890.21038</v>
      </c>
      <c r="D11" s="0" t="n">
        <f aca="false">D8+D10+D24</f>
        <v>27657.635792</v>
      </c>
      <c r="E11" s="0" t="n">
        <f aca="false">E8+E10+E24</f>
        <v>31182.51320464</v>
      </c>
      <c r="F11" s="0" t="n">
        <f aca="false">F8+F10+F24</f>
        <v>34527.321754464</v>
      </c>
      <c r="G11" s="0" t="n">
        <f aca="false">G8+G10+G24</f>
        <v>37881.7280923682</v>
      </c>
      <c r="H11" s="0" t="n">
        <f aca="false">H8+H10+H24</f>
        <v>40912.2663397576</v>
      </c>
      <c r="I11" s="0" t="n">
        <f aca="false">I8+I10+I24</f>
        <v>44061.4973758714</v>
      </c>
      <c r="J11" s="0" t="n">
        <f aca="false">J8+J10+J24</f>
        <v>46705.1872184237</v>
      </c>
      <c r="K11" s="0" t="n">
        <f aca="false">K8+K10+K24</f>
        <v>49358.0660520091</v>
      </c>
      <c r="L11" s="0" t="n">
        <f aca="false">L8+L10+L24</f>
        <v>51579.1790243495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-1918.8924</v>
      </c>
      <c r="D12" s="4" t="n">
        <f aca="false">-D6*Assumptions!D45/100</f>
        <v>-2280.283802</v>
      </c>
      <c r="E12" s="4" t="n">
        <f aca="false">-E6*Assumptions!E45/100</f>
        <v>-2595.11008176</v>
      </c>
      <c r="F12" s="4" t="n">
        <f aca="false">-F6*Assumptions!F45/100</f>
        <v>-2854.621089936</v>
      </c>
      <c r="G12" s="4" t="n">
        <f aca="false">-G6*Assumptions!G45/100</f>
        <v>-3111.53698803024</v>
      </c>
      <c r="H12" s="4" t="n">
        <f aca="false">-H6*Assumptions!H45/100</f>
        <v>-3360.45994707266</v>
      </c>
      <c r="I12" s="4" t="n">
        <f aca="false">-I6*Assumptions!I45/100</f>
        <v>-3595.69214336775</v>
      </c>
      <c r="J12" s="4" t="n">
        <f aca="false">-J6*Assumptions!J45/100</f>
        <v>-3811.43367196981</v>
      </c>
      <c r="K12" s="4" t="n">
        <f aca="false">-K6*Assumptions!K45/100</f>
        <v>-4002.0053555683</v>
      </c>
      <c r="L12" s="4" t="n">
        <f aca="false">-L6*Assumptions!L45/100</f>
        <v>-4182.09559656888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21971.31798</v>
      </c>
      <c r="D13" s="0" t="n">
        <f aca="false">D11+D12</f>
        <v>25377.35199</v>
      </c>
      <c r="E13" s="0" t="n">
        <f aca="false">E11+E12</f>
        <v>28587.40312288</v>
      </c>
      <c r="F13" s="0" t="n">
        <f aca="false">F11+F12</f>
        <v>31672.700664528</v>
      </c>
      <c r="G13" s="0" t="n">
        <f aca="false">G11+G12</f>
        <v>34770.1911043379</v>
      </c>
      <c r="H13" s="0" t="n">
        <f aca="false">H11+H12</f>
        <v>37551.806392685</v>
      </c>
      <c r="I13" s="0" t="n">
        <f aca="false">I11+I12</f>
        <v>40465.8052325037</v>
      </c>
      <c r="J13" s="0" t="n">
        <f aca="false">J11+J12</f>
        <v>42893.7535464539</v>
      </c>
      <c r="K13" s="0" t="n">
        <f aca="false">K11+K12</f>
        <v>45356.0606964408</v>
      </c>
      <c r="L13" s="0" t="n">
        <f aca="false">L11+L12</f>
        <v>47397.0834277806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15.5</v>
      </c>
      <c r="D14" s="4" t="n">
        <f aca="false">Assumptions!D47</f>
        <v>15.5</v>
      </c>
      <c r="E14" s="4" t="n">
        <f aca="false">Assumptions!E47</f>
        <v>15.5</v>
      </c>
      <c r="F14" s="4" t="n">
        <f aca="false">Assumptions!F47</f>
        <v>15.5</v>
      </c>
      <c r="G14" s="4" t="n">
        <f aca="false">Assumptions!G47</f>
        <v>15.5</v>
      </c>
      <c r="H14" s="4" t="n">
        <f aca="false">Assumptions!H47</f>
        <v>15.5</v>
      </c>
      <c r="I14" s="4" t="n">
        <f aca="false">Assumptions!I47</f>
        <v>15.5</v>
      </c>
      <c r="J14" s="4" t="n">
        <f aca="false">Assumptions!J47</f>
        <v>15.5</v>
      </c>
      <c r="K14" s="4" t="n">
        <f aca="false">Assumptions!K47</f>
        <v>15.5</v>
      </c>
      <c r="L14" s="4" t="n">
        <f aca="false">Assumptions!L47</f>
        <v>15.5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18565.7636931</v>
      </c>
      <c r="D15" s="0" t="n">
        <f aca="false">D13-MAX(0,D13)*D14/100</f>
        <v>21443.86243155</v>
      </c>
      <c r="E15" s="0" t="n">
        <f aca="false">E13-MAX(0,E13)*E14/100</f>
        <v>24156.3556388336</v>
      </c>
      <c r="F15" s="0" t="n">
        <f aca="false">F13-MAX(0,F13)*F14/100</f>
        <v>26763.4320615262</v>
      </c>
      <c r="G15" s="0" t="n">
        <f aca="false">G13-MAX(0,G13)*G14/100</f>
        <v>29380.8114831655</v>
      </c>
      <c r="H15" s="0" t="n">
        <f aca="false">H13-MAX(0,H13)*H14/100</f>
        <v>31731.2764018188</v>
      </c>
      <c r="I15" s="0" t="n">
        <f aca="false">I13-MAX(0,I13)*I14/100</f>
        <v>34193.6054214656</v>
      </c>
      <c r="J15" s="0" t="n">
        <f aca="false">J13-MAX(0,J13)*J14/100</f>
        <v>36245.2217467536</v>
      </c>
      <c r="K15" s="0" t="n">
        <f aca="false">K13-MAX(0,K13)*K14/100</f>
        <v>38325.8712884924</v>
      </c>
      <c r="L15" s="0" t="n">
        <f aca="false">L13-MAX(0,L13)*L14/100</f>
        <v>40050.5354964746</v>
      </c>
    </row>
    <row r="16" customFormat="false" ht="15" hidden="false" customHeight="false" outlineLevel="0" collapsed="false">
      <c r="A16" s="0" t="s">
        <v>118</v>
      </c>
      <c r="C16" s="0" t="n">
        <f aca="false">-C12</f>
        <v>1918.8924</v>
      </c>
      <c r="D16" s="0" t="n">
        <f aca="false">-D12</f>
        <v>2280.283802</v>
      </c>
      <c r="E16" s="0" t="n">
        <f aca="false">-E12</f>
        <v>2595.11008176</v>
      </c>
      <c r="F16" s="0" t="n">
        <f aca="false">-F12</f>
        <v>2854.621089936</v>
      </c>
      <c r="G16" s="0" t="n">
        <f aca="false">-G12</f>
        <v>3111.53698803024</v>
      </c>
      <c r="H16" s="0" t="n">
        <f aca="false">-H12</f>
        <v>3360.45994707266</v>
      </c>
      <c r="I16" s="0" t="n">
        <f aca="false">-I12</f>
        <v>3595.69214336775</v>
      </c>
      <c r="J16" s="0" t="n">
        <f aca="false">-J12</f>
        <v>3811.43367196981</v>
      </c>
      <c r="K16" s="0" t="n">
        <f aca="false">-K12</f>
        <v>4002.0053555683</v>
      </c>
      <c r="L16" s="0" t="n">
        <f aca="false">-L12</f>
        <v>4182.09559656888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-5117.0464</v>
      </c>
      <c r="D17" s="4" t="n">
        <f aca="false">-D6*Assumptions!D46/100</f>
        <v>-3310.08939</v>
      </c>
      <c r="E17" s="4" t="n">
        <f aca="false">-E6*Assumptions!E46/100</f>
        <v>-2883.4556464</v>
      </c>
      <c r="F17" s="4" t="n">
        <f aca="false">-F6*Assumptions!F46/100</f>
        <v>-2945.24398168</v>
      </c>
      <c r="G17" s="4" t="n">
        <f aca="false">-G6*Assumptions!G46/100</f>
        <v>-3210.3159400312</v>
      </c>
      <c r="H17" s="4" t="n">
        <f aca="false">-H6*Assumptions!H46/100</f>
        <v>-3467.1412152337</v>
      </c>
      <c r="I17" s="4" t="n">
        <f aca="false">-I6*Assumptions!I46/100</f>
        <v>-3709.84110030006</v>
      </c>
      <c r="J17" s="4" t="n">
        <f aca="false">-J6*Assumptions!J46/100</f>
        <v>-3932.43156631806</v>
      </c>
      <c r="K17" s="4" t="n">
        <f aca="false">-K6*Assumptions!K46/100</f>
        <v>-4129.05314463396</v>
      </c>
      <c r="L17" s="4" t="n">
        <f aca="false">-L6*Assumptions!L46/100</f>
        <v>-4314.86053614249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390.2832</v>
      </c>
      <c r="D18" s="4" t="n">
        <f aca="false">(D6-C6)*Assumptions!$B$51/100</f>
        <v>383.77848</v>
      </c>
      <c r="E18" s="4" t="n">
        <f aca="false">(E6-D6)*Assumptions!$B$51/100</f>
        <v>353.076201600001</v>
      </c>
      <c r="F18" s="4" t="n">
        <f aca="false">(F6-E6)*Assumptions!$B$51/100</f>
        <v>329.53778816</v>
      </c>
      <c r="G18" s="4" t="n">
        <f aca="false">(G6-F6)*Assumptions!$B$51/100</f>
        <v>326.2424102784</v>
      </c>
      <c r="H18" s="4" t="n">
        <f aca="false">(H6-G6)*Assumptions!$B$51/100</f>
        <v>316.092646403072</v>
      </c>
      <c r="I18" s="4" t="n">
        <f aca="false">(I6-H6)*Assumptions!$B$51/100</f>
        <v>298.707550850904</v>
      </c>
      <c r="J18" s="4" t="n">
        <f aca="false">(J6-I6)*Assumptions!$B$51/100</f>
        <v>273.957496637543</v>
      </c>
      <c r="K18" s="4" t="n">
        <f aca="false">(K6-J6)*Assumptions!$B$51/100</f>
        <v>241.995788696496</v>
      </c>
      <c r="L18" s="4" t="n">
        <f aca="false">(L6-K6)*Assumptions!$B$51/100</f>
        <v>228.686020318188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15757.8928931</v>
      </c>
      <c r="D19" s="0" t="n">
        <f aca="false">D15+D16+D17+D18</f>
        <v>20797.83532355</v>
      </c>
      <c r="E19" s="0" t="n">
        <f aca="false">E15+E16+E17+E18</f>
        <v>24221.0862757936</v>
      </c>
      <c r="F19" s="0" t="n">
        <f aca="false">F15+F16+F17+F18</f>
        <v>27002.3469579422</v>
      </c>
      <c r="G19" s="0" t="n">
        <f aca="false">G15+G16+G17+G18</f>
        <v>29608.274941443</v>
      </c>
      <c r="H19" s="0" t="n">
        <f aca="false">H15+H16+H17+H18</f>
        <v>31940.6877800608</v>
      </c>
      <c r="I19" s="0" t="n">
        <f aca="false">I15+I16+I17+I18</f>
        <v>34378.1640153842</v>
      </c>
      <c r="J19" s="0" t="n">
        <f aca="false">J15+J16+J17+J18</f>
        <v>36398.1813490429</v>
      </c>
      <c r="K19" s="0" t="n">
        <f aca="false">K15+K16+K17+K18</f>
        <v>38440.8192881233</v>
      </c>
      <c r="L19" s="0" t="n">
        <f aca="false">L15+L16+L17+L18</f>
        <v>40146.4565772192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14523.4035881106</v>
      </c>
      <c r="D21" s="0" t="n">
        <f aca="false">D19*D20</f>
        <v>17666.83116953</v>
      </c>
      <c r="E21" s="0" t="n">
        <f aca="false">E19*E20</f>
        <v>18962.8845981082</v>
      </c>
      <c r="F21" s="0" t="n">
        <f aca="false">F19*F20</f>
        <v>19484.1991797321</v>
      </c>
      <c r="G21" s="0" t="n">
        <f aca="false">G19*G20</f>
        <v>19690.8477412723</v>
      </c>
      <c r="H21" s="0" t="n">
        <f aca="false">H19*H20</f>
        <v>19577.8877648058</v>
      </c>
      <c r="I21" s="0" t="n">
        <f aca="false">I19*I20</f>
        <v>19421.1307434776</v>
      </c>
      <c r="J21" s="0" t="n">
        <f aca="false">J19*J20</f>
        <v>18951.4209809024</v>
      </c>
      <c r="K21" s="0" t="n">
        <f aca="false">K19*K20</f>
        <v>18446.9678788284</v>
      </c>
      <c r="L21" s="0" t="n">
        <f aca="false">L19*L20</f>
        <v>17756.1922095161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184481.765854284</v>
      </c>
    </row>
    <row r="31" customFormat="false" ht="15" hidden="false" customHeight="false" outlineLevel="0" collapsed="false">
      <c r="A31" s="0" t="s">
        <v>127</v>
      </c>
      <c r="B31" s="0" t="n">
        <f aca="false">L19</f>
        <v>40146.4565772192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927829.21867351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722636.218389945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722636.218389945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319611.459771289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504093.225625573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543088.225625573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428.471972880136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0.103171917817035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4092.28395954279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8821.04834833896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438.660006259136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379566.498548254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211.293135239765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192.593754223405</v>
      </c>
      <c r="C4" s="0" t="n">
        <f aca="false">B4/Assumptions!$B$2-1</f>
        <v>-0.50413554525385</v>
      </c>
      <c r="D4" s="4" t="n">
        <f aca="false">Assumptions!$B$24</f>
        <v>0.2</v>
      </c>
      <c r="E4" s="4" t="n">
        <f aca="false">DCF_Bear!$B$43</f>
        <v>196.960474222354</v>
      </c>
      <c r="F4" s="4" t="n">
        <f aca="false">DCF_Bear!$B$47</f>
        <v>112.194158707363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317.651155430708</v>
      </c>
      <c r="C5" s="0" t="n">
        <f aca="false">B5/Assumptions!$B$2-1</f>
        <v>-0.182154594668619</v>
      </c>
      <c r="D5" s="4" t="n">
        <f aca="false">Assumptions!$B$38</f>
        <v>0.5</v>
      </c>
      <c r="E5" s="4" t="n">
        <f aca="false">DCF_Base!$B$43</f>
        <v>324.807016052965</v>
      </c>
      <c r="F5" s="4" t="n">
        <f aca="false">DCF_Base!$B$47</f>
        <v>162.740616992638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428.471972880136</v>
      </c>
      <c r="C6" s="0" t="n">
        <f aca="false">B6/Assumptions!$B$2-1</f>
        <v>0.103171917817035</v>
      </c>
      <c r="D6" s="4" t="n">
        <f aca="false">Assumptions!$B$52</f>
        <v>0.3</v>
      </c>
      <c r="E6" s="4" t="n">
        <f aca="false">DCF_Bull!$B$43</f>
        <v>438.660006259136</v>
      </c>
      <c r="F6" s="4" t="n">
        <f aca="false">DCF_Bull!$B$47</f>
        <v>211.293135239765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325.885920424076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333.393604748694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-0.191828108113951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832.66792892364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167.197080809721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317.651155430708</v>
      </c>
      <c r="C15" s="3" t="n">
        <v>8.5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307.077145837045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269.760299190863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236.867772341413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211.748702390869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162.740616992638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2.5</v>
      </c>
      <c r="C23" s="3" t="n">
        <v>3</v>
      </c>
      <c r="D23" s="3" t="n">
        <v>3.5</v>
      </c>
      <c r="E23" s="3" t="n">
        <v>4</v>
      </c>
      <c r="F23" s="3" t="n">
        <v>4.5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365.317658760562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365.317658760562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365.317658760562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365.317658760562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365.317658760562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340.352121188235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340.352121188235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340.352121188235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340.352121188235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340.352121188235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308.744833034661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317.651155430708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317.651155430708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317.651155430708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317.651155430708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267.22664155678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277.892993016927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290.337069720432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296.985275082578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296.985275082578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236.162854900659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243.616052002379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252.133991547203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261.962383329692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273.428840409262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2026-09-25T18:28:44Z</dcterms:created>
  <dc:creator>openpyxl</dc:creator>
  <dc:description/>
  <dc:language>en-NZ</dc:language>
  <cp:lastModifiedBy/>
  <dcterms:modified xsi:type="dcterms:W3CDTF">2026-09-25T18:28:44Z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