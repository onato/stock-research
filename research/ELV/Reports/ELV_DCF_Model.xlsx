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<sst xmlns="http://schemas.openxmlformats.org/spreadsheetml/2006/main" count="390" uniqueCount="175">
  <si>
    <t xml:space="preserve">Ticker</t>
  </si>
  <si>
    <t xml:space="preserve">ELV</t>
  </si>
  <si>
    <t xml:space="preserve">Company</t>
  </si>
  <si>
    <t xml:space="preserve">Elevance Health, Inc.</t>
  </si>
  <si>
    <t xml:space="preserve">Valuation date</t>
  </si>
  <si>
    <t xml:space="preserve">2026-09-28</t>
  </si>
  <si>
    <t xml:space="preserve">Current price</t>
  </si>
  <si>
    <t xml:space="preserve">Price as of</t>
  </si>
  <si>
    <t xml:space="preserve">2026-09-25T20:00:02Z regular close (Yahoo Finance chart API)</t>
  </si>
  <si>
    <t xml:space="preserve">Balance sheet date</t>
  </si>
  <si>
    <t xml:space="preserve">2026-06-30</t>
  </si>
  <si>
    <t xml:space="preserve">Model</t>
  </si>
  <si>
    <t xml:space="preserve">Managed-care FCFE capitalisation at cost of equity (engine route)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</si>
  <si>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</si>
  <si>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</si>
  <si>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</si>
  <si>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</si>
  <si>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</si>
  <si>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</si>
  <si>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</si>
  <si>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</si>
  <si>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2026-09-28T07:30:39Z</t>
  </si>
  <si>
    <t xml:space="preserve">Drivers file</t>
  </si>
  <si>
    <t xml:space="preserve">ELV_Drivers.json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</si>
  <si>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</si>
  <si>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</si>
  <si>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</si>
  <si>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Elevance is valued as an equity stream: FCFE (pre-tax earnings after interest, taxed at a normal 24%, plus D&amp;A, less capex and a tuck-in M&amp;A allowance) discounted at an 8.5% cost of equity, with the terminal value capped at a sector-typical 13-16x FCFE. No net debt is deducted and no cash is added: the debt is serviced inside the flows and the cash and investment portfolio are regulated statutory capital. SBC is expensed and the share count held flat, so the 2.6bn/yr buyback is the return of FCFE, not a value driver of its own. The single judgment the valuation turns on is whether the pre-tax margin recovers from the FY2025-26 government-programs trough (3.3%) toward 4.3% -- each 0.5pp of mature pre-tax margin is worth roughly $55-60/share.
key_risks_to_valuation: Pre-tax margin recovery does not materialise: Medicaid rate adequacy lags acuity for another cycle, MA margins stay ~2%, and the FY2025 3.4% becomes structural (the bear case, ~30% weighted).; CMS Medicare Advantage sanction (unauthorised risk-adjustment data submissions 2018-25) escalates to a prolonged enrolment freeze or civil penalties.; Federal Medicaid cuts and ACA eligibility/subsidy overhaul shrink covered lives and adversely select the remaining pool.; Reserve (IBNR) understatement -- a repeat of the 2024-26 industry-wide guidance resets.; Cost of equity: at 8.5% the Gordon multiple (17x) already exceeds the 15x cap, so value is bounded by the cap, but each +1pp on the rate is worth roughly -$40/share (see required_return_table).; D&amp;A is partly estimated (only intangible amortisation of 628 is XBRL-tagged); this affects the EBIT/add-back split, not FCFE.; Y1 anchor: FY2026 GAAP EPS floor of $20.10 implies a weak H2; if the H2 charges are larger than modelled the Y1 FCFE of ~$4.5bn is overstated by up to ~$0.9bn, worth ~$4/share of PV.</t>
  </si>
  <si>
    <t xml:space="preserve">Data sources</t>
  </si>
  <si>
    <t xml:space="preserve">price: Yahoo Finance chart API regular close at inputs.price_as_of; 52-week range 274.84-436.24
financials: SEC XBRL companyfacts (CIK 1156039): FY2025 10-K and Q1/Q2 2026 10-Qs for pre-tax income, tax, interest expense, intangible amortisation, diluted shares, debt, cash, investments; ELV_Metrics.csv (106 periods) for revenue/NI/OCF/capex/SBC/equity history; kpis table for buybacks and equity-award taxes
qualitative: ELV_Analysis.json (2026-09-28): Q2 2026 guidance (adjusted EPS &gt;= $27.00, GAAP &gt;= $20.10, OCF &gt;= $6.0bn, MA margin &gt;= 2%, Medicaid ~-1.75%, FY2027 &gt;= 12% EPS growth), CMS sanction timeline, Carelon growth, bull/bear axes</t>
  </si>
  <si>
    <t xml:space="preserve">Scenario narrative: bear</t>
  </si>
  <si>
    <t xml:space="preserve">Washington risk crystallises: MA enrolment freeze, Medicaid/ACA cuts shrink membership, medical trend keeps beating rate-setting; margin stuck at the FY2025 trough (3.4%), revenue growth below health-spending inflation, 13x exit.</t>
  </si>
  <si>
    <t xml:space="preserve">Scenario narrative: base</t>
  </si>
  <si>
    <t xml:space="preserve">Trough-and-recover: FY2026 Medicaid (-1.75%) and MA (~2%) margins mark the bottom; rate adequacy and repricing restore a 4.3% pre-tax margin by FY2030 as Carelon lifts revenue 5-6%/yr. Value is the FCFE stream at an 8.5% cost of equity with a 15x exit, no net-debt deduction (debt service is in the flows, regulated capital is not surplus).</t>
  </si>
  <si>
    <t xml:space="preserve">Scenario narrative: bull</t>
  </si>
  <si>
    <t xml:space="preserve">Regulatory overhang clears (sanction lifted, Medicaid rates reset, ACA pool stabilises) and Carelon compounds into an Optum-like services engine; pre-tax margin back to the FY2022 5.2%, revenue +6.5-7.5% through FY2030, 16x exit.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</si>
  <si>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</si>
  <si>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</si>
  <si>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</si>
  <si>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</si>
  <si>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</si>
  <si>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</si>
  <si>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</si>
  <si>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</si>
  <si>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</si>
  <si>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</si>
  <si>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</si>
  <si>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</si>
  <si>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</si>
  <si>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</si>
  <si>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</si>
  <si>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</si>
  <si>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</si>
  <si>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</si>
  <si>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</si>
  <si>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</si>
  <si>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</si>
  <si>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</si>
  <si>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</si>
  <si>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</si>
  <si>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</si>
  <si>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</si>
  <si>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</si>
  <si>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</si>
  <si>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</si>
  <si>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</si>
  <si>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</si>
  <si>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</si>
  <si>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</si>
  <si>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</si>
  <si>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</si>
  <si>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</si>
  <si>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</si>
  <si>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</si>
  <si>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</si>
  <si>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</si>
  <si>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</si>
  <si>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</si>
  <si>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</si>
  <si>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</si>
  <si>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</si>
  <si>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</si>
  <si>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</si>
  <si>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</si>
  <si>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</si>
  <si>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</si>
  <si>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</si>
  <si>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</si>
  <si>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</si>
  <si>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</si>
  <si>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</si>
  <si>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</si>
  <si>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</si>
  <si>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</si>
  <si>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</si>
  <si>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</si>
  <si>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</si>
  <si>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</si>
  <si>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</si>
  <si>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</si>
  <si>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</si>
  <si>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</si>
  <si>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</si>
  <si>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</si>
  <si>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</si>
  <si>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</si>
  <si>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</si>
  <si>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</si>
  <si>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</si>
  <si>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</si>
  <si>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</si>
  <si>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</si>
  <si>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</si>
  <si>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</si>
  <si>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</si>
  <si>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</si>
  <si>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</si>
  <si>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</si>
  <si>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</si>
  <si>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</si>
  <si>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ELV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</si>
  <si>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</si>
  <si>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</si>
  <si>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</si>
  <si>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</si>
  <si>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</si>
  <si>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</si>
  <si>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</si>
  <si>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</si>
  <si>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</si>
  <si>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</si>
  <si>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</si>
  <si>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</si>
  <si>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</si>
  <si>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</si>
  <si>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</si>
  <si>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</si>
  <si>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</si>
  <si>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</si>
  <si>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</si>
  <si>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</si>
  <si>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</si>
  <si>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</si>
  <si>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</si>
  <si>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</si>
  <si>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</si>
  <si>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</si>
  <si>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</si>
  <si>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</si>
  <si>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</si>
  <si>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</si>
  <si>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ELV owner-FCF component DCF: base case (millions, USD)</t>
  </si>
  <si>
    <t xml:space="preserve">ELV owner-FCF component DCF: bull case (millions, USD)</t>
  </si>
  <si>
    <t xml:space="preserve">ELV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</si>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</sst>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396.09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24575.8</v>
      </c>
      <c r="S2" s="0" t="n">
        <v>2602.1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61167.9</v>
      </c>
      <c r="I3" s="0" t="n">
        <v>3345.4</v>
      </c>
      <c r="J3" s="0" t="n">
        <v>5.46920852277093</v>
      </c>
      <c r="K3" s="0" t="n">
        <v>5.64</v>
      </c>
      <c r="L3" s="0" t="n">
        <v>4344.6</v>
      </c>
      <c r="M3" s="0" t="n">
        <v>322</v>
      </c>
      <c r="N3" s="0" t="n">
        <v>4022.6</v>
      </c>
      <c r="O3" s="0" t="n">
        <v>22990.4</v>
      </c>
      <c r="S3" s="0" t="n">
        <v>2767.9</v>
      </c>
      <c r="U3" s="0" t="n">
        <v>177.1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61251.1</v>
      </c>
      <c r="F4" s="0" t="n">
        <v>4347.8</v>
      </c>
      <c r="G4" s="0" t="n">
        <v>7.09832149953225</v>
      </c>
      <c r="I4" s="0" t="n">
        <v>2490.7</v>
      </c>
      <c r="J4" s="0" t="n">
        <v>4.06637595079925</v>
      </c>
      <c r="K4" s="0" t="n">
        <v>4.79</v>
      </c>
      <c r="L4" s="0" t="n">
        <v>2535.4</v>
      </c>
      <c r="M4" s="0" t="n">
        <v>345.6</v>
      </c>
      <c r="N4" s="0" t="n">
        <v>2189.8</v>
      </c>
      <c r="O4" s="0" t="n">
        <v>21431.7</v>
      </c>
      <c r="P4" s="0" t="n">
        <v>48403.2</v>
      </c>
      <c r="Q4" s="0" t="n">
        <v>26971.5</v>
      </c>
      <c r="R4" s="0" t="n">
        <v>8743.6</v>
      </c>
      <c r="S4" s="0" t="n">
        <v>2183.9</v>
      </c>
      <c r="T4" s="0" t="n">
        <v>523</v>
      </c>
      <c r="U4" s="0" t="n">
        <v>156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64939.5</v>
      </c>
      <c r="F5" s="0" t="n">
        <v>4179.4</v>
      </c>
      <c r="G5" s="0" t="n">
        <v>6.43583643237167</v>
      </c>
      <c r="I5" s="0" t="n">
        <v>4745.9</v>
      </c>
      <c r="J5" s="0" t="n">
        <v>7.30818685083809</v>
      </c>
      <c r="K5" s="0" t="n">
        <v>9.96</v>
      </c>
      <c r="L5" s="0" t="n">
        <v>3038.9</v>
      </c>
      <c r="M5" s="0" t="n">
        <v>378.4</v>
      </c>
      <c r="N5" s="0" t="n">
        <v>2660.5</v>
      </c>
      <c r="O5" s="0" t="n">
        <v>24863.3</v>
      </c>
      <c r="P5" s="0" t="n">
        <v>52125.4</v>
      </c>
      <c r="Q5" s="0" t="n">
        <v>27262.1</v>
      </c>
      <c r="R5" s="0" t="n">
        <v>8459.9</v>
      </c>
      <c r="S5" s="0" t="n">
        <v>4816.1</v>
      </c>
      <c r="T5" s="0" t="n">
        <v>480.5</v>
      </c>
      <c r="U5" s="0" t="n">
        <v>153.6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58698.5</v>
      </c>
      <c r="F6" s="0" t="n">
        <v>4077.5</v>
      </c>
      <c r="G6" s="0" t="n">
        <v>6.94651481724405</v>
      </c>
      <c r="I6" s="0" t="n">
        <v>2887.1</v>
      </c>
      <c r="J6" s="0" t="n">
        <v>4.91852432344949</v>
      </c>
      <c r="K6" s="0" t="n">
        <v>7.03</v>
      </c>
      <c r="L6" s="0" t="n">
        <v>1416.7</v>
      </c>
      <c r="M6" s="0" t="n">
        <v>451.4</v>
      </c>
      <c r="N6" s="0" t="n">
        <v>965.3</v>
      </c>
      <c r="O6" s="0" t="n">
        <v>23812.6</v>
      </c>
      <c r="P6" s="0" t="n">
        <v>50166.9</v>
      </c>
      <c r="Q6" s="0" t="n">
        <v>26354.3</v>
      </c>
      <c r="R6" s="0" t="n">
        <v>9559.6</v>
      </c>
      <c r="S6" s="0" t="n">
        <v>1788.8</v>
      </c>
      <c r="T6" s="0" t="n">
        <v>415.8</v>
      </c>
      <c r="U6" s="0" t="n">
        <v>136</v>
      </c>
      <c r="V6" s="0" t="n">
        <v>0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60710.7</v>
      </c>
      <c r="F7" s="0" t="n">
        <v>3782.1</v>
      </c>
      <c r="G7" s="0" t="n">
        <v>6.22970909576072</v>
      </c>
      <c r="I7" s="0" t="n">
        <v>2646.7</v>
      </c>
      <c r="J7" s="0" t="n">
        <v>4.35952805683347</v>
      </c>
      <c r="K7" s="0" t="n">
        <v>7.35</v>
      </c>
      <c r="L7" s="0" t="n">
        <v>3374.4</v>
      </c>
      <c r="M7" s="0" t="n">
        <v>519.5</v>
      </c>
      <c r="N7" s="0" t="n">
        <v>2854.9</v>
      </c>
      <c r="O7" s="0" t="n">
        <v>23288.2</v>
      </c>
      <c r="P7" s="0" t="n">
        <v>52163.2</v>
      </c>
      <c r="Q7" s="0" t="n">
        <v>28875</v>
      </c>
      <c r="R7" s="0" t="n">
        <v>11014.7</v>
      </c>
      <c r="S7" s="0" t="n">
        <v>2201.6</v>
      </c>
      <c r="T7" s="0" t="n">
        <v>365.1</v>
      </c>
      <c r="U7" s="0" t="n">
        <v>134.8</v>
      </c>
      <c r="V7" s="0" t="n">
        <v>1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61497.2</v>
      </c>
      <c r="F8" s="0" t="n">
        <v>3619.9</v>
      </c>
      <c r="G8" s="0" t="n">
        <v>5.88628425359203</v>
      </c>
      <c r="I8" s="0" t="n">
        <v>2655.5</v>
      </c>
      <c r="J8" s="0" t="n">
        <v>4.3180827745003</v>
      </c>
      <c r="K8" s="0" t="n">
        <v>8.26</v>
      </c>
      <c r="L8" s="0" t="n">
        <v>2744.6</v>
      </c>
      <c r="M8" s="0" t="n">
        <v>544.9</v>
      </c>
      <c r="N8" s="0" t="n">
        <v>2199.7</v>
      </c>
      <c r="O8" s="0" t="n">
        <v>23802.7</v>
      </c>
      <c r="P8" s="0" t="n">
        <v>58955.4</v>
      </c>
      <c r="Q8" s="0" t="n">
        <v>35152.7</v>
      </c>
      <c r="R8" s="0" t="n">
        <v>15285</v>
      </c>
      <c r="S8" s="0" t="n">
        <v>2475.3</v>
      </c>
      <c r="T8" s="0" t="n">
        <v>324.8</v>
      </c>
      <c r="U8" s="0" t="n">
        <v>146.5</v>
      </c>
      <c r="V8" s="0" t="n">
        <v>1.15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71023.5</v>
      </c>
      <c r="F9" s="0" t="n">
        <v>4001.4</v>
      </c>
      <c r="G9" s="0" t="n">
        <v>5.63390990306025</v>
      </c>
      <c r="I9" s="0" t="n">
        <v>2489.7</v>
      </c>
      <c r="J9" s="0" t="n">
        <v>3.50545946060107</v>
      </c>
      <c r="K9" s="0" t="n">
        <v>8.34</v>
      </c>
      <c r="L9" s="0" t="n">
        <v>3052.3</v>
      </c>
      <c r="M9" s="0" t="n">
        <v>646.5</v>
      </c>
      <c r="N9" s="0" t="n">
        <v>2405.8</v>
      </c>
      <c r="O9" s="0" t="n">
        <v>24765.2</v>
      </c>
      <c r="P9" s="0" t="n">
        <v>59574.5</v>
      </c>
      <c r="Q9" s="0" t="n">
        <v>34809.3</v>
      </c>
      <c r="R9" s="0" t="n">
        <v>14609.6</v>
      </c>
      <c r="S9" s="0" t="n">
        <v>1582.1</v>
      </c>
      <c r="T9" s="0" t="n">
        <v>303.8</v>
      </c>
      <c r="U9" s="0" t="n">
        <v>146</v>
      </c>
      <c r="V9" s="0" t="n">
        <v>1.5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73874.1</v>
      </c>
      <c r="F10" s="0" t="n">
        <v>4418.4</v>
      </c>
      <c r="G10" s="0" t="n">
        <v>5.98098657039477</v>
      </c>
      <c r="I10" s="0" t="n">
        <v>2569.7</v>
      </c>
      <c r="J10" s="0" t="n">
        <v>3.47848569390355</v>
      </c>
      <c r="K10" s="0" t="n">
        <v>9.31</v>
      </c>
      <c r="L10" s="0" t="n">
        <v>3369.3</v>
      </c>
      <c r="M10" s="0" t="n">
        <v>714.6</v>
      </c>
      <c r="N10" s="0" t="n">
        <v>2654.7</v>
      </c>
      <c r="O10" s="0" t="n">
        <v>24251.3</v>
      </c>
      <c r="P10" s="0" t="n">
        <v>61676.3</v>
      </c>
      <c r="Q10" s="0" t="n">
        <v>37425</v>
      </c>
      <c r="R10" s="0" t="n">
        <v>15268.2</v>
      </c>
      <c r="S10" s="0" t="n">
        <v>2151.7</v>
      </c>
      <c r="T10" s="0" t="n">
        <v>285.9</v>
      </c>
      <c r="U10" s="0" t="n">
        <v>168.9</v>
      </c>
      <c r="V10" s="0" t="n">
        <v>1.75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79156.5</v>
      </c>
      <c r="F11" s="0" t="n">
        <v>4753.1</v>
      </c>
      <c r="G11" s="0" t="n">
        <v>6.00468691768838</v>
      </c>
      <c r="I11" s="0" t="n">
        <v>2560</v>
      </c>
      <c r="J11" s="0" t="n">
        <v>3.23409953699317</v>
      </c>
      <c r="K11" s="0" t="n">
        <v>9.73</v>
      </c>
      <c r="L11" s="0" t="n">
        <v>4211.9</v>
      </c>
      <c r="M11" s="0" t="n">
        <v>638.2</v>
      </c>
      <c r="N11" s="0" t="n">
        <v>3573.7</v>
      </c>
      <c r="O11" s="0" t="n">
        <v>23045</v>
      </c>
      <c r="P11" s="0" t="n">
        <v>61717.8</v>
      </c>
      <c r="Q11" s="0" t="n">
        <v>38673.7</v>
      </c>
      <c r="R11" s="0" t="n">
        <v>15324.5</v>
      </c>
      <c r="S11" s="0" t="n">
        <v>2113</v>
      </c>
      <c r="T11" s="0" t="n">
        <v>272.9</v>
      </c>
      <c r="U11" s="0" t="n">
        <v>148.2</v>
      </c>
      <c r="V11" s="0" t="n">
        <v>2.5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84863</v>
      </c>
      <c r="F12" s="0" t="n">
        <v>4801</v>
      </c>
      <c r="G12" s="0" t="n">
        <v>5.65735361700623</v>
      </c>
      <c r="I12" s="0" t="n">
        <v>2470</v>
      </c>
      <c r="J12" s="0" t="n">
        <v>2.91057351260267</v>
      </c>
      <c r="K12" s="0" t="n">
        <v>9.39</v>
      </c>
      <c r="L12" s="0" t="n">
        <v>3270</v>
      </c>
      <c r="M12" s="0" t="n">
        <v>584</v>
      </c>
      <c r="N12" s="0" t="n">
        <v>2686</v>
      </c>
      <c r="O12" s="0" t="n">
        <v>25101</v>
      </c>
      <c r="P12" s="0" t="n">
        <v>65083.1</v>
      </c>
      <c r="Q12" s="0" t="n">
        <v>39982.7</v>
      </c>
      <c r="R12" s="0" t="n">
        <v>16215.3</v>
      </c>
      <c r="S12" s="0" t="n">
        <v>4075</v>
      </c>
      <c r="T12" s="0" t="n">
        <v>268.1</v>
      </c>
      <c r="U12" s="0" t="n">
        <v>165</v>
      </c>
      <c r="V12" s="0" t="n">
        <v>2.6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90040</v>
      </c>
      <c r="C13" s="0" t="n">
        <v>0</v>
      </c>
      <c r="F13" s="0" t="n">
        <v>4175</v>
      </c>
      <c r="G13" s="0" t="n">
        <v>4.63682807641048</v>
      </c>
      <c r="I13" s="0" t="n">
        <v>3843</v>
      </c>
      <c r="J13" s="0" t="n">
        <v>4.26810306530431</v>
      </c>
      <c r="K13" s="0" t="n">
        <v>14.7</v>
      </c>
      <c r="L13" s="0" t="n">
        <v>4185</v>
      </c>
      <c r="M13" s="0" t="n">
        <v>791</v>
      </c>
      <c r="N13" s="0" t="n">
        <v>3394</v>
      </c>
      <c r="O13" s="0" t="n">
        <v>26503</v>
      </c>
      <c r="P13" s="0" t="n">
        <v>70540</v>
      </c>
      <c r="Q13" s="0" t="n">
        <v>44037</v>
      </c>
      <c r="R13" s="0" t="n">
        <v>19932</v>
      </c>
      <c r="S13" s="0" t="n">
        <v>3609</v>
      </c>
      <c r="T13" s="0" t="n">
        <v>267.8</v>
      </c>
      <c r="U13" s="0" t="n">
        <v>170</v>
      </c>
      <c r="V13" s="0" t="n">
        <v>2.7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92105</v>
      </c>
      <c r="C14" s="0" t="n">
        <v>0</v>
      </c>
      <c r="F14" s="0" t="n">
        <v>5426</v>
      </c>
      <c r="G14" s="0" t="n">
        <v>5.89110254600727</v>
      </c>
      <c r="I14" s="0" t="n">
        <v>3750</v>
      </c>
      <c r="J14" s="0" t="n">
        <v>4.07144020411487</v>
      </c>
      <c r="K14" s="0" t="n">
        <v>14.53</v>
      </c>
      <c r="L14" s="0" t="n">
        <v>3827</v>
      </c>
      <c r="M14" s="0" t="n">
        <v>1208</v>
      </c>
      <c r="N14" s="0" t="n">
        <v>2619</v>
      </c>
      <c r="O14" s="0" t="n">
        <v>28567</v>
      </c>
      <c r="P14" s="0" t="n">
        <v>71571</v>
      </c>
      <c r="Q14" s="0" t="n">
        <v>43030</v>
      </c>
      <c r="R14" s="0" t="n">
        <v>18915</v>
      </c>
      <c r="S14" s="0" t="n">
        <v>3934</v>
      </c>
      <c r="T14" s="0" t="n">
        <v>264.2</v>
      </c>
      <c r="U14" s="0" t="n">
        <v>226</v>
      </c>
      <c r="V14" s="0" t="n">
        <v>3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104213</v>
      </c>
      <c r="C15" s="0" t="n">
        <v>1992</v>
      </c>
      <c r="F15" s="0" t="n">
        <v>5999</v>
      </c>
      <c r="G15" s="0" t="n">
        <v>5.75647951791043</v>
      </c>
      <c r="I15" s="0" t="n">
        <v>4807</v>
      </c>
      <c r="J15" s="0" t="n">
        <v>4.61266828514677</v>
      </c>
      <c r="K15" s="0" t="n">
        <v>18.81</v>
      </c>
      <c r="L15" s="0" t="n">
        <v>6061</v>
      </c>
      <c r="M15" s="0" t="n">
        <v>1077</v>
      </c>
      <c r="N15" s="0" t="n">
        <v>4984</v>
      </c>
      <c r="O15" s="0" t="n">
        <v>31693</v>
      </c>
      <c r="P15" s="0" t="n">
        <v>77453</v>
      </c>
      <c r="Q15" s="0" t="n">
        <v>45725</v>
      </c>
      <c r="R15" s="0" t="n">
        <v>20983</v>
      </c>
      <c r="S15" s="0" t="n">
        <v>4937</v>
      </c>
      <c r="T15" s="0" t="n">
        <v>260.3</v>
      </c>
      <c r="U15" s="0" t="n">
        <v>294</v>
      </c>
      <c r="V15" s="0" t="n">
        <v>3.2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121867</v>
      </c>
      <c r="C16" s="0" t="n">
        <v>8953</v>
      </c>
      <c r="F16" s="0" t="n">
        <v>6360</v>
      </c>
      <c r="G16" s="0" t="n">
        <v>5.21880410611568</v>
      </c>
      <c r="I16" s="0" t="n">
        <v>4572</v>
      </c>
      <c r="J16" s="0" t="n">
        <v>3.75163087628316</v>
      </c>
      <c r="K16" s="0" t="n">
        <v>18.23</v>
      </c>
      <c r="L16" s="0" t="n">
        <v>10688</v>
      </c>
      <c r="M16" s="0" t="n">
        <v>1021</v>
      </c>
      <c r="N16" s="0" t="n">
        <v>9667</v>
      </c>
      <c r="O16" s="0" t="n">
        <v>33187</v>
      </c>
      <c r="P16" s="0" t="n">
        <v>86615</v>
      </c>
      <c r="Q16" s="0" t="n">
        <v>53416</v>
      </c>
      <c r="R16" s="0" t="n">
        <v>20735</v>
      </c>
      <c r="S16" s="0" t="n">
        <v>5741</v>
      </c>
      <c r="T16" s="0" t="n">
        <v>254.3</v>
      </c>
      <c r="U16" s="0" t="n">
        <v>283</v>
      </c>
      <c r="V16" s="0" t="n">
        <v>3.8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138639</v>
      </c>
      <c r="C17" s="0" t="n">
        <v>10895</v>
      </c>
      <c r="F17" s="0" t="n">
        <v>7559</v>
      </c>
      <c r="G17" s="0" t="n">
        <v>5.45228975973572</v>
      </c>
      <c r="I17" s="0" t="n">
        <v>6158</v>
      </c>
      <c r="J17" s="0" t="n">
        <v>4.44175159947778</v>
      </c>
      <c r="K17" s="0" t="n">
        <v>25.26</v>
      </c>
      <c r="L17" s="0" t="n">
        <v>8364</v>
      </c>
      <c r="M17" s="0" t="n">
        <v>1087</v>
      </c>
      <c r="N17" s="0" t="n">
        <v>7277</v>
      </c>
      <c r="O17" s="0" t="n">
        <v>36140</v>
      </c>
      <c r="P17" s="0" t="n">
        <v>97460</v>
      </c>
      <c r="Q17" s="0" t="n">
        <v>61332</v>
      </c>
      <c r="R17" s="0" t="n">
        <v>24355</v>
      </c>
      <c r="S17" s="0" t="n">
        <v>4880</v>
      </c>
      <c r="T17" s="0" t="n">
        <v>246.8</v>
      </c>
      <c r="U17" s="0" t="n">
        <v>255</v>
      </c>
      <c r="V17" s="0" t="n">
        <v>4.52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156595</v>
      </c>
      <c r="C18" s="0" t="n">
        <v>13035</v>
      </c>
      <c r="F18" s="0" t="n">
        <v>8283</v>
      </c>
      <c r="G18" s="0" t="n">
        <v>5.28944091446087</v>
      </c>
      <c r="I18" s="0" t="n">
        <v>5894</v>
      </c>
      <c r="J18" s="0" t="n">
        <v>3.76384942047958</v>
      </c>
      <c r="K18" s="0" t="n">
        <v>24.56</v>
      </c>
      <c r="L18" s="0" t="n">
        <v>8399</v>
      </c>
      <c r="M18" s="0" t="n">
        <v>1152</v>
      </c>
      <c r="N18" s="0" t="n">
        <v>7247</v>
      </c>
      <c r="O18" s="0" t="n">
        <v>36330</v>
      </c>
      <c r="P18" s="0" t="n">
        <v>102755</v>
      </c>
      <c r="Q18" s="0" t="n">
        <v>66425</v>
      </c>
      <c r="R18" s="0" t="n">
        <v>25349</v>
      </c>
      <c r="S18" s="0" t="n">
        <v>7387</v>
      </c>
      <c r="T18" s="0" t="n">
        <v>242.8</v>
      </c>
      <c r="U18" s="0" t="n">
        <v>264</v>
      </c>
      <c r="V18" s="0" t="n">
        <v>5.12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171340</v>
      </c>
      <c r="C19" s="0" t="n">
        <v>17293</v>
      </c>
      <c r="F19" s="0" t="n">
        <v>8499</v>
      </c>
      <c r="G19" s="0" t="n">
        <v>4.96031282829462</v>
      </c>
      <c r="I19" s="0" t="n">
        <v>5991</v>
      </c>
      <c r="J19" s="0" t="n">
        <v>3.49655655421968</v>
      </c>
      <c r="K19" s="0" t="n">
        <v>25.38</v>
      </c>
      <c r="L19" s="0" t="n">
        <v>8061</v>
      </c>
      <c r="M19" s="0" t="n">
        <v>1296</v>
      </c>
      <c r="N19" s="0" t="n">
        <v>6765</v>
      </c>
      <c r="O19" s="0" t="n">
        <v>39405</v>
      </c>
      <c r="P19" s="0" t="n">
        <v>108928</v>
      </c>
      <c r="Q19" s="0" t="n">
        <v>69523</v>
      </c>
      <c r="R19" s="0" t="n">
        <v>26544</v>
      </c>
      <c r="S19" s="0" t="n">
        <v>6526</v>
      </c>
      <c r="T19" s="0" t="n">
        <v>237.4</v>
      </c>
      <c r="U19" s="0" t="n">
        <v>289</v>
      </c>
      <c r="V19" s="0" t="n">
        <v>5.92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177011</v>
      </c>
      <c r="C20" s="0" t="n">
        <v>19750</v>
      </c>
      <c r="F20" s="0" t="n">
        <v>7862</v>
      </c>
      <c r="G20" s="0" t="n">
        <v>4.44153188219941</v>
      </c>
      <c r="I20" s="0" t="n">
        <v>5980</v>
      </c>
      <c r="J20" s="0" t="n">
        <v>3.37832112128625</v>
      </c>
      <c r="K20" s="0" t="n">
        <v>25.81</v>
      </c>
      <c r="L20" s="0" t="n">
        <v>5808</v>
      </c>
      <c r="M20" s="0" t="n">
        <v>1256</v>
      </c>
      <c r="N20" s="0" t="n">
        <v>4552</v>
      </c>
      <c r="O20" s="0" t="n">
        <v>41426</v>
      </c>
      <c r="P20" s="0" t="n">
        <v>116889</v>
      </c>
      <c r="Q20" s="0" t="n">
        <v>75463</v>
      </c>
      <c r="R20" s="0" t="n">
        <v>32516</v>
      </c>
      <c r="S20" s="0" t="n">
        <v>8288</v>
      </c>
      <c r="T20" s="0" t="n">
        <v>232.9</v>
      </c>
      <c r="U20" s="0" t="n">
        <v>191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199125</v>
      </c>
      <c r="C21" s="0" t="n">
        <v>21178</v>
      </c>
      <c r="F21" s="0" t="n">
        <v>7199</v>
      </c>
      <c r="G21" s="0" t="n">
        <v>3.61531701192718</v>
      </c>
      <c r="I21" s="0" t="n">
        <v>5662</v>
      </c>
      <c r="J21" s="0" t="n">
        <v>2.84344005021971</v>
      </c>
      <c r="K21" s="0" t="n">
        <v>25.28</v>
      </c>
      <c r="L21" s="0" t="n">
        <v>4290</v>
      </c>
      <c r="M21" s="0" t="n">
        <v>1116</v>
      </c>
      <c r="N21" s="0" t="n">
        <v>3174</v>
      </c>
      <c r="O21" s="0" t="n">
        <v>44026</v>
      </c>
      <c r="P21" s="0" t="n">
        <v>121494</v>
      </c>
      <c r="Q21" s="0" t="n">
        <v>77468</v>
      </c>
      <c r="R21" s="0" t="n">
        <v>32995</v>
      </c>
      <c r="S21" s="0" t="n">
        <v>9491</v>
      </c>
      <c r="T21" s="0" t="n">
        <v>224.6</v>
      </c>
      <c r="U21" s="0" t="n">
        <v>276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396.09</v>
      </c>
    </row>
    <row r="3" customFormat="false" ht="15" hidden="false" customHeight="false" outlineLevel="0" collapsed="false">
      <c r="A3" s="0" t="s">
        <v>86</v>
      </c>
      <c r="B3" s="3" t="n">
        <v>217.9</v>
      </c>
    </row>
    <row r="4" customFormat="false" ht="15" hidden="false" customHeight="false" outlineLevel="0" collapsed="false">
      <c r="A4" s="0" t="s">
        <v>87</v>
      </c>
      <c r="B4" s="3" t="n">
        <v>0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199125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1</v>
      </c>
      <c r="D13" s="3" t="n">
        <v>2.5</v>
      </c>
      <c r="E13" s="3" t="n">
        <v>3</v>
      </c>
      <c r="F13" s="3" t="n">
        <v>3.5</v>
      </c>
      <c r="G13" s="3" t="n">
        <v>3.5</v>
      </c>
      <c r="H13" s="3" t="n">
        <v>3.5</v>
      </c>
      <c r="I13" s="3" t="n">
        <v>3</v>
      </c>
      <c r="J13" s="3" t="n">
        <v>3</v>
      </c>
      <c r="K13" s="3" t="n">
        <v>3</v>
      </c>
      <c r="L13" s="3" t="n">
        <v>2.5</v>
      </c>
    </row>
    <row r="14" customFormat="false" ht="15" hidden="false" customHeight="false" outlineLevel="0" collapsed="false">
      <c r="A14" s="0" t="s">
        <v>107</v>
      </c>
      <c r="C14" s="3" t="n">
        <v>3.8</v>
      </c>
      <c r="D14" s="3" t="n">
        <v>3.9</v>
      </c>
      <c r="E14" s="3" t="n">
        <v>4.1</v>
      </c>
      <c r="F14" s="3" t="n">
        <v>4.2</v>
      </c>
      <c r="G14" s="3" t="n">
        <v>4.3</v>
      </c>
      <c r="H14" s="3" t="n">
        <v>4.3</v>
      </c>
      <c r="I14" s="3" t="n">
        <v>4.3</v>
      </c>
      <c r="J14" s="3" t="n">
        <v>4.3</v>
      </c>
      <c r="K14" s="3" t="n">
        <v>4.3</v>
      </c>
      <c r="L14" s="3" t="n">
        <v>4.3</v>
      </c>
    </row>
    <row r="15" customFormat="false" ht="15" hidden="false" customHeight="false" outlineLevel="0" collapsed="false">
      <c r="A15" s="0" t="s">
        <v>108</v>
      </c>
      <c r="C15" s="3" t="n">
        <v>0.155</v>
      </c>
      <c r="D15" s="3" t="n">
        <v>0.15</v>
      </c>
      <c r="E15" s="3" t="n">
        <v>0.15</v>
      </c>
      <c r="F15" s="3" t="n">
        <v>0.15</v>
      </c>
      <c r="G15" s="3" t="n">
        <v>0.15</v>
      </c>
      <c r="H15" s="3" t="n">
        <v>0.15</v>
      </c>
      <c r="I15" s="3" t="n">
        <v>0.15</v>
      </c>
      <c r="J15" s="3" t="n">
        <v>0.15</v>
      </c>
      <c r="K15" s="3" t="n">
        <v>0.15</v>
      </c>
      <c r="L15" s="3" t="n">
        <v>0.15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0.75</v>
      </c>
      <c r="D17" s="3" t="n">
        <v>0.75</v>
      </c>
      <c r="E17" s="3" t="n">
        <v>0.75</v>
      </c>
      <c r="F17" s="3" t="n">
        <v>0.75</v>
      </c>
      <c r="G17" s="3" t="n">
        <v>0.75</v>
      </c>
      <c r="H17" s="3" t="n">
        <v>0.75</v>
      </c>
      <c r="I17" s="3" t="n">
        <v>0.75</v>
      </c>
      <c r="J17" s="3" t="n">
        <v>0.75</v>
      </c>
      <c r="K17" s="3" t="n">
        <v>0.75</v>
      </c>
      <c r="L17" s="3" t="n">
        <v>0.75</v>
      </c>
    </row>
    <row r="18" customFormat="false" ht="15" hidden="false" customHeight="false" outlineLevel="0" collapsed="false">
      <c r="A18" s="0" t="s">
        <v>111</v>
      </c>
      <c r="C18" s="3" t="n">
        <v>1</v>
      </c>
      <c r="D18" s="3" t="n">
        <v>1</v>
      </c>
      <c r="E18" s="3" t="n">
        <v>1</v>
      </c>
      <c r="F18" s="3" t="n">
        <v>1</v>
      </c>
      <c r="G18" s="3" t="n">
        <v>1</v>
      </c>
      <c r="H18" s="3" t="n">
        <v>1</v>
      </c>
      <c r="I18" s="3" t="n">
        <v>1</v>
      </c>
      <c r="J18" s="3" t="n">
        <v>1</v>
      </c>
      <c r="K18" s="3" t="n">
        <v>1</v>
      </c>
      <c r="L18" s="3" t="n">
        <v>1</v>
      </c>
    </row>
    <row r="19" customFormat="false" ht="15" hidden="false" customHeight="false" outlineLevel="0" collapsed="false">
      <c r="A19" s="0" t="s">
        <v>112</v>
      </c>
      <c r="C19" s="3" t="n">
        <v>24</v>
      </c>
      <c r="D19" s="3" t="n">
        <v>24</v>
      </c>
      <c r="E19" s="3" t="n">
        <v>24</v>
      </c>
      <c r="F19" s="3" t="n">
        <v>24</v>
      </c>
      <c r="G19" s="3" t="n">
        <v>24</v>
      </c>
      <c r="H19" s="3" t="n">
        <v>24</v>
      </c>
      <c r="I19" s="3" t="n">
        <v>24</v>
      </c>
      <c r="J19" s="3" t="n">
        <v>24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113</v>
      </c>
      <c r="B20" s="3" t="n">
        <v>8.5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13</v>
      </c>
    </row>
    <row r="23" customFormat="false" ht="15" hidden="false" customHeight="false" outlineLevel="0" collapsed="false">
      <c r="A23" s="0" t="s">
        <v>116</v>
      </c>
      <c r="B23" s="3" t="n">
        <v>0</v>
      </c>
    </row>
    <row r="24" customFormat="false" ht="15" hidden="false" customHeight="false" outlineLevel="0" collapsed="false">
      <c r="A24" s="0" t="s">
        <v>117</v>
      </c>
      <c r="B24" s="3" t="n">
        <v>0.3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1.5</v>
      </c>
      <c r="D27" s="3" t="n">
        <v>5</v>
      </c>
      <c r="E27" s="3" t="n">
        <v>6</v>
      </c>
      <c r="F27" s="3" t="n">
        <v>6</v>
      </c>
      <c r="G27" s="3" t="n">
        <v>5.5</v>
      </c>
      <c r="H27" s="3" t="n">
        <v>5</v>
      </c>
      <c r="I27" s="3" t="n">
        <v>4.5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107</v>
      </c>
      <c r="C28" s="3" t="n">
        <v>4.2</v>
      </c>
      <c r="D28" s="3" t="n">
        <v>4.6</v>
      </c>
      <c r="E28" s="3" t="n">
        <v>4.9</v>
      </c>
      <c r="F28" s="3" t="n">
        <v>5.1</v>
      </c>
      <c r="G28" s="3" t="n">
        <v>5.2</v>
      </c>
      <c r="H28" s="3" t="n">
        <v>5.2</v>
      </c>
      <c r="I28" s="3" t="n">
        <v>5.2</v>
      </c>
      <c r="J28" s="3" t="n">
        <v>5.2</v>
      </c>
      <c r="K28" s="3" t="n">
        <v>5.2</v>
      </c>
      <c r="L28" s="3" t="n">
        <v>5.2</v>
      </c>
    </row>
    <row r="29" customFormat="false" ht="15" hidden="false" customHeight="false" outlineLevel="0" collapsed="false">
      <c r="A29" s="0" t="s">
        <v>108</v>
      </c>
      <c r="C29" s="3" t="n">
        <v>0.155</v>
      </c>
      <c r="D29" s="3" t="n">
        <v>0.15</v>
      </c>
      <c r="E29" s="3" t="n">
        <v>0.15</v>
      </c>
      <c r="F29" s="3" t="n">
        <v>0.15</v>
      </c>
      <c r="G29" s="3" t="n">
        <v>0.15</v>
      </c>
      <c r="H29" s="3" t="n">
        <v>0.15</v>
      </c>
      <c r="I29" s="3" t="n">
        <v>0.15</v>
      </c>
      <c r="J29" s="3" t="n">
        <v>0.15</v>
      </c>
      <c r="K29" s="3" t="n">
        <v>0.15</v>
      </c>
      <c r="L29" s="3" t="n">
        <v>0.15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0.75</v>
      </c>
      <c r="D31" s="3" t="n">
        <v>0.75</v>
      </c>
      <c r="E31" s="3" t="n">
        <v>0.75</v>
      </c>
      <c r="F31" s="3" t="n">
        <v>0.75</v>
      </c>
      <c r="G31" s="3" t="n">
        <v>0.75</v>
      </c>
      <c r="H31" s="3" t="n">
        <v>0.75</v>
      </c>
      <c r="I31" s="3" t="n">
        <v>0.75</v>
      </c>
      <c r="J31" s="3" t="n">
        <v>0.75</v>
      </c>
      <c r="K31" s="3" t="n">
        <v>0.75</v>
      </c>
      <c r="L31" s="3" t="n">
        <v>0.75</v>
      </c>
    </row>
    <row r="32" customFormat="false" ht="15" hidden="false" customHeight="false" outlineLevel="0" collapsed="false">
      <c r="A32" s="0" t="s">
        <v>111</v>
      </c>
      <c r="C32" s="3" t="n">
        <v>1</v>
      </c>
      <c r="D32" s="3" t="n">
        <v>1</v>
      </c>
      <c r="E32" s="3" t="n">
        <v>1</v>
      </c>
      <c r="F32" s="3" t="n">
        <v>1</v>
      </c>
      <c r="G32" s="3" t="n">
        <v>1</v>
      </c>
      <c r="H32" s="3" t="n">
        <v>1</v>
      </c>
      <c r="I32" s="3" t="n">
        <v>1</v>
      </c>
      <c r="J32" s="3" t="n">
        <v>1</v>
      </c>
      <c r="K32" s="3" t="n">
        <v>1</v>
      </c>
      <c r="L32" s="3" t="n">
        <v>1</v>
      </c>
    </row>
    <row r="33" customFormat="false" ht="15" hidden="false" customHeight="false" outlineLevel="0" collapsed="false">
      <c r="A33" s="0" t="s">
        <v>112</v>
      </c>
      <c r="C33" s="3" t="n">
        <v>24</v>
      </c>
      <c r="D33" s="3" t="n">
        <v>24</v>
      </c>
      <c r="E33" s="3" t="n">
        <v>24</v>
      </c>
      <c r="F33" s="3" t="n">
        <v>24</v>
      </c>
      <c r="G33" s="3" t="n">
        <v>24</v>
      </c>
      <c r="H33" s="3" t="n">
        <v>24</v>
      </c>
      <c r="I33" s="3" t="n">
        <v>24</v>
      </c>
      <c r="J33" s="3" t="n">
        <v>24</v>
      </c>
      <c r="K33" s="3" t="n">
        <v>24</v>
      </c>
      <c r="L33" s="3" t="n">
        <v>24</v>
      </c>
    </row>
    <row r="34" customFormat="false" ht="15" hidden="false" customHeight="false" outlineLevel="0" collapsed="false">
      <c r="A34" s="0" t="s">
        <v>113</v>
      </c>
      <c r="B34" s="3" t="n">
        <v>8.5</v>
      </c>
    </row>
    <row r="35" customFormat="false" ht="15" hidden="false" customHeight="false" outlineLevel="0" collapsed="false">
      <c r="A35" s="0" t="s">
        <v>114</v>
      </c>
      <c r="B35" s="3" t="n">
        <v>2.5</v>
      </c>
    </row>
    <row r="36" customFormat="false" ht="15" hidden="false" customHeight="false" outlineLevel="0" collapsed="false">
      <c r="A36" s="0" t="s">
        <v>115</v>
      </c>
      <c r="B36" s="3" t="n">
        <v>15</v>
      </c>
    </row>
    <row r="37" customFormat="false" ht="15" hidden="false" customHeight="false" outlineLevel="0" collapsed="false">
      <c r="A37" s="0" t="s">
        <v>116</v>
      </c>
      <c r="B37" s="3" t="n">
        <v>0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2</v>
      </c>
      <c r="D41" s="3" t="n">
        <v>6.5</v>
      </c>
      <c r="E41" s="3" t="n">
        <v>7.5</v>
      </c>
      <c r="F41" s="3" t="n">
        <v>7.5</v>
      </c>
      <c r="G41" s="3" t="n">
        <v>7</v>
      </c>
      <c r="H41" s="3" t="n">
        <v>6.5</v>
      </c>
      <c r="I41" s="3" t="n">
        <v>6</v>
      </c>
      <c r="J41" s="3" t="n">
        <v>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107</v>
      </c>
      <c r="C42" s="3" t="n">
        <v>4.4</v>
      </c>
      <c r="D42" s="3" t="n">
        <v>5</v>
      </c>
      <c r="E42" s="3" t="n">
        <v>5.5</v>
      </c>
      <c r="F42" s="3" t="n">
        <v>5.9</v>
      </c>
      <c r="G42" s="3" t="n">
        <v>6.1</v>
      </c>
      <c r="H42" s="3" t="n">
        <v>6.1</v>
      </c>
      <c r="I42" s="3" t="n">
        <v>6.1</v>
      </c>
      <c r="J42" s="3" t="n">
        <v>6.1</v>
      </c>
      <c r="K42" s="3" t="n">
        <v>6.1</v>
      </c>
      <c r="L42" s="3" t="n">
        <v>6.1</v>
      </c>
    </row>
    <row r="43" customFormat="false" ht="15" hidden="false" customHeight="false" outlineLevel="0" collapsed="false">
      <c r="A43" s="0" t="s">
        <v>108</v>
      </c>
      <c r="C43" s="3" t="n">
        <v>0.155</v>
      </c>
      <c r="D43" s="3" t="n">
        <v>0.15</v>
      </c>
      <c r="E43" s="3" t="n">
        <v>0.15</v>
      </c>
      <c r="F43" s="3" t="n">
        <v>0.15</v>
      </c>
      <c r="G43" s="3" t="n">
        <v>0.15</v>
      </c>
      <c r="H43" s="3" t="n">
        <v>0.15</v>
      </c>
      <c r="I43" s="3" t="n">
        <v>0.15</v>
      </c>
      <c r="J43" s="3" t="n">
        <v>0.15</v>
      </c>
      <c r="K43" s="3" t="n">
        <v>0.15</v>
      </c>
      <c r="L43" s="3" t="n">
        <v>0.15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0.75</v>
      </c>
      <c r="D45" s="3" t="n">
        <v>0.75</v>
      </c>
      <c r="E45" s="3" t="n">
        <v>0.75</v>
      </c>
      <c r="F45" s="3" t="n">
        <v>0.75</v>
      </c>
      <c r="G45" s="3" t="n">
        <v>0.75</v>
      </c>
      <c r="H45" s="3" t="n">
        <v>0.75</v>
      </c>
      <c r="I45" s="3" t="n">
        <v>0.75</v>
      </c>
      <c r="J45" s="3" t="n">
        <v>0.75</v>
      </c>
      <c r="K45" s="3" t="n">
        <v>0.75</v>
      </c>
      <c r="L45" s="3" t="n">
        <v>0.75</v>
      </c>
    </row>
    <row r="46" customFormat="false" ht="15" hidden="false" customHeight="false" outlineLevel="0" collapsed="false">
      <c r="A46" s="0" t="s">
        <v>111</v>
      </c>
      <c r="C46" s="3" t="n">
        <v>1</v>
      </c>
      <c r="D46" s="3" t="n">
        <v>1</v>
      </c>
      <c r="E46" s="3" t="n">
        <v>1</v>
      </c>
      <c r="F46" s="3" t="n">
        <v>1</v>
      </c>
      <c r="G46" s="3" t="n">
        <v>1</v>
      </c>
      <c r="H46" s="3" t="n">
        <v>1</v>
      </c>
      <c r="I46" s="3" t="n">
        <v>1</v>
      </c>
      <c r="J46" s="3" t="n">
        <v>1</v>
      </c>
      <c r="K46" s="3" t="n">
        <v>1</v>
      </c>
      <c r="L46" s="3" t="n">
        <v>1</v>
      </c>
    </row>
    <row r="47" customFormat="false" ht="15" hidden="false" customHeight="false" outlineLevel="0" collapsed="false">
      <c r="A47" s="0" t="s">
        <v>112</v>
      </c>
      <c r="C47" s="3" t="n">
        <v>24</v>
      </c>
      <c r="D47" s="3" t="n">
        <v>24</v>
      </c>
      <c r="E47" s="3" t="n">
        <v>24</v>
      </c>
      <c r="F47" s="3" t="n">
        <v>24</v>
      </c>
      <c r="G47" s="3" t="n">
        <v>24</v>
      </c>
      <c r="H47" s="3" t="n">
        <v>24</v>
      </c>
      <c r="I47" s="3" t="n">
        <v>24</v>
      </c>
      <c r="J47" s="3" t="n">
        <v>24</v>
      </c>
      <c r="K47" s="3" t="n">
        <v>24</v>
      </c>
      <c r="L47" s="3" t="n">
        <v>24</v>
      </c>
    </row>
    <row r="48" customFormat="false" ht="15" hidden="false" customHeight="false" outlineLevel="0" collapsed="false">
      <c r="A48" s="0" t="s">
        <v>113</v>
      </c>
      <c r="B48" s="3" t="n">
        <v>8.5</v>
      </c>
    </row>
    <row r="49" customFormat="false" ht="15" hidden="false" customHeight="false" outlineLevel="0" collapsed="false">
      <c r="A49" s="0" t="s">
        <v>114</v>
      </c>
      <c r="B49" s="3" t="n">
        <v>2.5</v>
      </c>
    </row>
    <row r="50" customFormat="false" ht="15" hidden="false" customHeight="false" outlineLevel="0" collapsed="false">
      <c r="A50" s="0" t="s">
        <v>115</v>
      </c>
      <c r="B50" s="3" t="n">
        <v>16</v>
      </c>
    </row>
    <row r="51" customFormat="false" ht="15" hidden="false" customHeight="false" outlineLevel="0" collapsed="false">
      <c r="A51" s="0" t="s">
        <v>116</v>
      </c>
      <c r="B51" s="3" t="n">
        <v>0</v>
      </c>
    </row>
    <row r="52" customFormat="false" ht="15" hidden="false" customHeight="false" outlineLevel="0" collapsed="false">
      <c r="A52" s="0" t="s">
        <v>117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1</v>
      </c>
      <c r="D5" s="4" t="n">
        <f aca="false">Assumptions!D13</f>
        <v>2.5</v>
      </c>
      <c r="E5" s="4" t="n">
        <f aca="false">Assumptions!E13</f>
        <v>3</v>
      </c>
      <c r="F5" s="4" t="n">
        <f aca="false">Assumptions!F13</f>
        <v>3.5</v>
      </c>
      <c r="G5" s="4" t="n">
        <f aca="false">Assumptions!G13</f>
        <v>3.5</v>
      </c>
      <c r="H5" s="4" t="n">
        <f aca="false">Assumptions!H13</f>
        <v>3.5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3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199125</v>
      </c>
      <c r="C6" s="0" t="n">
        <f aca="false">B6*(1+C5/100)</f>
        <v>201116.25</v>
      </c>
      <c r="D6" s="0" t="n">
        <f aca="false">C6*(1+D5/100)</f>
        <v>206144.15625</v>
      </c>
      <c r="E6" s="0" t="n">
        <f aca="false">D6*(1+E5/100)</f>
        <v>212328.4809375</v>
      </c>
      <c r="F6" s="0" t="n">
        <f aca="false">E6*(1+F5/100)</f>
        <v>219759.977770313</v>
      </c>
      <c r="G6" s="0" t="n">
        <f aca="false">F6*(1+G5/100)</f>
        <v>227451.576992273</v>
      </c>
      <c r="H6" s="0" t="n">
        <f aca="false">G6*(1+H5/100)</f>
        <v>235412.382187003</v>
      </c>
      <c r="I6" s="0" t="n">
        <f aca="false">H6*(1+I5/100)</f>
        <v>242474.753652613</v>
      </c>
      <c r="J6" s="0" t="n">
        <f aca="false">I6*(1+J5/100)</f>
        <v>249748.996262191</v>
      </c>
      <c r="K6" s="0" t="n">
        <f aca="false">J6*(1+K5/100)</f>
        <v>257241.466150057</v>
      </c>
      <c r="L6" s="0" t="n">
        <f aca="false">K6*(1+L5/100)</f>
        <v>263672.502803809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3.8</v>
      </c>
      <c r="D7" s="4" t="n">
        <f aca="false">Assumptions!D14</f>
        <v>3.9</v>
      </c>
      <c r="E7" s="4" t="n">
        <f aca="false">Assumptions!E14</f>
        <v>4.1</v>
      </c>
      <c r="F7" s="4" t="n">
        <f aca="false">Assumptions!F14</f>
        <v>4.2</v>
      </c>
      <c r="G7" s="4" t="n">
        <f aca="false">Assumptions!G14</f>
        <v>4.3</v>
      </c>
      <c r="H7" s="4" t="n">
        <f aca="false">Assumptions!H14</f>
        <v>4.3</v>
      </c>
      <c r="I7" s="4" t="n">
        <f aca="false">Assumptions!I14</f>
        <v>4.3</v>
      </c>
      <c r="J7" s="4" t="n">
        <f aca="false">Assumptions!J14</f>
        <v>4.3</v>
      </c>
      <c r="K7" s="4" t="n">
        <f aca="false">Assumptions!K14</f>
        <v>4.3</v>
      </c>
      <c r="L7" s="4" t="n">
        <f aca="false">Assumptions!L14</f>
        <v>4.3</v>
      </c>
    </row>
    <row r="8" customFormat="false" ht="15" hidden="false" customHeight="false" outlineLevel="0" collapsed="false">
      <c r="A8" s="0" t="s">
        <v>43</v>
      </c>
      <c r="C8" s="0" t="n">
        <f aca="false">C6*C7/100</f>
        <v>7642.4175</v>
      </c>
      <c r="D8" s="0" t="n">
        <f aca="false">D6*D7/100</f>
        <v>8039.62209375</v>
      </c>
      <c r="E8" s="0" t="n">
        <f aca="false">E6*E7/100</f>
        <v>8705.4677184375</v>
      </c>
      <c r="F8" s="0" t="n">
        <f aca="false">F6*F7/100</f>
        <v>9229.91906635312</v>
      </c>
      <c r="G8" s="0" t="n">
        <f aca="false">G6*G7/100</f>
        <v>9780.41781066776</v>
      </c>
      <c r="H8" s="0" t="n">
        <f aca="false">H6*H7/100</f>
        <v>10122.7324340411</v>
      </c>
      <c r="I8" s="0" t="n">
        <f aca="false">I6*I7/100</f>
        <v>10426.4144070624</v>
      </c>
      <c r="J8" s="0" t="n">
        <f aca="false">J6*J7/100</f>
        <v>10739.2068392742</v>
      </c>
      <c r="K8" s="0" t="n">
        <f aca="false">K6*K7/100</f>
        <v>11061.3830444525</v>
      </c>
      <c r="L8" s="0" t="n">
        <f aca="false">L6*L7/100</f>
        <v>11337.9176205638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0.155</v>
      </c>
      <c r="D9" s="4" t="n">
        <f aca="false">Assumptions!D15</f>
        <v>0.15</v>
      </c>
      <c r="E9" s="4" t="n">
        <f aca="false">Assumptions!E15</f>
        <v>0.15</v>
      </c>
      <c r="F9" s="4" t="n">
        <f aca="false">Assumptions!F15</f>
        <v>0.15</v>
      </c>
      <c r="G9" s="4" t="n">
        <f aca="false">Assumptions!G15</f>
        <v>0.15</v>
      </c>
      <c r="H9" s="4" t="n">
        <f aca="false">Assumptions!H15</f>
        <v>0.15</v>
      </c>
      <c r="I9" s="4" t="n">
        <f aca="false">Assumptions!I15</f>
        <v>0.15</v>
      </c>
      <c r="J9" s="4" t="n">
        <f aca="false">Assumptions!J15</f>
        <v>0.15</v>
      </c>
      <c r="K9" s="4" t="n">
        <f aca="false">Assumptions!K15</f>
        <v>0.15</v>
      </c>
      <c r="L9" s="4" t="n">
        <f aca="false">Assumptions!L15</f>
        <v>0.15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-311.7301875</v>
      </c>
      <c r="D10" s="0" t="n">
        <f aca="false">-D6*D9/100</f>
        <v>-309.216234375</v>
      </c>
      <c r="E10" s="0" t="n">
        <f aca="false">-E6*E9/100</f>
        <v>-318.49272140625</v>
      </c>
      <c r="F10" s="0" t="n">
        <f aca="false">-F6*F9/100</f>
        <v>-329.639966655469</v>
      </c>
      <c r="G10" s="0" t="n">
        <f aca="false">-G6*G9/100</f>
        <v>-341.17736548841</v>
      </c>
      <c r="H10" s="0" t="n">
        <f aca="false">-H6*H9/100</f>
        <v>-353.118573280504</v>
      </c>
      <c r="I10" s="0" t="n">
        <f aca="false">-I6*I9/100</f>
        <v>-363.71213047892</v>
      </c>
      <c r="J10" s="0" t="n">
        <f aca="false">-J6*J9/100</f>
        <v>-374.623494393287</v>
      </c>
      <c r="K10" s="0" t="n">
        <f aca="false">-K6*K9/100</f>
        <v>-385.862199225086</v>
      </c>
      <c r="L10" s="0" t="n">
        <f aca="false">-L6*L9/100</f>
        <v>-395.508754205713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7330.6873125</v>
      </c>
      <c r="D11" s="0" t="n">
        <f aca="false">D8+D10+D24</f>
        <v>7730.405859375</v>
      </c>
      <c r="E11" s="0" t="n">
        <f aca="false">E8+E10+E24</f>
        <v>8386.97499703125</v>
      </c>
      <c r="F11" s="0" t="n">
        <f aca="false">F8+F10+F24</f>
        <v>8900.27909969766</v>
      </c>
      <c r="G11" s="0" t="n">
        <f aca="false">G8+G10+G24</f>
        <v>9439.24044517935</v>
      </c>
      <c r="H11" s="0" t="n">
        <f aca="false">H8+H10+H24</f>
        <v>9769.61386076062</v>
      </c>
      <c r="I11" s="0" t="n">
        <f aca="false">I8+I10+I24</f>
        <v>10062.7022765834</v>
      </c>
      <c r="J11" s="0" t="n">
        <f aca="false">J8+J10+J24</f>
        <v>10364.5833448809</v>
      </c>
      <c r="K11" s="0" t="n">
        <f aca="false">K8+K10+K24</f>
        <v>10675.5208452274</v>
      </c>
      <c r="L11" s="0" t="n">
        <f aca="false">L8+L10+L24</f>
        <v>10942.4088663581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-1508.371875</v>
      </c>
      <c r="D12" s="4" t="n">
        <f aca="false">-D6*Assumptions!D17/100</f>
        <v>-1546.081171875</v>
      </c>
      <c r="E12" s="4" t="n">
        <f aca="false">-E6*Assumptions!E17/100</f>
        <v>-1592.46360703125</v>
      </c>
      <c r="F12" s="4" t="n">
        <f aca="false">-F6*Assumptions!F17/100</f>
        <v>-1648.19983327734</v>
      </c>
      <c r="G12" s="4" t="n">
        <f aca="false">-G6*Assumptions!G17/100</f>
        <v>-1705.88682744205</v>
      </c>
      <c r="H12" s="4" t="n">
        <f aca="false">-H6*Assumptions!H17/100</f>
        <v>-1765.59286640252</v>
      </c>
      <c r="I12" s="4" t="n">
        <f aca="false">-I6*Assumptions!I17/100</f>
        <v>-1818.5606523946</v>
      </c>
      <c r="J12" s="4" t="n">
        <f aca="false">-J6*Assumptions!J17/100</f>
        <v>-1873.11747196644</v>
      </c>
      <c r="K12" s="4" t="n">
        <f aca="false">-K6*Assumptions!K17/100</f>
        <v>-1929.31099612543</v>
      </c>
      <c r="L12" s="4" t="n">
        <f aca="false">-L6*Assumptions!L17/100</f>
        <v>-1977.54377102856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5822.3154375</v>
      </c>
      <c r="D13" s="0" t="n">
        <f aca="false">D11+D12</f>
        <v>6184.3246875</v>
      </c>
      <c r="E13" s="0" t="n">
        <f aca="false">E11+E12</f>
        <v>6794.51139</v>
      </c>
      <c r="F13" s="0" t="n">
        <f aca="false">F11+F12</f>
        <v>7252.07926642031</v>
      </c>
      <c r="G13" s="0" t="n">
        <f aca="false">G11+G12</f>
        <v>7733.3536177373</v>
      </c>
      <c r="H13" s="0" t="n">
        <f aca="false">H11+H12</f>
        <v>8004.0209943581</v>
      </c>
      <c r="I13" s="0" t="n">
        <f aca="false">I11+I12</f>
        <v>8244.14162418884</v>
      </c>
      <c r="J13" s="0" t="n">
        <f aca="false">J11+J12</f>
        <v>8491.46587291451</v>
      </c>
      <c r="K13" s="0" t="n">
        <f aca="false">K11+K12</f>
        <v>8746.20984910194</v>
      </c>
      <c r="L13" s="0" t="n">
        <f aca="false">L11+L12</f>
        <v>8964.86509532949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24</v>
      </c>
      <c r="D14" s="4" t="n">
        <f aca="false">Assumptions!D19</f>
        <v>24</v>
      </c>
      <c r="E14" s="4" t="n">
        <f aca="false">Assumptions!E19</f>
        <v>24</v>
      </c>
      <c r="F14" s="4" t="n">
        <f aca="false">Assumptions!F19</f>
        <v>24</v>
      </c>
      <c r="G14" s="4" t="n">
        <f aca="false">Assumptions!G19</f>
        <v>24</v>
      </c>
      <c r="H14" s="4" t="n">
        <f aca="false">Assumptions!H19</f>
        <v>24</v>
      </c>
      <c r="I14" s="4" t="n">
        <f aca="false">Assumptions!I19</f>
        <v>24</v>
      </c>
      <c r="J14" s="4" t="n">
        <f aca="false">Assumptions!J19</f>
        <v>24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4424.9597325</v>
      </c>
      <c r="D15" s="0" t="n">
        <f aca="false">D13-MAX(0,D13)*D14/100</f>
        <v>4700.0867625</v>
      </c>
      <c r="E15" s="0" t="n">
        <f aca="false">E13-MAX(0,E13)*E14/100</f>
        <v>5163.8286564</v>
      </c>
      <c r="F15" s="0" t="n">
        <f aca="false">F13-MAX(0,F13)*F14/100</f>
        <v>5511.58024247944</v>
      </c>
      <c r="G15" s="0" t="n">
        <f aca="false">G13-MAX(0,G13)*G14/100</f>
        <v>5877.34874948035</v>
      </c>
      <c r="H15" s="0" t="n">
        <f aca="false">H13-MAX(0,H13)*H14/100</f>
        <v>6083.05595571216</v>
      </c>
      <c r="I15" s="0" t="n">
        <f aca="false">I13-MAX(0,I13)*I14/100</f>
        <v>6265.54763438352</v>
      </c>
      <c r="J15" s="0" t="n">
        <f aca="false">J13-MAX(0,J13)*J14/100</f>
        <v>6453.51406341503</v>
      </c>
      <c r="K15" s="0" t="n">
        <f aca="false">K13-MAX(0,K13)*K14/100</f>
        <v>6647.11948531748</v>
      </c>
      <c r="L15" s="0" t="n">
        <f aca="false">L13-MAX(0,L13)*L14/100</f>
        <v>6813.29747245042</v>
      </c>
    </row>
    <row r="16" customFormat="false" ht="15" hidden="false" customHeight="false" outlineLevel="0" collapsed="false">
      <c r="A16" s="0" t="s">
        <v>128</v>
      </c>
      <c r="C16" s="0" t="n">
        <f aca="false">-C12</f>
        <v>1508.371875</v>
      </c>
      <c r="D16" s="0" t="n">
        <f aca="false">-D12</f>
        <v>1546.081171875</v>
      </c>
      <c r="E16" s="0" t="n">
        <f aca="false">-E12</f>
        <v>1592.46360703125</v>
      </c>
      <c r="F16" s="0" t="n">
        <f aca="false">-F12</f>
        <v>1648.19983327734</v>
      </c>
      <c r="G16" s="0" t="n">
        <f aca="false">-G12</f>
        <v>1705.88682744205</v>
      </c>
      <c r="H16" s="0" t="n">
        <f aca="false">-H12</f>
        <v>1765.59286640252</v>
      </c>
      <c r="I16" s="0" t="n">
        <f aca="false">-I12</f>
        <v>1818.5606523946</v>
      </c>
      <c r="J16" s="0" t="n">
        <f aca="false">-J12</f>
        <v>1873.11747196644</v>
      </c>
      <c r="K16" s="0" t="n">
        <f aca="false">-K12</f>
        <v>1929.31099612543</v>
      </c>
      <c r="L16" s="0" t="n">
        <f aca="false">-L12</f>
        <v>1977.54377102856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-2011.1625</v>
      </c>
      <c r="D17" s="4" t="n">
        <f aca="false">-D6*Assumptions!D18/100</f>
        <v>-2061.4415625</v>
      </c>
      <c r="E17" s="4" t="n">
        <f aca="false">-E6*Assumptions!E18/100</f>
        <v>-2123.284809375</v>
      </c>
      <c r="F17" s="4" t="n">
        <f aca="false">-F6*Assumptions!F18/100</f>
        <v>-2197.59977770313</v>
      </c>
      <c r="G17" s="4" t="n">
        <f aca="false">-G6*Assumptions!G18/100</f>
        <v>-2274.51576992273</v>
      </c>
      <c r="H17" s="4" t="n">
        <f aca="false">-H6*Assumptions!H18/100</f>
        <v>-2354.12382187003</v>
      </c>
      <c r="I17" s="4" t="n">
        <f aca="false">-I6*Assumptions!I18/100</f>
        <v>-2424.74753652613</v>
      </c>
      <c r="J17" s="4" t="n">
        <f aca="false">-J6*Assumptions!J18/100</f>
        <v>-2497.48996262192</v>
      </c>
      <c r="K17" s="4" t="n">
        <f aca="false">-K6*Assumptions!K18/100</f>
        <v>-2572.41466150057</v>
      </c>
      <c r="L17" s="4" t="n">
        <f aca="false">-L6*Assumptions!L18/100</f>
        <v>-2636.72502803809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3922.1691075</v>
      </c>
      <c r="D19" s="0" t="n">
        <f aca="false">D15+D16+D17+D18</f>
        <v>4184.726371875</v>
      </c>
      <c r="E19" s="0" t="n">
        <f aca="false">E15+E16+E17+E18</f>
        <v>4633.00745405625</v>
      </c>
      <c r="F19" s="0" t="n">
        <f aca="false">F15+F16+F17+F18</f>
        <v>4962.18029805366</v>
      </c>
      <c r="G19" s="0" t="n">
        <f aca="false">G15+G16+G17+G18</f>
        <v>5308.71980699966</v>
      </c>
      <c r="H19" s="0" t="n">
        <f aca="false">H15+H16+H17+H18</f>
        <v>5494.52500024465</v>
      </c>
      <c r="I19" s="0" t="n">
        <f aca="false">I15+I16+I17+I18</f>
        <v>5659.36075025199</v>
      </c>
      <c r="J19" s="0" t="n">
        <f aca="false">J15+J16+J17+J18</f>
        <v>5829.14157275955</v>
      </c>
      <c r="K19" s="0" t="n">
        <f aca="false">K15+K16+K17+K18</f>
        <v>6004.01581994234</v>
      </c>
      <c r="L19" s="0" t="n">
        <f aca="false">L15+L16+L17+L18</f>
        <v>6154.11621544089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3614.90240322581</v>
      </c>
      <c r="D21" s="0" t="n">
        <f aca="false">D19*D20</f>
        <v>3554.73794038947</v>
      </c>
      <c r="E21" s="0" t="n">
        <f aca="false">E19*E20</f>
        <v>3627.21905587057</v>
      </c>
      <c r="F21" s="0" t="n">
        <f aca="false">F19*F20</f>
        <v>3580.58169697661</v>
      </c>
      <c r="G21" s="0" t="n">
        <f aca="false">G19*G20</f>
        <v>3530.5398111658</v>
      </c>
      <c r="H21" s="0" t="n">
        <f aca="false">H19*H20</f>
        <v>3367.8421240153</v>
      </c>
      <c r="I21" s="0" t="n">
        <f aca="false">I19*I20</f>
        <v>3197.12201634632</v>
      </c>
      <c r="J21" s="0" t="n">
        <f aca="false">J19*J20</f>
        <v>3035.05592335181</v>
      </c>
      <c r="K21" s="0" t="n">
        <f aca="false">K19*K20</f>
        <v>2881.20516226024</v>
      </c>
      <c r="L21" s="0" t="n">
        <f aca="false">L19*L20</f>
        <v>2721.87584453156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33111.0819781335</v>
      </c>
    </row>
    <row r="31" customFormat="false" ht="15" hidden="false" customHeight="false" outlineLevel="0" collapsed="false">
      <c r="A31" s="0" t="s">
        <v>137</v>
      </c>
      <c r="B31" s="0" t="n">
        <f aca="false">L19</f>
        <v>6154.11621544089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96572.2852269186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80003.5108007316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80003.5108007316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35384.3859789103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68495.4679570438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68495.4679570438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314.343588605066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-0.206383426481189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2241.14604376192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2745.02013191833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337.226407217641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48286.1426134593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168.286822800264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1.5</v>
      </c>
      <c r="D5" s="4" t="n">
        <f aca="false">Assumptions!D27</f>
        <v>5</v>
      </c>
      <c r="E5" s="4" t="n">
        <f aca="false">Assumptions!E27</f>
        <v>6</v>
      </c>
      <c r="F5" s="4" t="n">
        <f aca="false">Assumptions!F27</f>
        <v>6</v>
      </c>
      <c r="G5" s="4" t="n">
        <f aca="false">Assumptions!G27</f>
        <v>5.5</v>
      </c>
      <c r="H5" s="4" t="n">
        <f aca="false">Assumptions!H27</f>
        <v>5</v>
      </c>
      <c r="I5" s="4" t="n">
        <f aca="false">Assumptions!I27</f>
        <v>4.5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199125</v>
      </c>
      <c r="C6" s="0" t="n">
        <f aca="false">B6*(1+C5/100)</f>
        <v>202111.875</v>
      </c>
      <c r="D6" s="0" t="n">
        <f aca="false">C6*(1+D5/100)</f>
        <v>212217.46875</v>
      </c>
      <c r="E6" s="0" t="n">
        <f aca="false">D6*(1+E5/100)</f>
        <v>224950.516875</v>
      </c>
      <c r="F6" s="0" t="n">
        <f aca="false">E6*(1+F5/100)</f>
        <v>238447.5478875</v>
      </c>
      <c r="G6" s="0" t="n">
        <f aca="false">F6*(1+G5/100)</f>
        <v>251562.163021312</v>
      </c>
      <c r="H6" s="0" t="n">
        <f aca="false">G6*(1+H5/100)</f>
        <v>264140.271172378</v>
      </c>
      <c r="I6" s="0" t="n">
        <f aca="false">H6*(1+I5/100)</f>
        <v>276026.583375135</v>
      </c>
      <c r="J6" s="0" t="n">
        <f aca="false">I6*(1+J5/100)</f>
        <v>287067.646710141</v>
      </c>
      <c r="K6" s="0" t="n">
        <f aca="false">J6*(1+K5/100)</f>
        <v>297115.014344995</v>
      </c>
      <c r="L6" s="0" t="n">
        <f aca="false">K6*(1+L5/100)</f>
        <v>306028.464775345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4.2</v>
      </c>
      <c r="D7" s="4" t="n">
        <f aca="false">Assumptions!D28</f>
        <v>4.6</v>
      </c>
      <c r="E7" s="4" t="n">
        <f aca="false">Assumptions!E28</f>
        <v>4.9</v>
      </c>
      <c r="F7" s="4" t="n">
        <f aca="false">Assumptions!F28</f>
        <v>5.1</v>
      </c>
      <c r="G7" s="4" t="n">
        <f aca="false">Assumptions!G28</f>
        <v>5.2</v>
      </c>
      <c r="H7" s="4" t="n">
        <f aca="false">Assumptions!H28</f>
        <v>5.2</v>
      </c>
      <c r="I7" s="4" t="n">
        <f aca="false">Assumptions!I28</f>
        <v>5.2</v>
      </c>
      <c r="J7" s="4" t="n">
        <f aca="false">Assumptions!J28</f>
        <v>5.2</v>
      </c>
      <c r="K7" s="4" t="n">
        <f aca="false">Assumptions!K28</f>
        <v>5.2</v>
      </c>
      <c r="L7" s="4" t="n">
        <f aca="false">Assumptions!L28</f>
        <v>5.2</v>
      </c>
    </row>
    <row r="8" customFormat="false" ht="15" hidden="false" customHeight="false" outlineLevel="0" collapsed="false">
      <c r="A8" s="0" t="s">
        <v>43</v>
      </c>
      <c r="C8" s="0" t="n">
        <f aca="false">C6*C7/100</f>
        <v>8488.69875</v>
      </c>
      <c r="D8" s="0" t="n">
        <f aca="false">D6*D7/100</f>
        <v>9762.0035625</v>
      </c>
      <c r="E8" s="0" t="n">
        <f aca="false">E6*E7/100</f>
        <v>11022.575326875</v>
      </c>
      <c r="F8" s="0" t="n">
        <f aca="false">F6*F7/100</f>
        <v>12160.8249422625</v>
      </c>
      <c r="G8" s="0" t="n">
        <f aca="false">G6*G7/100</f>
        <v>13081.2324771082</v>
      </c>
      <c r="H8" s="0" t="n">
        <f aca="false">H6*H7/100</f>
        <v>13735.2941009637</v>
      </c>
      <c r="I8" s="0" t="n">
        <f aca="false">I6*I7/100</f>
        <v>14353.382335507</v>
      </c>
      <c r="J8" s="0" t="n">
        <f aca="false">J6*J7/100</f>
        <v>14927.5176289273</v>
      </c>
      <c r="K8" s="0" t="n">
        <f aca="false">K6*K7/100</f>
        <v>15449.9807459398</v>
      </c>
      <c r="L8" s="0" t="n">
        <f aca="false">L6*L7/100</f>
        <v>15913.480168318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0.155</v>
      </c>
      <c r="D9" s="4" t="n">
        <f aca="false">Assumptions!D29</f>
        <v>0.15</v>
      </c>
      <c r="E9" s="4" t="n">
        <f aca="false">Assumptions!E29</f>
        <v>0.15</v>
      </c>
      <c r="F9" s="4" t="n">
        <f aca="false">Assumptions!F29</f>
        <v>0.15</v>
      </c>
      <c r="G9" s="4" t="n">
        <f aca="false">Assumptions!G29</f>
        <v>0.15</v>
      </c>
      <c r="H9" s="4" t="n">
        <f aca="false">Assumptions!H29</f>
        <v>0.15</v>
      </c>
      <c r="I9" s="4" t="n">
        <f aca="false">Assumptions!I29</f>
        <v>0.15</v>
      </c>
      <c r="J9" s="4" t="n">
        <f aca="false">Assumptions!J29</f>
        <v>0.15</v>
      </c>
      <c r="K9" s="4" t="n">
        <f aca="false">Assumptions!K29</f>
        <v>0.15</v>
      </c>
      <c r="L9" s="4" t="n">
        <f aca="false">Assumptions!L29</f>
        <v>0.15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-313.27340625</v>
      </c>
      <c r="D10" s="0" t="n">
        <f aca="false">-D6*D9/100</f>
        <v>-318.326203125</v>
      </c>
      <c r="E10" s="0" t="n">
        <f aca="false">-E6*E9/100</f>
        <v>-337.4257753125</v>
      </c>
      <c r="F10" s="0" t="n">
        <f aca="false">-F6*F9/100</f>
        <v>-357.67132183125</v>
      </c>
      <c r="G10" s="0" t="n">
        <f aca="false">-G6*G9/100</f>
        <v>-377.343244531969</v>
      </c>
      <c r="H10" s="0" t="n">
        <f aca="false">-H6*H9/100</f>
        <v>-396.210406758567</v>
      </c>
      <c r="I10" s="0" t="n">
        <f aca="false">-I6*I9/100</f>
        <v>-414.039875062703</v>
      </c>
      <c r="J10" s="0" t="n">
        <f aca="false">-J6*J9/100</f>
        <v>-430.601470065211</v>
      </c>
      <c r="K10" s="0" t="n">
        <f aca="false">-K6*K9/100</f>
        <v>-445.672521517493</v>
      </c>
      <c r="L10" s="0" t="n">
        <f aca="false">-L6*L9/100</f>
        <v>-459.042697163018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8175.42534375</v>
      </c>
      <c r="D11" s="0" t="n">
        <f aca="false">D8+D10+D24</f>
        <v>9443.677359375</v>
      </c>
      <c r="E11" s="0" t="n">
        <f aca="false">E8+E10+E24</f>
        <v>10685.1495515625</v>
      </c>
      <c r="F11" s="0" t="n">
        <f aca="false">F8+F10+F24</f>
        <v>11803.1536204312</v>
      </c>
      <c r="G11" s="0" t="n">
        <f aca="false">G8+G10+G24</f>
        <v>12703.8892325763</v>
      </c>
      <c r="H11" s="0" t="n">
        <f aca="false">H8+H10+H24</f>
        <v>13339.0836942051</v>
      </c>
      <c r="I11" s="0" t="n">
        <f aca="false">I8+I10+I24</f>
        <v>13939.3424604443</v>
      </c>
      <c r="J11" s="0" t="n">
        <f aca="false">J8+J10+J24</f>
        <v>14496.9161588621</v>
      </c>
      <c r="K11" s="0" t="n">
        <f aca="false">K8+K10+K24</f>
        <v>15004.3082244223</v>
      </c>
      <c r="L11" s="0" t="n">
        <f aca="false">L8+L10+L24</f>
        <v>15454.4374711549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-1515.8390625</v>
      </c>
      <c r="D12" s="4" t="n">
        <f aca="false">-D6*Assumptions!D31/100</f>
        <v>-1591.631015625</v>
      </c>
      <c r="E12" s="4" t="n">
        <f aca="false">-E6*Assumptions!E31/100</f>
        <v>-1687.1288765625</v>
      </c>
      <c r="F12" s="4" t="n">
        <f aca="false">-F6*Assumptions!F31/100</f>
        <v>-1788.35660915625</v>
      </c>
      <c r="G12" s="4" t="n">
        <f aca="false">-G6*Assumptions!G31/100</f>
        <v>-1886.71622265984</v>
      </c>
      <c r="H12" s="4" t="n">
        <f aca="false">-H6*Assumptions!H31/100</f>
        <v>-1981.05203379284</v>
      </c>
      <c r="I12" s="4" t="n">
        <f aca="false">-I6*Assumptions!I31/100</f>
        <v>-2070.19937531351</v>
      </c>
      <c r="J12" s="4" t="n">
        <f aca="false">-J6*Assumptions!J31/100</f>
        <v>-2153.00735032605</v>
      </c>
      <c r="K12" s="4" t="n">
        <f aca="false">-K6*Assumptions!K31/100</f>
        <v>-2228.36260758747</v>
      </c>
      <c r="L12" s="4" t="n">
        <f aca="false">-L6*Assumptions!L31/100</f>
        <v>-2295.21348581509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6659.58628125</v>
      </c>
      <c r="D13" s="0" t="n">
        <f aca="false">D11+D12</f>
        <v>7852.04634375</v>
      </c>
      <c r="E13" s="0" t="n">
        <f aca="false">E11+E12</f>
        <v>8998.020675</v>
      </c>
      <c r="F13" s="0" t="n">
        <f aca="false">F11+F12</f>
        <v>10014.797011275</v>
      </c>
      <c r="G13" s="0" t="n">
        <f aca="false">G11+G12</f>
        <v>10817.1730099164</v>
      </c>
      <c r="H13" s="0" t="n">
        <f aca="false">H11+H12</f>
        <v>11358.0316604123</v>
      </c>
      <c r="I13" s="0" t="n">
        <f aca="false">I11+I12</f>
        <v>11869.1430851308</v>
      </c>
      <c r="J13" s="0" t="n">
        <f aca="false">J11+J12</f>
        <v>12343.908808536</v>
      </c>
      <c r="K13" s="0" t="n">
        <f aca="false">K11+K12</f>
        <v>12775.9456168348</v>
      </c>
      <c r="L13" s="0" t="n">
        <f aca="false">L11+L12</f>
        <v>13159.2239853398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24</v>
      </c>
      <c r="D14" s="4" t="n">
        <f aca="false">Assumptions!D33</f>
        <v>24</v>
      </c>
      <c r="E14" s="4" t="n">
        <f aca="false">Assumptions!E33</f>
        <v>24</v>
      </c>
      <c r="F14" s="4" t="n">
        <f aca="false">Assumptions!F33</f>
        <v>24</v>
      </c>
      <c r="G14" s="4" t="n">
        <f aca="false">Assumptions!G33</f>
        <v>24</v>
      </c>
      <c r="H14" s="4" t="n">
        <f aca="false">Assumptions!H33</f>
        <v>24</v>
      </c>
      <c r="I14" s="4" t="n">
        <f aca="false">Assumptions!I33</f>
        <v>24</v>
      </c>
      <c r="J14" s="4" t="n">
        <f aca="false">Assumptions!J33</f>
        <v>24</v>
      </c>
      <c r="K14" s="4" t="n">
        <f aca="false">Assumptions!K33</f>
        <v>24</v>
      </c>
      <c r="L14" s="4" t="n">
        <f aca="false">Assumptions!L33</f>
        <v>24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5061.28557375</v>
      </c>
      <c r="D15" s="0" t="n">
        <f aca="false">D13-MAX(0,D13)*D14/100</f>
        <v>5967.55522125</v>
      </c>
      <c r="E15" s="0" t="n">
        <f aca="false">E13-MAX(0,E13)*E14/100</f>
        <v>6838.495713</v>
      </c>
      <c r="F15" s="0" t="n">
        <f aca="false">F13-MAX(0,F13)*F14/100</f>
        <v>7611.245728569</v>
      </c>
      <c r="G15" s="0" t="n">
        <f aca="false">G13-MAX(0,G13)*G14/100</f>
        <v>8221.05148753649</v>
      </c>
      <c r="H15" s="0" t="n">
        <f aca="false">H13-MAX(0,H13)*H14/100</f>
        <v>8632.10406191332</v>
      </c>
      <c r="I15" s="0" t="n">
        <f aca="false">I13-MAX(0,I13)*I14/100</f>
        <v>9020.54874469942</v>
      </c>
      <c r="J15" s="0" t="n">
        <f aca="false">J13-MAX(0,J13)*J14/100</f>
        <v>9381.37069448739</v>
      </c>
      <c r="K15" s="0" t="n">
        <f aca="false">K13-MAX(0,K13)*K14/100</f>
        <v>9709.71866879445</v>
      </c>
      <c r="L15" s="0" t="n">
        <f aca="false">L13-MAX(0,L13)*L14/100</f>
        <v>10001.0102288583</v>
      </c>
    </row>
    <row r="16" customFormat="false" ht="15" hidden="false" customHeight="false" outlineLevel="0" collapsed="false">
      <c r="A16" s="0" t="s">
        <v>128</v>
      </c>
      <c r="C16" s="0" t="n">
        <f aca="false">-C12</f>
        <v>1515.8390625</v>
      </c>
      <c r="D16" s="0" t="n">
        <f aca="false">-D12</f>
        <v>1591.631015625</v>
      </c>
      <c r="E16" s="0" t="n">
        <f aca="false">-E12</f>
        <v>1687.1288765625</v>
      </c>
      <c r="F16" s="0" t="n">
        <f aca="false">-F12</f>
        <v>1788.35660915625</v>
      </c>
      <c r="G16" s="0" t="n">
        <f aca="false">-G12</f>
        <v>1886.71622265984</v>
      </c>
      <c r="H16" s="0" t="n">
        <f aca="false">-H12</f>
        <v>1981.05203379284</v>
      </c>
      <c r="I16" s="0" t="n">
        <f aca="false">-I12</f>
        <v>2070.19937531351</v>
      </c>
      <c r="J16" s="0" t="n">
        <f aca="false">-J12</f>
        <v>2153.00735032605</v>
      </c>
      <c r="K16" s="0" t="n">
        <f aca="false">-K12</f>
        <v>2228.36260758747</v>
      </c>
      <c r="L16" s="0" t="n">
        <f aca="false">-L12</f>
        <v>2295.21348581509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-2021.11875</v>
      </c>
      <c r="D17" s="4" t="n">
        <f aca="false">-D6*Assumptions!D32/100</f>
        <v>-2122.1746875</v>
      </c>
      <c r="E17" s="4" t="n">
        <f aca="false">-E6*Assumptions!E32/100</f>
        <v>-2249.50516875</v>
      </c>
      <c r="F17" s="4" t="n">
        <f aca="false">-F6*Assumptions!F32/100</f>
        <v>-2384.475478875</v>
      </c>
      <c r="G17" s="4" t="n">
        <f aca="false">-G6*Assumptions!G32/100</f>
        <v>-2515.62163021312</v>
      </c>
      <c r="H17" s="4" t="n">
        <f aca="false">-H6*Assumptions!H32/100</f>
        <v>-2641.40271172378</v>
      </c>
      <c r="I17" s="4" t="n">
        <f aca="false">-I6*Assumptions!I32/100</f>
        <v>-2760.26583375135</v>
      </c>
      <c r="J17" s="4" t="n">
        <f aca="false">-J6*Assumptions!J32/100</f>
        <v>-2870.67646710141</v>
      </c>
      <c r="K17" s="4" t="n">
        <f aca="false">-K6*Assumptions!K32/100</f>
        <v>-2971.15014344995</v>
      </c>
      <c r="L17" s="4" t="n">
        <f aca="false">-L6*Assumptions!L32/100</f>
        <v>-3060.28464775345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4556.00588625</v>
      </c>
      <c r="D19" s="0" t="n">
        <f aca="false">D15+D16+D17+D18</f>
        <v>5437.011549375</v>
      </c>
      <c r="E19" s="0" t="n">
        <f aca="false">E15+E16+E17+E18</f>
        <v>6276.1194208125</v>
      </c>
      <c r="F19" s="0" t="n">
        <f aca="false">F15+F16+F17+F18</f>
        <v>7015.12685885025</v>
      </c>
      <c r="G19" s="0" t="n">
        <f aca="false">G15+G16+G17+G18</f>
        <v>7592.14607998321</v>
      </c>
      <c r="H19" s="0" t="n">
        <f aca="false">H15+H16+H17+H18</f>
        <v>7971.75338398237</v>
      </c>
      <c r="I19" s="0" t="n">
        <f aca="false">I15+I16+I17+I18</f>
        <v>8330.48228626158</v>
      </c>
      <c r="J19" s="0" t="n">
        <f aca="false">J15+J16+J17+J18</f>
        <v>8663.70157771204</v>
      </c>
      <c r="K19" s="0" t="n">
        <f aca="false">K15+K16+K17+K18</f>
        <v>8966.93113293196</v>
      </c>
      <c r="L19" s="0" t="n">
        <f aca="false">L15+L16+L17+L18</f>
        <v>9235.93906691992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4199.08376612903</v>
      </c>
      <c r="D21" s="0" t="n">
        <f aca="false">D19*D20</f>
        <v>4618.4982049948</v>
      </c>
      <c r="E21" s="0" t="n">
        <f aca="false">E19*E20</f>
        <v>4913.62472127249</v>
      </c>
      <c r="F21" s="0" t="n">
        <f aca="false">F19*F20</f>
        <v>5061.93514222377</v>
      </c>
      <c r="G21" s="0" t="n">
        <f aca="false">G19*G20</f>
        <v>5049.12200343008</v>
      </c>
      <c r="H21" s="0" t="n">
        <f aca="false">H19*H20</f>
        <v>4886.24710009362</v>
      </c>
      <c r="I21" s="0" t="n">
        <f aca="false">I19*I20</f>
        <v>4706.10895815469</v>
      </c>
      <c r="J21" s="0" t="n">
        <f aca="false">J19*J20</f>
        <v>4510.92471565057</v>
      </c>
      <c r="K21" s="0" t="n">
        <f aca="false">K19*K20</f>
        <v>4303.04800064364</v>
      </c>
      <c r="L21" s="0" t="n">
        <f aca="false">L19*L20</f>
        <v>4084.92114346815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46333.5137560608</v>
      </c>
    </row>
    <row r="31" customFormat="false" ht="15" hidden="false" customHeight="false" outlineLevel="0" collapsed="false">
      <c r="A31" s="0" t="s">
        <v>137</v>
      </c>
      <c r="B31" s="0" t="n">
        <f aca="false">L19</f>
        <v>9235.93906691992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157780.625726549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138539.086003799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138539.086003799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61273.8171520223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107607.330908083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107607.330908083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493.838140927412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0.246782652749154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2450.20068783866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3468.39311800435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521.000113418661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75734.7003487433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242.991490111763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2</v>
      </c>
      <c r="D5" s="4" t="n">
        <f aca="false">Assumptions!D41</f>
        <v>6.5</v>
      </c>
      <c r="E5" s="4" t="n">
        <f aca="false">Assumptions!E41</f>
        <v>7.5</v>
      </c>
      <c r="F5" s="4" t="n">
        <f aca="false">Assumptions!F41</f>
        <v>7.5</v>
      </c>
      <c r="G5" s="4" t="n">
        <f aca="false">Assumptions!G41</f>
        <v>7</v>
      </c>
      <c r="H5" s="4" t="n">
        <f aca="false">Assumptions!H41</f>
        <v>6.5</v>
      </c>
      <c r="I5" s="4" t="n">
        <f aca="false">Assumptions!I41</f>
        <v>6</v>
      </c>
      <c r="J5" s="4" t="n">
        <f aca="false">Assumptions!J41</f>
        <v>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199125</v>
      </c>
      <c r="C6" s="0" t="n">
        <f aca="false">B6*(1+C5/100)</f>
        <v>203107.5</v>
      </c>
      <c r="D6" s="0" t="n">
        <f aca="false">C6*(1+D5/100)</f>
        <v>216309.4875</v>
      </c>
      <c r="E6" s="0" t="n">
        <f aca="false">D6*(1+E5/100)</f>
        <v>232532.6990625</v>
      </c>
      <c r="F6" s="0" t="n">
        <f aca="false">E6*(1+F5/100)</f>
        <v>249972.651492187</v>
      </c>
      <c r="G6" s="0" t="n">
        <f aca="false">F6*(1+G5/100)</f>
        <v>267470.737096641</v>
      </c>
      <c r="H6" s="0" t="n">
        <f aca="false">G6*(1+H5/100)</f>
        <v>284856.335007922</v>
      </c>
      <c r="I6" s="0" t="n">
        <f aca="false">H6*(1+I5/100)</f>
        <v>301947.715108398</v>
      </c>
      <c r="J6" s="0" t="n">
        <f aca="false">I6*(1+J5/100)</f>
        <v>317045.100863817</v>
      </c>
      <c r="K6" s="0" t="n">
        <f aca="false">J6*(1+K5/100)</f>
        <v>329726.90489837</v>
      </c>
      <c r="L6" s="0" t="n">
        <f aca="false">K6*(1+L5/100)</f>
        <v>341267.346569813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4.4</v>
      </c>
      <c r="D7" s="4" t="n">
        <f aca="false">Assumptions!D42</f>
        <v>5</v>
      </c>
      <c r="E7" s="4" t="n">
        <f aca="false">Assumptions!E42</f>
        <v>5.5</v>
      </c>
      <c r="F7" s="4" t="n">
        <f aca="false">Assumptions!F42</f>
        <v>5.9</v>
      </c>
      <c r="G7" s="4" t="n">
        <f aca="false">Assumptions!G42</f>
        <v>6.1</v>
      </c>
      <c r="H7" s="4" t="n">
        <f aca="false">Assumptions!H42</f>
        <v>6.1</v>
      </c>
      <c r="I7" s="4" t="n">
        <f aca="false">Assumptions!I42</f>
        <v>6.1</v>
      </c>
      <c r="J7" s="4" t="n">
        <f aca="false">Assumptions!J42</f>
        <v>6.1</v>
      </c>
      <c r="K7" s="4" t="n">
        <f aca="false">Assumptions!K42</f>
        <v>6.1</v>
      </c>
      <c r="L7" s="4" t="n">
        <f aca="false">Assumptions!L42</f>
        <v>6.1</v>
      </c>
    </row>
    <row r="8" customFormat="false" ht="15" hidden="false" customHeight="false" outlineLevel="0" collapsed="false">
      <c r="A8" s="0" t="s">
        <v>43</v>
      </c>
      <c r="C8" s="0" t="n">
        <f aca="false">C6*C7/100</f>
        <v>8936.73</v>
      </c>
      <c r="D8" s="0" t="n">
        <f aca="false">D6*D7/100</f>
        <v>10815.474375</v>
      </c>
      <c r="E8" s="0" t="n">
        <f aca="false">E6*E7/100</f>
        <v>12789.2984484375</v>
      </c>
      <c r="F8" s="0" t="n">
        <f aca="false">F6*F7/100</f>
        <v>14748.3864380391</v>
      </c>
      <c r="G8" s="0" t="n">
        <f aca="false">G6*G7/100</f>
        <v>16315.7149628951</v>
      </c>
      <c r="H8" s="0" t="n">
        <f aca="false">H6*H7/100</f>
        <v>17376.2364354833</v>
      </c>
      <c r="I8" s="0" t="n">
        <f aca="false">I6*I7/100</f>
        <v>18418.8106216123</v>
      </c>
      <c r="J8" s="0" t="n">
        <f aca="false">J6*J7/100</f>
        <v>19339.7511526929</v>
      </c>
      <c r="K8" s="0" t="n">
        <f aca="false">K6*K7/100</f>
        <v>20113.3411988006</v>
      </c>
      <c r="L8" s="0" t="n">
        <f aca="false">L6*L7/100</f>
        <v>20817.3081407586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0.155</v>
      </c>
      <c r="D9" s="4" t="n">
        <f aca="false">Assumptions!D43</f>
        <v>0.15</v>
      </c>
      <c r="E9" s="4" t="n">
        <f aca="false">Assumptions!E43</f>
        <v>0.15</v>
      </c>
      <c r="F9" s="4" t="n">
        <f aca="false">Assumptions!F43</f>
        <v>0.15</v>
      </c>
      <c r="G9" s="4" t="n">
        <f aca="false">Assumptions!G43</f>
        <v>0.15</v>
      </c>
      <c r="H9" s="4" t="n">
        <f aca="false">Assumptions!H43</f>
        <v>0.15</v>
      </c>
      <c r="I9" s="4" t="n">
        <f aca="false">Assumptions!I43</f>
        <v>0.15</v>
      </c>
      <c r="J9" s="4" t="n">
        <f aca="false">Assumptions!J43</f>
        <v>0.15</v>
      </c>
      <c r="K9" s="4" t="n">
        <f aca="false">Assumptions!K43</f>
        <v>0.15</v>
      </c>
      <c r="L9" s="4" t="n">
        <f aca="false">Assumptions!L43</f>
        <v>0.15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-314.816625</v>
      </c>
      <c r="D10" s="0" t="n">
        <f aca="false">-D6*D9/100</f>
        <v>-324.46423125</v>
      </c>
      <c r="E10" s="0" t="n">
        <f aca="false">-E6*E9/100</f>
        <v>-348.79904859375</v>
      </c>
      <c r="F10" s="0" t="n">
        <f aca="false">-F6*F9/100</f>
        <v>-374.958977238281</v>
      </c>
      <c r="G10" s="0" t="n">
        <f aca="false">-G6*G9/100</f>
        <v>-401.206105644961</v>
      </c>
      <c r="H10" s="0" t="n">
        <f aca="false">-H6*H9/100</f>
        <v>-427.284502511883</v>
      </c>
      <c r="I10" s="0" t="n">
        <f aca="false">-I6*I9/100</f>
        <v>-452.921572662596</v>
      </c>
      <c r="J10" s="0" t="n">
        <f aca="false">-J6*J9/100</f>
        <v>-475.567651295726</v>
      </c>
      <c r="K10" s="0" t="n">
        <f aca="false">-K6*K9/100</f>
        <v>-494.590357347555</v>
      </c>
      <c r="L10" s="0" t="n">
        <f aca="false">-L6*L9/100</f>
        <v>-511.90101985472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8621.913375</v>
      </c>
      <c r="D11" s="0" t="n">
        <f aca="false">D8+D10+D24</f>
        <v>10491.01014375</v>
      </c>
      <c r="E11" s="0" t="n">
        <f aca="false">E8+E10+E24</f>
        <v>12440.4993998438</v>
      </c>
      <c r="F11" s="0" t="n">
        <f aca="false">F8+F10+F24</f>
        <v>14373.4274608008</v>
      </c>
      <c r="G11" s="0" t="n">
        <f aca="false">G8+G10+G24</f>
        <v>15914.5088572501</v>
      </c>
      <c r="H11" s="0" t="n">
        <f aca="false">H8+H10+H24</f>
        <v>16948.9519329714</v>
      </c>
      <c r="I11" s="0" t="n">
        <f aca="false">I8+I10+I24</f>
        <v>17965.8890489497</v>
      </c>
      <c r="J11" s="0" t="n">
        <f aca="false">J8+J10+J24</f>
        <v>18864.1835013971</v>
      </c>
      <c r="K11" s="0" t="n">
        <f aca="false">K8+K10+K24</f>
        <v>19618.750841453</v>
      </c>
      <c r="L11" s="0" t="n">
        <f aca="false">L8+L10+L24</f>
        <v>20305.4071209039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-1523.30625</v>
      </c>
      <c r="D12" s="4" t="n">
        <f aca="false">-D6*Assumptions!D45/100</f>
        <v>-1622.32115625</v>
      </c>
      <c r="E12" s="4" t="n">
        <f aca="false">-E6*Assumptions!E45/100</f>
        <v>-1743.99524296875</v>
      </c>
      <c r="F12" s="4" t="n">
        <f aca="false">-F6*Assumptions!F45/100</f>
        <v>-1874.79488619141</v>
      </c>
      <c r="G12" s="4" t="n">
        <f aca="false">-G6*Assumptions!G45/100</f>
        <v>-2006.0305282248</v>
      </c>
      <c r="H12" s="4" t="n">
        <f aca="false">-H6*Assumptions!H45/100</f>
        <v>-2136.42251255942</v>
      </c>
      <c r="I12" s="4" t="n">
        <f aca="false">-I6*Assumptions!I45/100</f>
        <v>-2264.60786331298</v>
      </c>
      <c r="J12" s="4" t="n">
        <f aca="false">-J6*Assumptions!J45/100</f>
        <v>-2377.83825647863</v>
      </c>
      <c r="K12" s="4" t="n">
        <f aca="false">-K6*Assumptions!K45/100</f>
        <v>-2472.95178673778</v>
      </c>
      <c r="L12" s="4" t="n">
        <f aca="false">-L6*Assumptions!L45/100</f>
        <v>-2559.5050992736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7098.607125</v>
      </c>
      <c r="D13" s="0" t="n">
        <f aca="false">D11+D12</f>
        <v>8868.6889875</v>
      </c>
      <c r="E13" s="0" t="n">
        <f aca="false">E11+E12</f>
        <v>10696.504156875</v>
      </c>
      <c r="F13" s="0" t="n">
        <f aca="false">F11+F12</f>
        <v>12498.6325746094</v>
      </c>
      <c r="G13" s="0" t="n">
        <f aca="false">G11+G12</f>
        <v>13908.4783290253</v>
      </c>
      <c r="H13" s="0" t="n">
        <f aca="false">H11+H12</f>
        <v>14812.529420412</v>
      </c>
      <c r="I13" s="0" t="n">
        <f aca="false">I11+I12</f>
        <v>15701.2811856367</v>
      </c>
      <c r="J13" s="0" t="n">
        <f aca="false">J11+J12</f>
        <v>16486.3452449185</v>
      </c>
      <c r="K13" s="0" t="n">
        <f aca="false">K11+K12</f>
        <v>17145.7990547152</v>
      </c>
      <c r="L13" s="0" t="n">
        <f aca="false">L11+L12</f>
        <v>17745.9020216303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24</v>
      </c>
      <c r="D14" s="4" t="n">
        <f aca="false">Assumptions!D47</f>
        <v>24</v>
      </c>
      <c r="E14" s="4" t="n">
        <f aca="false">Assumptions!E47</f>
        <v>24</v>
      </c>
      <c r="F14" s="4" t="n">
        <f aca="false">Assumptions!F47</f>
        <v>24</v>
      </c>
      <c r="G14" s="4" t="n">
        <f aca="false">Assumptions!G47</f>
        <v>24</v>
      </c>
      <c r="H14" s="4" t="n">
        <f aca="false">Assumptions!H47</f>
        <v>24</v>
      </c>
      <c r="I14" s="4" t="n">
        <f aca="false">Assumptions!I47</f>
        <v>24</v>
      </c>
      <c r="J14" s="4" t="n">
        <f aca="false">Assumptions!J47</f>
        <v>24</v>
      </c>
      <c r="K14" s="4" t="n">
        <f aca="false">Assumptions!K47</f>
        <v>24</v>
      </c>
      <c r="L14" s="4" t="n">
        <f aca="false">Assumptions!L47</f>
        <v>24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5394.941415</v>
      </c>
      <c r="D15" s="0" t="n">
        <f aca="false">D13-MAX(0,D13)*D14/100</f>
        <v>6740.2036305</v>
      </c>
      <c r="E15" s="0" t="n">
        <f aca="false">E13-MAX(0,E13)*E14/100</f>
        <v>8129.343159225</v>
      </c>
      <c r="F15" s="0" t="n">
        <f aca="false">F13-MAX(0,F13)*F14/100</f>
        <v>9498.96075670313</v>
      </c>
      <c r="G15" s="0" t="n">
        <f aca="false">G13-MAX(0,G13)*G14/100</f>
        <v>10570.4435300592</v>
      </c>
      <c r="H15" s="0" t="n">
        <f aca="false">H13-MAX(0,H13)*H14/100</f>
        <v>11257.5223595131</v>
      </c>
      <c r="I15" s="0" t="n">
        <f aca="false">I13-MAX(0,I13)*I14/100</f>
        <v>11932.9737010839</v>
      </c>
      <c r="J15" s="0" t="n">
        <f aca="false">J13-MAX(0,J13)*J14/100</f>
        <v>12529.6223861381</v>
      </c>
      <c r="K15" s="0" t="n">
        <f aca="false">K13-MAX(0,K13)*K14/100</f>
        <v>13030.8072815836</v>
      </c>
      <c r="L15" s="0" t="n">
        <f aca="false">L13-MAX(0,L13)*L14/100</f>
        <v>13486.885536439</v>
      </c>
    </row>
    <row r="16" customFormat="false" ht="15" hidden="false" customHeight="false" outlineLevel="0" collapsed="false">
      <c r="A16" s="0" t="s">
        <v>128</v>
      </c>
      <c r="C16" s="0" t="n">
        <f aca="false">-C12</f>
        <v>1523.30625</v>
      </c>
      <c r="D16" s="0" t="n">
        <f aca="false">-D12</f>
        <v>1622.32115625</v>
      </c>
      <c r="E16" s="0" t="n">
        <f aca="false">-E12</f>
        <v>1743.99524296875</v>
      </c>
      <c r="F16" s="0" t="n">
        <f aca="false">-F12</f>
        <v>1874.79488619141</v>
      </c>
      <c r="G16" s="0" t="n">
        <f aca="false">-G12</f>
        <v>2006.0305282248</v>
      </c>
      <c r="H16" s="0" t="n">
        <f aca="false">-H12</f>
        <v>2136.42251255942</v>
      </c>
      <c r="I16" s="0" t="n">
        <f aca="false">-I12</f>
        <v>2264.60786331298</v>
      </c>
      <c r="J16" s="0" t="n">
        <f aca="false">-J12</f>
        <v>2377.83825647863</v>
      </c>
      <c r="K16" s="0" t="n">
        <f aca="false">-K12</f>
        <v>2472.95178673778</v>
      </c>
      <c r="L16" s="0" t="n">
        <f aca="false">-L12</f>
        <v>2559.5050992736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-2031.075</v>
      </c>
      <c r="D17" s="4" t="n">
        <f aca="false">-D6*Assumptions!D46/100</f>
        <v>-2163.094875</v>
      </c>
      <c r="E17" s="4" t="n">
        <f aca="false">-E6*Assumptions!E46/100</f>
        <v>-2325.326990625</v>
      </c>
      <c r="F17" s="4" t="n">
        <f aca="false">-F6*Assumptions!F46/100</f>
        <v>-2499.72651492187</v>
      </c>
      <c r="G17" s="4" t="n">
        <f aca="false">-G6*Assumptions!G46/100</f>
        <v>-2674.70737096641</v>
      </c>
      <c r="H17" s="4" t="n">
        <f aca="false">-H6*Assumptions!H46/100</f>
        <v>-2848.56335007922</v>
      </c>
      <c r="I17" s="4" t="n">
        <f aca="false">-I6*Assumptions!I46/100</f>
        <v>-3019.47715108398</v>
      </c>
      <c r="J17" s="4" t="n">
        <f aca="false">-J6*Assumptions!J46/100</f>
        <v>-3170.45100863817</v>
      </c>
      <c r="K17" s="4" t="n">
        <f aca="false">-K6*Assumptions!K46/100</f>
        <v>-3297.2690489837</v>
      </c>
      <c r="L17" s="4" t="n">
        <f aca="false">-L6*Assumptions!L46/100</f>
        <v>-3412.67346569813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4887.172665</v>
      </c>
      <c r="D19" s="0" t="n">
        <f aca="false">D15+D16+D17+D18</f>
        <v>6199.42991175</v>
      </c>
      <c r="E19" s="0" t="n">
        <f aca="false">E15+E16+E17+E18</f>
        <v>7548.01141156875</v>
      </c>
      <c r="F19" s="0" t="n">
        <f aca="false">F15+F16+F17+F18</f>
        <v>8874.02912797266</v>
      </c>
      <c r="G19" s="0" t="n">
        <f aca="false">G15+G16+G17+G18</f>
        <v>9901.76668731764</v>
      </c>
      <c r="H19" s="0" t="n">
        <f aca="false">H15+H16+H17+H18</f>
        <v>10545.3815219933</v>
      </c>
      <c r="I19" s="0" t="n">
        <f aca="false">I15+I16+I17+I18</f>
        <v>11178.1044133129</v>
      </c>
      <c r="J19" s="0" t="n">
        <f aca="false">J15+J16+J17+J18</f>
        <v>11737.0096339785</v>
      </c>
      <c r="K19" s="0" t="n">
        <f aca="false">K15+K16+K17+K18</f>
        <v>12206.4900193377</v>
      </c>
      <c r="L19" s="0" t="n">
        <f aca="false">L15+L16+L17+L18</f>
        <v>12633.7171700145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4504.30660368664</v>
      </c>
      <c r="D21" s="0" t="n">
        <f aca="false">D19*D20</f>
        <v>5266.13851366561</v>
      </c>
      <c r="E21" s="0" t="n">
        <f aca="false">E19*E20</f>
        <v>5909.39926116474</v>
      </c>
      <c r="F21" s="0" t="n">
        <f aca="false">F19*F20</f>
        <v>6403.27121658984</v>
      </c>
      <c r="G21" s="0" t="n">
        <f aca="false">G19*G20</f>
        <v>6585.12461787049</v>
      </c>
      <c r="H21" s="0" t="n">
        <f aca="false">H19*H20</f>
        <v>6463.73983228763</v>
      </c>
      <c r="I21" s="0" t="n">
        <f aca="false">I19*I20</f>
        <v>6314.80573476948</v>
      </c>
      <c r="J21" s="0" t="n">
        <f aca="false">J19*J20</f>
        <v>6111.10232397047</v>
      </c>
      <c r="K21" s="0" t="n">
        <f aca="false">K19*K20</f>
        <v>5857.64646721593</v>
      </c>
      <c r="L21" s="0" t="n">
        <f aca="false">L19*L20</f>
        <v>5587.70884199861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59003.2434132194</v>
      </c>
    </row>
    <row r="31" customFormat="false" ht="15" hidden="false" customHeight="false" outlineLevel="0" collapsed="false">
      <c r="A31" s="0" t="s">
        <v>137</v>
      </c>
      <c r="B31" s="0" t="n">
        <f aca="false">L19</f>
        <v>12633.7171700145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215826.001654414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202139.474720232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202139.474720232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89403.3414719777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148406.584885197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148406.584885197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681.076571295076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0.719499536204086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2605.36309869859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3867.77523166435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710.783493416981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103596.480794119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315.260871330994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314.343588605066</v>
      </c>
      <c r="C4" s="0" t="n">
        <f aca="false">B4/Assumptions!$B$2-1</f>
        <v>-0.206383426481189</v>
      </c>
      <c r="D4" s="4" t="n">
        <f aca="false">Assumptions!$B$24</f>
        <v>0.3</v>
      </c>
      <c r="E4" s="4" t="n">
        <f aca="false">DCF_Bear!$B$43</f>
        <v>337.226407217641</v>
      </c>
      <c r="F4" s="4" t="n">
        <f aca="false">DCF_Bear!$B$47</f>
        <v>168.286822800264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493.838140927412</v>
      </c>
      <c r="C5" s="0" t="n">
        <f aca="false">B5/Assumptions!$B$2-1</f>
        <v>0.246782652749154</v>
      </c>
      <c r="D5" s="4" t="n">
        <f aca="false">Assumptions!$B$38</f>
        <v>0.5</v>
      </c>
      <c r="E5" s="4" t="n">
        <f aca="false">DCF_Base!$B$43</f>
        <v>521.000113418661</v>
      </c>
      <c r="F5" s="4" t="n">
        <f aca="false">DCF_Base!$B$47</f>
        <v>242.991490111763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681.076571295076</v>
      </c>
      <c r="C6" s="0" t="n">
        <f aca="false">B6/Assumptions!$B$2-1</f>
        <v>0.719499536204086</v>
      </c>
      <c r="D6" s="4" t="n">
        <f aca="false">Assumptions!$B$52</f>
        <v>0.2</v>
      </c>
      <c r="E6" s="4" t="n">
        <f aca="false">DCF_Bull!$B$43</f>
        <v>710.783493416981</v>
      </c>
      <c r="F6" s="4" t="n">
        <f aca="false">DCF_Bull!$B$47</f>
        <v>315.260871330994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477.437461304241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503.824677558019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0.170383490817876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-308.28360415849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235.03396616216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493.838140927412</v>
      </c>
      <c r="C15" s="3" t="n">
        <v>8.5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475.976112264768</v>
      </c>
      <c r="C16" s="3" t="n">
        <v>9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420.840818147544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368.285579376276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326.911562625242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242.991490111763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574.261240315137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574.261240315137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574.261240315137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574.261240315137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574.261240315137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532.158035594605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532.158035594605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532.158035594605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532.158035594605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532.158035594605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484.464756018123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493.838140927412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493.838140927412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493.838140927412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493.838140927412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419.368730459828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434.975589582104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452.812000007562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458.920359742308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458.920359742308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368.935004092353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380.214037832036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392.902950789178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407.283718807273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423.718882256524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2026-09-28T07:30:39Z</dcterms:created>
  <dc:creator>openpyxl</dc:creator>
  <dc:description/>
  <dc:language>en-NZ</dc:language>
  <cp:lastModifiedBy/>
  <dcterms:modified xsi:type="dcterms:W3CDTF">2026-09-28T07:30:39Z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