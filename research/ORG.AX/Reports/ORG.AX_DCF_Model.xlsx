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<sst xmlns="http://schemas.openxmlformats.org/spreadsheetml/2006/main" count="363" uniqueCount="166">
  <si>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</si>
  <si>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ORG.AX</t>
  </si>
  <si>
    <t xml:space="preserve">Company</t>
  </si>
  <si>
    <t xml:space="preserve">Origin Energy Limited</t>
  </si>
  <si>
    <t xml:space="preserve">Valuation date</t>
  </si>
  <si>
    <t xml:space="preserve">2026-09-24</t>
  </si>
  <si>
    <t xml:space="preserve">Current price</t>
  </si>
  <si>
    <t xml:space="preserve">Price as of</t>
  </si>
  <si>
    <t xml:space="preserve">2026-09-24T06:10:04Z (ASX regular close 24 Sep 2026)</t>
  </si>
  <si>
    <t xml:space="preserve">Balance sheet date</t>
  </si>
  <si>
    <t xml:space="preserve">2026-06-30</t>
  </si>
  <si>
    <t xml:space="preserve">Model</t>
  </si>
  <si>
    <t xml:space="preserve">Sum-of-parts owner-FCF DCF: Energy Markets flows plus tax-grossed APLNG distributions on a PV-equivalent taper, Octopus and Kraken stakes in the equity bridge (engine route)</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</si>
  <si>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</si>
  <si>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</si>
  <si>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</si>
  <si>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</si>
  <si>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</si>
  <si>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</si>
  <si>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</si>
  <si>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</si>
  <si>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2026-09-24T09:29:15Z</t>
  </si>
  <si>
    <t xml:space="preserve">Drivers file</t>
  </si>
  <si>
    <t xml:space="preserve">ORG.AX_Drivers.json</t>
  </si>
  <si>
    <t xml:space="preserve">Convention</t>
  </si>
  <si>
    <t xml:space="preserve">Percents stored as percents; formulas divide by 100. Blue = input, green = link, black = formula.</t>
  </si>
  <si>
    <t xml:space="preserve">Methodology</t>
  </si>
  <si>
    <t xml:space="preserve">summary: Origin is three businesses with three different cash-flow characters: a stable but capital-hungry integrated retailer/generator, a declining oil-linked LNG annuity, and a minority stake in a growing software business that pays no cash. The model charges each once and only once: Energy Markets on unlevered owner FCF at an AUD WACC; APLNG on its after-tax distributions with the finite life priced through the taper rather than a higher discount rate; Octopus/Kraken as an asset in the bridge with its near-zero EBITDA share stripped from the flows. The result is anchored to the FY27 guidance year and to management's own capex framing, and it deliberately does not credit growth capex with returns it has not yet earned.
key_risks_to_valuation: APLNG distributions: every US$10/bbl on JCC moves Origin's annual distribution by roughly $150-200m, i.e. ~$1/share of PV; FY27 guidance assumptions (US$72 JCC, 0.65 AUD/USD) are the base anchor; Regulatory intervention in retail tariffs (DMO) and east-coast gas (Gas Market Code, ADGSM successor) can compress Energy Markets margins by several hundred million with little notice; Eraring closure (April 2029) and the pace of the battery/renewables build determine whether Energy Markets margins hold; management calls large-scale renewables economics 'very challenging'; Octopus/Kraken bridge value ($3.4bn, ~$2.0/share) rests on the June 2026 demerger fair value; a down-round or Octopus retail losses would cut it, and the bridge does not vary by scenario; Growth capex above the modelled 4.5% of revenue (Yanco Delta ~$4bn at 100%) without matching EBITDA would reduce value; conversely the model gives no credit for CIS-underwritten returns on it; July 2026 data breach (~900,000 accounts): OAIC penalties, remediation cost and churn are unquantified and sit only in the bear weight</t>
  </si>
  <si>
    <t xml:space="preserve">Data sources</t>
  </si>
  <si>
    <t xml:space="preserve">price: Yahoo Finance chart API regularMarketPrice at inputs.price_as_of (ASX regular close); 52-week range 10.02-12.99
financials: ORG.AX_Metrics.csv (FY2016-FY2026 annuals, H1 FY2019-H1 FY2026 halves) plus ORG.AX_Annual_FY2026.txt: Underlying Profit reconciliation (section 4.2), segment Underlying EBITDA and cash-flow table (section 4.3), statutory cash flow statement, note D.5 net debt, note B.3/Octopus-Kraken demerger note, note G.6 OCF reconciliation, EPS note (diluted shares)
qualitative: ORG.AX_Analysis.json (2026-09-24): FY27 guidance (Energy Markets EBITDA $1,550-1,850m, APLNG production 625-670 PJ, APLNG capex/opex $3.0-3.3bn, Origin capex $450-650m), risks, bull/bear cases</t>
  </si>
  <si>
    <t xml:space="preserve">Scenario narrative: bear</t>
  </si>
  <si>
    <t xml:space="preserve">Regulatory price intervention, post-breach churn and the loss of Eraring's firming margin hold Energy Markets at the bottom of guidance with ~1% growth; oil at ~US$60 and fast field decline cut APLNG distributions to ~$700m and falling 12% a year; a 13x terminal cap reflects a shrinking asset base.</t>
  </si>
  <si>
    <t xml:space="preserve">Scenario narrative: base</t>
  </si>
  <si>
    <t xml:space="preserve">Energy Markets delivers the FY27 guidance midpoint ($1.7bn EBITDA) as the battery portfolio ramps against lower wholesale tariffs, then compounds ~3% a year; APLNG distributions step down to ~$850m and taper with field decline; LNG trading gains normalise; Octopus is held at carrying value and Kraken at its demerger fair value. Value is roughly 50% Energy Markets, 35% APLNG and 15% Octopus/Kraken before net debt.</t>
  </si>
  <si>
    <t xml:space="preserve">Scenario narrative: bull</t>
  </si>
  <si>
    <t xml:space="preserve">Firming premiums, electrification volume growth, cost-out and an accretive Eraring extension lift Energy Markets to ~$1.8bn growing 4.5%; oil in the US$75-85 range and APLNG optimisation hold distributions near $950m with slower decline. Kraken upside beyond demerger fair value is not in the number.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</si>
  <si>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</si>
  <si>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</si>
  <si>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</si>
  <si>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</si>
  <si>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</si>
  <si>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</si>
  <si>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</si>
  <si>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</si>
  <si>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</si>
  <si>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</si>
  <si>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</si>
  <si>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</si>
  <si>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</si>
  <si>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</si>
  <si>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</si>
  <si>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</si>
  <si>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</si>
  <si>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</si>
  <si>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</si>
  <si>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</si>
  <si>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</si>
  <si>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</si>
  <si>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</si>
  <si>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</si>
  <si>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</si>
  <si>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</si>
  <si>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</si>
  <si>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</si>
  <si>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</si>
  <si>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</si>
  <si>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</si>
  <si>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</si>
  <si>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</si>
  <si>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</si>
  <si>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</si>
  <si>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</si>
  <si>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</si>
  <si>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</si>
  <si>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</si>
  <si>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</si>
  <si>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</si>
  <si>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</si>
  <si>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</si>
  <si>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</si>
  <si>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</si>
  <si>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</si>
  <si>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</si>
  <si>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</si>
  <si>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</si>
  <si>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</si>
  <si>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</si>
  <si>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</si>
  <si>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</si>
  <si>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</si>
  <si>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</si>
  <si>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</si>
  <si>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</si>
  <si>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</si>
  <si>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</si>
  <si>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</si>
  <si>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</si>
  <si>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</si>
  <si>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</si>
  <si>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</si>
  <si>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</si>
  <si>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</si>
  <si>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</si>
  <si>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</si>
  <si>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</si>
  <si>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</si>
  <si>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</si>
  <si>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</si>
  <si>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</si>
  <si>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</si>
  <si>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</si>
  <si>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ORG.AX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</si>
  <si>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</si>
  <si>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</si>
  <si>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</si>
  <si>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</si>
  <si>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</si>
  <si>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</si>
  <si>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</si>
  <si>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</si>
  <si>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</si>
  <si>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</si>
  <si>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</si>
  <si>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</si>
  <si>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</si>
  <si>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</si>
  <si>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</si>
  <si>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</si>
  <si>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</si>
  <si>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</si>
  <si>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</si>
  <si>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</si>
  <si>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</si>
  <si>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</si>
  <si>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</si>
  <si>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</si>
  <si>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</si>
  <si>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</si>
  <si>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</si>
  <si>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</si>
  <si>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</si>
  <si>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</si>
  <si>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ORG.AX owner-FCF component DCF: base case (millions, AUD)</t>
  </si>
  <si>
    <t xml:space="preserve">ORG.AX owner-FCF component DCF: bull case (millions, AUD)</t>
  </si>
  <si>
    <t xml:space="preserve">ORG.AX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</si>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</sst>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11.01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11923</v>
      </c>
      <c r="F2" s="0" t="n">
        <v>735</v>
      </c>
      <c r="G2" s="0" t="n">
        <v>6.2</v>
      </c>
      <c r="H2" s="0" t="n">
        <v>1635</v>
      </c>
      <c r="I2" s="0" t="n">
        <v>-589</v>
      </c>
      <c r="J2" s="0" t="n">
        <v>-4.9</v>
      </c>
      <c r="K2" s="0" t="n">
        <v>-0.373</v>
      </c>
      <c r="L2" s="0" t="n">
        <v>1404</v>
      </c>
      <c r="M2" s="0" t="n">
        <v>691</v>
      </c>
      <c r="N2" s="0" t="n">
        <v>713</v>
      </c>
      <c r="O2" s="0" t="n">
        <v>14530</v>
      </c>
      <c r="P2" s="0" t="n">
        <v>28898</v>
      </c>
      <c r="Q2" s="0" t="n">
        <v>14368</v>
      </c>
      <c r="R2" s="0" t="n">
        <v>9616</v>
      </c>
      <c r="S2" s="0" t="n">
        <v>146</v>
      </c>
      <c r="T2" s="0" t="n">
        <v>1578</v>
      </c>
      <c r="AA2" s="0" t="s">
        <v>17</v>
      </c>
      <c r="AB2" s="0" t="s">
        <v>14</v>
      </c>
    </row>
    <row r="3" customFormat="false" ht="15" hidden="false" customHeight="false" outlineLevel="0" collapsed="false">
      <c r="A3" s="0" t="s">
        <v>64</v>
      </c>
      <c r="B3" s="0" t="n">
        <v>13646</v>
      </c>
      <c r="F3" s="0" t="n">
        <v>1128</v>
      </c>
      <c r="G3" s="0" t="n">
        <v>8.3</v>
      </c>
      <c r="H3" s="0" t="n">
        <v>2530</v>
      </c>
      <c r="I3" s="0" t="n">
        <v>-2226</v>
      </c>
      <c r="J3" s="0" t="n">
        <v>-16.3</v>
      </c>
      <c r="K3" s="0" t="n">
        <v>-1.269</v>
      </c>
      <c r="L3" s="0" t="n">
        <v>1289</v>
      </c>
      <c r="M3" s="0" t="n">
        <v>501</v>
      </c>
      <c r="N3" s="0" t="n">
        <v>788</v>
      </c>
      <c r="O3" s="0" t="n">
        <v>11418</v>
      </c>
      <c r="P3" s="0" t="n">
        <v>25199</v>
      </c>
      <c r="Q3" s="0" t="n">
        <v>13781</v>
      </c>
      <c r="R3" s="0" t="n">
        <v>8515</v>
      </c>
      <c r="S3" s="0" t="n">
        <v>117</v>
      </c>
      <c r="T3" s="0" t="n">
        <v>1754.49</v>
      </c>
      <c r="AA3" s="0" t="s">
        <v>17</v>
      </c>
      <c r="AB3" s="0" t="s">
        <v>14</v>
      </c>
    </row>
    <row r="4" customFormat="false" ht="15" hidden="false" customHeight="false" outlineLevel="0" collapsed="false">
      <c r="A4" s="0" t="s">
        <v>65</v>
      </c>
      <c r="B4" s="0" t="n">
        <v>14604</v>
      </c>
      <c r="F4" s="0" t="n">
        <v>1212</v>
      </c>
      <c r="G4" s="0" t="n">
        <v>8.3</v>
      </c>
      <c r="H4" s="0" t="n">
        <v>2787</v>
      </c>
      <c r="I4" s="0" t="n">
        <v>218</v>
      </c>
      <c r="J4" s="0" t="n">
        <v>1.5</v>
      </c>
      <c r="K4" s="0" t="n">
        <v>0.124</v>
      </c>
      <c r="L4" s="0" t="n">
        <v>1293</v>
      </c>
      <c r="M4" s="0" t="n">
        <v>412</v>
      </c>
      <c r="N4" s="0" t="n">
        <v>881</v>
      </c>
      <c r="O4" s="0" t="n">
        <v>11828</v>
      </c>
      <c r="P4" s="0" t="n">
        <v>24257</v>
      </c>
      <c r="Q4" s="0" t="n">
        <v>12429</v>
      </c>
      <c r="R4" s="0" t="n">
        <v>7439</v>
      </c>
      <c r="S4" s="0" t="n">
        <v>150</v>
      </c>
      <c r="T4" s="0" t="n">
        <v>1757.44</v>
      </c>
      <c r="AA4" s="0" t="s">
        <v>17</v>
      </c>
      <c r="AB4" s="0" t="s">
        <v>14</v>
      </c>
    </row>
    <row r="5" customFormat="false" ht="15" hidden="false" customHeight="false" outlineLevel="0" collapsed="false">
      <c r="A5" s="0" t="s">
        <v>66</v>
      </c>
      <c r="B5" s="0" t="n">
        <v>14727</v>
      </c>
      <c r="F5" s="0" t="n">
        <v>1308</v>
      </c>
      <c r="G5" s="0" t="n">
        <v>8.9</v>
      </c>
      <c r="H5" s="0" t="n">
        <v>3232</v>
      </c>
      <c r="I5" s="0" t="n">
        <v>1211</v>
      </c>
      <c r="J5" s="0" t="n">
        <v>8.2</v>
      </c>
      <c r="K5" s="0" t="n">
        <v>0.688</v>
      </c>
      <c r="L5" s="0" t="n">
        <v>1325</v>
      </c>
      <c r="M5" s="0" t="n">
        <v>341</v>
      </c>
      <c r="N5" s="0" t="n">
        <v>984</v>
      </c>
      <c r="O5" s="0" t="n">
        <v>13149</v>
      </c>
      <c r="P5" s="0" t="n">
        <v>25743</v>
      </c>
      <c r="Q5" s="0" t="n">
        <v>12594</v>
      </c>
      <c r="R5" s="0" t="n">
        <v>7596</v>
      </c>
      <c r="S5" s="0" t="n">
        <v>1546</v>
      </c>
      <c r="T5" s="0" t="n">
        <v>1760.2</v>
      </c>
      <c r="AA5" s="0" t="s">
        <v>17</v>
      </c>
      <c r="AB5" s="0" t="s">
        <v>14</v>
      </c>
    </row>
    <row r="6" customFormat="false" ht="15" hidden="false" customHeight="false" outlineLevel="0" collapsed="false">
      <c r="A6" s="0" t="s">
        <v>67</v>
      </c>
      <c r="B6" s="0" t="n">
        <v>13157</v>
      </c>
      <c r="F6" s="0" t="n">
        <v>1329</v>
      </c>
      <c r="G6" s="0" t="n">
        <v>10.1</v>
      </c>
      <c r="H6" s="0" t="n">
        <v>3141</v>
      </c>
      <c r="I6" s="0" t="n">
        <v>83</v>
      </c>
      <c r="J6" s="0" t="n">
        <v>0.6</v>
      </c>
      <c r="K6" s="0" t="n">
        <v>0.047</v>
      </c>
      <c r="L6" s="0" t="n">
        <v>951</v>
      </c>
      <c r="M6" s="0" t="n">
        <v>500</v>
      </c>
      <c r="N6" s="0" t="n">
        <v>451</v>
      </c>
      <c r="O6" s="0" t="n">
        <v>12701</v>
      </c>
      <c r="P6" s="0" t="n">
        <v>25093</v>
      </c>
      <c r="Q6" s="0" t="n">
        <v>12392</v>
      </c>
      <c r="R6" s="0" t="n">
        <v>6852</v>
      </c>
      <c r="S6" s="0" t="n">
        <v>1240</v>
      </c>
      <c r="T6" s="0" t="n">
        <v>1759.8</v>
      </c>
      <c r="AA6" s="0" t="s">
        <v>17</v>
      </c>
      <c r="AB6" s="0" t="s">
        <v>14</v>
      </c>
    </row>
    <row r="7" customFormat="false" ht="15" hidden="false" customHeight="false" outlineLevel="0" collapsed="false">
      <c r="A7" s="0" t="s">
        <v>68</v>
      </c>
      <c r="B7" s="0" t="n">
        <v>12097</v>
      </c>
      <c r="F7" s="0" t="n">
        <v>540</v>
      </c>
      <c r="G7" s="0" t="n">
        <v>4.5</v>
      </c>
      <c r="H7" s="0" t="n">
        <v>2048</v>
      </c>
      <c r="I7" s="0" t="n">
        <v>-2291</v>
      </c>
      <c r="J7" s="0" t="n">
        <v>-18.9</v>
      </c>
      <c r="K7" s="0" t="n">
        <v>-1.302</v>
      </c>
      <c r="L7" s="0" t="n">
        <v>964</v>
      </c>
      <c r="M7" s="0" t="n">
        <v>339</v>
      </c>
      <c r="N7" s="0" t="n">
        <v>625</v>
      </c>
      <c r="O7" s="0" t="n">
        <v>9815</v>
      </c>
      <c r="P7" s="0" t="n">
        <v>21037</v>
      </c>
      <c r="Q7" s="0" t="n">
        <v>11222</v>
      </c>
      <c r="R7" s="0" t="n">
        <v>5228</v>
      </c>
      <c r="S7" s="0" t="n">
        <v>472</v>
      </c>
      <c r="T7" s="0" t="n">
        <v>1759.56</v>
      </c>
      <c r="AA7" s="0" t="s">
        <v>17</v>
      </c>
      <c r="AB7" s="0" t="s">
        <v>14</v>
      </c>
    </row>
    <row r="8" customFormat="false" ht="15" hidden="false" customHeight="false" outlineLevel="0" collapsed="false">
      <c r="A8" s="0" t="s">
        <v>69</v>
      </c>
      <c r="B8" s="0" t="n">
        <v>14461</v>
      </c>
      <c r="F8" s="0" t="n">
        <v>527</v>
      </c>
      <c r="G8" s="0" t="n">
        <v>3.6</v>
      </c>
      <c r="H8" s="0" t="n">
        <v>2114</v>
      </c>
      <c r="I8" s="0" t="n">
        <v>-1429</v>
      </c>
      <c r="J8" s="0" t="n">
        <v>-9.9</v>
      </c>
      <c r="K8" s="0" t="n">
        <v>-0.815</v>
      </c>
      <c r="L8" s="0" t="n">
        <v>531</v>
      </c>
      <c r="M8" s="0" t="n">
        <v>336</v>
      </c>
      <c r="N8" s="0" t="n">
        <v>195</v>
      </c>
      <c r="O8" s="0" t="n">
        <v>10022</v>
      </c>
      <c r="P8" s="0" t="n">
        <v>24020</v>
      </c>
      <c r="Q8" s="0" t="n">
        <v>13998</v>
      </c>
      <c r="R8" s="0" t="n">
        <v>3390</v>
      </c>
      <c r="S8" s="0" t="n">
        <v>620</v>
      </c>
      <c r="T8" s="0" t="n">
        <v>1753.61</v>
      </c>
      <c r="AA8" s="0" t="s">
        <v>17</v>
      </c>
      <c r="AB8" s="0" t="s">
        <v>14</v>
      </c>
    </row>
    <row r="9" customFormat="false" ht="15" hidden="false" customHeight="false" outlineLevel="0" collapsed="false">
      <c r="A9" s="0" t="s">
        <v>70</v>
      </c>
      <c r="B9" s="0" t="n">
        <v>16481</v>
      </c>
      <c r="F9" s="0" t="n">
        <v>1417</v>
      </c>
      <c r="G9" s="0" t="n">
        <v>8.6</v>
      </c>
      <c r="H9" s="0" t="n">
        <v>3107</v>
      </c>
      <c r="I9" s="0" t="n">
        <v>1055</v>
      </c>
      <c r="J9" s="0" t="n">
        <v>6.4</v>
      </c>
      <c r="K9" s="0" t="n">
        <v>0.613</v>
      </c>
      <c r="L9" s="0" t="n">
        <v>-633</v>
      </c>
      <c r="M9" s="0" t="n">
        <v>475</v>
      </c>
      <c r="N9" s="0" t="n">
        <v>-1108</v>
      </c>
      <c r="O9" s="0" t="n">
        <v>8911</v>
      </c>
      <c r="P9" s="0" t="n">
        <v>18948</v>
      </c>
      <c r="Q9" s="0" t="n">
        <v>10037</v>
      </c>
      <c r="R9" s="0" t="n">
        <v>3258</v>
      </c>
      <c r="S9" s="0" t="n">
        <v>463</v>
      </c>
      <c r="T9" s="0" t="n">
        <v>1720.57</v>
      </c>
      <c r="AA9" s="0" t="s">
        <v>17</v>
      </c>
      <c r="AB9" s="0" t="s">
        <v>14</v>
      </c>
    </row>
    <row r="10" customFormat="false" ht="15" hidden="false" customHeight="false" outlineLevel="0" collapsed="false">
      <c r="A10" s="0" t="s">
        <v>71</v>
      </c>
      <c r="B10" s="0" t="n">
        <v>16138</v>
      </c>
      <c r="F10" s="0" t="n">
        <v>1941</v>
      </c>
      <c r="G10" s="0" t="n">
        <v>12</v>
      </c>
      <c r="H10" s="0" t="n">
        <v>3528</v>
      </c>
      <c r="I10" s="0" t="n">
        <v>1397</v>
      </c>
      <c r="J10" s="0" t="n">
        <v>8.7</v>
      </c>
      <c r="K10" s="0" t="n">
        <v>0.811</v>
      </c>
      <c r="L10" s="0" t="n">
        <v>1114</v>
      </c>
      <c r="M10" s="0" t="n">
        <v>653</v>
      </c>
      <c r="N10" s="0" t="n">
        <v>461</v>
      </c>
      <c r="O10" s="0" t="n">
        <v>9489</v>
      </c>
      <c r="P10" s="0" t="n">
        <v>20454</v>
      </c>
      <c r="Q10" s="0" t="n">
        <v>10965</v>
      </c>
      <c r="R10" s="0" t="n">
        <v>3378</v>
      </c>
      <c r="S10" s="0" t="n">
        <v>625</v>
      </c>
      <c r="T10" s="0" t="n">
        <v>1722.2</v>
      </c>
      <c r="AA10" s="0" t="s">
        <v>17</v>
      </c>
      <c r="AB10" s="0" t="s">
        <v>14</v>
      </c>
    </row>
    <row r="11" customFormat="false" ht="15" hidden="false" customHeight="false" outlineLevel="0" collapsed="false">
      <c r="A11" s="0" t="s">
        <v>72</v>
      </c>
      <c r="B11" s="0" t="n">
        <v>17224</v>
      </c>
      <c r="F11" s="0" t="n">
        <v>1895</v>
      </c>
      <c r="G11" s="0" t="n">
        <v>11</v>
      </c>
      <c r="H11" s="0" t="n">
        <v>3411</v>
      </c>
      <c r="I11" s="0" t="n">
        <v>1481</v>
      </c>
      <c r="J11" s="0" t="n">
        <v>8.6</v>
      </c>
      <c r="K11" s="0" t="n">
        <v>0.862</v>
      </c>
      <c r="L11" s="0" t="n">
        <v>425</v>
      </c>
      <c r="M11" s="0" t="n">
        <v>1473</v>
      </c>
      <c r="N11" s="0" t="n">
        <v>-1048</v>
      </c>
      <c r="O11" s="0" t="n">
        <v>9919</v>
      </c>
      <c r="P11" s="0" t="n">
        <v>20989</v>
      </c>
      <c r="Q11" s="0" t="n">
        <v>11070</v>
      </c>
      <c r="R11" s="0" t="n">
        <v>4842</v>
      </c>
      <c r="S11" s="0" t="n">
        <v>161</v>
      </c>
      <c r="T11" s="0" t="n">
        <v>1717.64</v>
      </c>
      <c r="AA11" s="0" t="s">
        <v>17</v>
      </c>
      <c r="AB11" s="0" t="s">
        <v>14</v>
      </c>
    </row>
    <row r="12" customFormat="false" ht="15" hidden="false" customHeight="false" outlineLevel="0" collapsed="false">
      <c r="A12" s="0" t="s">
        <v>73</v>
      </c>
      <c r="B12" s="0" t="n">
        <v>15569</v>
      </c>
      <c r="F12" s="0" t="n">
        <v>1603</v>
      </c>
      <c r="G12" s="0" t="n">
        <v>10.3</v>
      </c>
      <c r="H12" s="0" t="n">
        <v>3220</v>
      </c>
      <c r="I12" s="0" t="n">
        <v>1574</v>
      </c>
      <c r="J12" s="0" t="n">
        <v>10.1</v>
      </c>
      <c r="K12" s="0" t="n">
        <v>0.915</v>
      </c>
      <c r="L12" s="0" t="n">
        <v>1917</v>
      </c>
      <c r="M12" s="0" t="n">
        <v>969</v>
      </c>
      <c r="N12" s="0" t="n">
        <v>948</v>
      </c>
      <c r="O12" s="0" t="n">
        <v>10134</v>
      </c>
      <c r="P12" s="0" t="n">
        <v>20779</v>
      </c>
      <c r="Q12" s="0" t="n">
        <v>10645</v>
      </c>
      <c r="R12" s="0" t="n">
        <v>4986</v>
      </c>
      <c r="S12" s="0" t="n">
        <v>307</v>
      </c>
      <c r="T12" s="0" t="n">
        <v>1719.9</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11.01</v>
      </c>
    </row>
    <row r="3" customFormat="false" ht="15" hidden="false" customHeight="false" outlineLevel="0" collapsed="false">
      <c r="A3" s="0" t="s">
        <v>77</v>
      </c>
      <c r="B3" s="3" t="n">
        <v>1725.7</v>
      </c>
    </row>
    <row r="4" customFormat="false" ht="15" hidden="false" customHeight="false" outlineLevel="0" collapsed="false">
      <c r="A4" s="0" t="s">
        <v>78</v>
      </c>
      <c r="B4" s="3" t="n">
        <v>3698</v>
      </c>
    </row>
    <row r="5" customFormat="false" ht="15" hidden="false" customHeight="false" outlineLevel="0" collapsed="false">
      <c r="A5" s="0" t="s">
        <v>79</v>
      </c>
      <c r="B5" s="3" t="n">
        <v>3413</v>
      </c>
    </row>
    <row r="6" customFormat="false" ht="15" hidden="false" customHeight="false" outlineLevel="0" collapsed="false">
      <c r="A6" s="0" t="s">
        <v>80</v>
      </c>
      <c r="B6" s="3" t="n">
        <v>15</v>
      </c>
    </row>
    <row r="7" customFormat="false" ht="15" hidden="false" customHeight="false" outlineLevel="0" collapsed="false">
      <c r="A7" s="0" t="s">
        <v>81</v>
      </c>
      <c r="B7" s="3" t="n">
        <v>15569</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-5</v>
      </c>
      <c r="D13" s="3" t="n">
        <v>1</v>
      </c>
      <c r="E13" s="3" t="n">
        <v>1.5</v>
      </c>
      <c r="F13" s="3" t="n">
        <v>2</v>
      </c>
      <c r="G13" s="3" t="n">
        <v>2</v>
      </c>
      <c r="H13" s="3" t="n">
        <v>2</v>
      </c>
      <c r="I13" s="3" t="n">
        <v>2</v>
      </c>
      <c r="J13" s="3" t="n">
        <v>2</v>
      </c>
      <c r="K13" s="3" t="n">
        <v>2</v>
      </c>
      <c r="L13" s="3" t="n">
        <v>2</v>
      </c>
    </row>
    <row r="14" customFormat="false" ht="15" hidden="false" customHeight="false" outlineLevel="0" collapsed="false">
      <c r="A14" s="0" t="s">
        <v>98</v>
      </c>
      <c r="C14" s="3" t="n">
        <v>17.06</v>
      </c>
      <c r="D14" s="3" t="n">
        <v>16.19</v>
      </c>
      <c r="E14" s="3" t="n">
        <v>15.33</v>
      </c>
      <c r="F14" s="3" t="n">
        <v>14.52</v>
      </c>
      <c r="G14" s="3" t="n">
        <v>13.82</v>
      </c>
      <c r="H14" s="3" t="n">
        <v>13.19</v>
      </c>
      <c r="I14" s="3" t="n">
        <v>12.63</v>
      </c>
      <c r="J14" s="3" t="n">
        <v>12.14</v>
      </c>
      <c r="K14" s="3" t="n">
        <v>11.7</v>
      </c>
      <c r="L14" s="3" t="n">
        <v>11.3</v>
      </c>
    </row>
    <row r="15" customFormat="false" ht="15" hidden="false" customHeight="false" outlineLevel="0" collapsed="false">
      <c r="A15" s="0" t="s">
        <v>99</v>
      </c>
      <c r="C15" s="3" t="n">
        <v>0.3</v>
      </c>
      <c r="D15" s="3" t="n">
        <v>0.3</v>
      </c>
      <c r="E15" s="3" t="n">
        <v>0.3</v>
      </c>
      <c r="F15" s="3" t="n">
        <v>0.3</v>
      </c>
      <c r="G15" s="3" t="n">
        <v>0.3</v>
      </c>
      <c r="H15" s="3" t="n">
        <v>0.3</v>
      </c>
      <c r="I15" s="3" t="n">
        <v>0.3</v>
      </c>
      <c r="J15" s="3" t="n">
        <v>0.3</v>
      </c>
      <c r="K15" s="3" t="n">
        <v>0.3</v>
      </c>
      <c r="L15" s="3" t="n">
        <v>0.3</v>
      </c>
    </row>
    <row r="16" customFormat="false" ht="15" hidden="false" customHeight="false" outlineLevel="0" collapsed="false">
      <c r="A16" s="0" t="s">
        <v>100</v>
      </c>
      <c r="C16" s="3" t="n">
        <v>0.95</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101</v>
      </c>
      <c r="C17" s="3" t="n">
        <v>3.8</v>
      </c>
      <c r="D17" s="3" t="n">
        <v>3.8</v>
      </c>
      <c r="E17" s="3" t="n">
        <v>3.9</v>
      </c>
      <c r="F17" s="3" t="n">
        <v>4</v>
      </c>
      <c r="G17" s="3" t="n">
        <v>4</v>
      </c>
      <c r="H17" s="3" t="n">
        <v>4</v>
      </c>
      <c r="I17" s="3" t="n">
        <v>4</v>
      </c>
      <c r="J17" s="3" t="n">
        <v>4</v>
      </c>
      <c r="K17" s="3" t="n">
        <v>4</v>
      </c>
      <c r="L17" s="3" t="n">
        <v>4</v>
      </c>
    </row>
    <row r="18" customFormat="false" ht="15" hidden="false" customHeight="false" outlineLevel="0" collapsed="false">
      <c r="A18" s="0" t="s">
        <v>102</v>
      </c>
      <c r="C18" s="3" t="n">
        <v>3.6</v>
      </c>
      <c r="D18" s="3" t="n">
        <v>4.2</v>
      </c>
      <c r="E18" s="3" t="n">
        <v>4.2</v>
      </c>
      <c r="F18" s="3" t="n">
        <v>4.2</v>
      </c>
      <c r="G18" s="3" t="n">
        <v>4.2</v>
      </c>
      <c r="H18" s="3" t="n">
        <v>4.2</v>
      </c>
      <c r="I18" s="3" t="n">
        <v>4.2</v>
      </c>
      <c r="J18" s="3" t="n">
        <v>4.2</v>
      </c>
      <c r="K18" s="3" t="n">
        <v>4.2</v>
      </c>
      <c r="L18" s="3" t="n">
        <v>4.2</v>
      </c>
    </row>
    <row r="19" customFormat="false" ht="15" hidden="false" customHeight="false" outlineLevel="0" collapsed="false">
      <c r="A19" s="0" t="s">
        <v>103</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104</v>
      </c>
      <c r="B20" s="3" t="n">
        <v>8.5</v>
      </c>
    </row>
    <row r="21" customFormat="false" ht="15" hidden="false" customHeight="false" outlineLevel="0" collapsed="false">
      <c r="A21" s="0" t="s">
        <v>105</v>
      </c>
      <c r="B21" s="3" t="n">
        <v>2.5</v>
      </c>
    </row>
    <row r="22" customFormat="false" ht="15" hidden="false" customHeight="false" outlineLevel="0" collapsed="false">
      <c r="A22" s="0" t="s">
        <v>106</v>
      </c>
      <c r="B22" s="3" t="n">
        <v>13</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-3</v>
      </c>
      <c r="D27" s="3" t="n">
        <v>2</v>
      </c>
      <c r="E27" s="3" t="n">
        <v>2.5</v>
      </c>
      <c r="F27" s="3" t="n">
        <v>2.5</v>
      </c>
      <c r="G27" s="3" t="n">
        <v>2.5</v>
      </c>
      <c r="H27" s="3" t="n">
        <v>2.5</v>
      </c>
      <c r="I27" s="3" t="n">
        <v>2.5</v>
      </c>
      <c r="J27" s="3" t="n">
        <v>2.5</v>
      </c>
      <c r="K27" s="3" t="n">
        <v>2.5</v>
      </c>
      <c r="L27" s="3" t="n">
        <v>2.5</v>
      </c>
    </row>
    <row r="28" customFormat="false" ht="15" hidden="false" customHeight="false" outlineLevel="0" collapsed="false">
      <c r="A28" s="0" t="s">
        <v>98</v>
      </c>
      <c r="C28" s="3" t="n">
        <v>19.36</v>
      </c>
      <c r="D28" s="3" t="n">
        <v>18.52</v>
      </c>
      <c r="E28" s="3" t="n">
        <v>17.7</v>
      </c>
      <c r="F28" s="3" t="n">
        <v>16.99</v>
      </c>
      <c r="G28" s="3" t="n">
        <v>16.37</v>
      </c>
      <c r="H28" s="3" t="n">
        <v>15.83</v>
      </c>
      <c r="I28" s="3" t="n">
        <v>15.36</v>
      </c>
      <c r="J28" s="3" t="n">
        <v>14.96</v>
      </c>
      <c r="K28" s="3" t="n">
        <v>14.61</v>
      </c>
      <c r="L28" s="3" t="n">
        <v>14.31</v>
      </c>
    </row>
    <row r="29" customFormat="false" ht="15" hidden="false" customHeight="false" outlineLevel="0" collapsed="false">
      <c r="A29" s="0" t="s">
        <v>99</v>
      </c>
      <c r="C29" s="3" t="n">
        <v>0.3</v>
      </c>
      <c r="D29" s="3" t="n">
        <v>0.3</v>
      </c>
      <c r="E29" s="3" t="n">
        <v>0.3</v>
      </c>
      <c r="F29" s="3" t="n">
        <v>0.3</v>
      </c>
      <c r="G29" s="3" t="n">
        <v>0.3</v>
      </c>
      <c r="H29" s="3" t="n">
        <v>0.3</v>
      </c>
      <c r="I29" s="3" t="n">
        <v>0.3</v>
      </c>
      <c r="J29" s="3" t="n">
        <v>0.3</v>
      </c>
      <c r="K29" s="3" t="n">
        <v>0.3</v>
      </c>
      <c r="L29" s="3" t="n">
        <v>0.3</v>
      </c>
    </row>
    <row r="30" customFormat="false" ht="15" hidden="false" customHeight="false" outlineLevel="0" collapsed="false">
      <c r="A30" s="0" t="s">
        <v>100</v>
      </c>
      <c r="C30" s="3" t="n">
        <v>0.95</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101</v>
      </c>
      <c r="C31" s="3" t="n">
        <v>3.8</v>
      </c>
      <c r="D31" s="3" t="n">
        <v>3.8</v>
      </c>
      <c r="E31" s="3" t="n">
        <v>3.9</v>
      </c>
      <c r="F31" s="3" t="n">
        <v>4</v>
      </c>
      <c r="G31" s="3" t="n">
        <v>4</v>
      </c>
      <c r="H31" s="3" t="n">
        <v>4</v>
      </c>
      <c r="I31" s="3" t="n">
        <v>4</v>
      </c>
      <c r="J31" s="3" t="n">
        <v>4</v>
      </c>
      <c r="K31" s="3" t="n">
        <v>4</v>
      </c>
      <c r="L31" s="3" t="n">
        <v>4</v>
      </c>
    </row>
    <row r="32" customFormat="false" ht="15" hidden="false" customHeight="false" outlineLevel="0" collapsed="false">
      <c r="A32" s="0" t="s">
        <v>102</v>
      </c>
      <c r="C32" s="3" t="n">
        <v>3.6</v>
      </c>
      <c r="D32" s="3" t="n">
        <v>4.5</v>
      </c>
      <c r="E32" s="3" t="n">
        <v>4.5</v>
      </c>
      <c r="F32" s="3" t="n">
        <v>4.5</v>
      </c>
      <c r="G32" s="3" t="n">
        <v>4.5</v>
      </c>
      <c r="H32" s="3" t="n">
        <v>4.5</v>
      </c>
      <c r="I32" s="3" t="n">
        <v>4.5</v>
      </c>
      <c r="J32" s="3" t="n">
        <v>4.5</v>
      </c>
      <c r="K32" s="3" t="n">
        <v>4.5</v>
      </c>
      <c r="L32" s="3" t="n">
        <v>4.5</v>
      </c>
    </row>
    <row r="33" customFormat="false" ht="15" hidden="false" customHeight="false" outlineLevel="0" collapsed="false">
      <c r="A33" s="0" t="s">
        <v>103</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104</v>
      </c>
      <c r="B34" s="3" t="n">
        <v>8.5</v>
      </c>
    </row>
    <row r="35" customFormat="false" ht="15" hidden="false" customHeight="false" outlineLevel="0" collapsed="false">
      <c r="A35" s="0" t="s">
        <v>105</v>
      </c>
      <c r="B35" s="3" t="n">
        <v>2.5</v>
      </c>
    </row>
    <row r="36" customFormat="false" ht="15" hidden="false" customHeight="false" outlineLevel="0" collapsed="false">
      <c r="A36" s="0" t="s">
        <v>106</v>
      </c>
      <c r="B36" s="3" t="n">
        <v>15</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-2</v>
      </c>
      <c r="D41" s="3" t="n">
        <v>3</v>
      </c>
      <c r="E41" s="3" t="n">
        <v>3</v>
      </c>
      <c r="F41" s="3" t="n">
        <v>3</v>
      </c>
      <c r="G41" s="3" t="n">
        <v>3</v>
      </c>
      <c r="H41" s="3" t="n">
        <v>3</v>
      </c>
      <c r="I41" s="3" t="n">
        <v>3</v>
      </c>
      <c r="J41" s="3" t="n">
        <v>3</v>
      </c>
      <c r="K41" s="3" t="n">
        <v>3</v>
      </c>
      <c r="L41" s="3" t="n">
        <v>3</v>
      </c>
    </row>
    <row r="42" customFormat="false" ht="15" hidden="false" customHeight="false" outlineLevel="0" collapsed="false">
      <c r="A42" s="0" t="s">
        <v>98</v>
      </c>
      <c r="C42" s="3" t="n">
        <v>21.03</v>
      </c>
      <c r="D42" s="3" t="n">
        <v>20.24</v>
      </c>
      <c r="E42" s="3" t="n">
        <v>19.55</v>
      </c>
      <c r="F42" s="3" t="n">
        <v>18.95</v>
      </c>
      <c r="G42" s="3" t="n">
        <v>18.44</v>
      </c>
      <c r="H42" s="3" t="n">
        <v>18</v>
      </c>
      <c r="I42" s="3" t="n">
        <v>17.63</v>
      </c>
      <c r="J42" s="3" t="n">
        <v>17.32</v>
      </c>
      <c r="K42" s="3" t="n">
        <v>17.07</v>
      </c>
      <c r="L42" s="3" t="n">
        <v>16.86</v>
      </c>
    </row>
    <row r="43" customFormat="false" ht="15" hidden="false" customHeight="false" outlineLevel="0" collapsed="false">
      <c r="A43" s="0" t="s">
        <v>99</v>
      </c>
      <c r="C43" s="3" t="n">
        <v>0.3</v>
      </c>
      <c r="D43" s="3" t="n">
        <v>0.3</v>
      </c>
      <c r="E43" s="3" t="n">
        <v>0.3</v>
      </c>
      <c r="F43" s="3" t="n">
        <v>0.3</v>
      </c>
      <c r="G43" s="3" t="n">
        <v>0.3</v>
      </c>
      <c r="H43" s="3" t="n">
        <v>0.3</v>
      </c>
      <c r="I43" s="3" t="n">
        <v>0.3</v>
      </c>
      <c r="J43" s="3" t="n">
        <v>0.3</v>
      </c>
      <c r="K43" s="3" t="n">
        <v>0.3</v>
      </c>
      <c r="L43" s="3" t="n">
        <v>0.3</v>
      </c>
    </row>
    <row r="44" customFormat="false" ht="15" hidden="false" customHeight="false" outlineLevel="0" collapsed="false">
      <c r="A44" s="0" t="s">
        <v>100</v>
      </c>
      <c r="C44" s="3" t="n">
        <v>0.95</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101</v>
      </c>
      <c r="C45" s="3" t="n">
        <v>3.8</v>
      </c>
      <c r="D45" s="3" t="n">
        <v>3.8</v>
      </c>
      <c r="E45" s="3" t="n">
        <v>3.9</v>
      </c>
      <c r="F45" s="3" t="n">
        <v>4</v>
      </c>
      <c r="G45" s="3" t="n">
        <v>4</v>
      </c>
      <c r="H45" s="3" t="n">
        <v>4</v>
      </c>
      <c r="I45" s="3" t="n">
        <v>4</v>
      </c>
      <c r="J45" s="3" t="n">
        <v>4</v>
      </c>
      <c r="K45" s="3" t="n">
        <v>4</v>
      </c>
      <c r="L45" s="3" t="n">
        <v>4</v>
      </c>
    </row>
    <row r="46" customFormat="false" ht="15" hidden="false" customHeight="false" outlineLevel="0" collapsed="false">
      <c r="A46" s="0" t="s">
        <v>102</v>
      </c>
      <c r="C46" s="3" t="n">
        <v>3.8</v>
      </c>
      <c r="D46" s="3" t="n">
        <v>4.5</v>
      </c>
      <c r="E46" s="3" t="n">
        <v>4.5</v>
      </c>
      <c r="F46" s="3" t="n">
        <v>4.5</v>
      </c>
      <c r="G46" s="3" t="n">
        <v>4.5</v>
      </c>
      <c r="H46" s="3" t="n">
        <v>4.5</v>
      </c>
      <c r="I46" s="3" t="n">
        <v>4.5</v>
      </c>
      <c r="J46" s="3" t="n">
        <v>4.5</v>
      </c>
      <c r="K46" s="3" t="n">
        <v>4.5</v>
      </c>
      <c r="L46" s="3" t="n">
        <v>4.5</v>
      </c>
    </row>
    <row r="47" customFormat="false" ht="15" hidden="false" customHeight="false" outlineLevel="0" collapsed="false">
      <c r="A47" s="0" t="s">
        <v>103</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104</v>
      </c>
      <c r="B48" s="3" t="n">
        <v>8.5</v>
      </c>
    </row>
    <row r="49" customFormat="false" ht="15" hidden="false" customHeight="false" outlineLevel="0" collapsed="false">
      <c r="A49" s="0" t="s">
        <v>105</v>
      </c>
      <c r="B49" s="3" t="n">
        <v>2.5</v>
      </c>
    </row>
    <row r="50" customFormat="false" ht="15" hidden="false" customHeight="false" outlineLevel="0" collapsed="false">
      <c r="A50" s="0" t="s">
        <v>106</v>
      </c>
      <c r="B50" s="3" t="n">
        <v>15</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-5</v>
      </c>
      <c r="D5" s="4" t="n">
        <f aca="false">Assumptions!D13</f>
        <v>1</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15569</v>
      </c>
      <c r="C6" s="0" t="n">
        <f aca="false">B6*(1+C5/100)</f>
        <v>14790.55</v>
      </c>
      <c r="D6" s="0" t="n">
        <f aca="false">C6*(1+D5/100)</f>
        <v>14938.4555</v>
      </c>
      <c r="E6" s="0" t="n">
        <f aca="false">D6*(1+E5/100)</f>
        <v>15162.5323325</v>
      </c>
      <c r="F6" s="0" t="n">
        <f aca="false">E6*(1+F5/100)</f>
        <v>15465.78297915</v>
      </c>
      <c r="G6" s="0" t="n">
        <f aca="false">F6*(1+G5/100)</f>
        <v>15775.098638733</v>
      </c>
      <c r="H6" s="0" t="n">
        <f aca="false">G6*(1+H5/100)</f>
        <v>16090.6006115077</v>
      </c>
      <c r="I6" s="0" t="n">
        <f aca="false">H6*(1+I5/100)</f>
        <v>16412.4126237378</v>
      </c>
      <c r="J6" s="0" t="n">
        <f aca="false">I6*(1+J5/100)</f>
        <v>16740.6608762126</v>
      </c>
      <c r="K6" s="0" t="n">
        <f aca="false">J6*(1+K5/100)</f>
        <v>17075.4740937368</v>
      </c>
      <c r="L6" s="0" t="n">
        <f aca="false">K6*(1+L5/100)</f>
        <v>17416.9835756116</v>
      </c>
    </row>
    <row r="7" customFormat="false" ht="15" hidden="false" customHeight="false" outlineLevel="0" collapsed="false">
      <c r="A7" s="0" t="s">
        <v>98</v>
      </c>
      <c r="C7" s="4" t="n">
        <f aca="false">Assumptions!C14</f>
        <v>17.06</v>
      </c>
      <c r="D7" s="4" t="n">
        <f aca="false">Assumptions!D14</f>
        <v>16.19</v>
      </c>
      <c r="E7" s="4" t="n">
        <f aca="false">Assumptions!E14</f>
        <v>15.33</v>
      </c>
      <c r="F7" s="4" t="n">
        <f aca="false">Assumptions!F14</f>
        <v>14.52</v>
      </c>
      <c r="G7" s="4" t="n">
        <f aca="false">Assumptions!G14</f>
        <v>13.82</v>
      </c>
      <c r="H7" s="4" t="n">
        <f aca="false">Assumptions!H14</f>
        <v>13.19</v>
      </c>
      <c r="I7" s="4" t="n">
        <f aca="false">Assumptions!I14</f>
        <v>12.63</v>
      </c>
      <c r="J7" s="4" t="n">
        <f aca="false">Assumptions!J14</f>
        <v>12.14</v>
      </c>
      <c r="K7" s="4" t="n">
        <f aca="false">Assumptions!K14</f>
        <v>11.7</v>
      </c>
      <c r="L7" s="4" t="n">
        <f aca="false">Assumptions!L14</f>
        <v>11.3</v>
      </c>
    </row>
    <row r="8" customFormat="false" ht="15" hidden="false" customHeight="false" outlineLevel="0" collapsed="false">
      <c r="A8" s="0" t="s">
        <v>43</v>
      </c>
      <c r="C8" s="0" t="n">
        <f aca="false">C6*C7/100</f>
        <v>2523.26783</v>
      </c>
      <c r="D8" s="0" t="n">
        <f aca="false">D6*D7/100</f>
        <v>2418.53594545</v>
      </c>
      <c r="E8" s="0" t="n">
        <f aca="false">E6*E7/100</f>
        <v>2324.41620657225</v>
      </c>
      <c r="F8" s="0" t="n">
        <f aca="false">F6*F7/100</f>
        <v>2245.63168857258</v>
      </c>
      <c r="G8" s="0" t="n">
        <f aca="false">G6*G7/100</f>
        <v>2180.1186318729</v>
      </c>
      <c r="H8" s="0" t="n">
        <f aca="false">H6*H7/100</f>
        <v>2122.35022065786</v>
      </c>
      <c r="I8" s="0" t="n">
        <f aca="false">I6*I7/100</f>
        <v>2072.88771437809</v>
      </c>
      <c r="J8" s="0" t="n">
        <f aca="false">J6*J7/100</f>
        <v>2032.31623037221</v>
      </c>
      <c r="K8" s="0" t="n">
        <f aca="false">K6*K7/100</f>
        <v>1997.83046896721</v>
      </c>
      <c r="L8" s="0" t="n">
        <f aca="false">L6*L7/100</f>
        <v>1968.11914404411</v>
      </c>
    </row>
    <row r="9" customFormat="false" ht="15" hidden="false" customHeight="false" outlineLevel="0" collapsed="false">
      <c r="A9" s="0" t="s">
        <v>99</v>
      </c>
      <c r="C9" s="4" t="n">
        <f aca="false">Assumptions!C15</f>
        <v>0.3</v>
      </c>
      <c r="D9" s="4" t="n">
        <f aca="false">Assumptions!D15</f>
        <v>0.3</v>
      </c>
      <c r="E9" s="4" t="n">
        <f aca="false">Assumptions!E15</f>
        <v>0.3</v>
      </c>
      <c r="F9" s="4" t="n">
        <f aca="false">Assumptions!F15</f>
        <v>0.3</v>
      </c>
      <c r="G9" s="4" t="n">
        <f aca="false">Assumptions!G15</f>
        <v>0.3</v>
      </c>
      <c r="H9" s="4" t="n">
        <f aca="false">Assumptions!H15</f>
        <v>0.3</v>
      </c>
      <c r="I9" s="4" t="n">
        <f aca="false">Assumptions!I15</f>
        <v>0.3</v>
      </c>
      <c r="J9" s="4" t="n">
        <f aca="false">Assumptions!J15</f>
        <v>0.3</v>
      </c>
      <c r="K9" s="4" t="n">
        <f aca="false">Assumptions!K15</f>
        <v>0.3</v>
      </c>
      <c r="L9" s="4" t="n">
        <f aca="false">Assumptions!L15</f>
        <v>0.3</v>
      </c>
    </row>
    <row r="10" customFormat="false" ht="15" hidden="false" customHeight="false" outlineLevel="0" collapsed="false">
      <c r="A10" s="0" t="s">
        <v>114</v>
      </c>
      <c r="C10" s="0" t="n">
        <f aca="false">-C6*C9/100</f>
        <v>-44.37165</v>
      </c>
      <c r="D10" s="0" t="n">
        <f aca="false">-D6*D9/100</f>
        <v>-44.8153665</v>
      </c>
      <c r="E10" s="0" t="n">
        <f aca="false">-E6*E9/100</f>
        <v>-45.4875969975</v>
      </c>
      <c r="F10" s="0" t="n">
        <f aca="false">-F6*F9/100</f>
        <v>-46.39734893745</v>
      </c>
      <c r="G10" s="0" t="n">
        <f aca="false">-G6*G9/100</f>
        <v>-47.325295916199</v>
      </c>
      <c r="H10" s="0" t="n">
        <f aca="false">-H6*H9/100</f>
        <v>-48.271801834523</v>
      </c>
      <c r="I10" s="0" t="n">
        <f aca="false">-I6*I9/100</f>
        <v>-49.2372378712134</v>
      </c>
      <c r="J10" s="0" t="n">
        <f aca="false">-J6*J9/100</f>
        <v>-50.2219826286377</v>
      </c>
      <c r="K10" s="0" t="n">
        <f aca="false">-K6*K9/100</f>
        <v>-51.2264222812105</v>
      </c>
      <c r="L10" s="0" t="n">
        <f aca="false">-L6*L9/100</f>
        <v>-52.2509507268347</v>
      </c>
    </row>
    <row r="11" customFormat="false" ht="15" hidden="false" customHeight="false" outlineLevel="0" collapsed="false">
      <c r="A11" s="0" t="s">
        <v>115</v>
      </c>
      <c r="C11" s="0" t="n">
        <f aca="false">C8+C10+C24</f>
        <v>2338.385955</v>
      </c>
      <c r="D11" s="0" t="n">
        <f aca="false">D8+D10+D24</f>
        <v>2224.33602395</v>
      </c>
      <c r="E11" s="0" t="n">
        <f aca="false">E8+E10+E24</f>
        <v>2127.30328624975</v>
      </c>
      <c r="F11" s="0" t="n">
        <f aca="false">F8+F10+F24</f>
        <v>2044.57650984363</v>
      </c>
      <c r="G11" s="0" t="n">
        <f aca="false">G8+G10+G24</f>
        <v>1975.04234956937</v>
      </c>
      <c r="H11" s="0" t="n">
        <f aca="false">H8+H10+H24</f>
        <v>1913.17241270826</v>
      </c>
      <c r="I11" s="0" t="n">
        <f aca="false">I8+I10+I24</f>
        <v>1859.52635026949</v>
      </c>
      <c r="J11" s="0" t="n">
        <f aca="false">J8+J10+J24</f>
        <v>1814.68763898144</v>
      </c>
      <c r="K11" s="0" t="n">
        <f aca="false">K8+K10+K24</f>
        <v>1775.84930574863</v>
      </c>
      <c r="L11" s="0" t="n">
        <f aca="false">L8+L10+L24</f>
        <v>1741.69835756116</v>
      </c>
    </row>
    <row r="12" customFormat="false" ht="15" hidden="false" customHeight="false" outlineLevel="0" collapsed="false">
      <c r="A12" s="0" t="s">
        <v>116</v>
      </c>
      <c r="C12" s="4" t="n">
        <f aca="false">-C6*Assumptions!C17/100</f>
        <v>-562.0409</v>
      </c>
      <c r="D12" s="4" t="n">
        <f aca="false">-D6*Assumptions!D17/100</f>
        <v>-567.661309</v>
      </c>
      <c r="E12" s="4" t="n">
        <f aca="false">-E6*Assumptions!E17/100</f>
        <v>-591.3387609675</v>
      </c>
      <c r="F12" s="4" t="n">
        <f aca="false">-F6*Assumptions!F17/100</f>
        <v>-618.631319166</v>
      </c>
      <c r="G12" s="4" t="n">
        <f aca="false">-G6*Assumptions!G17/100</f>
        <v>-631.00394554932</v>
      </c>
      <c r="H12" s="4" t="n">
        <f aca="false">-H6*Assumptions!H17/100</f>
        <v>-643.624024460306</v>
      </c>
      <c r="I12" s="4" t="n">
        <f aca="false">-I6*Assumptions!I17/100</f>
        <v>-656.496504949513</v>
      </c>
      <c r="J12" s="4" t="n">
        <f aca="false">-J6*Assumptions!J17/100</f>
        <v>-669.626435048503</v>
      </c>
      <c r="K12" s="4" t="n">
        <f aca="false">-K6*Assumptions!K17/100</f>
        <v>-683.018963749473</v>
      </c>
      <c r="L12" s="4" t="n">
        <f aca="false">-L6*Assumptions!L17/100</f>
        <v>-696.679343024463</v>
      </c>
    </row>
    <row r="13" customFormat="false" ht="15" hidden="false" customHeight="false" outlineLevel="0" collapsed="false">
      <c r="A13" s="0" t="s">
        <v>117</v>
      </c>
      <c r="C13" s="0" t="n">
        <f aca="false">C11+C12</f>
        <v>1776.345055</v>
      </c>
      <c r="D13" s="0" t="n">
        <f aca="false">D11+D12</f>
        <v>1656.67471495</v>
      </c>
      <c r="E13" s="0" t="n">
        <f aca="false">E11+E12</f>
        <v>1535.96452528225</v>
      </c>
      <c r="F13" s="0" t="n">
        <f aca="false">F11+F12</f>
        <v>1425.94519067763</v>
      </c>
      <c r="G13" s="0" t="n">
        <f aca="false">G11+G12</f>
        <v>1344.03840402005</v>
      </c>
      <c r="H13" s="0" t="n">
        <f aca="false">H11+H12</f>
        <v>1269.54838824795</v>
      </c>
      <c r="I13" s="0" t="n">
        <f aca="false">I11+I12</f>
        <v>1203.02984531998</v>
      </c>
      <c r="J13" s="0" t="n">
        <f aca="false">J11+J12</f>
        <v>1145.06120393294</v>
      </c>
      <c r="K13" s="0" t="n">
        <f aca="false">K11+K12</f>
        <v>1092.83034199916</v>
      </c>
      <c r="L13" s="0" t="n">
        <f aca="false">L11+L12</f>
        <v>1045.01901453669</v>
      </c>
    </row>
    <row r="14" customFormat="false" ht="15" hidden="false" customHeight="false" outlineLevel="0" collapsed="false">
      <c r="A14" s="0" t="s">
        <v>103</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118</v>
      </c>
      <c r="C15" s="0" t="n">
        <f aca="false">C13-MAX(0,C13)*C14/100</f>
        <v>1243.4415385</v>
      </c>
      <c r="D15" s="0" t="n">
        <f aca="false">D13-MAX(0,D13)*D14/100</f>
        <v>1159.672300465</v>
      </c>
      <c r="E15" s="0" t="n">
        <f aca="false">E13-MAX(0,E13)*E14/100</f>
        <v>1075.17516769757</v>
      </c>
      <c r="F15" s="0" t="n">
        <f aca="false">F13-MAX(0,F13)*F14/100</f>
        <v>998.161633474341</v>
      </c>
      <c r="G15" s="0" t="n">
        <f aca="false">G13-MAX(0,G13)*G14/100</f>
        <v>940.826882814036</v>
      </c>
      <c r="H15" s="0" t="n">
        <f aca="false">H13-MAX(0,H13)*H14/100</f>
        <v>888.683871773568</v>
      </c>
      <c r="I15" s="0" t="n">
        <f aca="false">I13-MAX(0,I13)*I14/100</f>
        <v>842.120891723987</v>
      </c>
      <c r="J15" s="0" t="n">
        <f aca="false">J13-MAX(0,J13)*J14/100</f>
        <v>801.542842753058</v>
      </c>
      <c r="K15" s="0" t="n">
        <f aca="false">K13-MAX(0,K13)*K14/100</f>
        <v>764.98123939941</v>
      </c>
      <c r="L15" s="0" t="n">
        <f aca="false">L13-MAX(0,L13)*L14/100</f>
        <v>731.513310175686</v>
      </c>
    </row>
    <row r="16" customFormat="false" ht="15" hidden="false" customHeight="false" outlineLevel="0" collapsed="false">
      <c r="A16" s="0" t="s">
        <v>119</v>
      </c>
      <c r="C16" s="0" t="n">
        <f aca="false">-C12</f>
        <v>562.0409</v>
      </c>
      <c r="D16" s="0" t="n">
        <f aca="false">-D12</f>
        <v>567.661309</v>
      </c>
      <c r="E16" s="0" t="n">
        <f aca="false">-E12</f>
        <v>591.3387609675</v>
      </c>
      <c r="F16" s="0" t="n">
        <f aca="false">-F12</f>
        <v>618.631319166</v>
      </c>
      <c r="G16" s="0" t="n">
        <f aca="false">-G12</f>
        <v>631.00394554932</v>
      </c>
      <c r="H16" s="0" t="n">
        <f aca="false">-H12</f>
        <v>643.624024460306</v>
      </c>
      <c r="I16" s="0" t="n">
        <f aca="false">-I12</f>
        <v>656.496504949513</v>
      </c>
      <c r="J16" s="0" t="n">
        <f aca="false">-J12</f>
        <v>669.626435048503</v>
      </c>
      <c r="K16" s="0" t="n">
        <f aca="false">-K12</f>
        <v>683.018963749473</v>
      </c>
      <c r="L16" s="0" t="n">
        <f aca="false">-L12</f>
        <v>696.679343024463</v>
      </c>
    </row>
    <row r="17" customFormat="false" ht="15" hidden="false" customHeight="false" outlineLevel="0" collapsed="false">
      <c r="A17" s="0" t="s">
        <v>120</v>
      </c>
      <c r="C17" s="4" t="n">
        <f aca="false">-C6*Assumptions!C18/100</f>
        <v>-532.4598</v>
      </c>
      <c r="D17" s="4" t="n">
        <f aca="false">-D6*Assumptions!D18/100</f>
        <v>-627.415131</v>
      </c>
      <c r="E17" s="4" t="n">
        <f aca="false">-E6*Assumptions!E18/100</f>
        <v>-636.826357965</v>
      </c>
      <c r="F17" s="4" t="n">
        <f aca="false">-F6*Assumptions!F18/100</f>
        <v>-649.5628851243</v>
      </c>
      <c r="G17" s="4" t="n">
        <f aca="false">-G6*Assumptions!G18/100</f>
        <v>-662.554142826786</v>
      </c>
      <c r="H17" s="4" t="n">
        <f aca="false">-H6*Assumptions!H18/100</f>
        <v>-675.805225683322</v>
      </c>
      <c r="I17" s="4" t="n">
        <f aca="false">-I6*Assumptions!I18/100</f>
        <v>-689.321330196988</v>
      </c>
      <c r="J17" s="4" t="n">
        <f aca="false">-J6*Assumptions!J18/100</f>
        <v>-703.107756800928</v>
      </c>
      <c r="K17" s="4" t="n">
        <f aca="false">-K6*Assumptions!K18/100</f>
        <v>-717.169911936947</v>
      </c>
      <c r="L17" s="4" t="n">
        <f aca="false">-L6*Assumptions!L18/100</f>
        <v>-731.513310175686</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1273.0226385</v>
      </c>
      <c r="D19" s="0" t="n">
        <f aca="false">D15+D16+D17+D18</f>
        <v>1099.918478465</v>
      </c>
      <c r="E19" s="0" t="n">
        <f aca="false">E15+E16+E17+E18</f>
        <v>1029.68757070007</v>
      </c>
      <c r="F19" s="0" t="n">
        <f aca="false">F15+F16+F17+F18</f>
        <v>967.230067516041</v>
      </c>
      <c r="G19" s="0" t="n">
        <f aca="false">G15+G16+G17+G18</f>
        <v>909.27668553657</v>
      </c>
      <c r="H19" s="0" t="n">
        <f aca="false">H15+H16+H17+H18</f>
        <v>856.502670550553</v>
      </c>
      <c r="I19" s="0" t="n">
        <f aca="false">I15+I16+I17+I18</f>
        <v>809.296066476512</v>
      </c>
      <c r="J19" s="0" t="n">
        <f aca="false">J15+J16+J17+J18</f>
        <v>768.061521000633</v>
      </c>
      <c r="K19" s="0" t="n">
        <f aca="false">K15+K16+K17+K18</f>
        <v>730.830291211936</v>
      </c>
      <c r="L19" s="0" t="n">
        <f aca="false">L15+L16+L17+L18</f>
        <v>696.679343024463</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1173.29275437788</v>
      </c>
      <c r="D21" s="0" t="n">
        <f aca="false">D19*D20</f>
        <v>934.331566578182</v>
      </c>
      <c r="E21" s="0" t="n">
        <f aca="false">E19*E20</f>
        <v>806.150737954553</v>
      </c>
      <c r="F21" s="0" t="n">
        <f aca="false">F19*F20</f>
        <v>697.928343690332</v>
      </c>
      <c r="G21" s="0" t="n">
        <f aca="false">G19*G20</f>
        <v>604.710298218975</v>
      </c>
      <c r="H21" s="0" t="n">
        <f aca="false">H19*H20</f>
        <v>524.989106989833</v>
      </c>
      <c r="I21" s="0" t="n">
        <f aca="false">I19*I20</f>
        <v>457.192673529307</v>
      </c>
      <c r="J21" s="0" t="n">
        <f aca="false">J19*J20</f>
        <v>399.906167951932</v>
      </c>
      <c r="K21" s="0" t="n">
        <f aca="false">K19*K20</f>
        <v>350.710602857174</v>
      </c>
      <c r="L21" s="0" t="n">
        <f aca="false">L19*L20</f>
        <v>308.131112377206</v>
      </c>
    </row>
    <row r="23" customFormat="false" ht="15" hidden="false" customHeight="false" outlineLevel="0" collapsed="false">
      <c r="A23" s="0" t="s">
        <v>100</v>
      </c>
      <c r="C23" s="4" t="n">
        <f aca="false">Assumptions!C16</f>
        <v>0.95</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125</v>
      </c>
      <c r="C24" s="0" t="n">
        <f aca="false">-C6*C23/100</f>
        <v>-140.510225</v>
      </c>
      <c r="D24" s="0" t="n">
        <f aca="false">-D6*D23/100</f>
        <v>-149.384555</v>
      </c>
      <c r="E24" s="0" t="n">
        <f aca="false">-E6*E23/100</f>
        <v>-151.625323325</v>
      </c>
      <c r="F24" s="0" t="n">
        <f aca="false">-F6*F23/100</f>
        <v>-154.6578297915</v>
      </c>
      <c r="G24" s="0" t="n">
        <f aca="false">-G6*G23/100</f>
        <v>-157.75098638733</v>
      </c>
      <c r="H24" s="0" t="n">
        <f aca="false">-H6*H23/100</f>
        <v>-160.906006115077</v>
      </c>
      <c r="I24" s="0" t="n">
        <f aca="false">-I6*I23/100</f>
        <v>-164.124126237378</v>
      </c>
      <c r="J24" s="0" t="n">
        <f aca="false">-J6*J23/100</f>
        <v>-167.406608762126</v>
      </c>
      <c r="K24" s="0" t="n">
        <f aca="false">-K6*K23/100</f>
        <v>-170.754740937368</v>
      </c>
      <c r="L24" s="0" t="n">
        <f aca="false">-L6*L23/100</f>
        <v>-174.169835756116</v>
      </c>
    </row>
    <row r="26" customFormat="false" ht="15" hidden="false" customHeight="false" outlineLevel="0" collapsed="false">
      <c r="A26" s="2" t="s">
        <v>126</v>
      </c>
    </row>
    <row r="27" customFormat="false" ht="15" hidden="false" customHeight="false" outlineLevel="0" collapsed="false">
      <c r="A27" s="0" t="s">
        <v>104</v>
      </c>
      <c r="B27" s="4" t="n">
        <f aca="false">Assumptions!$B$20</f>
        <v>8.5</v>
      </c>
    </row>
    <row r="28" customFormat="false" ht="15" hidden="false" customHeight="false" outlineLevel="0" collapsed="false">
      <c r="A28" s="0" t="s">
        <v>105</v>
      </c>
      <c r="B28" s="4" t="n">
        <f aca="false">Assumptions!$B$21</f>
        <v>2.5</v>
      </c>
    </row>
    <row r="29" customFormat="false" ht="15" hidden="false" customHeight="false" outlineLevel="0" collapsed="false">
      <c r="A29" s="0" t="s">
        <v>106</v>
      </c>
      <c r="B29" s="4" t="n">
        <f aca="false">Assumptions!$B$22</f>
        <v>13</v>
      </c>
    </row>
    <row r="30" customFormat="false" ht="15" hidden="false" customHeight="false" outlineLevel="0" collapsed="false">
      <c r="A30" s="0" t="s">
        <v>127</v>
      </c>
      <c r="B30" s="0" t="n">
        <f aca="false">SUM(C21:L21)</f>
        <v>6257.34336452537</v>
      </c>
    </row>
    <row r="31" customFormat="false" ht="15" hidden="false" customHeight="false" outlineLevel="0" collapsed="false">
      <c r="A31" s="0" t="s">
        <v>128</v>
      </c>
      <c r="B31" s="0" t="n">
        <f aca="false">L19</f>
        <v>696.679343024463</v>
      </c>
    </row>
    <row r="32" customFormat="false" ht="15" hidden="false" customHeight="false" outlineLevel="0" collapsed="false">
      <c r="A32" s="0" t="s">
        <v>129</v>
      </c>
      <c r="B32" s="0" t="n">
        <f aca="false">IF(B27&gt;B28,B31*(1+B28/100)/((B27-B28)/100),B31*B29)</f>
        <v>11901.6054433346</v>
      </c>
    </row>
    <row r="33" customFormat="false" ht="15" hidden="false" customHeight="false" outlineLevel="0" collapsed="false">
      <c r="A33" s="0" t="s">
        <v>130</v>
      </c>
      <c r="B33" s="0" t="n">
        <f aca="false">B31*B29</f>
        <v>9056.83145931802</v>
      </c>
    </row>
    <row r="34" customFormat="false" ht="15" hidden="false" customHeight="false" outlineLevel="0" collapsed="false">
      <c r="A34" s="0" t="s">
        <v>131</v>
      </c>
      <c r="B34" s="0" t="n">
        <f aca="false">MAX(0,MIN(B32,B33))</f>
        <v>9056.83145931802</v>
      </c>
    </row>
    <row r="35" customFormat="false" ht="15" hidden="false" customHeight="false" outlineLevel="0" collapsed="false">
      <c r="A35" s="0" t="s">
        <v>132</v>
      </c>
      <c r="B35" s="0" t="n">
        <f aca="false">B34/(1+B27/100)^L4</f>
        <v>4005.70446090368</v>
      </c>
    </row>
    <row r="36" customFormat="false" ht="15" hidden="false" customHeight="false" outlineLevel="0" collapsed="false">
      <c r="A36" s="0" t="s">
        <v>133</v>
      </c>
      <c r="B36" s="0" t="n">
        <f aca="false">B30+B35</f>
        <v>10263.0478254291</v>
      </c>
    </row>
    <row r="37" customFormat="false" ht="15" hidden="false" customHeight="false" outlineLevel="0" collapsed="false">
      <c r="A37" s="0" t="s">
        <v>134</v>
      </c>
      <c r="B37" s="0" t="n">
        <f aca="false">B36+Assumptions!$B$5-Assumptions!$B$4</f>
        <v>9978.04782542905</v>
      </c>
    </row>
    <row r="38" customFormat="false" ht="15" hidden="false" customHeight="false" outlineLevel="0" collapsed="false">
      <c r="A38" s="0" t="s">
        <v>135</v>
      </c>
      <c r="B38" s="0" t="n">
        <f aca="false">B37/Assumptions!$B$3*Assumptions!$B$10</f>
        <v>5.78202922027528</v>
      </c>
    </row>
    <row r="39" customFormat="false" ht="15" hidden="false" customHeight="false" outlineLevel="0" collapsed="false">
      <c r="A39" s="0" t="s">
        <v>136</v>
      </c>
      <c r="B39" s="4" t="n">
        <f aca="false">B38/Assumptions!$B$2-1</f>
        <v>-0.474838399611691</v>
      </c>
    </row>
    <row r="41" customFormat="false" ht="15" hidden="false" customHeight="false" outlineLevel="0" collapsed="false">
      <c r="A41" s="0" t="s">
        <v>137</v>
      </c>
      <c r="B41" s="0" t="n">
        <f aca="false">SUMPRODUCT(-C10:L10/(1+$B$27/100)^C4:L4)</f>
        <v>310.774174670595</v>
      </c>
    </row>
    <row r="42" customFormat="false" ht="15" hidden="false" customHeight="false" outlineLevel="0" collapsed="false">
      <c r="A42" s="0" t="s">
        <v>138</v>
      </c>
      <c r="B42" s="0" t="n">
        <f aca="false">IF(B27&gt;B28,-L10*(1+B28/100)/((B27-B28)/100),-L10*20)/(1+B27/100)^L4</f>
        <v>394.792987733295</v>
      </c>
    </row>
    <row r="43" customFormat="false" ht="15" hidden="false" customHeight="false" outlineLevel="0" collapsed="false">
      <c r="A43" s="0" t="s">
        <v>139</v>
      </c>
      <c r="B43" s="0" t="n">
        <f aca="false">(B37+B41+B42)/Assumptions!$B$3*Assumptions!$B$10</f>
        <v>6.19088774864284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5712.77061280059</v>
      </c>
    </row>
    <row r="47" customFormat="false" ht="15" hidden="false" customHeight="false" outlineLevel="0" collapsed="false">
      <c r="A47" s="0" t="s">
        <v>141</v>
      </c>
      <c r="B47" s="0" t="n">
        <f aca="false">(SUMPRODUCT(C19:L19/(1+B45/100)^C4:L4)+B46/(1+B45/100)^L4+Assumptions!$B$5-Assumptions!$B$4)/Assumptions!$B$3*Assumptions!$B$10</f>
        <v>3.50783879160713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-3</v>
      </c>
      <c r="D5" s="4" t="n">
        <f aca="false">Assumptions!D27</f>
        <v>2</v>
      </c>
      <c r="E5" s="4" t="n">
        <f aca="false">Assumptions!E27</f>
        <v>2.5</v>
      </c>
      <c r="F5" s="4" t="n">
        <f aca="false">Assumptions!F27</f>
        <v>2.5</v>
      </c>
      <c r="G5" s="4" t="n">
        <f aca="false">Assumptions!G27</f>
        <v>2.5</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15569</v>
      </c>
      <c r="C6" s="0" t="n">
        <f aca="false">B6*(1+C5/100)</f>
        <v>15101.93</v>
      </c>
      <c r="D6" s="0" t="n">
        <f aca="false">C6*(1+D5/100)</f>
        <v>15403.9686</v>
      </c>
      <c r="E6" s="0" t="n">
        <f aca="false">D6*(1+E5/100)</f>
        <v>15789.067815</v>
      </c>
      <c r="F6" s="0" t="n">
        <f aca="false">E6*(1+F5/100)</f>
        <v>16183.794510375</v>
      </c>
      <c r="G6" s="0" t="n">
        <f aca="false">F6*(1+G5/100)</f>
        <v>16588.3893731344</v>
      </c>
      <c r="H6" s="0" t="n">
        <f aca="false">G6*(1+H5/100)</f>
        <v>17003.0991074627</v>
      </c>
      <c r="I6" s="0" t="n">
        <f aca="false">H6*(1+I5/100)</f>
        <v>17428.1765851493</v>
      </c>
      <c r="J6" s="0" t="n">
        <f aca="false">I6*(1+J5/100)</f>
        <v>17863.880999778</v>
      </c>
      <c r="K6" s="0" t="n">
        <f aca="false">J6*(1+K5/100)</f>
        <v>18310.4780247725</v>
      </c>
      <c r="L6" s="0" t="n">
        <f aca="false">K6*(1+L5/100)</f>
        <v>18768.2399753918</v>
      </c>
    </row>
    <row r="7" customFormat="false" ht="15" hidden="false" customHeight="false" outlineLevel="0" collapsed="false">
      <c r="A7" s="0" t="s">
        <v>98</v>
      </c>
      <c r="C7" s="4" t="n">
        <f aca="false">Assumptions!C28</f>
        <v>19.36</v>
      </c>
      <c r="D7" s="4" t="n">
        <f aca="false">Assumptions!D28</f>
        <v>18.52</v>
      </c>
      <c r="E7" s="4" t="n">
        <f aca="false">Assumptions!E28</f>
        <v>17.7</v>
      </c>
      <c r="F7" s="4" t="n">
        <f aca="false">Assumptions!F28</f>
        <v>16.99</v>
      </c>
      <c r="G7" s="4" t="n">
        <f aca="false">Assumptions!G28</f>
        <v>16.37</v>
      </c>
      <c r="H7" s="4" t="n">
        <f aca="false">Assumptions!H28</f>
        <v>15.83</v>
      </c>
      <c r="I7" s="4" t="n">
        <f aca="false">Assumptions!I28</f>
        <v>15.36</v>
      </c>
      <c r="J7" s="4" t="n">
        <f aca="false">Assumptions!J28</f>
        <v>14.96</v>
      </c>
      <c r="K7" s="4" t="n">
        <f aca="false">Assumptions!K28</f>
        <v>14.61</v>
      </c>
      <c r="L7" s="4" t="n">
        <f aca="false">Assumptions!L28</f>
        <v>14.31</v>
      </c>
    </row>
    <row r="8" customFormat="false" ht="15" hidden="false" customHeight="false" outlineLevel="0" collapsed="false">
      <c r="A8" s="0" t="s">
        <v>43</v>
      </c>
      <c r="C8" s="0" t="n">
        <f aca="false">C6*C7/100</f>
        <v>2923.733648</v>
      </c>
      <c r="D8" s="0" t="n">
        <f aca="false">D6*D7/100</f>
        <v>2852.81498472</v>
      </c>
      <c r="E8" s="0" t="n">
        <f aca="false">E6*E7/100</f>
        <v>2794.665003255</v>
      </c>
      <c r="F8" s="0" t="n">
        <f aca="false">F6*F7/100</f>
        <v>2749.62668731271</v>
      </c>
      <c r="G8" s="0" t="n">
        <f aca="false">G6*G7/100</f>
        <v>2715.5193403821</v>
      </c>
      <c r="H8" s="0" t="n">
        <f aca="false">H6*H7/100</f>
        <v>2691.59058871135</v>
      </c>
      <c r="I8" s="0" t="n">
        <f aca="false">I6*I7/100</f>
        <v>2676.96792347893</v>
      </c>
      <c r="J8" s="0" t="n">
        <f aca="false">J6*J7/100</f>
        <v>2672.43659756679</v>
      </c>
      <c r="K8" s="0" t="n">
        <f aca="false">K6*K7/100</f>
        <v>2675.16083941926</v>
      </c>
      <c r="L8" s="0" t="n">
        <f aca="false">L6*L7/100</f>
        <v>2685.73514047856</v>
      </c>
    </row>
    <row r="9" customFormat="false" ht="15" hidden="false" customHeight="false" outlineLevel="0" collapsed="false">
      <c r="A9" s="0" t="s">
        <v>99</v>
      </c>
      <c r="C9" s="4" t="n">
        <f aca="false">Assumptions!C29</f>
        <v>0.3</v>
      </c>
      <c r="D9" s="4" t="n">
        <f aca="false">Assumptions!D29</f>
        <v>0.3</v>
      </c>
      <c r="E9" s="4" t="n">
        <f aca="false">Assumptions!E29</f>
        <v>0.3</v>
      </c>
      <c r="F9" s="4" t="n">
        <f aca="false">Assumptions!F29</f>
        <v>0.3</v>
      </c>
      <c r="G9" s="4" t="n">
        <f aca="false">Assumptions!G29</f>
        <v>0.3</v>
      </c>
      <c r="H9" s="4" t="n">
        <f aca="false">Assumptions!H29</f>
        <v>0.3</v>
      </c>
      <c r="I9" s="4" t="n">
        <f aca="false">Assumptions!I29</f>
        <v>0.3</v>
      </c>
      <c r="J9" s="4" t="n">
        <f aca="false">Assumptions!J29</f>
        <v>0.3</v>
      </c>
      <c r="K9" s="4" t="n">
        <f aca="false">Assumptions!K29</f>
        <v>0.3</v>
      </c>
      <c r="L9" s="4" t="n">
        <f aca="false">Assumptions!L29</f>
        <v>0.3</v>
      </c>
    </row>
    <row r="10" customFormat="false" ht="15" hidden="false" customHeight="false" outlineLevel="0" collapsed="false">
      <c r="A10" s="0" t="s">
        <v>114</v>
      </c>
      <c r="C10" s="0" t="n">
        <f aca="false">-C6*C9/100</f>
        <v>-45.30579</v>
      </c>
      <c r="D10" s="0" t="n">
        <f aca="false">-D6*D9/100</f>
        <v>-46.2119058</v>
      </c>
      <c r="E10" s="0" t="n">
        <f aca="false">-E6*E9/100</f>
        <v>-47.367203445</v>
      </c>
      <c r="F10" s="0" t="n">
        <f aca="false">-F6*F9/100</f>
        <v>-48.551383531125</v>
      </c>
      <c r="G10" s="0" t="n">
        <f aca="false">-G6*G9/100</f>
        <v>-49.7651681194031</v>
      </c>
      <c r="H10" s="0" t="n">
        <f aca="false">-H6*H9/100</f>
        <v>-51.0092973223882</v>
      </c>
      <c r="I10" s="0" t="n">
        <f aca="false">-I6*I9/100</f>
        <v>-52.2845297554479</v>
      </c>
      <c r="J10" s="0" t="n">
        <f aca="false">-J6*J9/100</f>
        <v>-53.5916429993341</v>
      </c>
      <c r="K10" s="0" t="n">
        <f aca="false">-K6*K9/100</f>
        <v>-54.9314340743174</v>
      </c>
      <c r="L10" s="0" t="n">
        <f aca="false">-L6*L9/100</f>
        <v>-56.3047199261753</v>
      </c>
    </row>
    <row r="11" customFormat="false" ht="15" hidden="false" customHeight="false" outlineLevel="0" collapsed="false">
      <c r="A11" s="0" t="s">
        <v>115</v>
      </c>
      <c r="C11" s="0" t="n">
        <f aca="false">C8+C10+C24</f>
        <v>2734.959523</v>
      </c>
      <c r="D11" s="0" t="n">
        <f aca="false">D8+D10+D24</f>
        <v>2652.56339292</v>
      </c>
      <c r="E11" s="0" t="n">
        <f aca="false">E8+E10+E24</f>
        <v>2589.40712166</v>
      </c>
      <c r="F11" s="0" t="n">
        <f aca="false">F8+F10+F24</f>
        <v>2539.23735867784</v>
      </c>
      <c r="G11" s="0" t="n">
        <f aca="false">G8+G10+G24</f>
        <v>2499.87027853135</v>
      </c>
      <c r="H11" s="0" t="n">
        <f aca="false">H8+H10+H24</f>
        <v>2470.55030031433</v>
      </c>
      <c r="I11" s="0" t="n">
        <f aca="false">I8+I10+I24</f>
        <v>2450.40162787199</v>
      </c>
      <c r="J11" s="0" t="n">
        <f aca="false">J8+J10+J24</f>
        <v>2440.20614456968</v>
      </c>
      <c r="K11" s="0" t="n">
        <f aca="false">K8+K10+K24</f>
        <v>2437.12462509722</v>
      </c>
      <c r="L11" s="0" t="n">
        <f aca="false">L8+L10+L24</f>
        <v>2441.74802079847</v>
      </c>
    </row>
    <row r="12" customFormat="false" ht="15" hidden="false" customHeight="false" outlineLevel="0" collapsed="false">
      <c r="A12" s="0" t="s">
        <v>116</v>
      </c>
      <c r="C12" s="4" t="n">
        <f aca="false">-C6*Assumptions!C31/100</f>
        <v>-573.87334</v>
      </c>
      <c r="D12" s="4" t="n">
        <f aca="false">-D6*Assumptions!D31/100</f>
        <v>-585.3508068</v>
      </c>
      <c r="E12" s="4" t="n">
        <f aca="false">-E6*Assumptions!E31/100</f>
        <v>-615.773644785</v>
      </c>
      <c r="F12" s="4" t="n">
        <f aca="false">-F6*Assumptions!F31/100</f>
        <v>-647.351780415</v>
      </c>
      <c r="G12" s="4" t="n">
        <f aca="false">-G6*Assumptions!G31/100</f>
        <v>-663.535574925375</v>
      </c>
      <c r="H12" s="4" t="n">
        <f aca="false">-H6*Assumptions!H31/100</f>
        <v>-680.123964298509</v>
      </c>
      <c r="I12" s="4" t="n">
        <f aca="false">-I6*Assumptions!I31/100</f>
        <v>-697.127063405972</v>
      </c>
      <c r="J12" s="4" t="n">
        <f aca="false">-J6*Assumptions!J31/100</f>
        <v>-714.555239991121</v>
      </c>
      <c r="K12" s="4" t="n">
        <f aca="false">-K6*Assumptions!K31/100</f>
        <v>-732.419120990899</v>
      </c>
      <c r="L12" s="4" t="n">
        <f aca="false">-L6*Assumptions!L31/100</f>
        <v>-750.729599015671</v>
      </c>
    </row>
    <row r="13" customFormat="false" ht="15" hidden="false" customHeight="false" outlineLevel="0" collapsed="false">
      <c r="A13" s="0" t="s">
        <v>117</v>
      </c>
      <c r="C13" s="0" t="n">
        <f aca="false">C11+C12</f>
        <v>2161.086183</v>
      </c>
      <c r="D13" s="0" t="n">
        <f aca="false">D11+D12</f>
        <v>2067.21258612</v>
      </c>
      <c r="E13" s="0" t="n">
        <f aca="false">E11+E12</f>
        <v>1973.633476875</v>
      </c>
      <c r="F13" s="0" t="n">
        <f aca="false">F11+F12</f>
        <v>1891.88557826284</v>
      </c>
      <c r="G13" s="0" t="n">
        <f aca="false">G11+G12</f>
        <v>1836.33470360598</v>
      </c>
      <c r="H13" s="0" t="n">
        <f aca="false">H11+H12</f>
        <v>1790.42633601583</v>
      </c>
      <c r="I13" s="0" t="n">
        <f aca="false">I11+I12</f>
        <v>1753.27456446602</v>
      </c>
      <c r="J13" s="0" t="n">
        <f aca="false">J11+J12</f>
        <v>1725.65090457856</v>
      </c>
      <c r="K13" s="0" t="n">
        <f aca="false">K11+K12</f>
        <v>1704.70550410632</v>
      </c>
      <c r="L13" s="0" t="n">
        <f aca="false">L11+L12</f>
        <v>1691.0184217828</v>
      </c>
    </row>
    <row r="14" customFormat="false" ht="15" hidden="false" customHeight="false" outlineLevel="0" collapsed="false">
      <c r="A14" s="0" t="s">
        <v>103</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118</v>
      </c>
      <c r="C15" s="0" t="n">
        <f aca="false">C13-MAX(0,C13)*C14/100</f>
        <v>1512.7603281</v>
      </c>
      <c r="D15" s="0" t="n">
        <f aca="false">D13-MAX(0,D13)*D14/100</f>
        <v>1447.048810284</v>
      </c>
      <c r="E15" s="0" t="n">
        <f aca="false">E13-MAX(0,E13)*E14/100</f>
        <v>1381.5434338125</v>
      </c>
      <c r="F15" s="0" t="n">
        <f aca="false">F13-MAX(0,F13)*F14/100</f>
        <v>1324.31990478399</v>
      </c>
      <c r="G15" s="0" t="n">
        <f aca="false">G13-MAX(0,G13)*G14/100</f>
        <v>1285.43429252418</v>
      </c>
      <c r="H15" s="0" t="n">
        <f aca="false">H13-MAX(0,H13)*H14/100</f>
        <v>1253.29843521108</v>
      </c>
      <c r="I15" s="0" t="n">
        <f aca="false">I13-MAX(0,I13)*I14/100</f>
        <v>1227.29219512621</v>
      </c>
      <c r="J15" s="0" t="n">
        <f aca="false">J13-MAX(0,J13)*J14/100</f>
        <v>1207.95563320499</v>
      </c>
      <c r="K15" s="0" t="n">
        <f aca="false">K13-MAX(0,K13)*K14/100</f>
        <v>1193.29385287442</v>
      </c>
      <c r="L15" s="0" t="n">
        <f aca="false">L13-MAX(0,L13)*L14/100</f>
        <v>1183.71289524796</v>
      </c>
    </row>
    <row r="16" customFormat="false" ht="15" hidden="false" customHeight="false" outlineLevel="0" collapsed="false">
      <c r="A16" s="0" t="s">
        <v>119</v>
      </c>
      <c r="C16" s="0" t="n">
        <f aca="false">-C12</f>
        <v>573.87334</v>
      </c>
      <c r="D16" s="0" t="n">
        <f aca="false">-D12</f>
        <v>585.3508068</v>
      </c>
      <c r="E16" s="0" t="n">
        <f aca="false">-E12</f>
        <v>615.773644785</v>
      </c>
      <c r="F16" s="0" t="n">
        <f aca="false">-F12</f>
        <v>647.351780415</v>
      </c>
      <c r="G16" s="0" t="n">
        <f aca="false">-G12</f>
        <v>663.535574925375</v>
      </c>
      <c r="H16" s="0" t="n">
        <f aca="false">-H12</f>
        <v>680.123964298509</v>
      </c>
      <c r="I16" s="0" t="n">
        <f aca="false">-I12</f>
        <v>697.127063405972</v>
      </c>
      <c r="J16" s="0" t="n">
        <f aca="false">-J12</f>
        <v>714.555239991121</v>
      </c>
      <c r="K16" s="0" t="n">
        <f aca="false">-K12</f>
        <v>732.419120990899</v>
      </c>
      <c r="L16" s="0" t="n">
        <f aca="false">-L12</f>
        <v>750.729599015671</v>
      </c>
    </row>
    <row r="17" customFormat="false" ht="15" hidden="false" customHeight="false" outlineLevel="0" collapsed="false">
      <c r="A17" s="0" t="s">
        <v>120</v>
      </c>
      <c r="C17" s="4" t="n">
        <f aca="false">-C6*Assumptions!C32/100</f>
        <v>-543.66948</v>
      </c>
      <c r="D17" s="4" t="n">
        <f aca="false">-D6*Assumptions!D32/100</f>
        <v>-693.178587</v>
      </c>
      <c r="E17" s="4" t="n">
        <f aca="false">-E6*Assumptions!E32/100</f>
        <v>-710.508051675</v>
      </c>
      <c r="F17" s="4" t="n">
        <f aca="false">-F6*Assumptions!F32/100</f>
        <v>-728.270752966875</v>
      </c>
      <c r="G17" s="4" t="n">
        <f aca="false">-G6*Assumptions!G32/100</f>
        <v>-746.477521791047</v>
      </c>
      <c r="H17" s="4" t="n">
        <f aca="false">-H6*Assumptions!H32/100</f>
        <v>-765.139459835823</v>
      </c>
      <c r="I17" s="4" t="n">
        <f aca="false">-I6*Assumptions!I32/100</f>
        <v>-784.267946331718</v>
      </c>
      <c r="J17" s="4" t="n">
        <f aca="false">-J6*Assumptions!J32/100</f>
        <v>-803.874644990011</v>
      </c>
      <c r="K17" s="4" t="n">
        <f aca="false">-K6*Assumptions!K32/100</f>
        <v>-823.971511114761</v>
      </c>
      <c r="L17" s="4" t="n">
        <f aca="false">-L6*Assumptions!L32/100</f>
        <v>-844.57079889263</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1542.9641881</v>
      </c>
      <c r="D19" s="0" t="n">
        <f aca="false">D15+D16+D17+D18</f>
        <v>1339.221030084</v>
      </c>
      <c r="E19" s="0" t="n">
        <f aca="false">E15+E16+E17+E18</f>
        <v>1286.8090269225</v>
      </c>
      <c r="F19" s="0" t="n">
        <f aca="false">F15+F16+F17+F18</f>
        <v>1243.40093223211</v>
      </c>
      <c r="G19" s="0" t="n">
        <f aca="false">G15+G16+G17+G18</f>
        <v>1202.49234565851</v>
      </c>
      <c r="H19" s="0" t="n">
        <f aca="false">H15+H16+H17+H18</f>
        <v>1168.28293967376</v>
      </c>
      <c r="I19" s="0" t="n">
        <f aca="false">I15+I16+I17+I18</f>
        <v>1140.15131220047</v>
      </c>
      <c r="J19" s="0" t="n">
        <f aca="false">J15+J16+J17+J18</f>
        <v>1118.6362282061</v>
      </c>
      <c r="K19" s="0" t="n">
        <f aca="false">K15+K16+K17+K18</f>
        <v>1101.74146275056</v>
      </c>
      <c r="L19" s="0" t="n">
        <f aca="false">L15+L16+L17+L18</f>
        <v>1089.871695371</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1422.08680930876</v>
      </c>
      <c r="D21" s="0" t="n">
        <f aca="false">D19*D20</f>
        <v>1137.60838419504</v>
      </c>
      <c r="E21" s="0" t="n">
        <f aca="false">E19*E20</f>
        <v>1007.45320831139</v>
      </c>
      <c r="F21" s="0" t="n">
        <f aca="false">F19*F20</f>
        <v>897.206137733491</v>
      </c>
      <c r="G21" s="0" t="n">
        <f aca="false">G19*G20</f>
        <v>799.712031019569</v>
      </c>
      <c r="H21" s="0" t="n">
        <f aca="false">H19*H20</f>
        <v>716.093292291241</v>
      </c>
      <c r="I21" s="0" t="n">
        <f aca="false">I19*I20</f>
        <v>644.101520130158</v>
      </c>
      <c r="J21" s="0" t="n">
        <f aca="false">J19*J20</f>
        <v>582.439707136084</v>
      </c>
      <c r="K21" s="0" t="n">
        <f aca="false">K19*K20</f>
        <v>528.703335425846</v>
      </c>
      <c r="L21" s="0" t="n">
        <f aca="false">L19*L20</f>
        <v>482.034355124128</v>
      </c>
    </row>
    <row r="23" customFormat="false" ht="15" hidden="false" customHeight="false" outlineLevel="0" collapsed="false">
      <c r="A23" s="0" t="s">
        <v>100</v>
      </c>
      <c r="C23" s="4" t="n">
        <f aca="false">Assumptions!C30</f>
        <v>0.95</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125</v>
      </c>
      <c r="C24" s="0" t="n">
        <f aca="false">-C6*C23/100</f>
        <v>-143.468335</v>
      </c>
      <c r="D24" s="0" t="n">
        <f aca="false">-D6*D23/100</f>
        <v>-154.039686</v>
      </c>
      <c r="E24" s="0" t="n">
        <f aca="false">-E6*E23/100</f>
        <v>-157.89067815</v>
      </c>
      <c r="F24" s="0" t="n">
        <f aca="false">-F6*F23/100</f>
        <v>-161.83794510375</v>
      </c>
      <c r="G24" s="0" t="n">
        <f aca="false">-G6*G23/100</f>
        <v>-165.883893731344</v>
      </c>
      <c r="H24" s="0" t="n">
        <f aca="false">-H6*H23/100</f>
        <v>-170.030991074627</v>
      </c>
      <c r="I24" s="0" t="n">
        <f aca="false">-I6*I23/100</f>
        <v>-174.281765851493</v>
      </c>
      <c r="J24" s="0" t="n">
        <f aca="false">-J6*J23/100</f>
        <v>-178.63880999778</v>
      </c>
      <c r="K24" s="0" t="n">
        <f aca="false">-K6*K23/100</f>
        <v>-183.104780247725</v>
      </c>
      <c r="L24" s="0" t="n">
        <f aca="false">-L6*L23/100</f>
        <v>-187.682399753918</v>
      </c>
    </row>
    <row r="26" customFormat="false" ht="15" hidden="false" customHeight="false" outlineLevel="0" collapsed="false">
      <c r="A26" s="2" t="s">
        <v>126</v>
      </c>
    </row>
    <row r="27" customFormat="false" ht="15" hidden="false" customHeight="false" outlineLevel="0" collapsed="false">
      <c r="A27" s="0" t="s">
        <v>104</v>
      </c>
      <c r="B27" s="4" t="n">
        <f aca="false">Assumptions!$B$34</f>
        <v>8.5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15</v>
      </c>
    </row>
    <row r="30" customFormat="false" ht="15" hidden="false" customHeight="false" outlineLevel="0" collapsed="false">
      <c r="A30" s="0" t="s">
        <v>127</v>
      </c>
      <c r="B30" s="0" t="n">
        <f aca="false">SUM(C21:L21)</f>
        <v>8217.4387806757</v>
      </c>
    </row>
    <row r="31" customFormat="false" ht="15" hidden="false" customHeight="false" outlineLevel="0" collapsed="false">
      <c r="A31" s="0" t="s">
        <v>128</v>
      </c>
      <c r="B31" s="0" t="n">
        <f aca="false">L19</f>
        <v>1089.871695371</v>
      </c>
    </row>
    <row r="32" customFormat="false" ht="15" hidden="false" customHeight="false" outlineLevel="0" collapsed="false">
      <c r="A32" s="0" t="s">
        <v>129</v>
      </c>
      <c r="B32" s="0" t="n">
        <f aca="false">IF(B27&gt;B28,B31*(1+B28/100)/((B27-B28)/100),B31*B29)</f>
        <v>18618.6414625879</v>
      </c>
    </row>
    <row r="33" customFormat="false" ht="15" hidden="false" customHeight="false" outlineLevel="0" collapsed="false">
      <c r="A33" s="0" t="s">
        <v>130</v>
      </c>
      <c r="B33" s="0" t="n">
        <f aca="false">B31*B29</f>
        <v>16348.075430565</v>
      </c>
    </row>
    <row r="34" customFormat="false" ht="15" hidden="false" customHeight="false" outlineLevel="0" collapsed="false">
      <c r="A34" s="0" t="s">
        <v>131</v>
      </c>
      <c r="B34" s="0" t="n">
        <f aca="false">MAX(0,MIN(B32,B33))</f>
        <v>16348.075430565</v>
      </c>
    </row>
    <row r="35" customFormat="false" ht="15" hidden="false" customHeight="false" outlineLevel="0" collapsed="false">
      <c r="A35" s="0" t="s">
        <v>132</v>
      </c>
      <c r="B35" s="0" t="n">
        <f aca="false">B34/(1+B27/100)^L4</f>
        <v>7230.51532686192</v>
      </c>
    </row>
    <row r="36" customFormat="false" ht="15" hidden="false" customHeight="false" outlineLevel="0" collapsed="false">
      <c r="A36" s="0" t="s">
        <v>133</v>
      </c>
      <c r="B36" s="0" t="n">
        <f aca="false">B30+B35</f>
        <v>15447.9541075376</v>
      </c>
    </row>
    <row r="37" customFormat="false" ht="15" hidden="false" customHeight="false" outlineLevel="0" collapsed="false">
      <c r="A37" s="0" t="s">
        <v>134</v>
      </c>
      <c r="B37" s="0" t="n">
        <f aca="false">B36+Assumptions!$B$5-Assumptions!$B$4</f>
        <v>15162.9541075376</v>
      </c>
    </row>
    <row r="38" customFormat="false" ht="15" hidden="false" customHeight="false" outlineLevel="0" collapsed="false">
      <c r="A38" s="0" t="s">
        <v>135</v>
      </c>
      <c r="B38" s="0" t="n">
        <f aca="false">B37/Assumptions!$B$3*Assumptions!$B$10</f>
        <v>8.78655276556622</v>
      </c>
    </row>
    <row r="39" customFormat="false" ht="15" hidden="false" customHeight="false" outlineLevel="0" collapsed="false">
      <c r="A39" s="0" t="s">
        <v>136</v>
      </c>
      <c r="B39" s="4" t="n">
        <f aca="false">B38/Assumptions!$B$2-1</f>
        <v>-0.201947977696075</v>
      </c>
    </row>
    <row r="41" customFormat="false" ht="15" hidden="false" customHeight="false" outlineLevel="0" collapsed="false">
      <c r="A41" s="0" t="s">
        <v>137</v>
      </c>
      <c r="B41" s="0" t="n">
        <f aca="false">SUMPRODUCT(-C10:L10/(1+$B$27/100)^C4:L4)</f>
        <v>326.194703766532</v>
      </c>
    </row>
    <row r="42" customFormat="false" ht="15" hidden="false" customHeight="false" outlineLevel="0" collapsed="false">
      <c r="A42" s="0" t="s">
        <v>138</v>
      </c>
      <c r="B42" s="0" t="n">
        <f aca="false">IF(B27&gt;B28,-L10*(1+B28/100)/((B27-B28)/100),-L10*20)/(1+B27/100)^L4</f>
        <v>425.422088860195</v>
      </c>
    </row>
    <row r="43" customFormat="false" ht="15" hidden="false" customHeight="false" outlineLevel="0" collapsed="false">
      <c r="A43" s="0" t="s">
        <v>139</v>
      </c>
      <c r="B43" s="0" t="n">
        <f aca="false">(B37+B41+B42)/Assumptions!$B$3*Assumptions!$B$10</f>
        <v>9.22209590320701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8936.94790204221</v>
      </c>
    </row>
    <row r="47" customFormat="false" ht="15" hidden="false" customHeight="false" outlineLevel="0" collapsed="false">
      <c r="A47" s="0" t="s">
        <v>141</v>
      </c>
      <c r="B47" s="0" t="n">
        <f aca="false">(SUMPRODUCT(C19:L19/(1+B45/100)^C4:L4)+B46/(1+B45/100)^L4+Assumptions!$B$5-Assumptions!$B$4)/Assumptions!$B$3*Assumptions!$B$10</f>
        <v>4.81849071310237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-2</v>
      </c>
      <c r="D5" s="4" t="n">
        <f aca="false">Assumptions!D41</f>
        <v>3</v>
      </c>
      <c r="E5" s="4" t="n">
        <f aca="false">Assumptions!E41</f>
        <v>3</v>
      </c>
      <c r="F5" s="4" t="n">
        <f aca="false">Assumptions!F41</f>
        <v>3</v>
      </c>
      <c r="G5" s="4" t="n">
        <f aca="false">Assumptions!G41</f>
        <v>3</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15569</v>
      </c>
      <c r="C6" s="0" t="n">
        <f aca="false">B6*(1+C5/100)</f>
        <v>15257.62</v>
      </c>
      <c r="D6" s="0" t="n">
        <f aca="false">C6*(1+D5/100)</f>
        <v>15715.3486</v>
      </c>
      <c r="E6" s="0" t="n">
        <f aca="false">D6*(1+E5/100)</f>
        <v>16186.809058</v>
      </c>
      <c r="F6" s="0" t="n">
        <f aca="false">E6*(1+F5/100)</f>
        <v>16672.41332974</v>
      </c>
      <c r="G6" s="0" t="n">
        <f aca="false">F6*(1+G5/100)</f>
        <v>17172.5857296322</v>
      </c>
      <c r="H6" s="0" t="n">
        <f aca="false">G6*(1+H5/100)</f>
        <v>17687.7633015212</v>
      </c>
      <c r="I6" s="0" t="n">
        <f aca="false">H6*(1+I5/100)</f>
        <v>18218.3962005668</v>
      </c>
      <c r="J6" s="0" t="n">
        <f aca="false">I6*(1+J5/100)</f>
        <v>18764.9480865838</v>
      </c>
      <c r="K6" s="0" t="n">
        <f aca="false">J6*(1+K5/100)</f>
        <v>19327.8965291813</v>
      </c>
      <c r="L6" s="0" t="n">
        <f aca="false">K6*(1+L5/100)</f>
        <v>19907.7334250568</v>
      </c>
    </row>
    <row r="7" customFormat="false" ht="15" hidden="false" customHeight="false" outlineLevel="0" collapsed="false">
      <c r="A7" s="0" t="s">
        <v>98</v>
      </c>
      <c r="C7" s="4" t="n">
        <f aca="false">Assumptions!C42</f>
        <v>21.03</v>
      </c>
      <c r="D7" s="4" t="n">
        <f aca="false">Assumptions!D42</f>
        <v>20.24</v>
      </c>
      <c r="E7" s="4" t="n">
        <f aca="false">Assumptions!E42</f>
        <v>19.55</v>
      </c>
      <c r="F7" s="4" t="n">
        <f aca="false">Assumptions!F42</f>
        <v>18.95</v>
      </c>
      <c r="G7" s="4" t="n">
        <f aca="false">Assumptions!G42</f>
        <v>18.44</v>
      </c>
      <c r="H7" s="4" t="n">
        <f aca="false">Assumptions!H42</f>
        <v>18</v>
      </c>
      <c r="I7" s="4" t="n">
        <f aca="false">Assumptions!I42</f>
        <v>17.63</v>
      </c>
      <c r="J7" s="4" t="n">
        <f aca="false">Assumptions!J42</f>
        <v>17.32</v>
      </c>
      <c r="K7" s="4" t="n">
        <f aca="false">Assumptions!K42</f>
        <v>17.07</v>
      </c>
      <c r="L7" s="4" t="n">
        <f aca="false">Assumptions!L42</f>
        <v>16.86</v>
      </c>
    </row>
    <row r="8" customFormat="false" ht="15" hidden="false" customHeight="false" outlineLevel="0" collapsed="false">
      <c r="A8" s="0" t="s">
        <v>43</v>
      </c>
      <c r="C8" s="0" t="n">
        <f aca="false">C6*C7/100</f>
        <v>3208.677486</v>
      </c>
      <c r="D8" s="0" t="n">
        <f aca="false">D6*D7/100</f>
        <v>3180.78655664</v>
      </c>
      <c r="E8" s="0" t="n">
        <f aca="false">E6*E7/100</f>
        <v>3164.521170839</v>
      </c>
      <c r="F8" s="0" t="n">
        <f aca="false">F6*F7/100</f>
        <v>3159.42232598573</v>
      </c>
      <c r="G8" s="0" t="n">
        <f aca="false">G6*G7/100</f>
        <v>3166.62480854418</v>
      </c>
      <c r="H8" s="0" t="n">
        <f aca="false">H6*H7/100</f>
        <v>3183.79739427381</v>
      </c>
      <c r="I8" s="0" t="n">
        <f aca="false">I6*I7/100</f>
        <v>3211.90325015993</v>
      </c>
      <c r="J8" s="0" t="n">
        <f aca="false">J6*J7/100</f>
        <v>3250.08900859631</v>
      </c>
      <c r="K8" s="0" t="n">
        <f aca="false">K6*K7/100</f>
        <v>3299.27193753125</v>
      </c>
      <c r="L8" s="0" t="n">
        <f aca="false">L6*L7/100</f>
        <v>3356.44385546457</v>
      </c>
    </row>
    <row r="9" customFormat="false" ht="15" hidden="false" customHeight="false" outlineLevel="0" collapsed="false">
      <c r="A9" s="0" t="s">
        <v>99</v>
      </c>
      <c r="C9" s="4" t="n">
        <f aca="false">Assumptions!C43</f>
        <v>0.3</v>
      </c>
      <c r="D9" s="4" t="n">
        <f aca="false">Assumptions!D43</f>
        <v>0.3</v>
      </c>
      <c r="E9" s="4" t="n">
        <f aca="false">Assumptions!E43</f>
        <v>0.3</v>
      </c>
      <c r="F9" s="4" t="n">
        <f aca="false">Assumptions!F43</f>
        <v>0.3</v>
      </c>
      <c r="G9" s="4" t="n">
        <f aca="false">Assumptions!G43</f>
        <v>0.3</v>
      </c>
      <c r="H9" s="4" t="n">
        <f aca="false">Assumptions!H43</f>
        <v>0.3</v>
      </c>
      <c r="I9" s="4" t="n">
        <f aca="false">Assumptions!I43</f>
        <v>0.3</v>
      </c>
      <c r="J9" s="4" t="n">
        <f aca="false">Assumptions!J43</f>
        <v>0.3</v>
      </c>
      <c r="K9" s="4" t="n">
        <f aca="false">Assumptions!K43</f>
        <v>0.3</v>
      </c>
      <c r="L9" s="4" t="n">
        <f aca="false">Assumptions!L43</f>
        <v>0.3</v>
      </c>
    </row>
    <row r="10" customFormat="false" ht="15" hidden="false" customHeight="false" outlineLevel="0" collapsed="false">
      <c r="A10" s="0" t="s">
        <v>114</v>
      </c>
      <c r="C10" s="0" t="n">
        <f aca="false">-C6*C9/100</f>
        <v>-45.77286</v>
      </c>
      <c r="D10" s="0" t="n">
        <f aca="false">-D6*D9/100</f>
        <v>-47.1460458</v>
      </c>
      <c r="E10" s="0" t="n">
        <f aca="false">-E6*E9/100</f>
        <v>-48.560427174</v>
      </c>
      <c r="F10" s="0" t="n">
        <f aca="false">-F6*F9/100</f>
        <v>-50.01723998922</v>
      </c>
      <c r="G10" s="0" t="n">
        <f aca="false">-G6*G9/100</f>
        <v>-51.5177571888966</v>
      </c>
      <c r="H10" s="0" t="n">
        <f aca="false">-H6*H9/100</f>
        <v>-53.0632899045635</v>
      </c>
      <c r="I10" s="0" t="n">
        <f aca="false">-I6*I9/100</f>
        <v>-54.6551886017004</v>
      </c>
      <c r="J10" s="0" t="n">
        <f aca="false">-J6*J9/100</f>
        <v>-56.2948442597514</v>
      </c>
      <c r="K10" s="0" t="n">
        <f aca="false">-K6*K9/100</f>
        <v>-57.983689587544</v>
      </c>
      <c r="L10" s="0" t="n">
        <f aca="false">-L6*L9/100</f>
        <v>-59.7232002751703</v>
      </c>
    </row>
    <row r="11" customFormat="false" ht="15" hidden="false" customHeight="false" outlineLevel="0" collapsed="false">
      <c r="A11" s="0" t="s">
        <v>115</v>
      </c>
      <c r="C11" s="0" t="n">
        <f aca="false">C8+C10+C24</f>
        <v>3017.957236</v>
      </c>
      <c r="D11" s="0" t="n">
        <f aca="false">D8+D10+D24</f>
        <v>2976.48702484</v>
      </c>
      <c r="E11" s="0" t="n">
        <f aca="false">E8+E10+E24</f>
        <v>2954.092653085</v>
      </c>
      <c r="F11" s="0" t="n">
        <f aca="false">F8+F10+F24</f>
        <v>2942.68095269911</v>
      </c>
      <c r="G11" s="0" t="n">
        <f aca="false">G8+G10+G24</f>
        <v>2943.38119405896</v>
      </c>
      <c r="H11" s="0" t="n">
        <f aca="false">H8+H10+H24</f>
        <v>2953.85647135403</v>
      </c>
      <c r="I11" s="0" t="n">
        <f aca="false">I8+I10+I24</f>
        <v>2975.06409955256</v>
      </c>
      <c r="J11" s="0" t="n">
        <f aca="false">J8+J10+J24</f>
        <v>3006.14468347073</v>
      </c>
      <c r="K11" s="0" t="n">
        <f aca="false">K8+K10+K24</f>
        <v>3048.00928265189</v>
      </c>
      <c r="L11" s="0" t="n">
        <f aca="false">L8+L10+L24</f>
        <v>3097.64332093883</v>
      </c>
    </row>
    <row r="12" customFormat="false" ht="15" hidden="false" customHeight="false" outlineLevel="0" collapsed="false">
      <c r="A12" s="0" t="s">
        <v>116</v>
      </c>
      <c r="C12" s="4" t="n">
        <f aca="false">-C6*Assumptions!C45/100</f>
        <v>-579.78956</v>
      </c>
      <c r="D12" s="4" t="n">
        <f aca="false">-D6*Assumptions!D45/100</f>
        <v>-597.1832468</v>
      </c>
      <c r="E12" s="4" t="n">
        <f aca="false">-E6*Assumptions!E45/100</f>
        <v>-631.285553262</v>
      </c>
      <c r="F12" s="4" t="n">
        <f aca="false">-F6*Assumptions!F45/100</f>
        <v>-666.8965331896</v>
      </c>
      <c r="G12" s="4" t="n">
        <f aca="false">-G6*Assumptions!G45/100</f>
        <v>-686.903429185288</v>
      </c>
      <c r="H12" s="4" t="n">
        <f aca="false">-H6*Assumptions!H45/100</f>
        <v>-707.510532060847</v>
      </c>
      <c r="I12" s="4" t="n">
        <f aca="false">-I6*Assumptions!I45/100</f>
        <v>-728.735848022672</v>
      </c>
      <c r="J12" s="4" t="n">
        <f aca="false">-J6*Assumptions!J45/100</f>
        <v>-750.597923463352</v>
      </c>
      <c r="K12" s="4" t="n">
        <f aca="false">-K6*Assumptions!K45/100</f>
        <v>-773.115861167253</v>
      </c>
      <c r="L12" s="4" t="n">
        <f aca="false">-L6*Assumptions!L45/100</f>
        <v>-796.30933700227</v>
      </c>
    </row>
    <row r="13" customFormat="false" ht="15" hidden="false" customHeight="false" outlineLevel="0" collapsed="false">
      <c r="A13" s="0" t="s">
        <v>117</v>
      </c>
      <c r="C13" s="0" t="n">
        <f aca="false">C11+C12</f>
        <v>2438.167676</v>
      </c>
      <c r="D13" s="0" t="n">
        <f aca="false">D11+D12</f>
        <v>2379.30377804</v>
      </c>
      <c r="E13" s="0" t="n">
        <f aca="false">E11+E12</f>
        <v>2322.807099823</v>
      </c>
      <c r="F13" s="0" t="n">
        <f aca="false">F11+F12</f>
        <v>2275.78441950951</v>
      </c>
      <c r="G13" s="0" t="n">
        <f aca="false">G11+G12</f>
        <v>2256.47776487367</v>
      </c>
      <c r="H13" s="0" t="n">
        <f aca="false">H11+H12</f>
        <v>2246.34593929319</v>
      </c>
      <c r="I13" s="0" t="n">
        <f aca="false">I11+I12</f>
        <v>2246.32825152989</v>
      </c>
      <c r="J13" s="0" t="n">
        <f aca="false">J11+J12</f>
        <v>2255.54676000737</v>
      </c>
      <c r="K13" s="0" t="n">
        <f aca="false">K11+K12</f>
        <v>2274.89342148464</v>
      </c>
      <c r="L13" s="0" t="n">
        <f aca="false">L11+L12</f>
        <v>2301.33398393656</v>
      </c>
    </row>
    <row r="14" customFormat="false" ht="15" hidden="false" customHeight="false" outlineLevel="0" collapsed="false">
      <c r="A14" s="0" t="s">
        <v>103</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118</v>
      </c>
      <c r="C15" s="0" t="n">
        <f aca="false">C13-MAX(0,C13)*C14/100</f>
        <v>1706.7173732</v>
      </c>
      <c r="D15" s="0" t="n">
        <f aca="false">D13-MAX(0,D13)*D14/100</f>
        <v>1665.512644628</v>
      </c>
      <c r="E15" s="0" t="n">
        <f aca="false">E13-MAX(0,E13)*E14/100</f>
        <v>1625.9649698761</v>
      </c>
      <c r="F15" s="0" t="n">
        <f aca="false">F13-MAX(0,F13)*F14/100</f>
        <v>1593.04909365666</v>
      </c>
      <c r="G15" s="0" t="n">
        <f aca="false">G13-MAX(0,G13)*G14/100</f>
        <v>1579.53443541157</v>
      </c>
      <c r="H15" s="0" t="n">
        <f aca="false">H13-MAX(0,H13)*H14/100</f>
        <v>1572.44215750523</v>
      </c>
      <c r="I15" s="0" t="n">
        <f aca="false">I13-MAX(0,I13)*I14/100</f>
        <v>1572.42977607092</v>
      </c>
      <c r="J15" s="0" t="n">
        <f aca="false">J13-MAX(0,J13)*J14/100</f>
        <v>1578.88273200516</v>
      </c>
      <c r="K15" s="0" t="n">
        <f aca="false">K13-MAX(0,K13)*K14/100</f>
        <v>1592.42539503925</v>
      </c>
      <c r="L15" s="0" t="n">
        <f aca="false">L13-MAX(0,L13)*L14/100</f>
        <v>1610.93378875559</v>
      </c>
    </row>
    <row r="16" customFormat="false" ht="15" hidden="false" customHeight="false" outlineLevel="0" collapsed="false">
      <c r="A16" s="0" t="s">
        <v>119</v>
      </c>
      <c r="C16" s="0" t="n">
        <f aca="false">-C12</f>
        <v>579.78956</v>
      </c>
      <c r="D16" s="0" t="n">
        <f aca="false">-D12</f>
        <v>597.1832468</v>
      </c>
      <c r="E16" s="0" t="n">
        <f aca="false">-E12</f>
        <v>631.285553262</v>
      </c>
      <c r="F16" s="0" t="n">
        <f aca="false">-F12</f>
        <v>666.8965331896</v>
      </c>
      <c r="G16" s="0" t="n">
        <f aca="false">-G12</f>
        <v>686.903429185288</v>
      </c>
      <c r="H16" s="0" t="n">
        <f aca="false">-H12</f>
        <v>707.510532060847</v>
      </c>
      <c r="I16" s="0" t="n">
        <f aca="false">-I12</f>
        <v>728.735848022672</v>
      </c>
      <c r="J16" s="0" t="n">
        <f aca="false">-J12</f>
        <v>750.597923463352</v>
      </c>
      <c r="K16" s="0" t="n">
        <f aca="false">-K12</f>
        <v>773.115861167253</v>
      </c>
      <c r="L16" s="0" t="n">
        <f aca="false">-L12</f>
        <v>796.30933700227</v>
      </c>
    </row>
    <row r="17" customFormat="false" ht="15" hidden="false" customHeight="false" outlineLevel="0" collapsed="false">
      <c r="A17" s="0" t="s">
        <v>120</v>
      </c>
      <c r="C17" s="4" t="n">
        <f aca="false">-C6*Assumptions!C46/100</f>
        <v>-579.78956</v>
      </c>
      <c r="D17" s="4" t="n">
        <f aca="false">-D6*Assumptions!D46/100</f>
        <v>-707.190687</v>
      </c>
      <c r="E17" s="4" t="n">
        <f aca="false">-E6*Assumptions!E46/100</f>
        <v>-728.40640761</v>
      </c>
      <c r="F17" s="4" t="n">
        <f aca="false">-F6*Assumptions!F46/100</f>
        <v>-750.2585998383</v>
      </c>
      <c r="G17" s="4" t="n">
        <f aca="false">-G6*Assumptions!G46/100</f>
        <v>-772.766357833449</v>
      </c>
      <c r="H17" s="4" t="n">
        <f aca="false">-H6*Assumptions!H46/100</f>
        <v>-795.949348568452</v>
      </c>
      <c r="I17" s="4" t="n">
        <f aca="false">-I6*Assumptions!I46/100</f>
        <v>-819.827829025506</v>
      </c>
      <c r="J17" s="4" t="n">
        <f aca="false">-J6*Assumptions!J46/100</f>
        <v>-844.422663896271</v>
      </c>
      <c r="K17" s="4" t="n">
        <f aca="false">-K6*Assumptions!K46/100</f>
        <v>-869.755343813159</v>
      </c>
      <c r="L17" s="4" t="n">
        <f aca="false">-L6*Assumptions!L46/100</f>
        <v>-895.848004127554</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1706.7173732</v>
      </c>
      <c r="D19" s="0" t="n">
        <f aca="false">D15+D16+D17+D18</f>
        <v>1555.505204428</v>
      </c>
      <c r="E19" s="0" t="n">
        <f aca="false">E15+E16+E17+E18</f>
        <v>1528.8441155281</v>
      </c>
      <c r="F19" s="0" t="n">
        <f aca="false">F15+F16+F17+F18</f>
        <v>1509.68702700796</v>
      </c>
      <c r="G19" s="0" t="n">
        <f aca="false">G15+G16+G17+G18</f>
        <v>1493.67150676341</v>
      </c>
      <c r="H19" s="0" t="n">
        <f aca="false">H15+H16+H17+H18</f>
        <v>1484.00334099763</v>
      </c>
      <c r="I19" s="0" t="n">
        <f aca="false">I15+I16+I17+I18</f>
        <v>1481.33779506809</v>
      </c>
      <c r="J19" s="0" t="n">
        <f aca="false">J15+J16+J17+J18</f>
        <v>1485.05799157224</v>
      </c>
      <c r="K19" s="0" t="n">
        <f aca="false">K15+K16+K17+K18</f>
        <v>1495.78591239334</v>
      </c>
      <c r="L19" s="0" t="n">
        <f aca="false">L15+L16+L17+L18</f>
        <v>1511.39512163031</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1573.01140387097</v>
      </c>
      <c r="D21" s="0" t="n">
        <f aca="false">D19*D20</f>
        <v>1321.33211954214</v>
      </c>
      <c r="E21" s="0" t="n">
        <f aca="false">E19*E20</f>
        <v>1196.94443928511</v>
      </c>
      <c r="F21" s="0" t="n">
        <f aca="false">F19*F20</f>
        <v>1089.35133598188</v>
      </c>
      <c r="G21" s="0" t="n">
        <f aca="false">G19*G20</f>
        <v>993.359399469348</v>
      </c>
      <c r="H21" s="0" t="n">
        <f aca="false">H19*H20</f>
        <v>909.612562281308</v>
      </c>
      <c r="I21" s="0" t="n">
        <f aca="false">I19*I20</f>
        <v>836.846754829548</v>
      </c>
      <c r="J21" s="0" t="n">
        <f aca="false">J19*J20</f>
        <v>773.224324299353</v>
      </c>
      <c r="K21" s="0" t="n">
        <f aca="false">K19*K20</f>
        <v>717.797257980115</v>
      </c>
      <c r="L21" s="0" t="n">
        <f aca="false">L19*L20</f>
        <v>668.468018655</v>
      </c>
    </row>
    <row r="23" customFormat="false" ht="15" hidden="false" customHeight="false" outlineLevel="0" collapsed="false">
      <c r="A23" s="0" t="s">
        <v>100</v>
      </c>
      <c r="C23" s="4" t="n">
        <f aca="false">Assumptions!C44</f>
        <v>0.95</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125</v>
      </c>
      <c r="C24" s="0" t="n">
        <f aca="false">-C6*C23/100</f>
        <v>-144.94739</v>
      </c>
      <c r="D24" s="0" t="n">
        <f aca="false">-D6*D23/100</f>
        <v>-157.153486</v>
      </c>
      <c r="E24" s="0" t="n">
        <f aca="false">-E6*E23/100</f>
        <v>-161.86809058</v>
      </c>
      <c r="F24" s="0" t="n">
        <f aca="false">-F6*F23/100</f>
        <v>-166.7241332974</v>
      </c>
      <c r="G24" s="0" t="n">
        <f aca="false">-G6*G23/100</f>
        <v>-171.725857296322</v>
      </c>
      <c r="H24" s="0" t="n">
        <f aca="false">-H6*H23/100</f>
        <v>-176.877633015212</v>
      </c>
      <c r="I24" s="0" t="n">
        <f aca="false">-I6*I23/100</f>
        <v>-182.183962005668</v>
      </c>
      <c r="J24" s="0" t="n">
        <f aca="false">-J6*J23/100</f>
        <v>-187.649480865838</v>
      </c>
      <c r="K24" s="0" t="n">
        <f aca="false">-K6*K23/100</f>
        <v>-193.278965291813</v>
      </c>
      <c r="L24" s="0" t="n">
        <f aca="false">-L6*L23/100</f>
        <v>-199.077334250568</v>
      </c>
    </row>
    <row r="26" customFormat="false" ht="15" hidden="false" customHeight="false" outlineLevel="0" collapsed="false">
      <c r="A26" s="2" t="s">
        <v>126</v>
      </c>
    </row>
    <row r="27" customFormat="false" ht="15" hidden="false" customHeight="false" outlineLevel="0" collapsed="false">
      <c r="A27" s="0" t="s">
        <v>104</v>
      </c>
      <c r="B27" s="4" t="n">
        <f aca="false">Assumptions!$B$48</f>
        <v>8.5</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15</v>
      </c>
    </row>
    <row r="30" customFormat="false" ht="15" hidden="false" customHeight="false" outlineLevel="0" collapsed="false">
      <c r="A30" s="0" t="s">
        <v>127</v>
      </c>
      <c r="B30" s="0" t="n">
        <f aca="false">SUM(C21:L21)</f>
        <v>10079.9476161948</v>
      </c>
    </row>
    <row r="31" customFormat="false" ht="15" hidden="false" customHeight="false" outlineLevel="0" collapsed="false">
      <c r="A31" s="0" t="s">
        <v>128</v>
      </c>
      <c r="B31" s="0" t="n">
        <f aca="false">L19</f>
        <v>1511.39512163031</v>
      </c>
    </row>
    <row r="32" customFormat="false" ht="15" hidden="false" customHeight="false" outlineLevel="0" collapsed="false">
      <c r="A32" s="0" t="s">
        <v>129</v>
      </c>
      <c r="B32" s="0" t="n">
        <f aca="false">IF(B27&gt;B28,B31*(1+B28/100)/((B27-B28)/100),B31*B29)</f>
        <v>25819.6666611844</v>
      </c>
    </row>
    <row r="33" customFormat="false" ht="15" hidden="false" customHeight="false" outlineLevel="0" collapsed="false">
      <c r="A33" s="0" t="s">
        <v>130</v>
      </c>
      <c r="B33" s="0" t="n">
        <f aca="false">B31*B29</f>
        <v>22670.9268244546</v>
      </c>
    </row>
    <row r="34" customFormat="false" ht="15" hidden="false" customHeight="false" outlineLevel="0" collapsed="false">
      <c r="A34" s="0" t="s">
        <v>131</v>
      </c>
      <c r="B34" s="0" t="n">
        <f aca="false">MAX(0,MIN(B32,B33))</f>
        <v>22670.9268244546</v>
      </c>
    </row>
    <row r="35" customFormat="false" ht="15" hidden="false" customHeight="false" outlineLevel="0" collapsed="false">
      <c r="A35" s="0" t="s">
        <v>132</v>
      </c>
      <c r="B35" s="0" t="n">
        <f aca="false">B34/(1+B27/100)^L4</f>
        <v>10027.020279825</v>
      </c>
    </row>
    <row r="36" customFormat="false" ht="15" hidden="false" customHeight="false" outlineLevel="0" collapsed="false">
      <c r="A36" s="0" t="s">
        <v>133</v>
      </c>
      <c r="B36" s="0" t="n">
        <f aca="false">B30+B35</f>
        <v>20106.9678960198</v>
      </c>
    </row>
    <row r="37" customFormat="false" ht="15" hidden="false" customHeight="false" outlineLevel="0" collapsed="false">
      <c r="A37" s="0" t="s">
        <v>134</v>
      </c>
      <c r="B37" s="0" t="n">
        <f aca="false">B36+Assumptions!$B$5-Assumptions!$B$4</f>
        <v>19821.9678960198</v>
      </c>
    </row>
    <row r="38" customFormat="false" ht="15" hidden="false" customHeight="false" outlineLevel="0" collapsed="false">
      <c r="A38" s="0" t="s">
        <v>135</v>
      </c>
      <c r="B38" s="0" t="n">
        <f aca="false">B37/Assumptions!$B$3*Assumptions!$B$10</f>
        <v>11.4863347603986</v>
      </c>
    </row>
    <row r="39" customFormat="false" ht="15" hidden="false" customHeight="false" outlineLevel="0" collapsed="false">
      <c r="A39" s="0" t="s">
        <v>136</v>
      </c>
      <c r="B39" s="4" t="n">
        <f aca="false">B38/Assumptions!$B$2-1</f>
        <v>0.0432638292823389</v>
      </c>
    </row>
    <row r="41" customFormat="false" ht="15" hidden="false" customHeight="false" outlineLevel="0" collapsed="false">
      <c r="A41" s="0" t="s">
        <v>137</v>
      </c>
      <c r="B41" s="0" t="n">
        <f aca="false">SUMPRODUCT(-C10:L10/(1+$B$27/100)^C4:L4)</f>
        <v>337.558519387884</v>
      </c>
    </row>
    <row r="42" customFormat="false" ht="15" hidden="false" customHeight="false" outlineLevel="0" collapsed="false">
      <c r="A42" s="0" t="s">
        <v>138</v>
      </c>
      <c r="B42" s="0" t="n">
        <f aca="false">IF(B27&gt;B28,-L10*(1+B28/100)/((B27-B28)/100),-L10*20)/(1+B27/100)^L4</f>
        <v>451.251132192687</v>
      </c>
    </row>
    <row r="43" customFormat="false" ht="15" hidden="false" customHeight="false" outlineLevel="0" collapsed="false">
      <c r="A43" s="0" t="s">
        <v>139</v>
      </c>
      <c r="B43" s="0" t="n">
        <f aca="false">(B37+B41+B42)/Assumptions!$B$3*Assumptions!$B$10</f>
        <v>11.94343022982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12393.4399973685</v>
      </c>
    </row>
    <row r="47" customFormat="false" ht="15" hidden="false" customHeight="false" outlineLevel="0" collapsed="false">
      <c r="A47" s="0" t="s">
        <v>141</v>
      </c>
      <c r="B47" s="0" t="n">
        <f aca="false">(SUMPRODUCT(C19:L19/(1+B45/100)^C4:L4)+B46/(1+B45/100)^L4+Assumptions!$B$5-Assumptions!$B$4)/Assumptions!$B$3*Assumptions!$B$10</f>
        <v>6.10332398752663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5.78202922027528</v>
      </c>
      <c r="C4" s="0" t="n">
        <f aca="false">B4/Assumptions!$B$2-1</f>
        <v>-0.474838399611691</v>
      </c>
      <c r="D4" s="4" t="n">
        <f aca="false">Assumptions!$B$24</f>
        <v>0.25</v>
      </c>
      <c r="E4" s="4" t="n">
        <f aca="false">DCF_Bear!$B$43</f>
        <v>6.19088774864284</v>
      </c>
      <c r="F4" s="4" t="n">
        <f aca="false">DCF_Bear!$B$47</f>
        <v>3.50783879160713</v>
      </c>
    </row>
    <row r="5" customFormat="false" ht="15" hidden="false" customHeight="false" outlineLevel="0" collapsed="false">
      <c r="A5" s="0" t="s">
        <v>150</v>
      </c>
      <c r="B5" s="4" t="n">
        <f aca="false">DCF_Base!$B$38</f>
        <v>8.78655276556622</v>
      </c>
      <c r="C5" s="0" t="n">
        <f aca="false">B5/Assumptions!$B$2-1</f>
        <v>-0.201947977696075</v>
      </c>
      <c r="D5" s="4" t="n">
        <f aca="false">Assumptions!$B$38</f>
        <v>0.5</v>
      </c>
      <c r="E5" s="4" t="n">
        <f aca="false">DCF_Base!$B$43</f>
        <v>9.22209590320701</v>
      </c>
      <c r="F5" s="4" t="n">
        <f aca="false">DCF_Base!$B$47</f>
        <v>4.81849071310237</v>
      </c>
    </row>
    <row r="6" customFormat="false" ht="15" hidden="false" customHeight="false" outlineLevel="0" collapsed="false">
      <c r="A6" s="0" t="s">
        <v>151</v>
      </c>
      <c r="B6" s="4" t="n">
        <f aca="false">DCF_Bull!$B$38</f>
        <v>11.4863347603986</v>
      </c>
      <c r="C6" s="0" t="n">
        <f aca="false">B6/Assumptions!$B$2-1</f>
        <v>0.0432638292823389</v>
      </c>
      <c r="D6" s="4" t="n">
        <f aca="false">Assumptions!$B$52</f>
        <v>0.25</v>
      </c>
      <c r="E6" s="4" t="n">
        <f aca="false">DCF_Bull!$B$43</f>
        <v>11.94343022982</v>
      </c>
      <c r="F6" s="4" t="n">
        <f aca="false">DCF_Bull!$B$47</f>
        <v>6.10332398752663</v>
      </c>
    </row>
    <row r="8" customFormat="false" ht="15" hidden="false" customHeight="false" outlineLevel="0" collapsed="false">
      <c r="A8" s="0" t="s">
        <v>152</v>
      </c>
      <c r="B8" s="0" t="n">
        <f aca="false">SUMPRODUCT(B4:B6,D4:D6)</f>
        <v>8.71036737795157</v>
      </c>
    </row>
    <row r="9" customFormat="false" ht="15" hidden="false" customHeight="false" outlineLevel="0" collapsed="false">
      <c r="A9" s="0" t="s">
        <v>153</v>
      </c>
      <c r="B9" s="0" t="n">
        <f aca="false">SUMPRODUCT(E4:E6,D4:D6)</f>
        <v>9.14462744621921</v>
      </c>
    </row>
    <row r="10" customFormat="false" ht="15" hidden="false" customHeight="false" outlineLevel="0" collapsed="false">
      <c r="A10" s="0" t="s">
        <v>154</v>
      </c>
      <c r="B10" s="0" t="n">
        <f aca="false">1-Assumptions!$B$2/B8</f>
        <v>-0.264010979361153</v>
      </c>
    </row>
    <row r="11" customFormat="false" ht="15" hidden="false" customHeight="false" outlineLevel="0" collapsed="false">
      <c r="A11" s="0" t="s">
        <v>155</v>
      </c>
      <c r="B11" s="0" t="n">
        <f aca="false">IF(ABS(B9-B8)&gt;0.01*ABS(B8),(Assumptions!$B$2-B8)/(B9-B8)*100,"n/a")</f>
        <v>529.551941356741</v>
      </c>
    </row>
    <row r="12" customFormat="false" ht="15" hidden="false" customHeight="false" outlineLevel="0" collapsed="false">
      <c r="A12" s="0" t="s">
        <v>156</v>
      </c>
      <c r="B12" s="0" t="n">
        <f aca="false">SUMPRODUCT(F4:F6,D4:D6)</f>
        <v>4.81203605133462</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8.78655276556622</v>
      </c>
      <c r="C15" s="3" t="n">
        <v>8.5</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8.50018660928762</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7.63960596751742</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6.81921254971556</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6.16705792745967</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4.81849071310237</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10.0707028470129</v>
      </c>
      <c r="C24" s="0" t="n">
        <f aca="false">(SUMPRODUCT(DCF_Base!$C$19:$L$19/(1+$A$24/100)^DCF_Base!$C$4:$L$4)+MAX(0,MIN(IF($A$24&gt;$C$23,DCF_Base!$L$19*(1+$C$23/100)/(($A$24-$C$23)/100),DCF_Base!$L$19*DCF_Base!$B$29),DCF_Base!$L$19*DCF_Base!$B$29))/(1+$A$24/100)^DCF_Base!$L$4+Assumptions!$B$5-Assumptions!$B$4)/Assumptions!$B$3*Assumptions!$B$10</f>
        <v>10.0707028470129</v>
      </c>
      <c r="D24" s="0" t="n">
        <f aca="false">(SUMPRODUCT(DCF_Base!$C$19:$L$19/(1+$A$24/100)^DCF_Base!$C$4:$L$4)+MAX(0,MIN(IF($A$24&gt;$D$23,DCF_Base!$L$19*(1+$D$23/100)/(($A$24-$D$23)/100),DCF_Base!$L$19*DCF_Base!$B$29),DCF_Base!$L$19*DCF_Base!$B$29))/(1+$A$24/100)^DCF_Base!$L$4+Assumptions!$B$5-Assumptions!$B$4)/Assumptions!$B$3*Assumptions!$B$10</f>
        <v>10.0707028470129</v>
      </c>
      <c r="E24" s="0" t="n">
        <f aca="false">(SUMPRODUCT(DCF_Base!$C$19:$L$19/(1+$A$24/100)^DCF_Base!$C$4:$L$4)+MAX(0,MIN(IF($A$24&gt;$E$23,DCF_Base!$L$19*(1+$E$23/100)/(($A$24-$E$23)/100),DCF_Base!$L$19*DCF_Base!$B$29),DCF_Base!$L$19*DCF_Base!$B$29))/(1+$A$24/100)^DCF_Base!$L$4+Assumptions!$B$5-Assumptions!$B$4)/Assumptions!$B$3*Assumptions!$B$10</f>
        <v>10.0707028470129</v>
      </c>
      <c r="F24" s="0" t="n">
        <f aca="false">(SUMPRODUCT(DCF_Base!$C$19:$L$19/(1+$A$24/100)^DCF_Base!$C$4:$L$4)+MAX(0,MIN(IF($A$24&gt;$F$23,DCF_Base!$L$19*(1+$F$23/100)/(($A$24-$F$23)/100),DCF_Base!$L$19*DCF_Base!$B$29),DCF_Base!$L$19*DCF_Base!$B$29))/(1+$A$24/100)^DCF_Base!$L$4+Assumptions!$B$5-Assumptions!$B$4)/Assumptions!$B$3*Assumptions!$B$10</f>
        <v>10.0707028470129</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9.39941797531962</v>
      </c>
      <c r="C25" s="0" t="n">
        <f aca="false">(SUMPRODUCT(DCF_Base!$C$19:$L$19/(1+$A$25/100)^DCF_Base!$C$4:$L$4)+MAX(0,MIN(IF($A$25&gt;$C$23,DCF_Base!$L$19*(1+$C$23/100)/(($A$25-$C$23)/100),DCF_Base!$L$19*DCF_Base!$B$29),DCF_Base!$L$19*DCF_Base!$B$29))/(1+$A$25/100)^DCF_Base!$L$4+Assumptions!$B$5-Assumptions!$B$4)/Assumptions!$B$3*Assumptions!$B$10</f>
        <v>9.39941797531962</v>
      </c>
      <c r="D25" s="0" t="n">
        <f aca="false">(SUMPRODUCT(DCF_Base!$C$19:$L$19/(1+$A$25/100)^DCF_Base!$C$4:$L$4)+MAX(0,MIN(IF($A$25&gt;$D$23,DCF_Base!$L$19*(1+$D$23/100)/(($A$25-$D$23)/100),DCF_Base!$L$19*DCF_Base!$B$29),DCF_Base!$L$19*DCF_Base!$B$29))/(1+$A$25/100)^DCF_Base!$L$4+Assumptions!$B$5-Assumptions!$B$4)/Assumptions!$B$3*Assumptions!$B$10</f>
        <v>9.39941797531962</v>
      </c>
      <c r="E25" s="0" t="n">
        <f aca="false">(SUMPRODUCT(DCF_Base!$C$19:$L$19/(1+$A$25/100)^DCF_Base!$C$4:$L$4)+MAX(0,MIN(IF($A$25&gt;$E$23,DCF_Base!$L$19*(1+$E$23/100)/(($A$25-$E$23)/100),DCF_Base!$L$19*DCF_Base!$B$29),DCF_Base!$L$19*DCF_Base!$B$29))/(1+$A$25/100)^DCF_Base!$L$4+Assumptions!$B$5-Assumptions!$B$4)/Assumptions!$B$3*Assumptions!$B$10</f>
        <v>9.39941797531962</v>
      </c>
      <c r="F25" s="0" t="n">
        <f aca="false">(SUMPRODUCT(DCF_Base!$C$19:$L$19/(1+$A$25/100)^DCF_Base!$C$4:$L$4)+MAX(0,MIN(IF($A$25&gt;$F$23,DCF_Base!$L$19*(1+$F$23/100)/(($A$25-$F$23)/100),DCF_Base!$L$19*DCF_Base!$B$29),DCF_Base!$L$19*DCF_Base!$B$29))/(1+$A$25/100)^DCF_Base!$L$4+Assumptions!$B$5-Assumptions!$B$4)/Assumptions!$B$3*Assumptions!$B$10</f>
        <v>9.39941797531962</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8.64688933764592</v>
      </c>
      <c r="C26" s="0" t="n">
        <f aca="false">(SUMPRODUCT(DCF_Base!$C$19:$L$19/(1+$A$26/100)^DCF_Base!$C$4:$L$4)+MAX(0,MIN(IF($A$26&gt;$C$23,DCF_Base!$L$19*(1+$C$23/100)/(($A$26-$C$23)/100),DCF_Base!$L$19*DCF_Base!$B$29),DCF_Base!$L$19*DCF_Base!$B$29))/(1+$A$26/100)^DCF_Base!$L$4+Assumptions!$B$5-Assumptions!$B$4)/Assumptions!$B$3*Assumptions!$B$10</f>
        <v>8.78655276556622</v>
      </c>
      <c r="D26" s="0" t="n">
        <f aca="false">(SUMPRODUCT(DCF_Base!$C$19:$L$19/(1+$A$26/100)^DCF_Base!$C$4:$L$4)+MAX(0,MIN(IF($A$26&gt;$D$23,DCF_Base!$L$19*(1+$D$23/100)/(($A$26-$D$23)/100),DCF_Base!$L$19*DCF_Base!$B$29),DCF_Base!$L$19*DCF_Base!$B$29))/(1+$A$26/100)^DCF_Base!$L$4+Assumptions!$B$5-Assumptions!$B$4)/Assumptions!$B$3*Assumptions!$B$10</f>
        <v>8.78655276556622</v>
      </c>
      <c r="E26" s="0" t="n">
        <f aca="false">(SUMPRODUCT(DCF_Base!$C$19:$L$19/(1+$A$26/100)^DCF_Base!$C$4:$L$4)+MAX(0,MIN(IF($A$26&gt;$E$23,DCF_Base!$L$19*(1+$E$23/100)/(($A$26-$E$23)/100),DCF_Base!$L$19*DCF_Base!$B$29),DCF_Base!$L$19*DCF_Base!$B$29))/(1+$A$26/100)^DCF_Base!$L$4+Assumptions!$B$5-Assumptions!$B$4)/Assumptions!$B$3*Assumptions!$B$10</f>
        <v>8.78655276556622</v>
      </c>
      <c r="F26" s="0" t="n">
        <f aca="false">(SUMPRODUCT(DCF_Base!$C$19:$L$19/(1+$A$26/100)^DCF_Base!$C$4:$L$4)+MAX(0,MIN(IF($A$26&gt;$F$23,DCF_Base!$L$19*(1+$F$23/100)/(($A$26-$F$23)/100),DCF_Base!$L$19*DCF_Base!$B$29),DCF_Base!$L$19*DCF_Base!$B$29))/(1+$A$26/100)^DCF_Base!$L$4+Assumptions!$B$5-Assumptions!$B$4)/Assumptions!$B$3*Assumptions!$B$10</f>
        <v>8.78655276556622</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7.63697927374468</v>
      </c>
      <c r="C27" s="0" t="n">
        <f aca="false">(SUMPRODUCT(DCF_Base!$C$19:$L$19/(1+$A$27/100)^DCF_Base!$C$4:$L$4)+MAX(0,MIN(IF($A$27&gt;$C$23,DCF_Base!$L$19*(1+$C$23/100)/(($A$27-$C$23)/100),DCF_Base!$L$19*DCF_Base!$B$29),DCF_Base!$L$19*DCF_Base!$B$29))/(1+$A$27/100)^DCF_Base!$L$4+Assumptions!$B$5-Assumptions!$B$4)/Assumptions!$B$3*Assumptions!$B$10</f>
        <v>7.86952146263167</v>
      </c>
      <c r="D27" s="0" t="n">
        <f aca="false">(SUMPRODUCT(DCF_Base!$C$19:$L$19/(1+$A$27/100)^DCF_Base!$C$4:$L$4)+MAX(0,MIN(IF($A$27&gt;$D$23,DCF_Base!$L$19*(1+$D$23/100)/(($A$27-$D$23)/100),DCF_Base!$L$19*DCF_Base!$B$29),DCF_Base!$L$19*DCF_Base!$B$29))/(1+$A$27/100)^DCF_Base!$L$4+Assumptions!$B$5-Assumptions!$B$4)/Assumptions!$B$3*Assumptions!$B$10</f>
        <v>8.1352839642168</v>
      </c>
      <c r="E27" s="0" t="n">
        <f aca="false">(SUMPRODUCT(DCF_Base!$C$19:$L$19/(1+$A$27/100)^DCF_Base!$C$4:$L$4)+MAX(0,MIN(IF($A$27&gt;$E$23,DCF_Base!$L$19*(1+$E$23/100)/(($A$27-$E$23)/100),DCF_Base!$L$19*DCF_Base!$B$29),DCF_Base!$L$19*DCF_Base!$B$29))/(1+$A$27/100)^DCF_Base!$L$4+Assumptions!$B$5-Assumptions!$B$4)/Assumptions!$B$3*Assumptions!$B$10</f>
        <v>8.22629851955417</v>
      </c>
      <c r="F27" s="0" t="n">
        <f aca="false">(SUMPRODUCT(DCF_Base!$C$19:$L$19/(1+$A$27/100)^DCF_Base!$C$4:$L$4)+MAX(0,MIN(IF($A$27&gt;$F$23,DCF_Base!$L$19*(1+$F$23/100)/(($A$27-$F$23)/100),DCF_Base!$L$19*DCF_Base!$B$29),DCF_Base!$L$19*DCF_Base!$B$29))/(1+$A$27/100)^DCF_Base!$L$4+Assumptions!$B$5-Assumptions!$B$4)/Assumptions!$B$3*Assumptions!$B$10</f>
        <v>8.22629851955417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6.84733793271274</v>
      </c>
      <c r="C28" s="0" t="n">
        <f aca="false">(SUMPRODUCT(DCF_Base!$C$19:$L$19/(1+$A$28/100)^DCF_Base!$C$4:$L$4)+MAX(0,MIN(IF($A$28&gt;$C$23,DCF_Base!$L$19*(1+$C$23/100)/(($A$28-$C$23)/100),DCF_Base!$L$19*DCF_Base!$B$29),DCF_Base!$L$19*DCF_Base!$B$29))/(1+$A$28/100)^DCF_Base!$L$4+Assumptions!$B$5-Assumptions!$B$4)/Assumptions!$B$3*Assumptions!$B$10</f>
        <v>7.0153955267364</v>
      </c>
      <c r="D28" s="0" t="n">
        <f aca="false">(SUMPRODUCT(DCF_Base!$C$19:$L$19/(1+$A$28/100)^DCF_Base!$C$4:$L$4)+MAX(0,MIN(IF($A$28&gt;$D$23,DCF_Base!$L$19*(1+$D$23/100)/(($A$28-$D$23)/100),DCF_Base!$L$19*DCF_Base!$B$29),DCF_Base!$L$19*DCF_Base!$B$29))/(1+$A$28/100)^DCF_Base!$L$4+Assumptions!$B$5-Assumptions!$B$4)/Assumptions!$B$3*Assumptions!$B$10</f>
        <v>7.20446032001301</v>
      </c>
      <c r="E28" s="0" t="n">
        <f aca="false">(SUMPRODUCT(DCF_Base!$C$19:$L$19/(1+$A$28/100)^DCF_Base!$C$4:$L$4)+MAX(0,MIN(IF($A$28&gt;$E$23,DCF_Base!$L$19*(1+$E$23/100)/(($A$28-$E$23)/100),DCF_Base!$L$19*DCF_Base!$B$29),DCF_Base!$L$19*DCF_Base!$B$29))/(1+$A$28/100)^DCF_Base!$L$4+Assumptions!$B$5-Assumptions!$B$4)/Assumptions!$B$3*Assumptions!$B$10</f>
        <v>7.41873375239317</v>
      </c>
      <c r="F28" s="0" t="n">
        <f aca="false">(SUMPRODUCT(DCF_Base!$C$19:$L$19/(1+$A$28/100)^DCF_Base!$C$4:$L$4)+MAX(0,MIN(IF($A$28&gt;$F$23,DCF_Base!$L$19*(1+$F$23/100)/(($A$28-$F$23)/100),DCF_Base!$L$19*DCF_Base!$B$29),DCF_Base!$L$19*DCF_Base!$B$29))/(1+$A$28/100)^DCF_Base!$L$4+Assumptions!$B$5-Assumptions!$B$4)/Assumptions!$B$3*Assumptions!$B$10</f>
        <v>7.66361767511336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2026-09-24T09:29:15Z</dcterms:created>
  <dc:creator>openpyxl</dc:creator>
  <dc:description/>
  <dc:language>en-NZ</dc:language>
  <cp:lastModifiedBy/>
  <dcterms:modified xsi:type="dcterms:W3CDTF">2026-09-24T09:29:15Z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