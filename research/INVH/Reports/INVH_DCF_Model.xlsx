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<sst xmlns="http://schemas.openxmlformats.org/spreadsheetml/2006/main" count="366" uniqueCount="167">
  <si>
    <t xml:space="preserve">Ticker</t>
  </si>
  <si>
    <t xml:space="preserve">INVH</t>
  </si>
  <si>
    <t xml:space="preserve">Company</t>
  </si>
  <si>
    <t xml:space="preserve">Invitation Homes Inc.</t>
  </si>
  <si>
    <t xml:space="preserve">Valuation date</t>
  </si>
  <si>
    <t xml:space="preserve">2026-09-29</t>
  </si>
  <si>
    <t xml:space="preserve">Current price</t>
  </si>
  <si>
    <t xml:space="preserve">Price as of</t>
  </si>
  <si>
    <t xml:space="preserve">2026-09-28T20:00:02Z (NYSE regular close; Yahoo v8 chart meta; 52-week range 24.25-30.89)</t>
  </si>
  <si>
    <t xml:space="preserve">Balance sheet date</t>
  </si>
  <si>
    <t xml:space="preserve">2026-06-30</t>
  </si>
  <si>
    <t xml:space="preserve">Model</t>
  </si>
  <si>
    <t xml:space="preserve">REIT AFFO capitalisation at cost of equity (engine route)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</si>
  <si>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</si>
  <si>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</si>
  <si>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</si>
  <si>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</si>
  <si>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</si>
  <si>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</si>
  <si>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</si>
  <si>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</si>
  <si>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2026-09-28T21:56:11Z</t>
  </si>
  <si>
    <t xml:space="preserve">Drivers file</t>
  </si>
  <si>
    <t xml:space="preserve">INVH_Drivers.json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</si>
  <si>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</si>
  <si>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</si>
  <si>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</si>
  <si>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Capitalise AFFO, the post-interest owner flow, at the cost of equity, with net debt held at zero to avoid the REIT double-count. The house basis re-deducts the SBC that Core FFO adds back. The growth path, not the margin, carries every operating judgment: FY2026 follows guidance ($1.65 AFFO/share on a shrinking count = fewer AFFO dollars), then 3% steady state fading to 2.5%. The terminal multiple is a Gordon value (~16x AFFO base), not a re-rating bet.
key_risks_to_valuation: Regulation: the ROAD to Housing Act (July 2026) bans institutional purchase of existing single-family homes; further rent-control or eviction restrictions in Sunbelt states would compress the same-store growth the base case assumes.; Refinancing: US$8.6bn of debt at a 3.9% weighted rate with 4.4 years to maturity rolls at 5%+; every 100bp on the whole stack is ~US$86m, ~9% of AFFO.; Disposition-for-buyback trade: the FY2026 AFFO-dollar decline is deliberate (selling homes above the value implied by the share price). If private-market home values fall, the trade stops being accretive and the growth path is too high.; Opex inflation: guided property tax +4-5% and insurance +5-7% against revenue +1.9%; Same Store NOI guidance is only 1.15%.; Mortgage-rate relief narrowing the ~$1,000/month rent-vs-buy gap would lift turnover and cap rent growth.; Share count: 594.27m is the 30-Jun-2026 count; ~US$100m of Q3 repurchases (~3.7m shares) are not yet in it, a ~0.6% understatement of per-share value.</t>
  </si>
  <si>
    <t xml:space="preserve">Data sources</t>
  </si>
  <si>
    <t xml:space="preserve">price: Yahoo Finance v8 chart API at inputs.price_as_of; 52-week range 24.25-30.89.
financials: INVH_Metrics.csv (SEC XBRL, FY2014-Q2 2026) for revenue, net income, OCF, SBC, debt, cash, shares; Q2 2026 (8-K 2026-07-29, acc 0001687229-26-000041) and Q4 2025 (8-K 2026-02-18, acc 0001687229-26-000013) Earnings Release and Supplemental Information on EDGAR for FFO/Core FFO/AFFO reconciliations, diluted shares+units, debt structure, net debt and FY2026 guidance; Q4 2023 and Q4 2022 releases for FY2021-FY2023 AFFO per share.
qualitative: INVH_Analysis.json (2026-09-29): ROAD to Housing Act, FTC settlement, ResiBuilt acquisition, buyback program, guidance commentary.</t>
  </si>
  <si>
    <t xml:space="preserve">Scenario narrative: bear</t>
  </si>
  <si>
    <t xml:space="preserve">Growth is legislated away: acquisition of existing homes is closed, rent restrictions follow the FTC settlement into state law, opex inflation outruns rent, and refinancing 3.9% debt at 5%+ eats the same-store growth. AFFO is flat to +1.5% and capitalised at 9.5% with a 13.6x terminal multiple. Solvency is not the issue (5.4x, IG, 4.4x fixed-charge cover); the issue is a permanently slower compounding rate.</t>
  </si>
  <si>
    <t xml:space="preserve">Scenario narrative: base</t>
  </si>
  <si>
    <t xml:space="preserve">INVH becomes a same-store compounder rather than an acquirer: ~1-2% same-store NOI growth, a modest BTR/fee-income layer, and a disposition-funded buyback that adds ~1%/yr per share, netting to ~3% AFFO growth after the interest drift. AFFO per share reaches ~$2.00 by FY2030. Capitalised at 8.75% with a 16x terminal multiple, the stock is priced about where it should be.</t>
  </si>
  <si>
    <t xml:space="preserve">Scenario narrative: bull</t>
  </si>
  <si>
    <t xml:space="preserve">The ROAD Act turns out to be a moat rather than a cap: institutional competitors cannot buy existing homes either, INVH's BTR pipeline is exempt, rents re-accelerate to 3%+, and the buyback at a discount to private-market home values continues. AFFO growth of 4-4.5% and a re-rating toward an 18-19x multiple.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</si>
  <si>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</si>
  <si>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</si>
  <si>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</si>
  <si>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</si>
  <si>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</si>
  <si>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</si>
  <si>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</si>
  <si>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</si>
  <si>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</si>
  <si>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</si>
  <si>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</si>
  <si>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</si>
  <si>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</si>
  <si>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</si>
  <si>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</si>
  <si>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</si>
  <si>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</si>
  <si>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</si>
  <si>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</si>
  <si>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</si>
  <si>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</si>
  <si>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</si>
  <si>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</si>
  <si>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</si>
  <si>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</si>
  <si>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</si>
  <si>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</si>
  <si>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</si>
  <si>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</si>
  <si>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</si>
  <si>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</si>
  <si>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</si>
  <si>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</si>
  <si>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</si>
  <si>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</si>
  <si>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</si>
  <si>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</si>
  <si>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</si>
  <si>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</si>
  <si>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</si>
  <si>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</si>
  <si>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</si>
  <si>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</si>
  <si>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</si>
  <si>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</si>
  <si>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</si>
  <si>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</si>
  <si>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</si>
  <si>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</si>
  <si>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</si>
  <si>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</si>
  <si>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</si>
  <si>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</si>
  <si>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</si>
  <si>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</si>
  <si>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</si>
  <si>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</si>
  <si>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</si>
  <si>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</si>
  <si>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</si>
  <si>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</si>
  <si>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</si>
  <si>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</si>
  <si>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</si>
  <si>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</si>
  <si>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</si>
  <si>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</si>
  <si>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</si>
  <si>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</si>
  <si>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</si>
  <si>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</si>
  <si>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</si>
  <si>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</si>
  <si>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</si>
  <si>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</si>
  <si>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</si>
  <si>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INVH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</si>
  <si>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</si>
  <si>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</si>
  <si>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</si>
  <si>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</si>
  <si>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</si>
  <si>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</si>
  <si>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</si>
  <si>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</si>
  <si>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</si>
  <si>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</si>
  <si>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</si>
  <si>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</si>
  <si>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</si>
  <si>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</si>
  <si>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</si>
  <si>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</si>
  <si>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</si>
  <si>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</si>
  <si>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</si>
  <si>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</si>
  <si>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</si>
  <si>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</si>
  <si>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</si>
  <si>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</si>
  <si>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</si>
  <si>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</si>
  <si>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</si>
  <si>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</si>
  <si>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</si>
  <si>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</si>
  <si>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INVH owner-FCF component DCF: base case (millions, USD)</t>
  </si>
  <si>
    <t xml:space="preserve">INVH owner-FCF component DCF: bull case (millions, USD)</t>
  </si>
  <si>
    <t xml:space="preserve">INVH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</si>
  <si>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</si>
  <si>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</si>
  <si>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</si>
  <si>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</si>
  <si>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</si>
  <si>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</si>
  <si>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</si>
  <si>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</si>
  <si>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</si>
  <si>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</si>
  <si>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</si>
  <si>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</si>
  <si>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</si>
  <si>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</si>
  <si>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8.75%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</si>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</sst>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26.54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2456.601</v>
      </c>
      <c r="S2" s="0" t="n">
        <v>285.596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59.535</v>
      </c>
      <c r="F3" s="0" t="n">
        <v>114.377</v>
      </c>
      <c r="G3" s="0" t="n">
        <v>192.117241958512</v>
      </c>
      <c r="I3" s="0" t="n">
        <v>-160.208</v>
      </c>
      <c r="J3" s="0" t="n">
        <v>-269.09884941631</v>
      </c>
      <c r="L3" s="0" t="n">
        <v>197.474</v>
      </c>
      <c r="M3" s="0" t="n">
        <v>2.031</v>
      </c>
      <c r="N3" s="0" t="n">
        <v>195.443</v>
      </c>
      <c r="O3" s="0" t="n">
        <v>1887.031</v>
      </c>
      <c r="S3" s="0" t="n">
        <v>274.818</v>
      </c>
      <c r="U3" s="0" t="n">
        <v>27.924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922.587</v>
      </c>
      <c r="F4" s="0" t="n">
        <v>190.777</v>
      </c>
      <c r="G4" s="0" t="n">
        <v>20.6784834384183</v>
      </c>
      <c r="I4" s="0" t="n">
        <v>-78.239</v>
      </c>
      <c r="J4" s="0" t="n">
        <v>-8.48039263505772</v>
      </c>
      <c r="L4" s="0" t="n">
        <v>256.054</v>
      </c>
      <c r="M4" s="0" t="n">
        <v>3.857</v>
      </c>
      <c r="N4" s="0" t="n">
        <v>252.197</v>
      </c>
      <c r="O4" s="0" t="n">
        <v>1957.423</v>
      </c>
      <c r="P4" s="0" t="n">
        <v>9732.351</v>
      </c>
      <c r="Q4" s="0" t="n">
        <v>7774.928</v>
      </c>
      <c r="S4" s="0" t="n">
        <v>198.119</v>
      </c>
      <c r="U4" s="0" t="n">
        <v>10.21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1054.456</v>
      </c>
      <c r="F5" s="0" t="n">
        <v>118.207</v>
      </c>
      <c r="G5" s="0" t="n">
        <v>11.2102354199701</v>
      </c>
      <c r="I5" s="0" t="n">
        <v>-105.826</v>
      </c>
      <c r="J5" s="0" t="n">
        <v>-10.0360754739885</v>
      </c>
      <c r="K5" s="0" t="n">
        <v>-0.26</v>
      </c>
      <c r="L5" s="0" t="n">
        <v>262.97</v>
      </c>
      <c r="M5" s="0" t="n">
        <v>4.086</v>
      </c>
      <c r="N5" s="0" t="n">
        <v>258.884</v>
      </c>
      <c r="O5" s="0" t="n">
        <v>8649.875</v>
      </c>
      <c r="P5" s="0" t="n">
        <v>18683.638</v>
      </c>
      <c r="Q5" s="0" t="n">
        <v>10033.763</v>
      </c>
      <c r="R5" s="0" t="n">
        <v>9651.662</v>
      </c>
      <c r="S5" s="0" t="n">
        <v>179.878</v>
      </c>
      <c r="T5" s="0" t="n">
        <v>519.173142</v>
      </c>
      <c r="U5" s="0" t="n">
        <v>81.203</v>
      </c>
      <c r="V5" s="0" t="n">
        <v>0.22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1722.962</v>
      </c>
      <c r="I6" s="0" t="n">
        <v>-5.013</v>
      </c>
      <c r="J6" s="0" t="n">
        <v>-0.290952441202998</v>
      </c>
      <c r="K6" s="0" t="n">
        <v>-0.01</v>
      </c>
      <c r="L6" s="0" t="n">
        <v>561.241</v>
      </c>
      <c r="M6" s="0" t="n">
        <v>4.027</v>
      </c>
      <c r="N6" s="0" t="n">
        <v>557.214</v>
      </c>
      <c r="O6" s="0" t="n">
        <v>8369.186</v>
      </c>
      <c r="P6" s="0" t="n">
        <v>18063.428</v>
      </c>
      <c r="Q6" s="0" t="n">
        <v>9694.242</v>
      </c>
      <c r="R6" s="0" t="n">
        <v>9249.815</v>
      </c>
      <c r="S6" s="0" t="n">
        <v>144.94</v>
      </c>
      <c r="T6" s="0" t="n">
        <v>520.647977</v>
      </c>
      <c r="U6" s="0" t="n">
        <v>29.499</v>
      </c>
      <c r="V6" s="0" t="n">
        <v>0.44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1764.685</v>
      </c>
      <c r="I7" s="0" t="n">
        <v>147.111</v>
      </c>
      <c r="J7" s="0" t="n">
        <v>8.33638864726566</v>
      </c>
      <c r="K7" s="0" t="n">
        <v>0.27</v>
      </c>
      <c r="L7" s="0" t="n">
        <v>662.13</v>
      </c>
      <c r="O7" s="0" t="n">
        <v>8266.078</v>
      </c>
      <c r="P7" s="0" t="n">
        <v>17392.91</v>
      </c>
      <c r="Q7" s="0" t="n">
        <v>9126.832</v>
      </c>
      <c r="R7" s="0" t="n">
        <v>8467.485</v>
      </c>
      <c r="S7" s="0" t="n">
        <v>92.258</v>
      </c>
      <c r="T7" s="0" t="n">
        <v>541.642725</v>
      </c>
      <c r="U7" s="0" t="n">
        <v>18.158</v>
      </c>
      <c r="V7" s="0" t="n">
        <v>0.52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1822.828</v>
      </c>
      <c r="I8" s="0" t="n">
        <v>197.449</v>
      </c>
      <c r="J8" s="0" t="n">
        <v>10.8320148692032</v>
      </c>
      <c r="K8" s="0" t="n">
        <v>0.35</v>
      </c>
      <c r="L8" s="0" t="n">
        <v>696.712</v>
      </c>
      <c r="O8" s="0" t="n">
        <v>8556.073</v>
      </c>
      <c r="P8" s="0" t="n">
        <v>17506.222</v>
      </c>
      <c r="Q8" s="0" t="n">
        <v>8950.149</v>
      </c>
      <c r="R8" s="0" t="n">
        <v>8031.504</v>
      </c>
      <c r="S8" s="0" t="n">
        <v>213.422</v>
      </c>
      <c r="T8" s="0" t="n">
        <v>567.117666</v>
      </c>
      <c r="U8" s="0" t="n">
        <v>17.09</v>
      </c>
      <c r="V8" s="0" t="n">
        <v>0.6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1996.615</v>
      </c>
      <c r="I9" s="0" t="n">
        <v>262.776</v>
      </c>
      <c r="J9" s="0" t="n">
        <v>13.16107511964</v>
      </c>
      <c r="K9" s="0" t="n">
        <v>0.45</v>
      </c>
      <c r="L9" s="0" t="n">
        <v>907.66</v>
      </c>
      <c r="O9" s="0" t="n">
        <v>9838.804</v>
      </c>
      <c r="P9" s="0" t="n">
        <v>18537.846</v>
      </c>
      <c r="Q9" s="0" t="n">
        <v>8699.042</v>
      </c>
      <c r="R9" s="0" t="n">
        <v>7998.659</v>
      </c>
      <c r="S9" s="0" t="n">
        <v>610.166</v>
      </c>
      <c r="T9" s="0" t="n">
        <v>601.045438</v>
      </c>
      <c r="U9" s="0" t="n">
        <v>27.17</v>
      </c>
      <c r="V9" s="0" t="n">
        <v>0.68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2238.121</v>
      </c>
      <c r="I10" s="0" t="n">
        <v>384.799</v>
      </c>
      <c r="J10" s="0" t="n">
        <v>17.1929489066945</v>
      </c>
      <c r="K10" s="0" t="n">
        <v>0.63</v>
      </c>
      <c r="L10" s="0" t="n">
        <v>1023.587</v>
      </c>
      <c r="O10" s="0" t="n">
        <v>10323.631</v>
      </c>
      <c r="P10" s="0" t="n">
        <v>18536.708</v>
      </c>
      <c r="Q10" s="0" t="n">
        <v>8213.077</v>
      </c>
      <c r="R10" s="0" t="n">
        <v>7769.077</v>
      </c>
      <c r="S10" s="0" t="n">
        <v>262.87</v>
      </c>
      <c r="T10" s="0" t="n">
        <v>611.411382</v>
      </c>
      <c r="U10" s="0" t="n">
        <v>28.962</v>
      </c>
      <c r="V10" s="0" t="n">
        <v>0.88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2432.278</v>
      </c>
      <c r="I11" s="0" t="n">
        <v>521.028</v>
      </c>
      <c r="J11" s="0" t="n">
        <v>21.4214000208858</v>
      </c>
      <c r="K11" s="0" t="n">
        <v>0.85</v>
      </c>
      <c r="L11" s="0" t="n">
        <v>1107.088</v>
      </c>
      <c r="O11" s="0" t="n">
        <v>10190.435</v>
      </c>
      <c r="P11" s="0" t="n">
        <v>19220.967</v>
      </c>
      <c r="Q11" s="0" t="n">
        <v>9030.532</v>
      </c>
      <c r="R11" s="0" t="n">
        <v>8546.052</v>
      </c>
      <c r="S11" s="0" t="n">
        <v>700.618</v>
      </c>
      <c r="T11" s="0" t="n">
        <v>613.288708</v>
      </c>
      <c r="U11" s="0" t="n">
        <v>29.503</v>
      </c>
      <c r="V11" s="0" t="n">
        <v>1.04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2618.942</v>
      </c>
      <c r="I12" s="0" t="n">
        <v>455.365</v>
      </c>
      <c r="J12" s="0" t="n">
        <v>17.3873648213668</v>
      </c>
      <c r="K12" s="0" t="n">
        <v>0.74</v>
      </c>
      <c r="L12" s="0" t="n">
        <v>1081.805</v>
      </c>
      <c r="O12" s="0" t="n">
        <v>9792.509</v>
      </c>
      <c r="P12" s="0" t="n">
        <v>18700.951</v>
      </c>
      <c r="Q12" s="0" t="n">
        <v>8908.442</v>
      </c>
      <c r="R12" s="0" t="n">
        <v>8202.302</v>
      </c>
      <c r="S12" s="0" t="n">
        <v>174.491</v>
      </c>
      <c r="T12" s="0" t="n">
        <v>613.631617</v>
      </c>
      <c r="U12" s="0" t="n">
        <v>27.918</v>
      </c>
      <c r="V12" s="0" t="n">
        <v>1.41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2729.296</v>
      </c>
      <c r="I13" s="0" t="n">
        <v>589.909</v>
      </c>
      <c r="J13" s="0" t="n">
        <v>21.6139619887326</v>
      </c>
      <c r="K13" s="0" t="n">
        <v>0.96</v>
      </c>
      <c r="L13" s="0" t="n">
        <v>1206.23</v>
      </c>
      <c r="O13" s="0" t="n">
        <v>9567.892</v>
      </c>
      <c r="P13" s="0" t="n">
        <v>18680.29</v>
      </c>
      <c r="Q13" s="0" t="n">
        <v>9112.398</v>
      </c>
      <c r="R13" s="0" t="n">
        <v>8380.02</v>
      </c>
      <c r="S13" s="0" t="n">
        <v>129.971</v>
      </c>
      <c r="T13" s="0" t="n">
        <v>613.177806</v>
      </c>
      <c r="U13" s="0" t="n">
        <v>27.83</v>
      </c>
      <c r="V13" s="0" t="n">
        <v>1.17</v>
      </c>
      <c r="AA13" s="0" t="s">
        <v>17</v>
      </c>
      <c r="AB13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26.54</v>
      </c>
    </row>
    <row r="3" customFormat="false" ht="15" hidden="false" customHeight="false" outlineLevel="0" collapsed="false">
      <c r="A3" s="0" t="s">
        <v>78</v>
      </c>
      <c r="B3" s="3" t="n">
        <v>594.27</v>
      </c>
    </row>
    <row r="4" customFormat="false" ht="15" hidden="false" customHeight="false" outlineLevel="0" collapsed="false">
      <c r="A4" s="0" t="s">
        <v>79</v>
      </c>
      <c r="B4" s="3" t="n">
        <v>0</v>
      </c>
    </row>
    <row r="5" customFormat="false" ht="15" hidden="false" customHeight="false" outlineLevel="0" collapsed="false">
      <c r="A5" s="0" t="s">
        <v>80</v>
      </c>
      <c r="B5" s="3" t="n">
        <v>0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2729.3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-3</v>
      </c>
      <c r="D13" s="3" t="n">
        <v>0.5</v>
      </c>
      <c r="E13" s="3" t="n">
        <v>1</v>
      </c>
      <c r="F13" s="3" t="n">
        <v>1</v>
      </c>
      <c r="G13" s="3" t="n">
        <v>1.5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99</v>
      </c>
      <c r="C14" s="3" t="n">
        <v>43.1</v>
      </c>
      <c r="D14" s="3" t="n">
        <v>43.1</v>
      </c>
      <c r="E14" s="3" t="n">
        <v>43.1</v>
      </c>
      <c r="F14" s="3" t="n">
        <v>43.1</v>
      </c>
      <c r="G14" s="3" t="n">
        <v>43.1</v>
      </c>
      <c r="H14" s="3" t="n">
        <v>43.1</v>
      </c>
      <c r="I14" s="3" t="n">
        <v>43.1</v>
      </c>
      <c r="J14" s="3" t="n">
        <v>43.1</v>
      </c>
      <c r="K14" s="3" t="n">
        <v>43.1</v>
      </c>
      <c r="L14" s="3" t="n">
        <v>43.1</v>
      </c>
    </row>
    <row r="15" customFormat="false" ht="15" hidden="false" customHeight="false" outlineLevel="0" collapsed="false">
      <c r="A15" s="0" t="s">
        <v>100</v>
      </c>
      <c r="C15" s="3" t="n">
        <v>1</v>
      </c>
      <c r="D15" s="3" t="n">
        <v>1</v>
      </c>
      <c r="E15" s="3" t="n">
        <v>1</v>
      </c>
      <c r="F15" s="3" t="n">
        <v>1</v>
      </c>
      <c r="G15" s="3" t="n">
        <v>1</v>
      </c>
      <c r="H15" s="3" t="n">
        <v>1</v>
      </c>
      <c r="I15" s="3" t="n">
        <v>1</v>
      </c>
      <c r="J15" s="3" t="n">
        <v>1</v>
      </c>
      <c r="K15" s="3" t="n">
        <v>1</v>
      </c>
      <c r="L15" s="3" t="n">
        <v>1</v>
      </c>
    </row>
    <row r="16" customFormat="false" ht="15" hidden="false" customHeight="false" outlineLevel="0" collapsed="false">
      <c r="A16" s="0" t="s">
        <v>101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102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103</v>
      </c>
      <c r="C18" s="3" t="n">
        <v>6.4</v>
      </c>
      <c r="D18" s="3" t="n">
        <v>6.4</v>
      </c>
      <c r="E18" s="3" t="n">
        <v>6.4</v>
      </c>
      <c r="F18" s="3" t="n">
        <v>6.4</v>
      </c>
      <c r="G18" s="3" t="n">
        <v>6.4</v>
      </c>
      <c r="H18" s="3" t="n">
        <v>6.4</v>
      </c>
      <c r="I18" s="3" t="n">
        <v>6.4</v>
      </c>
      <c r="J18" s="3" t="n">
        <v>6.4</v>
      </c>
      <c r="K18" s="3" t="n">
        <v>6.4</v>
      </c>
      <c r="L18" s="3" t="n">
        <v>6.4</v>
      </c>
    </row>
    <row r="19" customFormat="false" ht="15" hidden="false" customHeight="false" outlineLevel="0" collapsed="false">
      <c r="A19" s="0" t="s">
        <v>104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105</v>
      </c>
      <c r="B20" s="3" t="n">
        <v>9.5</v>
      </c>
    </row>
    <row r="21" customFormat="false" ht="15" hidden="false" customHeight="false" outlineLevel="0" collapsed="false">
      <c r="A21" s="0" t="s">
        <v>106</v>
      </c>
      <c r="B21" s="3" t="n">
        <v>2</v>
      </c>
    </row>
    <row r="22" customFormat="false" ht="15" hidden="false" customHeight="false" outlineLevel="0" collapsed="false">
      <c r="A22" s="0" t="s">
        <v>107</v>
      </c>
      <c r="B22" s="3" t="n">
        <v>14</v>
      </c>
    </row>
    <row r="23" customFormat="false" ht="15" hidden="false" customHeight="false" outlineLevel="0" collapsed="false">
      <c r="A23" s="0" t="s">
        <v>108</v>
      </c>
      <c r="B23" s="3" t="n">
        <v>0</v>
      </c>
    </row>
    <row r="24" customFormat="false" ht="15" hidden="false" customHeight="false" outlineLevel="0" collapsed="false">
      <c r="A24" s="0" t="s">
        <v>109</v>
      </c>
      <c r="B24" s="3" t="n">
        <v>0.25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-1.5</v>
      </c>
      <c r="D27" s="3" t="n">
        <v>3</v>
      </c>
      <c r="E27" s="3" t="n">
        <v>3</v>
      </c>
      <c r="F27" s="3" t="n">
        <v>3</v>
      </c>
      <c r="G27" s="3" t="n">
        <v>2.75</v>
      </c>
      <c r="H27" s="3" t="n">
        <v>2.5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99</v>
      </c>
      <c r="C28" s="3" t="n">
        <v>43.1</v>
      </c>
      <c r="D28" s="3" t="n">
        <v>43.1</v>
      </c>
      <c r="E28" s="3" t="n">
        <v>43.1</v>
      </c>
      <c r="F28" s="3" t="n">
        <v>43.1</v>
      </c>
      <c r="G28" s="3" t="n">
        <v>43.1</v>
      </c>
      <c r="H28" s="3" t="n">
        <v>43.1</v>
      </c>
      <c r="I28" s="3" t="n">
        <v>43.1</v>
      </c>
      <c r="J28" s="3" t="n">
        <v>43.1</v>
      </c>
      <c r="K28" s="3" t="n">
        <v>43.1</v>
      </c>
      <c r="L28" s="3" t="n">
        <v>43.1</v>
      </c>
    </row>
    <row r="29" customFormat="false" ht="15" hidden="false" customHeight="false" outlineLevel="0" collapsed="false">
      <c r="A29" s="0" t="s">
        <v>100</v>
      </c>
      <c r="C29" s="3" t="n">
        <v>1</v>
      </c>
      <c r="D29" s="3" t="n">
        <v>1</v>
      </c>
      <c r="E29" s="3" t="n">
        <v>1</v>
      </c>
      <c r="F29" s="3" t="n">
        <v>1</v>
      </c>
      <c r="G29" s="3" t="n">
        <v>1</v>
      </c>
      <c r="H29" s="3" t="n">
        <v>1</v>
      </c>
      <c r="I29" s="3" t="n">
        <v>1</v>
      </c>
      <c r="J29" s="3" t="n">
        <v>1</v>
      </c>
      <c r="K29" s="3" t="n">
        <v>1</v>
      </c>
      <c r="L29" s="3" t="n">
        <v>1</v>
      </c>
    </row>
    <row r="30" customFormat="false" ht="15" hidden="false" customHeight="false" outlineLevel="0" collapsed="false">
      <c r="A30" s="0" t="s">
        <v>101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102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103</v>
      </c>
      <c r="C32" s="3" t="n">
        <v>6.4</v>
      </c>
      <c r="D32" s="3" t="n">
        <v>6.4</v>
      </c>
      <c r="E32" s="3" t="n">
        <v>6.4</v>
      </c>
      <c r="F32" s="3" t="n">
        <v>6.4</v>
      </c>
      <c r="G32" s="3" t="n">
        <v>6.4</v>
      </c>
      <c r="H32" s="3" t="n">
        <v>6.4</v>
      </c>
      <c r="I32" s="3" t="n">
        <v>6.4</v>
      </c>
      <c r="J32" s="3" t="n">
        <v>6.4</v>
      </c>
      <c r="K32" s="3" t="n">
        <v>6.4</v>
      </c>
      <c r="L32" s="3" t="n">
        <v>6.4</v>
      </c>
    </row>
    <row r="33" customFormat="false" ht="15" hidden="false" customHeight="false" outlineLevel="0" collapsed="false">
      <c r="A33" s="0" t="s">
        <v>104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105</v>
      </c>
      <c r="B34" s="3" t="n">
        <v>8.75</v>
      </c>
    </row>
    <row r="35" customFormat="false" ht="15" hidden="false" customHeight="false" outlineLevel="0" collapsed="false">
      <c r="A35" s="0" t="s">
        <v>106</v>
      </c>
      <c r="B35" s="3" t="n">
        <v>2.5</v>
      </c>
    </row>
    <row r="36" customFormat="false" ht="15" hidden="false" customHeight="false" outlineLevel="0" collapsed="false">
      <c r="A36" s="0" t="s">
        <v>107</v>
      </c>
      <c r="B36" s="3" t="n">
        <v>18</v>
      </c>
    </row>
    <row r="37" customFormat="false" ht="15" hidden="false" customHeight="false" outlineLevel="0" collapsed="false">
      <c r="A37" s="0" t="s">
        <v>108</v>
      </c>
      <c r="B37" s="3" t="n">
        <v>0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0</v>
      </c>
      <c r="D41" s="3" t="n">
        <v>4.5</v>
      </c>
      <c r="E41" s="3" t="n">
        <v>4.5</v>
      </c>
      <c r="F41" s="3" t="n">
        <v>4</v>
      </c>
      <c r="G41" s="3" t="n">
        <v>4</v>
      </c>
      <c r="H41" s="3" t="n">
        <v>3.5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99</v>
      </c>
      <c r="C42" s="3" t="n">
        <v>43.1</v>
      </c>
      <c r="D42" s="3" t="n">
        <v>43.1</v>
      </c>
      <c r="E42" s="3" t="n">
        <v>43.1</v>
      </c>
      <c r="F42" s="3" t="n">
        <v>43.1</v>
      </c>
      <c r="G42" s="3" t="n">
        <v>43.1</v>
      </c>
      <c r="H42" s="3" t="n">
        <v>43.1</v>
      </c>
      <c r="I42" s="3" t="n">
        <v>43.1</v>
      </c>
      <c r="J42" s="3" t="n">
        <v>43.1</v>
      </c>
      <c r="K42" s="3" t="n">
        <v>43.1</v>
      </c>
      <c r="L42" s="3" t="n">
        <v>43.1</v>
      </c>
    </row>
    <row r="43" customFormat="false" ht="15" hidden="false" customHeight="false" outlineLevel="0" collapsed="false">
      <c r="A43" s="0" t="s">
        <v>100</v>
      </c>
      <c r="C43" s="3" t="n">
        <v>1</v>
      </c>
      <c r="D43" s="3" t="n">
        <v>1</v>
      </c>
      <c r="E43" s="3" t="n">
        <v>1</v>
      </c>
      <c r="F43" s="3" t="n">
        <v>1</v>
      </c>
      <c r="G43" s="3" t="n">
        <v>1</v>
      </c>
      <c r="H43" s="3" t="n">
        <v>1</v>
      </c>
      <c r="I43" s="3" t="n">
        <v>1</v>
      </c>
      <c r="J43" s="3" t="n">
        <v>1</v>
      </c>
      <c r="K43" s="3" t="n">
        <v>1</v>
      </c>
      <c r="L43" s="3" t="n">
        <v>1</v>
      </c>
    </row>
    <row r="44" customFormat="false" ht="15" hidden="false" customHeight="false" outlineLevel="0" collapsed="false">
      <c r="A44" s="0" t="s">
        <v>101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102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103</v>
      </c>
      <c r="C46" s="3" t="n">
        <v>6.4</v>
      </c>
      <c r="D46" s="3" t="n">
        <v>6.4</v>
      </c>
      <c r="E46" s="3" t="n">
        <v>6.4</v>
      </c>
      <c r="F46" s="3" t="n">
        <v>6.4</v>
      </c>
      <c r="G46" s="3" t="n">
        <v>6.4</v>
      </c>
      <c r="H46" s="3" t="n">
        <v>6.4</v>
      </c>
      <c r="I46" s="3" t="n">
        <v>6.4</v>
      </c>
      <c r="J46" s="3" t="n">
        <v>6.4</v>
      </c>
      <c r="K46" s="3" t="n">
        <v>6.4</v>
      </c>
      <c r="L46" s="3" t="n">
        <v>6.4</v>
      </c>
    </row>
    <row r="47" customFormat="false" ht="15" hidden="false" customHeight="false" outlineLevel="0" collapsed="false">
      <c r="A47" s="0" t="s">
        <v>104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105</v>
      </c>
      <c r="B48" s="3" t="n">
        <v>8.25</v>
      </c>
    </row>
    <row r="49" customFormat="false" ht="15" hidden="false" customHeight="false" outlineLevel="0" collapsed="false">
      <c r="A49" s="0" t="s">
        <v>106</v>
      </c>
      <c r="B49" s="3" t="n">
        <v>2.75</v>
      </c>
    </row>
    <row r="50" customFormat="false" ht="15" hidden="false" customHeight="false" outlineLevel="0" collapsed="false">
      <c r="A50" s="0" t="s">
        <v>107</v>
      </c>
      <c r="B50" s="3" t="n">
        <v>20</v>
      </c>
    </row>
    <row r="51" customFormat="false" ht="15" hidden="false" customHeight="false" outlineLevel="0" collapsed="false">
      <c r="A51" s="0" t="s">
        <v>108</v>
      </c>
      <c r="B51" s="3" t="n">
        <v>0</v>
      </c>
    </row>
    <row r="52" customFormat="false" ht="15" hidden="false" customHeight="false" outlineLevel="0" collapsed="false">
      <c r="A52" s="0" t="s">
        <v>109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-3</v>
      </c>
      <c r="D5" s="4" t="n">
        <f aca="false">Assumptions!D13</f>
        <v>0.5</v>
      </c>
      <c r="E5" s="4" t="n">
        <f aca="false">Assumptions!E13</f>
        <v>1</v>
      </c>
      <c r="F5" s="4" t="n">
        <f aca="false">Assumptions!F13</f>
        <v>1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2729.3</v>
      </c>
      <c r="C6" s="0" t="n">
        <f aca="false">B6*(1+C5/100)</f>
        <v>2647.421</v>
      </c>
      <c r="D6" s="0" t="n">
        <f aca="false">C6*(1+D5/100)</f>
        <v>2660.658105</v>
      </c>
      <c r="E6" s="0" t="n">
        <f aca="false">D6*(1+E5/100)</f>
        <v>2687.26468605</v>
      </c>
      <c r="F6" s="0" t="n">
        <f aca="false">E6*(1+F5/100)</f>
        <v>2714.1373329105</v>
      </c>
      <c r="G6" s="0" t="n">
        <f aca="false">F6*(1+G5/100)</f>
        <v>2754.84939290416</v>
      </c>
      <c r="H6" s="0" t="n">
        <f aca="false">G6*(1+H5/100)</f>
        <v>2796.17213379772</v>
      </c>
      <c r="I6" s="0" t="n">
        <f aca="false">H6*(1+I5/100)</f>
        <v>2838.11471580468</v>
      </c>
      <c r="J6" s="0" t="n">
        <f aca="false">I6*(1+J5/100)</f>
        <v>2880.68643654175</v>
      </c>
      <c r="K6" s="0" t="n">
        <f aca="false">J6*(1+K5/100)</f>
        <v>2923.89673308988</v>
      </c>
      <c r="L6" s="0" t="n">
        <f aca="false">K6*(1+L5/100)</f>
        <v>2967.75518408623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43.1</v>
      </c>
      <c r="D7" s="4" t="n">
        <f aca="false">Assumptions!D14</f>
        <v>43.1</v>
      </c>
      <c r="E7" s="4" t="n">
        <f aca="false">Assumptions!E14</f>
        <v>43.1</v>
      </c>
      <c r="F7" s="4" t="n">
        <f aca="false">Assumptions!F14</f>
        <v>43.1</v>
      </c>
      <c r="G7" s="4" t="n">
        <f aca="false">Assumptions!G14</f>
        <v>43.1</v>
      </c>
      <c r="H7" s="4" t="n">
        <f aca="false">Assumptions!H14</f>
        <v>43.1</v>
      </c>
      <c r="I7" s="4" t="n">
        <f aca="false">Assumptions!I14</f>
        <v>43.1</v>
      </c>
      <c r="J7" s="4" t="n">
        <f aca="false">Assumptions!J14</f>
        <v>43.1</v>
      </c>
      <c r="K7" s="4" t="n">
        <f aca="false">Assumptions!K14</f>
        <v>43.1</v>
      </c>
      <c r="L7" s="4" t="n">
        <f aca="false">Assumptions!L14</f>
        <v>43.1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1141.038451</v>
      </c>
      <c r="D8" s="0" t="n">
        <f aca="false">D6*D7/100</f>
        <v>1146.743643255</v>
      </c>
      <c r="E8" s="0" t="n">
        <f aca="false">E6*E7/100</f>
        <v>1158.21107968755</v>
      </c>
      <c r="F8" s="0" t="n">
        <f aca="false">F6*F7/100</f>
        <v>1169.79319048443</v>
      </c>
      <c r="G8" s="0" t="n">
        <f aca="false">G6*G7/100</f>
        <v>1187.34008834169</v>
      </c>
      <c r="H8" s="0" t="n">
        <f aca="false">H6*H7/100</f>
        <v>1205.15018966682</v>
      </c>
      <c r="I8" s="0" t="n">
        <f aca="false">I6*I7/100</f>
        <v>1223.22744251182</v>
      </c>
      <c r="J8" s="0" t="n">
        <f aca="false">J6*J7/100</f>
        <v>1241.5758541495</v>
      </c>
      <c r="K8" s="0" t="n">
        <f aca="false">K6*K7/100</f>
        <v>1260.19949196174</v>
      </c>
      <c r="L8" s="0" t="n">
        <f aca="false">L6*L7/100</f>
        <v>1279.10248434116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1</v>
      </c>
      <c r="D9" s="4" t="n">
        <f aca="false">Assumptions!D15</f>
        <v>1</v>
      </c>
      <c r="E9" s="4" t="n">
        <f aca="false">Assumptions!E15</f>
        <v>1</v>
      </c>
      <c r="F9" s="4" t="n">
        <f aca="false">Assumptions!F15</f>
        <v>1</v>
      </c>
      <c r="G9" s="4" t="n">
        <f aca="false">Assumptions!G15</f>
        <v>1</v>
      </c>
      <c r="H9" s="4" t="n">
        <f aca="false">Assumptions!H15</f>
        <v>1</v>
      </c>
      <c r="I9" s="4" t="n">
        <f aca="false">Assumptions!I15</f>
        <v>1</v>
      </c>
      <c r="J9" s="4" t="n">
        <f aca="false">Assumptions!J15</f>
        <v>1</v>
      </c>
      <c r="K9" s="4" t="n">
        <f aca="false">Assumptions!K15</f>
        <v>1</v>
      </c>
      <c r="L9" s="4" t="n">
        <f aca="false">Assumptions!L15</f>
        <v>1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-26.47421</v>
      </c>
      <c r="D10" s="0" t="n">
        <f aca="false">-D6*D9/100</f>
        <v>-26.60658105</v>
      </c>
      <c r="E10" s="0" t="n">
        <f aca="false">-E6*E9/100</f>
        <v>-26.8726468605</v>
      </c>
      <c r="F10" s="0" t="n">
        <f aca="false">-F6*F9/100</f>
        <v>-27.141373329105</v>
      </c>
      <c r="G10" s="0" t="n">
        <f aca="false">-G6*G9/100</f>
        <v>-27.5484939290416</v>
      </c>
      <c r="H10" s="0" t="n">
        <f aca="false">-H6*H9/100</f>
        <v>-27.9617213379772</v>
      </c>
      <c r="I10" s="0" t="n">
        <f aca="false">-I6*I9/100</f>
        <v>-28.3811471580468</v>
      </c>
      <c r="J10" s="0" t="n">
        <f aca="false">-J6*J9/100</f>
        <v>-28.8068643654175</v>
      </c>
      <c r="K10" s="0" t="n">
        <f aca="false">-K6*K9/100</f>
        <v>-29.2389673308988</v>
      </c>
      <c r="L10" s="0" t="n">
        <f aca="false">-L6*L9/100</f>
        <v>-29.6775518408623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1114.564241</v>
      </c>
      <c r="D11" s="0" t="n">
        <f aca="false">D8+D10+D24</f>
        <v>1120.137062205</v>
      </c>
      <c r="E11" s="0" t="n">
        <f aca="false">E8+E10+E24</f>
        <v>1131.33843282705</v>
      </c>
      <c r="F11" s="0" t="n">
        <f aca="false">F8+F10+F24</f>
        <v>1142.65181715532</v>
      </c>
      <c r="G11" s="0" t="n">
        <f aca="false">G8+G10+G24</f>
        <v>1159.79159441265</v>
      </c>
      <c r="H11" s="0" t="n">
        <f aca="false">H8+H10+H24</f>
        <v>1177.18846832884</v>
      </c>
      <c r="I11" s="0" t="n">
        <f aca="false">I8+I10+I24</f>
        <v>1194.84629535377</v>
      </c>
      <c r="J11" s="0" t="n">
        <f aca="false">J8+J10+J24</f>
        <v>1212.76898978408</v>
      </c>
      <c r="K11" s="0" t="n">
        <f aca="false">K8+K10+K24</f>
        <v>1230.96052463084</v>
      </c>
      <c r="L11" s="0" t="n">
        <f aca="false">L8+L10+L24</f>
        <v>1249.4249325003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1114.564241</v>
      </c>
      <c r="D13" s="0" t="n">
        <f aca="false">D11+D12</f>
        <v>1120.137062205</v>
      </c>
      <c r="E13" s="0" t="n">
        <f aca="false">E11+E12</f>
        <v>1131.33843282705</v>
      </c>
      <c r="F13" s="0" t="n">
        <f aca="false">F11+F12</f>
        <v>1142.65181715532</v>
      </c>
      <c r="G13" s="0" t="n">
        <f aca="false">G11+G12</f>
        <v>1159.79159441265</v>
      </c>
      <c r="H13" s="0" t="n">
        <f aca="false">H11+H12</f>
        <v>1177.18846832884</v>
      </c>
      <c r="I13" s="0" t="n">
        <f aca="false">I11+I12</f>
        <v>1194.84629535377</v>
      </c>
      <c r="J13" s="0" t="n">
        <f aca="false">J11+J12</f>
        <v>1212.76898978408</v>
      </c>
      <c r="K13" s="0" t="n">
        <f aca="false">K11+K12</f>
        <v>1230.96052463084</v>
      </c>
      <c r="L13" s="0" t="n">
        <f aca="false">L11+L12</f>
        <v>1249.4249325003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1114.564241</v>
      </c>
      <c r="D15" s="0" t="n">
        <f aca="false">D13-MAX(0,D13)*D14/100</f>
        <v>1120.137062205</v>
      </c>
      <c r="E15" s="0" t="n">
        <f aca="false">E13-MAX(0,E13)*E14/100</f>
        <v>1131.33843282705</v>
      </c>
      <c r="F15" s="0" t="n">
        <f aca="false">F13-MAX(0,F13)*F14/100</f>
        <v>1142.65181715532</v>
      </c>
      <c r="G15" s="0" t="n">
        <f aca="false">G13-MAX(0,G13)*G14/100</f>
        <v>1159.79159441265</v>
      </c>
      <c r="H15" s="0" t="n">
        <f aca="false">H13-MAX(0,H13)*H14/100</f>
        <v>1177.18846832884</v>
      </c>
      <c r="I15" s="0" t="n">
        <f aca="false">I13-MAX(0,I13)*I14/100</f>
        <v>1194.84629535377</v>
      </c>
      <c r="J15" s="0" t="n">
        <f aca="false">J13-MAX(0,J13)*J14/100</f>
        <v>1212.76898978408</v>
      </c>
      <c r="K15" s="0" t="n">
        <f aca="false">K13-MAX(0,K13)*K14/100</f>
        <v>1230.96052463084</v>
      </c>
      <c r="L15" s="0" t="n">
        <f aca="false">L13-MAX(0,L13)*L14/100</f>
        <v>1249.4249325003</v>
      </c>
    </row>
    <row r="16" customFormat="false" ht="15" hidden="false" customHeight="false" outlineLevel="0" collapsed="false">
      <c r="A16" s="0" t="s">
        <v>120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-169.434944</v>
      </c>
      <c r="D17" s="4" t="n">
        <f aca="false">-D6*Assumptions!D18/100</f>
        <v>-170.28211872</v>
      </c>
      <c r="E17" s="4" t="n">
        <f aca="false">-E6*Assumptions!E18/100</f>
        <v>-171.9849399072</v>
      </c>
      <c r="F17" s="4" t="n">
        <f aca="false">-F6*Assumptions!F18/100</f>
        <v>-173.704789306272</v>
      </c>
      <c r="G17" s="4" t="n">
        <f aca="false">-G6*Assumptions!G18/100</f>
        <v>-176.310361145866</v>
      </c>
      <c r="H17" s="4" t="n">
        <f aca="false">-H6*Assumptions!H18/100</f>
        <v>-178.955016563054</v>
      </c>
      <c r="I17" s="4" t="n">
        <f aca="false">-I6*Assumptions!I18/100</f>
        <v>-181.6393418115</v>
      </c>
      <c r="J17" s="4" t="n">
        <f aca="false">-J6*Assumptions!J18/100</f>
        <v>-184.363931938672</v>
      </c>
      <c r="K17" s="4" t="n">
        <f aca="false">-K6*Assumptions!K18/100</f>
        <v>-187.129390917752</v>
      </c>
      <c r="L17" s="4" t="n">
        <f aca="false">-L6*Assumptions!L18/100</f>
        <v>-189.936331781519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-0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945.129297</v>
      </c>
      <c r="D19" s="0" t="n">
        <f aca="false">D15+D16+D17+D18</f>
        <v>949.854943485</v>
      </c>
      <c r="E19" s="0" t="n">
        <f aca="false">E15+E16+E17+E18</f>
        <v>959.35349291985</v>
      </c>
      <c r="F19" s="0" t="n">
        <f aca="false">F15+F16+F17+F18</f>
        <v>968.947027849049</v>
      </c>
      <c r="G19" s="0" t="n">
        <f aca="false">G15+G16+G17+G18</f>
        <v>983.481233266784</v>
      </c>
      <c r="H19" s="0" t="n">
        <f aca="false">H15+H16+H17+H18</f>
        <v>998.233451765786</v>
      </c>
      <c r="I19" s="0" t="n">
        <f aca="false">I15+I16+I17+I18</f>
        <v>1013.20695354227</v>
      </c>
      <c r="J19" s="0" t="n">
        <f aca="false">J15+J16+J17+J18</f>
        <v>1028.40505784541</v>
      </c>
      <c r="K19" s="0" t="n">
        <f aca="false">K15+K16+K17+K18</f>
        <v>1043.83113371309</v>
      </c>
      <c r="L19" s="0" t="n">
        <f aca="false">L15+L16+L17+L18</f>
        <v>1059.48860071878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863.131778082192</v>
      </c>
      <c r="D21" s="0" t="n">
        <f aca="false">D19*D20</f>
        <v>792.189440157628</v>
      </c>
      <c r="E21" s="0" t="n">
        <f aca="false">E19*E20</f>
        <v>730.69528270247</v>
      </c>
      <c r="F21" s="0" t="n">
        <f aca="false">F19*F20</f>
        <v>673.974644319173</v>
      </c>
      <c r="G21" s="0" t="n">
        <f aca="false">G19*G20</f>
        <v>624.734487656585</v>
      </c>
      <c r="H21" s="0" t="n">
        <f aca="false">H19*H20</f>
        <v>579.09178536204</v>
      </c>
      <c r="I21" s="0" t="n">
        <f aca="false">I19*I20</f>
        <v>536.783709719151</v>
      </c>
      <c r="J21" s="0" t="n">
        <f aca="false">J19*J20</f>
        <v>497.566635036473</v>
      </c>
      <c r="K21" s="0" t="n">
        <f aca="false">K19*K20</f>
        <v>461.214734759836</v>
      </c>
      <c r="L21" s="0" t="n">
        <f aca="false">L19*L20</f>
        <v>427.518681078752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6186.9011788743</v>
      </c>
    </row>
    <row r="31" customFormat="false" ht="15" hidden="false" customHeight="false" outlineLevel="0" collapsed="false">
      <c r="A31" s="0" t="s">
        <v>129</v>
      </c>
      <c r="B31" s="0" t="n">
        <f aca="false">L19</f>
        <v>1059.48860071878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14409.0449697755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14832.840410063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14409.0449697755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5814.25406267103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12001.1552415453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12001.1552415453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20.1947856051043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-0.239081175391699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173.302554030092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162.864259458572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20.7604658741548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8312.91055948584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11.73863811201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-1.5</v>
      </c>
      <c r="D5" s="4" t="n">
        <f aca="false">Assumptions!D27</f>
        <v>3</v>
      </c>
      <c r="E5" s="4" t="n">
        <f aca="false">Assumptions!E27</f>
        <v>3</v>
      </c>
      <c r="F5" s="4" t="n">
        <f aca="false">Assumptions!F27</f>
        <v>3</v>
      </c>
      <c r="G5" s="4" t="n">
        <f aca="false">Assumptions!G27</f>
        <v>2.75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2729.3</v>
      </c>
      <c r="C6" s="0" t="n">
        <f aca="false">B6*(1+C5/100)</f>
        <v>2688.3605</v>
      </c>
      <c r="D6" s="0" t="n">
        <f aca="false">C6*(1+D5/100)</f>
        <v>2769.011315</v>
      </c>
      <c r="E6" s="0" t="n">
        <f aca="false">D6*(1+E5/100)</f>
        <v>2852.08165445</v>
      </c>
      <c r="F6" s="0" t="n">
        <f aca="false">E6*(1+F5/100)</f>
        <v>2937.6441040835</v>
      </c>
      <c r="G6" s="0" t="n">
        <f aca="false">F6*(1+G5/100)</f>
        <v>3018.4293169458</v>
      </c>
      <c r="H6" s="0" t="n">
        <f aca="false">G6*(1+H5/100)</f>
        <v>3093.89004986944</v>
      </c>
      <c r="I6" s="0" t="n">
        <f aca="false">H6*(1+I5/100)</f>
        <v>3171.23730111618</v>
      </c>
      <c r="J6" s="0" t="n">
        <f aca="false">I6*(1+J5/100)</f>
        <v>3250.51823364408</v>
      </c>
      <c r="K6" s="0" t="n">
        <f aca="false">J6*(1+K5/100)</f>
        <v>3331.78118948518</v>
      </c>
      <c r="L6" s="0" t="n">
        <f aca="false">K6*(1+L5/100)</f>
        <v>3415.07571922231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43.1</v>
      </c>
      <c r="D7" s="4" t="n">
        <f aca="false">Assumptions!D28</f>
        <v>43.1</v>
      </c>
      <c r="E7" s="4" t="n">
        <f aca="false">Assumptions!E28</f>
        <v>43.1</v>
      </c>
      <c r="F7" s="4" t="n">
        <f aca="false">Assumptions!F28</f>
        <v>43.1</v>
      </c>
      <c r="G7" s="4" t="n">
        <f aca="false">Assumptions!G28</f>
        <v>43.1</v>
      </c>
      <c r="H7" s="4" t="n">
        <f aca="false">Assumptions!H28</f>
        <v>43.1</v>
      </c>
      <c r="I7" s="4" t="n">
        <f aca="false">Assumptions!I28</f>
        <v>43.1</v>
      </c>
      <c r="J7" s="4" t="n">
        <f aca="false">Assumptions!J28</f>
        <v>43.1</v>
      </c>
      <c r="K7" s="4" t="n">
        <f aca="false">Assumptions!K28</f>
        <v>43.1</v>
      </c>
      <c r="L7" s="4" t="n">
        <f aca="false">Assumptions!L28</f>
        <v>43.1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1158.6833755</v>
      </c>
      <c r="D8" s="0" t="n">
        <f aca="false">D6*D7/100</f>
        <v>1193.443876765</v>
      </c>
      <c r="E8" s="0" t="n">
        <f aca="false">E6*E7/100</f>
        <v>1229.24719306795</v>
      </c>
      <c r="F8" s="0" t="n">
        <f aca="false">F6*F7/100</f>
        <v>1266.12460885999</v>
      </c>
      <c r="G8" s="0" t="n">
        <f aca="false">G6*G7/100</f>
        <v>1300.94303560364</v>
      </c>
      <c r="H8" s="0" t="n">
        <f aca="false">H6*H7/100</f>
        <v>1333.46661149373</v>
      </c>
      <c r="I8" s="0" t="n">
        <f aca="false">I6*I7/100</f>
        <v>1366.80327678107</v>
      </c>
      <c r="J8" s="0" t="n">
        <f aca="false">J6*J7/100</f>
        <v>1400.9733587006</v>
      </c>
      <c r="K8" s="0" t="n">
        <f aca="false">K6*K7/100</f>
        <v>1435.99769266811</v>
      </c>
      <c r="L8" s="0" t="n">
        <f aca="false">L6*L7/100</f>
        <v>1471.89763498482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1</v>
      </c>
      <c r="D9" s="4" t="n">
        <f aca="false">Assumptions!D29</f>
        <v>1</v>
      </c>
      <c r="E9" s="4" t="n">
        <f aca="false">Assumptions!E29</f>
        <v>1</v>
      </c>
      <c r="F9" s="4" t="n">
        <f aca="false">Assumptions!F29</f>
        <v>1</v>
      </c>
      <c r="G9" s="4" t="n">
        <f aca="false">Assumptions!G29</f>
        <v>1</v>
      </c>
      <c r="H9" s="4" t="n">
        <f aca="false">Assumptions!H29</f>
        <v>1</v>
      </c>
      <c r="I9" s="4" t="n">
        <f aca="false">Assumptions!I29</f>
        <v>1</v>
      </c>
      <c r="J9" s="4" t="n">
        <f aca="false">Assumptions!J29</f>
        <v>1</v>
      </c>
      <c r="K9" s="4" t="n">
        <f aca="false">Assumptions!K29</f>
        <v>1</v>
      </c>
      <c r="L9" s="4" t="n">
        <f aca="false">Assumptions!L29</f>
        <v>1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-26.883605</v>
      </c>
      <c r="D10" s="0" t="n">
        <f aca="false">-D6*D9/100</f>
        <v>-27.69011315</v>
      </c>
      <c r="E10" s="0" t="n">
        <f aca="false">-E6*E9/100</f>
        <v>-28.5208165445</v>
      </c>
      <c r="F10" s="0" t="n">
        <f aca="false">-F6*F9/100</f>
        <v>-29.376441040835</v>
      </c>
      <c r="G10" s="0" t="n">
        <f aca="false">-G6*G9/100</f>
        <v>-30.184293169458</v>
      </c>
      <c r="H10" s="0" t="n">
        <f aca="false">-H6*H9/100</f>
        <v>-30.9389004986944</v>
      </c>
      <c r="I10" s="0" t="n">
        <f aca="false">-I6*I9/100</f>
        <v>-31.7123730111618</v>
      </c>
      <c r="J10" s="0" t="n">
        <f aca="false">-J6*J9/100</f>
        <v>-32.5051823364408</v>
      </c>
      <c r="K10" s="0" t="n">
        <f aca="false">-K6*K9/100</f>
        <v>-33.3178118948518</v>
      </c>
      <c r="L10" s="0" t="n">
        <f aca="false">-L6*L9/100</f>
        <v>-34.1507571922231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1131.7997705</v>
      </c>
      <c r="D11" s="0" t="n">
        <f aca="false">D8+D10+D24</f>
        <v>1165.753763615</v>
      </c>
      <c r="E11" s="0" t="n">
        <f aca="false">E8+E10+E24</f>
        <v>1200.72637652345</v>
      </c>
      <c r="F11" s="0" t="n">
        <f aca="false">F8+F10+F24</f>
        <v>1236.74816781915</v>
      </c>
      <c r="G11" s="0" t="n">
        <f aca="false">G8+G10+G24</f>
        <v>1270.75874243418</v>
      </c>
      <c r="H11" s="0" t="n">
        <f aca="false">H8+H10+H24</f>
        <v>1302.52771099503</v>
      </c>
      <c r="I11" s="0" t="n">
        <f aca="false">I8+I10+I24</f>
        <v>1335.09090376991</v>
      </c>
      <c r="J11" s="0" t="n">
        <f aca="false">J8+J10+J24</f>
        <v>1368.46817636416</v>
      </c>
      <c r="K11" s="0" t="n">
        <f aca="false">K8+K10+K24</f>
        <v>1402.67988077326</v>
      </c>
      <c r="L11" s="0" t="n">
        <f aca="false">L8+L10+L24</f>
        <v>1437.74687779259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1131.7997705</v>
      </c>
      <c r="D13" s="0" t="n">
        <f aca="false">D11+D12</f>
        <v>1165.753763615</v>
      </c>
      <c r="E13" s="0" t="n">
        <f aca="false">E11+E12</f>
        <v>1200.72637652345</v>
      </c>
      <c r="F13" s="0" t="n">
        <f aca="false">F11+F12</f>
        <v>1236.74816781915</v>
      </c>
      <c r="G13" s="0" t="n">
        <f aca="false">G11+G12</f>
        <v>1270.75874243418</v>
      </c>
      <c r="H13" s="0" t="n">
        <f aca="false">H11+H12</f>
        <v>1302.52771099503</v>
      </c>
      <c r="I13" s="0" t="n">
        <f aca="false">I11+I12</f>
        <v>1335.09090376991</v>
      </c>
      <c r="J13" s="0" t="n">
        <f aca="false">J11+J12</f>
        <v>1368.46817636416</v>
      </c>
      <c r="K13" s="0" t="n">
        <f aca="false">K11+K12</f>
        <v>1402.67988077326</v>
      </c>
      <c r="L13" s="0" t="n">
        <f aca="false">L11+L12</f>
        <v>1437.74687779259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1131.7997705</v>
      </c>
      <c r="D15" s="0" t="n">
        <f aca="false">D13-MAX(0,D13)*D14/100</f>
        <v>1165.753763615</v>
      </c>
      <c r="E15" s="0" t="n">
        <f aca="false">E13-MAX(0,E13)*E14/100</f>
        <v>1200.72637652345</v>
      </c>
      <c r="F15" s="0" t="n">
        <f aca="false">F13-MAX(0,F13)*F14/100</f>
        <v>1236.74816781915</v>
      </c>
      <c r="G15" s="0" t="n">
        <f aca="false">G13-MAX(0,G13)*G14/100</f>
        <v>1270.75874243418</v>
      </c>
      <c r="H15" s="0" t="n">
        <f aca="false">H13-MAX(0,H13)*H14/100</f>
        <v>1302.52771099503</v>
      </c>
      <c r="I15" s="0" t="n">
        <f aca="false">I13-MAX(0,I13)*I14/100</f>
        <v>1335.09090376991</v>
      </c>
      <c r="J15" s="0" t="n">
        <f aca="false">J13-MAX(0,J13)*J14/100</f>
        <v>1368.46817636416</v>
      </c>
      <c r="K15" s="0" t="n">
        <f aca="false">K13-MAX(0,K13)*K14/100</f>
        <v>1402.67988077326</v>
      </c>
      <c r="L15" s="0" t="n">
        <f aca="false">L13-MAX(0,L13)*L14/100</f>
        <v>1437.74687779259</v>
      </c>
    </row>
    <row r="16" customFormat="false" ht="15" hidden="false" customHeight="false" outlineLevel="0" collapsed="false">
      <c r="A16" s="0" t="s">
        <v>120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-172.055072</v>
      </c>
      <c r="D17" s="4" t="n">
        <f aca="false">-D6*Assumptions!D32/100</f>
        <v>-177.21672416</v>
      </c>
      <c r="E17" s="4" t="n">
        <f aca="false">-E6*Assumptions!E32/100</f>
        <v>-182.5332258848</v>
      </c>
      <c r="F17" s="4" t="n">
        <f aca="false">-F6*Assumptions!F32/100</f>
        <v>-188.009222661344</v>
      </c>
      <c r="G17" s="4" t="n">
        <f aca="false">-G6*Assumptions!G32/100</f>
        <v>-193.179476284531</v>
      </c>
      <c r="H17" s="4" t="n">
        <f aca="false">-H6*Assumptions!H32/100</f>
        <v>-198.008963191644</v>
      </c>
      <c r="I17" s="4" t="n">
        <f aca="false">-I6*Assumptions!I32/100</f>
        <v>-202.959187271435</v>
      </c>
      <c r="J17" s="4" t="n">
        <f aca="false">-J6*Assumptions!J32/100</f>
        <v>-208.033166953221</v>
      </c>
      <c r="K17" s="4" t="n">
        <f aca="false">-K6*Assumptions!K32/100</f>
        <v>-213.233996127052</v>
      </c>
      <c r="L17" s="4" t="n">
        <f aca="false">-L6*Assumptions!L32/100</f>
        <v>-218.564846030228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-0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959.7446985</v>
      </c>
      <c r="D19" s="0" t="n">
        <f aca="false">D15+D16+D17+D18</f>
        <v>988.537039455</v>
      </c>
      <c r="E19" s="0" t="n">
        <f aca="false">E15+E16+E17+E18</f>
        <v>1018.19315063865</v>
      </c>
      <c r="F19" s="0" t="n">
        <f aca="false">F15+F16+F17+F18</f>
        <v>1048.73894515781</v>
      </c>
      <c r="G19" s="0" t="n">
        <f aca="false">G15+G16+G17+G18</f>
        <v>1077.57926614965</v>
      </c>
      <c r="H19" s="0" t="n">
        <f aca="false">H15+H16+H17+H18</f>
        <v>1104.51874780339</v>
      </c>
      <c r="I19" s="0" t="n">
        <f aca="false">I15+I16+I17+I18</f>
        <v>1132.13171649848</v>
      </c>
      <c r="J19" s="0" t="n">
        <f aca="false">J15+J16+J17+J18</f>
        <v>1160.43500941094</v>
      </c>
      <c r="K19" s="0" t="n">
        <f aca="false">K15+K16+K17+K18</f>
        <v>1189.44588464621</v>
      </c>
      <c r="L19" s="0" t="n">
        <f aca="false">L15+L16+L17+L18</f>
        <v>1219.18203176237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0.919540229885058</v>
      </c>
      <c r="D20" s="0" t="n">
        <f aca="false">1/(1+$B$27/100)^D4</f>
        <v>0.845554234377065</v>
      </c>
      <c r="E20" s="0" t="n">
        <f aca="false">1/(1+$B$27/100)^E4</f>
        <v>0.77752113505937</v>
      </c>
      <c r="F20" s="0" t="n">
        <f aca="false">1/(1+$B$27/100)^F4</f>
        <v>0.714961963272984</v>
      </c>
      <c r="G20" s="0" t="n">
        <f aca="false">1/(1+$B$27/100)^G4</f>
        <v>0.657436288067112</v>
      </c>
      <c r="H20" s="0" t="n">
        <f aca="false">1/(1+$B$27/100)^H4</f>
        <v>0.604539115464011</v>
      </c>
      <c r="I20" s="0" t="n">
        <f aca="false">1/(1+$B$27/100)^I4</f>
        <v>0.555898037208286</v>
      </c>
      <c r="J20" s="0" t="n">
        <f aca="false">1/(1+$B$27/100)^J4</f>
        <v>0.511170608927159</v>
      </c>
      <c r="K20" s="0" t="n">
        <f aca="false">1/(1+$B$27/100)^K4</f>
        <v>0.470041939243365</v>
      </c>
      <c r="L20" s="0" t="n">
        <f aca="false">1/(1+$B$27/100)^L4</f>
        <v>0.432222472867462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882.523860689655</v>
      </c>
      <c r="D21" s="0" t="n">
        <f aca="false">D19*D20</f>
        <v>835.861679549743</v>
      </c>
      <c r="E21" s="0" t="n">
        <f aca="false">E19*E20</f>
        <v>791.666694194239</v>
      </c>
      <c r="F21" s="0" t="n">
        <f aca="false">F19*F20</f>
        <v>749.808455190866</v>
      </c>
      <c r="G21" s="0" t="n">
        <f aca="false">G19*G20</f>
        <v>708.439712835508</v>
      </c>
      <c r="H21" s="0" t="n">
        <f aca="false">H19*H20</f>
        <v>667.724786810478</v>
      </c>
      <c r="I21" s="0" t="n">
        <f aca="false">I19*I20</f>
        <v>629.34979906275</v>
      </c>
      <c r="J21" s="0" t="n">
        <f aca="false">J19*J20</f>
        <v>593.180270380982</v>
      </c>
      <c r="K21" s="0" t="n">
        <f aca="false">K19*K20</f>
        <v>559.089450244145</v>
      </c>
      <c r="L21" s="0" t="n">
        <f aca="false">L19*L20</f>
        <v>526.957872643906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8.75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6944.60258160227</v>
      </c>
    </row>
    <row r="31" customFormat="false" ht="15" hidden="false" customHeight="false" outlineLevel="0" collapsed="false">
      <c r="A31" s="0" t="s">
        <v>129</v>
      </c>
      <c r="B31" s="0" t="n">
        <f aca="false">L19</f>
        <v>1219.18203176237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19994.5853209028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21945.2765717226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19994.5853209028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8642.10911136006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15586.7116929623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15586.7116929623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26.2283334056276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-0.0117432778587933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194.526682958047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242.075885472271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26.9630206158693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9997.29266045139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13.0917101520721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0</v>
      </c>
      <c r="D5" s="4" t="n">
        <f aca="false">Assumptions!D41</f>
        <v>4.5</v>
      </c>
      <c r="E5" s="4" t="n">
        <f aca="false">Assumptions!E41</f>
        <v>4.5</v>
      </c>
      <c r="F5" s="4" t="n">
        <f aca="false">Assumptions!F41</f>
        <v>4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2729.3</v>
      </c>
      <c r="C6" s="0" t="n">
        <f aca="false">B6*(1+C5/100)</f>
        <v>2729.3</v>
      </c>
      <c r="D6" s="0" t="n">
        <f aca="false">C6*(1+D5/100)</f>
        <v>2852.1185</v>
      </c>
      <c r="E6" s="0" t="n">
        <f aca="false">D6*(1+E5/100)</f>
        <v>2980.4638325</v>
      </c>
      <c r="F6" s="0" t="n">
        <f aca="false">E6*(1+F5/100)</f>
        <v>3099.6823858</v>
      </c>
      <c r="G6" s="0" t="n">
        <f aca="false">F6*(1+G5/100)</f>
        <v>3223.669681232</v>
      </c>
      <c r="H6" s="0" t="n">
        <f aca="false">G6*(1+H5/100)</f>
        <v>3336.49812007512</v>
      </c>
      <c r="I6" s="0" t="n">
        <f aca="false">H6*(1+I5/100)</f>
        <v>3453.27555427775</v>
      </c>
      <c r="J6" s="0" t="n">
        <f aca="false">I6*(1+J5/100)</f>
        <v>3556.87382090608</v>
      </c>
      <c r="K6" s="0" t="n">
        <f aca="false">J6*(1+K5/100)</f>
        <v>3663.58003553326</v>
      </c>
      <c r="L6" s="0" t="n">
        <f aca="false">K6*(1+L5/100)</f>
        <v>3773.48743659926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43.1</v>
      </c>
      <c r="D7" s="4" t="n">
        <f aca="false">Assumptions!D42</f>
        <v>43.1</v>
      </c>
      <c r="E7" s="4" t="n">
        <f aca="false">Assumptions!E42</f>
        <v>43.1</v>
      </c>
      <c r="F7" s="4" t="n">
        <f aca="false">Assumptions!F42</f>
        <v>43.1</v>
      </c>
      <c r="G7" s="4" t="n">
        <f aca="false">Assumptions!G42</f>
        <v>43.1</v>
      </c>
      <c r="H7" s="4" t="n">
        <f aca="false">Assumptions!H42</f>
        <v>43.1</v>
      </c>
      <c r="I7" s="4" t="n">
        <f aca="false">Assumptions!I42</f>
        <v>43.1</v>
      </c>
      <c r="J7" s="4" t="n">
        <f aca="false">Assumptions!J42</f>
        <v>43.1</v>
      </c>
      <c r="K7" s="4" t="n">
        <f aca="false">Assumptions!K42</f>
        <v>43.1</v>
      </c>
      <c r="L7" s="4" t="n">
        <f aca="false">Assumptions!L42</f>
        <v>43.1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1176.3283</v>
      </c>
      <c r="D8" s="0" t="n">
        <f aca="false">D6*D7/100</f>
        <v>1229.2630735</v>
      </c>
      <c r="E8" s="0" t="n">
        <f aca="false">E6*E7/100</f>
        <v>1284.5799118075</v>
      </c>
      <c r="F8" s="0" t="n">
        <f aca="false">F6*F7/100</f>
        <v>1335.9631082798</v>
      </c>
      <c r="G8" s="0" t="n">
        <f aca="false">G6*G7/100</f>
        <v>1389.40163261099</v>
      </c>
      <c r="H8" s="0" t="n">
        <f aca="false">H6*H7/100</f>
        <v>1438.03068975238</v>
      </c>
      <c r="I8" s="0" t="n">
        <f aca="false">I6*I7/100</f>
        <v>1488.36176389371</v>
      </c>
      <c r="J8" s="0" t="n">
        <f aca="false">J6*J7/100</f>
        <v>1533.01261681052</v>
      </c>
      <c r="K8" s="0" t="n">
        <f aca="false">K6*K7/100</f>
        <v>1579.00299531484</v>
      </c>
      <c r="L8" s="0" t="n">
        <f aca="false">L6*L7/100</f>
        <v>1626.37308517428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1</v>
      </c>
      <c r="D9" s="4" t="n">
        <f aca="false">Assumptions!D43</f>
        <v>1</v>
      </c>
      <c r="E9" s="4" t="n">
        <f aca="false">Assumptions!E43</f>
        <v>1</v>
      </c>
      <c r="F9" s="4" t="n">
        <f aca="false">Assumptions!F43</f>
        <v>1</v>
      </c>
      <c r="G9" s="4" t="n">
        <f aca="false">Assumptions!G43</f>
        <v>1</v>
      </c>
      <c r="H9" s="4" t="n">
        <f aca="false">Assumptions!H43</f>
        <v>1</v>
      </c>
      <c r="I9" s="4" t="n">
        <f aca="false">Assumptions!I43</f>
        <v>1</v>
      </c>
      <c r="J9" s="4" t="n">
        <f aca="false">Assumptions!J43</f>
        <v>1</v>
      </c>
      <c r="K9" s="4" t="n">
        <f aca="false">Assumptions!K43</f>
        <v>1</v>
      </c>
      <c r="L9" s="4" t="n">
        <f aca="false">Assumptions!L43</f>
        <v>1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-27.293</v>
      </c>
      <c r="D10" s="0" t="n">
        <f aca="false">-D6*D9/100</f>
        <v>-28.521185</v>
      </c>
      <c r="E10" s="0" t="n">
        <f aca="false">-E6*E9/100</f>
        <v>-29.804638325</v>
      </c>
      <c r="F10" s="0" t="n">
        <f aca="false">-F6*F9/100</f>
        <v>-30.996823858</v>
      </c>
      <c r="G10" s="0" t="n">
        <f aca="false">-G6*G9/100</f>
        <v>-32.23669681232</v>
      </c>
      <c r="H10" s="0" t="n">
        <f aca="false">-H6*H9/100</f>
        <v>-33.3649812007512</v>
      </c>
      <c r="I10" s="0" t="n">
        <f aca="false">-I6*I9/100</f>
        <v>-34.5327555427775</v>
      </c>
      <c r="J10" s="0" t="n">
        <f aca="false">-J6*J9/100</f>
        <v>-35.5687382090608</v>
      </c>
      <c r="K10" s="0" t="n">
        <f aca="false">-K6*K9/100</f>
        <v>-36.6358003553326</v>
      </c>
      <c r="L10" s="0" t="n">
        <f aca="false">-L6*L9/100</f>
        <v>-37.7348743659926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1149.0353</v>
      </c>
      <c r="D11" s="0" t="n">
        <f aca="false">D8+D10+D24</f>
        <v>1200.7418885</v>
      </c>
      <c r="E11" s="0" t="n">
        <f aca="false">E8+E10+E24</f>
        <v>1254.7752734825</v>
      </c>
      <c r="F11" s="0" t="n">
        <f aca="false">F8+F10+F24</f>
        <v>1304.9662844218</v>
      </c>
      <c r="G11" s="0" t="n">
        <f aca="false">G8+G10+G24</f>
        <v>1357.16493579867</v>
      </c>
      <c r="H11" s="0" t="n">
        <f aca="false">H8+H10+H24</f>
        <v>1404.66570855163</v>
      </c>
      <c r="I11" s="0" t="n">
        <f aca="false">I8+I10+I24</f>
        <v>1453.82900835093</v>
      </c>
      <c r="J11" s="0" t="n">
        <f aca="false">J8+J10+J24</f>
        <v>1497.44387860146</v>
      </c>
      <c r="K11" s="0" t="n">
        <f aca="false">K8+K10+K24</f>
        <v>1542.3671949595</v>
      </c>
      <c r="L11" s="0" t="n">
        <f aca="false">L8+L10+L24</f>
        <v>1588.63821080829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1149.0353</v>
      </c>
      <c r="D13" s="0" t="n">
        <f aca="false">D11+D12</f>
        <v>1200.7418885</v>
      </c>
      <c r="E13" s="0" t="n">
        <f aca="false">E11+E12</f>
        <v>1254.7752734825</v>
      </c>
      <c r="F13" s="0" t="n">
        <f aca="false">F11+F12</f>
        <v>1304.9662844218</v>
      </c>
      <c r="G13" s="0" t="n">
        <f aca="false">G11+G12</f>
        <v>1357.16493579867</v>
      </c>
      <c r="H13" s="0" t="n">
        <f aca="false">H11+H12</f>
        <v>1404.66570855163</v>
      </c>
      <c r="I13" s="0" t="n">
        <f aca="false">I11+I12</f>
        <v>1453.82900835093</v>
      </c>
      <c r="J13" s="0" t="n">
        <f aca="false">J11+J12</f>
        <v>1497.44387860146</v>
      </c>
      <c r="K13" s="0" t="n">
        <f aca="false">K11+K12</f>
        <v>1542.3671949595</v>
      </c>
      <c r="L13" s="0" t="n">
        <f aca="false">L11+L12</f>
        <v>1588.63821080829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1149.0353</v>
      </c>
      <c r="D15" s="0" t="n">
        <f aca="false">D13-MAX(0,D13)*D14/100</f>
        <v>1200.7418885</v>
      </c>
      <c r="E15" s="0" t="n">
        <f aca="false">E13-MAX(0,E13)*E14/100</f>
        <v>1254.7752734825</v>
      </c>
      <c r="F15" s="0" t="n">
        <f aca="false">F13-MAX(0,F13)*F14/100</f>
        <v>1304.9662844218</v>
      </c>
      <c r="G15" s="0" t="n">
        <f aca="false">G13-MAX(0,G13)*G14/100</f>
        <v>1357.16493579867</v>
      </c>
      <c r="H15" s="0" t="n">
        <f aca="false">H13-MAX(0,H13)*H14/100</f>
        <v>1404.66570855163</v>
      </c>
      <c r="I15" s="0" t="n">
        <f aca="false">I13-MAX(0,I13)*I14/100</f>
        <v>1453.82900835093</v>
      </c>
      <c r="J15" s="0" t="n">
        <f aca="false">J13-MAX(0,J13)*J14/100</f>
        <v>1497.44387860146</v>
      </c>
      <c r="K15" s="0" t="n">
        <f aca="false">K13-MAX(0,K13)*K14/100</f>
        <v>1542.3671949595</v>
      </c>
      <c r="L15" s="0" t="n">
        <f aca="false">L13-MAX(0,L13)*L14/100</f>
        <v>1588.63821080829</v>
      </c>
    </row>
    <row r="16" customFormat="false" ht="15" hidden="false" customHeight="false" outlineLevel="0" collapsed="false">
      <c r="A16" s="0" t="s">
        <v>120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-174.6752</v>
      </c>
      <c r="D17" s="4" t="n">
        <f aca="false">-D6*Assumptions!D46/100</f>
        <v>-182.535584</v>
      </c>
      <c r="E17" s="4" t="n">
        <f aca="false">-E6*Assumptions!E46/100</f>
        <v>-190.74968528</v>
      </c>
      <c r="F17" s="4" t="n">
        <f aca="false">-F6*Assumptions!F46/100</f>
        <v>-198.3796726912</v>
      </c>
      <c r="G17" s="4" t="n">
        <f aca="false">-G6*Assumptions!G46/100</f>
        <v>-206.314859598848</v>
      </c>
      <c r="H17" s="4" t="n">
        <f aca="false">-H6*Assumptions!H46/100</f>
        <v>-213.535879684808</v>
      </c>
      <c r="I17" s="4" t="n">
        <f aca="false">-I6*Assumptions!I46/100</f>
        <v>-221.009635473776</v>
      </c>
      <c r="J17" s="4" t="n">
        <f aca="false">-J6*Assumptions!J46/100</f>
        <v>-227.639924537989</v>
      </c>
      <c r="K17" s="4" t="n">
        <f aca="false">-K6*Assumptions!K46/100</f>
        <v>-234.469122274129</v>
      </c>
      <c r="L17" s="4" t="n">
        <f aca="false">-L6*Assumptions!L46/100</f>
        <v>-241.503195942353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974.3601</v>
      </c>
      <c r="D19" s="0" t="n">
        <f aca="false">D15+D16+D17+D18</f>
        <v>1018.2063045</v>
      </c>
      <c r="E19" s="0" t="n">
        <f aca="false">E15+E16+E17+E18</f>
        <v>1064.0255882025</v>
      </c>
      <c r="F19" s="0" t="n">
        <f aca="false">F15+F16+F17+F18</f>
        <v>1106.5866117306</v>
      </c>
      <c r="G19" s="0" t="n">
        <f aca="false">G15+G16+G17+G18</f>
        <v>1150.85007619982</v>
      </c>
      <c r="H19" s="0" t="n">
        <f aca="false">H15+H16+H17+H18</f>
        <v>1191.12982886682</v>
      </c>
      <c r="I19" s="0" t="n">
        <f aca="false">I15+I16+I17+I18</f>
        <v>1232.81937287716</v>
      </c>
      <c r="J19" s="0" t="n">
        <f aca="false">J15+J16+J17+J18</f>
        <v>1269.80395406347</v>
      </c>
      <c r="K19" s="0" t="n">
        <f aca="false">K15+K16+K17+K18</f>
        <v>1307.89807268538</v>
      </c>
      <c r="L19" s="0" t="n">
        <f aca="false">L15+L16+L17+L18</f>
        <v>1347.13501486594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0.92378752886836</v>
      </c>
      <c r="D20" s="0" t="n">
        <f aca="false">1/(1+$B$27/100)^D4</f>
        <v>0.853383398492712</v>
      </c>
      <c r="E20" s="0" t="n">
        <f aca="false">1/(1+$B$27/100)^E4</f>
        <v>0.788344940870865</v>
      </c>
      <c r="F20" s="0" t="n">
        <f aca="false">1/(1+$B$27/100)^F4</f>
        <v>0.72826322482297</v>
      </c>
      <c r="G20" s="0" t="n">
        <f aca="false">1/(1+$B$27/100)^G4</f>
        <v>0.672760484824915</v>
      </c>
      <c r="H20" s="0" t="n">
        <f aca="false">1/(1+$B$27/100)^H4</f>
        <v>0.621487745796688</v>
      </c>
      <c r="I20" s="0" t="n">
        <f aca="false">1/(1+$B$27/100)^I4</f>
        <v>0.57412262891149</v>
      </c>
      <c r="J20" s="0" t="n">
        <f aca="false">1/(1+$B$27/100)^J4</f>
        <v>0.530367324629552</v>
      </c>
      <c r="K20" s="0" t="n">
        <f aca="false">1/(1+$B$27/100)^K4</f>
        <v>0.489946720212057</v>
      </c>
      <c r="L20" s="0" t="n">
        <f aca="false">1/(1+$B$27/100)^L4</f>
        <v>0.452606669941854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900.101709006929</v>
      </c>
      <c r="D21" s="0" t="n">
        <f aca="false">D19*D20</f>
        <v>868.920356500915</v>
      </c>
      <c r="E21" s="0" t="n">
        <f aca="false">E19*E20</f>
        <v>838.819189416587</v>
      </c>
      <c r="F21" s="0" t="n">
        <f aca="false">F19*F20</f>
        <v>805.886334404851</v>
      </c>
      <c r="G21" s="0" t="n">
        <f aca="false">G19*G20</f>
        <v>774.246455224984</v>
      </c>
      <c r="H21" s="0" t="n">
        <f aca="false">H19*H20</f>
        <v>740.272592293633</v>
      </c>
      <c r="I21" s="0" t="n">
        <f aca="false">I19*I20</f>
        <v>707.789499329247</v>
      </c>
      <c r="J21" s="0" t="n">
        <f aca="false">J19*J20</f>
        <v>673.46252592067</v>
      </c>
      <c r="K21" s="0" t="n">
        <f aca="false">K19*K20</f>
        <v>640.80037108387</v>
      </c>
      <c r="L21" s="0" t="n">
        <f aca="false">L19*L20</f>
        <v>609.722293040542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8.25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2.75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7560.02132622223</v>
      </c>
    </row>
    <row r="31" customFormat="false" ht="15" hidden="false" customHeight="false" outlineLevel="0" collapsed="false">
      <c r="A31" s="0" t="s">
        <v>129</v>
      </c>
      <c r="B31" s="0" t="n">
        <f aca="false">L19</f>
        <v>1347.13501486594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25166.9314140864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26942.7002973187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25166.9314140864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11390.7210199847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18950.7423462069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18950.7423462069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31.889111592722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0.201549042679803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211.765303255525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319.067815685845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32.7823640182884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11299.4385940796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14.1568851460632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20.1947856051043</v>
      </c>
      <c r="C4" s="0" t="n">
        <f aca="false">B4/Assumptions!$B$2-1</f>
        <v>-0.239081175391699</v>
      </c>
      <c r="D4" s="4" t="n">
        <f aca="false">Assumptions!$B$24</f>
        <v>0.25</v>
      </c>
      <c r="E4" s="4" t="n">
        <f aca="false">DCF_Bear!$B$43</f>
        <v>20.7604658741548</v>
      </c>
      <c r="F4" s="4" t="n">
        <f aca="false">DCF_Bear!$B$47</f>
        <v>11.73863811201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26.2283334056276</v>
      </c>
      <c r="C5" s="0" t="n">
        <f aca="false">B5/Assumptions!$B$2-1</f>
        <v>-0.0117432778587933</v>
      </c>
      <c r="D5" s="4" t="n">
        <f aca="false">Assumptions!$B$38</f>
        <v>0.5</v>
      </c>
      <c r="E5" s="4" t="n">
        <f aca="false">DCF_Base!$B$43</f>
        <v>26.9630206158693</v>
      </c>
      <c r="F5" s="4" t="n">
        <f aca="false">DCF_Base!$B$47</f>
        <v>13.0917101520721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31.889111592722</v>
      </c>
      <c r="C6" s="0" t="n">
        <f aca="false">B6/Assumptions!$B$2-1</f>
        <v>0.201549042679803</v>
      </c>
      <c r="D6" s="4" t="n">
        <f aca="false">Assumptions!$B$52</f>
        <v>0.25</v>
      </c>
      <c r="E6" s="4" t="n">
        <f aca="false">DCF_Bull!$B$43</f>
        <v>32.7823640182884</v>
      </c>
      <c r="F6" s="4" t="n">
        <f aca="false">DCF_Bull!$B$47</f>
        <v>14.1568851460632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26.1351410022704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26.8672177810455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-0.0154909819577573</v>
      </c>
    </row>
    <row r="11" customFormat="false" ht="15" hidden="false" customHeight="false" outlineLevel="0" collapsed="false">
      <c r="A11" s="0" t="s">
        <v>156</v>
      </c>
      <c r="B11" s="0" t="n">
        <f aca="false">IF(ABS(B9-B8)&gt;0.01*ABS(B8),(Assumptions!$B$2-B8)/(B9-B8)*100,"n/a")</f>
        <v>55.3028055891941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13.0197358905543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26.2283334056276</v>
      </c>
      <c r="C15" s="3" t="n">
        <v>8.75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25.2176464410542</v>
      </c>
      <c r="C16" s="3" t="n">
        <v>9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21.8488277079375</v>
      </c>
      <c r="C17" s="3" t="n">
        <v>10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19.2728603131037</v>
      </c>
      <c r="C18" s="3" t="n">
        <v>11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17.2393627863316</v>
      </c>
      <c r="C19" s="3" t="n">
        <v>12</v>
      </c>
    </row>
    <row r="20" customFormat="false" ht="15" hidden="false" customHeight="false" outlineLevel="0" collapsed="false">
      <c r="A20" s="0" t="s">
        <v>165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13.0917101520721</v>
      </c>
      <c r="C20" s="3" t="n">
        <v>15</v>
      </c>
    </row>
    <row r="22" customFormat="false" ht="15" hidden="false" customHeight="false" outlineLevel="0" collapsed="false">
      <c r="A22" s="2" t="s">
        <v>166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6.75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32.0641456946445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32.0641456946445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32.0641456946445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32.0641456946445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32.0641456946445</v>
      </c>
    </row>
    <row r="25" customFormat="false" ht="15" hidden="false" customHeight="false" outlineLevel="0" collapsed="false">
      <c r="A25" s="3" t="n">
        <v>7.75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28.0401748926479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29.4981542648284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29.7518629722844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29.7518629722844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29.7518629722844</v>
      </c>
    </row>
    <row r="26" customFormat="false" ht="15" hidden="false" customHeight="false" outlineLevel="0" collapsed="false">
      <c r="A26" s="3" t="n">
        <v>8.75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24.1001780312265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25.0854351490048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26.2283334056276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27.5699965764458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27.6471036552284</v>
      </c>
    </row>
    <row r="27" customFormat="false" ht="15" hidden="false" customHeight="false" outlineLevel="0" collapsed="false">
      <c r="A27" s="3" t="n">
        <v>9.75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21.1191411577119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21.8136189134781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22.6038867045224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23.511231205351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24.5637508263122</v>
      </c>
    </row>
    <row r="28" customFormat="false" ht="15" hidden="false" customHeight="false" outlineLevel="0" collapsed="false">
      <c r="A28" s="3" t="n">
        <v>10.75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18.7857943178771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19.2913993075684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19.8582897505556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20.4983273474767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21.2266459922489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2026-09-28T21:56:11Z</dcterms:created>
  <dc:creator>openpyxl</dc:creator>
  <dc:description/>
  <dc:language>en-NZ</dc:language>
  <cp:lastModifiedBy/>
  <dcterms:modified xsi:type="dcterms:W3CDTF">2026-09-28T21:56:11Z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