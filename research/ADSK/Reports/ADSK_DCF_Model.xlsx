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<sst xmlns="http://schemas.openxmlformats.org/spreadsheetml/2006/main" count="389" uniqueCount="174">
  <si>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</si>
  <si>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ADSK</t>
  </si>
  <si>
    <t xml:space="preserve">Company</t>
  </si>
  <si>
    <t xml:space="preserve">Autodesk, Inc.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</si>
  <si>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</si>
  <si>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</si>
  <si>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</si>
  <si>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</si>
  <si>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2026-09-24T20:00:01Z regular close (Yahoo Finance chart API)</t>
  </si>
  <si>
    <t xml:space="preserve">Balance sheet date</t>
  </si>
  <si>
    <t xml:space="preserve">2026-07-31 (Q2 FY2027 10-Q), adjusted pro-forma for the MaintainX acquisition (closed 2026-08-03, ~$1.6B cash consideration) since the valuation date post-dates the close: cash $4,098M actual less $1,600M deal cash = $2,498M pro-forma; debt held flat at $2,500M (deal funded from cash + restricted stock, no new borrowing per company disclosure). Net debt therefore ~$2M (effectively nil) rather than the $1,598M net-cash position shown on the pre-close 10-Q balance sheet.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</si>
  <si>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</si>
  <si>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</si>
  <si>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</si>
  <si>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</si>
  <si>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</si>
  <si>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</si>
  <si>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</si>
  <si>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</si>
  <si>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</si>
  <si>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</si>
  <si>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2026-09-25T06:57:44Z</t>
  </si>
  <si>
    <t xml:space="preserve">Drivers file</t>
  </si>
  <si>
    <t xml:space="preserve">ADSK_Drivers.json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</si>
  <si>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</si>
  <si>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</si>
  <si>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</si>
  <si>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Autodesk is a high-quality, ~97%-recurring-revenue SaaS platform with a dominant, hard-to-displace position in AEC/BIM (AutoCAD, Revit, the DWG file-format standard) and a leading-but-more-contested position in manufacturing/PLM. The investment case rests on continued margin expansion as the multi-year transaction-model transition (agency/commission model, annual billing for multi-year contracts) completes, layered onto secular digitization tailwinds (cloud platforms, AI-assisted design) and the new MaintainX-enabled expansion into building/asset operations. The owner-FCF DCF (component build, 10-year horizon since FY2026 owner-FCF margin of 18.5% is still well below its projected mature level) values the business on cash actually available to shareholders after fully charging stock-based compensation -- the single largest swing factor in this model given SBC+equity-award-taxes run ~15% of revenue.
key_risks_to_valuation: MaintainX integration risk -- the largest acquisition in company history, funded from cash reserves, could distract management and delay the margin-optimization narrative the base case depends on; SBC assumed to decline from ~15% to ~9% of revenue over 10 years; if competitive retention pressure (Dassault, Siemens, PTC, Procore) keeps grant levels elevated, both house and street intrinsic values are overstated; Cyclical AEC/manufacturing capex exposure -- a macro slowdown (flagged specifically for Europe/APAC) would compress new-seat growth and EBA renewals below the FY2027 guidance anchor this model's Year-1 growth rate rests on; The 'new transaction model' billing shift continues to distort billings/cash-flow comparability into FY2027 per the Analysis JSON, meaning the FY2026 owner-FCF margin used as the anchor may itself still carry some transition noise rather than being a clean steady-state read; Terminal value is 20x-capped (base case) rather than pure Gordon growth, but still represents a meaningful share of enterprise value given the 10-year explicit horizon -- see terminal_pct_of_value per scenario</t>
  </si>
  <si>
    <t xml:space="preserve">Data sources</t>
  </si>
  <si>
    <t xml:space="preserve">price: Yahoo Finance chart API at inputs.price_as_of; 52-week range 185.50-326.20
financials: SEC XBRL company-concept API (CIK0000769397) for FY2026 10-K and Q1/Q2 FY2027 10-Q anchors (revenue, cash, debt, diluted shares); research/ADSK/Reports/ADSK_Metrics.csv and ADSK.duckdb core_metrics/kpis tables for the historical FY2016-FY2026 series (revenue, EBITDA, FCF, SBC, equity_award_taxes, buybacks, cash_taxes)
qualitative: research/ADSK/Reports/ADSK_Analysis.json (guidance, bull/bear case, recent developments including the MaintainX acquisition and resolved SEC/DOJ investigation)</t>
  </si>
  <si>
    <t xml:space="preserve">Scenario narrative: bear</t>
  </si>
  <si>
    <t xml:space="preserve">Macro softness in Europe/APAC and intensifying competition from Dassault/Siemens/PTC (manufacturing) and Procore/Trimble (construction) compress growth to mid-single digits; MaintainX integration proves costly and margin optimization stalls near 23-25%.</t>
  </si>
  <si>
    <t xml:space="preserve">Scenario narrative: base</t>
  </si>
  <si>
    <t xml:space="preserve">FY2027 guided growth (~15.5%) decelerating to 6% terminal as the installed base matures; EBITDA margin climbs from 25.5% to a 30% steady state as the new transaction/agency model's margin-optimization phase completes per CFO guidance; SBC load fades from ~15% toward ~9% of revenue as the business scales.</t>
  </si>
  <si>
    <t xml:space="preserve">Scenario narrative: bull</t>
  </si>
  <si>
    <t xml:space="preserve">AI-driven cross-sell, sustained 20%+ construction growth, and successful MaintainX integration extend the 'Design, Make, Operate' platform; margin overshoots to 33% as S&amp;M efficiency gains compound; requires several independent execution wins.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</si>
  <si>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</si>
  <si>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</si>
  <si>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</si>
  <si>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</si>
  <si>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</si>
  <si>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</si>
  <si>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</si>
  <si>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</si>
  <si>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</si>
  <si>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</si>
  <si>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</si>
  <si>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</si>
  <si>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</si>
  <si>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</si>
  <si>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</si>
  <si>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</si>
  <si>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</si>
  <si>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</si>
  <si>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</si>
  <si>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</si>
  <si>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</si>
  <si>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</si>
  <si>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</si>
  <si>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</si>
  <si>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</si>
  <si>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</si>
  <si>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</si>
  <si>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</si>
  <si>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</si>
  <si>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</si>
  <si>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</si>
  <si>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</si>
  <si>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</si>
  <si>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</si>
  <si>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</si>
  <si>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</si>
  <si>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</si>
  <si>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</si>
  <si>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</si>
  <si>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</si>
  <si>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</si>
  <si>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</si>
  <si>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</si>
  <si>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</si>
  <si>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</si>
  <si>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</si>
  <si>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</si>
  <si>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</si>
  <si>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</si>
  <si>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</si>
  <si>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</si>
  <si>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</si>
  <si>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</si>
  <si>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</si>
  <si>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</si>
  <si>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</si>
  <si>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</si>
  <si>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</si>
  <si>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</si>
  <si>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</si>
  <si>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</si>
  <si>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</si>
  <si>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</si>
  <si>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</si>
  <si>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</si>
  <si>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</si>
  <si>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</si>
  <si>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</si>
  <si>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</si>
  <si>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</si>
  <si>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</si>
  <si>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</si>
  <si>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</si>
  <si>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</si>
  <si>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</si>
  <si>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</si>
  <si>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</si>
  <si>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</si>
  <si>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</si>
  <si>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</si>
  <si>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</si>
  <si>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</si>
  <si>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</si>
  <si>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</si>
  <si>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ADSK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</si>
  <si>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</si>
  <si>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</si>
  <si>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</si>
  <si>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</si>
  <si>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</si>
  <si>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</si>
  <si>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</si>
  <si>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</si>
  <si>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</si>
  <si>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</si>
  <si>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</si>
  <si>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</si>
  <si>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</si>
  <si>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</si>
  <si>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</si>
  <si>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</si>
  <si>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</si>
  <si>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</si>
  <si>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</si>
  <si>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</si>
  <si>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</si>
  <si>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</si>
  <si>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</si>
  <si>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</si>
  <si>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</si>
  <si>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</si>
  <si>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</si>
  <si>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</si>
  <si>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</si>
  <si>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</si>
  <si>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ADSK owner-FCF component DCF: base case (millions, USD)</t>
  </si>
  <si>
    <t xml:space="preserve">ADSK owner-FCF component DCF: bull case (millions, USD)</t>
  </si>
  <si>
    <t xml:space="preserve">ADSK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</si>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</sst>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211.35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1115</v>
      </c>
      <c r="S2" s="0" t="n">
        <v>665.9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2171.9</v>
      </c>
      <c r="C3" s="0" t="n">
        <v>207.7</v>
      </c>
      <c r="D3" s="0" t="n">
        <v>1964.2</v>
      </c>
      <c r="E3" s="0" t="n">
        <v>90.4369446107095</v>
      </c>
      <c r="F3" s="0" t="n">
        <v>445.6</v>
      </c>
      <c r="G3" s="0" t="n">
        <v>20.5165983700907</v>
      </c>
      <c r="H3" s="0" t="n">
        <v>506.9</v>
      </c>
      <c r="I3" s="0" t="n">
        <v>356.2</v>
      </c>
      <c r="J3" s="0" t="n">
        <v>16.400386758138</v>
      </c>
      <c r="K3" s="0" t="n">
        <v>1.47</v>
      </c>
      <c r="L3" s="0" t="n">
        <v>708.5</v>
      </c>
      <c r="M3" s="0" t="n">
        <v>43.3</v>
      </c>
      <c r="N3" s="0" t="n">
        <v>665.2</v>
      </c>
      <c r="O3" s="0" t="n">
        <v>1230.5</v>
      </c>
      <c r="S3" s="0" t="n">
        <v>917.9</v>
      </c>
      <c r="T3" s="0" t="n">
        <v>242</v>
      </c>
      <c r="U3" s="0" t="n">
        <v>99.3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2315.2</v>
      </c>
      <c r="C4" s="0" t="n">
        <v>219.1</v>
      </c>
      <c r="D4" s="0" t="n">
        <v>2096.1</v>
      </c>
      <c r="E4" s="0" t="n">
        <v>90.5364547339323</v>
      </c>
      <c r="F4" s="0" t="n">
        <v>244.5</v>
      </c>
      <c r="G4" s="0" t="n">
        <v>10.5606427090532</v>
      </c>
      <c r="H4" s="0" t="n">
        <v>336.9</v>
      </c>
      <c r="I4" s="0" t="n">
        <v>183.6</v>
      </c>
      <c r="J4" s="0" t="n">
        <v>7.930200414651</v>
      </c>
      <c r="K4" s="0" t="n">
        <v>0.8</v>
      </c>
      <c r="L4" s="0" t="n">
        <v>593.9</v>
      </c>
      <c r="M4" s="0" t="n">
        <v>78.4</v>
      </c>
      <c r="N4" s="0" t="n">
        <v>515.5</v>
      </c>
      <c r="O4" s="0" t="n">
        <v>1310.7</v>
      </c>
      <c r="P4" s="0" t="n">
        <v>2420.7</v>
      </c>
      <c r="S4" s="0" t="n">
        <v>917.6</v>
      </c>
      <c r="T4" s="0" t="n">
        <v>230.1</v>
      </c>
      <c r="U4" s="0" t="n">
        <v>89.5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1713.7</v>
      </c>
      <c r="C5" s="0" t="n">
        <v>191.8</v>
      </c>
      <c r="D5" s="0" t="n">
        <v>1521.9</v>
      </c>
      <c r="E5" s="0" t="n">
        <v>88.8078426795822</v>
      </c>
      <c r="F5" s="0" t="n">
        <v>65.6</v>
      </c>
      <c r="G5" s="0" t="n">
        <v>3.82797455797397</v>
      </c>
      <c r="H5" s="0" t="n">
        <v>177.1</v>
      </c>
      <c r="I5" s="0" t="n">
        <v>58</v>
      </c>
      <c r="J5" s="0" t="n">
        <v>3.38448970064772</v>
      </c>
      <c r="K5" s="0" t="n">
        <v>0.25</v>
      </c>
      <c r="L5" s="0" t="n">
        <v>246.8</v>
      </c>
      <c r="M5" s="0" t="n">
        <v>39</v>
      </c>
      <c r="N5" s="0" t="n">
        <v>207.8</v>
      </c>
      <c r="O5" s="0" t="n">
        <v>1473.5</v>
      </c>
      <c r="P5" s="0" t="n">
        <v>2447.2</v>
      </c>
      <c r="S5" s="0" t="n">
        <v>838.7</v>
      </c>
      <c r="T5" s="0" t="n">
        <v>232.1</v>
      </c>
      <c r="U5" s="0" t="n">
        <v>93.6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1951.8</v>
      </c>
      <c r="C6" s="0" t="n">
        <v>196.6</v>
      </c>
      <c r="D6" s="0" t="n">
        <v>1755.2</v>
      </c>
      <c r="E6" s="0" t="n">
        <v>89.9272466441234</v>
      </c>
      <c r="F6" s="0" t="n">
        <v>271.4</v>
      </c>
      <c r="G6" s="0" t="n">
        <v>13.9051132288144</v>
      </c>
      <c r="H6" s="0" t="n">
        <v>376.8</v>
      </c>
      <c r="I6" s="0" t="n">
        <v>212</v>
      </c>
      <c r="J6" s="0" t="n">
        <v>10.8617686238344</v>
      </c>
      <c r="K6" s="0" t="n">
        <v>0.9</v>
      </c>
      <c r="L6" s="0" t="n">
        <v>540.8</v>
      </c>
      <c r="M6" s="0" t="n">
        <v>28.3</v>
      </c>
      <c r="N6" s="0" t="n">
        <v>512.5</v>
      </c>
      <c r="O6" s="0" t="n">
        <v>1609.3</v>
      </c>
      <c r="P6" s="0" t="n">
        <v>2787.6</v>
      </c>
      <c r="S6" s="0" t="n">
        <v>1075.1</v>
      </c>
      <c r="T6" s="0" t="n">
        <v>234.2</v>
      </c>
      <c r="U6" s="0" t="n">
        <v>80.7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2215.6</v>
      </c>
      <c r="C7" s="0" t="n">
        <v>229.1</v>
      </c>
      <c r="D7" s="0" t="n">
        <v>1986.5</v>
      </c>
      <c r="E7" s="0" t="n">
        <v>89.6596858638743</v>
      </c>
      <c r="F7" s="0" t="n">
        <v>355.6</v>
      </c>
      <c r="G7" s="0" t="n">
        <v>16.0498284888969</v>
      </c>
      <c r="H7" s="0" t="n">
        <v>471.1</v>
      </c>
      <c r="I7" s="0" t="n">
        <v>285.3</v>
      </c>
      <c r="J7" s="0" t="n">
        <v>12.8768730817837</v>
      </c>
      <c r="K7" s="0" t="n">
        <v>1.22</v>
      </c>
      <c r="L7" s="0" t="n">
        <v>573.5</v>
      </c>
      <c r="O7" s="0" t="n">
        <v>1882.9</v>
      </c>
      <c r="P7" s="0" t="n">
        <v>3227.8</v>
      </c>
      <c r="R7" s="0" t="n">
        <v>0</v>
      </c>
      <c r="S7" s="0" t="n">
        <v>1156.9</v>
      </c>
      <c r="T7" s="0" t="n">
        <v>233.3</v>
      </c>
      <c r="U7" s="0" t="n">
        <v>108.8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2312.2</v>
      </c>
      <c r="C8" s="0" t="n">
        <v>238.5</v>
      </c>
      <c r="D8" s="0" t="n">
        <v>2073.7</v>
      </c>
      <c r="E8" s="0" t="n">
        <v>89.6851483435689</v>
      </c>
      <c r="F8" s="0" t="n">
        <v>305.9</v>
      </c>
      <c r="G8" s="0" t="n">
        <v>13.2298244096531</v>
      </c>
      <c r="H8" s="0" t="n">
        <v>433.7</v>
      </c>
      <c r="I8" s="0" t="n">
        <v>247.4</v>
      </c>
      <c r="J8" s="0" t="n">
        <v>10.6997664561889</v>
      </c>
      <c r="K8" s="0" t="n">
        <v>1.07</v>
      </c>
      <c r="L8" s="0" t="n">
        <v>559.1</v>
      </c>
      <c r="O8" s="0" t="n">
        <v>2043.2</v>
      </c>
      <c r="P8" s="0" t="n">
        <v>4308.4</v>
      </c>
      <c r="R8" s="0" t="n">
        <v>745.6</v>
      </c>
      <c r="S8" s="0" t="n">
        <v>1612.2</v>
      </c>
      <c r="T8" s="0" t="n">
        <v>231.7</v>
      </c>
      <c r="U8" s="0" t="n">
        <v>156.3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2273.9</v>
      </c>
      <c r="C9" s="0" t="n">
        <v>274.3</v>
      </c>
      <c r="D9" s="0" t="n">
        <v>1999.6</v>
      </c>
      <c r="E9" s="0" t="n">
        <v>87.9370244953604</v>
      </c>
      <c r="F9" s="0" t="n">
        <v>284.8</v>
      </c>
      <c r="G9" s="0" t="n">
        <v>12.5247372355864</v>
      </c>
      <c r="H9" s="0" t="n">
        <v>413.7</v>
      </c>
      <c r="I9" s="0" t="n">
        <v>228.8</v>
      </c>
      <c r="J9" s="0" t="n">
        <v>10.06200800387</v>
      </c>
      <c r="K9" s="0" t="n">
        <v>1</v>
      </c>
      <c r="L9" s="0" t="n">
        <v>563.5</v>
      </c>
      <c r="O9" s="0" t="n">
        <v>2261.5</v>
      </c>
      <c r="P9" s="0" t="n">
        <v>4595</v>
      </c>
      <c r="R9" s="0" t="n">
        <v>746.4</v>
      </c>
      <c r="S9" s="0" t="n">
        <v>1853</v>
      </c>
      <c r="T9" s="0" t="n">
        <v>229.6</v>
      </c>
      <c r="U9" s="0" t="n">
        <v>132.2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2512.2</v>
      </c>
      <c r="C10" s="0" t="n">
        <v>342.1</v>
      </c>
      <c r="D10" s="0" t="n">
        <v>2170.1</v>
      </c>
      <c r="E10" s="0" t="n">
        <v>86.3824536263036</v>
      </c>
      <c r="F10" s="0" t="n">
        <v>120.7</v>
      </c>
      <c r="G10" s="0" t="n">
        <v>4.80455377756548</v>
      </c>
      <c r="H10" s="0" t="n">
        <v>266.6</v>
      </c>
      <c r="I10" s="0" t="n">
        <v>81.8</v>
      </c>
      <c r="J10" s="0" t="n">
        <v>3.25611018231033</v>
      </c>
      <c r="K10" s="0" t="n">
        <v>0.35</v>
      </c>
      <c r="L10" s="0" t="n">
        <v>708.6</v>
      </c>
      <c r="O10" s="0" t="n">
        <v>2219.2</v>
      </c>
      <c r="P10" s="0" t="n">
        <v>4909.7</v>
      </c>
      <c r="R10" s="0" t="n">
        <v>743.1</v>
      </c>
      <c r="S10" s="0" t="n">
        <v>1410.6</v>
      </c>
      <c r="T10" s="0" t="n">
        <v>232.4</v>
      </c>
      <c r="U10" s="0" t="n">
        <v>165.6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2504.1</v>
      </c>
      <c r="C11" s="0" t="n">
        <v>370.7</v>
      </c>
      <c r="D11" s="0" t="n">
        <v>2133.4</v>
      </c>
      <c r="E11" s="0" t="n">
        <v>85.1962781039096</v>
      </c>
      <c r="F11" s="0" t="n">
        <v>1.3</v>
      </c>
      <c r="G11" s="0" t="n">
        <v>0.0519148596302065</v>
      </c>
      <c r="H11" s="0" t="n">
        <v>147.1</v>
      </c>
      <c r="I11" s="0" t="n">
        <v>-330.5</v>
      </c>
      <c r="J11" s="0" t="n">
        <v>-13.1983546982948</v>
      </c>
      <c r="K11" s="0" t="n">
        <v>-1.46</v>
      </c>
      <c r="L11" s="0" t="n">
        <v>414</v>
      </c>
      <c r="O11" s="0" t="n">
        <v>1619.6</v>
      </c>
      <c r="P11" s="0" t="n">
        <v>5515.3</v>
      </c>
      <c r="R11" s="0" t="n">
        <v>1487.7</v>
      </c>
      <c r="S11" s="0" t="n">
        <v>1353</v>
      </c>
      <c r="T11" s="0" t="n">
        <v>226</v>
      </c>
      <c r="U11" s="0" t="n">
        <v>197.2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2031</v>
      </c>
      <c r="C12" s="0" t="n">
        <v>341.9</v>
      </c>
      <c r="D12" s="0" t="n">
        <v>1689.1</v>
      </c>
      <c r="E12" s="0" t="n">
        <v>83.1659281142294</v>
      </c>
      <c r="F12" s="0" t="n">
        <v>-499.6</v>
      </c>
      <c r="G12" s="0" t="n">
        <v>-24.5987198424422</v>
      </c>
      <c r="H12" s="0" t="n">
        <v>-360.4</v>
      </c>
      <c r="I12" s="0" t="n">
        <v>-582.1</v>
      </c>
      <c r="J12" s="0" t="n">
        <v>-28.6607582471689</v>
      </c>
      <c r="K12" s="0" t="n">
        <v>-2.61</v>
      </c>
      <c r="L12" s="0" t="n">
        <v>169.7</v>
      </c>
      <c r="O12" s="0" t="n">
        <v>733.6</v>
      </c>
      <c r="P12" s="0" t="n">
        <v>4798.1</v>
      </c>
      <c r="R12" s="0" t="n">
        <v>1092</v>
      </c>
      <c r="S12" s="0" t="n">
        <v>1213.1</v>
      </c>
      <c r="T12" s="0" t="n">
        <v>222.7</v>
      </c>
      <c r="U12" s="0" t="n">
        <v>221.8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2056.6</v>
      </c>
      <c r="C13" s="0" t="n">
        <v>303.4</v>
      </c>
      <c r="D13" s="0" t="n">
        <v>1753.2</v>
      </c>
      <c r="E13" s="0" t="n">
        <v>85.2474958669649</v>
      </c>
      <c r="F13" s="0" t="n">
        <v>-509.1</v>
      </c>
      <c r="G13" s="0" t="n">
        <v>-24.7544490907323</v>
      </c>
      <c r="H13" s="0" t="n">
        <v>-400.7</v>
      </c>
      <c r="I13" s="0" t="n">
        <v>-566.9</v>
      </c>
      <c r="J13" s="0" t="n">
        <v>-27.5649129631431</v>
      </c>
      <c r="K13" s="0" t="n">
        <v>-2.58</v>
      </c>
      <c r="L13" s="0" t="n">
        <v>0.9</v>
      </c>
      <c r="O13" s="0" t="n">
        <v>-256</v>
      </c>
      <c r="P13" s="0" t="n">
        <v>4113.6</v>
      </c>
      <c r="R13" s="0" t="n">
        <v>1586</v>
      </c>
      <c r="S13" s="0" t="n">
        <v>1078</v>
      </c>
      <c r="T13" s="0" t="n">
        <v>219.5</v>
      </c>
      <c r="U13" s="0" t="n">
        <v>261.4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2569.8</v>
      </c>
      <c r="C14" s="0" t="n">
        <v>285.9</v>
      </c>
      <c r="D14" s="0" t="n">
        <v>2283.9</v>
      </c>
      <c r="E14" s="0" t="n">
        <v>88.8746205930423</v>
      </c>
      <c r="F14" s="0" t="n">
        <v>-25</v>
      </c>
      <c r="G14" s="0" t="n">
        <v>-0.972838353179236</v>
      </c>
      <c r="H14" s="0" t="n">
        <v>70.2</v>
      </c>
      <c r="I14" s="0" t="n">
        <v>-80.8</v>
      </c>
      <c r="J14" s="0" t="n">
        <v>-3.14421355747529</v>
      </c>
      <c r="K14" s="0" t="n">
        <v>-0.37</v>
      </c>
      <c r="L14" s="0" t="n">
        <v>377.1</v>
      </c>
      <c r="M14" s="0" t="n">
        <v>67</v>
      </c>
      <c r="N14" s="0" t="n">
        <v>310.1</v>
      </c>
      <c r="O14" s="0" t="n">
        <v>-210.9</v>
      </c>
      <c r="P14" s="0" t="n">
        <v>4729.2</v>
      </c>
      <c r="R14" s="0" t="n">
        <v>2087.7</v>
      </c>
      <c r="S14" s="0" t="n">
        <v>886</v>
      </c>
      <c r="T14" s="0" t="n">
        <v>218.9</v>
      </c>
      <c r="U14" s="0" t="n">
        <v>249.5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3274.3</v>
      </c>
      <c r="C15" s="0" t="n">
        <v>324.9</v>
      </c>
      <c r="D15" s="0" t="n">
        <v>2949.4</v>
      </c>
      <c r="E15" s="0" t="n">
        <v>90.0772684237852</v>
      </c>
      <c r="F15" s="0" t="n">
        <v>343</v>
      </c>
      <c r="G15" s="0" t="n">
        <v>10.4755214855084</v>
      </c>
      <c r="H15" s="0" t="n">
        <v>470.3</v>
      </c>
      <c r="I15" s="0" t="n">
        <v>214.5</v>
      </c>
      <c r="J15" s="0" t="n">
        <v>6.55101853831353</v>
      </c>
      <c r="K15" s="0" t="n">
        <v>0.96</v>
      </c>
      <c r="L15" s="0" t="n">
        <v>1415.1</v>
      </c>
      <c r="M15" s="0" t="n">
        <v>53.2</v>
      </c>
      <c r="N15" s="0" t="n">
        <v>1361.9</v>
      </c>
      <c r="O15" s="0" t="n">
        <v>-139</v>
      </c>
      <c r="P15" s="0" t="n">
        <v>6179.3</v>
      </c>
      <c r="R15" s="0" t="n">
        <v>2100</v>
      </c>
      <c r="S15" s="0" t="n">
        <v>1774.7</v>
      </c>
      <c r="T15" s="0" t="n">
        <v>222.5</v>
      </c>
      <c r="U15" s="0" t="n">
        <v>362.4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3790</v>
      </c>
      <c r="C16" s="0" t="n">
        <v>337</v>
      </c>
      <c r="D16" s="0" t="n">
        <v>3453</v>
      </c>
      <c r="E16" s="0" t="n">
        <v>91.1081794195251</v>
      </c>
      <c r="F16" s="0" t="n">
        <v>629</v>
      </c>
      <c r="G16" s="0" t="n">
        <v>16.5963060686016</v>
      </c>
      <c r="H16" s="0" t="n">
        <v>753</v>
      </c>
      <c r="I16" s="0" t="n">
        <v>1208</v>
      </c>
      <c r="J16" s="0" t="n">
        <v>31.8733509234829</v>
      </c>
      <c r="K16" s="0" t="n">
        <v>5.44</v>
      </c>
      <c r="L16" s="0" t="n">
        <v>1437</v>
      </c>
      <c r="M16" s="0" t="n">
        <v>91</v>
      </c>
      <c r="N16" s="0" t="n">
        <v>1346</v>
      </c>
      <c r="O16" s="0" t="n">
        <v>965</v>
      </c>
      <c r="P16" s="0" t="n">
        <v>7279.8</v>
      </c>
      <c r="R16" s="0" t="n">
        <v>1650</v>
      </c>
      <c r="S16" s="0" t="n">
        <v>1772.2</v>
      </c>
      <c r="T16" s="0" t="n">
        <v>222</v>
      </c>
      <c r="U16" s="0" t="n">
        <v>398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4386</v>
      </c>
      <c r="C17" s="0" t="n">
        <v>418</v>
      </c>
      <c r="D17" s="0" t="n">
        <v>3968</v>
      </c>
      <c r="E17" s="0" t="n">
        <v>90.4696762425901</v>
      </c>
      <c r="F17" s="0" t="n">
        <v>618</v>
      </c>
      <c r="G17" s="0" t="n">
        <v>14.0902872777018</v>
      </c>
      <c r="H17" s="0" t="n">
        <v>766</v>
      </c>
      <c r="I17" s="0" t="n">
        <v>497</v>
      </c>
      <c r="J17" s="0" t="n">
        <v>11.3315093479252</v>
      </c>
      <c r="K17" s="0" t="n">
        <v>2.24</v>
      </c>
      <c r="L17" s="0" t="n">
        <v>1531</v>
      </c>
      <c r="M17" s="0" t="n">
        <v>56</v>
      </c>
      <c r="N17" s="0" t="n">
        <v>1475</v>
      </c>
      <c r="O17" s="0" t="n">
        <v>849</v>
      </c>
      <c r="P17" s="0" t="n">
        <v>8607</v>
      </c>
      <c r="R17" s="0" t="n">
        <v>2650</v>
      </c>
      <c r="S17" s="0" t="n">
        <v>1528</v>
      </c>
      <c r="T17" s="0" t="n">
        <v>222</v>
      </c>
      <c r="U17" s="0" t="n">
        <v>555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5005</v>
      </c>
      <c r="C18" s="0" t="n">
        <v>480</v>
      </c>
      <c r="D18" s="0" t="n">
        <v>4525</v>
      </c>
      <c r="E18" s="0" t="n">
        <v>90.4095904095904</v>
      </c>
      <c r="F18" s="0" t="n">
        <v>989</v>
      </c>
      <c r="G18" s="0" t="n">
        <v>19.7602397602398</v>
      </c>
      <c r="H18" s="0" t="n">
        <v>1139</v>
      </c>
      <c r="I18" s="0" t="n">
        <v>823</v>
      </c>
      <c r="J18" s="0" t="n">
        <v>16.4435564435564</v>
      </c>
      <c r="K18" s="0" t="n">
        <v>3.78</v>
      </c>
      <c r="L18" s="0" t="n">
        <v>2071</v>
      </c>
      <c r="M18" s="0" t="n">
        <v>40</v>
      </c>
      <c r="N18" s="0" t="n">
        <v>2031</v>
      </c>
      <c r="O18" s="0" t="n">
        <v>1145</v>
      </c>
      <c r="P18" s="0" t="n">
        <v>9438</v>
      </c>
      <c r="R18" s="0" t="n">
        <v>2300</v>
      </c>
      <c r="S18" s="0" t="n">
        <v>1947</v>
      </c>
      <c r="T18" s="0" t="n">
        <v>218</v>
      </c>
      <c r="U18" s="0" t="n">
        <v>657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5497</v>
      </c>
      <c r="C19" s="0" t="n">
        <v>511</v>
      </c>
      <c r="D19" s="0" t="n">
        <v>4986</v>
      </c>
      <c r="E19" s="0" t="n">
        <v>90.7040203747499</v>
      </c>
      <c r="F19" s="0" t="n">
        <v>1128</v>
      </c>
      <c r="G19" s="0" t="n">
        <v>20.5202837911588</v>
      </c>
      <c r="H19" s="0" t="n">
        <v>1267</v>
      </c>
      <c r="I19" s="0" t="n">
        <v>906</v>
      </c>
      <c r="J19" s="0" t="n">
        <v>16.4817173003456</v>
      </c>
      <c r="K19" s="0" t="n">
        <v>4.19</v>
      </c>
      <c r="L19" s="0" t="n">
        <v>1313</v>
      </c>
      <c r="M19" s="0" t="n">
        <v>31</v>
      </c>
      <c r="N19" s="0" t="n">
        <v>1282</v>
      </c>
      <c r="O19" s="0" t="n">
        <v>1855</v>
      </c>
      <c r="P19" s="0" t="n">
        <v>9912</v>
      </c>
      <c r="R19" s="0" t="n">
        <v>2300</v>
      </c>
      <c r="S19" s="0" t="n">
        <v>1892</v>
      </c>
      <c r="T19" s="0" t="n">
        <v>216</v>
      </c>
      <c r="U19" s="0" t="n">
        <v>703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6131</v>
      </c>
      <c r="C20" s="0" t="n">
        <v>578</v>
      </c>
      <c r="D20" s="0" t="n">
        <v>5553</v>
      </c>
      <c r="E20" s="0" t="n">
        <v>90.5725004077638</v>
      </c>
      <c r="F20" s="0" t="n">
        <v>1354</v>
      </c>
      <c r="G20" s="0" t="n">
        <v>22.0844886641657</v>
      </c>
      <c r="H20" s="0" t="n">
        <v>1534</v>
      </c>
      <c r="I20" s="0" t="n">
        <v>1112</v>
      </c>
      <c r="J20" s="0" t="n">
        <v>18.1373348556516</v>
      </c>
      <c r="K20" s="0" t="n">
        <v>5.12</v>
      </c>
      <c r="L20" s="0" t="n">
        <v>1607</v>
      </c>
      <c r="M20" s="0" t="n">
        <v>40</v>
      </c>
      <c r="N20" s="0" t="n">
        <v>1567</v>
      </c>
      <c r="O20" s="0" t="n">
        <v>2621</v>
      </c>
      <c r="P20" s="0" t="n">
        <v>10833</v>
      </c>
      <c r="R20" s="0" t="n">
        <v>2300</v>
      </c>
      <c r="S20" s="0" t="n">
        <v>1599</v>
      </c>
      <c r="T20" s="0" t="n">
        <v>217</v>
      </c>
      <c r="U20" s="0" t="n">
        <v>683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7206</v>
      </c>
      <c r="C21" s="0" t="n">
        <v>650</v>
      </c>
      <c r="D21" s="0" t="n">
        <v>6556</v>
      </c>
      <c r="E21" s="0" t="n">
        <v>90.9797391063003</v>
      </c>
      <c r="F21" s="0" t="n">
        <v>1578</v>
      </c>
      <c r="G21" s="0" t="n">
        <v>21.8984179850125</v>
      </c>
      <c r="H21" s="0" t="n">
        <v>1773</v>
      </c>
      <c r="I21" s="0" t="n">
        <v>1124</v>
      </c>
      <c r="J21" s="0" t="n">
        <v>15.5981126838746</v>
      </c>
      <c r="K21" s="0" t="n">
        <v>5.23</v>
      </c>
      <c r="L21" s="0" t="n">
        <v>2452</v>
      </c>
      <c r="M21" s="0" t="n">
        <v>43</v>
      </c>
      <c r="N21" s="0" t="n">
        <v>2409</v>
      </c>
      <c r="O21" s="0" t="n">
        <v>3045</v>
      </c>
      <c r="P21" s="0" t="n">
        <v>12467</v>
      </c>
      <c r="R21" s="0" t="n">
        <v>2500</v>
      </c>
      <c r="S21" s="0" t="n">
        <v>2249</v>
      </c>
      <c r="T21" s="0" t="n">
        <v>215</v>
      </c>
      <c r="U21" s="0" t="n">
        <v>788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211.35</v>
      </c>
    </row>
    <row r="3" customFormat="false" ht="15" hidden="false" customHeight="false" outlineLevel="0" collapsed="false">
      <c r="A3" s="0" t="s">
        <v>86</v>
      </c>
      <c r="B3" s="3" t="n">
        <v>211</v>
      </c>
    </row>
    <row r="4" customFormat="false" ht="15" hidden="false" customHeight="false" outlineLevel="0" collapsed="false">
      <c r="A4" s="0" t="s">
        <v>87</v>
      </c>
      <c r="B4" s="3" t="n">
        <v>2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7206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12</v>
      </c>
      <c r="D13" s="3" t="n">
        <v>8</v>
      </c>
      <c r="E13" s="3" t="n">
        <v>6</v>
      </c>
      <c r="F13" s="3" t="n">
        <v>5</v>
      </c>
      <c r="G13" s="3" t="n">
        <v>4.5</v>
      </c>
      <c r="H13" s="3" t="n">
        <v>4</v>
      </c>
      <c r="I13" s="3" t="n">
        <v>4</v>
      </c>
      <c r="J13" s="3" t="n">
        <v>3.5</v>
      </c>
      <c r="K13" s="3" t="n">
        <v>3.5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24</v>
      </c>
      <c r="D14" s="3" t="n">
        <v>23.5</v>
      </c>
      <c r="E14" s="3" t="n">
        <v>23</v>
      </c>
      <c r="F14" s="3" t="n">
        <v>23.5</v>
      </c>
      <c r="G14" s="3" t="n">
        <v>24</v>
      </c>
      <c r="H14" s="3" t="n">
        <v>24.5</v>
      </c>
      <c r="I14" s="3" t="n">
        <v>25</v>
      </c>
      <c r="J14" s="3" t="n">
        <v>25</v>
      </c>
      <c r="K14" s="3" t="n">
        <v>25</v>
      </c>
      <c r="L14" s="3" t="n">
        <v>25</v>
      </c>
    </row>
    <row r="15" customFormat="false" ht="15" hidden="false" customHeight="false" outlineLevel="0" collapsed="false">
      <c r="A15" s="0" t="s">
        <v>108</v>
      </c>
      <c r="C15" s="3" t="n">
        <v>15.5</v>
      </c>
      <c r="D15" s="3" t="n">
        <v>15</v>
      </c>
      <c r="E15" s="3" t="n">
        <v>14.5</v>
      </c>
      <c r="F15" s="3" t="n">
        <v>14</v>
      </c>
      <c r="G15" s="3" t="n">
        <v>13.5</v>
      </c>
      <c r="H15" s="3" t="n">
        <v>13</v>
      </c>
      <c r="I15" s="3" t="n">
        <v>12.5</v>
      </c>
      <c r="J15" s="3" t="n">
        <v>12</v>
      </c>
      <c r="K15" s="3" t="n">
        <v>11.5</v>
      </c>
      <c r="L15" s="3" t="n">
        <v>11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</v>
      </c>
      <c r="D17" s="3" t="n">
        <v>3.1</v>
      </c>
      <c r="E17" s="3" t="n">
        <v>3.1</v>
      </c>
      <c r="F17" s="3" t="n">
        <v>3</v>
      </c>
      <c r="G17" s="3" t="n">
        <v>3</v>
      </c>
      <c r="H17" s="3" t="n">
        <v>2.9</v>
      </c>
      <c r="I17" s="3" t="n">
        <v>2.9</v>
      </c>
      <c r="J17" s="3" t="n">
        <v>2.9</v>
      </c>
      <c r="K17" s="3" t="n">
        <v>2.9</v>
      </c>
      <c r="L17" s="3" t="n">
        <v>2.9</v>
      </c>
    </row>
    <row r="18" customFormat="false" ht="15" hidden="false" customHeight="false" outlineLevel="0" collapsed="false">
      <c r="A18" s="0" t="s">
        <v>111</v>
      </c>
      <c r="C18" s="3" t="n">
        <v>0.8</v>
      </c>
      <c r="D18" s="3" t="n">
        <v>0.9</v>
      </c>
      <c r="E18" s="3" t="n">
        <v>0.9</v>
      </c>
      <c r="F18" s="3" t="n">
        <v>0.9</v>
      </c>
      <c r="G18" s="3" t="n">
        <v>0.9</v>
      </c>
      <c r="H18" s="3" t="n">
        <v>0.9</v>
      </c>
      <c r="I18" s="3" t="n">
        <v>0.9</v>
      </c>
      <c r="J18" s="3" t="n">
        <v>0.9</v>
      </c>
      <c r="K18" s="3" t="n">
        <v>0.9</v>
      </c>
      <c r="L18" s="3" t="n">
        <v>0.9</v>
      </c>
    </row>
    <row r="19" customFormat="false" ht="15" hidden="false" customHeight="false" outlineLevel="0" collapsed="false">
      <c r="A19" s="0" t="s">
        <v>112</v>
      </c>
      <c r="C19" s="3" t="n">
        <v>19</v>
      </c>
      <c r="D19" s="3" t="n">
        <v>21</v>
      </c>
      <c r="E19" s="3" t="n">
        <v>22</v>
      </c>
      <c r="F19" s="3" t="n">
        <v>23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12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15.5</v>
      </c>
      <c r="D27" s="3" t="n">
        <v>13.5</v>
      </c>
      <c r="E27" s="3" t="n">
        <v>12</v>
      </c>
      <c r="F27" s="3" t="n">
        <v>10.5</v>
      </c>
      <c r="G27" s="3" t="n">
        <v>9.5</v>
      </c>
      <c r="H27" s="3" t="n">
        <v>8.5</v>
      </c>
      <c r="I27" s="3" t="n">
        <v>7.5</v>
      </c>
      <c r="J27" s="3" t="n">
        <v>7</v>
      </c>
      <c r="K27" s="3" t="n">
        <v>6.5</v>
      </c>
      <c r="L27" s="3" t="n">
        <v>6</v>
      </c>
    </row>
    <row r="28" customFormat="false" ht="15" hidden="false" customHeight="false" outlineLevel="0" collapsed="false">
      <c r="A28" s="0" t="s">
        <v>107</v>
      </c>
      <c r="C28" s="3" t="n">
        <v>25.5</v>
      </c>
      <c r="D28" s="3" t="n">
        <v>26.5</v>
      </c>
      <c r="E28" s="3" t="n">
        <v>27.5</v>
      </c>
      <c r="F28" s="3" t="n">
        <v>28.5</v>
      </c>
      <c r="G28" s="3" t="n">
        <v>29</v>
      </c>
      <c r="H28" s="3" t="n">
        <v>29.5</v>
      </c>
      <c r="I28" s="3" t="n">
        <v>30</v>
      </c>
      <c r="J28" s="3" t="n">
        <v>30</v>
      </c>
      <c r="K28" s="3" t="n">
        <v>30</v>
      </c>
      <c r="L28" s="3" t="n">
        <v>30</v>
      </c>
    </row>
    <row r="29" customFormat="false" ht="15" hidden="false" customHeight="false" outlineLevel="0" collapsed="false">
      <c r="A29" s="0" t="s">
        <v>108</v>
      </c>
      <c r="C29" s="3" t="n">
        <v>14.5</v>
      </c>
      <c r="D29" s="3" t="n">
        <v>14</v>
      </c>
      <c r="E29" s="3" t="n">
        <v>13.3</v>
      </c>
      <c r="F29" s="3" t="n">
        <v>12.6</v>
      </c>
      <c r="G29" s="3" t="n">
        <v>12</v>
      </c>
      <c r="H29" s="3" t="n">
        <v>11.4</v>
      </c>
      <c r="I29" s="3" t="n">
        <v>10.8</v>
      </c>
      <c r="J29" s="3" t="n">
        <v>10.3</v>
      </c>
      <c r="K29" s="3" t="n">
        <v>9.8</v>
      </c>
      <c r="L29" s="3" t="n">
        <v>9.3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2.8</v>
      </c>
      <c r="D31" s="3" t="n">
        <v>2.8</v>
      </c>
      <c r="E31" s="3" t="n">
        <v>2.7</v>
      </c>
      <c r="F31" s="3" t="n">
        <v>2.7</v>
      </c>
      <c r="G31" s="3" t="n">
        <v>2.6</v>
      </c>
      <c r="H31" s="3" t="n">
        <v>2.6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111</v>
      </c>
      <c r="C32" s="3" t="n">
        <v>0.7</v>
      </c>
      <c r="D32" s="3" t="n">
        <v>0.7</v>
      </c>
      <c r="E32" s="3" t="n">
        <v>0.7</v>
      </c>
      <c r="F32" s="3" t="n">
        <v>0.7</v>
      </c>
      <c r="G32" s="3" t="n">
        <v>0.8</v>
      </c>
      <c r="H32" s="3" t="n">
        <v>0.8</v>
      </c>
      <c r="I32" s="3" t="n">
        <v>0.8</v>
      </c>
      <c r="J32" s="3" t="n">
        <v>0.8</v>
      </c>
      <c r="K32" s="3" t="n">
        <v>0.8</v>
      </c>
      <c r="L32" s="3" t="n">
        <v>0.8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18.5</v>
      </c>
      <c r="E33" s="3" t="n">
        <v>20</v>
      </c>
      <c r="F33" s="3" t="n">
        <v>21</v>
      </c>
      <c r="G33" s="3" t="n">
        <v>22</v>
      </c>
      <c r="H33" s="3" t="n">
        <v>22.5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16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17.5</v>
      </c>
      <c r="D41" s="3" t="n">
        <v>16.5</v>
      </c>
      <c r="E41" s="3" t="n">
        <v>15</v>
      </c>
      <c r="F41" s="3" t="n">
        <v>13.5</v>
      </c>
      <c r="G41" s="3" t="n">
        <v>12</v>
      </c>
      <c r="H41" s="3" t="n">
        <v>10.5</v>
      </c>
      <c r="I41" s="3" t="n">
        <v>9.5</v>
      </c>
      <c r="J41" s="3" t="n">
        <v>8.5</v>
      </c>
      <c r="K41" s="3" t="n">
        <v>8</v>
      </c>
      <c r="L41" s="3" t="n">
        <v>7.5</v>
      </c>
    </row>
    <row r="42" customFormat="false" ht="15" hidden="false" customHeight="false" outlineLevel="0" collapsed="false">
      <c r="A42" s="0" t="s">
        <v>107</v>
      </c>
      <c r="C42" s="3" t="n">
        <v>26</v>
      </c>
      <c r="D42" s="3" t="n">
        <v>27.5</v>
      </c>
      <c r="E42" s="3" t="n">
        <v>29</v>
      </c>
      <c r="F42" s="3" t="n">
        <v>30.5</v>
      </c>
      <c r="G42" s="3" t="n">
        <v>31.5</v>
      </c>
      <c r="H42" s="3" t="n">
        <v>32.5</v>
      </c>
      <c r="I42" s="3" t="n">
        <v>33</v>
      </c>
      <c r="J42" s="3" t="n">
        <v>33</v>
      </c>
      <c r="K42" s="3" t="n">
        <v>33</v>
      </c>
      <c r="L42" s="3" t="n">
        <v>33</v>
      </c>
    </row>
    <row r="43" customFormat="false" ht="15" hidden="false" customHeight="false" outlineLevel="0" collapsed="false">
      <c r="A43" s="0" t="s">
        <v>108</v>
      </c>
      <c r="C43" s="3" t="n">
        <v>14</v>
      </c>
      <c r="D43" s="3" t="n">
        <v>13</v>
      </c>
      <c r="E43" s="3" t="n">
        <v>12</v>
      </c>
      <c r="F43" s="3" t="n">
        <v>11</v>
      </c>
      <c r="G43" s="3" t="n">
        <v>10</v>
      </c>
      <c r="H43" s="3" t="n">
        <v>9.2</v>
      </c>
      <c r="I43" s="3" t="n">
        <v>8.5</v>
      </c>
      <c r="J43" s="3" t="n">
        <v>8</v>
      </c>
      <c r="K43" s="3" t="n">
        <v>7.5</v>
      </c>
      <c r="L43" s="3" t="n">
        <v>7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2.8</v>
      </c>
      <c r="D45" s="3" t="n">
        <v>2.7</v>
      </c>
      <c r="E45" s="3" t="n">
        <v>2.6</v>
      </c>
      <c r="F45" s="3" t="n">
        <v>2.5</v>
      </c>
      <c r="G45" s="3" t="n">
        <v>2.4</v>
      </c>
      <c r="H45" s="3" t="n">
        <v>2.3</v>
      </c>
      <c r="I45" s="3" t="n">
        <v>2.2</v>
      </c>
      <c r="J45" s="3" t="n">
        <v>2.2</v>
      </c>
      <c r="K45" s="3" t="n">
        <v>2.2</v>
      </c>
      <c r="L45" s="3" t="n">
        <v>2.2</v>
      </c>
    </row>
    <row r="46" customFormat="false" ht="15" hidden="false" customHeight="false" outlineLevel="0" collapsed="false">
      <c r="A46" s="0" t="s">
        <v>111</v>
      </c>
      <c r="C46" s="3" t="n">
        <v>0.7</v>
      </c>
      <c r="D46" s="3" t="n">
        <v>0.7</v>
      </c>
      <c r="E46" s="3" t="n">
        <v>0.7</v>
      </c>
      <c r="F46" s="3" t="n">
        <v>0.7</v>
      </c>
      <c r="G46" s="3" t="n">
        <v>0.7</v>
      </c>
      <c r="H46" s="3" t="n">
        <v>0.7</v>
      </c>
      <c r="I46" s="3" t="n">
        <v>0.7</v>
      </c>
      <c r="J46" s="3" t="n">
        <v>0.7</v>
      </c>
      <c r="K46" s="3" t="n">
        <v>0.7</v>
      </c>
      <c r="L46" s="3" t="n">
        <v>0.7</v>
      </c>
    </row>
    <row r="47" customFormat="false" ht="15" hidden="false" customHeight="false" outlineLevel="0" collapsed="false">
      <c r="A47" s="0" t="s">
        <v>112</v>
      </c>
      <c r="C47" s="3" t="n">
        <v>16</v>
      </c>
      <c r="D47" s="3" t="n">
        <v>17.5</v>
      </c>
      <c r="E47" s="3" t="n">
        <v>19</v>
      </c>
      <c r="F47" s="3" t="n">
        <v>20</v>
      </c>
      <c r="G47" s="3" t="n">
        <v>21</v>
      </c>
      <c r="H47" s="3" t="n">
        <v>21.5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22</v>
      </c>
    </row>
    <row r="51" customFormat="false" ht="15" hidden="false" customHeight="false" outlineLevel="0" collapsed="false">
      <c r="A51" s="0" t="s">
        <v>116</v>
      </c>
      <c r="B51" s="3" t="n">
        <v>18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12</v>
      </c>
      <c r="D5" s="4" t="n">
        <f aca="false">Assumptions!D13</f>
        <v>8</v>
      </c>
      <c r="E5" s="4" t="n">
        <f aca="false">Assumptions!E13</f>
        <v>6</v>
      </c>
      <c r="F5" s="4" t="n">
        <f aca="false">Assumptions!F13</f>
        <v>5</v>
      </c>
      <c r="G5" s="4" t="n">
        <f aca="false">Assumptions!G13</f>
        <v>4.5</v>
      </c>
      <c r="H5" s="4" t="n">
        <f aca="false">Assumptions!H13</f>
        <v>4</v>
      </c>
      <c r="I5" s="4" t="n">
        <f aca="false">Assumptions!I13</f>
        <v>4</v>
      </c>
      <c r="J5" s="4" t="n">
        <f aca="false">Assumptions!J13</f>
        <v>3.5</v>
      </c>
      <c r="K5" s="4" t="n">
        <f aca="false">Assumptions!K13</f>
        <v>3.5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7206</v>
      </c>
      <c r="C6" s="0" t="n">
        <f aca="false">B6*(1+C5/100)</f>
        <v>8070.72</v>
      </c>
      <c r="D6" s="0" t="n">
        <f aca="false">C6*(1+D5/100)</f>
        <v>8716.3776</v>
      </c>
      <c r="E6" s="0" t="n">
        <f aca="false">D6*(1+E5/100)</f>
        <v>9239.360256</v>
      </c>
      <c r="F6" s="0" t="n">
        <f aca="false">E6*(1+F5/100)</f>
        <v>9701.3282688</v>
      </c>
      <c r="G6" s="0" t="n">
        <f aca="false">F6*(1+G5/100)</f>
        <v>10137.888040896</v>
      </c>
      <c r="H6" s="0" t="n">
        <f aca="false">G6*(1+H5/100)</f>
        <v>10543.4035625318</v>
      </c>
      <c r="I6" s="0" t="n">
        <f aca="false">H6*(1+I5/100)</f>
        <v>10965.1397050331</v>
      </c>
      <c r="J6" s="0" t="n">
        <f aca="false">I6*(1+J5/100)</f>
        <v>11348.9195947093</v>
      </c>
      <c r="K6" s="0" t="n">
        <f aca="false">J6*(1+K5/100)</f>
        <v>11746.1317805241</v>
      </c>
      <c r="L6" s="0" t="n">
        <f aca="false">K6*(1+L5/100)</f>
        <v>12098.5157339398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24</v>
      </c>
      <c r="D7" s="4" t="n">
        <f aca="false">Assumptions!D14</f>
        <v>23.5</v>
      </c>
      <c r="E7" s="4" t="n">
        <f aca="false">Assumptions!E14</f>
        <v>23</v>
      </c>
      <c r="F7" s="4" t="n">
        <f aca="false">Assumptions!F14</f>
        <v>23.5</v>
      </c>
      <c r="G7" s="4" t="n">
        <f aca="false">Assumptions!G14</f>
        <v>24</v>
      </c>
      <c r="H7" s="4" t="n">
        <f aca="false">Assumptions!H14</f>
        <v>24.5</v>
      </c>
      <c r="I7" s="4" t="n">
        <f aca="false">Assumptions!I14</f>
        <v>25</v>
      </c>
      <c r="J7" s="4" t="n">
        <f aca="false">Assumptions!J14</f>
        <v>25</v>
      </c>
      <c r="K7" s="4" t="n">
        <f aca="false">Assumptions!K14</f>
        <v>25</v>
      </c>
      <c r="L7" s="4" t="n">
        <f aca="false">Assumptions!L14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1936.9728</v>
      </c>
      <c r="D8" s="0" t="n">
        <f aca="false">D6*D7/100</f>
        <v>2048.348736</v>
      </c>
      <c r="E8" s="0" t="n">
        <f aca="false">E6*E7/100</f>
        <v>2125.05285888</v>
      </c>
      <c r="F8" s="0" t="n">
        <f aca="false">F6*F7/100</f>
        <v>2279.812143168</v>
      </c>
      <c r="G8" s="0" t="n">
        <f aca="false">G6*G7/100</f>
        <v>2433.09312981504</v>
      </c>
      <c r="H8" s="0" t="n">
        <f aca="false">H6*H7/100</f>
        <v>2583.1338728203</v>
      </c>
      <c r="I8" s="0" t="n">
        <f aca="false">I6*I7/100</f>
        <v>2741.28492625828</v>
      </c>
      <c r="J8" s="0" t="n">
        <f aca="false">J6*J7/100</f>
        <v>2837.22989867732</v>
      </c>
      <c r="K8" s="0" t="n">
        <f aca="false">K6*K7/100</f>
        <v>2936.53294513102</v>
      </c>
      <c r="L8" s="0" t="n">
        <f aca="false">L6*L7/100</f>
        <v>3024.62893348496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15.5</v>
      </c>
      <c r="D9" s="4" t="n">
        <f aca="false">Assumptions!D15</f>
        <v>15</v>
      </c>
      <c r="E9" s="4" t="n">
        <f aca="false">Assumptions!E15</f>
        <v>14.5</v>
      </c>
      <c r="F9" s="4" t="n">
        <f aca="false">Assumptions!F15</f>
        <v>14</v>
      </c>
      <c r="G9" s="4" t="n">
        <f aca="false">Assumptions!G15</f>
        <v>13.5</v>
      </c>
      <c r="H9" s="4" t="n">
        <f aca="false">Assumptions!H15</f>
        <v>13</v>
      </c>
      <c r="I9" s="4" t="n">
        <f aca="false">Assumptions!I15</f>
        <v>12.5</v>
      </c>
      <c r="J9" s="4" t="n">
        <f aca="false">Assumptions!J15</f>
        <v>12</v>
      </c>
      <c r="K9" s="4" t="n">
        <f aca="false">Assumptions!K15</f>
        <v>11.5</v>
      </c>
      <c r="L9" s="4" t="n">
        <f aca="false">Assumptions!L15</f>
        <v>11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-1250.9616</v>
      </c>
      <c r="D10" s="0" t="n">
        <f aca="false">-D6*D9/100</f>
        <v>-1307.45664</v>
      </c>
      <c r="E10" s="0" t="n">
        <f aca="false">-E6*E9/100</f>
        <v>-1339.70723712</v>
      </c>
      <c r="F10" s="0" t="n">
        <f aca="false">-F6*F9/100</f>
        <v>-1358.185957632</v>
      </c>
      <c r="G10" s="0" t="n">
        <f aca="false">-G6*G9/100</f>
        <v>-1368.61488552096</v>
      </c>
      <c r="H10" s="0" t="n">
        <f aca="false">-H6*H9/100</f>
        <v>-1370.64246312914</v>
      </c>
      <c r="I10" s="0" t="n">
        <f aca="false">-I6*I9/100</f>
        <v>-1370.64246312914</v>
      </c>
      <c r="J10" s="0" t="n">
        <f aca="false">-J6*J9/100</f>
        <v>-1361.87035136511</v>
      </c>
      <c r="K10" s="0" t="n">
        <f aca="false">-K6*K9/100</f>
        <v>-1350.80515476027</v>
      </c>
      <c r="L10" s="0" t="n">
        <f aca="false">-L6*L9/100</f>
        <v>-1330.83673073338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686.0112</v>
      </c>
      <c r="D11" s="0" t="n">
        <f aca="false">D8+D10+D24</f>
        <v>740.892096</v>
      </c>
      <c r="E11" s="0" t="n">
        <f aca="false">E8+E10+E24</f>
        <v>785.34562176</v>
      </c>
      <c r="F11" s="0" t="n">
        <f aca="false">F8+F10+F24</f>
        <v>921.626185536</v>
      </c>
      <c r="G11" s="0" t="n">
        <f aca="false">G8+G10+G24</f>
        <v>1064.47824429408</v>
      </c>
      <c r="H11" s="0" t="n">
        <f aca="false">H8+H10+H24</f>
        <v>1212.49140969116</v>
      </c>
      <c r="I11" s="0" t="n">
        <f aca="false">I8+I10+I24</f>
        <v>1370.64246312914</v>
      </c>
      <c r="J11" s="0" t="n">
        <f aca="false">J8+J10+J24</f>
        <v>1475.35954731221</v>
      </c>
      <c r="K11" s="0" t="n">
        <f aca="false">K8+K10+K24</f>
        <v>1585.72779037075</v>
      </c>
      <c r="L11" s="0" t="n">
        <f aca="false">L8+L10+L24</f>
        <v>1693.79220275157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-242.1216</v>
      </c>
      <c r="D12" s="4" t="n">
        <f aca="false">-D6*Assumptions!D17/100</f>
        <v>-270.2077056</v>
      </c>
      <c r="E12" s="4" t="n">
        <f aca="false">-E6*Assumptions!E17/100</f>
        <v>-286.420167936</v>
      </c>
      <c r="F12" s="4" t="n">
        <f aca="false">-F6*Assumptions!F17/100</f>
        <v>-291.039848064</v>
      </c>
      <c r="G12" s="4" t="n">
        <f aca="false">-G6*Assumptions!G17/100</f>
        <v>-304.13664122688</v>
      </c>
      <c r="H12" s="4" t="n">
        <f aca="false">-H6*Assumptions!H17/100</f>
        <v>-305.758703313423</v>
      </c>
      <c r="I12" s="4" t="n">
        <f aca="false">-I6*Assumptions!I17/100</f>
        <v>-317.98905144596</v>
      </c>
      <c r="J12" s="4" t="n">
        <f aca="false">-J6*Assumptions!J17/100</f>
        <v>-329.118668246569</v>
      </c>
      <c r="K12" s="4" t="n">
        <f aca="false">-K6*Assumptions!K17/100</f>
        <v>-340.637821635199</v>
      </c>
      <c r="L12" s="4" t="n">
        <f aca="false">-L6*Assumptions!L17/100</f>
        <v>-350.856956284255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443.8896</v>
      </c>
      <c r="D13" s="0" t="n">
        <f aca="false">D11+D12</f>
        <v>470.6843904</v>
      </c>
      <c r="E13" s="0" t="n">
        <f aca="false">E11+E12</f>
        <v>498.925453824</v>
      </c>
      <c r="F13" s="0" t="n">
        <f aca="false">F11+F12</f>
        <v>630.586337472</v>
      </c>
      <c r="G13" s="0" t="n">
        <f aca="false">G11+G12</f>
        <v>760.3416030672</v>
      </c>
      <c r="H13" s="0" t="n">
        <f aca="false">H11+H12</f>
        <v>906.732706377738</v>
      </c>
      <c r="I13" s="0" t="n">
        <f aca="false">I11+I12</f>
        <v>1052.65341168318</v>
      </c>
      <c r="J13" s="0" t="n">
        <f aca="false">J11+J12</f>
        <v>1146.24087906564</v>
      </c>
      <c r="K13" s="0" t="n">
        <f aca="false">K11+K12</f>
        <v>1245.08996873555</v>
      </c>
      <c r="L13" s="0" t="n">
        <f aca="false">L11+L12</f>
        <v>1342.93524646732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19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359.550576</v>
      </c>
      <c r="D15" s="0" t="n">
        <f aca="false">D13-MAX(0,D13)*D14/100</f>
        <v>371.840668416</v>
      </c>
      <c r="E15" s="0" t="n">
        <f aca="false">E13-MAX(0,E13)*E14/100</f>
        <v>389.16185398272</v>
      </c>
      <c r="F15" s="0" t="n">
        <f aca="false">F13-MAX(0,F13)*F14/100</f>
        <v>485.55147985344</v>
      </c>
      <c r="G15" s="0" t="n">
        <f aca="false">G13-MAX(0,G13)*G14/100</f>
        <v>577.859618331072</v>
      </c>
      <c r="H15" s="0" t="n">
        <f aca="false">H13-MAX(0,H13)*H14/100</f>
        <v>689.116856847081</v>
      </c>
      <c r="I15" s="0" t="n">
        <f aca="false">I13-MAX(0,I13)*I14/100</f>
        <v>800.016592879216</v>
      </c>
      <c r="J15" s="0" t="n">
        <f aca="false">J13-MAX(0,J13)*J14/100</f>
        <v>871.143068089884</v>
      </c>
      <c r="K15" s="0" t="n">
        <f aca="false">K13-MAX(0,K13)*K14/100</f>
        <v>946.268376239021</v>
      </c>
      <c r="L15" s="0" t="n">
        <f aca="false">L13-MAX(0,L13)*L14/100</f>
        <v>1020.63078731516</v>
      </c>
    </row>
    <row r="16" customFormat="false" ht="15" hidden="false" customHeight="false" outlineLevel="0" collapsed="false">
      <c r="A16" s="0" t="s">
        <v>128</v>
      </c>
      <c r="C16" s="0" t="n">
        <f aca="false">-C12</f>
        <v>242.1216</v>
      </c>
      <c r="D16" s="0" t="n">
        <f aca="false">-D12</f>
        <v>270.2077056</v>
      </c>
      <c r="E16" s="0" t="n">
        <f aca="false">-E12</f>
        <v>286.420167936</v>
      </c>
      <c r="F16" s="0" t="n">
        <f aca="false">-F12</f>
        <v>291.039848064</v>
      </c>
      <c r="G16" s="0" t="n">
        <f aca="false">-G12</f>
        <v>304.13664122688</v>
      </c>
      <c r="H16" s="0" t="n">
        <f aca="false">-H12</f>
        <v>305.758703313423</v>
      </c>
      <c r="I16" s="0" t="n">
        <f aca="false">-I12</f>
        <v>317.98905144596</v>
      </c>
      <c r="J16" s="0" t="n">
        <f aca="false">-J12</f>
        <v>329.118668246569</v>
      </c>
      <c r="K16" s="0" t="n">
        <f aca="false">-K12</f>
        <v>340.637821635199</v>
      </c>
      <c r="L16" s="0" t="n">
        <f aca="false">-L12</f>
        <v>350.856956284255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-64.56576</v>
      </c>
      <c r="D17" s="4" t="n">
        <f aca="false">-D6*Assumptions!D18/100</f>
        <v>-78.4473984</v>
      </c>
      <c r="E17" s="4" t="n">
        <f aca="false">-E6*Assumptions!E18/100</f>
        <v>-83.154242304</v>
      </c>
      <c r="F17" s="4" t="n">
        <f aca="false">-F6*Assumptions!F18/100</f>
        <v>-87.3119544192</v>
      </c>
      <c r="G17" s="4" t="n">
        <f aca="false">-G6*Assumptions!G18/100</f>
        <v>-91.240992368064</v>
      </c>
      <c r="H17" s="4" t="n">
        <f aca="false">-H6*Assumptions!H18/100</f>
        <v>-94.8906320627866</v>
      </c>
      <c r="I17" s="4" t="n">
        <f aca="false">-I6*Assumptions!I18/100</f>
        <v>-98.686257345298</v>
      </c>
      <c r="J17" s="4" t="n">
        <f aca="false">-J6*Assumptions!J18/100</f>
        <v>-102.140276352383</v>
      </c>
      <c r="K17" s="4" t="n">
        <f aca="false">-K6*Assumptions!K18/100</f>
        <v>-105.715186024717</v>
      </c>
      <c r="L17" s="4" t="n">
        <f aca="false">-L6*Assumptions!L18/100</f>
        <v>-108.886641605458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103.7664</v>
      </c>
      <c r="D18" s="4" t="n">
        <f aca="false">(D6-C6)*Assumptions!$B$23/100</f>
        <v>77.4789120000001</v>
      </c>
      <c r="E18" s="4" t="n">
        <f aca="false">(E6-D6)*Assumptions!$B$23/100</f>
        <v>62.75791872</v>
      </c>
      <c r="F18" s="4" t="n">
        <f aca="false">(F6-E6)*Assumptions!$B$23/100</f>
        <v>55.436161536</v>
      </c>
      <c r="G18" s="4" t="n">
        <f aca="false">(G6-F6)*Assumptions!$B$23/100</f>
        <v>52.3871726515199</v>
      </c>
      <c r="H18" s="4" t="n">
        <f aca="false">(H6-G6)*Assumptions!$B$23/100</f>
        <v>48.6618625963008</v>
      </c>
      <c r="I18" s="4" t="n">
        <f aca="false">(I6-H6)*Assumptions!$B$23/100</f>
        <v>50.6083371001528</v>
      </c>
      <c r="J18" s="4" t="n">
        <f aca="false">(J6-I6)*Assumptions!$B$23/100</f>
        <v>46.0535867611389</v>
      </c>
      <c r="K18" s="4" t="n">
        <f aca="false">(K6-J6)*Assumptions!$B$23/100</f>
        <v>47.6654622977789</v>
      </c>
      <c r="L18" s="4" t="n">
        <f aca="false">(L6-K6)*Assumptions!$B$23/100</f>
        <v>42.2860744098868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640.872816</v>
      </c>
      <c r="D19" s="0" t="n">
        <f aca="false">D15+D16+D17+D18</f>
        <v>641.079887616</v>
      </c>
      <c r="E19" s="0" t="n">
        <f aca="false">E15+E16+E17+E18</f>
        <v>655.18569833472</v>
      </c>
      <c r="F19" s="0" t="n">
        <f aca="false">F15+F16+F17+F18</f>
        <v>744.71553503424</v>
      </c>
      <c r="G19" s="0" t="n">
        <f aca="false">G15+G16+G17+G18</f>
        <v>843.142439841408</v>
      </c>
      <c r="H19" s="0" t="n">
        <f aca="false">H15+H16+H17+H18</f>
        <v>948.646790694019</v>
      </c>
      <c r="I19" s="0" t="n">
        <f aca="false">I15+I16+I17+I18</f>
        <v>1069.92772408003</v>
      </c>
      <c r="J19" s="0" t="n">
        <f aca="false">J15+J16+J17+J18</f>
        <v>1144.17504674521</v>
      </c>
      <c r="K19" s="0" t="n">
        <f aca="false">K15+K16+K17+K18</f>
        <v>1228.85647414728</v>
      </c>
      <c r="L19" s="0" t="n">
        <f aca="false">L15+L16+L17+L18</f>
        <v>1304.88717640385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582.611650909091</v>
      </c>
      <c r="D21" s="0" t="n">
        <f aca="false">D19*D20</f>
        <v>529.818088938843</v>
      </c>
      <c r="E21" s="0" t="n">
        <f aca="false">E19*E20</f>
        <v>492.250712497911</v>
      </c>
      <c r="F21" s="0" t="n">
        <f aca="false">F19*F20</f>
        <v>508.650730847783</v>
      </c>
      <c r="G21" s="0" t="n">
        <f aca="false">G19*G20</f>
        <v>523.525119273651</v>
      </c>
      <c r="H21" s="0" t="n">
        <f aca="false">H19*H20</f>
        <v>535.486382175956</v>
      </c>
      <c r="I21" s="0" t="n">
        <f aca="false">I19*I20</f>
        <v>549.042097531771</v>
      </c>
      <c r="J21" s="0" t="n">
        <f aca="false">J19*J20</f>
        <v>533.766103558456</v>
      </c>
      <c r="K21" s="0" t="n">
        <f aca="false">K19*K20</f>
        <v>521.155104007471</v>
      </c>
      <c r="L21" s="0" t="n">
        <f aca="false">L19*L20</f>
        <v>503.090494325152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5279.39648406609</v>
      </c>
    </row>
    <row r="31" customFormat="false" ht="15" hidden="false" customHeight="false" outlineLevel="0" collapsed="false">
      <c r="A31" s="0" t="s">
        <v>137</v>
      </c>
      <c r="B31" s="0" t="n">
        <f aca="false">L19</f>
        <v>1304.88717640385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16637.311499149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19573.3076460577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16637.311499149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6414.40380264569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11693.8002867118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11691.8002867118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55.4113757664065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-0.73782173756136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8200.12305610555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6541.96342847253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125.279084224123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10238.3455379379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31.776405499658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15.5</v>
      </c>
      <c r="D5" s="4" t="n">
        <f aca="false">Assumptions!D27</f>
        <v>13.5</v>
      </c>
      <c r="E5" s="4" t="n">
        <f aca="false">Assumptions!E27</f>
        <v>12</v>
      </c>
      <c r="F5" s="4" t="n">
        <f aca="false">Assumptions!F27</f>
        <v>10.5</v>
      </c>
      <c r="G5" s="4" t="n">
        <f aca="false">Assumptions!G27</f>
        <v>9.5</v>
      </c>
      <c r="H5" s="4" t="n">
        <f aca="false">Assumptions!H27</f>
        <v>8.5</v>
      </c>
      <c r="I5" s="4" t="n">
        <f aca="false">Assumptions!I27</f>
        <v>7.5</v>
      </c>
      <c r="J5" s="4" t="n">
        <f aca="false">Assumptions!J27</f>
        <v>7</v>
      </c>
      <c r="K5" s="4" t="n">
        <f aca="false">Assumptions!K27</f>
        <v>6.5</v>
      </c>
      <c r="L5" s="4" t="n">
        <f aca="false">Assumptions!L27</f>
        <v>6</v>
      </c>
    </row>
    <row r="6" customFormat="false" ht="15" hidden="false" customHeight="false" outlineLevel="0" collapsed="false">
      <c r="A6" s="0" t="s">
        <v>37</v>
      </c>
      <c r="B6" s="3" t="n">
        <v>7206</v>
      </c>
      <c r="C6" s="0" t="n">
        <f aca="false">B6*(1+C5/100)</f>
        <v>8322.93</v>
      </c>
      <c r="D6" s="0" t="n">
        <f aca="false">C6*(1+D5/100)</f>
        <v>9446.52555</v>
      </c>
      <c r="E6" s="0" t="n">
        <f aca="false">D6*(1+E5/100)</f>
        <v>10580.108616</v>
      </c>
      <c r="F6" s="0" t="n">
        <f aca="false">E6*(1+F5/100)</f>
        <v>11691.02002068</v>
      </c>
      <c r="G6" s="0" t="n">
        <f aca="false">F6*(1+G5/100)</f>
        <v>12801.6669226446</v>
      </c>
      <c r="H6" s="0" t="n">
        <f aca="false">G6*(1+H5/100)</f>
        <v>13889.8086110694</v>
      </c>
      <c r="I6" s="0" t="n">
        <f aca="false">H6*(1+I5/100)</f>
        <v>14931.5442568996</v>
      </c>
      <c r="J6" s="0" t="n">
        <f aca="false">I6*(1+J5/100)</f>
        <v>15976.7523548826</v>
      </c>
      <c r="K6" s="0" t="n">
        <f aca="false">J6*(1+K5/100)</f>
        <v>17015.2412579499</v>
      </c>
      <c r="L6" s="0" t="n">
        <f aca="false">K6*(1+L5/100)</f>
        <v>18036.1557334269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25.5</v>
      </c>
      <c r="D7" s="4" t="n">
        <f aca="false">Assumptions!D28</f>
        <v>26.5</v>
      </c>
      <c r="E7" s="4" t="n">
        <f aca="false">Assumptions!E28</f>
        <v>27.5</v>
      </c>
      <c r="F7" s="4" t="n">
        <f aca="false">Assumptions!F28</f>
        <v>28.5</v>
      </c>
      <c r="G7" s="4" t="n">
        <f aca="false">Assumptions!G28</f>
        <v>29</v>
      </c>
      <c r="H7" s="4" t="n">
        <f aca="false">Assumptions!H28</f>
        <v>29.5</v>
      </c>
      <c r="I7" s="4" t="n">
        <f aca="false">Assumptions!I28</f>
        <v>30</v>
      </c>
      <c r="J7" s="4" t="n">
        <f aca="false">Assumptions!J28</f>
        <v>30</v>
      </c>
      <c r="K7" s="4" t="n">
        <f aca="false">Assumptions!K28</f>
        <v>30</v>
      </c>
      <c r="L7" s="4" t="n">
        <f aca="false">Assumptions!L28</f>
        <v>30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2122.34715</v>
      </c>
      <c r="D8" s="0" t="n">
        <f aca="false">D6*D7/100</f>
        <v>2503.32927075</v>
      </c>
      <c r="E8" s="0" t="n">
        <f aca="false">E6*E7/100</f>
        <v>2909.5298694</v>
      </c>
      <c r="F8" s="0" t="n">
        <f aca="false">F6*F7/100</f>
        <v>3331.9407058938</v>
      </c>
      <c r="G8" s="0" t="n">
        <f aca="false">G6*G7/100</f>
        <v>3712.48340756693</v>
      </c>
      <c r="H8" s="0" t="n">
        <f aca="false">H6*H7/100</f>
        <v>4097.49354026547</v>
      </c>
      <c r="I8" s="0" t="n">
        <f aca="false">I6*I7/100</f>
        <v>4479.46327706988</v>
      </c>
      <c r="J8" s="0" t="n">
        <f aca="false">J6*J7/100</f>
        <v>4793.02570646477</v>
      </c>
      <c r="K8" s="0" t="n">
        <f aca="false">K6*K7/100</f>
        <v>5104.57237738498</v>
      </c>
      <c r="L8" s="0" t="n">
        <f aca="false">L6*L7/100</f>
        <v>5410.84672002808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14.5</v>
      </c>
      <c r="D9" s="4" t="n">
        <f aca="false">Assumptions!D29</f>
        <v>14</v>
      </c>
      <c r="E9" s="4" t="n">
        <f aca="false">Assumptions!E29</f>
        <v>13.3</v>
      </c>
      <c r="F9" s="4" t="n">
        <f aca="false">Assumptions!F29</f>
        <v>12.6</v>
      </c>
      <c r="G9" s="4" t="n">
        <f aca="false">Assumptions!G29</f>
        <v>12</v>
      </c>
      <c r="H9" s="4" t="n">
        <f aca="false">Assumptions!H29</f>
        <v>11.4</v>
      </c>
      <c r="I9" s="4" t="n">
        <f aca="false">Assumptions!I29</f>
        <v>10.8</v>
      </c>
      <c r="J9" s="4" t="n">
        <f aca="false">Assumptions!J29</f>
        <v>10.3</v>
      </c>
      <c r="K9" s="4" t="n">
        <f aca="false">Assumptions!K29</f>
        <v>9.8</v>
      </c>
      <c r="L9" s="4" t="n">
        <f aca="false">Assumptions!L29</f>
        <v>9.3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-1206.82485</v>
      </c>
      <c r="D10" s="0" t="n">
        <f aca="false">-D6*D9/100</f>
        <v>-1322.513577</v>
      </c>
      <c r="E10" s="0" t="n">
        <f aca="false">-E6*E9/100</f>
        <v>-1407.154445928</v>
      </c>
      <c r="F10" s="0" t="n">
        <f aca="false">-F6*F9/100</f>
        <v>-1473.06852260568</v>
      </c>
      <c r="G10" s="0" t="n">
        <f aca="false">-G6*G9/100</f>
        <v>-1536.20003071735</v>
      </c>
      <c r="H10" s="0" t="n">
        <f aca="false">-H6*H9/100</f>
        <v>-1583.43818166191</v>
      </c>
      <c r="I10" s="0" t="n">
        <f aca="false">-I6*I9/100</f>
        <v>-1612.60677974516</v>
      </c>
      <c r="J10" s="0" t="n">
        <f aca="false">-J6*J9/100</f>
        <v>-1645.6054925529</v>
      </c>
      <c r="K10" s="0" t="n">
        <f aca="false">-K6*K9/100</f>
        <v>-1667.49364327909</v>
      </c>
      <c r="L10" s="0" t="n">
        <f aca="false">-L6*L9/100</f>
        <v>-1677.36248320871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915.5223</v>
      </c>
      <c r="D11" s="0" t="n">
        <f aca="false">D8+D10+D24</f>
        <v>1180.81569375</v>
      </c>
      <c r="E11" s="0" t="n">
        <f aca="false">E8+E10+E24</f>
        <v>1502.375423472</v>
      </c>
      <c r="F11" s="0" t="n">
        <f aca="false">F8+F10+F24</f>
        <v>1858.87218328812</v>
      </c>
      <c r="G11" s="0" t="n">
        <f aca="false">G8+G10+G24</f>
        <v>2176.28337684958</v>
      </c>
      <c r="H11" s="0" t="n">
        <f aca="false">H8+H10+H24</f>
        <v>2514.05535860356</v>
      </c>
      <c r="I11" s="0" t="n">
        <f aca="false">I8+I10+I24</f>
        <v>2866.85649732472</v>
      </c>
      <c r="J11" s="0" t="n">
        <f aca="false">J8+J10+J24</f>
        <v>3147.42021391187</v>
      </c>
      <c r="K11" s="0" t="n">
        <f aca="false">K8+K10+K24</f>
        <v>3437.07873410589</v>
      </c>
      <c r="L11" s="0" t="n">
        <f aca="false">L8+L10+L24</f>
        <v>3733.48423681938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-233.04204</v>
      </c>
      <c r="D12" s="4" t="n">
        <f aca="false">-D6*Assumptions!D31/100</f>
        <v>-264.5027154</v>
      </c>
      <c r="E12" s="4" t="n">
        <f aca="false">-E6*Assumptions!E31/100</f>
        <v>-285.662932632</v>
      </c>
      <c r="F12" s="4" t="n">
        <f aca="false">-F6*Assumptions!F31/100</f>
        <v>-315.65754055836</v>
      </c>
      <c r="G12" s="4" t="n">
        <f aca="false">-G6*Assumptions!G31/100</f>
        <v>-332.84333998876</v>
      </c>
      <c r="H12" s="4" t="n">
        <f aca="false">-H6*Assumptions!H31/100</f>
        <v>-361.135023887804</v>
      </c>
      <c r="I12" s="4" t="n">
        <f aca="false">-I6*Assumptions!I31/100</f>
        <v>-373.28860642249</v>
      </c>
      <c r="J12" s="4" t="n">
        <f aca="false">-J6*Assumptions!J31/100</f>
        <v>-399.418808872064</v>
      </c>
      <c r="K12" s="4" t="n">
        <f aca="false">-K6*Assumptions!K31/100</f>
        <v>-425.381031448748</v>
      </c>
      <c r="L12" s="4" t="n">
        <f aca="false">-L6*Assumptions!L31/100</f>
        <v>-450.903893335673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682.48026</v>
      </c>
      <c r="D13" s="0" t="n">
        <f aca="false">D11+D12</f>
        <v>916.31297835</v>
      </c>
      <c r="E13" s="0" t="n">
        <f aca="false">E11+E12</f>
        <v>1216.71249084</v>
      </c>
      <c r="F13" s="0" t="n">
        <f aca="false">F11+F12</f>
        <v>1543.21464272976</v>
      </c>
      <c r="G13" s="0" t="n">
        <f aca="false">G11+G12</f>
        <v>1843.44003686082</v>
      </c>
      <c r="H13" s="0" t="n">
        <f aca="false">H11+H12</f>
        <v>2152.92033471576</v>
      </c>
      <c r="I13" s="0" t="n">
        <f aca="false">I11+I12</f>
        <v>2493.56789090223</v>
      </c>
      <c r="J13" s="0" t="n">
        <f aca="false">J11+J12</f>
        <v>2748.0014050398</v>
      </c>
      <c r="K13" s="0" t="n">
        <f aca="false">K11+K12</f>
        <v>3011.69770265714</v>
      </c>
      <c r="L13" s="0" t="n">
        <f aca="false">L11+L12</f>
        <v>3282.5803434837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18.5</v>
      </c>
      <c r="E14" s="4" t="n">
        <f aca="false">Assumptions!E33</f>
        <v>20</v>
      </c>
      <c r="F14" s="4" t="n">
        <f aca="false">Assumptions!F33</f>
        <v>21</v>
      </c>
      <c r="G14" s="4" t="n">
        <f aca="false">Assumptions!G33</f>
        <v>22</v>
      </c>
      <c r="H14" s="4" t="n">
        <f aca="false">Assumptions!H33</f>
        <v>22.5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566.4586158</v>
      </c>
      <c r="D15" s="0" t="n">
        <f aca="false">D13-MAX(0,D13)*D14/100</f>
        <v>746.79507735525</v>
      </c>
      <c r="E15" s="0" t="n">
        <f aca="false">E13-MAX(0,E13)*E14/100</f>
        <v>973.369992672</v>
      </c>
      <c r="F15" s="0" t="n">
        <f aca="false">F13-MAX(0,F13)*F14/100</f>
        <v>1219.13956775651</v>
      </c>
      <c r="G15" s="0" t="n">
        <f aca="false">G13-MAX(0,G13)*G14/100</f>
        <v>1437.88322875144</v>
      </c>
      <c r="H15" s="0" t="n">
        <f aca="false">H13-MAX(0,H13)*H14/100</f>
        <v>1668.51325940471</v>
      </c>
      <c r="I15" s="0" t="n">
        <f aca="false">I13-MAX(0,I13)*I14/100</f>
        <v>1920.04727599472</v>
      </c>
      <c r="J15" s="0" t="n">
        <f aca="false">J13-MAX(0,J13)*J14/100</f>
        <v>2115.96108188065</v>
      </c>
      <c r="K15" s="0" t="n">
        <f aca="false">K13-MAX(0,K13)*K14/100</f>
        <v>2319.007231046</v>
      </c>
      <c r="L15" s="0" t="n">
        <f aca="false">L13-MAX(0,L13)*L14/100</f>
        <v>2527.58686448245</v>
      </c>
    </row>
    <row r="16" customFormat="false" ht="15" hidden="false" customHeight="false" outlineLevel="0" collapsed="false">
      <c r="A16" s="0" t="s">
        <v>128</v>
      </c>
      <c r="C16" s="0" t="n">
        <f aca="false">-C12</f>
        <v>233.04204</v>
      </c>
      <c r="D16" s="0" t="n">
        <f aca="false">-D12</f>
        <v>264.5027154</v>
      </c>
      <c r="E16" s="0" t="n">
        <f aca="false">-E12</f>
        <v>285.662932632</v>
      </c>
      <c r="F16" s="0" t="n">
        <f aca="false">-F12</f>
        <v>315.65754055836</v>
      </c>
      <c r="G16" s="0" t="n">
        <f aca="false">-G12</f>
        <v>332.84333998876</v>
      </c>
      <c r="H16" s="0" t="n">
        <f aca="false">-H12</f>
        <v>361.135023887804</v>
      </c>
      <c r="I16" s="0" t="n">
        <f aca="false">-I12</f>
        <v>373.28860642249</v>
      </c>
      <c r="J16" s="0" t="n">
        <f aca="false">-J12</f>
        <v>399.418808872064</v>
      </c>
      <c r="K16" s="0" t="n">
        <f aca="false">-K12</f>
        <v>425.381031448748</v>
      </c>
      <c r="L16" s="0" t="n">
        <f aca="false">-L12</f>
        <v>450.903893335673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-58.26051</v>
      </c>
      <c r="D17" s="4" t="n">
        <f aca="false">-D6*Assumptions!D32/100</f>
        <v>-66.12567885</v>
      </c>
      <c r="E17" s="4" t="n">
        <f aca="false">-E6*Assumptions!E32/100</f>
        <v>-74.060760312</v>
      </c>
      <c r="F17" s="4" t="n">
        <f aca="false">-F6*Assumptions!F32/100</f>
        <v>-81.83714014476</v>
      </c>
      <c r="G17" s="4" t="n">
        <f aca="false">-G6*Assumptions!G32/100</f>
        <v>-102.413335381157</v>
      </c>
      <c r="H17" s="4" t="n">
        <f aca="false">-H6*Assumptions!H32/100</f>
        <v>-111.118468888555</v>
      </c>
      <c r="I17" s="4" t="n">
        <f aca="false">-I6*Assumptions!I32/100</f>
        <v>-119.452354055197</v>
      </c>
      <c r="J17" s="4" t="n">
        <f aca="false">-J6*Assumptions!J32/100</f>
        <v>-127.814018839061</v>
      </c>
      <c r="K17" s="4" t="n">
        <f aca="false">-K6*Assumptions!K32/100</f>
        <v>-136.1219300636</v>
      </c>
      <c r="L17" s="4" t="n">
        <f aca="false">-L6*Assumptions!L32/100</f>
        <v>-144.289245867415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178.7088</v>
      </c>
      <c r="D18" s="4" t="n">
        <f aca="false">(D6-C6)*Assumptions!$B$37/100</f>
        <v>179.775288</v>
      </c>
      <c r="E18" s="4" t="n">
        <f aca="false">(E6-D6)*Assumptions!$B$37/100</f>
        <v>181.37329056</v>
      </c>
      <c r="F18" s="4" t="n">
        <f aca="false">(F6-E6)*Assumptions!$B$37/100</f>
        <v>177.7458247488</v>
      </c>
      <c r="G18" s="4" t="n">
        <f aca="false">(G6-F6)*Assumptions!$B$37/100</f>
        <v>177.703504314336</v>
      </c>
      <c r="H18" s="4" t="n">
        <f aca="false">(H6-G6)*Assumptions!$B$37/100</f>
        <v>174.102670147966</v>
      </c>
      <c r="I18" s="4" t="n">
        <f aca="false">(I6-H6)*Assumptions!$B$37/100</f>
        <v>166.677703332833</v>
      </c>
      <c r="J18" s="4" t="n">
        <f aca="false">(J6-I6)*Assumptions!$B$37/100</f>
        <v>167.233295677276</v>
      </c>
      <c r="K18" s="4" t="n">
        <f aca="false">(K6-J6)*Assumptions!$B$37/100</f>
        <v>166.158224490779</v>
      </c>
      <c r="L18" s="4" t="n">
        <f aca="false">(L6-K6)*Assumptions!$B$37/100</f>
        <v>163.34631607632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919.9489458</v>
      </c>
      <c r="D19" s="0" t="n">
        <f aca="false">D15+D16+D17+D18</f>
        <v>1124.94740190525</v>
      </c>
      <c r="E19" s="0" t="n">
        <f aca="false">E15+E16+E17+E18</f>
        <v>1366.345455552</v>
      </c>
      <c r="F19" s="0" t="n">
        <f aca="false">F15+F16+F17+F18</f>
        <v>1630.70579291891</v>
      </c>
      <c r="G19" s="0" t="n">
        <f aca="false">G15+G16+G17+G18</f>
        <v>1846.01673767338</v>
      </c>
      <c r="H19" s="0" t="n">
        <f aca="false">H15+H16+H17+H18</f>
        <v>2092.63248455193</v>
      </c>
      <c r="I19" s="0" t="n">
        <f aca="false">I15+I16+I17+I18</f>
        <v>2340.56123169484</v>
      </c>
      <c r="J19" s="0" t="n">
        <f aca="false">J15+J16+J17+J18</f>
        <v>2554.79916759093</v>
      </c>
      <c r="K19" s="0" t="n">
        <f aca="false">K15+K16+K17+K18</f>
        <v>2774.42455692192</v>
      </c>
      <c r="L19" s="0" t="n">
        <f aca="false">L15+L16+L17+L18</f>
        <v>2997.54782802703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843.98985853211</v>
      </c>
      <c r="D21" s="0" t="n">
        <f aca="false">D19*D20</f>
        <v>946.845721660845</v>
      </c>
      <c r="E21" s="0" t="n">
        <f aca="false">E19*E20</f>
        <v>1055.06938883376</v>
      </c>
      <c r="F21" s="0" t="n">
        <f aca="false">F19*F20</f>
        <v>1155.23309553382</v>
      </c>
      <c r="G21" s="0" t="n">
        <f aca="false">G19*G20</f>
        <v>1199.78421744601</v>
      </c>
      <c r="H21" s="0" t="n">
        <f aca="false">H19*H20</f>
        <v>1247.76837770439</v>
      </c>
      <c r="I21" s="0" t="n">
        <f aca="false">I19*I20</f>
        <v>1280.36714588973</v>
      </c>
      <c r="J21" s="0" t="n">
        <f aca="false">J19*J20</f>
        <v>1282.16755354994</v>
      </c>
      <c r="K21" s="0" t="n">
        <f aca="false">K19*K20</f>
        <v>1277.42213817906</v>
      </c>
      <c r="L21" s="0" t="n">
        <f aca="false">L19*L20</f>
        <v>1266.19659674532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11554.844094075</v>
      </c>
    </row>
    <row r="31" customFormat="false" ht="15" hidden="false" customHeight="false" outlineLevel="0" collapsed="false">
      <c r="A31" s="0" t="s">
        <v>137</v>
      </c>
      <c r="B31" s="0" t="n">
        <f aca="false">L19</f>
        <v>2997.54782802703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51457.9043811307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59950.9565605406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51457.9043811307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21736.3749107946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33291.2190048696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33289.2190048696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157.768810449619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-0.253518758222764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9477.35081745141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12163.2020198068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260.330672237573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25728.9521905653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70.64606906864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17.5</v>
      </c>
      <c r="D5" s="4" t="n">
        <f aca="false">Assumptions!D41</f>
        <v>16.5</v>
      </c>
      <c r="E5" s="4" t="n">
        <f aca="false">Assumptions!E41</f>
        <v>15</v>
      </c>
      <c r="F5" s="4" t="n">
        <f aca="false">Assumptions!F41</f>
        <v>13.5</v>
      </c>
      <c r="G5" s="4" t="n">
        <f aca="false">Assumptions!G41</f>
        <v>12</v>
      </c>
      <c r="H5" s="4" t="n">
        <f aca="false">Assumptions!H41</f>
        <v>10.5</v>
      </c>
      <c r="I5" s="4" t="n">
        <f aca="false">Assumptions!I41</f>
        <v>9.5</v>
      </c>
      <c r="J5" s="4" t="n">
        <f aca="false">Assumptions!J41</f>
        <v>8.5</v>
      </c>
      <c r="K5" s="4" t="n">
        <f aca="false">Assumptions!K41</f>
        <v>8</v>
      </c>
      <c r="L5" s="4" t="n">
        <f aca="false">Assumptions!L41</f>
        <v>7.5</v>
      </c>
    </row>
    <row r="6" customFormat="false" ht="15" hidden="false" customHeight="false" outlineLevel="0" collapsed="false">
      <c r="A6" s="0" t="s">
        <v>37</v>
      </c>
      <c r="B6" s="3" t="n">
        <v>7206</v>
      </c>
      <c r="C6" s="0" t="n">
        <f aca="false">B6*(1+C5/100)</f>
        <v>8467.05</v>
      </c>
      <c r="D6" s="0" t="n">
        <f aca="false">C6*(1+D5/100)</f>
        <v>9864.11325</v>
      </c>
      <c r="E6" s="0" t="n">
        <f aca="false">D6*(1+E5/100)</f>
        <v>11343.7302375</v>
      </c>
      <c r="F6" s="0" t="n">
        <f aca="false">E6*(1+F5/100)</f>
        <v>12875.1338195625</v>
      </c>
      <c r="G6" s="0" t="n">
        <f aca="false">F6*(1+G5/100)</f>
        <v>14420.14987791</v>
      </c>
      <c r="H6" s="0" t="n">
        <f aca="false">G6*(1+H5/100)</f>
        <v>15934.2656150906</v>
      </c>
      <c r="I6" s="0" t="n">
        <f aca="false">H6*(1+I5/100)</f>
        <v>17448.0208485242</v>
      </c>
      <c r="J6" s="0" t="n">
        <f aca="false">I6*(1+J5/100)</f>
        <v>18931.1026206487</v>
      </c>
      <c r="K6" s="0" t="n">
        <f aca="false">J6*(1+K5/100)</f>
        <v>20445.5908303006</v>
      </c>
      <c r="L6" s="0" t="n">
        <f aca="false">K6*(1+L5/100)</f>
        <v>21979.0101425731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26</v>
      </c>
      <c r="D7" s="4" t="n">
        <f aca="false">Assumptions!D42</f>
        <v>27.5</v>
      </c>
      <c r="E7" s="4" t="n">
        <f aca="false">Assumptions!E42</f>
        <v>29</v>
      </c>
      <c r="F7" s="4" t="n">
        <f aca="false">Assumptions!F42</f>
        <v>30.5</v>
      </c>
      <c r="G7" s="4" t="n">
        <f aca="false">Assumptions!G42</f>
        <v>31.5</v>
      </c>
      <c r="H7" s="4" t="n">
        <f aca="false">Assumptions!H42</f>
        <v>32.5</v>
      </c>
      <c r="I7" s="4" t="n">
        <f aca="false">Assumptions!I42</f>
        <v>33</v>
      </c>
      <c r="J7" s="4" t="n">
        <f aca="false">Assumptions!J42</f>
        <v>33</v>
      </c>
      <c r="K7" s="4" t="n">
        <f aca="false">Assumptions!K42</f>
        <v>33</v>
      </c>
      <c r="L7" s="4" t="n">
        <f aca="false">Assumptions!L42</f>
        <v>33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2201.433</v>
      </c>
      <c r="D8" s="0" t="n">
        <f aca="false">D6*D7/100</f>
        <v>2712.63114375</v>
      </c>
      <c r="E8" s="0" t="n">
        <f aca="false">E6*E7/100</f>
        <v>3289.681768875</v>
      </c>
      <c r="F8" s="0" t="n">
        <f aca="false">F6*F7/100</f>
        <v>3926.91581496656</v>
      </c>
      <c r="G8" s="0" t="n">
        <f aca="false">G6*G7/100</f>
        <v>4542.34721154165</v>
      </c>
      <c r="H8" s="0" t="n">
        <f aca="false">H6*H7/100</f>
        <v>5178.63632490443</v>
      </c>
      <c r="I8" s="0" t="n">
        <f aca="false">I6*I7/100</f>
        <v>5757.84688001297</v>
      </c>
      <c r="J8" s="0" t="n">
        <f aca="false">J6*J7/100</f>
        <v>6247.26386481407</v>
      </c>
      <c r="K8" s="0" t="n">
        <f aca="false">K6*K7/100</f>
        <v>6747.0449739992</v>
      </c>
      <c r="L8" s="0" t="n">
        <f aca="false">L6*L7/100</f>
        <v>7253.07334704914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14</v>
      </c>
      <c r="D9" s="4" t="n">
        <f aca="false">Assumptions!D43</f>
        <v>13</v>
      </c>
      <c r="E9" s="4" t="n">
        <f aca="false">Assumptions!E43</f>
        <v>12</v>
      </c>
      <c r="F9" s="4" t="n">
        <f aca="false">Assumptions!F43</f>
        <v>11</v>
      </c>
      <c r="G9" s="4" t="n">
        <f aca="false">Assumptions!G43</f>
        <v>10</v>
      </c>
      <c r="H9" s="4" t="n">
        <f aca="false">Assumptions!H43</f>
        <v>9.2</v>
      </c>
      <c r="I9" s="4" t="n">
        <f aca="false">Assumptions!I43</f>
        <v>8.5</v>
      </c>
      <c r="J9" s="4" t="n">
        <f aca="false">Assumptions!J43</f>
        <v>8</v>
      </c>
      <c r="K9" s="4" t="n">
        <f aca="false">Assumptions!K43</f>
        <v>7.5</v>
      </c>
      <c r="L9" s="4" t="n">
        <f aca="false">Assumptions!L43</f>
        <v>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-1185.387</v>
      </c>
      <c r="D10" s="0" t="n">
        <f aca="false">-D6*D9/100</f>
        <v>-1282.3347225</v>
      </c>
      <c r="E10" s="0" t="n">
        <f aca="false">-E6*E9/100</f>
        <v>-1361.2476285</v>
      </c>
      <c r="F10" s="0" t="n">
        <f aca="false">-F6*F9/100</f>
        <v>-1416.26472015188</v>
      </c>
      <c r="G10" s="0" t="n">
        <f aca="false">-G6*G9/100</f>
        <v>-1442.014987791</v>
      </c>
      <c r="H10" s="0" t="n">
        <f aca="false">-H6*H9/100</f>
        <v>-1465.95243658833</v>
      </c>
      <c r="I10" s="0" t="n">
        <f aca="false">-I6*I9/100</f>
        <v>-1483.08177212455</v>
      </c>
      <c r="J10" s="0" t="n">
        <f aca="false">-J6*J9/100</f>
        <v>-1514.4882096519</v>
      </c>
      <c r="K10" s="0" t="n">
        <f aca="false">-K6*K9/100</f>
        <v>-1533.41931227255</v>
      </c>
      <c r="L10" s="0" t="n">
        <f aca="false">-L6*L9/100</f>
        <v>-1538.53070998012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1016.046</v>
      </c>
      <c r="D11" s="0" t="n">
        <f aca="false">D8+D10+D24</f>
        <v>1430.29642125</v>
      </c>
      <c r="E11" s="0" t="n">
        <f aca="false">E8+E10+E24</f>
        <v>1928.434140375</v>
      </c>
      <c r="F11" s="0" t="n">
        <f aca="false">F8+F10+F24</f>
        <v>2510.65109481469</v>
      </c>
      <c r="G11" s="0" t="n">
        <f aca="false">G8+G10+G24</f>
        <v>3100.33222375065</v>
      </c>
      <c r="H11" s="0" t="n">
        <f aca="false">H8+H10+H24</f>
        <v>3712.6838883161</v>
      </c>
      <c r="I11" s="0" t="n">
        <f aca="false">I8+I10+I24</f>
        <v>4274.76510788842</v>
      </c>
      <c r="J11" s="0" t="n">
        <f aca="false">J8+J10+J24</f>
        <v>4732.77565516218</v>
      </c>
      <c r="K11" s="0" t="n">
        <f aca="false">K8+K10+K24</f>
        <v>5213.62566172665</v>
      </c>
      <c r="L11" s="0" t="n">
        <f aca="false">L8+L10+L24</f>
        <v>5714.54263706902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-237.0774</v>
      </c>
      <c r="D12" s="4" t="n">
        <f aca="false">-D6*Assumptions!D45/100</f>
        <v>-266.33105775</v>
      </c>
      <c r="E12" s="4" t="n">
        <f aca="false">-E6*Assumptions!E45/100</f>
        <v>-294.936986175</v>
      </c>
      <c r="F12" s="4" t="n">
        <f aca="false">-F6*Assumptions!F45/100</f>
        <v>-321.878345489063</v>
      </c>
      <c r="G12" s="4" t="n">
        <f aca="false">-G6*Assumptions!G45/100</f>
        <v>-346.08359706984</v>
      </c>
      <c r="H12" s="4" t="n">
        <f aca="false">-H6*Assumptions!H45/100</f>
        <v>-366.488109147083</v>
      </c>
      <c r="I12" s="4" t="n">
        <f aca="false">-I6*Assumptions!I45/100</f>
        <v>-383.856458667531</v>
      </c>
      <c r="J12" s="4" t="n">
        <f aca="false">-J6*Assumptions!J45/100</f>
        <v>-416.484257654272</v>
      </c>
      <c r="K12" s="4" t="n">
        <f aca="false">-K6*Assumptions!K45/100</f>
        <v>-449.802998266613</v>
      </c>
      <c r="L12" s="4" t="n">
        <f aca="false">-L6*Assumptions!L45/100</f>
        <v>-483.538223136609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778.9686</v>
      </c>
      <c r="D13" s="0" t="n">
        <f aca="false">D11+D12</f>
        <v>1163.9653635</v>
      </c>
      <c r="E13" s="0" t="n">
        <f aca="false">E11+E12</f>
        <v>1633.4971542</v>
      </c>
      <c r="F13" s="0" t="n">
        <f aca="false">F11+F12</f>
        <v>2188.77274932562</v>
      </c>
      <c r="G13" s="0" t="n">
        <f aca="false">G11+G12</f>
        <v>2754.24862668081</v>
      </c>
      <c r="H13" s="0" t="n">
        <f aca="false">H11+H12</f>
        <v>3346.19577916902</v>
      </c>
      <c r="I13" s="0" t="n">
        <f aca="false">I11+I12</f>
        <v>3890.90864922089</v>
      </c>
      <c r="J13" s="0" t="n">
        <f aca="false">J11+J12</f>
        <v>4316.2913975079</v>
      </c>
      <c r="K13" s="0" t="n">
        <f aca="false">K11+K12</f>
        <v>4763.82266346004</v>
      </c>
      <c r="L13" s="0" t="n">
        <f aca="false">L11+L12</f>
        <v>5231.00441393241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16</v>
      </c>
      <c r="D14" s="4" t="n">
        <f aca="false">Assumptions!D47</f>
        <v>17.5</v>
      </c>
      <c r="E14" s="4" t="n">
        <f aca="false">Assumptions!E47</f>
        <v>19</v>
      </c>
      <c r="F14" s="4" t="n">
        <f aca="false">Assumptions!F47</f>
        <v>20</v>
      </c>
      <c r="G14" s="4" t="n">
        <f aca="false">Assumptions!G47</f>
        <v>21</v>
      </c>
      <c r="H14" s="4" t="n">
        <f aca="false">Assumptions!H47</f>
        <v>21.5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654.333624</v>
      </c>
      <c r="D15" s="0" t="n">
        <f aca="false">D13-MAX(0,D13)*D14/100</f>
        <v>960.2714248875</v>
      </c>
      <c r="E15" s="0" t="n">
        <f aca="false">E13-MAX(0,E13)*E14/100</f>
        <v>1323.132694902</v>
      </c>
      <c r="F15" s="0" t="n">
        <f aca="false">F13-MAX(0,F13)*F14/100</f>
        <v>1751.0181994605</v>
      </c>
      <c r="G15" s="0" t="n">
        <f aca="false">G13-MAX(0,G13)*G14/100</f>
        <v>2175.85641507784</v>
      </c>
      <c r="H15" s="0" t="n">
        <f aca="false">H13-MAX(0,H13)*H14/100</f>
        <v>2626.76368664768</v>
      </c>
      <c r="I15" s="0" t="n">
        <f aca="false">I13-MAX(0,I13)*I14/100</f>
        <v>3034.90874639229</v>
      </c>
      <c r="J15" s="0" t="n">
        <f aca="false">J13-MAX(0,J13)*J14/100</f>
        <v>3366.70729005616</v>
      </c>
      <c r="K15" s="0" t="n">
        <f aca="false">K13-MAX(0,K13)*K14/100</f>
        <v>3715.78167749883</v>
      </c>
      <c r="L15" s="0" t="n">
        <f aca="false">L13-MAX(0,L13)*L14/100</f>
        <v>4080.18344286728</v>
      </c>
    </row>
    <row r="16" customFormat="false" ht="15" hidden="false" customHeight="false" outlineLevel="0" collapsed="false">
      <c r="A16" s="0" t="s">
        <v>128</v>
      </c>
      <c r="C16" s="0" t="n">
        <f aca="false">-C12</f>
        <v>237.0774</v>
      </c>
      <c r="D16" s="0" t="n">
        <f aca="false">-D12</f>
        <v>266.33105775</v>
      </c>
      <c r="E16" s="0" t="n">
        <f aca="false">-E12</f>
        <v>294.936986175</v>
      </c>
      <c r="F16" s="0" t="n">
        <f aca="false">-F12</f>
        <v>321.878345489063</v>
      </c>
      <c r="G16" s="0" t="n">
        <f aca="false">-G12</f>
        <v>346.08359706984</v>
      </c>
      <c r="H16" s="0" t="n">
        <f aca="false">-H12</f>
        <v>366.488109147083</v>
      </c>
      <c r="I16" s="0" t="n">
        <f aca="false">-I12</f>
        <v>383.856458667531</v>
      </c>
      <c r="J16" s="0" t="n">
        <f aca="false">-J12</f>
        <v>416.484257654272</v>
      </c>
      <c r="K16" s="0" t="n">
        <f aca="false">-K12</f>
        <v>449.802998266613</v>
      </c>
      <c r="L16" s="0" t="n">
        <f aca="false">-L12</f>
        <v>483.538223136609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-59.26935</v>
      </c>
      <c r="D17" s="4" t="n">
        <f aca="false">-D6*Assumptions!D46/100</f>
        <v>-69.04879275</v>
      </c>
      <c r="E17" s="4" t="n">
        <f aca="false">-E6*Assumptions!E46/100</f>
        <v>-79.4061116625</v>
      </c>
      <c r="F17" s="4" t="n">
        <f aca="false">-F6*Assumptions!F46/100</f>
        <v>-90.1259367369375</v>
      </c>
      <c r="G17" s="4" t="n">
        <f aca="false">-G6*Assumptions!G46/100</f>
        <v>-100.94104914537</v>
      </c>
      <c r="H17" s="4" t="n">
        <f aca="false">-H6*Assumptions!H46/100</f>
        <v>-111.539859305634</v>
      </c>
      <c r="I17" s="4" t="n">
        <f aca="false">-I6*Assumptions!I46/100</f>
        <v>-122.136145939669</v>
      </c>
      <c r="J17" s="4" t="n">
        <f aca="false">-J6*Assumptions!J46/100</f>
        <v>-132.517718344541</v>
      </c>
      <c r="K17" s="4" t="n">
        <f aca="false">-K6*Assumptions!K46/100</f>
        <v>-143.119135812104</v>
      </c>
      <c r="L17" s="4" t="n">
        <f aca="false">-L6*Assumptions!L46/100</f>
        <v>-153.853070998012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226.989</v>
      </c>
      <c r="D18" s="4" t="n">
        <f aca="false">(D6-C6)*Assumptions!$B$51/100</f>
        <v>251.471385</v>
      </c>
      <c r="E18" s="4" t="n">
        <f aca="false">(E6-D6)*Assumptions!$B$51/100</f>
        <v>266.33105775</v>
      </c>
      <c r="F18" s="4" t="n">
        <f aca="false">(F6-E6)*Assumptions!$B$51/100</f>
        <v>275.65264477125</v>
      </c>
      <c r="G18" s="4" t="n">
        <f aca="false">(G6-F6)*Assumptions!$B$51/100</f>
        <v>278.10289050255</v>
      </c>
      <c r="H18" s="4" t="n">
        <f aca="false">(H6-G6)*Assumptions!$B$51/100</f>
        <v>272.540832692499</v>
      </c>
      <c r="I18" s="4" t="n">
        <f aca="false">(I6-H6)*Assumptions!$B$51/100</f>
        <v>272.475942018048</v>
      </c>
      <c r="J18" s="4" t="n">
        <f aca="false">(J6-I6)*Assumptions!$B$51/100</f>
        <v>266.954718982419</v>
      </c>
      <c r="K18" s="4" t="n">
        <f aca="false">(K6-J6)*Assumptions!$B$51/100</f>
        <v>272.607877737341</v>
      </c>
      <c r="L18" s="4" t="n">
        <f aca="false">(L6-K6)*Assumptions!$B$51/100</f>
        <v>276.015476209058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1059.130674</v>
      </c>
      <c r="D19" s="0" t="n">
        <f aca="false">D15+D16+D17+D18</f>
        <v>1409.0250748875</v>
      </c>
      <c r="E19" s="0" t="n">
        <f aca="false">E15+E16+E17+E18</f>
        <v>1804.9946271645</v>
      </c>
      <c r="F19" s="0" t="n">
        <f aca="false">F15+F16+F17+F18</f>
        <v>2258.42325298387</v>
      </c>
      <c r="G19" s="0" t="n">
        <f aca="false">G15+G16+G17+G18</f>
        <v>2699.10185350486</v>
      </c>
      <c r="H19" s="0" t="n">
        <f aca="false">H15+H16+H17+H18</f>
        <v>3154.25276918163</v>
      </c>
      <c r="I19" s="0" t="n">
        <f aca="false">I15+I16+I17+I18</f>
        <v>3569.1050011382</v>
      </c>
      <c r="J19" s="0" t="n">
        <f aca="false">J15+J16+J17+J18</f>
        <v>3917.62854834832</v>
      </c>
      <c r="K19" s="0" t="n">
        <f aca="false">K15+K16+K17+K18</f>
        <v>4295.07341769068</v>
      </c>
      <c r="L19" s="0" t="n">
        <f aca="false">L15+L16+L17+L18</f>
        <v>4685.88407121493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976.157303225807</v>
      </c>
      <c r="D21" s="0" t="n">
        <f aca="false">D19*D20</f>
        <v>1196.90379909321</v>
      </c>
      <c r="E21" s="0" t="n">
        <f aca="false">E19*E20</f>
        <v>1413.14491123104</v>
      </c>
      <c r="F21" s="0" t="n">
        <f aca="false">F19*F20</f>
        <v>1629.62014234594</v>
      </c>
      <c r="G21" s="0" t="n">
        <f aca="false">G19*G20</f>
        <v>1795.02533466274</v>
      </c>
      <c r="H21" s="0" t="n">
        <f aca="false">H19*H20</f>
        <v>1933.38374934481</v>
      </c>
      <c r="I21" s="0" t="n">
        <f aca="false">I19*I20</f>
        <v>2016.28146381773</v>
      </c>
      <c r="J21" s="0" t="n">
        <f aca="false">J19*J20</f>
        <v>2039.78949262812</v>
      </c>
      <c r="K21" s="0" t="n">
        <f aca="false">K19*K20</f>
        <v>2061.11843713563</v>
      </c>
      <c r="L21" s="0" t="n">
        <f aca="false">L19*L20</f>
        <v>2072.49818125207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17133.9228147371</v>
      </c>
    </row>
    <row r="31" customFormat="false" ht="15" hidden="false" customHeight="false" outlineLevel="0" collapsed="false">
      <c r="A31" s="0" t="s">
        <v>137</v>
      </c>
      <c r="B31" s="0" t="n">
        <f aca="false">L19</f>
        <v>4685.88407121493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96997.8002741491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103089.449566729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96997.8002741491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42900.7123519179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60034.635166655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60032.635166655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284.514858609739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0.34617865441088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9169.74056962577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14085.7226577387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394.730324142273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42172.9566409344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107.081701561544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55.4113757664065</v>
      </c>
      <c r="C4" s="0" t="n">
        <f aca="false">B4/Assumptions!$B$2-1</f>
        <v>-0.73782173756136</v>
      </c>
      <c r="D4" s="4" t="n">
        <f aca="false">Assumptions!$B$24</f>
        <v>0.2</v>
      </c>
      <c r="E4" s="4" t="n">
        <f aca="false">DCF_Bear!$B$43</f>
        <v>125.279084224123</v>
      </c>
      <c r="F4" s="4" t="n">
        <f aca="false">DCF_Bear!$B$47</f>
        <v>31.776405499658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157.768810449619</v>
      </c>
      <c r="C5" s="0" t="n">
        <f aca="false">B5/Assumptions!$B$2-1</f>
        <v>-0.253518758222764</v>
      </c>
      <c r="D5" s="4" t="n">
        <f aca="false">Assumptions!$B$38</f>
        <v>0.5</v>
      </c>
      <c r="E5" s="4" t="n">
        <f aca="false">DCF_Base!$B$43</f>
        <v>260.330672237573</v>
      </c>
      <c r="F5" s="4" t="n">
        <f aca="false">DCF_Base!$B$47</f>
        <v>70.64606906864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284.514858609739</v>
      </c>
      <c r="C6" s="0" t="n">
        <f aca="false">B6/Assumptions!$B$2-1</f>
        <v>0.34617865441088</v>
      </c>
      <c r="D6" s="4" t="n">
        <f aca="false">Assumptions!$B$52</f>
        <v>0.3</v>
      </c>
      <c r="E6" s="4" t="n">
        <f aca="false">DCF_Bull!$B$43</f>
        <v>394.730324142273</v>
      </c>
      <c r="F6" s="4" t="n">
        <f aca="false">DCF_Bull!$B$47</f>
        <v>107.081701561544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175.321137961013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273.640250206293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-0.205502100077627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36.6448203367673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73.8028261027147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157.768810449619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132.521972375907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113.723380422166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99.2148001884171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70.64606906864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205.515475815141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205.515475815141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205.515475815141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205.515475815141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205.515475815141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169.661106660985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180.428880644166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189.402025630149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189.402025630149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189.402025630149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142.194963795902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149.382893020694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157.768810449619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167.679440138348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174.771450374319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121.763230882814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126.783976912924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132.521972375907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139.142736371656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146.866961033364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106.010006939076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109.639829754648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113.723380422166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118.351404512019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123.640574900423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2026-09-25T06:57:44Z</dcterms:created>
  <dc:creator>openpyxl</dc:creator>
  <dc:description/>
  <dc:language>en-NZ</dc:language>
  <cp:lastModifiedBy/>
  <dcterms:modified xsi:type="dcterms:W3CDTF">2026-09-25T06:57:44Z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