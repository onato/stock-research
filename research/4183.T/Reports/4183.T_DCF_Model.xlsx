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Model_Info" sheetId="1" state="visible" r:id="rId3"/>
    <sheet name="Actuals" sheetId="2" state="visible" r:id="rId4"/>
    <sheet name="Assumptions" sheetId="3" state="visible" r:id="rId5"/>
    <sheet name="DCF_Bear" sheetId="4" state="visible" r:id="rId6"/>
    <sheet name="DCF_Base" sheetId="5" state="visible" r:id="rId7"/>
    <sheet name="DCF_Bull" sheetId="6" state="visible" r:id="rId8"/>
    <sheet name="Valuation"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<sst xmlns="http://schemas.openxmlformats.org/spreadsheetml/2006/main" count="370" uniqueCount="171">
  <si>
    <t xml:space="preserve">Ticker</t>
  </si>
  <si>
    <t xml:space="preserve">4183.T</t>
  </si>
  <si>
    <t xml:space="preserve">Company</t>
  </si>
  <si>
    <t xml:space="preserve">Mitsui Chemicals, Inc.</t>
  </si>
  <si>
    <t xml:space="preserve">Valuation date</t>
  </si>
  <si>
    <t xml:space="preserve">2026-10-31</t>
  </si>
  <si>
    <t xml:space="preserve">Current price</t>
  </si>
  <si>
    <t xml:space="preserve">Price as of</t>
  </si>
  <si>
    <t xml:space="preserve">2026-10-30T06:30:00Z (Tokyo regular close)</t>
  </si>
  <si>
    <t xml:space="preserve">Balance sheet date</t>
  </si>
  <si>
    <t xml:space="preserve">2026-06-30</t>
  </si>
  <si>
    <t xml:space="preserve">Model</t>
  </si>
  <si>
    <t xml:space="preserve">owner_fcf_dcf_component</t>
  </si>
  <si>
    <t xml:space="preserve">Currency (model)</t>
  </si>
  <si>
    <t xml:space="preserve">JPY</t>
  </si>
  <si>
    <t xml:space="preserve">Currency (quote)</t>
  </si>
  <si>
    <t xml:space="preserve">Units</t>
  </si>
  <si>
    <t xml:space="preserve">millions</t>
  </si>
  <si>
    <t xml:space="preserve">Engine</t>
  </si>
  <si>
    <t xml:space="preserve">dcf_engine v1</t>
  </si>
  <si>
    <t xml:space="preserve">Built at</t>
  </si>
  <si>
    <t xml:space="preserve">2026-10-31T00:26:33Z</t>
  </si>
  <si>
    <t xml:space="preserve">Drivers file</t>
  </si>
  <si>
    <t xml:space="preserve">4183.T_Drivers.json</t>
  </si>
  <si>
    <t xml:space="preserve">Convention</t>
  </si>
  <si>
    <t xml:space="preserve">Percents stored as percents; formulas divide by 100. Blue = input, green = link, black = formula.</t>
  </si>
  <si>
    <t xml:space="preserve">Methodology</t>
  </si>
  <si>
    <t xml:space="preserve">summary: An owner-FCF view of a capital-intensive Japanese chemical group. The market prices the stock at ~0.86x book and ~8x EV/EBITDA on a restructuring and re-rating thesis; the cash-flow model values what the assets actually return after capex, working capital, leases, minorities and the Ultradent payment. The gap between the two is the price of the VISION 2030 thesis stated explicitly. Terminal values are capped at 12-15x owner FCF (cyclical), which corresponds to roughly 4-5x EBITDA, below the group's own trading history, so the model carries no re-rating.
key_risks_to_valuation: Owner FCF has averaged ~14bn/yr over the five IFRS years; any mature-state FCF assumption is a recovery call, and the DCF is very sensitive to the capex-to-D&amp;A convergence.; Working-capital capture at -15% of the revenue change on a ~130-day CCC: a naphtha-driven revenue jump consumes cash in year 1.; The NCI deduction (140bn) and the Ultradent bridge (139.5bn at JPY155/USD) are each ~JPY390/share; the FX rate on Ultradent and the NCI multiple are judgment calls.; Statutory EBITDA includes recurring restructuring charges (~1.5% of revenue); if the B&amp;GM program ends them, the base margin path is conservative by that amount.; Terminal cap multiples (12-15x FCF) bind in every scenario; the Gordon value at 7%/1.5% would be ~18.5x.</t>
  </si>
  <si>
    <t xml:space="preserve">Data sources</t>
  </si>
  <si>
    <t xml:space="preserve">price: Yahoo Finance chart API at inputs.price_as_of; 52-week range 1737.0-2477.5
financials: 4183.T_Metrics.csv (core_metrics, IFRS from FY2021 label); 4183.T_Annual_FY2025_Kessan.txt (YE Mar-2026 statements, P&amp;L lines 661-679, cash flow 737-792); 4183.T_Quarterly_Q1-2026.txt (30-Jun-2026 balance sheet lines 361-404, interest-bearing debt line 58); 4183.T_Presentation_Q1-2026.txt (Ultradent USD900m, line 1062; FY2026 guidance)
qualitative: 4183.T_Analysis.json (2026-10-31): segment mix, VISION 2030 targets, B&amp;GM restructuring timeline, Middle East cost impact, capital policy</t>
  </si>
  <si>
    <t xml:space="preserve">Scenario narrative: bear</t>
  </si>
  <si>
    <t xml:space="preserve">Petrochemical oversupply, naphtha and FX volatility, and a slow specialty ramp keep the group at its FY2024-25 margin with capex stuck at 7% of revenue; owner FCF stays near the historical average, the terminal value is small (12x) and the equity is left with the debt, NCI and Ultradent claims ahead of it.</t>
  </si>
  <si>
    <t xml:space="preserve">Scenario narrative: base</t>
  </si>
  <si>
    <t xml:space="preserve">Mitsui Chemicals' valuation turns on two axes: whether the specialty domains (Life &amp; Healthcare, Mobility, ICT) grow operating income faster than the FY2016-25 pace of ~6%/yr after the Ultradent and Kulzer acquisitions, and whether the Basic &amp; Green Materials petrochemical loss (-18.4bn FY0) is removed by the FY2026-30 consolidation and split-off program. The base case delivers the FY2026 guidance year, then a gradual recovery to a 12% statutory EBITDA margin and capex gliding toward D&amp;A, producing 60-80bn of owner FCF by the back half of the decade against a five-year history averaging ~14bn.</t>
  </si>
  <si>
    <t xml:space="preserve">Scenario narrative: bull</t>
  </si>
  <si>
    <t xml:space="preserve">VISION 2030 partially delivered: specialty profit compounds at high single digits, B&amp;GM is separated by FY2027-28, margin reaches 13.5%, capex falls to ~1.07x D&amp;A, working capital is released, and the terminal multiple rises to 15x owner FCF.</t>
  </si>
  <si>
    <t xml:space="preserve">Period</t>
  </si>
  <si>
    <t xml:space="preserve">Revenue</t>
  </si>
  <si>
    <t xml:space="preserve">CostOfRevenue</t>
  </si>
  <si>
    <t xml:space="preserve">GrossProfit</t>
  </si>
  <si>
    <t xml:space="preserve">GrossMargin</t>
  </si>
  <si>
    <t xml:space="preserve">OperatingIncome</t>
  </si>
  <si>
    <t xml:space="preserve">OperatingMargin</t>
  </si>
  <si>
    <t xml:space="preserve">EBITDA</t>
  </si>
  <si>
    <t xml:space="preserve">NetIncome</t>
  </si>
  <si>
    <t xml:space="preserve">NetMargin</t>
  </si>
  <si>
    <t xml:space="preserve">EPS</t>
  </si>
  <si>
    <t xml:space="preserve">OperatingCashFlow</t>
  </si>
  <si>
    <t xml:space="preserve">CapEx</t>
  </si>
  <si>
    <t xml:space="preserve">FreeCashFlow</t>
  </si>
  <si>
    <t xml:space="preserve">ShareholdersEquity</t>
  </si>
  <si>
    <t xml:space="preserve">TotalAssets</t>
  </si>
  <si>
    <t xml:space="preserve">TotalLiabilities</t>
  </si>
  <si>
    <t xml:space="preserve">TotalDebt</t>
  </si>
  <si>
    <t xml:space="preserve">CashAndEquivalents</t>
  </si>
  <si>
    <t xml:space="preserve">SharesOutstanding</t>
  </si>
  <si>
    <t xml:space="preserve">StockBasedComp</t>
  </si>
  <si>
    <t xml:space="preserve">DividendPerShare</t>
  </si>
  <si>
    <t xml:space="preserve">EBITDABeforeSignificant</t>
  </si>
  <si>
    <t xml:space="preserve">RevenueContinuing</t>
  </si>
  <si>
    <t xml:space="preserve">EBITDAContinuingBeforeSignificant</t>
  </si>
  <si>
    <t xml:space="preserve">EBITContinuingBeforeSignificant</t>
  </si>
  <si>
    <t xml:space="preserve">Currency</t>
  </si>
  <si>
    <t xml:space="preserve">CoreOperatingIncome</t>
  </si>
  <si>
    <t xml:space="preserve">InterestPaid</t>
  </si>
  <si>
    <t xml:space="preserve">NonControllingInterests</t>
  </si>
  <si>
    <t xml:space="preserve">TreasuryShares</t>
  </si>
  <si>
    <t xml:space="preserve">FY2015</t>
  </si>
  <si>
    <t xml:space="preserve">FY2016</t>
  </si>
  <si>
    <t xml:space="preserve">FY2017</t>
  </si>
  <si>
    <t xml:space="preserve">FY2018</t>
  </si>
  <si>
    <t xml:space="preserve">FY2019</t>
  </si>
  <si>
    <t xml:space="preserve">FY2020</t>
  </si>
  <si>
    <t xml:space="preserve">FY2021</t>
  </si>
  <si>
    <t xml:space="preserve">FY2022</t>
  </si>
  <si>
    <t xml:space="preserve">FY2023</t>
  </si>
  <si>
    <t xml:space="preserve">FY2024</t>
  </si>
  <si>
    <t xml:space="preserve">FY2025</t>
  </si>
  <si>
    <t xml:space="preserve">FY2026</t>
  </si>
  <si>
    <t xml:space="preserve">Input</t>
  </si>
  <si>
    <t xml:space="preserve">Value</t>
  </si>
  <si>
    <t xml:space="preserve">Current price (quote currency)</t>
  </si>
  <si>
    <t xml:space="preserve">Shares, final projected (m)</t>
  </si>
  <si>
    <t xml:space="preserve">Net debt (m, model currency)</t>
  </si>
  <si>
    <t xml:space="preserve">Equity bridge total (m, + adds)</t>
  </si>
  <si>
    <t xml:space="preserve">Hurdle rate (%)</t>
  </si>
  <si>
    <t xml:space="preserve">Base revenue FY0 (m)</t>
  </si>
  <si>
    <t xml:space="preserve">FY0</t>
  </si>
  <si>
    <t xml:space="preserve">Currency / units</t>
  </si>
  <si>
    <t xml:space="preserve">JPY millions</t>
  </si>
  <si>
    <t xml:space="preserve">FX rate (model -&gt; quote)</t>
  </si>
  <si>
    <t xml:space="preserve">BEAR</t>
  </si>
  <si>
    <t xml:space="preserve">FY2027</t>
  </si>
  <si>
    <t xml:space="preserve">FY2028</t>
  </si>
  <si>
    <t xml:space="preserve">FY2029</t>
  </si>
  <si>
    <t xml:space="preserve">FY2030</t>
  </si>
  <si>
    <t xml:space="preserve">FY2031</t>
  </si>
  <si>
    <t xml:space="preserve">FY2032</t>
  </si>
  <si>
    <t xml:space="preserve">FY2033</t>
  </si>
  <si>
    <t xml:space="preserve">FY2034</t>
  </si>
  <si>
    <t xml:space="preserve">FY2035</t>
  </si>
  <si>
    <t xml:space="preserve">FY2036</t>
  </si>
  <si>
    <t xml:space="preserve">Revenue growth (%)</t>
  </si>
  <si>
    <t xml:space="preserve">EBITDA margin (%)</t>
  </si>
  <si>
    <t xml:space="preserve">SBC (% of revenue)</t>
  </si>
  <si>
    <t xml:space="preserve">Lease cost (% of revenue)</t>
  </si>
  <si>
    <t xml:space="preserve">D&amp;A (% of revenue)</t>
  </si>
  <si>
    <t xml:space="preserve">Capex (% of revenue)</t>
  </si>
  <si>
    <t xml:space="preserve">Cash tax rate (%)</t>
  </si>
  <si>
    <t xml:space="preserve">WACC (%)</t>
  </si>
  <si>
    <t xml:space="preserve">Terminal growth (%)</t>
  </si>
  <si>
    <t xml:space="preserve">Terminal cap multiple (x FCF)</t>
  </si>
  <si>
    <t xml:space="preserve">Working-capital capture (% of revenue change)</t>
  </si>
  <si>
    <t xml:space="preserve">Scenario weight</t>
  </si>
  <si>
    <t xml:space="preserve">BASE</t>
  </si>
  <si>
    <t xml:space="preserve">BULL</t>
  </si>
  <si>
    <t xml:space="preserve">4183.T owner-FCF component DCF: bear case (millions, JPY)</t>
  </si>
  <si>
    <t xml:space="preserve">Line</t>
  </si>
  <si>
    <t xml:space="preserve">Year index (discount exponent)</t>
  </si>
  <si>
    <t xml:space="preserve">SBC charge</t>
  </si>
  <si>
    <t xml:space="preserve">Owner EBITDA (after SBC and leases)</t>
  </si>
  <si>
    <t xml:space="preserve">D&amp;A</t>
  </si>
  <si>
    <t xml:space="preserve">EBIT</t>
  </si>
  <si>
    <t xml:space="preserve">NOPAT</t>
  </si>
  <si>
    <t xml:space="preserve">D&amp;A add-back</t>
  </si>
  <si>
    <t xml:space="preserve">Capex</t>
  </si>
  <si>
    <t xml:space="preserve">Working capital</t>
  </si>
  <si>
    <t xml:space="preserve">Unlevered owner FCF</t>
  </si>
  <si>
    <t xml:space="preserve">Discount factor</t>
  </si>
  <si>
    <t xml:space="preserve">PV of FCF</t>
  </si>
  <si>
    <t xml:space="preserve">Lease cost</t>
  </si>
  <si>
    <t xml:space="preserve">Valuation</t>
  </si>
  <si>
    <t xml:space="preserve">Sum of PV of FCF</t>
  </si>
  <si>
    <t xml:space="preserve">Terminal-year FCF</t>
  </si>
  <si>
    <t xml:space="preserve">Gordon terminal value</t>
  </si>
  <si>
    <t xml:space="preserve">Cap terminal value</t>
  </si>
  <si>
    <t xml:space="preserve">Terminal value used: MAX(0,MIN(Gordon,cap))</t>
  </si>
  <si>
    <t xml:space="preserve">PV of terminal value</t>
  </si>
  <si>
    <t xml:space="preserve">Enterprise value</t>
  </si>
  <si>
    <t xml:space="preserve">Equity value (EV + bridge - net debt)</t>
  </si>
  <si>
    <t xml:space="preserve">Value per share (quote currency)</t>
  </si>
  <si>
    <t xml:space="preserve">Upside vs price</t>
  </si>
  <si>
    <t xml:space="preserve">Street memo: PV of explicit-period SBC</t>
  </si>
  <si>
    <t xml:space="preserve">Street memo: PV of terminal SBC (Gordon)</t>
  </si>
  <si>
    <t xml:space="preserve">Street value per share</t>
  </si>
  <si>
    <t xml:space="preserve">Terminal value at hurdle: MAX(0,MIN(Gordon@hurdle,cap))</t>
  </si>
  <si>
    <t xml:space="preserve">Hurdle entry price (quote currency)</t>
  </si>
  <si>
    <t xml:space="preserve">4183.T owner-FCF component DCF: base case (millions, JPY)</t>
  </si>
  <si>
    <t xml:space="preserve">4183.T owner-FCF component DCF: bull case (millions, JPY)</t>
  </si>
  <si>
    <t xml:space="preserve">4183.T valuation summary</t>
  </si>
  <si>
    <t xml:space="preserve">Scenario</t>
  </si>
  <si>
    <t xml:space="preserve">Value per share</t>
  </si>
  <si>
    <t xml:space="preserve">Weight</t>
  </si>
  <si>
    <t xml:space="preserve">Hurdle entry price</t>
  </si>
  <si>
    <t xml:space="preserve">Bear</t>
  </si>
  <si>
    <t xml:space="preserve">Base</t>
  </si>
  <si>
    <t xml:space="preserve">Bull</t>
  </si>
  <si>
    <t xml:space="preserve">Probability-weighted value per share</t>
  </si>
  <si>
    <t xml:space="preserve">Street weighted value per share</t>
  </si>
  <si>
    <t xml:space="preserve">Margin of safety (1 - price/weighted)</t>
  </si>
  <si>
    <t xml:space="preserve">Band position (%; 0 = house, 100 = street)</t>
  </si>
  <si>
    <t xml:space="preserve">Weighted 15% hurdle entry price</t>
  </si>
  <si>
    <t xml:space="preserve">Required-return table (base case; each row rebuilds its own terminal value)</t>
  </si>
  <si>
    <t xml:space="preserve">Rate (%)</t>
  </si>
  <si>
    <t xml:space="preserve">Value per share at 7% (WACC)</t>
  </si>
  <si>
    <t xml:space="preserve">Value per share at 9%</t>
  </si>
  <si>
    <t xml:space="preserve">Value per share at 10%</t>
  </si>
  <si>
    <t xml:space="preserve">Value per share at 11%</t>
  </si>
  <si>
    <t xml:space="preserve">Value per share at 12%</t>
  </si>
  <si>
    <t xml:space="preserve">Value per share at 15%</t>
  </si>
  <si>
    <t xml:space="preserve">Sensitivity: value per share, rows WACC (%) x columns terminal growth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</si>
</sst>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1"/>
      <color rgb="FF008000"/>
      <name val="Cambria"/>
      <family val="0"/>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6"/>
    <col collapsed="false" customWidth="true" hidden="false" outlineLevel="0" max="2" min="2" style="0" width="100"/>
  </cols>
  <sheetData>
    <row r="1" customFormat="false" ht="15" hidden="false" customHeight="false" outlineLevel="0" collapsed="false">
      <c r="A1" s="0" t="s">
        <v>0</v>
      </c>
      <c r="B1" s="0" t="s">
        <v>1</v>
      </c>
    </row>
    <row r="2" customFormat="false" ht="15" hidden="false" customHeight="false" outlineLevel="0" collapsed="false">
      <c r="A2" s="0" t="s">
        <v>2</v>
      </c>
      <c r="B2" s="0" t="s">
        <v>3</v>
      </c>
    </row>
    <row r="3" customFormat="false" ht="15" hidden="false" customHeight="false" outlineLevel="0" collapsed="false">
      <c r="A3" s="0" t="s">
        <v>4</v>
      </c>
      <c r="B3" s="0" t="s">
        <v>5</v>
      </c>
    </row>
    <row r="4" customFormat="false" ht="15" hidden="false" customHeight="false" outlineLevel="0" collapsed="false">
      <c r="A4" s="0" t="s">
        <v>6</v>
      </c>
      <c r="B4" s="0" t="n">
        <v>2086</v>
      </c>
    </row>
    <row r="5" customFormat="false" ht="15" hidden="false" customHeight="false" outlineLevel="0" collapsed="false">
      <c r="A5" s="0" t="s">
        <v>7</v>
      </c>
      <c r="B5" s="0" t="s">
        <v>8</v>
      </c>
    </row>
    <row r="6" customFormat="false" ht="15" hidden="false" customHeight="false" outlineLevel="0" collapsed="false">
      <c r="A6" s="0" t="s">
        <v>9</v>
      </c>
      <c r="B6" s="0" t="s">
        <v>10</v>
      </c>
    </row>
    <row r="7" customFormat="false" ht="15" hidden="false" customHeight="false" outlineLevel="0" collapsed="false">
      <c r="A7" s="0" t="s">
        <v>11</v>
      </c>
      <c r="B7" s="0" t="s">
        <v>12</v>
      </c>
    </row>
    <row r="8" customFormat="false" ht="15" hidden="false" customHeight="false" outlineLevel="0" collapsed="false">
      <c r="A8" s="0" t="s">
        <v>13</v>
      </c>
      <c r="B8" s="0" t="s">
        <v>14</v>
      </c>
    </row>
    <row r="9" customFormat="false" ht="15" hidden="false" customHeight="false" outlineLevel="0" collapsed="false">
      <c r="A9" s="0" t="s">
        <v>15</v>
      </c>
      <c r="B9" s="0" t="s">
        <v>14</v>
      </c>
    </row>
    <row r="10" customFormat="false" ht="15" hidden="false" customHeight="false" outlineLevel="0" collapsed="false">
      <c r="A10" s="0" t="s">
        <v>16</v>
      </c>
      <c r="B10" s="0" t="s">
        <v>17</v>
      </c>
    </row>
    <row r="11" customFormat="false" ht="15" hidden="false" customHeight="false" outlineLevel="0" collapsed="false">
      <c r="A11" s="0" t="s">
        <v>18</v>
      </c>
      <c r="B11" s="0" t="s">
        <v>19</v>
      </c>
    </row>
    <row r="12" customFormat="false" ht="15" hidden="false" customHeight="false" outlineLevel="0" collapsed="false">
      <c r="A12" s="0" t="s">
        <v>20</v>
      </c>
      <c r="B12" s="0" t="s">
        <v>21</v>
      </c>
    </row>
    <row r="13" customFormat="false" ht="15" hidden="false" customHeight="false" outlineLevel="0" collapsed="false">
      <c r="A13" s="0" t="s">
        <v>22</v>
      </c>
      <c r="B13" s="0" t="s">
        <v>23</v>
      </c>
    </row>
    <row r="14" customFormat="false" ht="15" hidden="false" customHeight="false" outlineLevel="0" collapsed="false">
      <c r="A14" s="0" t="s">
        <v>24</v>
      </c>
      <c r="B14" s="0" t="s">
        <v>25</v>
      </c>
    </row>
    <row r="15" customFormat="false" ht="23.85" hidden="false" customHeight="false" outlineLevel="0" collapsed="false">
      <c r="A15" s="0" t="s">
        <v>26</v>
      </c>
      <c r="B15" s="1" t="s">
        <v>27</v>
      </c>
    </row>
    <row r="16" customFormat="false" ht="35.05" hidden="false" customHeight="false" outlineLevel="0" collapsed="false">
      <c r="A16" s="0" t="s">
        <v>28</v>
      </c>
      <c r="B16" s="1" t="s">
        <v>29</v>
      </c>
    </row>
    <row r="17" customFormat="false" ht="15" hidden="false" customHeight="false" outlineLevel="0" collapsed="false">
      <c r="A17" s="0" t="s">
        <v>30</v>
      </c>
      <c r="B17" s="0" t="s">
        <v>31</v>
      </c>
    </row>
    <row r="18" customFormat="false" ht="15" hidden="false" customHeight="false" outlineLevel="0" collapsed="false">
      <c r="A18" s="0" t="s">
        <v>32</v>
      </c>
      <c r="B18" s="0" t="s">
        <v>33</v>
      </c>
    </row>
    <row r="19" customFormat="false" ht="15" hidden="false" customHeight="false" outlineLevel="0" collapsed="false">
      <c r="A19" s="0" t="s">
        <v>34</v>
      </c>
      <c r="B19" s="0" t="s">
        <v>35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F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2" t="s">
        <v>36</v>
      </c>
      <c r="B1" s="2" t="s">
        <v>37</v>
      </c>
      <c r="C1" s="2" t="s">
        <v>38</v>
      </c>
      <c r="D1" s="2" t="s">
        <v>39</v>
      </c>
      <c r="E1" s="2" t="s">
        <v>40</v>
      </c>
      <c r="F1" s="2" t="s">
        <v>41</v>
      </c>
      <c r="G1" s="2" t="s">
        <v>42</v>
      </c>
      <c r="H1" s="2" t="s">
        <v>43</v>
      </c>
      <c r="I1" s="2" t="s">
        <v>44</v>
      </c>
      <c r="J1" s="2" t="s">
        <v>45</v>
      </c>
      <c r="K1" s="2" t="s">
        <v>46</v>
      </c>
      <c r="L1" s="2" t="s">
        <v>47</v>
      </c>
      <c r="M1" s="2" t="s">
        <v>48</v>
      </c>
      <c r="N1" s="2" t="s">
        <v>49</v>
      </c>
      <c r="O1" s="2" t="s">
        <v>50</v>
      </c>
      <c r="P1" s="2" t="s">
        <v>51</v>
      </c>
      <c r="Q1" s="2" t="s">
        <v>52</v>
      </c>
      <c r="R1" s="2" t="s">
        <v>53</v>
      </c>
      <c r="S1" s="2" t="s">
        <v>54</v>
      </c>
      <c r="T1" s="2" t="s">
        <v>55</v>
      </c>
      <c r="U1" s="2" t="s">
        <v>56</v>
      </c>
      <c r="V1" s="2" t="s">
        <v>57</v>
      </c>
      <c r="W1" s="2" t="s">
        <v>58</v>
      </c>
      <c r="X1" s="2" t="s">
        <v>59</v>
      </c>
      <c r="Y1" s="2" t="s">
        <v>60</v>
      </c>
      <c r="Z1" s="2" t="s">
        <v>61</v>
      </c>
      <c r="AA1" s="2" t="s">
        <v>16</v>
      </c>
      <c r="AB1" s="2" t="s">
        <v>62</v>
      </c>
      <c r="AC1" s="2" t="s">
        <v>63</v>
      </c>
      <c r="AD1" s="2" t="s">
        <v>64</v>
      </c>
      <c r="AE1" s="2" t="s">
        <v>65</v>
      </c>
      <c r="AF1" s="2" t="s">
        <v>66</v>
      </c>
    </row>
    <row r="2" customFormat="false" ht="15" hidden="false" customHeight="false" outlineLevel="0" collapsed="false">
      <c r="A2" s="0" t="s">
        <v>67</v>
      </c>
      <c r="B2" s="0" t="n">
        <v>1550076</v>
      </c>
      <c r="C2" s="0" t="n">
        <v>1308542</v>
      </c>
      <c r="D2" s="0" t="n">
        <v>241534</v>
      </c>
      <c r="E2" s="0" t="n">
        <v>15.5821</v>
      </c>
      <c r="F2" s="0" t="n">
        <v>42040</v>
      </c>
      <c r="G2" s="0" t="n">
        <v>2.7121</v>
      </c>
      <c r="H2" s="0" t="n">
        <v>83953</v>
      </c>
      <c r="I2" s="0" t="n">
        <v>17300</v>
      </c>
      <c r="J2" s="0" t="n">
        <v>1.1161</v>
      </c>
      <c r="L2" s="0" t="n">
        <v>58300</v>
      </c>
      <c r="M2" s="0" t="n">
        <v>37476</v>
      </c>
      <c r="N2" s="0" t="n">
        <v>20824</v>
      </c>
      <c r="O2" s="0" t="n">
        <v>406200</v>
      </c>
      <c r="P2" s="0" t="n">
        <v>1411790</v>
      </c>
      <c r="Q2" s="0" t="n">
        <v>940491</v>
      </c>
      <c r="R2" s="0" t="n">
        <v>548700</v>
      </c>
      <c r="S2" s="0" t="n">
        <v>50600</v>
      </c>
      <c r="AA2" s="0" t="s">
        <v>17</v>
      </c>
      <c r="AB2" s="0" t="s">
        <v>14</v>
      </c>
      <c r="AE2" s="0" t="n">
        <v>65100</v>
      </c>
    </row>
    <row r="3" customFormat="false" ht="15" hidden="false" customHeight="false" outlineLevel="0" collapsed="false">
      <c r="A3" s="0" t="s">
        <v>68</v>
      </c>
      <c r="B3" s="0" t="n">
        <v>1343898</v>
      </c>
      <c r="C3" s="0" t="n">
        <v>1069451</v>
      </c>
      <c r="D3" s="0" t="n">
        <v>274447</v>
      </c>
      <c r="E3" s="0" t="n">
        <v>20.4217</v>
      </c>
      <c r="F3" s="0" t="n">
        <v>70926</v>
      </c>
      <c r="G3" s="0" t="n">
        <v>5.2776</v>
      </c>
      <c r="H3" s="0" t="n">
        <v>111946</v>
      </c>
      <c r="I3" s="0" t="n">
        <v>22963</v>
      </c>
      <c r="J3" s="0" t="n">
        <v>1.7087</v>
      </c>
      <c r="L3" s="0" t="n">
        <v>145900</v>
      </c>
      <c r="M3" s="0" t="n">
        <v>41386</v>
      </c>
      <c r="N3" s="0" t="n">
        <v>104514</v>
      </c>
      <c r="O3" s="0" t="n">
        <v>381900</v>
      </c>
      <c r="P3" s="0" t="n">
        <v>1258948</v>
      </c>
      <c r="Q3" s="0" t="n">
        <v>815711</v>
      </c>
      <c r="R3" s="0" t="n">
        <v>473000</v>
      </c>
      <c r="S3" s="0" t="n">
        <v>78200</v>
      </c>
      <c r="AA3" s="0" t="s">
        <v>17</v>
      </c>
      <c r="AB3" s="0" t="s">
        <v>14</v>
      </c>
      <c r="AE3" s="0" t="n">
        <v>61300</v>
      </c>
    </row>
    <row r="4" customFormat="false" ht="15" hidden="false" customHeight="false" outlineLevel="0" collapsed="false">
      <c r="A4" s="0" t="s">
        <v>69</v>
      </c>
      <c r="B4" s="0" t="n">
        <v>1212282</v>
      </c>
      <c r="C4" s="0" t="n">
        <v>919268</v>
      </c>
      <c r="D4" s="0" t="n">
        <v>293014</v>
      </c>
      <c r="E4" s="0" t="n">
        <v>24.1704</v>
      </c>
      <c r="F4" s="0" t="n">
        <v>102149</v>
      </c>
      <c r="G4" s="0" t="n">
        <v>8.4262</v>
      </c>
      <c r="H4" s="0" t="n">
        <v>140467</v>
      </c>
      <c r="I4" s="0" t="n">
        <v>64839</v>
      </c>
      <c r="J4" s="0" t="n">
        <v>5.3485</v>
      </c>
      <c r="K4" s="0" t="n">
        <v>162.02</v>
      </c>
      <c r="L4" s="0" t="n">
        <v>100400</v>
      </c>
      <c r="M4" s="0" t="n">
        <v>41498</v>
      </c>
      <c r="N4" s="0" t="n">
        <v>58902</v>
      </c>
      <c r="O4" s="0" t="n">
        <v>449700</v>
      </c>
      <c r="P4" s="0" t="n">
        <v>1325525</v>
      </c>
      <c r="Q4" s="0" t="n">
        <v>810890</v>
      </c>
      <c r="R4" s="0" t="n">
        <v>439900</v>
      </c>
      <c r="S4" s="0" t="n">
        <v>82884</v>
      </c>
      <c r="T4" s="0" t="n">
        <v>400.183</v>
      </c>
      <c r="AA4" s="0" t="s">
        <v>17</v>
      </c>
      <c r="AB4" s="0" t="s">
        <v>14</v>
      </c>
      <c r="AE4" s="0" t="n">
        <v>64900</v>
      </c>
      <c r="AF4" s="0" t="n">
        <v>8.6734284</v>
      </c>
    </row>
    <row r="5" customFormat="false" ht="15" hidden="false" customHeight="false" outlineLevel="0" collapsed="false">
      <c r="A5" s="0" t="s">
        <v>70</v>
      </c>
      <c r="B5" s="0" t="n">
        <v>1328526</v>
      </c>
      <c r="C5" s="0" t="n">
        <v>1019160</v>
      </c>
      <c r="D5" s="0" t="n">
        <v>309366</v>
      </c>
      <c r="E5" s="0" t="n">
        <v>23.2864</v>
      </c>
      <c r="F5" s="0" t="n">
        <v>103491</v>
      </c>
      <c r="G5" s="0" t="n">
        <v>7.7899</v>
      </c>
      <c r="H5" s="0" t="n">
        <v>144684</v>
      </c>
      <c r="I5" s="0" t="n">
        <v>71585</v>
      </c>
      <c r="J5" s="0" t="n">
        <v>5.3883</v>
      </c>
      <c r="K5" s="0" t="n">
        <v>179.19</v>
      </c>
      <c r="L5" s="0" t="n">
        <v>82700</v>
      </c>
      <c r="M5" s="0" t="n">
        <v>52672</v>
      </c>
      <c r="N5" s="0" t="n">
        <v>30028</v>
      </c>
      <c r="O5" s="0" t="n">
        <v>511100</v>
      </c>
      <c r="P5" s="0" t="n">
        <v>1444104</v>
      </c>
      <c r="Q5" s="0" t="n">
        <v>857500</v>
      </c>
      <c r="R5" s="0" t="n">
        <v>463700</v>
      </c>
      <c r="S5" s="0" t="n">
        <v>78828</v>
      </c>
      <c r="T5" s="0" t="n">
        <v>399.495</v>
      </c>
      <c r="AA5" s="0" t="s">
        <v>17</v>
      </c>
      <c r="AB5" s="0" t="s">
        <v>14</v>
      </c>
      <c r="AE5" s="0" t="n">
        <v>75500</v>
      </c>
      <c r="AF5" s="0" t="n">
        <v>11.533348</v>
      </c>
    </row>
    <row r="6" customFormat="false" ht="15" hidden="false" customHeight="false" outlineLevel="0" collapsed="false">
      <c r="A6" s="0" t="s">
        <v>71</v>
      </c>
      <c r="B6" s="0" t="n">
        <v>1482909</v>
      </c>
      <c r="C6" s="0" t="n">
        <v>1166577</v>
      </c>
      <c r="D6" s="0" t="n">
        <v>316332</v>
      </c>
      <c r="E6" s="0" t="n">
        <v>21.3319</v>
      </c>
      <c r="F6" s="0" t="n">
        <v>93427</v>
      </c>
      <c r="G6" s="0" t="n">
        <v>6.3003</v>
      </c>
      <c r="H6" s="0" t="n">
        <v>137743</v>
      </c>
      <c r="I6" s="0" t="n">
        <v>76115</v>
      </c>
      <c r="J6" s="0" t="n">
        <v>5.1328</v>
      </c>
      <c r="K6" s="0" t="n">
        <v>192.8</v>
      </c>
      <c r="L6" s="0" t="n">
        <v>109500</v>
      </c>
      <c r="M6" s="0" t="n">
        <v>55755</v>
      </c>
      <c r="N6" s="0" t="n">
        <v>53745</v>
      </c>
      <c r="O6" s="0" t="n">
        <v>551900</v>
      </c>
      <c r="P6" s="0" t="n">
        <v>1501074</v>
      </c>
      <c r="Q6" s="0" t="n">
        <v>869335</v>
      </c>
      <c r="R6" s="0" t="n">
        <v>485000</v>
      </c>
      <c r="S6" s="0" t="n">
        <v>109839</v>
      </c>
      <c r="T6" s="0" t="n">
        <v>394.787</v>
      </c>
      <c r="AA6" s="0" t="s">
        <v>17</v>
      </c>
      <c r="AB6" s="0" t="s">
        <v>14</v>
      </c>
      <c r="AE6" s="0" t="n">
        <v>79800</v>
      </c>
      <c r="AF6" s="0" t="n">
        <v>18.905586</v>
      </c>
    </row>
    <row r="7" customFormat="false" ht="15" hidden="false" customHeight="false" outlineLevel="0" collapsed="false">
      <c r="A7" s="0" t="s">
        <v>72</v>
      </c>
      <c r="B7" s="0" t="n">
        <v>1338987</v>
      </c>
      <c r="C7" s="0" t="n">
        <v>1041840</v>
      </c>
      <c r="D7" s="0" t="n">
        <v>297147</v>
      </c>
      <c r="E7" s="0" t="n">
        <v>22.1919</v>
      </c>
      <c r="F7" s="0" t="n">
        <v>71636</v>
      </c>
      <c r="G7" s="0" t="n">
        <v>5.35</v>
      </c>
      <c r="H7" s="0" t="n">
        <v>118636</v>
      </c>
      <c r="I7" s="0" t="n">
        <v>37944</v>
      </c>
      <c r="J7" s="0" t="n">
        <v>2.8338</v>
      </c>
      <c r="K7" s="0" t="n">
        <v>97.47</v>
      </c>
      <c r="L7" s="0" t="n">
        <v>115000</v>
      </c>
      <c r="M7" s="0" t="n">
        <v>76342</v>
      </c>
      <c r="N7" s="0" t="n">
        <v>38658</v>
      </c>
      <c r="O7" s="0" t="n">
        <v>527600</v>
      </c>
      <c r="P7" s="0" t="n">
        <v>1480067</v>
      </c>
      <c r="Q7" s="0" t="n">
        <v>872046</v>
      </c>
      <c r="R7" s="0" t="n">
        <v>554200</v>
      </c>
      <c r="S7" s="0" t="n">
        <v>147272</v>
      </c>
      <c r="T7" s="0" t="n">
        <v>389.297</v>
      </c>
      <c r="AA7" s="0" t="s">
        <v>17</v>
      </c>
      <c r="AB7" s="0" t="s">
        <v>14</v>
      </c>
      <c r="AE7" s="0" t="n">
        <v>80400</v>
      </c>
      <c r="AF7" s="0" t="n">
        <v>27.114326</v>
      </c>
    </row>
    <row r="8" customFormat="false" ht="15" hidden="false" customHeight="false" outlineLevel="0" collapsed="false">
      <c r="A8" s="0" t="s">
        <v>73</v>
      </c>
      <c r="B8" s="0" t="n">
        <v>1211725</v>
      </c>
      <c r="C8" s="0" t="n">
        <v>917883</v>
      </c>
      <c r="D8" s="0" t="n">
        <v>293842</v>
      </c>
      <c r="E8" s="0" t="n">
        <v>24.2499</v>
      </c>
      <c r="F8" s="0" t="n">
        <v>78074</v>
      </c>
      <c r="G8" s="0" t="n">
        <v>6.4432</v>
      </c>
      <c r="H8" s="0" t="n">
        <v>154695</v>
      </c>
      <c r="I8" s="0" t="n">
        <v>57873</v>
      </c>
      <c r="J8" s="0" t="n">
        <v>4.7761</v>
      </c>
      <c r="K8" s="0" t="n">
        <v>149</v>
      </c>
      <c r="L8" s="0" t="n">
        <v>174300</v>
      </c>
      <c r="M8" s="0" t="n">
        <v>76581</v>
      </c>
      <c r="N8" s="0" t="n">
        <v>97719</v>
      </c>
      <c r="O8" s="0" t="n">
        <v>607900</v>
      </c>
      <c r="P8" s="0" t="n">
        <v>1558100</v>
      </c>
      <c r="Q8" s="0" t="n">
        <v>876000</v>
      </c>
      <c r="R8" s="0" t="n">
        <v>563800</v>
      </c>
      <c r="S8" s="0" t="n">
        <v>195987</v>
      </c>
      <c r="T8" s="0" t="n">
        <v>388.404</v>
      </c>
      <c r="AA8" s="0" t="s">
        <v>17</v>
      </c>
      <c r="AB8" s="0" t="s">
        <v>14</v>
      </c>
      <c r="AC8" s="0" t="n">
        <v>85100</v>
      </c>
      <c r="AD8" s="0" t="n">
        <v>4705</v>
      </c>
      <c r="AE8" s="0" t="n">
        <v>74200</v>
      </c>
      <c r="AF8" s="0" t="n">
        <v>17.32878</v>
      </c>
    </row>
    <row r="9" customFormat="false" ht="15" hidden="false" customHeight="false" outlineLevel="0" collapsed="false">
      <c r="A9" s="0" t="s">
        <v>74</v>
      </c>
      <c r="B9" s="0" t="n">
        <v>1612688</v>
      </c>
      <c r="C9" s="0" t="n">
        <v>1233948</v>
      </c>
      <c r="D9" s="0" t="n">
        <v>378740</v>
      </c>
      <c r="E9" s="0" t="n">
        <v>23.485</v>
      </c>
      <c r="F9" s="0" t="n">
        <v>147310</v>
      </c>
      <c r="G9" s="0" t="n">
        <v>9.1344</v>
      </c>
      <c r="H9" s="0" t="n">
        <v>231532</v>
      </c>
      <c r="I9" s="0" t="n">
        <v>109990</v>
      </c>
      <c r="J9" s="0" t="n">
        <v>6.8203</v>
      </c>
      <c r="K9" s="0" t="n">
        <v>282.73</v>
      </c>
      <c r="L9" s="0" t="n">
        <v>92600</v>
      </c>
      <c r="M9" s="0" t="n">
        <v>116216</v>
      </c>
      <c r="N9" s="0" t="n">
        <v>-23616</v>
      </c>
      <c r="O9" s="0" t="n">
        <v>712654</v>
      </c>
      <c r="P9" s="0" t="n">
        <v>1934965</v>
      </c>
      <c r="Q9" s="0" t="n">
        <v>1127843</v>
      </c>
      <c r="R9" s="0" t="n">
        <v>715100</v>
      </c>
      <c r="S9" s="0" t="n">
        <v>181152</v>
      </c>
      <c r="T9" s="0" t="n">
        <v>389.033</v>
      </c>
      <c r="AA9" s="0" t="s">
        <v>17</v>
      </c>
      <c r="AB9" s="0" t="s">
        <v>14</v>
      </c>
      <c r="AC9" s="0" t="n">
        <v>161800</v>
      </c>
      <c r="AD9" s="0" t="n">
        <v>3972</v>
      </c>
      <c r="AE9" s="0" t="n">
        <v>94400</v>
      </c>
      <c r="AF9" s="0" t="n">
        <v>22.83475</v>
      </c>
    </row>
    <row r="10" customFormat="false" ht="15" hidden="false" customHeight="false" outlineLevel="0" collapsed="false">
      <c r="A10" s="0" t="s">
        <v>75</v>
      </c>
      <c r="B10" s="0" t="n">
        <v>1879547</v>
      </c>
      <c r="C10" s="0" t="n">
        <v>1498054</v>
      </c>
      <c r="D10" s="0" t="n">
        <v>381493</v>
      </c>
      <c r="E10" s="0" t="n">
        <v>20.2971</v>
      </c>
      <c r="F10" s="0" t="n">
        <v>128998</v>
      </c>
      <c r="G10" s="0" t="n">
        <v>6.8632</v>
      </c>
      <c r="H10" s="0" t="n">
        <v>221078</v>
      </c>
      <c r="I10" s="0" t="n">
        <v>82936</v>
      </c>
      <c r="J10" s="0" t="n">
        <v>4.4126</v>
      </c>
      <c r="K10" s="0" t="n">
        <v>215.59</v>
      </c>
      <c r="L10" s="0" t="n">
        <v>101200</v>
      </c>
      <c r="M10" s="0" t="n">
        <v>137861</v>
      </c>
      <c r="N10" s="0" t="n">
        <v>-36661</v>
      </c>
      <c r="O10" s="0" t="n">
        <v>786827</v>
      </c>
      <c r="P10" s="0" t="n">
        <v>2068203</v>
      </c>
      <c r="Q10" s="0" t="n">
        <v>1184900</v>
      </c>
      <c r="R10" s="0" t="n">
        <v>794700</v>
      </c>
      <c r="S10" s="0" t="n">
        <v>186310</v>
      </c>
      <c r="T10" s="0" t="n">
        <v>384.699</v>
      </c>
      <c r="AA10" s="0" t="s">
        <v>17</v>
      </c>
      <c r="AB10" s="0" t="s">
        <v>14</v>
      </c>
      <c r="AC10" s="0" t="n">
        <v>113900</v>
      </c>
      <c r="AD10" s="0" t="n">
        <v>5889</v>
      </c>
      <c r="AE10" s="0" t="n">
        <v>96500</v>
      </c>
      <c r="AF10" s="0" t="n">
        <v>21.395458</v>
      </c>
    </row>
    <row r="11" customFormat="false" ht="15" hidden="false" customHeight="false" outlineLevel="0" collapsed="false">
      <c r="A11" s="0" t="s">
        <v>76</v>
      </c>
      <c r="B11" s="0" t="n">
        <v>1749743</v>
      </c>
      <c r="C11" s="0" t="n">
        <v>1378946</v>
      </c>
      <c r="D11" s="0" t="n">
        <v>370797</v>
      </c>
      <c r="E11" s="0" t="n">
        <v>21.1915</v>
      </c>
      <c r="F11" s="0" t="n">
        <v>74124</v>
      </c>
      <c r="G11" s="0" t="n">
        <v>4.2363</v>
      </c>
      <c r="H11" s="0" t="n">
        <v>169373</v>
      </c>
      <c r="I11" s="0" t="n">
        <v>49999</v>
      </c>
      <c r="J11" s="0" t="n">
        <v>2.8575</v>
      </c>
      <c r="K11" s="0" t="n">
        <v>131.5</v>
      </c>
      <c r="L11" s="0" t="n">
        <v>161300</v>
      </c>
      <c r="M11" s="0" t="n">
        <v>153991</v>
      </c>
      <c r="N11" s="0" t="n">
        <v>7309</v>
      </c>
      <c r="O11" s="0" t="n">
        <v>862851</v>
      </c>
      <c r="P11" s="0" t="n">
        <v>2215819</v>
      </c>
      <c r="Q11" s="0" t="n">
        <v>1231013</v>
      </c>
      <c r="R11" s="0" t="n">
        <v>811500</v>
      </c>
      <c r="S11" s="0" t="n">
        <v>210292</v>
      </c>
      <c r="T11" s="0" t="n">
        <v>380.241</v>
      </c>
      <c r="AA11" s="0" t="s">
        <v>17</v>
      </c>
      <c r="AB11" s="0" t="s">
        <v>14</v>
      </c>
      <c r="AC11" s="0" t="n">
        <v>96200</v>
      </c>
      <c r="AD11" s="0" t="n">
        <v>7454</v>
      </c>
      <c r="AE11" s="0" t="n">
        <v>121900</v>
      </c>
      <c r="AF11" s="0" t="n">
        <v>21.418362</v>
      </c>
    </row>
    <row r="12" customFormat="false" ht="15" hidden="false" customHeight="false" outlineLevel="0" collapsed="false">
      <c r="A12" s="0" t="s">
        <v>77</v>
      </c>
      <c r="B12" s="0" t="n">
        <v>1809164</v>
      </c>
      <c r="C12" s="0" t="n">
        <v>1420872</v>
      </c>
      <c r="D12" s="0" t="n">
        <v>388292</v>
      </c>
      <c r="E12" s="0" t="n">
        <v>21.4625</v>
      </c>
      <c r="F12" s="0" t="n">
        <v>78336</v>
      </c>
      <c r="G12" s="0" t="n">
        <v>4.33</v>
      </c>
      <c r="H12" s="0" t="n">
        <v>178104</v>
      </c>
      <c r="I12" s="0" t="n">
        <v>32242</v>
      </c>
      <c r="J12" s="0" t="n">
        <v>1.7821</v>
      </c>
      <c r="K12" s="0" t="n">
        <v>85.28</v>
      </c>
      <c r="L12" s="0" t="n">
        <v>200500</v>
      </c>
      <c r="M12" s="0" t="n">
        <v>138406</v>
      </c>
      <c r="N12" s="0" t="n">
        <v>62094</v>
      </c>
      <c r="O12" s="0" t="n">
        <v>848284</v>
      </c>
      <c r="P12" s="0" t="n">
        <v>2153953</v>
      </c>
      <c r="Q12" s="0" t="n">
        <v>1183349</v>
      </c>
      <c r="R12" s="0" t="n">
        <v>791700</v>
      </c>
      <c r="S12" s="0" t="n">
        <v>170615</v>
      </c>
      <c r="T12" s="0" t="n">
        <v>378.073</v>
      </c>
      <c r="AA12" s="0" t="s">
        <v>17</v>
      </c>
      <c r="AB12" s="0" t="s">
        <v>14</v>
      </c>
      <c r="AC12" s="0" t="n">
        <v>101000</v>
      </c>
      <c r="AD12" s="0" t="n">
        <v>8017</v>
      </c>
      <c r="AE12" s="0" t="n">
        <v>122300</v>
      </c>
      <c r="AF12" s="0" t="n">
        <v>27.00549</v>
      </c>
    </row>
    <row r="13" customFormat="false" ht="15" hidden="false" customHeight="false" outlineLevel="0" collapsed="false">
      <c r="A13" s="0" t="s">
        <v>78</v>
      </c>
      <c r="B13" s="0" t="n">
        <v>1668754</v>
      </c>
      <c r="C13" s="0" t="n">
        <v>1288244</v>
      </c>
      <c r="D13" s="0" t="n">
        <v>380510</v>
      </c>
      <c r="E13" s="0" t="n">
        <v>22.802</v>
      </c>
      <c r="F13" s="0" t="n">
        <v>73809</v>
      </c>
      <c r="G13" s="0" t="n">
        <v>4.423</v>
      </c>
      <c r="H13" s="0" t="n">
        <v>178553</v>
      </c>
      <c r="I13" s="0" t="n">
        <v>34378</v>
      </c>
      <c r="J13" s="0" t="n">
        <v>2.0601</v>
      </c>
      <c r="K13" s="0" t="n">
        <v>91.62</v>
      </c>
      <c r="L13" s="0" t="n">
        <v>213000</v>
      </c>
      <c r="M13" s="0" t="n">
        <v>137759</v>
      </c>
      <c r="N13" s="0" t="n">
        <v>75241</v>
      </c>
      <c r="O13" s="0" t="n">
        <v>864727</v>
      </c>
      <c r="P13" s="0" t="n">
        <v>2151652</v>
      </c>
      <c r="Q13" s="0" t="n">
        <v>1162868</v>
      </c>
      <c r="R13" s="0" t="n">
        <v>795800</v>
      </c>
      <c r="S13" s="0" t="n">
        <v>183113</v>
      </c>
      <c r="T13" s="0" t="n">
        <v>375.212</v>
      </c>
      <c r="AA13" s="0" t="s">
        <v>17</v>
      </c>
      <c r="AB13" s="0" t="s">
        <v>14</v>
      </c>
      <c r="AC13" s="0" t="n">
        <v>100000</v>
      </c>
      <c r="AD13" s="0" t="n">
        <v>8432</v>
      </c>
      <c r="AE13" s="0" t="n">
        <v>124100</v>
      </c>
      <c r="AF13" s="0" t="n">
        <v>33.588357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44"/>
  </cols>
  <sheetData>
    <row r="1" customFormat="false" ht="15" hidden="false" customHeight="false" outlineLevel="0" collapsed="false">
      <c r="A1" s="2" t="s">
        <v>79</v>
      </c>
      <c r="B1" s="2" t="s">
        <v>80</v>
      </c>
    </row>
    <row r="2" customFormat="false" ht="15" hidden="false" customHeight="false" outlineLevel="0" collapsed="false">
      <c r="A2" s="0" t="s">
        <v>81</v>
      </c>
      <c r="B2" s="3" t="n">
        <v>2086</v>
      </c>
    </row>
    <row r="3" customFormat="false" ht="15" hidden="false" customHeight="false" outlineLevel="0" collapsed="false">
      <c r="A3" s="0" t="s">
        <v>82</v>
      </c>
      <c r="B3" s="3" t="n">
        <v>361.499</v>
      </c>
    </row>
    <row r="4" customFormat="false" ht="15" hidden="false" customHeight="false" outlineLevel="0" collapsed="false">
      <c r="A4" s="0" t="s">
        <v>83</v>
      </c>
      <c r="B4" s="3" t="n">
        <v>604122</v>
      </c>
    </row>
    <row r="5" customFormat="false" ht="15" hidden="false" customHeight="false" outlineLevel="0" collapsed="false">
      <c r="A5" s="0" t="s">
        <v>84</v>
      </c>
      <c r="B5" s="3" t="n">
        <v>-178947</v>
      </c>
    </row>
    <row r="6" customFormat="false" ht="15" hidden="false" customHeight="false" outlineLevel="0" collapsed="false">
      <c r="A6" s="0" t="s">
        <v>85</v>
      </c>
      <c r="B6" s="3" t="n">
        <v>15</v>
      </c>
    </row>
    <row r="7" customFormat="false" ht="15" hidden="false" customHeight="false" outlineLevel="0" collapsed="false">
      <c r="A7" s="0" t="s">
        <v>86</v>
      </c>
      <c r="B7" s="3" t="n">
        <v>1668754</v>
      </c>
    </row>
    <row r="8" customFormat="false" ht="15" hidden="false" customHeight="false" outlineLevel="0" collapsed="false">
      <c r="A8" s="0" t="s">
        <v>87</v>
      </c>
      <c r="B8" s="3" t="s">
        <v>78</v>
      </c>
    </row>
    <row r="9" customFormat="false" ht="15" hidden="false" customHeight="false" outlineLevel="0" collapsed="false">
      <c r="A9" s="0" t="s">
        <v>88</v>
      </c>
      <c r="B9" s="3" t="s">
        <v>89</v>
      </c>
    </row>
    <row r="10" customFormat="false" ht="15" hidden="false" customHeight="false" outlineLevel="0" collapsed="false">
      <c r="A10" s="0" t="s">
        <v>90</v>
      </c>
      <c r="B10" s="3" t="n">
        <v>1</v>
      </c>
    </row>
    <row r="12" customFormat="false" ht="15" hidden="false" customHeight="false" outlineLevel="0" collapsed="false">
      <c r="A12" s="2" t="s">
        <v>91</v>
      </c>
      <c r="C12" s="2" t="s">
        <v>92</v>
      </c>
      <c r="D12" s="2" t="s">
        <v>93</v>
      </c>
      <c r="E12" s="2" t="s">
        <v>94</v>
      </c>
      <c r="F12" s="2" t="s">
        <v>95</v>
      </c>
      <c r="G12" s="2" t="s">
        <v>96</v>
      </c>
      <c r="H12" s="2" t="s">
        <v>97</v>
      </c>
      <c r="I12" s="2" t="s">
        <v>98</v>
      </c>
      <c r="J12" s="2" t="s">
        <v>99</v>
      </c>
      <c r="K12" s="2" t="s">
        <v>100</v>
      </c>
      <c r="L12" s="2" t="s">
        <v>101</v>
      </c>
    </row>
    <row r="13" customFormat="false" ht="15" hidden="false" customHeight="false" outlineLevel="0" collapsed="false">
      <c r="A13" s="0" t="s">
        <v>102</v>
      </c>
      <c r="C13" s="3" t="n">
        <v>10</v>
      </c>
      <c r="D13" s="3" t="n">
        <v>0</v>
      </c>
      <c r="E13" s="3" t="n">
        <v>1</v>
      </c>
      <c r="F13" s="3" t="n">
        <v>1</v>
      </c>
      <c r="G13" s="3" t="n">
        <v>1</v>
      </c>
      <c r="H13" s="3" t="n">
        <v>1</v>
      </c>
      <c r="I13" s="3" t="n">
        <v>1</v>
      </c>
      <c r="J13" s="3" t="n">
        <v>1</v>
      </c>
      <c r="K13" s="3" t="n">
        <v>1</v>
      </c>
      <c r="L13" s="3" t="n">
        <v>1</v>
      </c>
    </row>
    <row r="14" customFormat="false" ht="15" hidden="false" customHeight="false" outlineLevel="0" collapsed="false">
      <c r="A14" s="0" t="s">
        <v>103</v>
      </c>
      <c r="C14" s="3" t="n">
        <v>9.8</v>
      </c>
      <c r="D14" s="3" t="n">
        <v>9.5</v>
      </c>
      <c r="E14" s="3" t="n">
        <v>9.5</v>
      </c>
      <c r="F14" s="3" t="n">
        <v>9.5</v>
      </c>
      <c r="G14" s="3" t="n">
        <v>9.5</v>
      </c>
      <c r="H14" s="3" t="n">
        <v>9.5</v>
      </c>
      <c r="I14" s="3" t="n">
        <v>9.5</v>
      </c>
      <c r="J14" s="3" t="n">
        <v>9.5</v>
      </c>
      <c r="K14" s="3" t="n">
        <v>9.5</v>
      </c>
      <c r="L14" s="3" t="n">
        <v>9.5</v>
      </c>
    </row>
    <row r="15" customFormat="false" ht="15" hidden="false" customHeight="false" outlineLevel="0" collapsed="false">
      <c r="A15" s="0" t="s">
        <v>104</v>
      </c>
      <c r="C15" s="3" t="n">
        <v>0</v>
      </c>
      <c r="D15" s="3" t="n">
        <v>0</v>
      </c>
      <c r="E15" s="3" t="n">
        <v>0</v>
      </c>
      <c r="F15" s="3" t="n">
        <v>0</v>
      </c>
      <c r="G15" s="3" t="n">
        <v>0</v>
      </c>
      <c r="H15" s="3" t="n">
        <v>0</v>
      </c>
      <c r="I15" s="3" t="n">
        <v>0</v>
      </c>
      <c r="J15" s="3" t="n">
        <v>0</v>
      </c>
      <c r="K15" s="3" t="n">
        <v>0</v>
      </c>
      <c r="L15" s="3" t="n">
        <v>0</v>
      </c>
    </row>
    <row r="16" customFormat="false" ht="15" hidden="false" customHeight="false" outlineLevel="0" collapsed="false">
      <c r="A16" s="0" t="s">
        <v>105</v>
      </c>
      <c r="C16" s="3" t="n">
        <v>0.55</v>
      </c>
      <c r="D16" s="3" t="n">
        <v>0.55</v>
      </c>
      <c r="E16" s="3" t="n">
        <v>0.55</v>
      </c>
      <c r="F16" s="3" t="n">
        <v>0.55</v>
      </c>
      <c r="G16" s="3" t="n">
        <v>0.55</v>
      </c>
      <c r="H16" s="3" t="n">
        <v>0.55</v>
      </c>
      <c r="I16" s="3" t="n">
        <v>0.55</v>
      </c>
      <c r="J16" s="3" t="n">
        <v>0.55</v>
      </c>
      <c r="K16" s="3" t="n">
        <v>0.55</v>
      </c>
      <c r="L16" s="3" t="n">
        <v>0.55</v>
      </c>
    </row>
    <row r="17" customFormat="false" ht="15" hidden="false" customHeight="false" outlineLevel="0" collapsed="false">
      <c r="A17" s="0" t="s">
        <v>106</v>
      </c>
      <c r="C17" s="3" t="n">
        <v>5.3</v>
      </c>
      <c r="D17" s="3" t="n">
        <v>5.4</v>
      </c>
      <c r="E17" s="3" t="n">
        <v>5.5</v>
      </c>
      <c r="F17" s="3" t="n">
        <v>5.6</v>
      </c>
      <c r="G17" s="3" t="n">
        <v>5.7</v>
      </c>
      <c r="H17" s="3" t="n">
        <v>5.7</v>
      </c>
      <c r="I17" s="3" t="n">
        <v>5.7</v>
      </c>
      <c r="J17" s="3" t="n">
        <v>5.7</v>
      </c>
      <c r="K17" s="3" t="n">
        <v>5.7</v>
      </c>
      <c r="L17" s="3" t="n">
        <v>5.7</v>
      </c>
    </row>
    <row r="18" customFormat="false" ht="15" hidden="false" customHeight="false" outlineLevel="0" collapsed="false">
      <c r="A18" s="0" t="s">
        <v>107</v>
      </c>
      <c r="C18" s="3" t="n">
        <v>7.1</v>
      </c>
      <c r="D18" s="3" t="n">
        <v>7.1</v>
      </c>
      <c r="E18" s="3" t="n">
        <v>7</v>
      </c>
      <c r="F18" s="3" t="n">
        <v>7</v>
      </c>
      <c r="G18" s="3" t="n">
        <v>7</v>
      </c>
      <c r="H18" s="3" t="n">
        <v>7</v>
      </c>
      <c r="I18" s="3" t="n">
        <v>7</v>
      </c>
      <c r="J18" s="3" t="n">
        <v>7</v>
      </c>
      <c r="K18" s="3" t="n">
        <v>7</v>
      </c>
      <c r="L18" s="3" t="n">
        <v>7</v>
      </c>
    </row>
    <row r="19" customFormat="false" ht="15" hidden="false" customHeight="false" outlineLevel="0" collapsed="false">
      <c r="A19" s="0" t="s">
        <v>108</v>
      </c>
      <c r="C19" s="3" t="n">
        <v>31</v>
      </c>
      <c r="D19" s="3" t="n">
        <v>31</v>
      </c>
      <c r="E19" s="3" t="n">
        <v>31</v>
      </c>
      <c r="F19" s="3" t="n">
        <v>31</v>
      </c>
      <c r="G19" s="3" t="n">
        <v>31</v>
      </c>
      <c r="H19" s="3" t="n">
        <v>31</v>
      </c>
      <c r="I19" s="3" t="n">
        <v>31</v>
      </c>
      <c r="J19" s="3" t="n">
        <v>31</v>
      </c>
      <c r="K19" s="3" t="n">
        <v>31</v>
      </c>
      <c r="L19" s="3" t="n">
        <v>31</v>
      </c>
    </row>
    <row r="20" customFormat="false" ht="15" hidden="false" customHeight="false" outlineLevel="0" collapsed="false">
      <c r="A20" s="0" t="s">
        <v>109</v>
      </c>
      <c r="B20" s="3" t="n">
        <v>7</v>
      </c>
    </row>
    <row r="21" customFormat="false" ht="15" hidden="false" customHeight="false" outlineLevel="0" collapsed="false">
      <c r="A21" s="0" t="s">
        <v>110</v>
      </c>
      <c r="B21" s="3" t="n">
        <v>1</v>
      </c>
    </row>
    <row r="22" customFormat="false" ht="15" hidden="false" customHeight="false" outlineLevel="0" collapsed="false">
      <c r="A22" s="0" t="s">
        <v>111</v>
      </c>
      <c r="B22" s="3" t="n">
        <v>12</v>
      </c>
    </row>
    <row r="23" customFormat="false" ht="15" hidden="false" customHeight="false" outlineLevel="0" collapsed="false">
      <c r="A23" s="0" t="s">
        <v>112</v>
      </c>
      <c r="B23" s="3" t="n">
        <v>-20</v>
      </c>
    </row>
    <row r="24" customFormat="false" ht="15" hidden="false" customHeight="false" outlineLevel="0" collapsed="false">
      <c r="A24" s="0" t="s">
        <v>113</v>
      </c>
      <c r="B24" s="3" t="n">
        <v>0.25</v>
      </c>
    </row>
    <row r="26" customFormat="false" ht="15" hidden="false" customHeight="false" outlineLevel="0" collapsed="false">
      <c r="A26" s="2" t="s">
        <v>114</v>
      </c>
      <c r="C26" s="2" t="s">
        <v>92</v>
      </c>
      <c r="D26" s="2" t="s">
        <v>93</v>
      </c>
      <c r="E26" s="2" t="s">
        <v>94</v>
      </c>
      <c r="F26" s="2" t="s">
        <v>95</v>
      </c>
      <c r="G26" s="2" t="s">
        <v>96</v>
      </c>
      <c r="H26" s="2" t="s">
        <v>97</v>
      </c>
      <c r="I26" s="2" t="s">
        <v>98</v>
      </c>
      <c r="J26" s="2" t="s">
        <v>99</v>
      </c>
      <c r="K26" s="2" t="s">
        <v>100</v>
      </c>
      <c r="L26" s="2" t="s">
        <v>101</v>
      </c>
    </row>
    <row r="27" customFormat="false" ht="15" hidden="false" customHeight="false" outlineLevel="0" collapsed="false">
      <c r="A27" s="0" t="s">
        <v>102</v>
      </c>
      <c r="C27" s="3" t="n">
        <v>13.9</v>
      </c>
      <c r="D27" s="3" t="n">
        <v>3</v>
      </c>
      <c r="E27" s="3" t="n">
        <v>3</v>
      </c>
      <c r="F27" s="3" t="n">
        <v>2.5</v>
      </c>
      <c r="G27" s="3" t="n">
        <v>2.5</v>
      </c>
      <c r="H27" s="3" t="n">
        <v>2</v>
      </c>
      <c r="I27" s="3" t="n">
        <v>2</v>
      </c>
      <c r="J27" s="3" t="n">
        <v>1.5</v>
      </c>
      <c r="K27" s="3" t="n">
        <v>1.5</v>
      </c>
      <c r="L27" s="3" t="n">
        <v>1.5</v>
      </c>
    </row>
    <row r="28" customFormat="false" ht="15" hidden="false" customHeight="false" outlineLevel="0" collapsed="false">
      <c r="A28" s="0" t="s">
        <v>103</v>
      </c>
      <c r="C28" s="3" t="n">
        <v>10.5</v>
      </c>
      <c r="D28" s="3" t="n">
        <v>10.8</v>
      </c>
      <c r="E28" s="3" t="n">
        <v>11.1</v>
      </c>
      <c r="F28" s="3" t="n">
        <v>11.5</v>
      </c>
      <c r="G28" s="3" t="n">
        <v>12</v>
      </c>
      <c r="H28" s="3" t="n">
        <v>12</v>
      </c>
      <c r="I28" s="3" t="n">
        <v>12</v>
      </c>
      <c r="J28" s="3" t="n">
        <v>12</v>
      </c>
      <c r="K28" s="3" t="n">
        <v>12</v>
      </c>
      <c r="L28" s="3" t="n">
        <v>12</v>
      </c>
    </row>
    <row r="29" customFormat="false" ht="15" hidden="false" customHeight="false" outlineLevel="0" collapsed="false">
      <c r="A29" s="0" t="s">
        <v>104</v>
      </c>
      <c r="C29" s="3" t="n">
        <v>0</v>
      </c>
      <c r="D29" s="3" t="n">
        <v>0</v>
      </c>
      <c r="E29" s="3" t="n">
        <v>0</v>
      </c>
      <c r="F29" s="3" t="n">
        <v>0</v>
      </c>
      <c r="G29" s="3" t="n">
        <v>0</v>
      </c>
      <c r="H29" s="3" t="n">
        <v>0</v>
      </c>
      <c r="I29" s="3" t="n">
        <v>0</v>
      </c>
      <c r="J29" s="3" t="n">
        <v>0</v>
      </c>
      <c r="K29" s="3" t="n">
        <v>0</v>
      </c>
      <c r="L29" s="3" t="n">
        <v>0</v>
      </c>
    </row>
    <row r="30" customFormat="false" ht="15" hidden="false" customHeight="false" outlineLevel="0" collapsed="false">
      <c r="A30" s="0" t="s">
        <v>105</v>
      </c>
      <c r="C30" s="3" t="n">
        <v>0.55</v>
      </c>
      <c r="D30" s="3" t="n">
        <v>0.55</v>
      </c>
      <c r="E30" s="3" t="n">
        <v>0.55</v>
      </c>
      <c r="F30" s="3" t="n">
        <v>0.55</v>
      </c>
      <c r="G30" s="3" t="n">
        <v>0.55</v>
      </c>
      <c r="H30" s="3" t="n">
        <v>0.55</v>
      </c>
      <c r="I30" s="3" t="n">
        <v>0.55</v>
      </c>
      <c r="J30" s="3" t="n">
        <v>0.55</v>
      </c>
      <c r="K30" s="3" t="n">
        <v>0.55</v>
      </c>
      <c r="L30" s="3" t="n">
        <v>0.55</v>
      </c>
    </row>
    <row r="31" customFormat="false" ht="15" hidden="false" customHeight="false" outlineLevel="0" collapsed="false">
      <c r="A31" s="0" t="s">
        <v>106</v>
      </c>
      <c r="C31" s="3" t="n">
        <v>5.3</v>
      </c>
      <c r="D31" s="3" t="n">
        <v>5.4</v>
      </c>
      <c r="E31" s="3" t="n">
        <v>5.5</v>
      </c>
      <c r="F31" s="3" t="n">
        <v>5.5</v>
      </c>
      <c r="G31" s="3" t="n">
        <v>5.6</v>
      </c>
      <c r="H31" s="3" t="n">
        <v>5.6</v>
      </c>
      <c r="I31" s="3" t="n">
        <v>5.6</v>
      </c>
      <c r="J31" s="3" t="n">
        <v>5.6</v>
      </c>
      <c r="K31" s="3" t="n">
        <v>5.6</v>
      </c>
      <c r="L31" s="3" t="n">
        <v>5.6</v>
      </c>
    </row>
    <row r="32" customFormat="false" ht="15" hidden="false" customHeight="false" outlineLevel="0" collapsed="false">
      <c r="A32" s="0" t="s">
        <v>107</v>
      </c>
      <c r="C32" s="3" t="n">
        <v>7.1</v>
      </c>
      <c r="D32" s="3" t="n">
        <v>7</v>
      </c>
      <c r="E32" s="3" t="n">
        <v>6.8</v>
      </c>
      <c r="F32" s="3" t="n">
        <v>6.6</v>
      </c>
      <c r="G32" s="3" t="n">
        <v>6.5</v>
      </c>
      <c r="H32" s="3" t="n">
        <v>6.4</v>
      </c>
      <c r="I32" s="3" t="n">
        <v>6.3</v>
      </c>
      <c r="J32" s="3" t="n">
        <v>6.3</v>
      </c>
      <c r="K32" s="3" t="n">
        <v>6.3</v>
      </c>
      <c r="L32" s="3" t="n">
        <v>6.3</v>
      </c>
    </row>
    <row r="33" customFormat="false" ht="15" hidden="false" customHeight="false" outlineLevel="0" collapsed="false">
      <c r="A33" s="0" t="s">
        <v>108</v>
      </c>
      <c r="C33" s="3" t="n">
        <v>31</v>
      </c>
      <c r="D33" s="3" t="n">
        <v>31</v>
      </c>
      <c r="E33" s="3" t="n">
        <v>31</v>
      </c>
      <c r="F33" s="3" t="n">
        <v>31</v>
      </c>
      <c r="G33" s="3" t="n">
        <v>31</v>
      </c>
      <c r="H33" s="3" t="n">
        <v>31</v>
      </c>
      <c r="I33" s="3" t="n">
        <v>31</v>
      </c>
      <c r="J33" s="3" t="n">
        <v>31</v>
      </c>
      <c r="K33" s="3" t="n">
        <v>31</v>
      </c>
      <c r="L33" s="3" t="n">
        <v>31</v>
      </c>
    </row>
    <row r="34" customFormat="false" ht="15" hidden="false" customHeight="false" outlineLevel="0" collapsed="false">
      <c r="A34" s="0" t="s">
        <v>109</v>
      </c>
      <c r="B34" s="3" t="n">
        <v>7</v>
      </c>
    </row>
    <row r="35" customFormat="false" ht="15" hidden="false" customHeight="false" outlineLevel="0" collapsed="false">
      <c r="A35" s="0" t="s">
        <v>110</v>
      </c>
      <c r="B35" s="3" t="n">
        <v>1.5</v>
      </c>
    </row>
    <row r="36" customFormat="false" ht="15" hidden="false" customHeight="false" outlineLevel="0" collapsed="false">
      <c r="A36" s="0" t="s">
        <v>111</v>
      </c>
      <c r="B36" s="3" t="n">
        <v>14</v>
      </c>
    </row>
    <row r="37" customFormat="false" ht="15" hidden="false" customHeight="false" outlineLevel="0" collapsed="false">
      <c r="A37" s="0" t="s">
        <v>112</v>
      </c>
      <c r="B37" s="3" t="n">
        <v>-15</v>
      </c>
    </row>
    <row r="38" customFormat="false" ht="15" hidden="false" customHeight="false" outlineLevel="0" collapsed="false">
      <c r="A38" s="0" t="s">
        <v>113</v>
      </c>
      <c r="B38" s="3" t="n">
        <v>0.5</v>
      </c>
    </row>
    <row r="40" customFormat="false" ht="15" hidden="false" customHeight="false" outlineLevel="0" collapsed="false">
      <c r="A40" s="2" t="s">
        <v>115</v>
      </c>
      <c r="C40" s="2" t="s">
        <v>92</v>
      </c>
      <c r="D40" s="2" t="s">
        <v>93</v>
      </c>
      <c r="E40" s="2" t="s">
        <v>94</v>
      </c>
      <c r="F40" s="2" t="s">
        <v>95</v>
      </c>
      <c r="G40" s="2" t="s">
        <v>96</v>
      </c>
      <c r="H40" s="2" t="s">
        <v>97</v>
      </c>
      <c r="I40" s="2" t="s">
        <v>98</v>
      </c>
      <c r="J40" s="2" t="s">
        <v>99</v>
      </c>
      <c r="K40" s="2" t="s">
        <v>100</v>
      </c>
      <c r="L40" s="2" t="s">
        <v>101</v>
      </c>
    </row>
    <row r="41" customFormat="false" ht="15" hidden="false" customHeight="false" outlineLevel="0" collapsed="false">
      <c r="A41" s="0" t="s">
        <v>102</v>
      </c>
      <c r="C41" s="3" t="n">
        <v>14.5</v>
      </c>
      <c r="D41" s="3" t="n">
        <v>5</v>
      </c>
      <c r="E41" s="3" t="n">
        <v>5</v>
      </c>
      <c r="F41" s="3" t="n">
        <v>4</v>
      </c>
      <c r="G41" s="3" t="n">
        <v>4</v>
      </c>
      <c r="H41" s="3" t="n">
        <v>3</v>
      </c>
      <c r="I41" s="3" t="n">
        <v>3</v>
      </c>
      <c r="J41" s="3" t="n">
        <v>2.5</v>
      </c>
      <c r="K41" s="3" t="n">
        <v>2</v>
      </c>
      <c r="L41" s="3" t="n">
        <v>2</v>
      </c>
    </row>
    <row r="42" customFormat="false" ht="15" hidden="false" customHeight="false" outlineLevel="0" collapsed="false">
      <c r="A42" s="0" t="s">
        <v>103</v>
      </c>
      <c r="C42" s="3" t="n">
        <v>11</v>
      </c>
      <c r="D42" s="3" t="n">
        <v>11.6</v>
      </c>
      <c r="E42" s="3" t="n">
        <v>12.2</v>
      </c>
      <c r="F42" s="3" t="n">
        <v>12.8</v>
      </c>
      <c r="G42" s="3" t="n">
        <v>13.5</v>
      </c>
      <c r="H42" s="3" t="n">
        <v>13.5</v>
      </c>
      <c r="I42" s="3" t="n">
        <v>13.5</v>
      </c>
      <c r="J42" s="3" t="n">
        <v>13.5</v>
      </c>
      <c r="K42" s="3" t="n">
        <v>13.5</v>
      </c>
      <c r="L42" s="3" t="n">
        <v>13.5</v>
      </c>
    </row>
    <row r="43" customFormat="false" ht="15" hidden="false" customHeight="false" outlineLevel="0" collapsed="false">
      <c r="A43" s="0" t="s">
        <v>104</v>
      </c>
      <c r="C43" s="3" t="n">
        <v>0</v>
      </c>
      <c r="D43" s="3" t="n">
        <v>0</v>
      </c>
      <c r="E43" s="3" t="n">
        <v>0</v>
      </c>
      <c r="F43" s="3" t="n">
        <v>0</v>
      </c>
      <c r="G43" s="3" t="n">
        <v>0</v>
      </c>
      <c r="H43" s="3" t="n">
        <v>0</v>
      </c>
      <c r="I43" s="3" t="n">
        <v>0</v>
      </c>
      <c r="J43" s="3" t="n">
        <v>0</v>
      </c>
      <c r="K43" s="3" t="n">
        <v>0</v>
      </c>
      <c r="L43" s="3" t="n">
        <v>0</v>
      </c>
    </row>
    <row r="44" customFormat="false" ht="15" hidden="false" customHeight="false" outlineLevel="0" collapsed="false">
      <c r="A44" s="0" t="s">
        <v>105</v>
      </c>
      <c r="C44" s="3" t="n">
        <v>0.55</v>
      </c>
      <c r="D44" s="3" t="n">
        <v>0.55</v>
      </c>
      <c r="E44" s="3" t="n">
        <v>0.55</v>
      </c>
      <c r="F44" s="3" t="n">
        <v>0.55</v>
      </c>
      <c r="G44" s="3" t="n">
        <v>0.55</v>
      </c>
      <c r="H44" s="3" t="n">
        <v>0.55</v>
      </c>
      <c r="I44" s="3" t="n">
        <v>0.55</v>
      </c>
      <c r="J44" s="3" t="n">
        <v>0.55</v>
      </c>
      <c r="K44" s="3" t="n">
        <v>0.55</v>
      </c>
      <c r="L44" s="3" t="n">
        <v>0.55</v>
      </c>
    </row>
    <row r="45" customFormat="false" ht="15" hidden="false" customHeight="false" outlineLevel="0" collapsed="false">
      <c r="A45" s="0" t="s">
        <v>106</v>
      </c>
      <c r="C45" s="3" t="n">
        <v>5.3</v>
      </c>
      <c r="D45" s="3" t="n">
        <v>5.4</v>
      </c>
      <c r="E45" s="3" t="n">
        <v>5.5</v>
      </c>
      <c r="F45" s="3" t="n">
        <v>5.5</v>
      </c>
      <c r="G45" s="3" t="n">
        <v>5.6</v>
      </c>
      <c r="H45" s="3" t="n">
        <v>5.6</v>
      </c>
      <c r="I45" s="3" t="n">
        <v>5.6</v>
      </c>
      <c r="J45" s="3" t="n">
        <v>5.6</v>
      </c>
      <c r="K45" s="3" t="n">
        <v>5.6</v>
      </c>
      <c r="L45" s="3" t="n">
        <v>5.6</v>
      </c>
    </row>
    <row r="46" customFormat="false" ht="15" hidden="false" customHeight="false" outlineLevel="0" collapsed="false">
      <c r="A46" s="0" t="s">
        <v>107</v>
      </c>
      <c r="C46" s="3" t="n">
        <v>7.1</v>
      </c>
      <c r="D46" s="3" t="n">
        <v>6.8</v>
      </c>
      <c r="E46" s="3" t="n">
        <v>6.5</v>
      </c>
      <c r="F46" s="3" t="n">
        <v>6.3</v>
      </c>
      <c r="G46" s="3" t="n">
        <v>6.2</v>
      </c>
      <c r="H46" s="3" t="n">
        <v>6.1</v>
      </c>
      <c r="I46" s="3" t="n">
        <v>6</v>
      </c>
      <c r="J46" s="3" t="n">
        <v>6</v>
      </c>
      <c r="K46" s="3" t="n">
        <v>6</v>
      </c>
      <c r="L46" s="3" t="n">
        <v>6</v>
      </c>
    </row>
    <row r="47" customFormat="false" ht="15" hidden="false" customHeight="false" outlineLevel="0" collapsed="false">
      <c r="A47" s="0" t="s">
        <v>108</v>
      </c>
      <c r="C47" s="3" t="n">
        <v>31</v>
      </c>
      <c r="D47" s="3" t="n">
        <v>31</v>
      </c>
      <c r="E47" s="3" t="n">
        <v>31</v>
      </c>
      <c r="F47" s="3" t="n">
        <v>31</v>
      </c>
      <c r="G47" s="3" t="n">
        <v>31</v>
      </c>
      <c r="H47" s="3" t="n">
        <v>31</v>
      </c>
      <c r="I47" s="3" t="n">
        <v>31</v>
      </c>
      <c r="J47" s="3" t="n">
        <v>31</v>
      </c>
      <c r="K47" s="3" t="n">
        <v>31</v>
      </c>
      <c r="L47" s="3" t="n">
        <v>31</v>
      </c>
    </row>
    <row r="48" customFormat="false" ht="15" hidden="false" customHeight="false" outlineLevel="0" collapsed="false">
      <c r="A48" s="0" t="s">
        <v>109</v>
      </c>
      <c r="B48" s="3" t="n">
        <v>7</v>
      </c>
    </row>
    <row r="49" customFormat="false" ht="15" hidden="false" customHeight="false" outlineLevel="0" collapsed="false">
      <c r="A49" s="0" t="s">
        <v>110</v>
      </c>
      <c r="B49" s="3" t="n">
        <v>2</v>
      </c>
    </row>
    <row r="50" customFormat="false" ht="15" hidden="false" customHeight="false" outlineLevel="0" collapsed="false">
      <c r="A50" s="0" t="s">
        <v>111</v>
      </c>
      <c r="B50" s="3" t="n">
        <v>15</v>
      </c>
    </row>
    <row r="51" customFormat="false" ht="15" hidden="false" customHeight="false" outlineLevel="0" collapsed="false">
      <c r="A51" s="0" t="s">
        <v>112</v>
      </c>
      <c r="B51" s="3" t="n">
        <v>-12</v>
      </c>
    </row>
    <row r="52" customFormat="false" ht="15" hidden="false" customHeight="false" outlineLevel="0" collapsed="false">
      <c r="A52" s="0" t="s">
        <v>113</v>
      </c>
      <c r="B52" s="3" t="n">
        <v>0.25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116</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Assumptions!C13</f>
        <v>10</v>
      </c>
      <c r="D5" s="4" t="n">
        <f aca="false">Assumptions!D13</f>
        <v>0</v>
      </c>
      <c r="E5" s="4" t="n">
        <f aca="false">Assumptions!E13</f>
        <v>1</v>
      </c>
      <c r="F5" s="4" t="n">
        <f aca="false">Assumptions!F13</f>
        <v>1</v>
      </c>
      <c r="G5" s="4" t="n">
        <f aca="false">Assumptions!G13</f>
        <v>1</v>
      </c>
      <c r="H5" s="4" t="n">
        <f aca="false">Assumptions!H13</f>
        <v>1</v>
      </c>
      <c r="I5" s="4" t="n">
        <f aca="false">Assumptions!I13</f>
        <v>1</v>
      </c>
      <c r="J5" s="4" t="n">
        <f aca="false">Assumptions!J13</f>
        <v>1</v>
      </c>
      <c r="K5" s="4" t="n">
        <f aca="false">Assumptions!K13</f>
        <v>1</v>
      </c>
      <c r="L5" s="4" t="n">
        <f aca="false">Assumptions!L13</f>
        <v>1</v>
      </c>
    </row>
    <row r="6" customFormat="false" ht="15" hidden="false" customHeight="false" outlineLevel="0" collapsed="false">
      <c r="A6" s="0" t="s">
        <v>37</v>
      </c>
      <c r="B6" s="3" t="n">
        <v>1668754</v>
      </c>
      <c r="C6" s="0" t="n">
        <f aca="false">B6*(1+C5/100)</f>
        <v>1835629.4</v>
      </c>
      <c r="D6" s="0" t="n">
        <f aca="false">C6*(1+D5/100)</f>
        <v>1835629.4</v>
      </c>
      <c r="E6" s="0" t="n">
        <f aca="false">D6*(1+E5/100)</f>
        <v>1853985.694</v>
      </c>
      <c r="F6" s="0" t="n">
        <f aca="false">E6*(1+F5/100)</f>
        <v>1872525.55094</v>
      </c>
      <c r="G6" s="0" t="n">
        <f aca="false">F6*(1+G5/100)</f>
        <v>1891250.8064494</v>
      </c>
      <c r="H6" s="0" t="n">
        <f aca="false">G6*(1+H5/100)</f>
        <v>1910163.31451389</v>
      </c>
      <c r="I6" s="0" t="n">
        <f aca="false">H6*(1+I5/100)</f>
        <v>1929264.94765903</v>
      </c>
      <c r="J6" s="0" t="n">
        <f aca="false">I6*(1+J5/100)</f>
        <v>1948557.59713562</v>
      </c>
      <c r="K6" s="0" t="n">
        <f aca="false">J6*(1+K5/100)</f>
        <v>1968043.17310698</v>
      </c>
      <c r="L6" s="0" t="n">
        <f aca="false">K6*(1+L5/100)</f>
        <v>1987723.60483805</v>
      </c>
    </row>
    <row r="7" customFormat="false" ht="15" hidden="false" customHeight="false" outlineLevel="0" collapsed="false">
      <c r="A7" s="0" t="s">
        <v>103</v>
      </c>
      <c r="C7" s="4" t="n">
        <f aca="false">Assumptions!C14</f>
        <v>9.8</v>
      </c>
      <c r="D7" s="4" t="n">
        <f aca="false">Assumptions!D14</f>
        <v>9.5</v>
      </c>
      <c r="E7" s="4" t="n">
        <f aca="false">Assumptions!E14</f>
        <v>9.5</v>
      </c>
      <c r="F7" s="4" t="n">
        <f aca="false">Assumptions!F14</f>
        <v>9.5</v>
      </c>
      <c r="G7" s="4" t="n">
        <f aca="false">Assumptions!G14</f>
        <v>9.5</v>
      </c>
      <c r="H7" s="4" t="n">
        <f aca="false">Assumptions!H14</f>
        <v>9.5</v>
      </c>
      <c r="I7" s="4" t="n">
        <f aca="false">Assumptions!I14</f>
        <v>9.5</v>
      </c>
      <c r="J7" s="4" t="n">
        <f aca="false">Assumptions!J14</f>
        <v>9.5</v>
      </c>
      <c r="K7" s="4" t="n">
        <f aca="false">Assumptions!K14</f>
        <v>9.5</v>
      </c>
      <c r="L7" s="4" t="n">
        <f aca="false">Assumptions!L14</f>
        <v>9.5</v>
      </c>
    </row>
    <row r="8" customFormat="false" ht="15" hidden="false" customHeight="false" outlineLevel="0" collapsed="false">
      <c r="A8" s="0" t="s">
        <v>43</v>
      </c>
      <c r="C8" s="0" t="n">
        <f aca="false">C6*C7/100</f>
        <v>179891.6812</v>
      </c>
      <c r="D8" s="0" t="n">
        <f aca="false">D6*D7/100</f>
        <v>174384.793</v>
      </c>
      <c r="E8" s="0" t="n">
        <f aca="false">E6*E7/100</f>
        <v>176128.64093</v>
      </c>
      <c r="F8" s="0" t="n">
        <f aca="false">F6*F7/100</f>
        <v>177889.9273393</v>
      </c>
      <c r="G8" s="0" t="n">
        <f aca="false">G6*G7/100</f>
        <v>179668.826612693</v>
      </c>
      <c r="H8" s="0" t="n">
        <f aca="false">H6*H7/100</f>
        <v>181465.51487882</v>
      </c>
      <c r="I8" s="0" t="n">
        <f aca="false">I6*I7/100</f>
        <v>183280.170027608</v>
      </c>
      <c r="J8" s="0" t="n">
        <f aca="false">J6*J7/100</f>
        <v>185112.971727884</v>
      </c>
      <c r="K8" s="0" t="n">
        <f aca="false">K6*K7/100</f>
        <v>186964.101445163</v>
      </c>
      <c r="L8" s="0" t="n">
        <f aca="false">L6*L7/100</f>
        <v>188833.742459615</v>
      </c>
    </row>
    <row r="9" customFormat="false" ht="15" hidden="false" customHeight="false" outlineLevel="0" collapsed="false">
      <c r="A9" s="0" t="s">
        <v>104</v>
      </c>
      <c r="C9" s="4" t="n">
        <f aca="false">Assumptions!C15</f>
        <v>0</v>
      </c>
      <c r="D9" s="4" t="n">
        <f aca="false">Assumptions!D15</f>
        <v>0</v>
      </c>
      <c r="E9" s="4" t="n">
        <f aca="false">Assumptions!E15</f>
        <v>0</v>
      </c>
      <c r="F9" s="4" t="n">
        <f aca="false">Assumptions!F15</f>
        <v>0</v>
      </c>
      <c r="G9" s="4" t="n">
        <f aca="false">Assumptions!G15</f>
        <v>0</v>
      </c>
      <c r="H9" s="4" t="n">
        <f aca="false">Assumptions!H15</f>
        <v>0</v>
      </c>
      <c r="I9" s="4" t="n">
        <f aca="false">Assumptions!I15</f>
        <v>0</v>
      </c>
      <c r="J9" s="4" t="n">
        <f aca="false">Assumptions!J15</f>
        <v>0</v>
      </c>
      <c r="K9" s="4" t="n">
        <f aca="false">Assumptions!K15</f>
        <v>0</v>
      </c>
      <c r="L9" s="4" t="n">
        <f aca="false">Assumptions!L15</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169795.7195</v>
      </c>
      <c r="D11" s="0" t="n">
        <f aca="false">D8+D10+D24</f>
        <v>164288.8313</v>
      </c>
      <c r="E11" s="0" t="n">
        <f aca="false">E8+E10+E24</f>
        <v>165931.719613</v>
      </c>
      <c r="F11" s="0" t="n">
        <f aca="false">F8+F10+F24</f>
        <v>167591.03680913</v>
      </c>
      <c r="G11" s="0" t="n">
        <f aca="false">G8+G10+G24</f>
        <v>169266.947177221</v>
      </c>
      <c r="H11" s="0" t="n">
        <f aca="false">H8+H10+H24</f>
        <v>170959.616648994</v>
      </c>
      <c r="I11" s="0" t="n">
        <f aca="false">I8+I10+I24</f>
        <v>172669.212815483</v>
      </c>
      <c r="J11" s="0" t="n">
        <f aca="false">J8+J10+J24</f>
        <v>174395.904943638</v>
      </c>
      <c r="K11" s="0" t="n">
        <f aca="false">K8+K10+K24</f>
        <v>176139.863993075</v>
      </c>
      <c r="L11" s="0" t="n">
        <f aca="false">L8+L10+L24</f>
        <v>177901.262633005</v>
      </c>
    </row>
    <row r="12" customFormat="false" ht="15" hidden="false" customHeight="false" outlineLevel="0" collapsed="false">
      <c r="A12" s="0" t="s">
        <v>121</v>
      </c>
      <c r="C12" s="4" t="n">
        <f aca="false">-C6*Assumptions!C17/100</f>
        <v>-97288.3582</v>
      </c>
      <c r="D12" s="4" t="n">
        <f aca="false">-D6*Assumptions!D17/100</f>
        <v>-99123.9876</v>
      </c>
      <c r="E12" s="4" t="n">
        <f aca="false">-E6*Assumptions!E17/100</f>
        <v>-101969.21317</v>
      </c>
      <c r="F12" s="4" t="n">
        <f aca="false">-F6*Assumptions!F17/100</f>
        <v>-104861.43085264</v>
      </c>
      <c r="G12" s="4" t="n">
        <f aca="false">-G6*Assumptions!G17/100</f>
        <v>-107801.295967616</v>
      </c>
      <c r="H12" s="4" t="n">
        <f aca="false">-H6*Assumptions!H17/100</f>
        <v>-108879.308927292</v>
      </c>
      <c r="I12" s="4" t="n">
        <f aca="false">-I6*Assumptions!I17/100</f>
        <v>-109968.102016565</v>
      </c>
      <c r="J12" s="4" t="n">
        <f aca="false">-J6*Assumptions!J17/100</f>
        <v>-111067.783036731</v>
      </c>
      <c r="K12" s="4" t="n">
        <f aca="false">-K6*Assumptions!K17/100</f>
        <v>-112178.460867098</v>
      </c>
      <c r="L12" s="4" t="n">
        <f aca="false">-L6*Assumptions!L17/100</f>
        <v>-113300.245475769</v>
      </c>
    </row>
    <row r="13" customFormat="false" ht="15" hidden="false" customHeight="false" outlineLevel="0" collapsed="false">
      <c r="A13" s="0" t="s">
        <v>122</v>
      </c>
      <c r="C13" s="0" t="n">
        <f aca="false">C11+C12</f>
        <v>72507.3613</v>
      </c>
      <c r="D13" s="0" t="n">
        <f aca="false">D11+D12</f>
        <v>65164.8437</v>
      </c>
      <c r="E13" s="0" t="n">
        <f aca="false">E11+E12</f>
        <v>63962.506443</v>
      </c>
      <c r="F13" s="0" t="n">
        <f aca="false">F11+F12</f>
        <v>62729.60595649</v>
      </c>
      <c r="G13" s="0" t="n">
        <f aca="false">G11+G12</f>
        <v>61465.6512096055</v>
      </c>
      <c r="H13" s="0" t="n">
        <f aca="false">H11+H12</f>
        <v>62080.3077217016</v>
      </c>
      <c r="I13" s="0" t="n">
        <f aca="false">I11+I12</f>
        <v>62701.1107989186</v>
      </c>
      <c r="J13" s="0" t="n">
        <f aca="false">J11+J12</f>
        <v>63328.1219069078</v>
      </c>
      <c r="K13" s="0" t="n">
        <f aca="false">K11+K12</f>
        <v>63961.4031259768</v>
      </c>
      <c r="L13" s="0" t="n">
        <f aca="false">L11+L12</f>
        <v>64601.0171572366</v>
      </c>
    </row>
    <row r="14" customFormat="false" ht="15" hidden="false" customHeight="false" outlineLevel="0" collapsed="false">
      <c r="A14" s="0" t="s">
        <v>108</v>
      </c>
      <c r="C14" s="4" t="n">
        <f aca="false">Assumptions!C19</f>
        <v>31</v>
      </c>
      <c r="D14" s="4" t="n">
        <f aca="false">Assumptions!D19</f>
        <v>31</v>
      </c>
      <c r="E14" s="4" t="n">
        <f aca="false">Assumptions!E19</f>
        <v>31</v>
      </c>
      <c r="F14" s="4" t="n">
        <f aca="false">Assumptions!F19</f>
        <v>31</v>
      </c>
      <c r="G14" s="4" t="n">
        <f aca="false">Assumptions!G19</f>
        <v>31</v>
      </c>
      <c r="H14" s="4" t="n">
        <f aca="false">Assumptions!H19</f>
        <v>31</v>
      </c>
      <c r="I14" s="4" t="n">
        <f aca="false">Assumptions!I19</f>
        <v>31</v>
      </c>
      <c r="J14" s="4" t="n">
        <f aca="false">Assumptions!J19</f>
        <v>31</v>
      </c>
      <c r="K14" s="4" t="n">
        <f aca="false">Assumptions!K19</f>
        <v>31</v>
      </c>
      <c r="L14" s="4" t="n">
        <f aca="false">Assumptions!L19</f>
        <v>31</v>
      </c>
    </row>
    <row r="15" customFormat="false" ht="15" hidden="false" customHeight="false" outlineLevel="0" collapsed="false">
      <c r="A15" s="0" t="s">
        <v>123</v>
      </c>
      <c r="C15" s="0" t="n">
        <f aca="false">C13-MAX(0,C13)*C14/100</f>
        <v>50030.079297</v>
      </c>
      <c r="D15" s="0" t="n">
        <f aca="false">D13-MAX(0,D13)*D14/100</f>
        <v>44963.742153</v>
      </c>
      <c r="E15" s="0" t="n">
        <f aca="false">E13-MAX(0,E13)*E14/100</f>
        <v>44134.12944567</v>
      </c>
      <c r="F15" s="0" t="n">
        <f aca="false">F13-MAX(0,F13)*F14/100</f>
        <v>43283.4281099781</v>
      </c>
      <c r="G15" s="0" t="n">
        <f aca="false">G13-MAX(0,G13)*G14/100</f>
        <v>42411.2993346278</v>
      </c>
      <c r="H15" s="0" t="n">
        <f aca="false">H13-MAX(0,H13)*H14/100</f>
        <v>42835.4123279741</v>
      </c>
      <c r="I15" s="0" t="n">
        <f aca="false">I13-MAX(0,I13)*I14/100</f>
        <v>43263.7664512538</v>
      </c>
      <c r="J15" s="0" t="n">
        <f aca="false">J13-MAX(0,J13)*J14/100</f>
        <v>43696.4041157664</v>
      </c>
      <c r="K15" s="0" t="n">
        <f aca="false">K13-MAX(0,K13)*K14/100</f>
        <v>44133.368156924</v>
      </c>
      <c r="L15" s="0" t="n">
        <f aca="false">L13-MAX(0,L13)*L14/100</f>
        <v>44574.7018384933</v>
      </c>
    </row>
    <row r="16" customFormat="false" ht="15" hidden="false" customHeight="false" outlineLevel="0" collapsed="false">
      <c r="A16" s="0" t="s">
        <v>124</v>
      </c>
      <c r="C16" s="0" t="n">
        <f aca="false">-C12</f>
        <v>97288.3582</v>
      </c>
      <c r="D16" s="0" t="n">
        <f aca="false">-D12</f>
        <v>99123.9876</v>
      </c>
      <c r="E16" s="0" t="n">
        <f aca="false">-E12</f>
        <v>101969.21317</v>
      </c>
      <c r="F16" s="0" t="n">
        <f aca="false">-F12</f>
        <v>104861.43085264</v>
      </c>
      <c r="G16" s="0" t="n">
        <f aca="false">-G12</f>
        <v>107801.295967616</v>
      </c>
      <c r="H16" s="0" t="n">
        <f aca="false">-H12</f>
        <v>108879.308927292</v>
      </c>
      <c r="I16" s="0" t="n">
        <f aca="false">-I12</f>
        <v>109968.102016565</v>
      </c>
      <c r="J16" s="0" t="n">
        <f aca="false">-J12</f>
        <v>111067.783036731</v>
      </c>
      <c r="K16" s="0" t="n">
        <f aca="false">-K12</f>
        <v>112178.460867098</v>
      </c>
      <c r="L16" s="0" t="n">
        <f aca="false">-L12</f>
        <v>113300.245475769</v>
      </c>
    </row>
    <row r="17" customFormat="false" ht="15" hidden="false" customHeight="false" outlineLevel="0" collapsed="false">
      <c r="A17" s="0" t="s">
        <v>125</v>
      </c>
      <c r="C17" s="4" t="n">
        <f aca="false">-C6*Assumptions!C18/100</f>
        <v>-130329.6874</v>
      </c>
      <c r="D17" s="4" t="n">
        <f aca="false">-D6*Assumptions!D18/100</f>
        <v>-130329.6874</v>
      </c>
      <c r="E17" s="4" t="n">
        <f aca="false">-E6*Assumptions!E18/100</f>
        <v>-129778.99858</v>
      </c>
      <c r="F17" s="4" t="n">
        <f aca="false">-F6*Assumptions!F18/100</f>
        <v>-131076.7885658</v>
      </c>
      <c r="G17" s="4" t="n">
        <f aca="false">-G6*Assumptions!G18/100</f>
        <v>-132387.556451458</v>
      </c>
      <c r="H17" s="4" t="n">
        <f aca="false">-H6*Assumptions!H18/100</f>
        <v>-133711.432015973</v>
      </c>
      <c r="I17" s="4" t="n">
        <f aca="false">-I6*Assumptions!I18/100</f>
        <v>-135048.546336132</v>
      </c>
      <c r="J17" s="4" t="n">
        <f aca="false">-J6*Assumptions!J18/100</f>
        <v>-136399.031799494</v>
      </c>
      <c r="K17" s="4" t="n">
        <f aca="false">-K6*Assumptions!K18/100</f>
        <v>-137763.022117489</v>
      </c>
      <c r="L17" s="4" t="n">
        <f aca="false">-L6*Assumptions!L18/100</f>
        <v>-139140.652338664</v>
      </c>
    </row>
    <row r="18" customFormat="false" ht="15" hidden="false" customHeight="false" outlineLevel="0" collapsed="false">
      <c r="A18" s="0" t="s">
        <v>126</v>
      </c>
      <c r="C18" s="4" t="n">
        <f aca="false">(C6-B6)*Assumptions!$B$23/100</f>
        <v>-33375.08</v>
      </c>
      <c r="D18" s="4" t="n">
        <f aca="false">(D6-C6)*Assumptions!$B$23/100</f>
        <v>-0</v>
      </c>
      <c r="E18" s="4" t="n">
        <f aca="false">(E6-D6)*Assumptions!$B$23/100</f>
        <v>-3671.2588</v>
      </c>
      <c r="F18" s="4" t="n">
        <f aca="false">(F6-E6)*Assumptions!$B$23/100</f>
        <v>-3707.97138800002</v>
      </c>
      <c r="G18" s="4" t="n">
        <f aca="false">(G6-F6)*Assumptions!$B$23/100</f>
        <v>-3745.05110188001</v>
      </c>
      <c r="H18" s="4" t="n">
        <f aca="false">(H6-G6)*Assumptions!$B$23/100</f>
        <v>-3782.5016128988</v>
      </c>
      <c r="I18" s="4" t="n">
        <f aca="false">(I6-H6)*Assumptions!$B$23/100</f>
        <v>-3820.32662902777</v>
      </c>
      <c r="J18" s="4" t="n">
        <f aca="false">(J6-I6)*Assumptions!$B$23/100</f>
        <v>-3858.52989531807</v>
      </c>
      <c r="K18" s="4" t="n">
        <f aca="false">(K6-J6)*Assumptions!$B$23/100</f>
        <v>-3897.11519427127</v>
      </c>
      <c r="L18" s="4" t="n">
        <f aca="false">(L6-K6)*Assumptions!$B$23/100</f>
        <v>-3936.08634621399</v>
      </c>
    </row>
    <row r="19" customFormat="false" ht="15" hidden="false" customHeight="false" outlineLevel="0" collapsed="false">
      <c r="A19" s="0" t="s">
        <v>127</v>
      </c>
      <c r="C19" s="0" t="n">
        <f aca="false">C15+C16+C17+C18</f>
        <v>-16386.329903</v>
      </c>
      <c r="D19" s="0" t="n">
        <f aca="false">D15+D16+D17+D18</f>
        <v>13758.042353</v>
      </c>
      <c r="E19" s="0" t="n">
        <f aca="false">E15+E16+E17+E18</f>
        <v>12653.08523567</v>
      </c>
      <c r="F19" s="0" t="n">
        <f aca="false">F15+F16+F17+F18</f>
        <v>13360.0990088181</v>
      </c>
      <c r="G19" s="0" t="n">
        <f aca="false">G15+G16+G17+G18</f>
        <v>14079.9877489056</v>
      </c>
      <c r="H19" s="0" t="n">
        <f aca="false">H15+H16+H17+H18</f>
        <v>14220.7876263947</v>
      </c>
      <c r="I19" s="0" t="n">
        <f aca="false">I15+I16+I17+I18</f>
        <v>14362.9955026586</v>
      </c>
      <c r="J19" s="0" t="n">
        <f aca="false">J15+J16+J17+J18</f>
        <v>14506.6254576852</v>
      </c>
      <c r="K19" s="0" t="n">
        <f aca="false">K15+K16+K17+K18</f>
        <v>14651.691712262</v>
      </c>
      <c r="L19" s="0" t="n">
        <f aca="false">L15+L16+L17+L18</f>
        <v>14798.2086293846</v>
      </c>
    </row>
    <row r="20" customFormat="false" ht="15" hidden="false" customHeight="false" outlineLevel="0" collapsed="false">
      <c r="A20" s="0" t="s">
        <v>128</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129</v>
      </c>
      <c r="C21" s="0" t="n">
        <f aca="false">C19*C20</f>
        <v>-15314.3270121496</v>
      </c>
      <c r="D21" s="0" t="n">
        <f aca="false">D19*D20</f>
        <v>12016.8070163333</v>
      </c>
      <c r="E21" s="0" t="n">
        <f aca="false">E19*E20</f>
        <v>10328.6866139964</v>
      </c>
      <c r="F21" s="0" t="n">
        <f aca="false">F19*F20</f>
        <v>10192.3555663082</v>
      </c>
      <c r="G21" s="0" t="n">
        <f aca="false">G19*G20</f>
        <v>10038.836672269</v>
      </c>
      <c r="H21" s="0" t="n">
        <f aca="false">H19*H20</f>
        <v>9475.91125139416</v>
      </c>
      <c r="I21" s="0" t="n">
        <f aca="false">I19*I20</f>
        <v>8944.55174197019</v>
      </c>
      <c r="J21" s="0" t="n">
        <f aca="false">J19*J20</f>
        <v>8442.98809288774</v>
      </c>
      <c r="K21" s="0" t="n">
        <f aca="false">K19*K20</f>
        <v>7969.54950823982</v>
      </c>
      <c r="L21" s="0" t="n">
        <f aca="false">L19*L20</f>
        <v>7522.65888160954</v>
      </c>
    </row>
    <row r="23" customFormat="false" ht="15" hidden="false" customHeight="false" outlineLevel="0" collapsed="false">
      <c r="A23" s="0" t="s">
        <v>105</v>
      </c>
      <c r="C23" s="4" t="n">
        <f aca="false">Assumptions!C16</f>
        <v>0.55</v>
      </c>
      <c r="D23" s="4" t="n">
        <f aca="false">Assumptions!D16</f>
        <v>0.55</v>
      </c>
      <c r="E23" s="4" t="n">
        <f aca="false">Assumptions!E16</f>
        <v>0.55</v>
      </c>
      <c r="F23" s="4" t="n">
        <f aca="false">Assumptions!F16</f>
        <v>0.55</v>
      </c>
      <c r="G23" s="4" t="n">
        <f aca="false">Assumptions!G16</f>
        <v>0.55</v>
      </c>
      <c r="H23" s="4" t="n">
        <f aca="false">Assumptions!H16</f>
        <v>0.55</v>
      </c>
      <c r="I23" s="4" t="n">
        <f aca="false">Assumptions!I16</f>
        <v>0.55</v>
      </c>
      <c r="J23" s="4" t="n">
        <f aca="false">Assumptions!J16</f>
        <v>0.55</v>
      </c>
      <c r="K23" s="4" t="n">
        <f aca="false">Assumptions!K16</f>
        <v>0.55</v>
      </c>
      <c r="L23" s="4" t="n">
        <f aca="false">Assumptions!L16</f>
        <v>0.55</v>
      </c>
    </row>
    <row r="24" customFormat="false" ht="15" hidden="false" customHeight="false" outlineLevel="0" collapsed="false">
      <c r="A24" s="0" t="s">
        <v>130</v>
      </c>
      <c r="C24" s="0" t="n">
        <f aca="false">-C6*C23/100</f>
        <v>-10095.9617</v>
      </c>
      <c r="D24" s="0" t="n">
        <f aca="false">-D6*D23/100</f>
        <v>-10095.9617</v>
      </c>
      <c r="E24" s="0" t="n">
        <f aca="false">-E6*E23/100</f>
        <v>-10196.921317</v>
      </c>
      <c r="F24" s="0" t="n">
        <f aca="false">-F6*F23/100</f>
        <v>-10298.89053017</v>
      </c>
      <c r="G24" s="0" t="n">
        <f aca="false">-G6*G23/100</f>
        <v>-10401.8794354717</v>
      </c>
      <c r="H24" s="0" t="n">
        <f aca="false">-H6*H23/100</f>
        <v>-10505.8982298264</v>
      </c>
      <c r="I24" s="0" t="n">
        <f aca="false">-I6*I23/100</f>
        <v>-10610.9572121247</v>
      </c>
      <c r="J24" s="0" t="n">
        <f aca="false">-J6*J23/100</f>
        <v>-10717.0667842459</v>
      </c>
      <c r="K24" s="0" t="n">
        <f aca="false">-K6*K23/100</f>
        <v>-10824.2374520884</v>
      </c>
      <c r="L24" s="0" t="n">
        <f aca="false">-L6*L23/100</f>
        <v>-10932.4798266093</v>
      </c>
    </row>
    <row r="26" customFormat="false" ht="15" hidden="false" customHeight="false" outlineLevel="0" collapsed="false">
      <c r="A26" s="2" t="s">
        <v>131</v>
      </c>
    </row>
    <row r="27" customFormat="false" ht="15" hidden="false" customHeight="false" outlineLevel="0" collapsed="false">
      <c r="A27" s="0" t="s">
        <v>109</v>
      </c>
      <c r="B27" s="4" t="n">
        <f aca="false">Assumptions!$B$20</f>
        <v>7</v>
      </c>
    </row>
    <row r="28" customFormat="false" ht="15" hidden="false" customHeight="false" outlineLevel="0" collapsed="false">
      <c r="A28" s="0" t="s">
        <v>110</v>
      </c>
      <c r="B28" s="4" t="n">
        <f aca="false">Assumptions!$B$21</f>
        <v>1</v>
      </c>
    </row>
    <row r="29" customFormat="false" ht="15" hidden="false" customHeight="false" outlineLevel="0" collapsed="false">
      <c r="A29" s="0" t="s">
        <v>111</v>
      </c>
      <c r="B29" s="4" t="n">
        <f aca="false">Assumptions!$B$22</f>
        <v>12</v>
      </c>
    </row>
    <row r="30" customFormat="false" ht="15" hidden="false" customHeight="false" outlineLevel="0" collapsed="false">
      <c r="A30" s="0" t="s">
        <v>132</v>
      </c>
      <c r="B30" s="0" t="n">
        <f aca="false">SUM(C21:L21)</f>
        <v>69618.0183328588</v>
      </c>
    </row>
    <row r="31" customFormat="false" ht="15" hidden="false" customHeight="false" outlineLevel="0" collapsed="false">
      <c r="A31" s="0" t="s">
        <v>133</v>
      </c>
      <c r="B31" s="0" t="n">
        <f aca="false">L19</f>
        <v>14798.2086293846</v>
      </c>
    </row>
    <row r="32" customFormat="false" ht="15" hidden="false" customHeight="false" outlineLevel="0" collapsed="false">
      <c r="A32" s="0" t="s">
        <v>134</v>
      </c>
      <c r="B32" s="0" t="n">
        <f aca="false">IF(B27&gt;B28,B31*(1+B28/100)/((B27-B28)/100),B31*B29)</f>
        <v>249103.178594641</v>
      </c>
    </row>
    <row r="33" customFormat="false" ht="15" hidden="false" customHeight="false" outlineLevel="0" collapsed="false">
      <c r="A33" s="0" t="s">
        <v>135</v>
      </c>
      <c r="B33" s="0" t="n">
        <f aca="false">B31*B29</f>
        <v>177578.503552615</v>
      </c>
    </row>
    <row r="34" customFormat="false" ht="15" hidden="false" customHeight="false" outlineLevel="0" collapsed="false">
      <c r="A34" s="0" t="s">
        <v>136</v>
      </c>
      <c r="B34" s="0" t="n">
        <f aca="false">MAX(0,MIN(B32,B33))</f>
        <v>177578.503552615</v>
      </c>
    </row>
    <row r="35" customFormat="false" ht="15" hidden="false" customHeight="false" outlineLevel="0" collapsed="false">
      <c r="A35" s="0" t="s">
        <v>137</v>
      </c>
      <c r="B35" s="0" t="n">
        <f aca="false">B34/(1+B27/100)^L4</f>
        <v>90271.9065793145</v>
      </c>
    </row>
    <row r="36" customFormat="false" ht="15" hidden="false" customHeight="false" outlineLevel="0" collapsed="false">
      <c r="A36" s="0" t="s">
        <v>138</v>
      </c>
      <c r="B36" s="0" t="n">
        <f aca="false">B30+B35</f>
        <v>159889.924912173</v>
      </c>
    </row>
    <row r="37" customFormat="false" ht="15" hidden="false" customHeight="false" outlineLevel="0" collapsed="false">
      <c r="A37" s="0" t="s">
        <v>139</v>
      </c>
      <c r="B37" s="0" t="n">
        <f aca="false">B36+Assumptions!$B$5-Assumptions!$B$4</f>
        <v>-623179.075087827</v>
      </c>
    </row>
    <row r="38" customFormat="false" ht="15" hidden="false" customHeight="false" outlineLevel="0" collapsed="false">
      <c r="A38" s="0" t="s">
        <v>140</v>
      </c>
      <c r="B38" s="0" t="n">
        <f aca="false">B37/Assumptions!$B$3*Assumptions!$B$10</f>
        <v>-1723.87496255267</v>
      </c>
    </row>
    <row r="39" customFormat="false" ht="15" hidden="false" customHeight="false" outlineLevel="0" collapsed="false">
      <c r="A39" s="0" t="s">
        <v>141</v>
      </c>
      <c r="B39" s="4" t="n">
        <f aca="false">B38/Assumptions!$B$2-1</f>
        <v>-1.82640218722563</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-1723.87496255267</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106758.505111989</v>
      </c>
    </row>
    <row r="47" customFormat="false" ht="15" hidden="false" customHeight="false" outlineLevel="0" collapsed="false">
      <c r="A47" s="0" t="s">
        <v>146</v>
      </c>
      <c r="B47" s="0" t="n">
        <f aca="false">(SUMPRODUCT(C19:L19/(1+B45/100)^C4:L4)+B46/(1+B45/100)^L4+Assumptions!$B$5-Assumptions!$B$4)/Assumptions!$B$3*Assumptions!$B$10</f>
        <v>-1973.60060845377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147</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Assumptions!C27</f>
        <v>13.9</v>
      </c>
      <c r="D5" s="4" t="n">
        <f aca="false">Assumptions!D27</f>
        <v>3</v>
      </c>
      <c r="E5" s="4" t="n">
        <f aca="false">Assumptions!E27</f>
        <v>3</v>
      </c>
      <c r="F5" s="4" t="n">
        <f aca="false">Assumptions!F27</f>
        <v>2.5</v>
      </c>
      <c r="G5" s="4" t="n">
        <f aca="false">Assumptions!G27</f>
        <v>2.5</v>
      </c>
      <c r="H5" s="4" t="n">
        <f aca="false">Assumptions!H27</f>
        <v>2</v>
      </c>
      <c r="I5" s="4" t="n">
        <f aca="false">Assumptions!I27</f>
        <v>2</v>
      </c>
      <c r="J5" s="4" t="n">
        <f aca="false">Assumptions!J27</f>
        <v>1.5</v>
      </c>
      <c r="K5" s="4" t="n">
        <f aca="false">Assumptions!K27</f>
        <v>1.5</v>
      </c>
      <c r="L5" s="4" t="n">
        <f aca="false">Assumptions!L27</f>
        <v>1.5</v>
      </c>
    </row>
    <row r="6" customFormat="false" ht="15" hidden="false" customHeight="false" outlineLevel="0" collapsed="false">
      <c r="A6" s="0" t="s">
        <v>37</v>
      </c>
      <c r="B6" s="3" t="n">
        <v>1668754</v>
      </c>
      <c r="C6" s="0" t="n">
        <f aca="false">B6*(1+C5/100)</f>
        <v>1900710.806</v>
      </c>
      <c r="D6" s="0" t="n">
        <f aca="false">C6*(1+D5/100)</f>
        <v>1957732.13018</v>
      </c>
      <c r="E6" s="0" t="n">
        <f aca="false">D6*(1+E5/100)</f>
        <v>2016464.0940854</v>
      </c>
      <c r="F6" s="0" t="n">
        <f aca="false">E6*(1+F5/100)</f>
        <v>2066875.69643754</v>
      </c>
      <c r="G6" s="0" t="n">
        <f aca="false">F6*(1+G5/100)</f>
        <v>2118547.58884847</v>
      </c>
      <c r="H6" s="0" t="n">
        <f aca="false">G6*(1+H5/100)</f>
        <v>2160918.54062544</v>
      </c>
      <c r="I6" s="0" t="n">
        <f aca="false">H6*(1+I5/100)</f>
        <v>2204136.91143795</v>
      </c>
      <c r="J6" s="0" t="n">
        <f aca="false">I6*(1+J5/100)</f>
        <v>2237198.96510952</v>
      </c>
      <c r="K6" s="0" t="n">
        <f aca="false">J6*(1+K5/100)</f>
        <v>2270756.94958616</v>
      </c>
      <c r="L6" s="0" t="n">
        <f aca="false">K6*(1+L5/100)</f>
        <v>2304818.30382996</v>
      </c>
    </row>
    <row r="7" customFormat="false" ht="15" hidden="false" customHeight="false" outlineLevel="0" collapsed="false">
      <c r="A7" s="0" t="s">
        <v>103</v>
      </c>
      <c r="C7" s="4" t="n">
        <f aca="false">Assumptions!C28</f>
        <v>10.5</v>
      </c>
      <c r="D7" s="4" t="n">
        <f aca="false">Assumptions!D28</f>
        <v>10.8</v>
      </c>
      <c r="E7" s="4" t="n">
        <f aca="false">Assumptions!E28</f>
        <v>11.1</v>
      </c>
      <c r="F7" s="4" t="n">
        <f aca="false">Assumptions!F28</f>
        <v>11.5</v>
      </c>
      <c r="G7" s="4" t="n">
        <f aca="false">Assumptions!G28</f>
        <v>12</v>
      </c>
      <c r="H7" s="4" t="n">
        <f aca="false">Assumptions!H28</f>
        <v>12</v>
      </c>
      <c r="I7" s="4" t="n">
        <f aca="false">Assumptions!I28</f>
        <v>12</v>
      </c>
      <c r="J7" s="4" t="n">
        <f aca="false">Assumptions!J28</f>
        <v>12</v>
      </c>
      <c r="K7" s="4" t="n">
        <f aca="false">Assumptions!K28</f>
        <v>12</v>
      </c>
      <c r="L7" s="4" t="n">
        <f aca="false">Assumptions!L28</f>
        <v>12</v>
      </c>
    </row>
    <row r="8" customFormat="false" ht="15" hidden="false" customHeight="false" outlineLevel="0" collapsed="false">
      <c r="A8" s="0" t="s">
        <v>43</v>
      </c>
      <c r="C8" s="0" t="n">
        <f aca="false">C6*C7/100</f>
        <v>199574.63463</v>
      </c>
      <c r="D8" s="0" t="n">
        <f aca="false">D6*D7/100</f>
        <v>211435.07005944</v>
      </c>
      <c r="E8" s="0" t="n">
        <f aca="false">E6*E7/100</f>
        <v>223827.514443479</v>
      </c>
      <c r="F8" s="0" t="n">
        <f aca="false">F6*F7/100</f>
        <v>237690.705090317</v>
      </c>
      <c r="G8" s="0" t="n">
        <f aca="false">G6*G7/100</f>
        <v>254225.710661817</v>
      </c>
      <c r="H8" s="0" t="n">
        <f aca="false">H6*H7/100</f>
        <v>259310.224875053</v>
      </c>
      <c r="I8" s="0" t="n">
        <f aca="false">I6*I7/100</f>
        <v>264496.429372554</v>
      </c>
      <c r="J8" s="0" t="n">
        <f aca="false">J6*J7/100</f>
        <v>268463.875813143</v>
      </c>
      <c r="K8" s="0" t="n">
        <f aca="false">K6*K7/100</f>
        <v>272490.83395034</v>
      </c>
      <c r="L8" s="0" t="n">
        <f aca="false">L6*L7/100</f>
        <v>276578.196459595</v>
      </c>
    </row>
    <row r="9" customFormat="false" ht="15" hidden="false" customHeight="false" outlineLevel="0" collapsed="false">
      <c r="A9" s="0" t="s">
        <v>104</v>
      </c>
      <c r="C9" s="4" t="n">
        <f aca="false">Assumptions!C29</f>
        <v>0</v>
      </c>
      <c r="D9" s="4" t="n">
        <f aca="false">Assumptions!D29</f>
        <v>0</v>
      </c>
      <c r="E9" s="4" t="n">
        <f aca="false">Assumptions!E29</f>
        <v>0</v>
      </c>
      <c r="F9" s="4" t="n">
        <f aca="false">Assumptions!F29</f>
        <v>0</v>
      </c>
      <c r="G9" s="4" t="n">
        <f aca="false">Assumptions!G29</f>
        <v>0</v>
      </c>
      <c r="H9" s="4" t="n">
        <f aca="false">Assumptions!H29</f>
        <v>0</v>
      </c>
      <c r="I9" s="4" t="n">
        <f aca="false">Assumptions!I29</f>
        <v>0</v>
      </c>
      <c r="J9" s="4" t="n">
        <f aca="false">Assumptions!J29</f>
        <v>0</v>
      </c>
      <c r="K9" s="4" t="n">
        <f aca="false">Assumptions!K29</f>
        <v>0</v>
      </c>
      <c r="L9" s="4" t="n">
        <f aca="false">Assumptions!L29</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189120.725197</v>
      </c>
      <c r="D11" s="0" t="n">
        <f aca="false">D8+D10+D24</f>
        <v>200667.54334345</v>
      </c>
      <c r="E11" s="0" t="n">
        <f aca="false">E8+E10+E24</f>
        <v>212736.96192601</v>
      </c>
      <c r="F11" s="0" t="n">
        <f aca="false">F8+F10+F24</f>
        <v>226322.88875991</v>
      </c>
      <c r="G11" s="0" t="n">
        <f aca="false">G8+G10+G24</f>
        <v>242573.69892315</v>
      </c>
      <c r="H11" s="0" t="n">
        <f aca="false">H8+H10+H24</f>
        <v>247425.172901613</v>
      </c>
      <c r="I11" s="0" t="n">
        <f aca="false">I8+I10+I24</f>
        <v>252373.676359646</v>
      </c>
      <c r="J11" s="0" t="n">
        <f aca="false">J8+J10+J24</f>
        <v>256159.28150504</v>
      </c>
      <c r="K11" s="0" t="n">
        <f aca="false">K8+K10+K24</f>
        <v>260001.670727616</v>
      </c>
      <c r="L11" s="0" t="n">
        <f aca="false">L8+L10+L24</f>
        <v>263901.69578853</v>
      </c>
    </row>
    <row r="12" customFormat="false" ht="15" hidden="false" customHeight="false" outlineLevel="0" collapsed="false">
      <c r="A12" s="0" t="s">
        <v>121</v>
      </c>
      <c r="C12" s="4" t="n">
        <f aca="false">-C6*Assumptions!C31/100</f>
        <v>-100737.672718</v>
      </c>
      <c r="D12" s="4" t="n">
        <f aca="false">-D6*Assumptions!D31/100</f>
        <v>-105717.53502972</v>
      </c>
      <c r="E12" s="4" t="n">
        <f aca="false">-E6*Assumptions!E31/100</f>
        <v>-110905.525174697</v>
      </c>
      <c r="F12" s="4" t="n">
        <f aca="false">-F6*Assumptions!F31/100</f>
        <v>-113678.163304064</v>
      </c>
      <c r="G12" s="4" t="n">
        <f aca="false">-G6*Assumptions!G31/100</f>
        <v>-118638.664975515</v>
      </c>
      <c r="H12" s="4" t="n">
        <f aca="false">-H6*Assumptions!H31/100</f>
        <v>-121011.438275025</v>
      </c>
      <c r="I12" s="4" t="n">
        <f aca="false">-I6*Assumptions!I31/100</f>
        <v>-123431.667040525</v>
      </c>
      <c r="J12" s="4" t="n">
        <f aca="false">-J6*Assumptions!J31/100</f>
        <v>-125283.142046133</v>
      </c>
      <c r="K12" s="4" t="n">
        <f aca="false">-K6*Assumptions!K31/100</f>
        <v>-127162.389176825</v>
      </c>
      <c r="L12" s="4" t="n">
        <f aca="false">-L6*Assumptions!L31/100</f>
        <v>-129069.825014478</v>
      </c>
    </row>
    <row r="13" customFormat="false" ht="15" hidden="false" customHeight="false" outlineLevel="0" collapsed="false">
      <c r="A13" s="0" t="s">
        <v>122</v>
      </c>
      <c r="C13" s="0" t="n">
        <f aca="false">C11+C12</f>
        <v>88383.052479</v>
      </c>
      <c r="D13" s="0" t="n">
        <f aca="false">D11+D12</f>
        <v>94950.00831373</v>
      </c>
      <c r="E13" s="0" t="n">
        <f aca="false">E11+E12</f>
        <v>101831.436751313</v>
      </c>
      <c r="F13" s="0" t="n">
        <f aca="false">F11+F12</f>
        <v>112644.725455846</v>
      </c>
      <c r="G13" s="0" t="n">
        <f aca="false">G11+G12</f>
        <v>123935.033947636</v>
      </c>
      <c r="H13" s="0" t="n">
        <f aca="false">H11+H12</f>
        <v>126413.734626588</v>
      </c>
      <c r="I13" s="0" t="n">
        <f aca="false">I11+I12</f>
        <v>128942.00931912</v>
      </c>
      <c r="J13" s="0" t="n">
        <f aca="false">J11+J12</f>
        <v>130876.139458907</v>
      </c>
      <c r="K13" s="0" t="n">
        <f aca="false">K11+K12</f>
        <v>132839.281550791</v>
      </c>
      <c r="L13" s="0" t="n">
        <f aca="false">L11+L12</f>
        <v>134831.870774052</v>
      </c>
    </row>
    <row r="14" customFormat="false" ht="15" hidden="false" customHeight="false" outlineLevel="0" collapsed="false">
      <c r="A14" s="0" t="s">
        <v>108</v>
      </c>
      <c r="C14" s="4" t="n">
        <f aca="false">Assumptions!C33</f>
        <v>31</v>
      </c>
      <c r="D14" s="4" t="n">
        <f aca="false">Assumptions!D33</f>
        <v>31</v>
      </c>
      <c r="E14" s="4" t="n">
        <f aca="false">Assumptions!E33</f>
        <v>31</v>
      </c>
      <c r="F14" s="4" t="n">
        <f aca="false">Assumptions!F33</f>
        <v>31</v>
      </c>
      <c r="G14" s="4" t="n">
        <f aca="false">Assumptions!G33</f>
        <v>31</v>
      </c>
      <c r="H14" s="4" t="n">
        <f aca="false">Assumptions!H33</f>
        <v>31</v>
      </c>
      <c r="I14" s="4" t="n">
        <f aca="false">Assumptions!I33</f>
        <v>31</v>
      </c>
      <c r="J14" s="4" t="n">
        <f aca="false">Assumptions!J33</f>
        <v>31</v>
      </c>
      <c r="K14" s="4" t="n">
        <f aca="false">Assumptions!K33</f>
        <v>31</v>
      </c>
      <c r="L14" s="4" t="n">
        <f aca="false">Assumptions!L33</f>
        <v>31</v>
      </c>
    </row>
    <row r="15" customFormat="false" ht="15" hidden="false" customHeight="false" outlineLevel="0" collapsed="false">
      <c r="A15" s="0" t="s">
        <v>123</v>
      </c>
      <c r="C15" s="0" t="n">
        <f aca="false">C13-MAX(0,C13)*C14/100</f>
        <v>60984.30621051</v>
      </c>
      <c r="D15" s="0" t="n">
        <f aca="false">D13-MAX(0,D13)*D14/100</f>
        <v>65515.5057364737</v>
      </c>
      <c r="E15" s="0" t="n">
        <f aca="false">E13-MAX(0,E13)*E14/100</f>
        <v>70263.6913584058</v>
      </c>
      <c r="F15" s="0" t="n">
        <f aca="false">F13-MAX(0,F13)*F14/100</f>
        <v>77724.8605645335</v>
      </c>
      <c r="G15" s="0" t="n">
        <f aca="false">G13-MAX(0,G13)*G14/100</f>
        <v>85515.1734238687</v>
      </c>
      <c r="H15" s="0" t="n">
        <f aca="false">H13-MAX(0,H13)*H14/100</f>
        <v>87225.476892346</v>
      </c>
      <c r="I15" s="0" t="n">
        <f aca="false">I13-MAX(0,I13)*I14/100</f>
        <v>88969.986430193</v>
      </c>
      <c r="J15" s="0" t="n">
        <f aca="false">J13-MAX(0,J13)*J14/100</f>
        <v>90304.5362266458</v>
      </c>
      <c r="K15" s="0" t="n">
        <f aca="false">K13-MAX(0,K13)*K14/100</f>
        <v>91659.1042700455</v>
      </c>
      <c r="L15" s="0" t="n">
        <f aca="false">L13-MAX(0,L13)*L14/100</f>
        <v>93033.9908340962</v>
      </c>
    </row>
    <row r="16" customFormat="false" ht="15" hidden="false" customHeight="false" outlineLevel="0" collapsed="false">
      <c r="A16" s="0" t="s">
        <v>124</v>
      </c>
      <c r="C16" s="0" t="n">
        <f aca="false">-C12</f>
        <v>100737.672718</v>
      </c>
      <c r="D16" s="0" t="n">
        <f aca="false">-D12</f>
        <v>105717.53502972</v>
      </c>
      <c r="E16" s="0" t="n">
        <f aca="false">-E12</f>
        <v>110905.525174697</v>
      </c>
      <c r="F16" s="0" t="n">
        <f aca="false">-F12</f>
        <v>113678.163304064</v>
      </c>
      <c r="G16" s="0" t="n">
        <f aca="false">-G12</f>
        <v>118638.664975515</v>
      </c>
      <c r="H16" s="0" t="n">
        <f aca="false">-H12</f>
        <v>121011.438275025</v>
      </c>
      <c r="I16" s="0" t="n">
        <f aca="false">-I12</f>
        <v>123431.667040525</v>
      </c>
      <c r="J16" s="0" t="n">
        <f aca="false">-J12</f>
        <v>125283.142046133</v>
      </c>
      <c r="K16" s="0" t="n">
        <f aca="false">-K12</f>
        <v>127162.389176825</v>
      </c>
      <c r="L16" s="0" t="n">
        <f aca="false">-L12</f>
        <v>129069.825014478</v>
      </c>
    </row>
    <row r="17" customFormat="false" ht="15" hidden="false" customHeight="false" outlineLevel="0" collapsed="false">
      <c r="A17" s="0" t="s">
        <v>125</v>
      </c>
      <c r="C17" s="4" t="n">
        <f aca="false">-C6*Assumptions!C32/100</f>
        <v>-134950.467226</v>
      </c>
      <c r="D17" s="4" t="n">
        <f aca="false">-D6*Assumptions!D32/100</f>
        <v>-137041.2491126</v>
      </c>
      <c r="E17" s="4" t="n">
        <f aca="false">-E6*Assumptions!E32/100</f>
        <v>-137119.558397807</v>
      </c>
      <c r="F17" s="4" t="n">
        <f aca="false">-F6*Assumptions!F32/100</f>
        <v>-136413.795964877</v>
      </c>
      <c r="G17" s="4" t="n">
        <f aca="false">-G6*Assumptions!G32/100</f>
        <v>-137705.593275151</v>
      </c>
      <c r="H17" s="4" t="n">
        <f aca="false">-H6*Assumptions!H32/100</f>
        <v>-138298.786600028</v>
      </c>
      <c r="I17" s="4" t="n">
        <f aca="false">-I6*Assumptions!I32/100</f>
        <v>-138860.625420591</v>
      </c>
      <c r="J17" s="4" t="n">
        <f aca="false">-J6*Assumptions!J32/100</f>
        <v>-140943.5348019</v>
      </c>
      <c r="K17" s="4" t="n">
        <f aca="false">-K6*Assumptions!K32/100</f>
        <v>-143057.687823928</v>
      </c>
      <c r="L17" s="4" t="n">
        <f aca="false">-L6*Assumptions!L32/100</f>
        <v>-145203.553141287</v>
      </c>
    </row>
    <row r="18" customFormat="false" ht="15" hidden="false" customHeight="false" outlineLevel="0" collapsed="false">
      <c r="A18" s="0" t="s">
        <v>126</v>
      </c>
      <c r="C18" s="4" t="n">
        <f aca="false">(C6-B6)*Assumptions!$B$37/100</f>
        <v>-34793.5209</v>
      </c>
      <c r="D18" s="4" t="n">
        <f aca="false">(D6-C6)*Assumptions!$B$37/100</f>
        <v>-8553.198627</v>
      </c>
      <c r="E18" s="4" t="n">
        <f aca="false">(E6-D6)*Assumptions!$B$37/100</f>
        <v>-8809.79458581002</v>
      </c>
      <c r="F18" s="4" t="n">
        <f aca="false">(F6-E6)*Assumptions!$B$37/100</f>
        <v>-7561.74035282023</v>
      </c>
      <c r="G18" s="4" t="n">
        <f aca="false">(G6-F6)*Assumptions!$B$37/100</f>
        <v>-7750.78386164076</v>
      </c>
      <c r="H18" s="4" t="n">
        <f aca="false">(H6-G6)*Assumptions!$B$37/100</f>
        <v>-6355.64276654546</v>
      </c>
      <c r="I18" s="4" t="n">
        <f aca="false">(I6-H6)*Assumptions!$B$37/100</f>
        <v>-6482.75562187631</v>
      </c>
      <c r="J18" s="4" t="n">
        <f aca="false">(J6-I6)*Assumptions!$B$37/100</f>
        <v>-4959.30805073536</v>
      </c>
      <c r="K18" s="4" t="n">
        <f aca="false">(K6-J6)*Assumptions!$B$37/100</f>
        <v>-5033.6976714964</v>
      </c>
      <c r="L18" s="4" t="n">
        <f aca="false">(L6-K6)*Assumptions!$B$37/100</f>
        <v>-5109.20313656882</v>
      </c>
    </row>
    <row r="19" customFormat="false" ht="15" hidden="false" customHeight="false" outlineLevel="0" collapsed="false">
      <c r="A19" s="0" t="s">
        <v>127</v>
      </c>
      <c r="C19" s="0" t="n">
        <f aca="false">C15+C16+C17+C18</f>
        <v>-8022.00919749004</v>
      </c>
      <c r="D19" s="0" t="n">
        <f aca="false">D15+D16+D17+D18</f>
        <v>25638.5930265937</v>
      </c>
      <c r="E19" s="0" t="n">
        <f aca="false">E15+E16+E17+E18</f>
        <v>35239.8635494855</v>
      </c>
      <c r="F19" s="0" t="n">
        <f aca="false">F15+F16+F17+F18</f>
        <v>47427.4875509004</v>
      </c>
      <c r="G19" s="0" t="n">
        <f aca="false">G15+G16+G17+G18</f>
        <v>58697.4612625916</v>
      </c>
      <c r="H19" s="0" t="n">
        <f aca="false">H15+H16+H17+H18</f>
        <v>63582.485800797</v>
      </c>
      <c r="I19" s="0" t="n">
        <f aca="false">I15+I16+I17+I18</f>
        <v>67058.272428251</v>
      </c>
      <c r="J19" s="0" t="n">
        <f aca="false">J15+J16+J17+J18</f>
        <v>69684.8354201438</v>
      </c>
      <c r="K19" s="0" t="n">
        <f aca="false">K15+K16+K17+K18</f>
        <v>70730.1079514459</v>
      </c>
      <c r="L19" s="0" t="n">
        <f aca="false">L15+L16+L17+L18</f>
        <v>71791.0595707177</v>
      </c>
    </row>
    <row r="20" customFormat="false" ht="15" hidden="false" customHeight="false" outlineLevel="0" collapsed="false">
      <c r="A20" s="0" t="s">
        <v>128</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129</v>
      </c>
      <c r="C21" s="0" t="n">
        <f aca="false">C19*C20</f>
        <v>-7497.20485746733</v>
      </c>
      <c r="D21" s="0" t="n">
        <f aca="false">D19*D20</f>
        <v>22393.7400878624</v>
      </c>
      <c r="E21" s="0" t="n">
        <f aca="false">E19*E20</f>
        <v>28766.2257973683</v>
      </c>
      <c r="F21" s="0" t="n">
        <f aca="false">F19*F20</f>
        <v>36182.2031720255</v>
      </c>
      <c r="G21" s="0" t="n">
        <f aca="false">G19*G20</f>
        <v>41850.4786510058</v>
      </c>
      <c r="H21" s="0" t="n">
        <f aca="false">H19*H20</f>
        <v>42367.6949842849</v>
      </c>
      <c r="I21" s="0" t="n">
        <f aca="false">I19*I20</f>
        <v>41760.5218459199</v>
      </c>
      <c r="J21" s="0" t="n">
        <f aca="false">J19*J20</f>
        <v>40557.2086646399</v>
      </c>
      <c r="K21" s="0" t="n">
        <f aca="false">K19*K20</f>
        <v>38472.4923314108</v>
      </c>
      <c r="L21" s="0" t="n">
        <f aca="false">L19*L20</f>
        <v>36494.9343143757</v>
      </c>
    </row>
    <row r="23" customFormat="false" ht="15" hidden="false" customHeight="false" outlineLevel="0" collapsed="false">
      <c r="A23" s="0" t="s">
        <v>105</v>
      </c>
      <c r="C23" s="4" t="n">
        <f aca="false">Assumptions!C30</f>
        <v>0.55</v>
      </c>
      <c r="D23" s="4" t="n">
        <f aca="false">Assumptions!D30</f>
        <v>0.55</v>
      </c>
      <c r="E23" s="4" t="n">
        <f aca="false">Assumptions!E30</f>
        <v>0.55</v>
      </c>
      <c r="F23" s="4" t="n">
        <f aca="false">Assumptions!F30</f>
        <v>0.55</v>
      </c>
      <c r="G23" s="4" t="n">
        <f aca="false">Assumptions!G30</f>
        <v>0.55</v>
      </c>
      <c r="H23" s="4" t="n">
        <f aca="false">Assumptions!H30</f>
        <v>0.55</v>
      </c>
      <c r="I23" s="4" t="n">
        <f aca="false">Assumptions!I30</f>
        <v>0.55</v>
      </c>
      <c r="J23" s="4" t="n">
        <f aca="false">Assumptions!J30</f>
        <v>0.55</v>
      </c>
      <c r="K23" s="4" t="n">
        <f aca="false">Assumptions!K30</f>
        <v>0.55</v>
      </c>
      <c r="L23" s="4" t="n">
        <f aca="false">Assumptions!L30</f>
        <v>0.55</v>
      </c>
    </row>
    <row r="24" customFormat="false" ht="15" hidden="false" customHeight="false" outlineLevel="0" collapsed="false">
      <c r="A24" s="0" t="s">
        <v>130</v>
      </c>
      <c r="C24" s="0" t="n">
        <f aca="false">-C6*C23/100</f>
        <v>-10453.909433</v>
      </c>
      <c r="D24" s="0" t="n">
        <f aca="false">-D6*D23/100</f>
        <v>-10767.52671599</v>
      </c>
      <c r="E24" s="0" t="n">
        <f aca="false">-E6*E23/100</f>
        <v>-11090.5525174697</v>
      </c>
      <c r="F24" s="0" t="n">
        <f aca="false">-F6*F23/100</f>
        <v>-11367.8163304064</v>
      </c>
      <c r="G24" s="0" t="n">
        <f aca="false">-G6*G23/100</f>
        <v>-11652.0117386666</v>
      </c>
      <c r="H24" s="0" t="n">
        <f aca="false">-H6*H23/100</f>
        <v>-11885.0519734399</v>
      </c>
      <c r="I24" s="0" t="n">
        <f aca="false">-I6*I23/100</f>
        <v>-12122.7530129087</v>
      </c>
      <c r="J24" s="0" t="n">
        <f aca="false">-J6*J23/100</f>
        <v>-12304.5943081024</v>
      </c>
      <c r="K24" s="0" t="n">
        <f aca="false">-K6*K23/100</f>
        <v>-12489.1632227239</v>
      </c>
      <c r="L24" s="0" t="n">
        <f aca="false">-L6*L23/100</f>
        <v>-12676.5006710648</v>
      </c>
    </row>
    <row r="26" customFormat="false" ht="15" hidden="false" customHeight="false" outlineLevel="0" collapsed="false">
      <c r="A26" s="2" t="s">
        <v>131</v>
      </c>
    </row>
    <row r="27" customFormat="false" ht="15" hidden="false" customHeight="false" outlineLevel="0" collapsed="false">
      <c r="A27" s="0" t="s">
        <v>109</v>
      </c>
      <c r="B27" s="4" t="n">
        <f aca="false">Assumptions!$B$34</f>
        <v>7</v>
      </c>
    </row>
    <row r="28" customFormat="false" ht="15" hidden="false" customHeight="false" outlineLevel="0" collapsed="false">
      <c r="A28" s="0" t="s">
        <v>110</v>
      </c>
      <c r="B28" s="4" t="n">
        <f aca="false">Assumptions!$B$35</f>
        <v>1.5</v>
      </c>
    </row>
    <row r="29" customFormat="false" ht="15" hidden="false" customHeight="false" outlineLevel="0" collapsed="false">
      <c r="A29" s="0" t="s">
        <v>111</v>
      </c>
      <c r="B29" s="4" t="n">
        <f aca="false">Assumptions!$B$36</f>
        <v>14</v>
      </c>
    </row>
    <row r="30" customFormat="false" ht="15" hidden="false" customHeight="false" outlineLevel="0" collapsed="false">
      <c r="A30" s="0" t="s">
        <v>132</v>
      </c>
      <c r="B30" s="0" t="n">
        <f aca="false">SUM(C21:L21)</f>
        <v>321348.294991426</v>
      </c>
    </row>
    <row r="31" customFormat="false" ht="15" hidden="false" customHeight="false" outlineLevel="0" collapsed="false">
      <c r="A31" s="0" t="s">
        <v>133</v>
      </c>
      <c r="B31" s="0" t="n">
        <f aca="false">L19</f>
        <v>71791.0595707177</v>
      </c>
    </row>
    <row r="32" customFormat="false" ht="15" hidden="false" customHeight="false" outlineLevel="0" collapsed="false">
      <c r="A32" s="0" t="s">
        <v>134</v>
      </c>
      <c r="B32" s="0" t="n">
        <f aca="false">IF(B27&gt;B28,B31*(1+B28/100)/((B27-B28)/100),B31*B29)</f>
        <v>1324871.37207779</v>
      </c>
    </row>
    <row r="33" customFormat="false" ht="15" hidden="false" customHeight="false" outlineLevel="0" collapsed="false">
      <c r="A33" s="0" t="s">
        <v>135</v>
      </c>
      <c r="B33" s="0" t="n">
        <f aca="false">B31*B29</f>
        <v>1005074.83399005</v>
      </c>
    </row>
    <row r="34" customFormat="false" ht="15" hidden="false" customHeight="false" outlineLevel="0" collapsed="false">
      <c r="A34" s="0" t="s">
        <v>136</v>
      </c>
      <c r="B34" s="0" t="n">
        <f aca="false">MAX(0,MIN(B32,B33))</f>
        <v>1005074.83399005</v>
      </c>
    </row>
    <row r="35" customFormat="false" ht="15" hidden="false" customHeight="false" outlineLevel="0" collapsed="false">
      <c r="A35" s="0" t="s">
        <v>137</v>
      </c>
      <c r="B35" s="0" t="n">
        <f aca="false">B34/(1+B27/100)^L4</f>
        <v>510929.080401259</v>
      </c>
    </row>
    <row r="36" customFormat="false" ht="15" hidden="false" customHeight="false" outlineLevel="0" collapsed="false">
      <c r="A36" s="0" t="s">
        <v>138</v>
      </c>
      <c r="B36" s="0" t="n">
        <f aca="false">B30+B35</f>
        <v>832277.375392685</v>
      </c>
    </row>
    <row r="37" customFormat="false" ht="15" hidden="false" customHeight="false" outlineLevel="0" collapsed="false">
      <c r="A37" s="0" t="s">
        <v>139</v>
      </c>
      <c r="B37" s="0" t="n">
        <f aca="false">B36+Assumptions!$B$5-Assumptions!$B$4</f>
        <v>49208.3753926852</v>
      </c>
    </row>
    <row r="38" customFormat="false" ht="15" hidden="false" customHeight="false" outlineLevel="0" collapsed="false">
      <c r="A38" s="0" t="s">
        <v>140</v>
      </c>
      <c r="B38" s="0" t="n">
        <f aca="false">B37/Assumptions!$B$3*Assumptions!$B$10</f>
        <v>136.12313005758</v>
      </c>
    </row>
    <row r="39" customFormat="false" ht="15" hidden="false" customHeight="false" outlineLevel="0" collapsed="false">
      <c r="A39" s="0" t="s">
        <v>141</v>
      </c>
      <c r="B39" s="4" t="n">
        <f aca="false">B38/Assumptions!$B$2-1</f>
        <v>-0.934744424708734</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136.12313005758</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539762.410846507</v>
      </c>
    </row>
    <row r="47" customFormat="false" ht="15" hidden="false" customHeight="false" outlineLevel="0" collapsed="false">
      <c r="A47" s="0" t="s">
        <v>146</v>
      </c>
      <c r="B47" s="0" t="n">
        <f aca="false">(SUMPRODUCT(C19:L19/(1+B45/100)^C4:L4)+B46/(1+B45/100)^L4+Assumptions!$B$5-Assumptions!$B$4)/Assumptions!$B$3*Assumptions!$B$10</f>
        <v>-1229.42736238825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2"/>
  </cols>
  <sheetData>
    <row r="1" customFormat="false" ht="15" hidden="false" customHeight="false" outlineLevel="0" collapsed="false">
      <c r="A1" s="2" t="s">
        <v>148</v>
      </c>
    </row>
    <row r="3" customFormat="false" ht="15" hidden="false" customHeight="false" outlineLevel="0" collapsed="false">
      <c r="A3" s="0" t="s">
        <v>117</v>
      </c>
      <c r="B3" s="0" t="s">
        <v>78</v>
      </c>
      <c r="C3" s="2" t="s">
        <v>92</v>
      </c>
      <c r="D3" s="2" t="s">
        <v>93</v>
      </c>
      <c r="E3" s="2" t="s">
        <v>94</v>
      </c>
      <c r="F3" s="2" t="s">
        <v>95</v>
      </c>
      <c r="G3" s="2" t="s">
        <v>96</v>
      </c>
      <c r="H3" s="2" t="s">
        <v>97</v>
      </c>
      <c r="I3" s="2" t="s">
        <v>98</v>
      </c>
      <c r="J3" s="2" t="s">
        <v>99</v>
      </c>
      <c r="K3" s="2" t="s">
        <v>100</v>
      </c>
      <c r="L3" s="2" t="s">
        <v>101</v>
      </c>
    </row>
    <row r="4" customFormat="false" ht="15" hidden="false" customHeight="false" outlineLevel="0" collapsed="false">
      <c r="A4" s="0" t="s">
        <v>118</v>
      </c>
      <c r="B4" s="0" t="n">
        <v>0</v>
      </c>
      <c r="C4" s="0" t="n">
        <f aca="false">B4+1</f>
        <v>1</v>
      </c>
      <c r="D4" s="0" t="n">
        <f aca="false">C4+1</f>
        <v>2</v>
      </c>
      <c r="E4" s="0" t="n">
        <f aca="false">D4+1</f>
        <v>3</v>
      </c>
      <c r="F4" s="0" t="n">
        <f aca="false">E4+1</f>
        <v>4</v>
      </c>
      <c r="G4" s="0" t="n">
        <f aca="false">F4+1</f>
        <v>5</v>
      </c>
      <c r="H4" s="0" t="n">
        <f aca="false">G4+1</f>
        <v>6</v>
      </c>
      <c r="I4" s="0" t="n">
        <f aca="false">H4+1</f>
        <v>7</v>
      </c>
      <c r="J4" s="0" t="n">
        <f aca="false">I4+1</f>
        <v>8</v>
      </c>
      <c r="K4" s="0" t="n">
        <f aca="false">J4+1</f>
        <v>9</v>
      </c>
      <c r="L4" s="0" t="n">
        <f aca="false">K4+1</f>
        <v>10</v>
      </c>
    </row>
    <row r="5" customFormat="false" ht="15" hidden="false" customHeight="false" outlineLevel="0" collapsed="false">
      <c r="A5" s="0" t="s">
        <v>102</v>
      </c>
      <c r="C5" s="4" t="n">
        <f aca="false">Assumptions!C41</f>
        <v>14.5</v>
      </c>
      <c r="D5" s="4" t="n">
        <f aca="false">Assumptions!D41</f>
        <v>5</v>
      </c>
      <c r="E5" s="4" t="n">
        <f aca="false">Assumptions!E41</f>
        <v>5</v>
      </c>
      <c r="F5" s="4" t="n">
        <f aca="false">Assumptions!F41</f>
        <v>4</v>
      </c>
      <c r="G5" s="4" t="n">
        <f aca="false">Assumptions!G41</f>
        <v>4</v>
      </c>
      <c r="H5" s="4" t="n">
        <f aca="false">Assumptions!H41</f>
        <v>3</v>
      </c>
      <c r="I5" s="4" t="n">
        <f aca="false">Assumptions!I41</f>
        <v>3</v>
      </c>
      <c r="J5" s="4" t="n">
        <f aca="false">Assumptions!J41</f>
        <v>2.5</v>
      </c>
      <c r="K5" s="4" t="n">
        <f aca="false">Assumptions!K41</f>
        <v>2</v>
      </c>
      <c r="L5" s="4" t="n">
        <f aca="false">Assumptions!L41</f>
        <v>2</v>
      </c>
    </row>
    <row r="6" customFormat="false" ht="15" hidden="false" customHeight="false" outlineLevel="0" collapsed="false">
      <c r="A6" s="0" t="s">
        <v>37</v>
      </c>
      <c r="B6" s="3" t="n">
        <v>1668754</v>
      </c>
      <c r="C6" s="0" t="n">
        <f aca="false">B6*(1+C5/100)</f>
        <v>1910723.33</v>
      </c>
      <c r="D6" s="0" t="n">
        <f aca="false">C6*(1+D5/100)</f>
        <v>2006259.4965</v>
      </c>
      <c r="E6" s="0" t="n">
        <f aca="false">D6*(1+E5/100)</f>
        <v>2106572.471325</v>
      </c>
      <c r="F6" s="0" t="n">
        <f aca="false">E6*(1+F5/100)</f>
        <v>2190835.370178</v>
      </c>
      <c r="G6" s="0" t="n">
        <f aca="false">F6*(1+G5/100)</f>
        <v>2278468.78498512</v>
      </c>
      <c r="H6" s="0" t="n">
        <f aca="false">G6*(1+H5/100)</f>
        <v>2346822.84853467</v>
      </c>
      <c r="I6" s="0" t="n">
        <f aca="false">H6*(1+I5/100)</f>
        <v>2417227.53399071</v>
      </c>
      <c r="J6" s="0" t="n">
        <f aca="false">I6*(1+J5/100)</f>
        <v>2477658.22234048</v>
      </c>
      <c r="K6" s="0" t="n">
        <f aca="false">J6*(1+K5/100)</f>
        <v>2527211.38678729</v>
      </c>
      <c r="L6" s="0" t="n">
        <f aca="false">K6*(1+L5/100)</f>
        <v>2577755.61452304</v>
      </c>
    </row>
    <row r="7" customFormat="false" ht="15" hidden="false" customHeight="false" outlineLevel="0" collapsed="false">
      <c r="A7" s="0" t="s">
        <v>103</v>
      </c>
      <c r="C7" s="4" t="n">
        <f aca="false">Assumptions!C42</f>
        <v>11</v>
      </c>
      <c r="D7" s="4" t="n">
        <f aca="false">Assumptions!D42</f>
        <v>11.6</v>
      </c>
      <c r="E7" s="4" t="n">
        <f aca="false">Assumptions!E42</f>
        <v>12.2</v>
      </c>
      <c r="F7" s="4" t="n">
        <f aca="false">Assumptions!F42</f>
        <v>12.8</v>
      </c>
      <c r="G7" s="4" t="n">
        <f aca="false">Assumptions!G42</f>
        <v>13.5</v>
      </c>
      <c r="H7" s="4" t="n">
        <f aca="false">Assumptions!H42</f>
        <v>13.5</v>
      </c>
      <c r="I7" s="4" t="n">
        <f aca="false">Assumptions!I42</f>
        <v>13.5</v>
      </c>
      <c r="J7" s="4" t="n">
        <f aca="false">Assumptions!J42</f>
        <v>13.5</v>
      </c>
      <c r="K7" s="4" t="n">
        <f aca="false">Assumptions!K42</f>
        <v>13.5</v>
      </c>
      <c r="L7" s="4" t="n">
        <f aca="false">Assumptions!L42</f>
        <v>13.5</v>
      </c>
    </row>
    <row r="8" customFormat="false" ht="15" hidden="false" customHeight="false" outlineLevel="0" collapsed="false">
      <c r="A8" s="0" t="s">
        <v>43</v>
      </c>
      <c r="C8" s="0" t="n">
        <f aca="false">C6*C7/100</f>
        <v>210179.5663</v>
      </c>
      <c r="D8" s="0" t="n">
        <f aca="false">D6*D7/100</f>
        <v>232726.101594</v>
      </c>
      <c r="E8" s="0" t="n">
        <f aca="false">E6*E7/100</f>
        <v>257001.84150165</v>
      </c>
      <c r="F8" s="0" t="n">
        <f aca="false">F6*F7/100</f>
        <v>280426.927382784</v>
      </c>
      <c r="G8" s="0" t="n">
        <f aca="false">G6*G7/100</f>
        <v>307593.285972991</v>
      </c>
      <c r="H8" s="0" t="n">
        <f aca="false">H6*H7/100</f>
        <v>316821.084552181</v>
      </c>
      <c r="I8" s="0" t="n">
        <f aca="false">I6*I7/100</f>
        <v>326325.717088746</v>
      </c>
      <c r="J8" s="0" t="n">
        <f aca="false">J6*J7/100</f>
        <v>334483.860015965</v>
      </c>
      <c r="K8" s="0" t="n">
        <f aca="false">K6*K7/100</f>
        <v>341173.537216284</v>
      </c>
      <c r="L8" s="0" t="n">
        <f aca="false">L6*L7/100</f>
        <v>347997.00796061</v>
      </c>
    </row>
    <row r="9" customFormat="false" ht="15" hidden="false" customHeight="false" outlineLevel="0" collapsed="false">
      <c r="A9" s="0" t="s">
        <v>104</v>
      </c>
      <c r="C9" s="4" t="n">
        <f aca="false">Assumptions!C43</f>
        <v>0</v>
      </c>
      <c r="D9" s="4" t="n">
        <f aca="false">Assumptions!D43</f>
        <v>0</v>
      </c>
      <c r="E9" s="4" t="n">
        <f aca="false">Assumptions!E43</f>
        <v>0</v>
      </c>
      <c r="F9" s="4" t="n">
        <f aca="false">Assumptions!F43</f>
        <v>0</v>
      </c>
      <c r="G9" s="4" t="n">
        <f aca="false">Assumptions!G43</f>
        <v>0</v>
      </c>
      <c r="H9" s="4" t="n">
        <f aca="false">Assumptions!H43</f>
        <v>0</v>
      </c>
      <c r="I9" s="4" t="n">
        <f aca="false">Assumptions!I43</f>
        <v>0</v>
      </c>
      <c r="J9" s="4" t="n">
        <f aca="false">Assumptions!J43</f>
        <v>0</v>
      </c>
      <c r="K9" s="4" t="n">
        <f aca="false">Assumptions!K43</f>
        <v>0</v>
      </c>
      <c r="L9" s="4" t="n">
        <f aca="false">Assumptions!L43</f>
        <v>0</v>
      </c>
    </row>
    <row r="10" customFormat="false" ht="15" hidden="false" customHeight="false" outlineLevel="0" collapsed="false">
      <c r="A10" s="0" t="s">
        <v>119</v>
      </c>
      <c r="C10" s="0" t="n">
        <f aca="false">-C6*C9/100</f>
        <v>-0</v>
      </c>
      <c r="D10" s="0" t="n">
        <f aca="false">-D6*D9/100</f>
        <v>-0</v>
      </c>
      <c r="E10" s="0" t="n">
        <f aca="false">-E6*E9/100</f>
        <v>-0</v>
      </c>
      <c r="F10" s="0" t="n">
        <f aca="false">-F6*F9/100</f>
        <v>-0</v>
      </c>
      <c r="G10" s="0" t="n">
        <f aca="false">-G6*G9/100</f>
        <v>-0</v>
      </c>
      <c r="H10" s="0" t="n">
        <f aca="false">-H6*H9/100</f>
        <v>-0</v>
      </c>
      <c r="I10" s="0" t="n">
        <f aca="false">-I6*I9/100</f>
        <v>-0</v>
      </c>
      <c r="J10" s="0" t="n">
        <f aca="false">-J6*J9/100</f>
        <v>-0</v>
      </c>
      <c r="K10" s="0" t="n">
        <f aca="false">-K6*K9/100</f>
        <v>-0</v>
      </c>
      <c r="L10" s="0" t="n">
        <f aca="false">-L6*L9/100</f>
        <v>-0</v>
      </c>
    </row>
    <row r="11" customFormat="false" ht="15" hidden="false" customHeight="false" outlineLevel="0" collapsed="false">
      <c r="A11" s="0" t="s">
        <v>120</v>
      </c>
      <c r="C11" s="0" t="n">
        <f aca="false">C8+C10+C24</f>
        <v>199670.587985</v>
      </c>
      <c r="D11" s="0" t="n">
        <f aca="false">D8+D10+D24</f>
        <v>221691.67436325</v>
      </c>
      <c r="E11" s="0" t="n">
        <f aca="false">E8+E10+E24</f>
        <v>245415.692909363</v>
      </c>
      <c r="F11" s="0" t="n">
        <f aca="false">F8+F10+F24</f>
        <v>268377.332846805</v>
      </c>
      <c r="G11" s="0" t="n">
        <f aca="false">G8+G10+G24</f>
        <v>295061.707655573</v>
      </c>
      <c r="H11" s="0" t="n">
        <f aca="false">H8+H10+H24</f>
        <v>303913.55888524</v>
      </c>
      <c r="I11" s="0" t="n">
        <f aca="false">I8+I10+I24</f>
        <v>313030.965651798</v>
      </c>
      <c r="J11" s="0" t="n">
        <f aca="false">J8+J10+J24</f>
        <v>320856.739793092</v>
      </c>
      <c r="K11" s="0" t="n">
        <f aca="false">K8+K10+K24</f>
        <v>327273.874588954</v>
      </c>
      <c r="L11" s="0" t="n">
        <f aca="false">L8+L10+L24</f>
        <v>333819.352080733</v>
      </c>
    </row>
    <row r="12" customFormat="false" ht="15" hidden="false" customHeight="false" outlineLevel="0" collapsed="false">
      <c r="A12" s="0" t="s">
        <v>121</v>
      </c>
      <c r="C12" s="4" t="n">
        <f aca="false">-C6*Assumptions!C45/100</f>
        <v>-101268.33649</v>
      </c>
      <c r="D12" s="4" t="n">
        <f aca="false">-D6*Assumptions!D45/100</f>
        <v>-108338.012811</v>
      </c>
      <c r="E12" s="4" t="n">
        <f aca="false">-E6*Assumptions!E45/100</f>
        <v>-115861.485922875</v>
      </c>
      <c r="F12" s="4" t="n">
        <f aca="false">-F6*Assumptions!F45/100</f>
        <v>-120495.94535979</v>
      </c>
      <c r="G12" s="4" t="n">
        <f aca="false">-G6*Assumptions!G45/100</f>
        <v>-127594.251959167</v>
      </c>
      <c r="H12" s="4" t="n">
        <f aca="false">-H6*Assumptions!H45/100</f>
        <v>-131422.079517942</v>
      </c>
      <c r="I12" s="4" t="n">
        <f aca="false">-I6*Assumptions!I45/100</f>
        <v>-135364.74190348</v>
      </c>
      <c r="J12" s="4" t="n">
        <f aca="false">-J6*Assumptions!J45/100</f>
        <v>-138748.860451067</v>
      </c>
      <c r="K12" s="4" t="n">
        <f aca="false">-K6*Assumptions!K45/100</f>
        <v>-141523.837660088</v>
      </c>
      <c r="L12" s="4" t="n">
        <f aca="false">-L6*Assumptions!L45/100</f>
        <v>-144354.31441329</v>
      </c>
    </row>
    <row r="13" customFormat="false" ht="15" hidden="false" customHeight="false" outlineLevel="0" collapsed="false">
      <c r="A13" s="0" t="s">
        <v>122</v>
      </c>
      <c r="C13" s="0" t="n">
        <f aca="false">C11+C12</f>
        <v>98402.2514950001</v>
      </c>
      <c r="D13" s="0" t="n">
        <f aca="false">D11+D12</f>
        <v>113353.66155225</v>
      </c>
      <c r="E13" s="0" t="n">
        <f aca="false">E11+E12</f>
        <v>129554.206986488</v>
      </c>
      <c r="F13" s="0" t="n">
        <f aca="false">F11+F12</f>
        <v>147881.387487015</v>
      </c>
      <c r="G13" s="0" t="n">
        <f aca="false">G11+G12</f>
        <v>167467.455696406</v>
      </c>
      <c r="H13" s="0" t="n">
        <f aca="false">H11+H12</f>
        <v>172491.479367299</v>
      </c>
      <c r="I13" s="0" t="n">
        <f aca="false">I11+I12</f>
        <v>177666.223748317</v>
      </c>
      <c r="J13" s="0" t="n">
        <f aca="false">J11+J12</f>
        <v>182107.879342025</v>
      </c>
      <c r="K13" s="0" t="n">
        <f aca="false">K11+K12</f>
        <v>185750.036928866</v>
      </c>
      <c r="L13" s="0" t="n">
        <f aca="false">L11+L12</f>
        <v>189465.037667443</v>
      </c>
    </row>
    <row r="14" customFormat="false" ht="15" hidden="false" customHeight="false" outlineLevel="0" collapsed="false">
      <c r="A14" s="0" t="s">
        <v>108</v>
      </c>
      <c r="C14" s="4" t="n">
        <f aca="false">Assumptions!C47</f>
        <v>31</v>
      </c>
      <c r="D14" s="4" t="n">
        <f aca="false">Assumptions!D47</f>
        <v>31</v>
      </c>
      <c r="E14" s="4" t="n">
        <f aca="false">Assumptions!E47</f>
        <v>31</v>
      </c>
      <c r="F14" s="4" t="n">
        <f aca="false">Assumptions!F47</f>
        <v>31</v>
      </c>
      <c r="G14" s="4" t="n">
        <f aca="false">Assumptions!G47</f>
        <v>31</v>
      </c>
      <c r="H14" s="4" t="n">
        <f aca="false">Assumptions!H47</f>
        <v>31</v>
      </c>
      <c r="I14" s="4" t="n">
        <f aca="false">Assumptions!I47</f>
        <v>31</v>
      </c>
      <c r="J14" s="4" t="n">
        <f aca="false">Assumptions!J47</f>
        <v>31</v>
      </c>
      <c r="K14" s="4" t="n">
        <f aca="false">Assumptions!K47</f>
        <v>31</v>
      </c>
      <c r="L14" s="4" t="n">
        <f aca="false">Assumptions!L47</f>
        <v>31</v>
      </c>
    </row>
    <row r="15" customFormat="false" ht="15" hidden="false" customHeight="false" outlineLevel="0" collapsed="false">
      <c r="A15" s="0" t="s">
        <v>123</v>
      </c>
      <c r="C15" s="0" t="n">
        <f aca="false">C13-MAX(0,C13)*C14/100</f>
        <v>67897.55353155</v>
      </c>
      <c r="D15" s="0" t="n">
        <f aca="false">D13-MAX(0,D13)*D14/100</f>
        <v>78214.0264710525</v>
      </c>
      <c r="E15" s="0" t="n">
        <f aca="false">E13-MAX(0,E13)*E14/100</f>
        <v>89392.4028206764</v>
      </c>
      <c r="F15" s="0" t="n">
        <f aca="false">F13-MAX(0,F13)*F14/100</f>
        <v>102038.15736604</v>
      </c>
      <c r="G15" s="0" t="n">
        <f aca="false">G13-MAX(0,G13)*G14/100</f>
        <v>115552.54443052</v>
      </c>
      <c r="H15" s="0" t="n">
        <f aca="false">H13-MAX(0,H13)*H14/100</f>
        <v>119019.120763436</v>
      </c>
      <c r="I15" s="0" t="n">
        <f aca="false">I13-MAX(0,I13)*I14/100</f>
        <v>122589.694386339</v>
      </c>
      <c r="J15" s="0" t="n">
        <f aca="false">J13-MAX(0,J13)*J14/100</f>
        <v>125654.436745998</v>
      </c>
      <c r="K15" s="0" t="n">
        <f aca="false">K13-MAX(0,K13)*K14/100</f>
        <v>128167.525480918</v>
      </c>
      <c r="L15" s="0" t="n">
        <f aca="false">L13-MAX(0,L13)*L14/100</f>
        <v>130730.875990536</v>
      </c>
    </row>
    <row r="16" customFormat="false" ht="15" hidden="false" customHeight="false" outlineLevel="0" collapsed="false">
      <c r="A16" s="0" t="s">
        <v>124</v>
      </c>
      <c r="C16" s="0" t="n">
        <f aca="false">-C12</f>
        <v>101268.33649</v>
      </c>
      <c r="D16" s="0" t="n">
        <f aca="false">-D12</f>
        <v>108338.012811</v>
      </c>
      <c r="E16" s="0" t="n">
        <f aca="false">-E12</f>
        <v>115861.485922875</v>
      </c>
      <c r="F16" s="0" t="n">
        <f aca="false">-F12</f>
        <v>120495.94535979</v>
      </c>
      <c r="G16" s="0" t="n">
        <f aca="false">-G12</f>
        <v>127594.251959167</v>
      </c>
      <c r="H16" s="0" t="n">
        <f aca="false">-H12</f>
        <v>131422.079517942</v>
      </c>
      <c r="I16" s="0" t="n">
        <f aca="false">-I12</f>
        <v>135364.74190348</v>
      </c>
      <c r="J16" s="0" t="n">
        <f aca="false">-J12</f>
        <v>138748.860451067</v>
      </c>
      <c r="K16" s="0" t="n">
        <f aca="false">-K12</f>
        <v>141523.837660088</v>
      </c>
      <c r="L16" s="0" t="n">
        <f aca="false">-L12</f>
        <v>144354.31441329</v>
      </c>
    </row>
    <row r="17" customFormat="false" ht="15" hidden="false" customHeight="false" outlineLevel="0" collapsed="false">
      <c r="A17" s="0" t="s">
        <v>125</v>
      </c>
      <c r="C17" s="4" t="n">
        <f aca="false">-C6*Assumptions!C46/100</f>
        <v>-135661.35643</v>
      </c>
      <c r="D17" s="4" t="n">
        <f aca="false">-D6*Assumptions!D46/100</f>
        <v>-136425.645762</v>
      </c>
      <c r="E17" s="4" t="n">
        <f aca="false">-E6*Assumptions!E46/100</f>
        <v>-136927.210636125</v>
      </c>
      <c r="F17" s="4" t="n">
        <f aca="false">-F6*Assumptions!F46/100</f>
        <v>-138022.628321214</v>
      </c>
      <c r="G17" s="4" t="n">
        <f aca="false">-G6*Assumptions!G46/100</f>
        <v>-141265.064669077</v>
      </c>
      <c r="H17" s="4" t="n">
        <f aca="false">-H6*Assumptions!H46/100</f>
        <v>-143156.193760615</v>
      </c>
      <c r="I17" s="4" t="n">
        <f aca="false">-I6*Assumptions!I46/100</f>
        <v>-145033.652039443</v>
      </c>
      <c r="J17" s="4" t="n">
        <f aca="false">-J6*Assumptions!J46/100</f>
        <v>-148659.493340429</v>
      </c>
      <c r="K17" s="4" t="n">
        <f aca="false">-K6*Assumptions!K46/100</f>
        <v>-151632.683207238</v>
      </c>
      <c r="L17" s="4" t="n">
        <f aca="false">-L6*Assumptions!L46/100</f>
        <v>-154665.336871382</v>
      </c>
    </row>
    <row r="18" customFormat="false" ht="15" hidden="false" customHeight="false" outlineLevel="0" collapsed="false">
      <c r="A18" s="0" t="s">
        <v>126</v>
      </c>
      <c r="C18" s="4" t="n">
        <f aca="false">(C6-B6)*Assumptions!$B$51/100</f>
        <v>-29036.3196</v>
      </c>
      <c r="D18" s="4" t="n">
        <f aca="false">(D6-C6)*Assumptions!$B$51/100</f>
        <v>-11464.33998</v>
      </c>
      <c r="E18" s="4" t="n">
        <f aca="false">(E6-D6)*Assumptions!$B$51/100</f>
        <v>-12037.556979</v>
      </c>
      <c r="F18" s="4" t="n">
        <f aca="false">(F6-E6)*Assumptions!$B$51/100</f>
        <v>-10111.54786236</v>
      </c>
      <c r="G18" s="4" t="n">
        <f aca="false">(G6-F6)*Assumptions!$B$51/100</f>
        <v>-10516.0097768544</v>
      </c>
      <c r="H18" s="4" t="n">
        <f aca="false">(H6-G6)*Assumptions!$B$51/100</f>
        <v>-8202.48762594642</v>
      </c>
      <c r="I18" s="4" t="n">
        <f aca="false">(I6-H6)*Assumptions!$B$51/100</f>
        <v>-8448.56225472484</v>
      </c>
      <c r="J18" s="4" t="n">
        <f aca="false">(J6-I6)*Assumptions!$B$51/100</f>
        <v>-7251.68260197211</v>
      </c>
      <c r="K18" s="4" t="n">
        <f aca="false">(K6-J6)*Assumptions!$B$51/100</f>
        <v>-5946.37973361718</v>
      </c>
      <c r="L18" s="4" t="n">
        <f aca="false">(L6-K6)*Assumptions!$B$51/100</f>
        <v>-6065.30732828949</v>
      </c>
    </row>
    <row r="19" customFormat="false" ht="15" hidden="false" customHeight="false" outlineLevel="0" collapsed="false">
      <c r="A19" s="0" t="s">
        <v>127</v>
      </c>
      <c r="C19" s="0" t="n">
        <f aca="false">C15+C16+C17+C18</f>
        <v>4468.21399155004</v>
      </c>
      <c r="D19" s="0" t="n">
        <f aca="false">D15+D16+D17+D18</f>
        <v>38662.0535400525</v>
      </c>
      <c r="E19" s="0" t="n">
        <f aca="false">E15+E16+E17+E18</f>
        <v>56289.1211284263</v>
      </c>
      <c r="F19" s="0" t="n">
        <f aca="false">F15+F16+F17+F18</f>
        <v>74399.9265422564</v>
      </c>
      <c r="G19" s="0" t="n">
        <f aca="false">G15+G16+G17+G18</f>
        <v>91365.7219437553</v>
      </c>
      <c r="H19" s="0" t="n">
        <f aca="false">H15+H16+H17+H18</f>
        <v>99082.5188948162</v>
      </c>
      <c r="I19" s="0" t="n">
        <f aca="false">I15+I16+I17+I18</f>
        <v>104472.221995651</v>
      </c>
      <c r="J19" s="0" t="n">
        <f aca="false">J15+J16+J17+J18</f>
        <v>108492.121254663</v>
      </c>
      <c r="K19" s="0" t="n">
        <f aca="false">K15+K16+K17+K18</f>
        <v>112112.300200151</v>
      </c>
      <c r="L19" s="0" t="n">
        <f aca="false">L15+L16+L17+L18</f>
        <v>114354.546204154</v>
      </c>
    </row>
    <row r="20" customFormat="false" ht="15" hidden="false" customHeight="false" outlineLevel="0" collapsed="false">
      <c r="A20" s="0" t="s">
        <v>128</v>
      </c>
      <c r="C20" s="0" t="n">
        <f aca="false">1/(1+$B$27/100)^C4</f>
        <v>0.934579439252336</v>
      </c>
      <c r="D20" s="0" t="n">
        <f aca="false">1/(1+$B$27/100)^D4</f>
        <v>0.873438728273212</v>
      </c>
      <c r="E20" s="0" t="n">
        <f aca="false">1/(1+$B$27/100)^E4</f>
        <v>0.816297876890852</v>
      </c>
      <c r="F20" s="0" t="n">
        <f aca="false">1/(1+$B$27/100)^F4</f>
        <v>0.762895212047525</v>
      </c>
      <c r="G20" s="0" t="n">
        <f aca="false">1/(1+$B$27/100)^G4</f>
        <v>0.712986179483668</v>
      </c>
      <c r="H20" s="0" t="n">
        <f aca="false">1/(1+$B$27/100)^H4</f>
        <v>0.666342223816512</v>
      </c>
      <c r="I20" s="0" t="n">
        <f aca="false">1/(1+$B$27/100)^I4</f>
        <v>0.622749741884591</v>
      </c>
      <c r="J20" s="0" t="n">
        <f aca="false">1/(1+$B$27/100)^J4</f>
        <v>0.582009104565038</v>
      </c>
      <c r="K20" s="0" t="n">
        <f aca="false">1/(1+$B$27/100)^K4</f>
        <v>0.543933742584148</v>
      </c>
      <c r="L20" s="0" t="n">
        <f aca="false">1/(1+$B$27/100)^L4</f>
        <v>0.508349292134718</v>
      </c>
    </row>
    <row r="21" customFormat="false" ht="15" hidden="false" customHeight="false" outlineLevel="0" collapsed="false">
      <c r="A21" s="0" t="s">
        <v>129</v>
      </c>
      <c r="C21" s="0" t="n">
        <f aca="false">C19*C20</f>
        <v>4175.90092668228</v>
      </c>
      <c r="D21" s="0" t="n">
        <f aca="false">D19*D20</f>
        <v>33768.9348764543</v>
      </c>
      <c r="E21" s="0" t="n">
        <f aca="false">E19*E20</f>
        <v>45948.6900691864</v>
      </c>
      <c r="F21" s="0" t="n">
        <f aca="false">F19*F20</f>
        <v>56759.347735775</v>
      </c>
      <c r="G21" s="0" t="n">
        <f aca="false">G19*G20</f>
        <v>65142.4970244452</v>
      </c>
      <c r="H21" s="0" t="n">
        <f aca="false">H19*H20</f>
        <v>66022.8659817134</v>
      </c>
      <c r="I21" s="0" t="n">
        <f aca="false">I19*I20</f>
        <v>65060.0492819016</v>
      </c>
      <c r="J21" s="0" t="n">
        <f aca="false">J19*J20</f>
        <v>63143.4023437882</v>
      </c>
      <c r="K21" s="0" t="n">
        <f aca="false">K19*K20</f>
        <v>60981.6630375857</v>
      </c>
      <c r="L21" s="0" t="n">
        <f aca="false">L19*L20</f>
        <v>58132.0526152687</v>
      </c>
    </row>
    <row r="23" customFormat="false" ht="15" hidden="false" customHeight="false" outlineLevel="0" collapsed="false">
      <c r="A23" s="0" t="s">
        <v>105</v>
      </c>
      <c r="C23" s="4" t="n">
        <f aca="false">Assumptions!C44</f>
        <v>0.55</v>
      </c>
      <c r="D23" s="4" t="n">
        <f aca="false">Assumptions!D44</f>
        <v>0.55</v>
      </c>
      <c r="E23" s="4" t="n">
        <f aca="false">Assumptions!E44</f>
        <v>0.55</v>
      </c>
      <c r="F23" s="4" t="n">
        <f aca="false">Assumptions!F44</f>
        <v>0.55</v>
      </c>
      <c r="G23" s="4" t="n">
        <f aca="false">Assumptions!G44</f>
        <v>0.55</v>
      </c>
      <c r="H23" s="4" t="n">
        <f aca="false">Assumptions!H44</f>
        <v>0.55</v>
      </c>
      <c r="I23" s="4" t="n">
        <f aca="false">Assumptions!I44</f>
        <v>0.55</v>
      </c>
      <c r="J23" s="4" t="n">
        <f aca="false">Assumptions!J44</f>
        <v>0.55</v>
      </c>
      <c r="K23" s="4" t="n">
        <f aca="false">Assumptions!K44</f>
        <v>0.55</v>
      </c>
      <c r="L23" s="4" t="n">
        <f aca="false">Assumptions!L44</f>
        <v>0.55</v>
      </c>
    </row>
    <row r="24" customFormat="false" ht="15" hidden="false" customHeight="false" outlineLevel="0" collapsed="false">
      <c r="A24" s="0" t="s">
        <v>130</v>
      </c>
      <c r="C24" s="0" t="n">
        <f aca="false">-C6*C23/100</f>
        <v>-10508.978315</v>
      </c>
      <c r="D24" s="0" t="n">
        <f aca="false">-D6*D23/100</f>
        <v>-11034.42723075</v>
      </c>
      <c r="E24" s="0" t="n">
        <f aca="false">-E6*E23/100</f>
        <v>-11586.1485922875</v>
      </c>
      <c r="F24" s="0" t="n">
        <f aca="false">-F6*F23/100</f>
        <v>-12049.594535979</v>
      </c>
      <c r="G24" s="0" t="n">
        <f aca="false">-G6*G23/100</f>
        <v>-12531.5783174182</v>
      </c>
      <c r="H24" s="0" t="n">
        <f aca="false">-H6*H23/100</f>
        <v>-12907.5256669407</v>
      </c>
      <c r="I24" s="0" t="n">
        <f aca="false">-I6*I23/100</f>
        <v>-13294.7514369489</v>
      </c>
      <c r="J24" s="0" t="n">
        <f aca="false">-J6*J23/100</f>
        <v>-13627.1202228727</v>
      </c>
      <c r="K24" s="0" t="n">
        <f aca="false">-K6*K23/100</f>
        <v>-13899.6626273301</v>
      </c>
      <c r="L24" s="0" t="n">
        <f aca="false">-L6*L23/100</f>
        <v>-14177.6558798767</v>
      </c>
    </row>
    <row r="26" customFormat="false" ht="15" hidden="false" customHeight="false" outlineLevel="0" collapsed="false">
      <c r="A26" s="2" t="s">
        <v>131</v>
      </c>
    </row>
    <row r="27" customFormat="false" ht="15" hidden="false" customHeight="false" outlineLevel="0" collapsed="false">
      <c r="A27" s="0" t="s">
        <v>109</v>
      </c>
      <c r="B27" s="4" t="n">
        <f aca="false">Assumptions!$B$48</f>
        <v>7</v>
      </c>
    </row>
    <row r="28" customFormat="false" ht="15" hidden="false" customHeight="false" outlineLevel="0" collapsed="false">
      <c r="A28" s="0" t="s">
        <v>110</v>
      </c>
      <c r="B28" s="4" t="n">
        <f aca="false">Assumptions!$B$49</f>
        <v>2</v>
      </c>
    </row>
    <row r="29" customFormat="false" ht="15" hidden="false" customHeight="false" outlineLevel="0" collapsed="false">
      <c r="A29" s="0" t="s">
        <v>111</v>
      </c>
      <c r="B29" s="4" t="n">
        <f aca="false">Assumptions!$B$50</f>
        <v>15</v>
      </c>
    </row>
    <row r="30" customFormat="false" ht="15" hidden="false" customHeight="false" outlineLevel="0" collapsed="false">
      <c r="A30" s="0" t="s">
        <v>132</v>
      </c>
      <c r="B30" s="0" t="n">
        <f aca="false">SUM(C21:L21)</f>
        <v>519135.403892801</v>
      </c>
    </row>
    <row r="31" customFormat="false" ht="15" hidden="false" customHeight="false" outlineLevel="0" collapsed="false">
      <c r="A31" s="0" t="s">
        <v>133</v>
      </c>
      <c r="B31" s="0" t="n">
        <f aca="false">L19</f>
        <v>114354.546204154</v>
      </c>
    </row>
    <row r="32" customFormat="false" ht="15" hidden="false" customHeight="false" outlineLevel="0" collapsed="false">
      <c r="A32" s="0" t="s">
        <v>134</v>
      </c>
      <c r="B32" s="0" t="n">
        <f aca="false">IF(B27&gt;B28,B31*(1+B28/100)/((B27-B28)/100),B31*B29)</f>
        <v>2332832.74256475</v>
      </c>
    </row>
    <row r="33" customFormat="false" ht="15" hidden="false" customHeight="false" outlineLevel="0" collapsed="false">
      <c r="A33" s="0" t="s">
        <v>135</v>
      </c>
      <c r="B33" s="0" t="n">
        <f aca="false">B31*B29</f>
        <v>1715318.19306231</v>
      </c>
    </row>
    <row r="34" customFormat="false" ht="15" hidden="false" customHeight="false" outlineLevel="0" collapsed="false">
      <c r="A34" s="0" t="s">
        <v>136</v>
      </c>
      <c r="B34" s="0" t="n">
        <f aca="false">MAX(0,MIN(B32,B33))</f>
        <v>1715318.19306231</v>
      </c>
    </row>
    <row r="35" customFormat="false" ht="15" hidden="false" customHeight="false" outlineLevel="0" collapsed="false">
      <c r="A35" s="0" t="s">
        <v>137</v>
      </c>
      <c r="B35" s="0" t="n">
        <f aca="false">B34/(1+B27/100)^L4</f>
        <v>871980.78922903</v>
      </c>
    </row>
    <row r="36" customFormat="false" ht="15" hidden="false" customHeight="false" outlineLevel="0" collapsed="false">
      <c r="A36" s="0" t="s">
        <v>138</v>
      </c>
      <c r="B36" s="0" t="n">
        <f aca="false">B30+B35</f>
        <v>1391116.19312183</v>
      </c>
    </row>
    <row r="37" customFormat="false" ht="15" hidden="false" customHeight="false" outlineLevel="0" collapsed="false">
      <c r="A37" s="0" t="s">
        <v>139</v>
      </c>
      <c r="B37" s="0" t="n">
        <f aca="false">B36+Assumptions!$B$5-Assumptions!$B$4</f>
        <v>608047.193121831</v>
      </c>
    </row>
    <row r="38" customFormat="false" ht="15" hidden="false" customHeight="false" outlineLevel="0" collapsed="false">
      <c r="A38" s="0" t="s">
        <v>140</v>
      </c>
      <c r="B38" s="0" t="n">
        <f aca="false">B37/Assumptions!$B$3*Assumptions!$B$10</f>
        <v>1682.01625211088</v>
      </c>
    </row>
    <row r="39" customFormat="false" ht="15" hidden="false" customHeight="false" outlineLevel="0" collapsed="false">
      <c r="A39" s="0" t="s">
        <v>141</v>
      </c>
      <c r="B39" s="4" t="n">
        <f aca="false">B38/Assumptions!$B$2-1</f>
        <v>-0.193664308671678</v>
      </c>
    </row>
    <row r="41" customFormat="false" ht="15" hidden="false" customHeight="false" outlineLevel="0" collapsed="false">
      <c r="A41" s="0" t="s">
        <v>142</v>
      </c>
      <c r="B41" s="0" t="n">
        <f aca="false">SUMPRODUCT(-C10:L10/(1+$B$27/100)^C4:L4)</f>
        <v>0</v>
      </c>
    </row>
    <row r="42" customFormat="false" ht="15" hidden="false" customHeight="false" outlineLevel="0" collapsed="false">
      <c r="A42" s="0" t="s">
        <v>143</v>
      </c>
      <c r="B42" s="0" t="n">
        <f aca="false">IF(B27&gt;B28,-L10*(1+B28/100)/((B27-B28)/100),-L10*20)/(1+B27/100)^L4</f>
        <v>0</v>
      </c>
    </row>
    <row r="43" customFormat="false" ht="15" hidden="false" customHeight="false" outlineLevel="0" collapsed="false">
      <c r="A43" s="0" t="s">
        <v>144</v>
      </c>
      <c r="B43" s="0" t="n">
        <f aca="false">(B37+B41+B42)/Assumptions!$B$3*Assumptions!$B$10</f>
        <v>1682.01625211088</v>
      </c>
    </row>
    <row r="45" customFormat="false" ht="15" hidden="false" customHeight="false" outlineLevel="0" collapsed="false">
      <c r="A45" s="0" t="s">
        <v>85</v>
      </c>
      <c r="B45" s="4" t="n">
        <f aca="false">Assumptions!$B$6</f>
        <v>15</v>
      </c>
    </row>
    <row r="46" customFormat="false" ht="15" hidden="false" customHeight="false" outlineLevel="0" collapsed="false">
      <c r="A46" s="0" t="s">
        <v>145</v>
      </c>
      <c r="B46" s="0" t="n">
        <f aca="false">MAX(0,MIN(IF(B45&gt;B28,B31*(1+B28/100)/((B45-B28)/100),B31*B29),B31*B29))</f>
        <v>897243.362524902</v>
      </c>
    </row>
    <row r="47" customFormat="false" ht="15" hidden="false" customHeight="false" outlineLevel="0" collapsed="false">
      <c r="A47" s="0" t="s">
        <v>146</v>
      </c>
      <c r="B47" s="0" t="n">
        <f aca="false">(SUMPRODUCT(C19:L19/(1+B45/100)^C4:L4)+B46/(1+B45/100)^L4+Assumptions!$B$5-Assumptions!$B$4)/Assumptions!$B$3*Assumptions!$B$10</f>
        <v>-623.727897661976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s>
  <sheetData>
    <row r="1" customFormat="false" ht="15" hidden="false" customHeight="false" outlineLevel="0" collapsed="false">
      <c r="A1" s="2" t="s">
        <v>149</v>
      </c>
    </row>
    <row r="3" customFormat="false" ht="15" hidden="false" customHeight="false" outlineLevel="0" collapsed="false">
      <c r="A3" s="2" t="s">
        <v>150</v>
      </c>
      <c r="B3" s="2" t="s">
        <v>151</v>
      </c>
      <c r="C3" s="2" t="s">
        <v>141</v>
      </c>
      <c r="D3" s="2" t="s">
        <v>152</v>
      </c>
      <c r="E3" s="2" t="s">
        <v>144</v>
      </c>
      <c r="F3" s="2" t="s">
        <v>153</v>
      </c>
    </row>
    <row r="4" customFormat="false" ht="15" hidden="false" customHeight="false" outlineLevel="0" collapsed="false">
      <c r="A4" s="0" t="s">
        <v>154</v>
      </c>
      <c r="B4" s="4" t="n">
        <f aca="false">DCF_Bear!$B$38</f>
        <v>-1723.87496255267</v>
      </c>
      <c r="C4" s="0" t="n">
        <f aca="false">B4/Assumptions!$B$2-1</f>
        <v>-1.82640218722563</v>
      </c>
      <c r="D4" s="4" t="n">
        <f aca="false">Assumptions!$B$24</f>
        <v>0.25</v>
      </c>
      <c r="E4" s="4" t="n">
        <f aca="false">DCF_Bear!$B$43</f>
        <v>-1723.87496255267</v>
      </c>
      <c r="F4" s="4" t="n">
        <f aca="false">DCF_Bear!$B$47</f>
        <v>-1973.60060845377</v>
      </c>
    </row>
    <row r="5" customFormat="false" ht="15" hidden="false" customHeight="false" outlineLevel="0" collapsed="false">
      <c r="A5" s="0" t="s">
        <v>155</v>
      </c>
      <c r="B5" s="4" t="n">
        <f aca="false">DCF_Base!$B$38</f>
        <v>136.12313005758</v>
      </c>
      <c r="C5" s="0" t="n">
        <f aca="false">B5/Assumptions!$B$2-1</f>
        <v>-0.934744424708734</v>
      </c>
      <c r="D5" s="4" t="n">
        <f aca="false">Assumptions!$B$38</f>
        <v>0.5</v>
      </c>
      <c r="E5" s="4" t="n">
        <f aca="false">DCF_Base!$B$43</f>
        <v>136.12313005758</v>
      </c>
      <c r="F5" s="4" t="n">
        <f aca="false">DCF_Base!$B$47</f>
        <v>-1229.42736238825</v>
      </c>
    </row>
    <row r="6" customFormat="false" ht="15" hidden="false" customHeight="false" outlineLevel="0" collapsed="false">
      <c r="A6" s="0" t="s">
        <v>156</v>
      </c>
      <c r="B6" s="4" t="n">
        <f aca="false">DCF_Bull!$B$38</f>
        <v>1682.01625211088</v>
      </c>
      <c r="C6" s="0" t="n">
        <f aca="false">B6/Assumptions!$B$2-1</f>
        <v>-0.193664308671678</v>
      </c>
      <c r="D6" s="4" t="n">
        <f aca="false">Assumptions!$B$52</f>
        <v>0.25</v>
      </c>
      <c r="E6" s="4" t="n">
        <f aca="false">DCF_Bull!$B$43</f>
        <v>1682.01625211088</v>
      </c>
      <c r="F6" s="4" t="n">
        <f aca="false">DCF_Bull!$B$47</f>
        <v>-623.727897661976</v>
      </c>
    </row>
    <row r="8" customFormat="false" ht="15" hidden="false" customHeight="false" outlineLevel="0" collapsed="false">
      <c r="A8" s="0" t="s">
        <v>157</v>
      </c>
      <c r="B8" s="0" t="n">
        <f aca="false">SUMPRODUCT(B4:B6,D4:D6)</f>
        <v>57.596887418343</v>
      </c>
    </row>
    <row r="9" customFormat="false" ht="15" hidden="false" customHeight="false" outlineLevel="0" collapsed="false">
      <c r="A9" s="0" t="s">
        <v>158</v>
      </c>
      <c r="B9" s="0" t="n">
        <f aca="false">SUMPRODUCT(E4:E6,D4:D6)</f>
        <v>57.596887418343</v>
      </c>
    </row>
    <row r="10" customFormat="false" ht="15" hidden="false" customHeight="false" outlineLevel="0" collapsed="false">
      <c r="A10" s="0" t="s">
        <v>159</v>
      </c>
      <c r="B10" s="0" t="n">
        <f aca="false">1-Assumptions!$B$2/B8</f>
        <v>-35.2172348802249</v>
      </c>
    </row>
    <row r="11" customFormat="false" ht="15" hidden="false" customHeight="false" outlineLevel="0" collapsed="false">
      <c r="A11" s="0" t="s">
        <v>160</v>
      </c>
      <c r="B11" s="0" t="str">
        <f aca="false">IF(ABS(B9-B8)&gt;0.01*ABS(B8),(Assumptions!$B$2-B8)/(B9-B8)*100,"n/a")</f>
        <v>n/a</v>
      </c>
    </row>
    <row r="12" customFormat="false" ht="15" hidden="false" customHeight="false" outlineLevel="0" collapsed="false">
      <c r="A12" s="0" t="s">
        <v>161</v>
      </c>
      <c r="B12" s="0" t="n">
        <f aca="false">SUMPRODUCT(F4:F6,D4:D6)</f>
        <v>-1264.04580772306</v>
      </c>
    </row>
    <row r="14" customFormat="false" ht="15" hidden="false" customHeight="false" outlineLevel="0" collapsed="false">
      <c r="A14" s="2" t="s">
        <v>162</v>
      </c>
      <c r="C14" s="0" t="s">
        <v>163</v>
      </c>
    </row>
    <row r="15" customFormat="false" ht="15" hidden="false" customHeight="false" outlineLevel="0" collapsed="false">
      <c r="A15" s="0" t="s">
        <v>164</v>
      </c>
      <c r="B15" s="0" t="n">
        <f aca="false">(SUMPRODUCT(DCF_Base!$C$19:$L$19/(1+$C$15/100)^DCF_Base!$C$4:$L$4)+MAX(0,MIN(IF($C$15&gt;DCF_Base!$B$28,DCF_Base!$L$19*(1+DCF_Base!$B$28/100)/(($C$15-DCF_Base!$B$28)/100),DCF_Base!$L$19*DCF_Base!$B$29),DCF_Base!$L$19*DCF_Base!$B$29))/(1+$C$15/100)^DCF_Base!$L$4+Assumptions!$B$5-Assumptions!$B$4)/Assumptions!$B$3*Assumptions!$B$10</f>
        <v>136.12313005758</v>
      </c>
      <c r="C15" s="3" t="n">
        <v>7</v>
      </c>
    </row>
    <row r="16" customFormat="false" ht="15" hidden="false" customHeight="false" outlineLevel="0" collapsed="false">
      <c r="A16" s="0" t="s">
        <v>165</v>
      </c>
      <c r="B16" s="0" t="n">
        <f aca="false">(SUMPRODUCT(DCF_Base!$C$19:$L$19/(1+$C$16/100)^DCF_Base!$C$4:$L$4)+MAX(0,MIN(IF($C$16&gt;DCF_Base!$B$28,DCF_Base!$L$19*(1+DCF_Base!$B$28/100)/(($C$16-DCF_Base!$B$28)/100),DCF_Base!$L$19*DCF_Base!$B$29),DCF_Base!$L$19*DCF_Base!$B$29))/(1+$C$16/100)^DCF_Base!$L$4+Assumptions!$B$5-Assumptions!$B$4)/Assumptions!$B$3*Assumptions!$B$10</f>
        <v>-240.740579440149</v>
      </c>
      <c r="C16" s="3" t="n">
        <v>9</v>
      </c>
    </row>
    <row r="17" customFormat="false" ht="15" hidden="false" customHeight="false" outlineLevel="0" collapsed="false">
      <c r="A17" s="0" t="s">
        <v>166</v>
      </c>
      <c r="B17" s="0" t="n">
        <f aca="false">(SUMPRODUCT(DCF_Base!$C$19:$L$19/(1+$C$17/100)^DCF_Base!$C$4:$L$4)+MAX(0,MIN(IF($C$17&gt;DCF_Base!$B$28,DCF_Base!$L$19*(1+DCF_Base!$B$28/100)/(($C$17-DCF_Base!$B$28)/100),DCF_Base!$L$19*DCF_Base!$B$29),DCF_Base!$L$19*DCF_Base!$B$29))/(1+$C$17/100)^DCF_Base!$L$4+Assumptions!$B$5-Assumptions!$B$4)/Assumptions!$B$3*Assumptions!$B$10</f>
        <v>-505.827702644414</v>
      </c>
      <c r="C17" s="3" t="n">
        <v>10</v>
      </c>
    </row>
    <row r="18" customFormat="false" ht="15" hidden="false" customHeight="false" outlineLevel="0" collapsed="false">
      <c r="A18" s="0" t="s">
        <v>167</v>
      </c>
      <c r="B18" s="0" t="n">
        <f aca="false">(SUMPRODUCT(DCF_Base!$C$19:$L$19/(1+$C$18/100)^DCF_Base!$C$4:$L$4)+MAX(0,MIN(IF($C$18&gt;DCF_Base!$B$28,DCF_Base!$L$19*(1+DCF_Base!$B$28/100)/(($C$18-DCF_Base!$B$28)/100),DCF_Base!$L$19*DCF_Base!$B$29),DCF_Base!$L$19*DCF_Base!$B$29))/(1+$C$18/100)^DCF_Base!$L$4+Assumptions!$B$5-Assumptions!$B$4)/Assumptions!$B$3*Assumptions!$B$10</f>
        <v>-713.813295902143</v>
      </c>
      <c r="C18" s="3" t="n">
        <v>11</v>
      </c>
    </row>
    <row r="19" customFormat="false" ht="15" hidden="false" customHeight="false" outlineLevel="0" collapsed="false">
      <c r="A19" s="0" t="s">
        <v>168</v>
      </c>
      <c r="B19" s="0" t="n">
        <f aca="false">(SUMPRODUCT(DCF_Base!$C$19:$L$19/(1+$C$19/100)^DCF_Base!$C$4:$L$4)+MAX(0,MIN(IF($C$19&gt;DCF_Base!$B$28,DCF_Base!$L$19*(1+DCF_Base!$B$28/100)/(($C$19-DCF_Base!$B$28)/100),DCF_Base!$L$19*DCF_Base!$B$29),DCF_Base!$L$19*DCF_Base!$B$29))/(1+$C$19/100)^DCF_Base!$L$4+Assumptions!$B$5-Assumptions!$B$4)/Assumptions!$B$3*Assumptions!$B$10</f>
        <v>-881.0729448948</v>
      </c>
      <c r="C19" s="3" t="n">
        <v>12</v>
      </c>
    </row>
    <row r="20" customFormat="false" ht="15" hidden="false" customHeight="false" outlineLevel="0" collapsed="false">
      <c r="A20" s="0" t="s">
        <v>169</v>
      </c>
      <c r="B20" s="0" t="n">
        <f aca="false">(SUMPRODUCT(DCF_Base!$C$19:$L$19/(1+$C$20/100)^DCF_Base!$C$4:$L$4)+MAX(0,MIN(IF($C$20&gt;DCF_Base!$B$28,DCF_Base!$L$19*(1+DCF_Base!$B$28/100)/(($C$20-DCF_Base!$B$28)/100),DCF_Base!$L$19*DCF_Base!$B$29),DCF_Base!$L$19*DCF_Base!$B$29))/(1+$C$20/100)^DCF_Base!$L$4+Assumptions!$B$5-Assumptions!$B$4)/Assumptions!$B$3*Assumptions!$B$10</f>
        <v>-1229.42736238825</v>
      </c>
      <c r="C20" s="3" t="n">
        <v>15</v>
      </c>
    </row>
    <row r="22" customFormat="false" ht="15" hidden="false" customHeight="false" outlineLevel="0" collapsed="false">
      <c r="A22" s="2" t="s">
        <v>170</v>
      </c>
    </row>
    <row r="23" customFormat="false" ht="15" hidden="false" customHeight="false" outlineLevel="0" collapsed="false">
      <c r="B23" s="3" t="n">
        <v>0.5</v>
      </c>
      <c r="C23" s="3" t="n">
        <v>1</v>
      </c>
      <c r="D23" s="3" t="n">
        <v>1.5</v>
      </c>
      <c r="E23" s="3" t="n">
        <v>2</v>
      </c>
      <c r="F23" s="3" t="n">
        <v>2.5</v>
      </c>
    </row>
    <row r="24" customFormat="false" ht="15" hidden="false" customHeight="false" outlineLevel="0" collapsed="false">
      <c r="A24" s="3" t="n">
        <v>5</v>
      </c>
      <c r="B24" s="0" t="n">
        <f aca="false">(SUMPRODUCT(DCF_Base!$C$19:$L$19/(1+$A$24/100)^DCF_Base!$C$4:$L$4)+MAX(0,MIN(IF($A$24&gt;$B$23,DCF_Base!$L$19*(1+$B$23/100)/(($A$24-$B$23)/100),DCF_Base!$L$19*DCF_Base!$B$29),DCF_Base!$L$19*DCF_Base!$B$29))/(1+$A$24/100)^DCF_Base!$L$4+Assumptions!$B$5-Assumptions!$B$4)/Assumptions!$B$3*Assumptions!$B$10</f>
        <v>544.84635481049</v>
      </c>
      <c r="C24" s="0" t="n">
        <f aca="false">(SUMPRODUCT(DCF_Base!$C$19:$L$19/(1+$A$24/100)^DCF_Base!$C$4:$L$4)+MAX(0,MIN(IF($A$24&gt;$C$23,DCF_Base!$L$19*(1+$C$23/100)/(($A$24-$C$23)/100),DCF_Base!$L$19*DCF_Base!$B$29),DCF_Base!$L$19*DCF_Base!$B$29))/(1+$A$24/100)^DCF_Base!$L$4+Assumptions!$B$5-Assumptions!$B$4)/Assumptions!$B$3*Assumptions!$B$10</f>
        <v>544.84635481049</v>
      </c>
      <c r="D24" s="0" t="n">
        <f aca="false">(SUMPRODUCT(DCF_Base!$C$19:$L$19/(1+$A$24/100)^DCF_Base!$C$4:$L$4)+MAX(0,MIN(IF($A$24&gt;$D$23,DCF_Base!$L$19*(1+$D$23/100)/(($A$24-$D$23)/100),DCF_Base!$L$19*DCF_Base!$B$29),DCF_Base!$L$19*DCF_Base!$B$29))/(1+$A$24/100)^DCF_Base!$L$4+Assumptions!$B$5-Assumptions!$B$4)/Assumptions!$B$3*Assumptions!$B$10</f>
        <v>544.84635481049</v>
      </c>
      <c r="E24" s="0" t="n">
        <f aca="false">(SUMPRODUCT(DCF_Base!$C$19:$L$19/(1+$A$24/100)^DCF_Base!$C$4:$L$4)+MAX(0,MIN(IF($A$24&gt;$E$23,DCF_Base!$L$19*(1+$E$23/100)/(($A$24-$E$23)/100),DCF_Base!$L$19*DCF_Base!$B$29),DCF_Base!$L$19*DCF_Base!$B$29))/(1+$A$24/100)^DCF_Base!$L$4+Assumptions!$B$5-Assumptions!$B$4)/Assumptions!$B$3*Assumptions!$B$10</f>
        <v>544.84635481049</v>
      </c>
      <c r="F24" s="0" t="n">
        <f aca="false">(SUMPRODUCT(DCF_Base!$C$19:$L$19/(1+$A$24/100)^DCF_Base!$C$4:$L$4)+MAX(0,MIN(IF($A$24&gt;$F$23,DCF_Base!$L$19*(1+$F$23/100)/(($A$24-$F$23)/100),DCF_Base!$L$19*DCF_Base!$B$29),DCF_Base!$L$19*DCF_Base!$B$29))/(1+$A$24/100)^DCF_Base!$L$4+Assumptions!$B$5-Assumptions!$B$4)/Assumptions!$B$3*Assumptions!$B$10</f>
        <v>544.84635481049</v>
      </c>
    </row>
    <row r="25" customFormat="false" ht="15" hidden="false" customHeight="false" outlineLevel="0" collapsed="false">
      <c r="A25" s="3" t="n">
        <v>6</v>
      </c>
      <c r="B25" s="0" t="n">
        <f aca="false">(SUMPRODUCT(DCF_Base!$C$19:$L$19/(1+$A$25/100)^DCF_Base!$C$4:$L$4)+MAX(0,MIN(IF($A$25&gt;$B$23,DCF_Base!$L$19*(1+$B$23/100)/(($A$25-$B$23)/100),DCF_Base!$L$19*DCF_Base!$B$29),DCF_Base!$L$19*DCF_Base!$B$29))/(1+$A$25/100)^DCF_Base!$L$4+Assumptions!$B$5-Assumptions!$B$4)/Assumptions!$B$3*Assumptions!$B$10</f>
        <v>330.628155016421</v>
      </c>
      <c r="C25" s="0" t="n">
        <f aca="false">(SUMPRODUCT(DCF_Base!$C$19:$L$19/(1+$A$25/100)^DCF_Base!$C$4:$L$4)+MAX(0,MIN(IF($A$25&gt;$C$23,DCF_Base!$L$19*(1+$C$23/100)/(($A$25-$C$23)/100),DCF_Base!$L$19*DCF_Base!$B$29),DCF_Base!$L$19*DCF_Base!$B$29))/(1+$A$25/100)^DCF_Base!$L$4+Assumptions!$B$5-Assumptions!$B$4)/Assumptions!$B$3*Assumptions!$B$10</f>
        <v>330.628155016421</v>
      </c>
      <c r="D25" s="0" t="n">
        <f aca="false">(SUMPRODUCT(DCF_Base!$C$19:$L$19/(1+$A$25/100)^DCF_Base!$C$4:$L$4)+MAX(0,MIN(IF($A$25&gt;$D$23,DCF_Base!$L$19*(1+$D$23/100)/(($A$25-$D$23)/100),DCF_Base!$L$19*DCF_Base!$B$29),DCF_Base!$L$19*DCF_Base!$B$29))/(1+$A$25/100)^DCF_Base!$L$4+Assumptions!$B$5-Assumptions!$B$4)/Assumptions!$B$3*Assumptions!$B$10</f>
        <v>330.628155016421</v>
      </c>
      <c r="E25" s="0" t="n">
        <f aca="false">(SUMPRODUCT(DCF_Base!$C$19:$L$19/(1+$A$25/100)^DCF_Base!$C$4:$L$4)+MAX(0,MIN(IF($A$25&gt;$E$23,DCF_Base!$L$19*(1+$E$23/100)/(($A$25-$E$23)/100),DCF_Base!$L$19*DCF_Base!$B$29),DCF_Base!$L$19*DCF_Base!$B$29))/(1+$A$25/100)^DCF_Base!$L$4+Assumptions!$B$5-Assumptions!$B$4)/Assumptions!$B$3*Assumptions!$B$10</f>
        <v>330.628155016421</v>
      </c>
      <c r="F25" s="0" t="n">
        <f aca="false">(SUMPRODUCT(DCF_Base!$C$19:$L$19/(1+$A$25/100)^DCF_Base!$C$4:$L$4)+MAX(0,MIN(IF($A$25&gt;$F$23,DCF_Base!$L$19*(1+$F$23/100)/(($A$25-$F$23)/100),DCF_Base!$L$19*DCF_Base!$B$29),DCF_Base!$L$19*DCF_Base!$B$29))/(1+$A$25/100)^DCF_Base!$L$4+Assumptions!$B$5-Assumptions!$B$4)/Assumptions!$B$3*Assumptions!$B$10</f>
        <v>330.628155016421</v>
      </c>
    </row>
    <row r="26" customFormat="false" ht="15" hidden="false" customHeight="false" outlineLevel="0" collapsed="false">
      <c r="A26" s="3" t="n">
        <v>7</v>
      </c>
      <c r="B26" s="0" t="n">
        <f aca="false">(SUMPRODUCT(DCF_Base!$C$19:$L$19/(1+$A$26/100)^DCF_Base!$C$4:$L$4)+MAX(0,MIN(IF($A$26&gt;$B$23,DCF_Base!$L$19*(1+$B$23/100)/(($A$26-$B$23)/100),DCF_Base!$L$19*DCF_Base!$B$29),DCF_Base!$L$19*DCF_Base!$B$29))/(1+$A$26/100)^DCF_Base!$L$4+Assumptions!$B$5-Assumptions!$B$4)/Assumptions!$B$3*Assumptions!$B$10</f>
        <v>136.12313005758</v>
      </c>
      <c r="C26" s="0" t="n">
        <f aca="false">(SUMPRODUCT(DCF_Base!$C$19:$L$19/(1+$A$26/100)^DCF_Base!$C$4:$L$4)+MAX(0,MIN(IF($A$26&gt;$C$23,DCF_Base!$L$19*(1+$C$23/100)/(($A$26-$C$23)/100),DCF_Base!$L$19*DCF_Base!$B$29),DCF_Base!$L$19*DCF_Base!$B$29))/(1+$A$26/100)^DCF_Base!$L$4+Assumptions!$B$5-Assumptions!$B$4)/Assumptions!$B$3*Assumptions!$B$10</f>
        <v>136.12313005758</v>
      </c>
      <c r="D26" s="0" t="n">
        <f aca="false">(SUMPRODUCT(DCF_Base!$C$19:$L$19/(1+$A$26/100)^DCF_Base!$C$4:$L$4)+MAX(0,MIN(IF($A$26&gt;$D$23,DCF_Base!$L$19*(1+$D$23/100)/(($A$26-$D$23)/100),DCF_Base!$L$19*DCF_Base!$B$29),DCF_Base!$L$19*DCF_Base!$B$29))/(1+$A$26/100)^DCF_Base!$L$4+Assumptions!$B$5-Assumptions!$B$4)/Assumptions!$B$3*Assumptions!$B$10</f>
        <v>136.12313005758</v>
      </c>
      <c r="E26" s="0" t="n">
        <f aca="false">(SUMPRODUCT(DCF_Base!$C$19:$L$19/(1+$A$26/100)^DCF_Base!$C$4:$L$4)+MAX(0,MIN(IF($A$26&gt;$E$23,DCF_Base!$L$19*(1+$E$23/100)/(($A$26-$E$23)/100),DCF_Base!$L$19*DCF_Base!$B$29),DCF_Base!$L$19*DCF_Base!$B$29))/(1+$A$26/100)^DCF_Base!$L$4+Assumptions!$B$5-Assumptions!$B$4)/Assumptions!$B$3*Assumptions!$B$10</f>
        <v>136.12313005758</v>
      </c>
      <c r="F26" s="0" t="n">
        <f aca="false">(SUMPRODUCT(DCF_Base!$C$19:$L$19/(1+$A$26/100)^DCF_Base!$C$4:$L$4)+MAX(0,MIN(IF($A$26&gt;$F$23,DCF_Base!$L$19*(1+$F$23/100)/(($A$26-$F$23)/100),DCF_Base!$L$19*DCF_Base!$B$29),DCF_Base!$L$19*DCF_Base!$B$29))/(1+$A$26/100)^DCF_Base!$L$4+Assumptions!$B$5-Assumptions!$B$4)/Assumptions!$B$3*Assumptions!$B$10</f>
        <v>136.12313005758</v>
      </c>
    </row>
    <row r="27" customFormat="false" ht="15" hidden="false" customHeight="false" outlineLevel="0" collapsed="false">
      <c r="A27" s="3" t="n">
        <v>8</v>
      </c>
      <c r="B27" s="0" t="n">
        <f aca="false">(SUMPRODUCT(DCF_Base!$C$19:$L$19/(1+$A$27/100)^DCF_Base!$C$4:$L$4)+MAX(0,MIN(IF($A$27&gt;$B$23,DCF_Base!$L$19*(1+$B$23/100)/(($A$27-$B$23)/100),DCF_Base!$L$19*DCF_Base!$B$29),DCF_Base!$L$19*DCF_Base!$B$29))/(1+$A$27/100)^DCF_Base!$L$4+Assumptions!$B$5-Assumptions!$B$4)/Assumptions!$B$3*Assumptions!$B$10</f>
        <v>-95.8784413160047</v>
      </c>
      <c r="C27" s="0" t="n">
        <f aca="false">(SUMPRODUCT(DCF_Base!$C$19:$L$19/(1+$A$27/100)^DCF_Base!$C$4:$L$4)+MAX(0,MIN(IF($A$27&gt;$C$23,DCF_Base!$L$19*(1+$C$23/100)/(($A$27-$C$23)/100),DCF_Base!$L$19*DCF_Base!$B$29),DCF_Base!$L$19*DCF_Base!$B$29))/(1+$A$27/100)^DCF_Base!$L$4+Assumptions!$B$5-Assumptions!$B$4)/Assumptions!$B$3*Assumptions!$B$10</f>
        <v>-40.6863362824811</v>
      </c>
      <c r="D27" s="0" t="n">
        <f aca="false">(SUMPRODUCT(DCF_Base!$C$19:$L$19/(1+$A$27/100)^DCF_Base!$C$4:$L$4)+MAX(0,MIN(IF($A$27&gt;$D$23,DCF_Base!$L$19*(1+$D$23/100)/(($A$27-$D$23)/100),DCF_Base!$L$19*DCF_Base!$B$29),DCF_Base!$L$19*DCF_Base!$B$29))/(1+$A$27/100)^DCF_Base!$L$4+Assumptions!$B$5-Assumptions!$B$4)/Assumptions!$B$3*Assumptions!$B$10</f>
        <v>-40.6863362824811</v>
      </c>
      <c r="E27" s="0" t="n">
        <f aca="false">(SUMPRODUCT(DCF_Base!$C$19:$L$19/(1+$A$27/100)^DCF_Base!$C$4:$L$4)+MAX(0,MIN(IF($A$27&gt;$E$23,DCF_Base!$L$19*(1+$E$23/100)/(($A$27-$E$23)/100),DCF_Base!$L$19*DCF_Base!$B$29),DCF_Base!$L$19*DCF_Base!$B$29))/(1+$A$27/100)^DCF_Base!$L$4+Assumptions!$B$5-Assumptions!$B$4)/Assumptions!$B$3*Assumptions!$B$10</f>
        <v>-40.6863362824811</v>
      </c>
      <c r="F27" s="0" t="n">
        <f aca="false">(SUMPRODUCT(DCF_Base!$C$19:$L$19/(1+$A$27/100)^DCF_Base!$C$4:$L$4)+MAX(0,MIN(IF($A$27&gt;$F$23,DCF_Base!$L$19*(1+$F$23/100)/(($A$27-$F$23)/100),DCF_Base!$L$19*DCF_Base!$B$29),DCF_Base!$L$19*DCF_Base!$B$29))/(1+$A$27/100)^DCF_Base!$L$4+Assumptions!$B$5-Assumptions!$B$4)/Assumptions!$B$3*Assumptions!$B$10</f>
        <v>-40.6863362824811</v>
      </c>
    </row>
    <row r="28" customFormat="false" ht="15" hidden="false" customHeight="false" outlineLevel="0" collapsed="false">
      <c r="A28" s="3" t="n">
        <v>9</v>
      </c>
      <c r="B28" s="0" t="n">
        <f aca="false">(SUMPRODUCT(DCF_Base!$C$19:$L$19/(1+$A$28/100)^DCF_Base!$C$4:$L$4)+MAX(0,MIN(IF($A$28&gt;$B$23,DCF_Base!$L$19*(1+$B$23/100)/(($A$28-$B$23)/100),DCF_Base!$L$19*DCF_Base!$B$29),DCF_Base!$L$19*DCF_Base!$B$29))/(1+$A$28/100)^DCF_Base!$L$4+Assumptions!$B$5-Assumptions!$B$4)/Assumptions!$B$3*Assumptions!$B$10</f>
        <v>-384.172096636407</v>
      </c>
      <c r="C28" s="0" t="n">
        <f aca="false">(SUMPRODUCT(DCF_Base!$C$19:$L$19/(1+$A$28/100)^DCF_Base!$C$4:$L$4)+MAX(0,MIN(IF($A$28&gt;$C$23,DCF_Base!$L$19*(1+$C$23/100)/(($A$28-$C$23)/100),DCF_Base!$L$19*DCF_Base!$B$29),DCF_Base!$L$19*DCF_Base!$B$29))/(1+$A$28/100)^DCF_Base!$L$4+Assumptions!$B$5-Assumptions!$B$4)/Assumptions!$B$3*Assumptions!$B$10</f>
        <v>-316.938572950661</v>
      </c>
      <c r="D28" s="0" t="n">
        <f aca="false">(SUMPRODUCT(DCF_Base!$C$19:$L$19/(1+$A$28/100)^DCF_Base!$C$4:$L$4)+MAX(0,MIN(IF($A$28&gt;$D$23,DCF_Base!$L$19*(1+$D$23/100)/(($A$28-$D$23)/100),DCF_Base!$L$19*DCF_Base!$B$29),DCF_Base!$L$19*DCF_Base!$B$29))/(1+$A$28/100)^DCF_Base!$L$4+Assumptions!$B$5-Assumptions!$B$4)/Assumptions!$B$3*Assumptions!$B$10</f>
        <v>-240.740579440149</v>
      </c>
      <c r="E28" s="0" t="n">
        <f aca="false">(SUMPRODUCT(DCF_Base!$C$19:$L$19/(1+$A$28/100)^DCF_Base!$C$4:$L$4)+MAX(0,MIN(IF($A$28&gt;$E$23,DCF_Base!$L$19*(1+$E$23/100)/(($A$28-$E$23)/100),DCF_Base!$L$19*DCF_Base!$B$29),DCF_Base!$L$19*DCF_Base!$B$29))/(1+$A$28/100)^DCF_Base!$L$4+Assumptions!$B$5-Assumptions!$B$4)/Assumptions!$B$3*Assumptions!$B$10</f>
        <v>-201.592986443922</v>
      </c>
      <c r="F28" s="0" t="n">
        <f aca="false">(SUMPRODUCT(DCF_Base!$C$19:$L$19/(1+$A$28/100)^DCF_Base!$C$4:$L$4)+MAX(0,MIN(IF($A$28&gt;$F$23,DCF_Base!$L$19*(1+$F$23/100)/(($A$28-$F$23)/100),DCF_Base!$L$19*DCF_Base!$B$29),DCF_Base!$L$19*DCF_Base!$B$29))/(1+$A$28/100)^DCF_Base!$L$4+Assumptions!$B$5-Assumptions!$B$4)/Assumptions!$B$3*Assumptions!$B$10</f>
        <v>-201.592986443922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2026-10-31T00:26:33Z</dcterms:created>
  <dc:creator>openpyxl</dc:creator>
  <dc:description/>
  <dc:language>en-NZ</dc:language>
  <cp:lastModifiedBy/>
  <dcterms:modified xsi:type="dcterms:W3CDTF">2026-10-31T00:26:33Z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