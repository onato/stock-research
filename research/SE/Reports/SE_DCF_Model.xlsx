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Monee" sheetId="7" state="visible" r:id="rId7"/>
    <sheet xmlns:r="http://schemas.openxmlformats.org/officeDocument/2006/relationships" name="FCF_Quality" sheetId="8" state="visible" r:id="rId8"/>
    <sheet xmlns:r="http://schemas.openxmlformats.org/officeDocument/2006/relationships" name="Valu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&quot;$&quot;#,##0.00"/>
    <numFmt numFmtId="166" formatCode="0.0%"/>
    <numFmt numFmtId="167" formatCode="0.000"/>
    <numFmt numFmtId="168" formatCode="0.0&quot;x&quot;"/>
  </numFmts>
  <fonts count="5">
    <font>
      <name val="Calibri"/>
      <family val="2"/>
      <color theme="1"/>
      <sz val="11"/>
      <scheme val="minor"/>
    </font>
    <font>
      <b val="1"/>
    </font>
    <font>
      <color rgb="000000CC"/>
    </font>
    <font>
      <color rgb="00000000"/>
    </font>
    <font>
      <color rgb="00006600"/>
    </font>
  </fonts>
  <fills count="4">
    <fill>
      <patternFill/>
    </fill>
    <fill>
      <patternFill patternType="gray125"/>
    </fill>
    <fill>
      <patternFill patternType="solid">
        <fgColor rgb="00FFF2AB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2" borderId="0" pivotButton="0" quotePrefix="0" xfId="0"/>
    <xf numFmtId="166" fontId="2" fillId="0" borderId="0" pivotButton="0" quotePrefix="0" xfId="0"/>
    <xf numFmtId="164" fontId="3" fillId="3" borderId="0" pivotButton="0" quotePrefix="0" xfId="0"/>
    <xf numFmtId="3" fontId="2" fillId="2" borderId="0" pivotButton="0" quotePrefix="0" xfId="0"/>
    <xf numFmtId="166" fontId="3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3" fillId="0" borderId="0" pivotButton="0" quotePrefix="0" xfId="0"/>
    <xf numFmtId="166" fontId="4" fillId="0" borderId="0" pivotButton="0" quotePrefix="0" xfId="0"/>
    <xf numFmtId="168" fontId="3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SE (Sea Limited, NYSE) DCF model - version 1.0, fresh build (no prior SE DCF superseded)</t>
        </is>
      </c>
    </row>
    <row r="2">
      <c r="A2" t="inlineStr">
        <is>
          <t>Built by the dcf-analyst agent (Claude / Fable 5) on 2026-08-26 at the user's request.</t>
        </is>
      </c>
    </row>
    <row r="3">
      <c r="A3" t="inlineStr"/>
    </row>
    <row r="4">
      <c r="A4" s="1" t="inlineStr">
        <is>
          <t>DATA VINTAGE</t>
        </is>
      </c>
    </row>
    <row r="5">
      <c r="A5" t="inlineStr">
        <is>
          <t>Price $123.18 USD, Yahoo Finance regular close 2026-08-25T20:00:02Z (verified live). 52w range $77.05-$199.30.</t>
        </is>
      </c>
    </row>
    <row r="6">
      <c r="A6" t="inlineStr">
        <is>
          <t>Balance sheet: 30-Jun-2026 (H1-2026 6-K filed 2026-08-11, EX-99.1 of accession 0001193125-26-344596). All bridge anchors incl. short-term investments $5,569.6m are 30-Jun-2026.</t>
        </is>
      </c>
    </row>
    <row r="7">
      <c r="A7" t="inlineStr">
        <is>
          <t>Shares: 634.5m weighted-average DILUTED ADS, H1-2026 6-K (basic 611.5m). Held flat - SBC fully expensed.</t>
        </is>
      </c>
    </row>
    <row r="8">
      <c r="A8" t="inlineStr">
        <is>
          <t>Guidance: FY2026 - Shopee GMV ~25% growth; Shopee adjusted EBITDA &gt;= FY2025 in absolute dollars and to exceed $1bn (management is explicitly trading margin for growth). H1-2026 actuals: revenue $14,885m +47.4%, operating income $1,243m +31.7%, SBC $294m.</t>
        </is>
      </c>
    </row>
    <row r="9">
      <c r="A9" t="inlineStr"/>
    </row>
    <row r="10">
      <c r="A10" t="inlineStr">
        <is>
          <t>METHODOLOGY - SUM OF THE PARTS (routed via dcf-methods SKILL.md: Sea straddles two rows)</t>
        </is>
      </c>
    </row>
    <row r="11">
      <c r="A11" t="inlineStr">
        <is>
          <t>1. OpCo (Shopee + Garena + corporate): 10-year component owner-FCF DCF per references/owner-fcf.md. FY0 revenue $19,138m = group $22,938m less Monee $3,800m. WACC 11.5% (USD flows; rf 4.3% + 1.35x4.5% ERP + ~1.1pp EM/FX premium). Identical WACC across scenarios - competitive and title risk priced in the scenario flows, not stacked on the rate.</t>
        </is>
      </c>
    </row>
    <row r="12">
      <c r="A12" t="inlineStr">
        <is>
          <t>2. Monee (digital financial services): an embedded EM consumer lender ($11.1bn principal at Jun-2026, +62.5% YoY, deposit/escrow funded) valued on DISTRIBUTABLE earnings = post-tax earnings less equity retained at 15% of loan-book growth, discounted at 14.5% cost of equity. A lender does not fit an FCF DCF: its book build sits in investing activities while provisions are added back in OCF, so consolidated FCF misstates it in both directions. Deposits/escrow are NOT net debt.</t>
        </is>
      </c>
    </row>
    <row r="13">
      <c r="A13" t="inlineStr">
        <is>
          <t>3. Surplus corporate net cash $4,878m added once in the bridge: cash 3,529.3 + ST inv 5,569.6 - 900 deposit-liquidity reserve - 1,100 escrow reserve (filed shortfall ~$868m: escrow 3,329.8 vs restricted cash 2,461.5; extra $232m is deliberate conservatism) - 2,220.6 corporate debt (borrowings 1,224.3 + converts 996.3). Gross cash is NOT all distributable.</t>
        </is>
      </c>
    </row>
    <row r="14">
      <c r="A14" t="inlineStr">
        <is>
          <t>Leases: US GAAP ASC 842 - operating lease cost already inside adj EBITDA; operating lease liabilities ($1,906m) EXCLUDED from debt. Finance leases immaterial ($45m). One treatment, charged once.</t>
        </is>
      </c>
    </row>
    <row r="15">
      <c r="A15" t="inlineStr">
        <is>
          <t>SBC: fully expensed as % of revenue (house basis); street basis (SBC as non-cash) reported alongside. Flat share count - expensing SBC AND diluting would double-charge.</t>
        </is>
      </c>
    </row>
    <row r="16">
      <c r="A16" t="inlineStr">
        <is>
          <t>Terminal value: max(0, min(Gordon, cap x FCF10)). Caps: 20x base/bull, 15x bear OpCo; Monee exit-P/E caps 12/14/10x.</t>
        </is>
      </c>
    </row>
    <row r="17">
      <c r="A17" t="inlineStr"/>
    </row>
    <row r="18">
      <c r="A18" s="1" t="inlineStr">
        <is>
          <t>JUDGMENTS</t>
        </is>
      </c>
    </row>
    <row r="19">
      <c r="A19" t="inlineStr">
        <is>
          <t>Scenario driver paths are the dcf-analyst agent's judgment, set 2026-08-26, anchored to H1-2026 actuals and FY2026 guidance. Weights 25/50/25 bear/base/bull (bear raised from house 15%: TikTok subsidy-war axis AND Monee credit-cycle axis are independent; bull trimmed: needs several things right at once).</t>
        </is>
      </c>
    </row>
    <row r="20">
      <c r="A20" t="inlineStr">
        <is>
          <t>The stable ~1.0% 90-day NPL is treated as WEAK evidence of credit quality - the denominator grows 62% YoY with unseasoned loans, and provisions (+68.5% YoY) are outgrowing the book.</t>
        </is>
      </c>
    </row>
    <row r="21">
      <c r="A21" t="inlineStr"/>
    </row>
    <row r="22">
      <c r="A22" t="inlineStr">
        <is>
          <t>REFRESH AFTER NEXT PRINT: price/timestamp; Q3 balance sheet (cash, ST investments, deposits, escrow, loan book); Monee provisions and NPL vintage detail; Shopee adj EBITDA vs the &gt;=$1bn guide; buyback pace vs SBC.</t>
        </is>
      </c>
    </row>
    <row r="23">
      <c r="A23" t="inlineStr"/>
    </row>
    <row r="24">
      <c r="A24" t="inlineStr">
        <is>
          <t>CELL LEGEND: blue = hardcoded input, yellow fill = key driver lever, black = formula, green = cross-sheet link. Figures go stale; this file is a model, not a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Metric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H1-2026</t>
        </is>
      </c>
    </row>
    <row r="2">
      <c r="A2" t="inlineStr">
        <is>
          <t>Revenue ($m)</t>
        </is>
      </c>
      <c r="B2" s="2" t="n">
        <v>4375.7</v>
      </c>
      <c r="C2" s="2" t="n">
        <v>9955.200000000001</v>
      </c>
      <c r="D2" s="2" t="n">
        <v>12449.7</v>
      </c>
      <c r="E2" s="2" t="n">
        <v>13063.6</v>
      </c>
      <c r="F2" s="2" t="n">
        <v>16819.9</v>
      </c>
      <c r="G2" s="2" t="n">
        <v>22938.5</v>
      </c>
      <c r="H2" s="2" t="n">
        <v>14885.3</v>
      </c>
    </row>
    <row r="3">
      <c r="A3" t="inlineStr">
        <is>
          <t>Gross profit ($m)</t>
        </is>
      </c>
      <c r="B3" s="2" t="n">
        <v>1348.9</v>
      </c>
      <c r="C3" s="2" t="n">
        <v>3895.7</v>
      </c>
      <c r="D3" s="2" t="n">
        <v>5185.3</v>
      </c>
      <c r="E3" s="2" t="n">
        <v>5833.6</v>
      </c>
      <c r="F3" s="2" t="n">
        <v>7205.1</v>
      </c>
      <c r="G3" s="2" t="n">
        <v>10243.7</v>
      </c>
      <c r="H3" s="2" t="n">
        <v>6695.5</v>
      </c>
    </row>
    <row r="4">
      <c r="A4" t="inlineStr">
        <is>
          <t>Operating income ($m)</t>
        </is>
      </c>
      <c r="B4" s="2" t="n">
        <v>-1303.3</v>
      </c>
      <c r="C4" s="2" t="n">
        <v>-1583.1</v>
      </c>
      <c r="D4" s="2" t="n">
        <v>-1487.5</v>
      </c>
      <c r="E4" s="2" t="n">
        <v>224.8</v>
      </c>
      <c r="F4" s="2" t="n">
        <v>662.2</v>
      </c>
      <c r="G4" s="2" t="n">
        <v>1985.3</v>
      </c>
      <c r="H4" s="2" t="n">
        <v>1243.3</v>
      </c>
    </row>
    <row r="5">
      <c r="A5" t="inlineStr">
        <is>
          <t>Net income ($m)</t>
        </is>
      </c>
      <c r="B5" s="2" t="n">
        <v>-1618.1</v>
      </c>
      <c r="C5" s="2" t="n">
        <v>-2046.8</v>
      </c>
      <c r="D5" s="2" t="n">
        <v>-1651.4</v>
      </c>
      <c r="E5" s="2" t="n">
        <v>150.7</v>
      </c>
      <c r="F5" s="2" t="n">
        <v>444.3</v>
      </c>
      <c r="G5" s="2" t="n">
        <v>1578.1</v>
      </c>
      <c r="H5" s="2" t="n">
        <v>868.7</v>
      </c>
    </row>
    <row r="6">
      <c r="A6" t="inlineStr">
        <is>
          <t>Operating cash flow ($m)</t>
        </is>
      </c>
      <c r="B6" s="2" t="n">
        <v>555.9</v>
      </c>
      <c r="C6" s="2" t="n">
        <v>208.6</v>
      </c>
      <c r="D6" s="2" t="n">
        <v>-1055.7</v>
      </c>
      <c r="E6" s="2" t="n">
        <v>2079.7</v>
      </c>
      <c r="F6" s="2" t="n">
        <v>3277.4</v>
      </c>
      <c r="G6" s="2" t="n">
        <v>5024.5</v>
      </c>
      <c r="H6" s="2" t="n">
        <v>2563.9</v>
      </c>
    </row>
    <row r="7">
      <c r="A7" t="inlineStr">
        <is>
          <t>Capex ($m)</t>
        </is>
      </c>
      <c r="B7" s="2" t="n">
        <v>336.3</v>
      </c>
      <c r="C7" s="2" t="n">
        <v>772.2</v>
      </c>
      <c r="D7" s="2" t="n">
        <v>924.2</v>
      </c>
      <c r="E7" s="2" t="n">
        <v>241.6</v>
      </c>
      <c r="F7" s="2" t="n">
        <v>318.2</v>
      </c>
      <c r="G7" s="2" t="n">
        <v>513.8</v>
      </c>
      <c r="H7" s="2" t="n">
        <v>495</v>
      </c>
    </row>
    <row r="8">
      <c r="A8" t="inlineStr">
        <is>
          <t>Reported FCF ($m)</t>
        </is>
      </c>
      <c r="B8" s="2" t="n">
        <v>219.6</v>
      </c>
      <c r="C8" s="2" t="n">
        <v>-563.5</v>
      </c>
      <c r="D8" s="2" t="n">
        <v>-1979.9</v>
      </c>
      <c r="E8" s="2" t="n">
        <v>1838.1</v>
      </c>
      <c r="F8" s="2" t="n">
        <v>2959.3</v>
      </c>
      <c r="G8" s="2" t="n">
        <v>4510.7</v>
      </c>
      <c r="H8" s="2" t="n">
        <v>2068.9</v>
      </c>
    </row>
    <row r="9">
      <c r="A9" t="inlineStr">
        <is>
          <t>SBC ($m)</t>
        </is>
      </c>
      <c r="B9" s="2" t="n">
        <v>290.2</v>
      </c>
      <c r="C9" s="2" t="n">
        <v>470.3</v>
      </c>
      <c r="D9" s="2" t="n">
        <v>705.9</v>
      </c>
      <c r="E9" s="2" t="n">
        <v>685</v>
      </c>
      <c r="F9" s="2" t="n">
        <v>715.8</v>
      </c>
      <c r="G9" s="2" t="n">
        <v>625</v>
      </c>
      <c r="H9" s="2" t="n">
        <v>293.8</v>
      </c>
    </row>
    <row r="10">
      <c r="A10" t="inlineStr">
        <is>
          <t>Interest income ($m)</t>
        </is>
      </c>
      <c r="B10" s="2" t="n">
        <v>24.8</v>
      </c>
      <c r="C10" s="2" t="n">
        <v>36.1</v>
      </c>
      <c r="D10" s="2" t="n">
        <v>115.5</v>
      </c>
      <c r="E10" s="2" t="n">
        <v>331.3</v>
      </c>
      <c r="F10" s="2" t="n">
        <v>365.8</v>
      </c>
      <c r="G10" s="2" t="n">
        <v>331.1</v>
      </c>
      <c r="H10" s="2" t="n"/>
    </row>
    <row r="11">
      <c r="A11" t="inlineStr">
        <is>
          <t>Provision for credit losses ($m)</t>
        </is>
      </c>
      <c r="B11" s="2" t="n">
        <v>51.1</v>
      </c>
      <c r="C11" s="2" t="n">
        <v>115.1</v>
      </c>
      <c r="D11" s="2" t="n">
        <v>493.6</v>
      </c>
      <c r="E11" s="2" t="n">
        <v>627.9</v>
      </c>
      <c r="F11" s="2" t="n">
        <v>764.8</v>
      </c>
      <c r="G11" s="2" t="n">
        <v>1379.2</v>
      </c>
      <c r="H11" s="2" t="n">
        <v>1021</v>
      </c>
    </row>
    <row r="12">
      <c r="A12" t="inlineStr">
        <is>
          <t>Shareholders' equity ($m)</t>
        </is>
      </c>
      <c r="B12" s="2" t="n">
        <v>3420.2</v>
      </c>
      <c r="C12" s="2" t="n">
        <v>7424.4</v>
      </c>
      <c r="D12" s="2" t="n">
        <v>5810.8</v>
      </c>
      <c r="E12" s="2" t="n">
        <v>6697.6</v>
      </c>
      <c r="F12" s="2" t="n">
        <v>8372.299999999999</v>
      </c>
      <c r="G12" s="2" t="n">
        <v>12526.5</v>
      </c>
      <c r="H12" s="2" t="n">
        <v>12911.3</v>
      </c>
    </row>
    <row r="13">
      <c r="A13" t="inlineStr">
        <is>
          <t>Diluted shares (m, wtd)</t>
        </is>
      </c>
      <c r="B13" s="2" t="n">
        <v>477.3</v>
      </c>
      <c r="C13" s="2" t="n">
        <v>532.7</v>
      </c>
      <c r="D13" s="2" t="n">
        <v>558.1</v>
      </c>
      <c r="E13" s="2" t="n">
        <v>594.4</v>
      </c>
      <c r="F13" s="2" t="n">
        <v>604.7</v>
      </c>
      <c r="G13" s="2" t="n">
        <v>638.2</v>
      </c>
      <c r="H13" s="2" t="n">
        <v>634.5</v>
      </c>
    </row>
    <row r="15">
      <c r="A15" t="inlineStr"/>
    </row>
    <row r="16">
      <c r="A16" t="inlineStr">
        <is>
          <t>FY2025 SEGMENTS (source: Q4-2025 6-K)</t>
        </is>
      </c>
    </row>
    <row r="17">
      <c r="A17" t="inlineStr">
        <is>
          <t>Shopee revenue $16,600m, adj EBITDA $880.6m; GMV $127.4bn</t>
        </is>
      </c>
    </row>
    <row r="18">
      <c r="A18" t="inlineStr">
        <is>
          <t>Garena revenue $2,400m (bookings $2,900m), adj EBITDA $1,700m</t>
        </is>
      </c>
    </row>
    <row r="19">
      <c r="A19" t="inlineStr">
        <is>
          <t>Monee revenue $3,800m, adj EBITDA $1,000m (post-provision)</t>
        </is>
      </c>
    </row>
    <row r="20">
      <c r="A20" t="inlineStr">
        <is>
          <t>Group adj EBITDA $3,400m (unallocated ~-$180m)</t>
        </is>
      </c>
    </row>
    <row r="21">
      <c r="A21" t="inlineStr"/>
    </row>
    <row r="22">
      <c r="A22" t="inlineStr">
        <is>
          <t>BALANCE SNAPSHOT 30-Jun-2026 (H1-2026 6-K)</t>
        </is>
      </c>
    </row>
    <row r="23">
      <c r="A23" t="inlineStr">
        <is>
          <t>Loans receivable net $8,904m current + $715m non-current (allowance $1,115m); principal outstanding $11.1bn incl $1.1bn off-book channeling, +62.5% YoY</t>
        </is>
      </c>
    </row>
    <row r="24">
      <c r="A24" t="inlineStr">
        <is>
          <t>Deposits payable $4,285m; escrow payables + customer advances $3,330m - operating funding, NOT debt</t>
        </is>
      </c>
    </row>
    <row r="25">
      <c r="A25" t="inlineStr">
        <is>
          <t>Corporate debt $2,220.6m = borrowings $1,224m + convertible notes $996m; operating lease liabilities $1,906m (excluded, ASC 842); finance leases immaterial</t>
        </is>
      </c>
    </row>
    <row r="26">
      <c r="A26" t="inlineStr">
        <is>
          <t>Unrestricted cash $3,529.3m; restricted cash $2,461.5m (backs escrow); ST investments $5,569.6m; long-term investments $2,756.1m (not credited); NCI $138.3m (not deducted, immaterial)</t>
        </is>
      </c>
    </row>
    <row r="27">
      <c r="A27" t="inlineStr">
        <is>
          <t>Buybacks: $14.5m FY2025, $416.8m H1-2026 under $1bn Nov-2025 authorization (actual cash, not authorization)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90" customWidth="1" min="5" max="5"/>
  </cols>
  <sheetData>
    <row r="1">
      <c r="A1" s="1" t="inlineStr">
        <is>
          <t>GLOBALS</t>
        </is>
      </c>
    </row>
    <row r="3">
      <c r="A3" t="inlineStr">
        <is>
          <t>Current price (USD)</t>
        </is>
      </c>
      <c r="B3" s="3" t="n">
        <v>123.18</v>
      </c>
      <c r="E3" t="inlineStr">
        <is>
          <t>Yahoo regular close 2026-08-25T20:00:02Z - goes stale</t>
        </is>
      </c>
    </row>
    <row r="4">
      <c r="A4" t="inlineStr">
        <is>
          <t>Price as of</t>
        </is>
      </c>
      <c r="B4" s="4" t="inlineStr">
        <is>
          <t>2026-08-25 regular close</t>
        </is>
      </c>
    </row>
    <row r="5">
      <c r="A5" t="inlineStr">
        <is>
          <t>Diluted shares (m, flat)</t>
        </is>
      </c>
      <c r="B5" s="2" t="n">
        <v>634.5</v>
      </c>
      <c r="E5" t="inlineStr">
        <is>
          <t>H1-2026 weighted diluted; flat because SBC is expensed</t>
        </is>
      </c>
    </row>
    <row r="6">
      <c r="A6" t="inlineStr">
        <is>
          <t>OpCo WACC</t>
        </is>
      </c>
      <c r="B6" s="5" t="n">
        <v>0.115</v>
      </c>
      <c r="E6" t="inlineStr">
        <is>
          <t>USD: rf 4.3% + 1.35x4.5% ERP + ~1.1pp EM/FX premium; same for all scenarios</t>
        </is>
      </c>
    </row>
    <row r="7">
      <c r="A7" t="inlineStr">
        <is>
          <t>Monee cost of equity</t>
        </is>
      </c>
      <c r="B7" s="5" t="n">
        <v>0.145</v>
      </c>
      <c r="E7" t="inlineStr">
        <is>
          <t>rf + 1.5xERP + EM consumer-credit + unseasoned-book premia</t>
        </is>
      </c>
    </row>
    <row r="8">
      <c r="A8" t="inlineStr">
        <is>
          <t>D&amp;A % of OpCo revenue</t>
        </is>
      </c>
      <c r="B8" s="6" t="n">
        <v>0.022</v>
      </c>
      <c r="E8" t="inlineStr">
        <is>
          <t>FY2025 D&amp;A $372m trending toward capex as logistics assets season</t>
        </is>
      </c>
    </row>
    <row r="9">
      <c r="A9" t="inlineStr">
        <is>
          <t>Capex % of OpCo revenue</t>
        </is>
      </c>
      <c r="B9" s="6" t="n">
        <v>0.028</v>
      </c>
      <c r="E9" t="inlineStr">
        <is>
          <t>FY2025 actual 2.7% of OpCo revenue; logistics build continues</t>
        </is>
      </c>
    </row>
    <row r="10">
      <c r="A10" t="inlineStr">
        <is>
          <t>WC capture % of revenue CHANGE</t>
        </is>
      </c>
      <c r="B10" s="6" t="n">
        <v>0.08</v>
      </c>
      <c r="E10" t="inlineStr">
        <is>
          <t>Deferred revenue (Garena bookings&gt;revenue) + payables; FY2025 actual ~9%</t>
        </is>
      </c>
    </row>
    <row r="11">
      <c r="A11" t="inlineStr">
        <is>
          <t>Cash tax rate</t>
        </is>
      </c>
      <c r="B11" s="6" t="n">
        <v>0.26</v>
      </c>
      <c r="E11" t="inlineStr">
        <is>
          <t>FY2025 cash taxes $591m / ~$2.24bn pre-tax = 26.4%; EM withholding keeps it high - no fade</t>
        </is>
      </c>
    </row>
    <row r="13">
      <c r="A13" s="1" t="inlineStr">
        <is>
          <t>SURPLUS NET CASH BRIDGE (30-Jun-2026, $m)</t>
        </is>
      </c>
    </row>
    <row r="14">
      <c r="A14" t="inlineStr">
        <is>
          <t>Unrestricted cash</t>
        </is>
      </c>
      <c r="B14" s="2" t="n">
        <v>3529.3</v>
      </c>
      <c r="E14" t="inlineStr">
        <is>
          <t>H1-2026 6-K; restricted cash ~$2,260m sits outside this line</t>
        </is>
      </c>
    </row>
    <row r="15">
      <c r="A15" t="inlineStr">
        <is>
          <t>Short-term investments</t>
        </is>
      </c>
      <c r="B15" s="2" t="n">
        <v>5569.6</v>
      </c>
      <c r="E15" t="inlineStr">
        <is>
          <t>30-Jun-2026, Q2 2026 6-K EX-99.1 (acc. 0001193125-26-344596)</t>
        </is>
      </c>
    </row>
    <row r="16">
      <c r="A16" t="inlineStr">
        <is>
          <t>Less: Monee deposit-liquidity reserve</t>
        </is>
      </c>
      <c r="B16" s="2" t="n">
        <v>-900</v>
      </c>
      <c r="E16" t="inlineStr">
        <is>
          <t>~20% of deposits payable $4,285m ring-fenced in bank entities</t>
        </is>
      </c>
    </row>
    <row r="17">
      <c r="A17" t="inlineStr">
        <is>
          <t>Less: escrow backing reserve</t>
        </is>
      </c>
      <c r="B17" s="2" t="n">
        <v>-1100</v>
      </c>
      <c r="E17" t="inlineStr">
        <is>
          <t>Escrow+advances $3,329.8m less restricted cash $2,461.5m = $868m filed shortfall; extra held as conservatism</t>
        </is>
      </c>
    </row>
    <row r="18">
      <c r="A18" t="inlineStr">
        <is>
          <t>Less: corporate debt</t>
        </is>
      </c>
      <c r="B18" s="2" t="n">
        <v>-2220.6</v>
      </c>
      <c r="E18" t="inlineStr">
        <is>
          <t>Borrowings $1,224m + convertible notes $996m; deposits/escrow are NOT debt</t>
        </is>
      </c>
    </row>
    <row r="19">
      <c r="A19" t="inlineStr">
        <is>
          <t>Surplus net cash</t>
        </is>
      </c>
      <c r="B19" s="7">
        <f>SUM(B14:B18)</f>
        <v/>
      </c>
    </row>
    <row r="21">
      <c r="A21" s="1" t="inlineStr">
        <is>
          <t>MONEE GLOBALS</t>
        </is>
      </c>
    </row>
    <row r="22">
      <c r="A22" t="inlineStr">
        <is>
          <t>Loan book FY2025 year-end ($m, principal)</t>
        </is>
      </c>
      <c r="B22" s="2" t="n">
        <v>9000</v>
      </c>
      <c r="E22" t="inlineStr">
        <is>
          <t>Interpolated: $6.83bn Jun-2025, $11.1bn Jun-2026 (+62.5% YoY); incl. off-book channeling</t>
        </is>
      </c>
    </row>
    <row r="23">
      <c r="A23" t="inlineStr">
        <is>
          <t>Capital ratio (equity % of book)</t>
        </is>
      </c>
      <c r="B23" s="6" t="n">
        <v>0.15</v>
      </c>
      <c r="E23" t="inlineStr">
        <is>
          <t>Equity retained per $ of book growth before earnings are distributable</t>
        </is>
      </c>
    </row>
    <row r="25">
      <c r="A25" s="1" t="inlineStr">
        <is>
          <t>SCENARIO GRID</t>
        </is>
      </c>
      <c r="B25" s="1" t="inlineStr">
        <is>
          <t>Bear</t>
        </is>
      </c>
      <c r="C25" s="1" t="inlineStr">
        <is>
          <t>Base</t>
        </is>
      </c>
      <c r="D25" s="1" t="inlineStr">
        <is>
          <t>Bull</t>
        </is>
      </c>
    </row>
    <row r="26">
      <c r="A26" t="inlineStr">
        <is>
          <t>OpCo terminal growth</t>
        </is>
      </c>
      <c r="B26" s="5" t="n">
        <v>0.02</v>
      </c>
      <c r="C26" s="5" t="n">
        <v>0.03</v>
      </c>
      <c r="D26" s="5" t="n">
        <v>0.035</v>
      </c>
    </row>
    <row r="27">
      <c r="A27" t="inlineStr">
        <is>
          <t>OpCo TV cap (x FCF10)</t>
        </is>
      </c>
      <c r="B27" s="8" t="n">
        <v>15</v>
      </c>
      <c r="C27" s="8" t="n">
        <v>20</v>
      </c>
      <c r="D27" s="8" t="n">
        <v>20</v>
      </c>
    </row>
    <row r="28">
      <c r="A28" t="inlineStr">
        <is>
          <t>Probability weight</t>
        </is>
      </c>
      <c r="B28" s="5" t="n">
        <v>0.25</v>
      </c>
      <c r="C28" s="5" t="n">
        <v>0.5</v>
      </c>
      <c r="D28" s="5" t="n">
        <v>0.25</v>
      </c>
    </row>
    <row r="29">
      <c r="A29" t="inlineStr">
        <is>
          <t>Monee terminal growth</t>
        </is>
      </c>
      <c r="B29" s="5" t="n">
        <v>0.025</v>
      </c>
      <c r="C29" s="5" t="n">
        <v>0.035</v>
      </c>
      <c r="D29" s="5" t="n">
        <v>0.04</v>
      </c>
    </row>
    <row r="30">
      <c r="A30" t="inlineStr">
        <is>
          <t>Monee exit-P/E cap</t>
        </is>
      </c>
      <c r="B30" s="8" t="n">
        <v>10</v>
      </c>
      <c r="C30" s="8" t="n">
        <v>12</v>
      </c>
      <c r="D30" s="8" t="n">
        <v>14</v>
      </c>
    </row>
    <row r="31">
      <c r="A31" t="inlineStr">
        <is>
          <t>Weight sum check (must be 100%)</t>
        </is>
      </c>
      <c r="B31" s="9">
        <f>SUM(B28:D28)</f>
        <v/>
      </c>
    </row>
    <row r="33">
      <c r="A33" s="1" t="inlineStr">
        <is>
          <t>SCENARIO NARRATIVES</t>
        </is>
      </c>
    </row>
    <row r="34">
      <c r="A34" s="1" t="inlineStr">
        <is>
          <t>Bear</t>
        </is>
      </c>
      <c r="E34" t="inlineStr">
        <is>
          <t>TikTok subsidy war reverses Shopee take-rate gains (margin stalls 9.5-12.5%, growth fades to GDP); Garena recovery proves promotional; Monee credit cycle hits in 2027 (ROA collapses to 3.5%, partial rebuild to 4.0%); Indonesia withholding tax and Brazil parcel tax bite.</t>
        </is>
      </c>
    </row>
    <row r="35">
      <c r="A35" s="1" t="inlineStr">
        <is>
          <t>Base</t>
        </is>
      </c>
      <c r="E35" t="inlineStr">
        <is>
          <t>Duopoly holds; margin traded for growth per guidance (OpCo +38% FY2026 at 10.4% margin) then matures to 17% by Y10; Free Fire ages without a successor; Monee fades 42%-&gt;5% book growth, ROA 8.5%-&gt;5.0% as rate caps and seasoning normalize returns.</t>
        </is>
      </c>
    </row>
    <row r="36">
      <c r="A36" s="1" t="inlineStr">
        <is>
          <t>Bull</t>
        </is>
      </c>
      <c r="E36" t="inlineStr">
        <is>
          <t>Subsidy rationalization; ad monetization closes toward mature peers (19% margin); Garena IP collaborations durable; Monee seasons benignly (ROA fade only to 6.0%) and compounds into Brazil/Philippines.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Bear scenario - OpCo (Shopee+Garena+corporate) 10-yr owner-FCF DCF; all $m</t>
        </is>
      </c>
    </row>
    <row r="3">
      <c r="A3" s="1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0.33</v>
      </c>
      <c r="D5" s="5" t="n">
        <v>0.16</v>
      </c>
      <c r="E5" s="5" t="n">
        <v>0.1</v>
      </c>
      <c r="F5" s="5" t="n">
        <v>0.07000000000000001</v>
      </c>
      <c r="G5" s="5" t="n">
        <v>0.05</v>
      </c>
      <c r="H5" s="5" t="n">
        <v>0.04</v>
      </c>
      <c r="I5" s="5" t="n">
        <v>0.035</v>
      </c>
      <c r="J5" s="5" t="n">
        <v>0.03</v>
      </c>
      <c r="K5" s="5" t="n">
        <v>0.025</v>
      </c>
      <c r="L5" s="5" t="n">
        <v>0.02</v>
      </c>
    </row>
    <row r="6">
      <c r="A6" t="inlineStr">
        <is>
          <t>Revenue</t>
        </is>
      </c>
      <c r="B6" s="2" t="n">
        <v>19138</v>
      </c>
      <c r="C6" s="10">
        <f>B6*(1+C5)</f>
        <v/>
      </c>
      <c r="D6" s="10">
        <f>C6*(1+D5)</f>
        <v/>
      </c>
      <c r="E6" s="10">
        <f>D6*(1+E5)</f>
        <v/>
      </c>
      <c r="F6" s="10">
        <f>E6*(1+F5)</f>
        <v/>
      </c>
      <c r="G6" s="10">
        <f>F6*(1+G5)</f>
        <v/>
      </c>
      <c r="H6" s="10">
        <f>G6*(1+H5)</f>
        <v/>
      </c>
      <c r="I6" s="10">
        <f>H6*(1+I5)</f>
        <v/>
      </c>
      <c r="J6" s="10">
        <f>I6*(1+J5)</f>
        <v/>
      </c>
      <c r="K6" s="10">
        <f>J6*(1+K5)</f>
        <v/>
      </c>
      <c r="L6" s="10">
        <f>K6*(1+L5)</f>
        <v/>
      </c>
    </row>
    <row r="7">
      <c r="A7" t="inlineStr">
        <is>
          <t>Adj EBITDA margin</t>
        </is>
      </c>
      <c r="B7" s="11">
        <f>B8/B6</f>
        <v/>
      </c>
      <c r="C7" s="5" t="n">
        <v>0.095</v>
      </c>
      <c r="D7" s="5" t="n">
        <v>0.095</v>
      </c>
      <c r="E7" s="5" t="n">
        <v>0.1</v>
      </c>
      <c r="F7" s="5" t="n">
        <v>0.105</v>
      </c>
      <c r="G7" s="5" t="n">
        <v>0.11</v>
      </c>
      <c r="H7" s="5" t="n">
        <v>0.115</v>
      </c>
      <c r="I7" s="5" t="n">
        <v>0.118</v>
      </c>
      <c r="J7" s="5" t="n">
        <v>0.121</v>
      </c>
      <c r="K7" s="5" t="n">
        <v>0.123</v>
      </c>
      <c r="L7" s="5" t="n">
        <v>0.125</v>
      </c>
    </row>
    <row r="8">
      <c r="A8" t="inlineStr">
        <is>
          <t>Adjusted EBITDA</t>
        </is>
      </c>
      <c r="B8" s="2" t="n">
        <v>2400</v>
      </c>
      <c r="C8" s="10">
        <f>C6*C7</f>
        <v/>
      </c>
      <c r="D8" s="10">
        <f>D6*D7</f>
        <v/>
      </c>
      <c r="E8" s="10">
        <f>E6*E7</f>
        <v/>
      </c>
      <c r="F8" s="10">
        <f>F6*F7</f>
        <v/>
      </c>
      <c r="G8" s="10">
        <f>G6*G7</f>
        <v/>
      </c>
      <c r="H8" s="10">
        <f>H6*H7</f>
        <v/>
      </c>
      <c r="I8" s="10">
        <f>I6*I7</f>
        <v/>
      </c>
      <c r="J8" s="10">
        <f>J6*J7</f>
        <v/>
      </c>
      <c r="K8" s="10">
        <f>K6*K7</f>
        <v/>
      </c>
      <c r="L8" s="10">
        <f>L6*L7</f>
        <v/>
      </c>
    </row>
    <row r="9">
      <c r="A9" t="inlineStr">
        <is>
          <t>SBC % of revenue</t>
        </is>
      </c>
      <c r="B9" s="11">
        <f>-B10/B6</f>
        <v/>
      </c>
      <c r="C9" s="5" t="n">
        <v>0.024</v>
      </c>
      <c r="D9" s="5" t="n">
        <v>0.0235</v>
      </c>
      <c r="E9" s="5" t="n">
        <v>0.023</v>
      </c>
      <c r="F9" s="5" t="n">
        <v>0.0225</v>
      </c>
      <c r="G9" s="5" t="n">
        <v>0.022</v>
      </c>
      <c r="H9" s="5" t="n">
        <v>0.0215</v>
      </c>
      <c r="I9" s="5" t="n">
        <v>0.021</v>
      </c>
      <c r="J9" s="5" t="n">
        <v>0.0205</v>
      </c>
      <c r="K9" s="5" t="n">
        <v>0.02</v>
      </c>
      <c r="L9" s="5" t="n">
        <v>0.02</v>
      </c>
    </row>
    <row r="10">
      <c r="A10" t="inlineStr">
        <is>
          <t>SBC $</t>
        </is>
      </c>
      <c r="B10" s="2" t="n">
        <v>-531</v>
      </c>
      <c r="C10" s="10">
        <f>-C6*C9</f>
        <v/>
      </c>
      <c r="D10" s="10">
        <f>-D6*D9</f>
        <v/>
      </c>
      <c r="E10" s="10">
        <f>-E6*E9</f>
        <v/>
      </c>
      <c r="F10" s="10">
        <f>-F6*F9</f>
        <v/>
      </c>
      <c r="G10" s="10">
        <f>-G6*G9</f>
        <v/>
      </c>
      <c r="H10" s="10">
        <f>-H6*H9</f>
        <v/>
      </c>
      <c r="I10" s="10">
        <f>-I6*I9</f>
        <v/>
      </c>
      <c r="J10" s="10">
        <f>-J6*J9</f>
        <v/>
      </c>
      <c r="K10" s="10">
        <f>-K6*K9</f>
        <v/>
      </c>
      <c r="L10" s="10">
        <f>-L6*L9</f>
        <v/>
      </c>
    </row>
    <row r="11">
      <c r="A11" t="inlineStr">
        <is>
          <t>Owner EBITDA (SBC expensed)</t>
        </is>
      </c>
      <c r="B11" s="10">
        <f>B8+B10</f>
        <v/>
      </c>
      <c r="C11" s="10">
        <f>C8+C10</f>
        <v/>
      </c>
      <c r="D11" s="10">
        <f>D8+D10</f>
        <v/>
      </c>
      <c r="E11" s="10">
        <f>E8+E10</f>
        <v/>
      </c>
      <c r="F11" s="10">
        <f>F8+F10</f>
        <v/>
      </c>
      <c r="G11" s="10">
        <f>G8+G10</f>
        <v/>
      </c>
      <c r="H11" s="10">
        <f>H8+H10</f>
        <v/>
      </c>
      <c r="I11" s="10">
        <f>I8+I10</f>
        <v/>
      </c>
      <c r="J11" s="10">
        <f>J8+J10</f>
        <v/>
      </c>
      <c r="K11" s="10">
        <f>K8+K10</f>
        <v/>
      </c>
      <c r="L11" s="10">
        <f>L8+L10</f>
        <v/>
      </c>
    </row>
    <row r="12">
      <c r="A12" t="inlineStr">
        <is>
          <t>D&amp;A</t>
        </is>
      </c>
      <c r="B12" s="10">
        <f>-B6*Assumptions!$B$8</f>
        <v/>
      </c>
      <c r="C12" s="10">
        <f>-C6*Assumptions!$B$8</f>
        <v/>
      </c>
      <c r="D12" s="10">
        <f>-D6*Assumptions!$B$8</f>
        <v/>
      </c>
      <c r="E12" s="10">
        <f>-E6*Assumptions!$B$8</f>
        <v/>
      </c>
      <c r="F12" s="10">
        <f>-F6*Assumptions!$B$8</f>
        <v/>
      </c>
      <c r="G12" s="10">
        <f>-G6*Assumptions!$B$8</f>
        <v/>
      </c>
      <c r="H12" s="10">
        <f>-H6*Assumptions!$B$8</f>
        <v/>
      </c>
      <c r="I12" s="10">
        <f>-I6*Assumptions!$B$8</f>
        <v/>
      </c>
      <c r="J12" s="10">
        <f>-J6*Assumptions!$B$8</f>
        <v/>
      </c>
      <c r="K12" s="10">
        <f>-K6*Assumptions!$B$8</f>
        <v/>
      </c>
      <c r="L12" s="10">
        <f>-L6*Assumptions!$B$8</f>
        <v/>
      </c>
    </row>
    <row r="13">
      <c r="A13" t="inlineStr">
        <is>
          <t>EBIT (SBC expensed)</t>
        </is>
      </c>
      <c r="B13" s="10">
        <f>B11+B12</f>
        <v/>
      </c>
      <c r="C13" s="10">
        <f>C11+C12</f>
        <v/>
      </c>
      <c r="D13" s="10">
        <f>D11+D12</f>
        <v/>
      </c>
      <c r="E13" s="10">
        <f>E11+E12</f>
        <v/>
      </c>
      <c r="F13" s="10">
        <f>F11+F12</f>
        <v/>
      </c>
      <c r="G13" s="10">
        <f>G11+G12</f>
        <v/>
      </c>
      <c r="H13" s="10">
        <f>H11+H12</f>
        <v/>
      </c>
      <c r="I13" s="10">
        <f>I11+I12</f>
        <v/>
      </c>
      <c r="J13" s="10">
        <f>J11+J12</f>
        <v/>
      </c>
      <c r="K13" s="10">
        <f>K11+K12</f>
        <v/>
      </c>
      <c r="L13" s="10">
        <f>L11+L12</f>
        <v/>
      </c>
    </row>
    <row r="14">
      <c r="A14" t="inlineStr">
        <is>
          <t>Cash tax rate</t>
        </is>
      </c>
      <c r="B14" s="6" t="n">
        <v>0.26</v>
      </c>
      <c r="C14" s="5" t="n">
        <v>0.26</v>
      </c>
      <c r="D14" s="5" t="n">
        <v>0.26</v>
      </c>
      <c r="E14" s="5" t="n">
        <v>0.26</v>
      </c>
      <c r="F14" s="5" t="n">
        <v>0.26</v>
      </c>
      <c r="G14" s="5" t="n">
        <v>0.26</v>
      </c>
      <c r="H14" s="5" t="n">
        <v>0.26</v>
      </c>
      <c r="I14" s="5" t="n">
        <v>0.26</v>
      </c>
      <c r="J14" s="5" t="n">
        <v>0.26</v>
      </c>
      <c r="K14" s="5" t="n">
        <v>0.26</v>
      </c>
      <c r="L14" s="5" t="n">
        <v>0.26</v>
      </c>
    </row>
    <row r="15">
      <c r="A15" t="inlineStr">
        <is>
          <t>NOPAT</t>
        </is>
      </c>
      <c r="B15" s="10">
        <f>B13*(1-B14)</f>
        <v/>
      </c>
      <c r="C15" s="10">
        <f>C13*(1-C14)</f>
        <v/>
      </c>
      <c r="D15" s="10">
        <f>D13*(1-D14)</f>
        <v/>
      </c>
      <c r="E15" s="10">
        <f>E13*(1-E14)</f>
        <v/>
      </c>
      <c r="F15" s="10">
        <f>F13*(1-F14)</f>
        <v/>
      </c>
      <c r="G15" s="10">
        <f>G13*(1-G14)</f>
        <v/>
      </c>
      <c r="H15" s="10">
        <f>H13*(1-H14)</f>
        <v/>
      </c>
      <c r="I15" s="10">
        <f>I13*(1-I14)</f>
        <v/>
      </c>
      <c r="J15" s="10">
        <f>J13*(1-J14)</f>
        <v/>
      </c>
      <c r="K15" s="10">
        <f>K13*(1-K14)</f>
        <v/>
      </c>
      <c r="L15" s="10">
        <f>L13*(1-L14)</f>
        <v/>
      </c>
    </row>
    <row r="16">
      <c r="A16" t="inlineStr">
        <is>
          <t>add back D&amp;A</t>
        </is>
      </c>
      <c r="B16" s="10">
        <f>-B12</f>
        <v/>
      </c>
      <c r="C16" s="10">
        <f>-C12</f>
        <v/>
      </c>
      <c r="D16" s="10">
        <f>-D12</f>
        <v/>
      </c>
      <c r="E16" s="10">
        <f>-E12</f>
        <v/>
      </c>
      <c r="F16" s="10">
        <f>-F12</f>
        <v/>
      </c>
      <c r="G16" s="10">
        <f>-G12</f>
        <v/>
      </c>
      <c r="H16" s="10">
        <f>-H12</f>
        <v/>
      </c>
      <c r="I16" s="10">
        <f>-I12</f>
        <v/>
      </c>
      <c r="J16" s="10">
        <f>-J12</f>
        <v/>
      </c>
      <c r="K16" s="10">
        <f>-K12</f>
        <v/>
      </c>
      <c r="L16" s="10">
        <f>-L12</f>
        <v/>
      </c>
    </row>
    <row r="17">
      <c r="A17" t="inlineStr">
        <is>
          <t>less capex</t>
        </is>
      </c>
      <c r="B17" s="2" t="n">
        <v>-513.8</v>
      </c>
      <c r="C17" s="10">
        <f>-C6*Assumptions!$B$9</f>
        <v/>
      </c>
      <c r="D17" s="10">
        <f>-D6*Assumptions!$B$9</f>
        <v/>
      </c>
      <c r="E17" s="10">
        <f>-E6*Assumptions!$B$9</f>
        <v/>
      </c>
      <c r="F17" s="10">
        <f>-F6*Assumptions!$B$9</f>
        <v/>
      </c>
      <c r="G17" s="10">
        <f>-G6*Assumptions!$B$9</f>
        <v/>
      </c>
      <c r="H17" s="10">
        <f>-H6*Assumptions!$B$9</f>
        <v/>
      </c>
      <c r="I17" s="10">
        <f>-I6*Assumptions!$B$9</f>
        <v/>
      </c>
      <c r="J17" s="10">
        <f>-J6*Assumptions!$B$9</f>
        <v/>
      </c>
      <c r="K17" s="10">
        <f>-K6*Assumptions!$B$9</f>
        <v/>
      </c>
      <c r="L17" s="10">
        <f>-L6*Assumptions!$B$9</f>
        <v/>
      </c>
    </row>
    <row r="18">
      <c r="A18" t="inlineStr">
        <is>
          <t>add working capital capture</t>
        </is>
      </c>
      <c r="B18" s="2" t="n">
        <v>377.4</v>
      </c>
      <c r="C18" s="10">
        <f>Assumptions!$B$10*(C6-B6)</f>
        <v/>
      </c>
      <c r="D18" s="10">
        <f>Assumptions!$B$10*(D6-C6)</f>
        <v/>
      </c>
      <c r="E18" s="10">
        <f>Assumptions!$B$10*(E6-D6)</f>
        <v/>
      </c>
      <c r="F18" s="10">
        <f>Assumptions!$B$10*(F6-E6)</f>
        <v/>
      </c>
      <c r="G18" s="10">
        <f>Assumptions!$B$10*(G6-F6)</f>
        <v/>
      </c>
      <c r="H18" s="10">
        <f>Assumptions!$B$10*(H6-G6)</f>
        <v/>
      </c>
      <c r="I18" s="10">
        <f>Assumptions!$B$10*(I6-H6)</f>
        <v/>
      </c>
      <c r="J18" s="10">
        <f>Assumptions!$B$10*(J6-I6)</f>
        <v/>
      </c>
      <c r="K18" s="10">
        <f>Assumptions!$B$10*(K6-J6)</f>
        <v/>
      </c>
      <c r="L18" s="10">
        <f>Assumptions!$B$10*(L6-K6)</f>
        <v/>
      </c>
    </row>
    <row r="19">
      <c r="A19" t="inlineStr">
        <is>
          <t>Unlevered owner FCF</t>
        </is>
      </c>
      <c r="B19" s="10">
        <f>B15+B16+B17+B18</f>
        <v/>
      </c>
      <c r="C19" s="10">
        <f>C15+C16+C17+C18</f>
        <v/>
      </c>
      <c r="D19" s="10">
        <f>D15+D16+D17+D18</f>
        <v/>
      </c>
      <c r="E19" s="10">
        <f>E15+E16+E17+E18</f>
        <v/>
      </c>
      <c r="F19" s="10">
        <f>F15+F16+F17+F18</f>
        <v/>
      </c>
      <c r="G19" s="10">
        <f>G15+G16+G17+G18</f>
        <v/>
      </c>
      <c r="H19" s="10">
        <f>H15+H16+H17+H18</f>
        <v/>
      </c>
      <c r="I19" s="10">
        <f>I15+I16+I17+I18</f>
        <v/>
      </c>
      <c r="J19" s="10">
        <f>J15+J16+J17+J18</f>
        <v/>
      </c>
      <c r="K19" s="10">
        <f>K15+K16+K17+K18</f>
        <v/>
      </c>
      <c r="L19" s="10">
        <f>L15+L16+L17+L18</f>
        <v/>
      </c>
    </row>
    <row r="20">
      <c r="A20" t="inlineStr">
        <is>
          <t>Discount factor @ WACC</t>
        </is>
      </c>
      <c r="C20" s="12">
        <f>1/(1+Assumptions!$B$6)^C4</f>
        <v/>
      </c>
      <c r="D20" s="12">
        <f>1/(1+Assumptions!$B$6)^D4</f>
        <v/>
      </c>
      <c r="E20" s="12">
        <f>1/(1+Assumptions!$B$6)^E4</f>
        <v/>
      </c>
      <c r="F20" s="12">
        <f>1/(1+Assumptions!$B$6)^F4</f>
        <v/>
      </c>
      <c r="G20" s="12">
        <f>1/(1+Assumptions!$B$6)^G4</f>
        <v/>
      </c>
      <c r="H20" s="12">
        <f>1/(1+Assumptions!$B$6)^H4</f>
        <v/>
      </c>
      <c r="I20" s="12">
        <f>1/(1+Assumptions!$B$6)^I4</f>
        <v/>
      </c>
      <c r="J20" s="12">
        <f>1/(1+Assumptions!$B$6)^J4</f>
        <v/>
      </c>
      <c r="K20" s="12">
        <f>1/(1+Assumptions!$B$6)^K4</f>
        <v/>
      </c>
      <c r="L20" s="12">
        <f>1/(1+Assumptions!$B$6)^L4</f>
        <v/>
      </c>
    </row>
    <row r="21">
      <c r="A21" t="inlineStr">
        <is>
          <t>PV of FCF</t>
        </is>
      </c>
      <c r="C21" s="10">
        <f>C19*C20</f>
        <v/>
      </c>
      <c r="D21" s="10">
        <f>D19*D20</f>
        <v/>
      </c>
      <c r="E21" s="10">
        <f>E19*E20</f>
        <v/>
      </c>
      <c r="F21" s="10">
        <f>F19*F20</f>
        <v/>
      </c>
      <c r="G21" s="10">
        <f>G19*G20</f>
        <v/>
      </c>
      <c r="H21" s="10">
        <f>H19*H20</f>
        <v/>
      </c>
      <c r="I21" s="10">
        <f>I19*I20</f>
        <v/>
      </c>
      <c r="J21" s="10">
        <f>J19*J20</f>
        <v/>
      </c>
      <c r="K21" s="10">
        <f>K19*K20</f>
        <v/>
      </c>
      <c r="L21" s="10">
        <f>L19*L20</f>
        <v/>
      </c>
    </row>
    <row r="23">
      <c r="A23" t="inlineStr">
        <is>
          <t>Memo: FCF before SBC (street-style)</t>
        </is>
      </c>
      <c r="C23" s="10">
        <f>C19-C10</f>
        <v/>
      </c>
      <c r="D23" s="10">
        <f>D19-D10</f>
        <v/>
      </c>
      <c r="E23" s="10">
        <f>E19-E10</f>
        <v/>
      </c>
      <c r="F23" s="10">
        <f>F19-F10</f>
        <v/>
      </c>
      <c r="G23" s="10">
        <f>G19-G10</f>
        <v/>
      </c>
      <c r="H23" s="10">
        <f>H19-H10</f>
        <v/>
      </c>
      <c r="I23" s="10">
        <f>I19-I10</f>
        <v/>
      </c>
      <c r="J23" s="10">
        <f>J19-J10</f>
        <v/>
      </c>
      <c r="K23" s="10">
        <f>K19-K10</f>
        <v/>
      </c>
      <c r="L23" s="10">
        <f>L19-L10</f>
        <v/>
      </c>
    </row>
    <row r="24">
      <c r="A24" t="inlineStr">
        <is>
          <t>Memo: owner-FCF margin</t>
        </is>
      </c>
      <c r="B24" s="11">
        <f>B19/B6</f>
        <v/>
      </c>
      <c r="C24" s="11">
        <f>C19/C6</f>
        <v/>
      </c>
      <c r="D24" s="11">
        <f>D19/D6</f>
        <v/>
      </c>
      <c r="E24" s="11">
        <f>E19/E6</f>
        <v/>
      </c>
      <c r="F24" s="11">
        <f>F19/F6</f>
        <v/>
      </c>
      <c r="G24" s="11">
        <f>G19/G6</f>
        <v/>
      </c>
      <c r="H24" s="11">
        <f>H19/H6</f>
        <v/>
      </c>
      <c r="I24" s="11">
        <f>I19/I6</f>
        <v/>
      </c>
      <c r="J24" s="11">
        <f>J19/J6</f>
        <v/>
      </c>
      <c r="K24" s="11">
        <f>K19/K6</f>
        <v/>
      </c>
      <c r="L24" s="11">
        <f>L19/L6</f>
        <v/>
      </c>
    </row>
    <row r="26">
      <c r="A26" t="inlineStr">
        <is>
          <t>Sum PV of FCF (Y1-10)</t>
        </is>
      </c>
      <c r="B26" s="13">
        <f>SUM(C21:L21)</f>
        <v/>
      </c>
    </row>
    <row r="27">
      <c r="A27" t="inlineStr">
        <is>
          <t>Terminal growth</t>
        </is>
      </c>
      <c r="B27" s="14">
        <f>Assumptions!$B$26</f>
        <v/>
      </c>
    </row>
    <row r="28">
      <c r="A28" t="inlineStr">
        <is>
          <t>Terminal FCF (Y10 grown)</t>
        </is>
      </c>
      <c r="B28" s="13">
        <f>L19*(1+B27)</f>
        <v/>
      </c>
    </row>
    <row r="29">
      <c r="A29" t="inlineStr">
        <is>
          <t>Gordon TV</t>
        </is>
      </c>
      <c r="B29" s="13">
        <f>B28/(Assumptions!$B$6-B27)</f>
        <v/>
      </c>
    </row>
    <row r="30">
      <c r="A30" t="inlineStr">
        <is>
          <t>Cap TV</t>
        </is>
      </c>
      <c r="B30" s="13">
        <f>Assumptions!$B$27*L19</f>
        <v/>
      </c>
    </row>
    <row r="31">
      <c r="A31" t="inlineStr">
        <is>
          <t>TV used = MAX(0, MIN(Gordon, cap))</t>
        </is>
      </c>
      <c r="B31" s="13">
        <f>MAX(0,MIN(B29,B30))</f>
        <v/>
      </c>
    </row>
    <row r="32">
      <c r="A32" t="inlineStr">
        <is>
          <t>Implied exit multiple (TV/FCF10)</t>
        </is>
      </c>
      <c r="B32" s="15">
        <f>B31/L19</f>
        <v/>
      </c>
    </row>
    <row r="33">
      <c r="A33" t="inlineStr">
        <is>
          <t>PV of terminal value</t>
        </is>
      </c>
      <c r="B33" s="13">
        <f>B31/(1+Assumptions!$B$6)^10</f>
        <v/>
      </c>
    </row>
    <row r="34">
      <c r="A34" t="inlineStr">
        <is>
          <t>OpCo enterprise value</t>
        </is>
      </c>
      <c r="B34" s="13">
        <f>B26+B33</f>
        <v/>
      </c>
    </row>
    <row r="35">
      <c r="A35" t="inlineStr">
        <is>
          <t>Monee equity value (distributable-earnings model)</t>
        </is>
      </c>
      <c r="B35" s="16">
        <f>Monee!$B$20</f>
        <v/>
      </c>
    </row>
    <row r="36">
      <c r="A36" t="inlineStr">
        <is>
          <t>Surplus corporate net cash</t>
        </is>
      </c>
      <c r="B36" s="16">
        <f>Assumptions!$B$19</f>
        <v/>
      </c>
    </row>
    <row r="37">
      <c r="A37" t="inlineStr">
        <is>
          <t>Equity value</t>
        </is>
      </c>
      <c r="B37" s="13">
        <f>B34+B35+B36</f>
        <v/>
      </c>
    </row>
    <row r="38">
      <c r="A38" t="inlineStr">
        <is>
          <t>Diluted shares (m, flat)</t>
        </is>
      </c>
      <c r="B38" s="16">
        <f>Assumptions!$B$5</f>
        <v/>
      </c>
    </row>
    <row r="39">
      <c r="A39" s="1" t="inlineStr">
        <is>
          <t>VALUE PER SHARE (house basis)</t>
        </is>
      </c>
      <c r="B39" s="17">
        <f>B37/B38</f>
        <v/>
      </c>
    </row>
    <row r="40">
      <c r="A40" t="inlineStr">
        <is>
          <t>Upside vs current price</t>
        </is>
      </c>
      <c r="B40" s="9">
        <f>B39/Assumptions!$B$3-1</f>
        <v/>
      </c>
    </row>
    <row r="42">
      <c r="A42" t="inlineStr">
        <is>
          <t>Street memo: PV of explicit SBC</t>
        </is>
      </c>
      <c r="B42" s="13">
        <f>SUMPRODUCT(-C10:L10/(1+Assumptions!$B$6)^C4:L4)</f>
        <v/>
      </c>
    </row>
    <row r="43">
      <c r="A43" t="inlineStr">
        <is>
          <t>Street memo: PV of terminal SBC</t>
        </is>
      </c>
      <c r="B43" s="13">
        <f>(-L10)*(1+B27)/(Assumptions!$B$6-B27)/(1+Assumptions!$B$6)^10</f>
        <v/>
      </c>
    </row>
    <row r="44">
      <c r="A44" t="inlineStr">
        <is>
          <t>Street value per share (SBC as non-cash)</t>
        </is>
      </c>
      <c r="B44" s="18">
        <f>(B37+B42+B43)/B38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Base scenario - OpCo (Shopee+Garena+corporate) 10-yr owner-FCF DCF; all $m</t>
        </is>
      </c>
    </row>
    <row r="3">
      <c r="A3" s="1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0.38</v>
      </c>
      <c r="D5" s="5" t="n">
        <v>0.24</v>
      </c>
      <c r="E5" s="5" t="n">
        <v>0.18</v>
      </c>
      <c r="F5" s="5" t="n">
        <v>0.14</v>
      </c>
      <c r="G5" s="5" t="n">
        <v>0.11</v>
      </c>
      <c r="H5" s="5" t="n">
        <v>0.09</v>
      </c>
      <c r="I5" s="5" t="n">
        <v>0.075</v>
      </c>
      <c r="J5" s="5" t="n">
        <v>0.065</v>
      </c>
      <c r="K5" s="5" t="n">
        <v>0.055</v>
      </c>
      <c r="L5" s="5" t="n">
        <v>0.045</v>
      </c>
    </row>
    <row r="6">
      <c r="A6" t="inlineStr">
        <is>
          <t>Revenue</t>
        </is>
      </c>
      <c r="B6" s="2" t="n">
        <v>19138</v>
      </c>
      <c r="C6" s="10">
        <f>B6*(1+C5)</f>
        <v/>
      </c>
      <c r="D6" s="10">
        <f>C6*(1+D5)</f>
        <v/>
      </c>
      <c r="E6" s="10">
        <f>D6*(1+E5)</f>
        <v/>
      </c>
      <c r="F6" s="10">
        <f>E6*(1+F5)</f>
        <v/>
      </c>
      <c r="G6" s="10">
        <f>F6*(1+G5)</f>
        <v/>
      </c>
      <c r="H6" s="10">
        <f>G6*(1+H5)</f>
        <v/>
      </c>
      <c r="I6" s="10">
        <f>H6*(1+I5)</f>
        <v/>
      </c>
      <c r="J6" s="10">
        <f>I6*(1+J5)</f>
        <v/>
      </c>
      <c r="K6" s="10">
        <f>J6*(1+K5)</f>
        <v/>
      </c>
      <c r="L6" s="10">
        <f>K6*(1+L5)</f>
        <v/>
      </c>
    </row>
    <row r="7">
      <c r="A7" t="inlineStr">
        <is>
          <t>Adj EBITDA margin</t>
        </is>
      </c>
      <c r="B7" s="11">
        <f>B8/B6</f>
        <v/>
      </c>
      <c r="C7" s="5" t="n">
        <v>0.104</v>
      </c>
      <c r="D7" s="5" t="n">
        <v>0.115</v>
      </c>
      <c r="E7" s="5" t="n">
        <v>0.125</v>
      </c>
      <c r="F7" s="5" t="n">
        <v>0.135</v>
      </c>
      <c r="G7" s="5" t="n">
        <v>0.145</v>
      </c>
      <c r="H7" s="5" t="n">
        <v>0.152</v>
      </c>
      <c r="I7" s="5" t="n">
        <v>0.158</v>
      </c>
      <c r="J7" s="5" t="n">
        <v>0.163</v>
      </c>
      <c r="K7" s="5" t="n">
        <v>0.167</v>
      </c>
      <c r="L7" s="5" t="n">
        <v>0.17</v>
      </c>
    </row>
    <row r="8">
      <c r="A8" t="inlineStr">
        <is>
          <t>Adjusted EBITDA</t>
        </is>
      </c>
      <c r="B8" s="2" t="n">
        <v>2400</v>
      </c>
      <c r="C8" s="10">
        <f>C6*C7</f>
        <v/>
      </c>
      <c r="D8" s="10">
        <f>D6*D7</f>
        <v/>
      </c>
      <c r="E8" s="10">
        <f>E6*E7</f>
        <v/>
      </c>
      <c r="F8" s="10">
        <f>F6*F7</f>
        <v/>
      </c>
      <c r="G8" s="10">
        <f>G6*G7</f>
        <v/>
      </c>
      <c r="H8" s="10">
        <f>H6*H7</f>
        <v/>
      </c>
      <c r="I8" s="10">
        <f>I6*I7</f>
        <v/>
      </c>
      <c r="J8" s="10">
        <f>J6*J7</f>
        <v/>
      </c>
      <c r="K8" s="10">
        <f>K6*K7</f>
        <v/>
      </c>
      <c r="L8" s="10">
        <f>L6*L7</f>
        <v/>
      </c>
    </row>
    <row r="9">
      <c r="A9" t="inlineStr">
        <is>
          <t>SBC % of revenue</t>
        </is>
      </c>
      <c r="B9" s="11">
        <f>-B10/B6</f>
        <v/>
      </c>
      <c r="C9" s="5" t="n">
        <v>0.024</v>
      </c>
      <c r="D9" s="5" t="n">
        <v>0.023</v>
      </c>
      <c r="E9" s="5" t="n">
        <v>0.022</v>
      </c>
      <c r="F9" s="5" t="n">
        <v>0.021</v>
      </c>
      <c r="G9" s="5" t="n">
        <v>0.02</v>
      </c>
      <c r="H9" s="5" t="n">
        <v>0.019</v>
      </c>
      <c r="I9" s="5" t="n">
        <v>0.018</v>
      </c>
      <c r="J9" s="5" t="n">
        <v>0.017</v>
      </c>
      <c r="K9" s="5" t="n">
        <v>0.0165</v>
      </c>
      <c r="L9" s="5" t="n">
        <v>0.016</v>
      </c>
    </row>
    <row r="10">
      <c r="A10" t="inlineStr">
        <is>
          <t>SBC $</t>
        </is>
      </c>
      <c r="B10" s="2" t="n">
        <v>-531</v>
      </c>
      <c r="C10" s="10">
        <f>-C6*C9</f>
        <v/>
      </c>
      <c r="D10" s="10">
        <f>-D6*D9</f>
        <v/>
      </c>
      <c r="E10" s="10">
        <f>-E6*E9</f>
        <v/>
      </c>
      <c r="F10" s="10">
        <f>-F6*F9</f>
        <v/>
      </c>
      <c r="G10" s="10">
        <f>-G6*G9</f>
        <v/>
      </c>
      <c r="H10" s="10">
        <f>-H6*H9</f>
        <v/>
      </c>
      <c r="I10" s="10">
        <f>-I6*I9</f>
        <v/>
      </c>
      <c r="J10" s="10">
        <f>-J6*J9</f>
        <v/>
      </c>
      <c r="K10" s="10">
        <f>-K6*K9</f>
        <v/>
      </c>
      <c r="L10" s="10">
        <f>-L6*L9</f>
        <v/>
      </c>
    </row>
    <row r="11">
      <c r="A11" t="inlineStr">
        <is>
          <t>Owner EBITDA (SBC expensed)</t>
        </is>
      </c>
      <c r="B11" s="10">
        <f>B8+B10</f>
        <v/>
      </c>
      <c r="C11" s="10">
        <f>C8+C10</f>
        <v/>
      </c>
      <c r="D11" s="10">
        <f>D8+D10</f>
        <v/>
      </c>
      <c r="E11" s="10">
        <f>E8+E10</f>
        <v/>
      </c>
      <c r="F11" s="10">
        <f>F8+F10</f>
        <v/>
      </c>
      <c r="G11" s="10">
        <f>G8+G10</f>
        <v/>
      </c>
      <c r="H11" s="10">
        <f>H8+H10</f>
        <v/>
      </c>
      <c r="I11" s="10">
        <f>I8+I10</f>
        <v/>
      </c>
      <c r="J11" s="10">
        <f>J8+J10</f>
        <v/>
      </c>
      <c r="K11" s="10">
        <f>K8+K10</f>
        <v/>
      </c>
      <c r="L11" s="10">
        <f>L8+L10</f>
        <v/>
      </c>
    </row>
    <row r="12">
      <c r="A12" t="inlineStr">
        <is>
          <t>D&amp;A</t>
        </is>
      </c>
      <c r="B12" s="10">
        <f>-B6*Assumptions!$B$8</f>
        <v/>
      </c>
      <c r="C12" s="10">
        <f>-C6*Assumptions!$B$8</f>
        <v/>
      </c>
      <c r="D12" s="10">
        <f>-D6*Assumptions!$B$8</f>
        <v/>
      </c>
      <c r="E12" s="10">
        <f>-E6*Assumptions!$B$8</f>
        <v/>
      </c>
      <c r="F12" s="10">
        <f>-F6*Assumptions!$B$8</f>
        <v/>
      </c>
      <c r="G12" s="10">
        <f>-G6*Assumptions!$B$8</f>
        <v/>
      </c>
      <c r="H12" s="10">
        <f>-H6*Assumptions!$B$8</f>
        <v/>
      </c>
      <c r="I12" s="10">
        <f>-I6*Assumptions!$B$8</f>
        <v/>
      </c>
      <c r="J12" s="10">
        <f>-J6*Assumptions!$B$8</f>
        <v/>
      </c>
      <c r="K12" s="10">
        <f>-K6*Assumptions!$B$8</f>
        <v/>
      </c>
      <c r="L12" s="10">
        <f>-L6*Assumptions!$B$8</f>
        <v/>
      </c>
    </row>
    <row r="13">
      <c r="A13" t="inlineStr">
        <is>
          <t>EBIT (SBC expensed)</t>
        </is>
      </c>
      <c r="B13" s="10">
        <f>B11+B12</f>
        <v/>
      </c>
      <c r="C13" s="10">
        <f>C11+C12</f>
        <v/>
      </c>
      <c r="D13" s="10">
        <f>D11+D12</f>
        <v/>
      </c>
      <c r="E13" s="10">
        <f>E11+E12</f>
        <v/>
      </c>
      <c r="F13" s="10">
        <f>F11+F12</f>
        <v/>
      </c>
      <c r="G13" s="10">
        <f>G11+G12</f>
        <v/>
      </c>
      <c r="H13" s="10">
        <f>H11+H12</f>
        <v/>
      </c>
      <c r="I13" s="10">
        <f>I11+I12</f>
        <v/>
      </c>
      <c r="J13" s="10">
        <f>J11+J12</f>
        <v/>
      </c>
      <c r="K13" s="10">
        <f>K11+K12</f>
        <v/>
      </c>
      <c r="L13" s="10">
        <f>L11+L12</f>
        <v/>
      </c>
    </row>
    <row r="14">
      <c r="A14" t="inlineStr">
        <is>
          <t>Cash tax rate</t>
        </is>
      </c>
      <c r="B14" s="6" t="n">
        <v>0.26</v>
      </c>
      <c r="C14" s="5" t="n">
        <v>0.26</v>
      </c>
      <c r="D14" s="5" t="n">
        <v>0.26</v>
      </c>
      <c r="E14" s="5" t="n">
        <v>0.26</v>
      </c>
      <c r="F14" s="5" t="n">
        <v>0.26</v>
      </c>
      <c r="G14" s="5" t="n">
        <v>0.26</v>
      </c>
      <c r="H14" s="5" t="n">
        <v>0.26</v>
      </c>
      <c r="I14" s="5" t="n">
        <v>0.26</v>
      </c>
      <c r="J14" s="5" t="n">
        <v>0.26</v>
      </c>
      <c r="K14" s="5" t="n">
        <v>0.26</v>
      </c>
      <c r="L14" s="5" t="n">
        <v>0.26</v>
      </c>
    </row>
    <row r="15">
      <c r="A15" t="inlineStr">
        <is>
          <t>NOPAT</t>
        </is>
      </c>
      <c r="B15" s="10">
        <f>B13*(1-B14)</f>
        <v/>
      </c>
      <c r="C15" s="10">
        <f>C13*(1-C14)</f>
        <v/>
      </c>
      <c r="D15" s="10">
        <f>D13*(1-D14)</f>
        <v/>
      </c>
      <c r="E15" s="10">
        <f>E13*(1-E14)</f>
        <v/>
      </c>
      <c r="F15" s="10">
        <f>F13*(1-F14)</f>
        <v/>
      </c>
      <c r="G15" s="10">
        <f>G13*(1-G14)</f>
        <v/>
      </c>
      <c r="H15" s="10">
        <f>H13*(1-H14)</f>
        <v/>
      </c>
      <c r="I15" s="10">
        <f>I13*(1-I14)</f>
        <v/>
      </c>
      <c r="J15" s="10">
        <f>J13*(1-J14)</f>
        <v/>
      </c>
      <c r="K15" s="10">
        <f>K13*(1-K14)</f>
        <v/>
      </c>
      <c r="L15" s="10">
        <f>L13*(1-L14)</f>
        <v/>
      </c>
    </row>
    <row r="16">
      <c r="A16" t="inlineStr">
        <is>
          <t>add back D&amp;A</t>
        </is>
      </c>
      <c r="B16" s="10">
        <f>-B12</f>
        <v/>
      </c>
      <c r="C16" s="10">
        <f>-C12</f>
        <v/>
      </c>
      <c r="D16" s="10">
        <f>-D12</f>
        <v/>
      </c>
      <c r="E16" s="10">
        <f>-E12</f>
        <v/>
      </c>
      <c r="F16" s="10">
        <f>-F12</f>
        <v/>
      </c>
      <c r="G16" s="10">
        <f>-G12</f>
        <v/>
      </c>
      <c r="H16" s="10">
        <f>-H12</f>
        <v/>
      </c>
      <c r="I16" s="10">
        <f>-I12</f>
        <v/>
      </c>
      <c r="J16" s="10">
        <f>-J12</f>
        <v/>
      </c>
      <c r="K16" s="10">
        <f>-K12</f>
        <v/>
      </c>
      <c r="L16" s="10">
        <f>-L12</f>
        <v/>
      </c>
    </row>
    <row r="17">
      <c r="A17" t="inlineStr">
        <is>
          <t>less capex</t>
        </is>
      </c>
      <c r="B17" s="2" t="n">
        <v>-513.8</v>
      </c>
      <c r="C17" s="10">
        <f>-C6*Assumptions!$B$9</f>
        <v/>
      </c>
      <c r="D17" s="10">
        <f>-D6*Assumptions!$B$9</f>
        <v/>
      </c>
      <c r="E17" s="10">
        <f>-E6*Assumptions!$B$9</f>
        <v/>
      </c>
      <c r="F17" s="10">
        <f>-F6*Assumptions!$B$9</f>
        <v/>
      </c>
      <c r="G17" s="10">
        <f>-G6*Assumptions!$B$9</f>
        <v/>
      </c>
      <c r="H17" s="10">
        <f>-H6*Assumptions!$B$9</f>
        <v/>
      </c>
      <c r="I17" s="10">
        <f>-I6*Assumptions!$B$9</f>
        <v/>
      </c>
      <c r="J17" s="10">
        <f>-J6*Assumptions!$B$9</f>
        <v/>
      </c>
      <c r="K17" s="10">
        <f>-K6*Assumptions!$B$9</f>
        <v/>
      </c>
      <c r="L17" s="10">
        <f>-L6*Assumptions!$B$9</f>
        <v/>
      </c>
    </row>
    <row r="18">
      <c r="A18" t="inlineStr">
        <is>
          <t>add working capital capture</t>
        </is>
      </c>
      <c r="B18" s="2" t="n">
        <v>377.4</v>
      </c>
      <c r="C18" s="10">
        <f>Assumptions!$B$10*(C6-B6)</f>
        <v/>
      </c>
      <c r="D18" s="10">
        <f>Assumptions!$B$10*(D6-C6)</f>
        <v/>
      </c>
      <c r="E18" s="10">
        <f>Assumptions!$B$10*(E6-D6)</f>
        <v/>
      </c>
      <c r="F18" s="10">
        <f>Assumptions!$B$10*(F6-E6)</f>
        <v/>
      </c>
      <c r="G18" s="10">
        <f>Assumptions!$B$10*(G6-F6)</f>
        <v/>
      </c>
      <c r="H18" s="10">
        <f>Assumptions!$B$10*(H6-G6)</f>
        <v/>
      </c>
      <c r="I18" s="10">
        <f>Assumptions!$B$10*(I6-H6)</f>
        <v/>
      </c>
      <c r="J18" s="10">
        <f>Assumptions!$B$10*(J6-I6)</f>
        <v/>
      </c>
      <c r="K18" s="10">
        <f>Assumptions!$B$10*(K6-J6)</f>
        <v/>
      </c>
      <c r="L18" s="10">
        <f>Assumptions!$B$10*(L6-K6)</f>
        <v/>
      </c>
    </row>
    <row r="19">
      <c r="A19" t="inlineStr">
        <is>
          <t>Unlevered owner FCF</t>
        </is>
      </c>
      <c r="B19" s="10">
        <f>B15+B16+B17+B18</f>
        <v/>
      </c>
      <c r="C19" s="10">
        <f>C15+C16+C17+C18</f>
        <v/>
      </c>
      <c r="D19" s="10">
        <f>D15+D16+D17+D18</f>
        <v/>
      </c>
      <c r="E19" s="10">
        <f>E15+E16+E17+E18</f>
        <v/>
      </c>
      <c r="F19" s="10">
        <f>F15+F16+F17+F18</f>
        <v/>
      </c>
      <c r="G19" s="10">
        <f>G15+G16+G17+G18</f>
        <v/>
      </c>
      <c r="H19" s="10">
        <f>H15+H16+H17+H18</f>
        <v/>
      </c>
      <c r="I19" s="10">
        <f>I15+I16+I17+I18</f>
        <v/>
      </c>
      <c r="J19" s="10">
        <f>J15+J16+J17+J18</f>
        <v/>
      </c>
      <c r="K19" s="10">
        <f>K15+K16+K17+K18</f>
        <v/>
      </c>
      <c r="L19" s="10">
        <f>L15+L16+L17+L18</f>
        <v/>
      </c>
    </row>
    <row r="20">
      <c r="A20" t="inlineStr">
        <is>
          <t>Discount factor @ WACC</t>
        </is>
      </c>
      <c r="C20" s="12">
        <f>1/(1+Assumptions!$B$6)^C4</f>
        <v/>
      </c>
      <c r="D20" s="12">
        <f>1/(1+Assumptions!$B$6)^D4</f>
        <v/>
      </c>
      <c r="E20" s="12">
        <f>1/(1+Assumptions!$B$6)^E4</f>
        <v/>
      </c>
      <c r="F20" s="12">
        <f>1/(1+Assumptions!$B$6)^F4</f>
        <v/>
      </c>
      <c r="G20" s="12">
        <f>1/(1+Assumptions!$B$6)^G4</f>
        <v/>
      </c>
      <c r="H20" s="12">
        <f>1/(1+Assumptions!$B$6)^H4</f>
        <v/>
      </c>
      <c r="I20" s="12">
        <f>1/(1+Assumptions!$B$6)^I4</f>
        <v/>
      </c>
      <c r="J20" s="12">
        <f>1/(1+Assumptions!$B$6)^J4</f>
        <v/>
      </c>
      <c r="K20" s="12">
        <f>1/(1+Assumptions!$B$6)^K4</f>
        <v/>
      </c>
      <c r="L20" s="12">
        <f>1/(1+Assumptions!$B$6)^L4</f>
        <v/>
      </c>
    </row>
    <row r="21">
      <c r="A21" t="inlineStr">
        <is>
          <t>PV of FCF</t>
        </is>
      </c>
      <c r="C21" s="10">
        <f>C19*C20</f>
        <v/>
      </c>
      <c r="D21" s="10">
        <f>D19*D20</f>
        <v/>
      </c>
      <c r="E21" s="10">
        <f>E19*E20</f>
        <v/>
      </c>
      <c r="F21" s="10">
        <f>F19*F20</f>
        <v/>
      </c>
      <c r="G21" s="10">
        <f>G19*G20</f>
        <v/>
      </c>
      <c r="H21" s="10">
        <f>H19*H20</f>
        <v/>
      </c>
      <c r="I21" s="10">
        <f>I19*I20</f>
        <v/>
      </c>
      <c r="J21" s="10">
        <f>J19*J20</f>
        <v/>
      </c>
      <c r="K21" s="10">
        <f>K19*K20</f>
        <v/>
      </c>
      <c r="L21" s="10">
        <f>L19*L20</f>
        <v/>
      </c>
    </row>
    <row r="23">
      <c r="A23" t="inlineStr">
        <is>
          <t>Memo: FCF before SBC (street-style)</t>
        </is>
      </c>
      <c r="C23" s="10">
        <f>C19-C10</f>
        <v/>
      </c>
      <c r="D23" s="10">
        <f>D19-D10</f>
        <v/>
      </c>
      <c r="E23" s="10">
        <f>E19-E10</f>
        <v/>
      </c>
      <c r="F23" s="10">
        <f>F19-F10</f>
        <v/>
      </c>
      <c r="G23" s="10">
        <f>G19-G10</f>
        <v/>
      </c>
      <c r="H23" s="10">
        <f>H19-H10</f>
        <v/>
      </c>
      <c r="I23" s="10">
        <f>I19-I10</f>
        <v/>
      </c>
      <c r="J23" s="10">
        <f>J19-J10</f>
        <v/>
      </c>
      <c r="K23" s="10">
        <f>K19-K10</f>
        <v/>
      </c>
      <c r="L23" s="10">
        <f>L19-L10</f>
        <v/>
      </c>
    </row>
    <row r="24">
      <c r="A24" t="inlineStr">
        <is>
          <t>Memo: owner-FCF margin</t>
        </is>
      </c>
      <c r="B24" s="11">
        <f>B19/B6</f>
        <v/>
      </c>
      <c r="C24" s="11">
        <f>C19/C6</f>
        <v/>
      </c>
      <c r="D24" s="11">
        <f>D19/D6</f>
        <v/>
      </c>
      <c r="E24" s="11">
        <f>E19/E6</f>
        <v/>
      </c>
      <c r="F24" s="11">
        <f>F19/F6</f>
        <v/>
      </c>
      <c r="G24" s="11">
        <f>G19/G6</f>
        <v/>
      </c>
      <c r="H24" s="11">
        <f>H19/H6</f>
        <v/>
      </c>
      <c r="I24" s="11">
        <f>I19/I6</f>
        <v/>
      </c>
      <c r="J24" s="11">
        <f>J19/J6</f>
        <v/>
      </c>
      <c r="K24" s="11">
        <f>K19/K6</f>
        <v/>
      </c>
      <c r="L24" s="11">
        <f>L19/L6</f>
        <v/>
      </c>
    </row>
    <row r="26">
      <c r="A26" t="inlineStr">
        <is>
          <t>Sum PV of FCF (Y1-10)</t>
        </is>
      </c>
      <c r="B26" s="13">
        <f>SUM(C21:L21)</f>
        <v/>
      </c>
    </row>
    <row r="27">
      <c r="A27" t="inlineStr">
        <is>
          <t>Terminal growth</t>
        </is>
      </c>
      <c r="B27" s="14">
        <f>Assumptions!$C$26</f>
        <v/>
      </c>
    </row>
    <row r="28">
      <c r="A28" t="inlineStr">
        <is>
          <t>Terminal FCF (Y10 grown)</t>
        </is>
      </c>
      <c r="B28" s="13">
        <f>L19*(1+B27)</f>
        <v/>
      </c>
    </row>
    <row r="29">
      <c r="A29" t="inlineStr">
        <is>
          <t>Gordon TV</t>
        </is>
      </c>
      <c r="B29" s="13">
        <f>B28/(Assumptions!$B$6-B27)</f>
        <v/>
      </c>
    </row>
    <row r="30">
      <c r="A30" t="inlineStr">
        <is>
          <t>Cap TV</t>
        </is>
      </c>
      <c r="B30" s="13">
        <f>Assumptions!$C$27*L19</f>
        <v/>
      </c>
    </row>
    <row r="31">
      <c r="A31" t="inlineStr">
        <is>
          <t>TV used = MAX(0, MIN(Gordon, cap))</t>
        </is>
      </c>
      <c r="B31" s="13">
        <f>MAX(0,MIN(B29,B30))</f>
        <v/>
      </c>
    </row>
    <row r="32">
      <c r="A32" t="inlineStr">
        <is>
          <t>Implied exit multiple (TV/FCF10)</t>
        </is>
      </c>
      <c r="B32" s="15">
        <f>B31/L19</f>
        <v/>
      </c>
    </row>
    <row r="33">
      <c r="A33" t="inlineStr">
        <is>
          <t>PV of terminal value</t>
        </is>
      </c>
      <c r="B33" s="13">
        <f>B31/(1+Assumptions!$B$6)^10</f>
        <v/>
      </c>
    </row>
    <row r="34">
      <c r="A34" t="inlineStr">
        <is>
          <t>OpCo enterprise value</t>
        </is>
      </c>
      <c r="B34" s="13">
        <f>B26+B33</f>
        <v/>
      </c>
    </row>
    <row r="35">
      <c r="A35" t="inlineStr">
        <is>
          <t>Monee equity value (distributable-earnings model)</t>
        </is>
      </c>
      <c r="B35" s="16">
        <f>Monee!$B$37</f>
        <v/>
      </c>
    </row>
    <row r="36">
      <c r="A36" t="inlineStr">
        <is>
          <t>Surplus corporate net cash</t>
        </is>
      </c>
      <c r="B36" s="16">
        <f>Assumptions!$B$19</f>
        <v/>
      </c>
    </row>
    <row r="37">
      <c r="A37" t="inlineStr">
        <is>
          <t>Equity value</t>
        </is>
      </c>
      <c r="B37" s="13">
        <f>B34+B35+B36</f>
        <v/>
      </c>
    </row>
    <row r="38">
      <c r="A38" t="inlineStr">
        <is>
          <t>Diluted shares (m, flat)</t>
        </is>
      </c>
      <c r="B38" s="16">
        <f>Assumptions!$B$5</f>
        <v/>
      </c>
    </row>
    <row r="39">
      <c r="A39" s="1" t="inlineStr">
        <is>
          <t>VALUE PER SHARE (house basis)</t>
        </is>
      </c>
      <c r="B39" s="17">
        <f>B37/B38</f>
        <v/>
      </c>
    </row>
    <row r="40">
      <c r="A40" t="inlineStr">
        <is>
          <t>Upside vs current price</t>
        </is>
      </c>
      <c r="B40" s="9">
        <f>B39/Assumptions!$B$3-1</f>
        <v/>
      </c>
    </row>
    <row r="42">
      <c r="A42" t="inlineStr">
        <is>
          <t>Street memo: PV of explicit SBC</t>
        </is>
      </c>
      <c r="B42" s="13">
        <f>SUMPRODUCT(-C10:L10/(1+Assumptions!$B$6)^C4:L4)</f>
        <v/>
      </c>
    </row>
    <row r="43">
      <c r="A43" t="inlineStr">
        <is>
          <t>Street memo: PV of terminal SBC</t>
        </is>
      </c>
      <c r="B43" s="13">
        <f>(-L10)*(1+B27)/(Assumptions!$B$6-B27)/(1+Assumptions!$B$6)^10</f>
        <v/>
      </c>
    </row>
    <row r="44">
      <c r="A44" t="inlineStr">
        <is>
          <t>Street value per share (SBC as non-cash)</t>
        </is>
      </c>
      <c r="B44" s="18">
        <f>(B37+B42+B43)/B38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Bull scenario - OpCo (Shopee+Garena+corporate) 10-yr owner-FCF DCF; all $m</t>
        </is>
      </c>
    </row>
    <row r="3">
      <c r="A3" s="1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0.42</v>
      </c>
      <c r="D5" s="5" t="n">
        <v>0.3</v>
      </c>
      <c r="E5" s="5" t="n">
        <v>0.24</v>
      </c>
      <c r="F5" s="5" t="n">
        <v>0.18</v>
      </c>
      <c r="G5" s="5" t="n">
        <v>0.14</v>
      </c>
      <c r="H5" s="5" t="n">
        <v>0.11</v>
      </c>
      <c r="I5" s="5" t="n">
        <v>0.09</v>
      </c>
      <c r="J5" s="5" t="n">
        <v>0.075</v>
      </c>
      <c r="K5" s="5" t="n">
        <v>0.06</v>
      </c>
      <c r="L5" s="5" t="n">
        <v>0.05</v>
      </c>
    </row>
    <row r="6">
      <c r="A6" t="inlineStr">
        <is>
          <t>Revenue</t>
        </is>
      </c>
      <c r="B6" s="2" t="n">
        <v>19138</v>
      </c>
      <c r="C6" s="10">
        <f>B6*(1+C5)</f>
        <v/>
      </c>
      <c r="D6" s="10">
        <f>C6*(1+D5)</f>
        <v/>
      </c>
      <c r="E6" s="10">
        <f>D6*(1+E5)</f>
        <v/>
      </c>
      <c r="F6" s="10">
        <f>E6*(1+F5)</f>
        <v/>
      </c>
      <c r="G6" s="10">
        <f>F6*(1+G5)</f>
        <v/>
      </c>
      <c r="H6" s="10">
        <f>G6*(1+H5)</f>
        <v/>
      </c>
      <c r="I6" s="10">
        <f>H6*(1+I5)</f>
        <v/>
      </c>
      <c r="J6" s="10">
        <f>I6*(1+J5)</f>
        <v/>
      </c>
      <c r="K6" s="10">
        <f>J6*(1+K5)</f>
        <v/>
      </c>
      <c r="L6" s="10">
        <f>K6*(1+L5)</f>
        <v/>
      </c>
    </row>
    <row r="7">
      <c r="A7" t="inlineStr">
        <is>
          <t>Adj EBITDA margin</t>
        </is>
      </c>
      <c r="B7" s="11">
        <f>B8/B6</f>
        <v/>
      </c>
      <c r="C7" s="5" t="n">
        <v>0.108</v>
      </c>
      <c r="D7" s="5" t="n">
        <v>0.125</v>
      </c>
      <c r="E7" s="5" t="n">
        <v>0.14</v>
      </c>
      <c r="F7" s="5" t="n">
        <v>0.155</v>
      </c>
      <c r="G7" s="5" t="n">
        <v>0.165</v>
      </c>
      <c r="H7" s="5" t="n">
        <v>0.173</v>
      </c>
      <c r="I7" s="5" t="n">
        <v>0.18</v>
      </c>
      <c r="J7" s="5" t="n">
        <v>0.185</v>
      </c>
      <c r="K7" s="5" t="n">
        <v>0.188</v>
      </c>
      <c r="L7" s="5" t="n">
        <v>0.19</v>
      </c>
    </row>
    <row r="8">
      <c r="A8" t="inlineStr">
        <is>
          <t>Adjusted EBITDA</t>
        </is>
      </c>
      <c r="B8" s="2" t="n">
        <v>2400</v>
      </c>
      <c r="C8" s="10">
        <f>C6*C7</f>
        <v/>
      </c>
      <c r="D8" s="10">
        <f>D6*D7</f>
        <v/>
      </c>
      <c r="E8" s="10">
        <f>E6*E7</f>
        <v/>
      </c>
      <c r="F8" s="10">
        <f>F6*F7</f>
        <v/>
      </c>
      <c r="G8" s="10">
        <f>G6*G7</f>
        <v/>
      </c>
      <c r="H8" s="10">
        <f>H6*H7</f>
        <v/>
      </c>
      <c r="I8" s="10">
        <f>I6*I7</f>
        <v/>
      </c>
      <c r="J8" s="10">
        <f>J6*J7</f>
        <v/>
      </c>
      <c r="K8" s="10">
        <f>K6*K7</f>
        <v/>
      </c>
      <c r="L8" s="10">
        <f>L6*L7</f>
        <v/>
      </c>
    </row>
    <row r="9">
      <c r="A9" t="inlineStr">
        <is>
          <t>SBC % of revenue</t>
        </is>
      </c>
      <c r="B9" s="11">
        <f>-B10/B6</f>
        <v/>
      </c>
      <c r="C9" s="5" t="n">
        <v>0.024</v>
      </c>
      <c r="D9" s="5" t="n">
        <v>0.023</v>
      </c>
      <c r="E9" s="5" t="n">
        <v>0.022</v>
      </c>
      <c r="F9" s="5" t="n">
        <v>0.021</v>
      </c>
      <c r="G9" s="5" t="n">
        <v>0.02</v>
      </c>
      <c r="H9" s="5" t="n">
        <v>0.019</v>
      </c>
      <c r="I9" s="5" t="n">
        <v>0.018</v>
      </c>
      <c r="J9" s="5" t="n">
        <v>0.017</v>
      </c>
      <c r="K9" s="5" t="n">
        <v>0.0165</v>
      </c>
      <c r="L9" s="5" t="n">
        <v>0.016</v>
      </c>
    </row>
    <row r="10">
      <c r="A10" t="inlineStr">
        <is>
          <t>SBC $</t>
        </is>
      </c>
      <c r="B10" s="2" t="n">
        <v>-531</v>
      </c>
      <c r="C10" s="10">
        <f>-C6*C9</f>
        <v/>
      </c>
      <c r="D10" s="10">
        <f>-D6*D9</f>
        <v/>
      </c>
      <c r="E10" s="10">
        <f>-E6*E9</f>
        <v/>
      </c>
      <c r="F10" s="10">
        <f>-F6*F9</f>
        <v/>
      </c>
      <c r="G10" s="10">
        <f>-G6*G9</f>
        <v/>
      </c>
      <c r="H10" s="10">
        <f>-H6*H9</f>
        <v/>
      </c>
      <c r="I10" s="10">
        <f>-I6*I9</f>
        <v/>
      </c>
      <c r="J10" s="10">
        <f>-J6*J9</f>
        <v/>
      </c>
      <c r="K10" s="10">
        <f>-K6*K9</f>
        <v/>
      </c>
      <c r="L10" s="10">
        <f>-L6*L9</f>
        <v/>
      </c>
    </row>
    <row r="11">
      <c r="A11" t="inlineStr">
        <is>
          <t>Owner EBITDA (SBC expensed)</t>
        </is>
      </c>
      <c r="B11" s="10">
        <f>B8+B10</f>
        <v/>
      </c>
      <c r="C11" s="10">
        <f>C8+C10</f>
        <v/>
      </c>
      <c r="D11" s="10">
        <f>D8+D10</f>
        <v/>
      </c>
      <c r="E11" s="10">
        <f>E8+E10</f>
        <v/>
      </c>
      <c r="F11" s="10">
        <f>F8+F10</f>
        <v/>
      </c>
      <c r="G11" s="10">
        <f>G8+G10</f>
        <v/>
      </c>
      <c r="H11" s="10">
        <f>H8+H10</f>
        <v/>
      </c>
      <c r="I11" s="10">
        <f>I8+I10</f>
        <v/>
      </c>
      <c r="J11" s="10">
        <f>J8+J10</f>
        <v/>
      </c>
      <c r="K11" s="10">
        <f>K8+K10</f>
        <v/>
      </c>
      <c r="L11" s="10">
        <f>L8+L10</f>
        <v/>
      </c>
    </row>
    <row r="12">
      <c r="A12" t="inlineStr">
        <is>
          <t>D&amp;A</t>
        </is>
      </c>
      <c r="B12" s="10">
        <f>-B6*Assumptions!$B$8</f>
        <v/>
      </c>
      <c r="C12" s="10">
        <f>-C6*Assumptions!$B$8</f>
        <v/>
      </c>
      <c r="D12" s="10">
        <f>-D6*Assumptions!$B$8</f>
        <v/>
      </c>
      <c r="E12" s="10">
        <f>-E6*Assumptions!$B$8</f>
        <v/>
      </c>
      <c r="F12" s="10">
        <f>-F6*Assumptions!$B$8</f>
        <v/>
      </c>
      <c r="G12" s="10">
        <f>-G6*Assumptions!$B$8</f>
        <v/>
      </c>
      <c r="H12" s="10">
        <f>-H6*Assumptions!$B$8</f>
        <v/>
      </c>
      <c r="I12" s="10">
        <f>-I6*Assumptions!$B$8</f>
        <v/>
      </c>
      <c r="J12" s="10">
        <f>-J6*Assumptions!$B$8</f>
        <v/>
      </c>
      <c r="K12" s="10">
        <f>-K6*Assumptions!$B$8</f>
        <v/>
      </c>
      <c r="L12" s="10">
        <f>-L6*Assumptions!$B$8</f>
        <v/>
      </c>
    </row>
    <row r="13">
      <c r="A13" t="inlineStr">
        <is>
          <t>EBIT (SBC expensed)</t>
        </is>
      </c>
      <c r="B13" s="10">
        <f>B11+B12</f>
        <v/>
      </c>
      <c r="C13" s="10">
        <f>C11+C12</f>
        <v/>
      </c>
      <c r="D13" s="10">
        <f>D11+D12</f>
        <v/>
      </c>
      <c r="E13" s="10">
        <f>E11+E12</f>
        <v/>
      </c>
      <c r="F13" s="10">
        <f>F11+F12</f>
        <v/>
      </c>
      <c r="G13" s="10">
        <f>G11+G12</f>
        <v/>
      </c>
      <c r="H13" s="10">
        <f>H11+H12</f>
        <v/>
      </c>
      <c r="I13" s="10">
        <f>I11+I12</f>
        <v/>
      </c>
      <c r="J13" s="10">
        <f>J11+J12</f>
        <v/>
      </c>
      <c r="K13" s="10">
        <f>K11+K12</f>
        <v/>
      </c>
      <c r="L13" s="10">
        <f>L11+L12</f>
        <v/>
      </c>
    </row>
    <row r="14">
      <c r="A14" t="inlineStr">
        <is>
          <t>Cash tax rate</t>
        </is>
      </c>
      <c r="B14" s="6" t="n">
        <v>0.26</v>
      </c>
      <c r="C14" s="5" t="n">
        <v>0.26</v>
      </c>
      <c r="D14" s="5" t="n">
        <v>0.26</v>
      </c>
      <c r="E14" s="5" t="n">
        <v>0.26</v>
      </c>
      <c r="F14" s="5" t="n">
        <v>0.26</v>
      </c>
      <c r="G14" s="5" t="n">
        <v>0.26</v>
      </c>
      <c r="H14" s="5" t="n">
        <v>0.26</v>
      </c>
      <c r="I14" s="5" t="n">
        <v>0.26</v>
      </c>
      <c r="J14" s="5" t="n">
        <v>0.26</v>
      </c>
      <c r="K14" s="5" t="n">
        <v>0.26</v>
      </c>
      <c r="L14" s="5" t="n">
        <v>0.26</v>
      </c>
    </row>
    <row r="15">
      <c r="A15" t="inlineStr">
        <is>
          <t>NOPAT</t>
        </is>
      </c>
      <c r="B15" s="10">
        <f>B13*(1-B14)</f>
        <v/>
      </c>
      <c r="C15" s="10">
        <f>C13*(1-C14)</f>
        <v/>
      </c>
      <c r="D15" s="10">
        <f>D13*(1-D14)</f>
        <v/>
      </c>
      <c r="E15" s="10">
        <f>E13*(1-E14)</f>
        <v/>
      </c>
      <c r="F15" s="10">
        <f>F13*(1-F14)</f>
        <v/>
      </c>
      <c r="G15" s="10">
        <f>G13*(1-G14)</f>
        <v/>
      </c>
      <c r="H15" s="10">
        <f>H13*(1-H14)</f>
        <v/>
      </c>
      <c r="I15" s="10">
        <f>I13*(1-I14)</f>
        <v/>
      </c>
      <c r="J15" s="10">
        <f>J13*(1-J14)</f>
        <v/>
      </c>
      <c r="K15" s="10">
        <f>K13*(1-K14)</f>
        <v/>
      </c>
      <c r="L15" s="10">
        <f>L13*(1-L14)</f>
        <v/>
      </c>
    </row>
    <row r="16">
      <c r="A16" t="inlineStr">
        <is>
          <t>add back D&amp;A</t>
        </is>
      </c>
      <c r="B16" s="10">
        <f>-B12</f>
        <v/>
      </c>
      <c r="C16" s="10">
        <f>-C12</f>
        <v/>
      </c>
      <c r="D16" s="10">
        <f>-D12</f>
        <v/>
      </c>
      <c r="E16" s="10">
        <f>-E12</f>
        <v/>
      </c>
      <c r="F16" s="10">
        <f>-F12</f>
        <v/>
      </c>
      <c r="G16" s="10">
        <f>-G12</f>
        <v/>
      </c>
      <c r="H16" s="10">
        <f>-H12</f>
        <v/>
      </c>
      <c r="I16" s="10">
        <f>-I12</f>
        <v/>
      </c>
      <c r="J16" s="10">
        <f>-J12</f>
        <v/>
      </c>
      <c r="K16" s="10">
        <f>-K12</f>
        <v/>
      </c>
      <c r="L16" s="10">
        <f>-L12</f>
        <v/>
      </c>
    </row>
    <row r="17">
      <c r="A17" t="inlineStr">
        <is>
          <t>less capex</t>
        </is>
      </c>
      <c r="B17" s="2" t="n">
        <v>-513.8</v>
      </c>
      <c r="C17" s="10">
        <f>-C6*Assumptions!$B$9</f>
        <v/>
      </c>
      <c r="D17" s="10">
        <f>-D6*Assumptions!$B$9</f>
        <v/>
      </c>
      <c r="E17" s="10">
        <f>-E6*Assumptions!$B$9</f>
        <v/>
      </c>
      <c r="F17" s="10">
        <f>-F6*Assumptions!$B$9</f>
        <v/>
      </c>
      <c r="G17" s="10">
        <f>-G6*Assumptions!$B$9</f>
        <v/>
      </c>
      <c r="H17" s="10">
        <f>-H6*Assumptions!$B$9</f>
        <v/>
      </c>
      <c r="I17" s="10">
        <f>-I6*Assumptions!$B$9</f>
        <v/>
      </c>
      <c r="J17" s="10">
        <f>-J6*Assumptions!$B$9</f>
        <v/>
      </c>
      <c r="K17" s="10">
        <f>-K6*Assumptions!$B$9</f>
        <v/>
      </c>
      <c r="L17" s="10">
        <f>-L6*Assumptions!$B$9</f>
        <v/>
      </c>
    </row>
    <row r="18">
      <c r="A18" t="inlineStr">
        <is>
          <t>add working capital capture</t>
        </is>
      </c>
      <c r="B18" s="2" t="n">
        <v>377.4</v>
      </c>
      <c r="C18" s="10">
        <f>Assumptions!$B$10*(C6-B6)</f>
        <v/>
      </c>
      <c r="D18" s="10">
        <f>Assumptions!$B$10*(D6-C6)</f>
        <v/>
      </c>
      <c r="E18" s="10">
        <f>Assumptions!$B$10*(E6-D6)</f>
        <v/>
      </c>
      <c r="F18" s="10">
        <f>Assumptions!$B$10*(F6-E6)</f>
        <v/>
      </c>
      <c r="G18" s="10">
        <f>Assumptions!$B$10*(G6-F6)</f>
        <v/>
      </c>
      <c r="H18" s="10">
        <f>Assumptions!$B$10*(H6-G6)</f>
        <v/>
      </c>
      <c r="I18" s="10">
        <f>Assumptions!$B$10*(I6-H6)</f>
        <v/>
      </c>
      <c r="J18" s="10">
        <f>Assumptions!$B$10*(J6-I6)</f>
        <v/>
      </c>
      <c r="K18" s="10">
        <f>Assumptions!$B$10*(K6-J6)</f>
        <v/>
      </c>
      <c r="L18" s="10">
        <f>Assumptions!$B$10*(L6-K6)</f>
        <v/>
      </c>
    </row>
    <row r="19">
      <c r="A19" t="inlineStr">
        <is>
          <t>Unlevered owner FCF</t>
        </is>
      </c>
      <c r="B19" s="10">
        <f>B15+B16+B17+B18</f>
        <v/>
      </c>
      <c r="C19" s="10">
        <f>C15+C16+C17+C18</f>
        <v/>
      </c>
      <c r="D19" s="10">
        <f>D15+D16+D17+D18</f>
        <v/>
      </c>
      <c r="E19" s="10">
        <f>E15+E16+E17+E18</f>
        <v/>
      </c>
      <c r="F19" s="10">
        <f>F15+F16+F17+F18</f>
        <v/>
      </c>
      <c r="G19" s="10">
        <f>G15+G16+G17+G18</f>
        <v/>
      </c>
      <c r="H19" s="10">
        <f>H15+H16+H17+H18</f>
        <v/>
      </c>
      <c r="I19" s="10">
        <f>I15+I16+I17+I18</f>
        <v/>
      </c>
      <c r="J19" s="10">
        <f>J15+J16+J17+J18</f>
        <v/>
      </c>
      <c r="K19" s="10">
        <f>K15+K16+K17+K18</f>
        <v/>
      </c>
      <c r="L19" s="10">
        <f>L15+L16+L17+L18</f>
        <v/>
      </c>
    </row>
    <row r="20">
      <c r="A20" t="inlineStr">
        <is>
          <t>Discount factor @ WACC</t>
        </is>
      </c>
      <c r="C20" s="12">
        <f>1/(1+Assumptions!$B$6)^C4</f>
        <v/>
      </c>
      <c r="D20" s="12">
        <f>1/(1+Assumptions!$B$6)^D4</f>
        <v/>
      </c>
      <c r="E20" s="12">
        <f>1/(1+Assumptions!$B$6)^E4</f>
        <v/>
      </c>
      <c r="F20" s="12">
        <f>1/(1+Assumptions!$B$6)^F4</f>
        <v/>
      </c>
      <c r="G20" s="12">
        <f>1/(1+Assumptions!$B$6)^G4</f>
        <v/>
      </c>
      <c r="H20" s="12">
        <f>1/(1+Assumptions!$B$6)^H4</f>
        <v/>
      </c>
      <c r="I20" s="12">
        <f>1/(1+Assumptions!$B$6)^I4</f>
        <v/>
      </c>
      <c r="J20" s="12">
        <f>1/(1+Assumptions!$B$6)^J4</f>
        <v/>
      </c>
      <c r="K20" s="12">
        <f>1/(1+Assumptions!$B$6)^K4</f>
        <v/>
      </c>
      <c r="L20" s="12">
        <f>1/(1+Assumptions!$B$6)^L4</f>
        <v/>
      </c>
    </row>
    <row r="21">
      <c r="A21" t="inlineStr">
        <is>
          <t>PV of FCF</t>
        </is>
      </c>
      <c r="C21" s="10">
        <f>C19*C20</f>
        <v/>
      </c>
      <c r="D21" s="10">
        <f>D19*D20</f>
        <v/>
      </c>
      <c r="E21" s="10">
        <f>E19*E20</f>
        <v/>
      </c>
      <c r="F21" s="10">
        <f>F19*F20</f>
        <v/>
      </c>
      <c r="G21" s="10">
        <f>G19*G20</f>
        <v/>
      </c>
      <c r="H21" s="10">
        <f>H19*H20</f>
        <v/>
      </c>
      <c r="I21" s="10">
        <f>I19*I20</f>
        <v/>
      </c>
      <c r="J21" s="10">
        <f>J19*J20</f>
        <v/>
      </c>
      <c r="K21" s="10">
        <f>K19*K20</f>
        <v/>
      </c>
      <c r="L21" s="10">
        <f>L19*L20</f>
        <v/>
      </c>
    </row>
    <row r="23">
      <c r="A23" t="inlineStr">
        <is>
          <t>Memo: FCF before SBC (street-style)</t>
        </is>
      </c>
      <c r="C23" s="10">
        <f>C19-C10</f>
        <v/>
      </c>
      <c r="D23" s="10">
        <f>D19-D10</f>
        <v/>
      </c>
      <c r="E23" s="10">
        <f>E19-E10</f>
        <v/>
      </c>
      <c r="F23" s="10">
        <f>F19-F10</f>
        <v/>
      </c>
      <c r="G23" s="10">
        <f>G19-G10</f>
        <v/>
      </c>
      <c r="H23" s="10">
        <f>H19-H10</f>
        <v/>
      </c>
      <c r="I23" s="10">
        <f>I19-I10</f>
        <v/>
      </c>
      <c r="J23" s="10">
        <f>J19-J10</f>
        <v/>
      </c>
      <c r="K23" s="10">
        <f>K19-K10</f>
        <v/>
      </c>
      <c r="L23" s="10">
        <f>L19-L10</f>
        <v/>
      </c>
    </row>
    <row r="24">
      <c r="A24" t="inlineStr">
        <is>
          <t>Memo: owner-FCF margin</t>
        </is>
      </c>
      <c r="B24" s="11">
        <f>B19/B6</f>
        <v/>
      </c>
      <c r="C24" s="11">
        <f>C19/C6</f>
        <v/>
      </c>
      <c r="D24" s="11">
        <f>D19/D6</f>
        <v/>
      </c>
      <c r="E24" s="11">
        <f>E19/E6</f>
        <v/>
      </c>
      <c r="F24" s="11">
        <f>F19/F6</f>
        <v/>
      </c>
      <c r="G24" s="11">
        <f>G19/G6</f>
        <v/>
      </c>
      <c r="H24" s="11">
        <f>H19/H6</f>
        <v/>
      </c>
      <c r="I24" s="11">
        <f>I19/I6</f>
        <v/>
      </c>
      <c r="J24" s="11">
        <f>J19/J6</f>
        <v/>
      </c>
      <c r="K24" s="11">
        <f>K19/K6</f>
        <v/>
      </c>
      <c r="L24" s="11">
        <f>L19/L6</f>
        <v/>
      </c>
    </row>
    <row r="26">
      <c r="A26" t="inlineStr">
        <is>
          <t>Sum PV of FCF (Y1-10)</t>
        </is>
      </c>
      <c r="B26" s="13">
        <f>SUM(C21:L21)</f>
        <v/>
      </c>
    </row>
    <row r="27">
      <c r="A27" t="inlineStr">
        <is>
          <t>Terminal growth</t>
        </is>
      </c>
      <c r="B27" s="14">
        <f>Assumptions!$D$26</f>
        <v/>
      </c>
    </row>
    <row r="28">
      <c r="A28" t="inlineStr">
        <is>
          <t>Terminal FCF (Y10 grown)</t>
        </is>
      </c>
      <c r="B28" s="13">
        <f>L19*(1+B27)</f>
        <v/>
      </c>
    </row>
    <row r="29">
      <c r="A29" t="inlineStr">
        <is>
          <t>Gordon TV</t>
        </is>
      </c>
      <c r="B29" s="13">
        <f>B28/(Assumptions!$B$6-B27)</f>
        <v/>
      </c>
    </row>
    <row r="30">
      <c r="A30" t="inlineStr">
        <is>
          <t>Cap TV</t>
        </is>
      </c>
      <c r="B30" s="13">
        <f>Assumptions!$D$27*L19</f>
        <v/>
      </c>
    </row>
    <row r="31">
      <c r="A31" t="inlineStr">
        <is>
          <t>TV used = MAX(0, MIN(Gordon, cap))</t>
        </is>
      </c>
      <c r="B31" s="13">
        <f>MAX(0,MIN(B29,B30))</f>
        <v/>
      </c>
    </row>
    <row r="32">
      <c r="A32" t="inlineStr">
        <is>
          <t>Implied exit multiple (TV/FCF10)</t>
        </is>
      </c>
      <c r="B32" s="15">
        <f>B31/L19</f>
        <v/>
      </c>
    </row>
    <row r="33">
      <c r="A33" t="inlineStr">
        <is>
          <t>PV of terminal value</t>
        </is>
      </c>
      <c r="B33" s="13">
        <f>B31/(1+Assumptions!$B$6)^10</f>
        <v/>
      </c>
    </row>
    <row r="34">
      <c r="A34" t="inlineStr">
        <is>
          <t>OpCo enterprise value</t>
        </is>
      </c>
      <c r="B34" s="13">
        <f>B26+B33</f>
        <v/>
      </c>
    </row>
    <row r="35">
      <c r="A35" t="inlineStr">
        <is>
          <t>Monee equity value (distributable-earnings model)</t>
        </is>
      </c>
      <c r="B35" s="16">
        <f>Monee!$B$54</f>
        <v/>
      </c>
    </row>
    <row r="36">
      <c r="A36" t="inlineStr">
        <is>
          <t>Surplus corporate net cash</t>
        </is>
      </c>
      <c r="B36" s="16">
        <f>Assumptions!$B$19</f>
        <v/>
      </c>
    </row>
    <row r="37">
      <c r="A37" t="inlineStr">
        <is>
          <t>Equity value</t>
        </is>
      </c>
      <c r="B37" s="13">
        <f>B34+B35+B36</f>
        <v/>
      </c>
    </row>
    <row r="38">
      <c r="A38" t="inlineStr">
        <is>
          <t>Diluted shares (m, flat)</t>
        </is>
      </c>
      <c r="B38" s="16">
        <f>Assumptions!$B$5</f>
        <v/>
      </c>
    </row>
    <row r="39">
      <c r="A39" s="1" t="inlineStr">
        <is>
          <t>VALUE PER SHARE (house basis)</t>
        </is>
      </c>
      <c r="B39" s="17">
        <f>B37/B38</f>
        <v/>
      </c>
    </row>
    <row r="40">
      <c r="A40" t="inlineStr">
        <is>
          <t>Upside vs current price</t>
        </is>
      </c>
      <c r="B40" s="9">
        <f>B39/Assumptions!$B$3-1</f>
        <v/>
      </c>
    </row>
    <row r="42">
      <c r="A42" t="inlineStr">
        <is>
          <t>Street memo: PV of explicit SBC</t>
        </is>
      </c>
      <c r="B42" s="13">
        <f>SUMPRODUCT(-C10:L10/(1+Assumptions!$B$6)^C4:L4)</f>
        <v/>
      </c>
    </row>
    <row r="43">
      <c r="A43" t="inlineStr">
        <is>
          <t>Street memo: PV of terminal SBC</t>
        </is>
      </c>
      <c r="B43" s="13">
        <f>(-L10)*(1+B27)/(Assumptions!$B$6-B27)/(1+Assumptions!$B$6)^10</f>
        <v/>
      </c>
    </row>
    <row r="44">
      <c r="A44" t="inlineStr">
        <is>
          <t>Street value per share (SBC as non-cash)</t>
        </is>
      </c>
      <c r="B44" s="18">
        <f>(B37+B42+B43)/B38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Monee - distributable-earnings lender model. Earnings less equity retained (15% of book growth) at 14.5% CoE. Deposits/escrow are operating funding, never net debt. All $m.</t>
        </is>
      </c>
    </row>
    <row r="4">
      <c r="A4" s="1" t="inlineStr">
        <is>
          <t>Bear scenario</t>
        </is>
      </c>
    </row>
    <row r="5">
      <c r="A5" t="inlineStr">
        <is>
          <t>Year index</t>
        </is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n">
        <v>8</v>
      </c>
      <c r="K5" t="n">
        <v>9</v>
      </c>
      <c r="L5" t="n">
        <v>10</v>
      </c>
    </row>
    <row r="6">
      <c r="A6" t="inlineStr">
        <is>
          <t>Book growth YoY</t>
        </is>
      </c>
      <c r="C6" s="5" t="n">
        <v>0.3</v>
      </c>
      <c r="D6" s="5" t="n">
        <v>0.08</v>
      </c>
      <c r="E6" s="5" t="n">
        <v>0.1</v>
      </c>
      <c r="F6" s="5" t="n">
        <v>0.12</v>
      </c>
      <c r="G6" s="5" t="n">
        <v>0.1</v>
      </c>
      <c r="H6" s="5" t="n">
        <v>0.08</v>
      </c>
      <c r="I6" s="5" t="n">
        <v>0.06</v>
      </c>
      <c r="J6" s="5" t="n">
        <v>0.05</v>
      </c>
      <c r="K6" s="5" t="n">
        <v>0.04</v>
      </c>
      <c r="L6" s="5" t="n">
        <v>0.03</v>
      </c>
    </row>
    <row r="7">
      <c r="A7" t="inlineStr">
        <is>
          <t>Loan book year-end (principal)</t>
        </is>
      </c>
      <c r="B7" s="16">
        <f>Assumptions!$B$22</f>
        <v/>
      </c>
      <c r="C7" s="10">
        <f>B7*(1+C6)</f>
        <v/>
      </c>
      <c r="D7" s="10">
        <f>C7*(1+D6)</f>
        <v/>
      </c>
      <c r="E7" s="10">
        <f>D7*(1+E6)</f>
        <v/>
      </c>
      <c r="F7" s="10">
        <f>E7*(1+F6)</f>
        <v/>
      </c>
      <c r="G7" s="10">
        <f>F7*(1+G6)</f>
        <v/>
      </c>
      <c r="H7" s="10">
        <f>G7*(1+H6)</f>
        <v/>
      </c>
      <c r="I7" s="10">
        <f>H7*(1+I6)</f>
        <v/>
      </c>
      <c r="J7" s="10">
        <f>I7*(1+J6)</f>
        <v/>
      </c>
      <c r="K7" s="10">
        <f>J7*(1+K6)</f>
        <v/>
      </c>
      <c r="L7" s="10">
        <f>K7*(1+L6)</f>
        <v/>
      </c>
    </row>
    <row r="8">
      <c r="A8" t="inlineStr">
        <is>
          <t>Average book</t>
        </is>
      </c>
      <c r="C8" s="10">
        <f>(B7+C7)/2</f>
        <v/>
      </c>
      <c r="D8" s="10">
        <f>(C7+D7)/2</f>
        <v/>
      </c>
      <c r="E8" s="10">
        <f>(D7+E7)/2</f>
        <v/>
      </c>
      <c r="F8" s="10">
        <f>(E7+F7)/2</f>
        <v/>
      </c>
      <c r="G8" s="10">
        <f>(F7+G7)/2</f>
        <v/>
      </c>
      <c r="H8" s="10">
        <f>(G7+H7)/2</f>
        <v/>
      </c>
      <c r="I8" s="10">
        <f>(H7+I7)/2</f>
        <v/>
      </c>
      <c r="J8" s="10">
        <f>(I7+J7)/2</f>
        <v/>
      </c>
      <c r="K8" s="10">
        <f>(J7+K7)/2</f>
        <v/>
      </c>
      <c r="L8" s="10">
        <f>(K7+L7)/2</f>
        <v/>
      </c>
    </row>
    <row r="9">
      <c r="A9" t="inlineStr">
        <is>
          <t>ROA on avg book</t>
        </is>
      </c>
      <c r="C9" s="5" t="n">
        <v>0.075</v>
      </c>
      <c r="D9" s="5" t="n">
        <v>0.035</v>
      </c>
      <c r="E9" s="5" t="n">
        <v>0.045</v>
      </c>
      <c r="F9" s="5" t="n">
        <v>0.05</v>
      </c>
      <c r="G9" s="5" t="n">
        <v>0.05</v>
      </c>
      <c r="H9" s="5" t="n">
        <v>0.048</v>
      </c>
      <c r="I9" s="5" t="n">
        <v>0.046</v>
      </c>
      <c r="J9" s="5" t="n">
        <v>0.044</v>
      </c>
      <c r="K9" s="5" t="n">
        <v>0.042</v>
      </c>
      <c r="L9" s="5" t="n">
        <v>0.04</v>
      </c>
    </row>
    <row r="10">
      <c r="A10" t="inlineStr">
        <is>
          <t>Post-tax earnings</t>
        </is>
      </c>
      <c r="C10" s="10">
        <f>C8*C9</f>
        <v/>
      </c>
      <c r="D10" s="10">
        <f>D8*D9</f>
        <v/>
      </c>
      <c r="E10" s="10">
        <f>E8*E9</f>
        <v/>
      </c>
      <c r="F10" s="10">
        <f>F8*F9</f>
        <v/>
      </c>
      <c r="G10" s="10">
        <f>G8*G9</f>
        <v/>
      </c>
      <c r="H10" s="10">
        <f>H8*H9</f>
        <v/>
      </c>
      <c r="I10" s="10">
        <f>I8*I9</f>
        <v/>
      </c>
      <c r="J10" s="10">
        <f>J8*J9</f>
        <v/>
      </c>
      <c r="K10" s="10">
        <f>K8*K9</f>
        <v/>
      </c>
      <c r="L10" s="10">
        <f>L8*L9</f>
        <v/>
      </c>
    </row>
    <row r="11">
      <c r="A11" t="inlineStr">
        <is>
          <t>Equity retained (15% x book growth)</t>
        </is>
      </c>
      <c r="C11" s="10">
        <f>Assumptions!$B$23*(C7-B7)</f>
        <v/>
      </c>
      <c r="D11" s="10">
        <f>Assumptions!$B$23*(D7-C7)</f>
        <v/>
      </c>
      <c r="E11" s="10">
        <f>Assumptions!$B$23*(E7-D7)</f>
        <v/>
      </c>
      <c r="F11" s="10">
        <f>Assumptions!$B$23*(F7-E7)</f>
        <v/>
      </c>
      <c r="G11" s="10">
        <f>Assumptions!$B$23*(G7-F7)</f>
        <v/>
      </c>
      <c r="H11" s="10">
        <f>Assumptions!$B$23*(H7-G7)</f>
        <v/>
      </c>
      <c r="I11" s="10">
        <f>Assumptions!$B$23*(I7-H7)</f>
        <v/>
      </c>
      <c r="J11" s="10">
        <f>Assumptions!$B$23*(J7-I7)</f>
        <v/>
      </c>
      <c r="K11" s="10">
        <f>Assumptions!$B$23*(K7-J7)</f>
        <v/>
      </c>
      <c r="L11" s="10">
        <f>Assumptions!$B$23*(L7-K7)</f>
        <v/>
      </c>
    </row>
    <row r="12">
      <c r="A12" t="inlineStr">
        <is>
          <t>Distributable earnings</t>
        </is>
      </c>
      <c r="C12" s="10">
        <f>C10-C11</f>
        <v/>
      </c>
      <c r="D12" s="10">
        <f>D10-D11</f>
        <v/>
      </c>
      <c r="E12" s="10">
        <f>E10-E11</f>
        <v/>
      </c>
      <c r="F12" s="10">
        <f>F10-F11</f>
        <v/>
      </c>
      <c r="G12" s="10">
        <f>G10-G11</f>
        <v/>
      </c>
      <c r="H12" s="10">
        <f>H10-H11</f>
        <v/>
      </c>
      <c r="I12" s="10">
        <f>I10-I11</f>
        <v/>
      </c>
      <c r="J12" s="10">
        <f>J10-J11</f>
        <v/>
      </c>
      <c r="K12" s="10">
        <f>K10-K11</f>
        <v/>
      </c>
      <c r="L12" s="10">
        <f>L10-L11</f>
        <v/>
      </c>
    </row>
    <row r="13">
      <c r="A13" t="inlineStr">
        <is>
          <t>Discount factor @ CoE</t>
        </is>
      </c>
      <c r="C13" s="12">
        <f>1/(1+Assumptions!$B$7)^C5</f>
        <v/>
      </c>
      <c r="D13" s="12">
        <f>1/(1+Assumptions!$B$7)^D5</f>
        <v/>
      </c>
      <c r="E13" s="12">
        <f>1/(1+Assumptions!$B$7)^E5</f>
        <v/>
      </c>
      <c r="F13" s="12">
        <f>1/(1+Assumptions!$B$7)^F5</f>
        <v/>
      </c>
      <c r="G13" s="12">
        <f>1/(1+Assumptions!$B$7)^G5</f>
        <v/>
      </c>
      <c r="H13" s="12">
        <f>1/(1+Assumptions!$B$7)^H5</f>
        <v/>
      </c>
      <c r="I13" s="12">
        <f>1/(1+Assumptions!$B$7)^I5</f>
        <v/>
      </c>
      <c r="J13" s="12">
        <f>1/(1+Assumptions!$B$7)^J5</f>
        <v/>
      </c>
      <c r="K13" s="12">
        <f>1/(1+Assumptions!$B$7)^K5</f>
        <v/>
      </c>
      <c r="L13" s="12">
        <f>1/(1+Assumptions!$B$7)^L5</f>
        <v/>
      </c>
    </row>
    <row r="14">
      <c r="A14" t="inlineStr">
        <is>
          <t>PV of distributable</t>
        </is>
      </c>
      <c r="C14" s="10">
        <f>C12*C13</f>
        <v/>
      </c>
      <c r="D14" s="10">
        <f>D12*D13</f>
        <v/>
      </c>
      <c r="E14" s="10">
        <f>E12*E13</f>
        <v/>
      </c>
      <c r="F14" s="10">
        <f>F12*F13</f>
        <v/>
      </c>
      <c r="G14" s="10">
        <f>G12*G13</f>
        <v/>
      </c>
      <c r="H14" s="10">
        <f>H12*H13</f>
        <v/>
      </c>
      <c r="I14" s="10">
        <f>I12*I13</f>
        <v/>
      </c>
      <c r="J14" s="10">
        <f>J12*J13</f>
        <v/>
      </c>
      <c r="K14" s="10">
        <f>K12*K13</f>
        <v/>
      </c>
      <c r="L14" s="10">
        <f>L12*L13</f>
        <v/>
      </c>
    </row>
    <row r="15">
      <c r="A15" t="inlineStr">
        <is>
          <t>Sum PV of distributable</t>
        </is>
      </c>
      <c r="B15" s="13">
        <f>SUM(C14:L14)</f>
        <v/>
      </c>
    </row>
    <row r="16">
      <c r="A16" t="inlineStr">
        <is>
          <t>Gordon TV on distributable</t>
        </is>
      </c>
      <c r="B16" s="13">
        <f>L12*(1+Assumptions!$B$29)/(Assumptions!$B$7-Assumptions!$B$29)</f>
        <v/>
      </c>
    </row>
    <row r="17">
      <c r="A17" t="inlineStr">
        <is>
          <t>Cap TV (exit P/E x terminal earnings)</t>
        </is>
      </c>
      <c r="B17" s="13">
        <f>Assumptions!$B$30*L10</f>
        <v/>
      </c>
    </row>
    <row r="18">
      <c r="A18" t="inlineStr">
        <is>
          <t>TV used = MAX(0, MIN(Gordon, cap))</t>
        </is>
      </c>
      <c r="B18" s="13">
        <f>MAX(0,MIN(B16,B17))</f>
        <v/>
      </c>
    </row>
    <row r="19">
      <c r="A19" t="inlineStr">
        <is>
          <t>PV of TV</t>
        </is>
      </c>
      <c r="B19" s="13">
        <f>B18/(1+Assumptions!$B$7)^10</f>
        <v/>
      </c>
    </row>
    <row r="20">
      <c r="A20" s="1" t="inlineStr">
        <is>
          <t>MONEE EQUITY VALUE</t>
        </is>
      </c>
      <c r="B20" s="7">
        <f>B15+B19</f>
        <v/>
      </c>
    </row>
    <row r="21">
      <c r="A21" s="1" t="inlineStr">
        <is>
          <t>Base scenario</t>
        </is>
      </c>
    </row>
    <row r="22">
      <c r="A22" t="inlineStr">
        <is>
          <t>Year index</t>
        </is>
      </c>
      <c r="B22" t="n">
        <v>0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6</v>
      </c>
      <c r="I22" t="n">
        <v>7</v>
      </c>
      <c r="J22" t="n">
        <v>8</v>
      </c>
      <c r="K22" t="n">
        <v>9</v>
      </c>
      <c r="L22" t="n">
        <v>10</v>
      </c>
    </row>
    <row r="23">
      <c r="A23" t="inlineStr">
        <is>
          <t>Book growth YoY</t>
        </is>
      </c>
      <c r="C23" s="5" t="n">
        <v>0.42</v>
      </c>
      <c r="D23" s="5" t="n">
        <v>0.33</v>
      </c>
      <c r="E23" s="5" t="n">
        <v>0.25</v>
      </c>
      <c r="F23" s="5" t="n">
        <v>0.18</v>
      </c>
      <c r="G23" s="5" t="n">
        <v>0.14</v>
      </c>
      <c r="H23" s="5" t="n">
        <v>0.11</v>
      </c>
      <c r="I23" s="5" t="n">
        <v>0.09</v>
      </c>
      <c r="J23" s="5" t="n">
        <v>0.07000000000000001</v>
      </c>
      <c r="K23" s="5" t="n">
        <v>0.06</v>
      </c>
      <c r="L23" s="5" t="n">
        <v>0.05</v>
      </c>
    </row>
    <row r="24">
      <c r="A24" t="inlineStr">
        <is>
          <t>Loan book year-end (principal)</t>
        </is>
      </c>
      <c r="B24" s="16">
        <f>Assumptions!$B$22</f>
        <v/>
      </c>
      <c r="C24" s="10">
        <f>B24*(1+C23)</f>
        <v/>
      </c>
      <c r="D24" s="10">
        <f>C24*(1+D23)</f>
        <v/>
      </c>
      <c r="E24" s="10">
        <f>D24*(1+E23)</f>
        <v/>
      </c>
      <c r="F24" s="10">
        <f>E24*(1+F23)</f>
        <v/>
      </c>
      <c r="G24" s="10">
        <f>F24*(1+G23)</f>
        <v/>
      </c>
      <c r="H24" s="10">
        <f>G24*(1+H23)</f>
        <v/>
      </c>
      <c r="I24" s="10">
        <f>H24*(1+I23)</f>
        <v/>
      </c>
      <c r="J24" s="10">
        <f>I24*(1+J23)</f>
        <v/>
      </c>
      <c r="K24" s="10">
        <f>J24*(1+K23)</f>
        <v/>
      </c>
      <c r="L24" s="10">
        <f>K24*(1+L23)</f>
        <v/>
      </c>
    </row>
    <row r="25">
      <c r="A25" t="inlineStr">
        <is>
          <t>Average book</t>
        </is>
      </c>
      <c r="C25" s="10">
        <f>(B24+C24)/2</f>
        <v/>
      </c>
      <c r="D25" s="10">
        <f>(C24+D24)/2</f>
        <v/>
      </c>
      <c r="E25" s="10">
        <f>(D24+E24)/2</f>
        <v/>
      </c>
      <c r="F25" s="10">
        <f>(E24+F24)/2</f>
        <v/>
      </c>
      <c r="G25" s="10">
        <f>(F24+G24)/2</f>
        <v/>
      </c>
      <c r="H25" s="10">
        <f>(G24+H24)/2</f>
        <v/>
      </c>
      <c r="I25" s="10">
        <f>(H24+I24)/2</f>
        <v/>
      </c>
      <c r="J25" s="10">
        <f>(I24+J24)/2</f>
        <v/>
      </c>
      <c r="K25" s="10">
        <f>(J24+K24)/2</f>
        <v/>
      </c>
      <c r="L25" s="10">
        <f>(K24+L24)/2</f>
        <v/>
      </c>
    </row>
    <row r="26">
      <c r="A26" t="inlineStr">
        <is>
          <t>ROA on avg book</t>
        </is>
      </c>
      <c r="C26" s="5" t="n">
        <v>0.08500000000000001</v>
      </c>
      <c r="D26" s="5" t="n">
        <v>0.08</v>
      </c>
      <c r="E26" s="5" t="n">
        <v>0.075</v>
      </c>
      <c r="F26" s="5" t="n">
        <v>0.07000000000000001</v>
      </c>
      <c r="G26" s="5" t="n">
        <v>0.065</v>
      </c>
      <c r="H26" s="5" t="n">
        <v>0.062</v>
      </c>
      <c r="I26" s="5" t="n">
        <v>0.058</v>
      </c>
      <c r="J26" s="5" t="n">
        <v>0.055</v>
      </c>
      <c r="K26" s="5" t="n">
        <v>0.052</v>
      </c>
      <c r="L26" s="5" t="n">
        <v>0.05</v>
      </c>
    </row>
    <row r="27">
      <c r="A27" t="inlineStr">
        <is>
          <t>Post-tax earnings</t>
        </is>
      </c>
      <c r="C27" s="10">
        <f>C25*C26</f>
        <v/>
      </c>
      <c r="D27" s="10">
        <f>D25*D26</f>
        <v/>
      </c>
      <c r="E27" s="10">
        <f>E25*E26</f>
        <v/>
      </c>
      <c r="F27" s="10">
        <f>F25*F26</f>
        <v/>
      </c>
      <c r="G27" s="10">
        <f>G25*G26</f>
        <v/>
      </c>
      <c r="H27" s="10">
        <f>H25*H26</f>
        <v/>
      </c>
      <c r="I27" s="10">
        <f>I25*I26</f>
        <v/>
      </c>
      <c r="J27" s="10">
        <f>J25*J26</f>
        <v/>
      </c>
      <c r="K27" s="10">
        <f>K25*K26</f>
        <v/>
      </c>
      <c r="L27" s="10">
        <f>L25*L26</f>
        <v/>
      </c>
    </row>
    <row r="28">
      <c r="A28" t="inlineStr">
        <is>
          <t>Equity retained (15% x book growth)</t>
        </is>
      </c>
      <c r="C28" s="10">
        <f>Assumptions!$B$23*(C24-B24)</f>
        <v/>
      </c>
      <c r="D28" s="10">
        <f>Assumptions!$B$23*(D24-C24)</f>
        <v/>
      </c>
      <c r="E28" s="10">
        <f>Assumptions!$B$23*(E24-D24)</f>
        <v/>
      </c>
      <c r="F28" s="10">
        <f>Assumptions!$B$23*(F24-E24)</f>
        <v/>
      </c>
      <c r="G28" s="10">
        <f>Assumptions!$B$23*(G24-F24)</f>
        <v/>
      </c>
      <c r="H28" s="10">
        <f>Assumptions!$B$23*(H24-G24)</f>
        <v/>
      </c>
      <c r="I28" s="10">
        <f>Assumptions!$B$23*(I24-H24)</f>
        <v/>
      </c>
      <c r="J28" s="10">
        <f>Assumptions!$B$23*(J24-I24)</f>
        <v/>
      </c>
      <c r="K28" s="10">
        <f>Assumptions!$B$23*(K24-J24)</f>
        <v/>
      </c>
      <c r="L28" s="10">
        <f>Assumptions!$B$23*(L24-K24)</f>
        <v/>
      </c>
    </row>
    <row r="29">
      <c r="A29" t="inlineStr">
        <is>
          <t>Distributable earnings</t>
        </is>
      </c>
      <c r="C29" s="10">
        <f>C27-C28</f>
        <v/>
      </c>
      <c r="D29" s="10">
        <f>D27-D28</f>
        <v/>
      </c>
      <c r="E29" s="10">
        <f>E27-E28</f>
        <v/>
      </c>
      <c r="F29" s="10">
        <f>F27-F28</f>
        <v/>
      </c>
      <c r="G29" s="10">
        <f>G27-G28</f>
        <v/>
      </c>
      <c r="H29" s="10">
        <f>H27-H28</f>
        <v/>
      </c>
      <c r="I29" s="10">
        <f>I27-I28</f>
        <v/>
      </c>
      <c r="J29" s="10">
        <f>J27-J28</f>
        <v/>
      </c>
      <c r="K29" s="10">
        <f>K27-K28</f>
        <v/>
      </c>
      <c r="L29" s="10">
        <f>L27-L28</f>
        <v/>
      </c>
    </row>
    <row r="30">
      <c r="A30" t="inlineStr">
        <is>
          <t>Discount factor @ CoE</t>
        </is>
      </c>
      <c r="C30" s="12">
        <f>1/(1+Assumptions!$B$7)^C22</f>
        <v/>
      </c>
      <c r="D30" s="12">
        <f>1/(1+Assumptions!$B$7)^D22</f>
        <v/>
      </c>
      <c r="E30" s="12">
        <f>1/(1+Assumptions!$B$7)^E22</f>
        <v/>
      </c>
      <c r="F30" s="12">
        <f>1/(1+Assumptions!$B$7)^F22</f>
        <v/>
      </c>
      <c r="G30" s="12">
        <f>1/(1+Assumptions!$B$7)^G22</f>
        <v/>
      </c>
      <c r="H30" s="12">
        <f>1/(1+Assumptions!$B$7)^H22</f>
        <v/>
      </c>
      <c r="I30" s="12">
        <f>1/(1+Assumptions!$B$7)^I22</f>
        <v/>
      </c>
      <c r="J30" s="12">
        <f>1/(1+Assumptions!$B$7)^J22</f>
        <v/>
      </c>
      <c r="K30" s="12">
        <f>1/(1+Assumptions!$B$7)^K22</f>
        <v/>
      </c>
      <c r="L30" s="12">
        <f>1/(1+Assumptions!$B$7)^L22</f>
        <v/>
      </c>
    </row>
    <row r="31">
      <c r="A31" t="inlineStr">
        <is>
          <t>PV of distributable</t>
        </is>
      </c>
      <c r="C31" s="10">
        <f>C29*C30</f>
        <v/>
      </c>
      <c r="D31" s="10">
        <f>D29*D30</f>
        <v/>
      </c>
      <c r="E31" s="10">
        <f>E29*E30</f>
        <v/>
      </c>
      <c r="F31" s="10">
        <f>F29*F30</f>
        <v/>
      </c>
      <c r="G31" s="10">
        <f>G29*G30</f>
        <v/>
      </c>
      <c r="H31" s="10">
        <f>H29*H30</f>
        <v/>
      </c>
      <c r="I31" s="10">
        <f>I29*I30</f>
        <v/>
      </c>
      <c r="J31" s="10">
        <f>J29*J30</f>
        <v/>
      </c>
      <c r="K31" s="10">
        <f>K29*K30</f>
        <v/>
      </c>
      <c r="L31" s="10">
        <f>L29*L30</f>
        <v/>
      </c>
    </row>
    <row r="32">
      <c r="A32" t="inlineStr">
        <is>
          <t>Sum PV of distributable</t>
        </is>
      </c>
      <c r="B32" s="13">
        <f>SUM(C31:L31)</f>
        <v/>
      </c>
    </row>
    <row r="33">
      <c r="A33" t="inlineStr">
        <is>
          <t>Gordon TV on distributable</t>
        </is>
      </c>
      <c r="B33" s="13">
        <f>L29*(1+Assumptions!$C$29)/(Assumptions!$B$7-Assumptions!$C$29)</f>
        <v/>
      </c>
    </row>
    <row r="34">
      <c r="A34" t="inlineStr">
        <is>
          <t>Cap TV (exit P/E x terminal earnings)</t>
        </is>
      </c>
      <c r="B34" s="13">
        <f>Assumptions!$C$30*L27</f>
        <v/>
      </c>
    </row>
    <row r="35">
      <c r="A35" t="inlineStr">
        <is>
          <t>TV used = MAX(0, MIN(Gordon, cap))</t>
        </is>
      </c>
      <c r="B35" s="13">
        <f>MAX(0,MIN(B33,B34))</f>
        <v/>
      </c>
    </row>
    <row r="36">
      <c r="A36" t="inlineStr">
        <is>
          <t>PV of TV</t>
        </is>
      </c>
      <c r="B36" s="13">
        <f>B35/(1+Assumptions!$B$7)^10</f>
        <v/>
      </c>
    </row>
    <row r="37">
      <c r="A37" s="1" t="inlineStr">
        <is>
          <t>MONEE EQUITY VALUE</t>
        </is>
      </c>
      <c r="B37" s="7">
        <f>B32+B36</f>
        <v/>
      </c>
    </row>
    <row r="38">
      <c r="A38" s="1" t="inlineStr">
        <is>
          <t>Bull scenario</t>
        </is>
      </c>
    </row>
    <row r="39">
      <c r="A39" t="inlineStr">
        <is>
          <t>Year index</t>
        </is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6</v>
      </c>
      <c r="I39" t="n">
        <v>7</v>
      </c>
      <c r="J39" t="n">
        <v>8</v>
      </c>
      <c r="K39" t="n">
        <v>9</v>
      </c>
      <c r="L39" t="n">
        <v>10</v>
      </c>
    </row>
    <row r="40">
      <c r="A40" t="inlineStr">
        <is>
          <t>Book growth YoY</t>
        </is>
      </c>
      <c r="C40" s="5" t="n">
        <v>0.45</v>
      </c>
      <c r="D40" s="5" t="n">
        <v>0.38</v>
      </c>
      <c r="E40" s="5" t="n">
        <v>0.3</v>
      </c>
      <c r="F40" s="5" t="n">
        <v>0.24</v>
      </c>
      <c r="G40" s="5" t="n">
        <v>0.18</v>
      </c>
      <c r="H40" s="5" t="n">
        <v>0.14</v>
      </c>
      <c r="I40" s="5" t="n">
        <v>0.11</v>
      </c>
      <c r="J40" s="5" t="n">
        <v>0.09</v>
      </c>
      <c r="K40" s="5" t="n">
        <v>0.075</v>
      </c>
      <c r="L40" s="5" t="n">
        <v>0.06</v>
      </c>
    </row>
    <row r="41">
      <c r="A41" t="inlineStr">
        <is>
          <t>Loan book year-end (principal)</t>
        </is>
      </c>
      <c r="B41" s="16">
        <f>Assumptions!$B$22</f>
        <v/>
      </c>
      <c r="C41" s="10">
        <f>B41*(1+C40)</f>
        <v/>
      </c>
      <c r="D41" s="10">
        <f>C41*(1+D40)</f>
        <v/>
      </c>
      <c r="E41" s="10">
        <f>D41*(1+E40)</f>
        <v/>
      </c>
      <c r="F41" s="10">
        <f>E41*(1+F40)</f>
        <v/>
      </c>
      <c r="G41" s="10">
        <f>F41*(1+G40)</f>
        <v/>
      </c>
      <c r="H41" s="10">
        <f>G41*(1+H40)</f>
        <v/>
      </c>
      <c r="I41" s="10">
        <f>H41*(1+I40)</f>
        <v/>
      </c>
      <c r="J41" s="10">
        <f>I41*(1+J40)</f>
        <v/>
      </c>
      <c r="K41" s="10">
        <f>J41*(1+K40)</f>
        <v/>
      </c>
      <c r="L41" s="10">
        <f>K41*(1+L40)</f>
        <v/>
      </c>
    </row>
    <row r="42">
      <c r="A42" t="inlineStr">
        <is>
          <t>Average book</t>
        </is>
      </c>
      <c r="C42" s="10">
        <f>(B41+C41)/2</f>
        <v/>
      </c>
      <c r="D42" s="10">
        <f>(C41+D41)/2</f>
        <v/>
      </c>
      <c r="E42" s="10">
        <f>(D41+E41)/2</f>
        <v/>
      </c>
      <c r="F42" s="10">
        <f>(E41+F41)/2</f>
        <v/>
      </c>
      <c r="G42" s="10">
        <f>(F41+G41)/2</f>
        <v/>
      </c>
      <c r="H42" s="10">
        <f>(G41+H41)/2</f>
        <v/>
      </c>
      <c r="I42" s="10">
        <f>(H41+I41)/2</f>
        <v/>
      </c>
      <c r="J42" s="10">
        <f>(I41+J41)/2</f>
        <v/>
      </c>
      <c r="K42" s="10">
        <f>(J41+K41)/2</f>
        <v/>
      </c>
      <c r="L42" s="10">
        <f>(K41+L41)/2</f>
        <v/>
      </c>
    </row>
    <row r="43">
      <c r="A43" t="inlineStr">
        <is>
          <t>ROA on avg book</t>
        </is>
      </c>
      <c r="C43" s="5" t="n">
        <v>0.08500000000000001</v>
      </c>
      <c r="D43" s="5" t="n">
        <v>0.083</v>
      </c>
      <c r="E43" s="5" t="n">
        <v>0.08</v>
      </c>
      <c r="F43" s="5" t="n">
        <v>0.076</v>
      </c>
      <c r="G43" s="5" t="n">
        <v>0.07199999999999999</v>
      </c>
      <c r="H43" s="5" t="n">
        <v>0.06900000000000001</v>
      </c>
      <c r="I43" s="5" t="n">
        <v>0.066</v>
      </c>
      <c r="J43" s="5" t="n">
        <v>0.063</v>
      </c>
      <c r="K43" s="5" t="n">
        <v>0.061</v>
      </c>
      <c r="L43" s="5" t="n">
        <v>0.06</v>
      </c>
    </row>
    <row r="44">
      <c r="A44" t="inlineStr">
        <is>
          <t>Post-tax earnings</t>
        </is>
      </c>
      <c r="C44" s="10">
        <f>C42*C43</f>
        <v/>
      </c>
      <c r="D44" s="10">
        <f>D42*D43</f>
        <v/>
      </c>
      <c r="E44" s="10">
        <f>E42*E43</f>
        <v/>
      </c>
      <c r="F44" s="10">
        <f>F42*F43</f>
        <v/>
      </c>
      <c r="G44" s="10">
        <f>G42*G43</f>
        <v/>
      </c>
      <c r="H44" s="10">
        <f>H42*H43</f>
        <v/>
      </c>
      <c r="I44" s="10">
        <f>I42*I43</f>
        <v/>
      </c>
      <c r="J44" s="10">
        <f>J42*J43</f>
        <v/>
      </c>
      <c r="K44" s="10">
        <f>K42*K43</f>
        <v/>
      </c>
      <c r="L44" s="10">
        <f>L42*L43</f>
        <v/>
      </c>
    </row>
    <row r="45">
      <c r="A45" t="inlineStr">
        <is>
          <t>Equity retained (15% x book growth)</t>
        </is>
      </c>
      <c r="C45" s="10">
        <f>Assumptions!$B$23*(C41-B41)</f>
        <v/>
      </c>
      <c r="D45" s="10">
        <f>Assumptions!$B$23*(D41-C41)</f>
        <v/>
      </c>
      <c r="E45" s="10">
        <f>Assumptions!$B$23*(E41-D41)</f>
        <v/>
      </c>
      <c r="F45" s="10">
        <f>Assumptions!$B$23*(F41-E41)</f>
        <v/>
      </c>
      <c r="G45" s="10">
        <f>Assumptions!$B$23*(G41-F41)</f>
        <v/>
      </c>
      <c r="H45" s="10">
        <f>Assumptions!$B$23*(H41-G41)</f>
        <v/>
      </c>
      <c r="I45" s="10">
        <f>Assumptions!$B$23*(I41-H41)</f>
        <v/>
      </c>
      <c r="J45" s="10">
        <f>Assumptions!$B$23*(J41-I41)</f>
        <v/>
      </c>
      <c r="K45" s="10">
        <f>Assumptions!$B$23*(K41-J41)</f>
        <v/>
      </c>
      <c r="L45" s="10">
        <f>Assumptions!$B$23*(L41-K41)</f>
        <v/>
      </c>
    </row>
    <row r="46">
      <c r="A46" t="inlineStr">
        <is>
          <t>Distributable earnings</t>
        </is>
      </c>
      <c r="C46" s="10">
        <f>C44-C45</f>
        <v/>
      </c>
      <c r="D46" s="10">
        <f>D44-D45</f>
        <v/>
      </c>
      <c r="E46" s="10">
        <f>E44-E45</f>
        <v/>
      </c>
      <c r="F46" s="10">
        <f>F44-F45</f>
        <v/>
      </c>
      <c r="G46" s="10">
        <f>G44-G45</f>
        <v/>
      </c>
      <c r="H46" s="10">
        <f>H44-H45</f>
        <v/>
      </c>
      <c r="I46" s="10">
        <f>I44-I45</f>
        <v/>
      </c>
      <c r="J46" s="10">
        <f>J44-J45</f>
        <v/>
      </c>
      <c r="K46" s="10">
        <f>K44-K45</f>
        <v/>
      </c>
      <c r="L46" s="10">
        <f>L44-L45</f>
        <v/>
      </c>
    </row>
    <row r="47">
      <c r="A47" t="inlineStr">
        <is>
          <t>Discount factor @ CoE</t>
        </is>
      </c>
      <c r="C47" s="12">
        <f>1/(1+Assumptions!$B$7)^C39</f>
        <v/>
      </c>
      <c r="D47" s="12">
        <f>1/(1+Assumptions!$B$7)^D39</f>
        <v/>
      </c>
      <c r="E47" s="12">
        <f>1/(1+Assumptions!$B$7)^E39</f>
        <v/>
      </c>
      <c r="F47" s="12">
        <f>1/(1+Assumptions!$B$7)^F39</f>
        <v/>
      </c>
      <c r="G47" s="12">
        <f>1/(1+Assumptions!$B$7)^G39</f>
        <v/>
      </c>
      <c r="H47" s="12">
        <f>1/(1+Assumptions!$B$7)^H39</f>
        <v/>
      </c>
      <c r="I47" s="12">
        <f>1/(1+Assumptions!$B$7)^I39</f>
        <v/>
      </c>
      <c r="J47" s="12">
        <f>1/(1+Assumptions!$B$7)^J39</f>
        <v/>
      </c>
      <c r="K47" s="12">
        <f>1/(1+Assumptions!$B$7)^K39</f>
        <v/>
      </c>
      <c r="L47" s="12">
        <f>1/(1+Assumptions!$B$7)^L39</f>
        <v/>
      </c>
    </row>
    <row r="48">
      <c r="A48" t="inlineStr">
        <is>
          <t>PV of distributable</t>
        </is>
      </c>
      <c r="C48" s="10">
        <f>C46*C47</f>
        <v/>
      </c>
      <c r="D48" s="10">
        <f>D46*D47</f>
        <v/>
      </c>
      <c r="E48" s="10">
        <f>E46*E47</f>
        <v/>
      </c>
      <c r="F48" s="10">
        <f>F46*F47</f>
        <v/>
      </c>
      <c r="G48" s="10">
        <f>G46*G47</f>
        <v/>
      </c>
      <c r="H48" s="10">
        <f>H46*H47</f>
        <v/>
      </c>
      <c r="I48" s="10">
        <f>I46*I47</f>
        <v/>
      </c>
      <c r="J48" s="10">
        <f>J46*J47</f>
        <v/>
      </c>
      <c r="K48" s="10">
        <f>K46*K47</f>
        <v/>
      </c>
      <c r="L48" s="10">
        <f>L46*L47</f>
        <v/>
      </c>
    </row>
    <row r="49">
      <c r="A49" t="inlineStr">
        <is>
          <t>Sum PV of distributable</t>
        </is>
      </c>
      <c r="B49" s="13">
        <f>SUM(C48:L48)</f>
        <v/>
      </c>
    </row>
    <row r="50">
      <c r="A50" t="inlineStr">
        <is>
          <t>Gordon TV on distributable</t>
        </is>
      </c>
      <c r="B50" s="13">
        <f>L46*(1+Assumptions!$D$29)/(Assumptions!$B$7-Assumptions!$D$29)</f>
        <v/>
      </c>
    </row>
    <row r="51">
      <c r="A51" t="inlineStr">
        <is>
          <t>Cap TV (exit P/E x terminal earnings)</t>
        </is>
      </c>
      <c r="B51" s="13">
        <f>Assumptions!$D$30*L44</f>
        <v/>
      </c>
    </row>
    <row r="52">
      <c r="A52" t="inlineStr">
        <is>
          <t>TV used = MAX(0, MIN(Gordon, cap))</t>
        </is>
      </c>
      <c r="B52" s="13">
        <f>MAX(0,MIN(B50,B51))</f>
        <v/>
      </c>
    </row>
    <row r="53">
      <c r="A53" t="inlineStr">
        <is>
          <t>PV of TV</t>
        </is>
      </c>
      <c r="B53" s="13">
        <f>B52/(1+Assumptions!$B$7)^10</f>
        <v/>
      </c>
    </row>
    <row r="54">
      <c r="A54" s="1" t="inlineStr">
        <is>
          <t>MONEE EQUITY VALUE</t>
        </is>
      </c>
      <c r="B54" s="7">
        <f>B49+B53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Consolidated reported FCF reconciled to owner FCF - and why the consolidated series is NOT the DCF base</t>
        </is>
      </c>
    </row>
    <row r="3">
      <c r="C3" s="1" t="inlineStr">
        <is>
          <t>FY2020</t>
        </is>
      </c>
      <c r="D3" s="1" t="inlineStr">
        <is>
          <t>FY2021</t>
        </is>
      </c>
      <c r="E3" s="1" t="inlineStr">
        <is>
          <t>FY2022</t>
        </is>
      </c>
      <c r="F3" s="1" t="inlineStr">
        <is>
          <t>FY2023</t>
        </is>
      </c>
      <c r="G3" s="1" t="inlineStr">
        <is>
          <t>FY2024</t>
        </is>
      </c>
      <c r="H3" s="1" t="inlineStr">
        <is>
          <t>FY2025</t>
        </is>
      </c>
    </row>
    <row r="4">
      <c r="A4" t="inlineStr">
        <is>
          <t>Reported FCF (OCF - capex)</t>
        </is>
      </c>
      <c r="C4" s="2" t="n">
        <v>219.6</v>
      </c>
      <c r="D4" s="2" t="n">
        <v>-563.5</v>
      </c>
      <c r="E4" s="2" t="n">
        <v>-1979.9</v>
      </c>
      <c r="F4" s="2" t="n">
        <v>1838.1</v>
      </c>
      <c r="G4" s="2" t="n">
        <v>2959.3</v>
      </c>
      <c r="H4" s="2" t="n">
        <v>4510.7</v>
      </c>
    </row>
    <row r="5">
      <c r="A5" t="inlineStr">
        <is>
          <t>less: SBC</t>
        </is>
      </c>
      <c r="C5" s="2" t="n">
        <v>-290.2</v>
      </c>
      <c r="D5" s="2" t="n">
        <v>-470.3</v>
      </c>
      <c r="E5" s="2" t="n">
        <v>-705.9</v>
      </c>
      <c r="F5" s="2" t="n">
        <v>-685</v>
      </c>
      <c r="G5" s="2" t="n">
        <v>-715.8</v>
      </c>
      <c r="H5" s="2" t="n">
        <v>-625</v>
      </c>
    </row>
    <row r="6">
      <c r="A6" t="inlineStr">
        <is>
          <t>less: interest income</t>
        </is>
      </c>
      <c r="C6" s="2" t="n">
        <v>-24.8</v>
      </c>
      <c r="D6" s="2" t="n">
        <v>-36.1</v>
      </c>
      <c r="E6" s="2" t="n">
        <v>-115.5</v>
      </c>
      <c r="F6" s="2" t="n">
        <v>-331.3</v>
      </c>
      <c r="G6" s="2" t="n">
        <v>-365.8</v>
      </c>
      <c r="H6" s="2" t="n">
        <v>-331.1</v>
      </c>
    </row>
    <row r="7">
      <c r="A7" s="1" t="inlineStr">
        <is>
          <t>Owner FCF (consolidated convention)</t>
        </is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  <c r="H7" s="10">
        <f>SUM(H4:H6)</f>
        <v/>
      </c>
    </row>
    <row r="8">
      <c r="A8" t="inlineStr">
        <is>
          <t>Memo: revenue</t>
        </is>
      </c>
      <c r="C8" s="2" t="n">
        <v>4375.7</v>
      </c>
      <c r="D8" s="2" t="n">
        <v>9955.200000000001</v>
      </c>
      <c r="E8" s="2" t="n">
        <v>12449.7</v>
      </c>
      <c r="F8" s="2" t="n">
        <v>13063.6</v>
      </c>
      <c r="G8" s="2" t="n">
        <v>16819.9</v>
      </c>
      <c r="H8" s="2" t="n">
        <v>22938.5</v>
      </c>
    </row>
    <row r="9">
      <c r="A9" t="inlineStr">
        <is>
          <t>Owner FCF margin</t>
        </is>
      </c>
      <c r="C9" s="11">
        <f>C7/C8</f>
        <v/>
      </c>
      <c r="D9" s="11">
        <f>D7/D8</f>
        <v/>
      </c>
      <c r="E9" s="11">
        <f>E7/E8</f>
        <v/>
      </c>
      <c r="F9" s="11">
        <f>F7/F8</f>
        <v/>
      </c>
      <c r="G9" s="11">
        <f>G7/G8</f>
        <v/>
      </c>
      <c r="H9" s="11">
        <f>H7/H8</f>
        <v/>
      </c>
    </row>
    <row r="10">
      <c r="A10" t="inlineStr">
        <is>
          <t>Memo: provision for credit losses (added back in OCF)</t>
        </is>
      </c>
      <c r="C10" s="2" t="n">
        <v>51.1</v>
      </c>
      <c r="D10" s="2" t="n">
        <v>115.1</v>
      </c>
      <c r="E10" s="2" t="n">
        <v>493.6</v>
      </c>
      <c r="F10" s="2" t="n">
        <v>627.9</v>
      </c>
      <c r="G10" s="2" t="n">
        <v>764.8</v>
      </c>
      <c r="H10" s="2" t="n">
        <v>1379.2</v>
      </c>
    </row>
    <row r="11">
      <c r="A11" t="inlineStr">
        <is>
          <t>Memo: cash taxes paid</t>
        </is>
      </c>
      <c r="C11" s="2" t="n">
        <v>144.9</v>
      </c>
      <c r="D11" s="2" t="n">
        <v>207.4</v>
      </c>
      <c r="E11" s="2" t="n">
        <v>313.8</v>
      </c>
      <c r="F11" s="2" t="n">
        <v>318.9</v>
      </c>
      <c r="G11" s="2" t="n">
        <v>515.3</v>
      </c>
      <c r="H11" s="2" t="n">
        <v>591.1</v>
      </c>
    </row>
    <row r="13">
      <c r="A13" t="inlineStr"/>
    </row>
    <row r="14">
      <c r="A14" t="inlineStr">
        <is>
          <t>WHY THE $3,554.6m FY2025 CONSOLIDATED OWNER FCF IS NOT THE DCF BASE:</t>
        </is>
      </c>
    </row>
    <row r="15">
      <c r="A15" t="inlineStr">
        <is>
          <t>Sea classifies the loan-book build (~$3.8bn net increase in loans receivable FY2025) in INVESTING activities and adds the $1,379m credit provision back inside OCF,</t>
        </is>
      </c>
    </row>
    <row r="16">
      <c r="A16" t="inlineStr">
        <is>
          <t>so reported FCF carries Monee's pre-provision earnings without the cash its growth consumes. The DCF therefore uses the component-built OpCo owner FCF</t>
        </is>
      </c>
    </row>
    <row r="17">
      <c r="A17" t="inlineStr">
        <is>
          <t>(FY2025: $1,356m = seg adj EBITDA 2,400 - SBC 531 - D&amp;A 421, taxed 26%, + D&amp;A - capex 513.8 + WC 377) and values Monee separately on distributable earnings.</t>
        </is>
      </c>
    </row>
    <row r="18">
      <c r="A18" t="inlineStr">
        <is>
          <t>Deferred-revenue increase FY2025 was +$562m (Garena bookings &gt; revenue), captured forward via the 8% WC-capture driver on revenue CHANGE.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 valuation summary - sum of the parts, house basis (SBC expensed, flat 634.5m diluted count)</t>
        </is>
      </c>
    </row>
    <row r="3">
      <c r="A3" s="1" t="inlineStr">
        <is>
          <t>Scenario</t>
        </is>
      </c>
      <c r="B3" s="1" t="inlineStr">
        <is>
          <t>Bear</t>
        </is>
      </c>
      <c r="C3" s="1" t="inlineStr">
        <is>
          <t>Base</t>
        </is>
      </c>
      <c r="D3" s="1" t="inlineStr">
        <is>
          <t>Bull</t>
        </is>
      </c>
    </row>
    <row r="4">
      <c r="A4" t="inlineStr">
        <is>
          <t>Value per share (house)</t>
        </is>
      </c>
      <c r="B4" s="19">
        <f>DCF_Bear!$B$39</f>
        <v/>
      </c>
      <c r="C4" s="19">
        <f>DCF_Base!$B$39</f>
        <v/>
      </c>
      <c r="D4" s="19">
        <f>DCF_Bull!$B$39</f>
        <v/>
      </c>
    </row>
    <row r="5">
      <c r="A5" t="inlineStr">
        <is>
          <t>Upside vs price</t>
        </is>
      </c>
      <c r="B5" s="9">
        <f>B4/Assumptions!$B$3-1</f>
        <v/>
      </c>
      <c r="C5" s="9">
        <f>C4/Assumptions!$B$3-1</f>
        <v/>
      </c>
      <c r="D5" s="9">
        <f>D4/Assumptions!$B$3-1</f>
        <v/>
      </c>
    </row>
    <row r="6">
      <c r="A6" t="inlineStr">
        <is>
          <t>Probability weight</t>
        </is>
      </c>
      <c r="B6" s="14">
        <f>Assumptions!$B$28</f>
        <v/>
      </c>
      <c r="C6" s="14">
        <f>Assumptions!$C$28</f>
        <v/>
      </c>
      <c r="D6" s="14">
        <f>Assumptions!$D$28</f>
        <v/>
      </c>
    </row>
    <row r="7">
      <c r="A7" t="inlineStr">
        <is>
          <t>Street value per share</t>
        </is>
      </c>
      <c r="B7" s="19">
        <f>DCF_Bear!$B$44</f>
        <v/>
      </c>
      <c r="C7" s="19">
        <f>DCF_Base!$B$44</f>
        <v/>
      </c>
      <c r="D7" s="19">
        <f>DCF_Bull!$B$44</f>
        <v/>
      </c>
    </row>
    <row r="9">
      <c r="A9" s="1" t="inlineStr">
        <is>
          <t>PROBABILITY-WEIGHTED VALUE (house)</t>
        </is>
      </c>
      <c r="B9" s="20">
        <f>SUMPRODUCT(B4:D4,B6:D6)</f>
        <v/>
      </c>
    </row>
    <row r="10">
      <c r="A10" t="inlineStr">
        <is>
          <t>Weighted street value</t>
        </is>
      </c>
      <c r="B10" s="21">
        <f>SUMPRODUCT(B7:D7,B6:D6)</f>
        <v/>
      </c>
    </row>
    <row r="11">
      <c r="A11" t="inlineStr">
        <is>
          <t>Margin of safety at current price</t>
        </is>
      </c>
      <c r="B11" s="11">
        <f>1-Assumptions!$B$3/B9</f>
        <v/>
      </c>
    </row>
    <row r="12">
      <c r="A12" t="inlineStr">
        <is>
          <t>Band position (0%=house, 100%=street)</t>
        </is>
      </c>
      <c r="B12" s="11">
        <f>(Assumptions!$B$3-B9)/(B10-B9)</f>
        <v/>
      </c>
      <c r="E12" t="inlineStr">
        <is>
          <t>Above 100% = the price exceeds even the SBC-as-non-cash ceiling</t>
        </is>
      </c>
    </row>
    <row r="14">
      <c r="A14" s="1" t="inlineStr">
        <is>
          <t>REQUIRED-RETURN TABLE (base case; TVs held at model rates)</t>
        </is>
      </c>
    </row>
    <row r="15">
      <c r="A15" t="inlineStr">
        <is>
          <t>Required return</t>
        </is>
      </c>
      <c r="B15" s="6" t="n">
        <v>0.09</v>
      </c>
      <c r="C15" s="6" t="n">
        <v>0.1</v>
      </c>
      <c r="D15" s="6" t="n">
        <v>0.11</v>
      </c>
      <c r="E15" s="6" t="n">
        <v>0.115</v>
      </c>
      <c r="F15" s="6" t="n">
        <v>0.12</v>
      </c>
      <c r="G15" s="6" t="n">
        <v>0.15</v>
      </c>
    </row>
    <row r="16">
      <c r="A16" t="inlineStr">
        <is>
          <t>Value per share</t>
        </is>
      </c>
      <c r="B16" s="21">
        <f>(SUMPRODUCT(DCF_Base!$C$19:$L$19/(1+B15)^DCF_Base!$C$4:$L$4)+DCF_Base!$B$31/(1+B15)^10+SUMPRODUCT(Monee!$C$29:$L$29/(1+B15)^Monee!$C$22:$L$22)+Monee!$B$35/(1+B15)^10+Assumptions!$B$19)/Assumptions!$B$5</f>
        <v/>
      </c>
      <c r="C16" s="21">
        <f>(SUMPRODUCT(DCF_Base!$C$19:$L$19/(1+C15)^DCF_Base!$C$4:$L$4)+DCF_Base!$B$31/(1+C15)^10+SUMPRODUCT(Monee!$C$29:$L$29/(1+C15)^Monee!$C$22:$L$22)+Monee!$B$35/(1+C15)^10+Assumptions!$B$19)/Assumptions!$B$5</f>
        <v/>
      </c>
      <c r="D16" s="21">
        <f>(SUMPRODUCT(DCF_Base!$C$19:$L$19/(1+D15)^DCF_Base!$C$4:$L$4)+DCF_Base!$B$31/(1+D15)^10+SUMPRODUCT(Monee!$C$29:$L$29/(1+D15)^Monee!$C$22:$L$22)+Monee!$B$35/(1+D15)^10+Assumptions!$B$19)/Assumptions!$B$5</f>
        <v/>
      </c>
      <c r="E16" s="21">
        <f>(SUMPRODUCT(DCF_Base!$C$19:$L$19/(1+E15)^DCF_Base!$C$4:$L$4)+DCF_Base!$B$31/(1+E15)^10+SUMPRODUCT(Monee!$C$29:$L$29/(1+E15)^Monee!$C$22:$L$22)+Monee!$B$35/(1+E15)^10+Assumptions!$B$19)/Assumptions!$B$5</f>
        <v/>
      </c>
      <c r="F16" s="21">
        <f>(SUMPRODUCT(DCF_Base!$C$19:$L$19/(1+F15)^DCF_Base!$C$4:$L$4)+DCF_Base!$B$31/(1+F15)^10+SUMPRODUCT(Monee!$C$29:$L$29/(1+F15)^Monee!$C$22:$L$22)+Monee!$B$35/(1+F15)^10+Assumptions!$B$19)/Assumptions!$B$5</f>
        <v/>
      </c>
      <c r="G16" s="21">
        <f>(SUMPRODUCT(DCF_Base!$C$19:$L$19/(1+G15)^DCF_Base!$C$4:$L$4)+DCF_Base!$B$31/(1+G15)^10+SUMPRODUCT(Monee!$C$29:$L$29/(1+G15)^Monee!$C$22:$L$22)+Monee!$B$35/(1+G15)^10+Assumptions!$B$19)/Assumptions!$B$5</f>
        <v/>
      </c>
    </row>
    <row r="18">
      <c r="A18" s="1" t="inlineStr">
        <is>
          <t>15%-HURDLE ENTRY PRICES (buy-below)</t>
        </is>
      </c>
    </row>
    <row r="19">
      <c r="A19" t="inlineStr">
        <is>
          <t>Entry price</t>
        </is>
      </c>
      <c r="B19" s="21">
        <f>(SUMPRODUCT(DCF_Bear!$C$19:$L$19/(1+0.15)^DCF_Bear!$C$4:$L$4)+DCF_Bear!$B$31/(1+0.15)^10+SUMPRODUCT(Monee!$C$12:$L$12/(1+0.15)^Monee!$C$5:$L$5)+Monee!$B$18/(1+0.15)^10+Assumptions!$B$19)/Assumptions!$B$5</f>
        <v/>
      </c>
      <c r="C19" s="21">
        <f>(SUMPRODUCT(DCF_Base!$C$19:$L$19/(1+0.15)^DCF_Base!$C$4:$L$4)+DCF_Base!$B$31/(1+0.15)^10+SUMPRODUCT(Monee!$C$29:$L$29/(1+0.15)^Monee!$C$22:$L$22)+Monee!$B$35/(1+0.15)^10+Assumptions!$B$19)/Assumptions!$B$5</f>
        <v/>
      </c>
      <c r="D19" s="21">
        <f>(SUMPRODUCT(DCF_Bull!$C$19:$L$19/(1+0.15)^DCF_Bull!$C$4:$L$4)+DCF_Bull!$B$31/(1+0.15)^10+SUMPRODUCT(Monee!$C$46:$L$46/(1+0.15)^Monee!$C$39:$L$39)+Monee!$B$52/(1+0.15)^10+Assumptions!$B$19)/Assumptions!$B$5</f>
        <v/>
      </c>
    </row>
    <row r="20">
      <c r="A20" s="1" t="inlineStr">
        <is>
          <t>WEIGHTED ENTRY PRICE</t>
        </is>
      </c>
      <c r="B20" s="20">
        <f>SUMPRODUCT(B19:D19,B6:D6)</f>
        <v/>
      </c>
    </row>
    <row r="22">
      <c r="A22" s="1" t="inlineStr">
        <is>
          <t>SENSITIVITY - base case: OpCo WACC (rows) x OpCo terminal growth (cols); Monee at base value, cash constant</t>
        </is>
      </c>
    </row>
    <row r="23">
      <c r="C23" s="6" t="n">
        <v>0.02</v>
      </c>
      <c r="D23" s="6" t="n">
        <v>0.025</v>
      </c>
      <c r="E23" s="6" t="n">
        <v>0.03</v>
      </c>
      <c r="F23" s="6" t="n">
        <v>0.035</v>
      </c>
      <c r="G23" s="6" t="n">
        <v>0.04</v>
      </c>
    </row>
    <row r="24">
      <c r="B24" s="6" t="n">
        <v>0.095</v>
      </c>
      <c r="C24" s="21">
        <f>IF($B24&gt;C$23,(SUMPRODUCT(DCF_Base!$C$19:$L$19/(1+$B24)^DCF_Base!$C$4:$L$4)+MAX(0,MIN(DCF_Base!$L$19*(1+C$23)/($B24-C$23),Assumptions!$C$27*DCF_Base!$L$19))/(1+$B24)^10+Monee!$B$37+Assumptions!$B$19)/Assumptions!$B$5,"n/a")</f>
        <v/>
      </c>
      <c r="D24" s="21">
        <f>IF($B24&gt;D$23,(SUMPRODUCT(DCF_Base!$C$19:$L$19/(1+$B24)^DCF_Base!$C$4:$L$4)+MAX(0,MIN(DCF_Base!$L$19*(1+D$23)/($B24-D$23),Assumptions!$C$27*DCF_Base!$L$19))/(1+$B24)^10+Monee!$B$37+Assumptions!$B$19)/Assumptions!$B$5,"n/a")</f>
        <v/>
      </c>
      <c r="E24" s="21">
        <f>IF($B24&gt;E$23,(SUMPRODUCT(DCF_Base!$C$19:$L$19/(1+$B24)^DCF_Base!$C$4:$L$4)+MAX(0,MIN(DCF_Base!$L$19*(1+E$23)/($B24-E$23),Assumptions!$C$27*DCF_Base!$L$19))/(1+$B24)^10+Monee!$B$37+Assumptions!$B$19)/Assumptions!$B$5,"n/a")</f>
        <v/>
      </c>
      <c r="F24" s="21">
        <f>IF($B24&gt;F$23,(SUMPRODUCT(DCF_Base!$C$19:$L$19/(1+$B24)^DCF_Base!$C$4:$L$4)+MAX(0,MIN(DCF_Base!$L$19*(1+F$23)/($B24-F$23),Assumptions!$C$27*DCF_Base!$L$19))/(1+$B24)^10+Monee!$B$37+Assumptions!$B$19)/Assumptions!$B$5,"n/a")</f>
        <v/>
      </c>
      <c r="G24" s="21">
        <f>IF($B24&gt;G$23,(SUMPRODUCT(DCF_Base!$C$19:$L$19/(1+$B24)^DCF_Base!$C$4:$L$4)+MAX(0,MIN(DCF_Base!$L$19*(1+G$23)/($B24-G$23),Assumptions!$C$27*DCF_Base!$L$19))/(1+$B24)^10+Monee!$B$37+Assumptions!$B$19)/Assumptions!$B$5,"n/a")</f>
        <v/>
      </c>
    </row>
    <row r="25">
      <c r="B25" s="6" t="n">
        <v>0.105</v>
      </c>
      <c r="C25" s="21">
        <f>IF($B25&gt;C$23,(SUMPRODUCT(DCF_Base!$C$19:$L$19/(1+$B25)^DCF_Base!$C$4:$L$4)+MAX(0,MIN(DCF_Base!$L$19*(1+C$23)/($B25-C$23),Assumptions!$C$27*DCF_Base!$L$19))/(1+$B25)^10+Monee!$B$37+Assumptions!$B$19)/Assumptions!$B$5,"n/a")</f>
        <v/>
      </c>
      <c r="D25" s="21">
        <f>IF($B25&gt;D$23,(SUMPRODUCT(DCF_Base!$C$19:$L$19/(1+$B25)^DCF_Base!$C$4:$L$4)+MAX(0,MIN(DCF_Base!$L$19*(1+D$23)/($B25-D$23),Assumptions!$C$27*DCF_Base!$L$19))/(1+$B25)^10+Monee!$B$37+Assumptions!$B$19)/Assumptions!$B$5,"n/a")</f>
        <v/>
      </c>
      <c r="E25" s="21">
        <f>IF($B25&gt;E$23,(SUMPRODUCT(DCF_Base!$C$19:$L$19/(1+$B25)^DCF_Base!$C$4:$L$4)+MAX(0,MIN(DCF_Base!$L$19*(1+E$23)/($B25-E$23),Assumptions!$C$27*DCF_Base!$L$19))/(1+$B25)^10+Monee!$B$37+Assumptions!$B$19)/Assumptions!$B$5,"n/a")</f>
        <v/>
      </c>
      <c r="F25" s="21">
        <f>IF($B25&gt;F$23,(SUMPRODUCT(DCF_Base!$C$19:$L$19/(1+$B25)^DCF_Base!$C$4:$L$4)+MAX(0,MIN(DCF_Base!$L$19*(1+F$23)/($B25-F$23),Assumptions!$C$27*DCF_Base!$L$19))/(1+$B25)^10+Monee!$B$37+Assumptions!$B$19)/Assumptions!$B$5,"n/a")</f>
        <v/>
      </c>
      <c r="G25" s="21">
        <f>IF($B25&gt;G$23,(SUMPRODUCT(DCF_Base!$C$19:$L$19/(1+$B25)^DCF_Base!$C$4:$L$4)+MAX(0,MIN(DCF_Base!$L$19*(1+G$23)/($B25-G$23),Assumptions!$C$27*DCF_Base!$L$19))/(1+$B25)^10+Monee!$B$37+Assumptions!$B$19)/Assumptions!$B$5,"n/a")</f>
        <v/>
      </c>
    </row>
    <row r="26">
      <c r="B26" s="6" t="n">
        <v>0.115</v>
      </c>
      <c r="C26" s="21">
        <f>IF($B26&gt;C$23,(SUMPRODUCT(DCF_Base!$C$19:$L$19/(1+$B26)^DCF_Base!$C$4:$L$4)+MAX(0,MIN(DCF_Base!$L$19*(1+C$23)/($B26-C$23),Assumptions!$C$27*DCF_Base!$L$19))/(1+$B26)^10+Monee!$B$37+Assumptions!$B$19)/Assumptions!$B$5,"n/a")</f>
        <v/>
      </c>
      <c r="D26" s="21">
        <f>IF($B26&gt;D$23,(SUMPRODUCT(DCF_Base!$C$19:$L$19/(1+$B26)^DCF_Base!$C$4:$L$4)+MAX(0,MIN(DCF_Base!$L$19*(1+D$23)/($B26-D$23),Assumptions!$C$27*DCF_Base!$L$19))/(1+$B26)^10+Monee!$B$37+Assumptions!$B$19)/Assumptions!$B$5,"n/a")</f>
        <v/>
      </c>
      <c r="E26" s="21">
        <f>IF($B26&gt;E$23,(SUMPRODUCT(DCF_Base!$C$19:$L$19/(1+$B26)^DCF_Base!$C$4:$L$4)+MAX(0,MIN(DCF_Base!$L$19*(1+E$23)/($B26-E$23),Assumptions!$C$27*DCF_Base!$L$19))/(1+$B26)^10+Monee!$B$37+Assumptions!$B$19)/Assumptions!$B$5,"n/a")</f>
        <v/>
      </c>
      <c r="F26" s="21">
        <f>IF($B26&gt;F$23,(SUMPRODUCT(DCF_Base!$C$19:$L$19/(1+$B26)^DCF_Base!$C$4:$L$4)+MAX(0,MIN(DCF_Base!$L$19*(1+F$23)/($B26-F$23),Assumptions!$C$27*DCF_Base!$L$19))/(1+$B26)^10+Monee!$B$37+Assumptions!$B$19)/Assumptions!$B$5,"n/a")</f>
        <v/>
      </c>
      <c r="G26" s="21">
        <f>IF($B26&gt;G$23,(SUMPRODUCT(DCF_Base!$C$19:$L$19/(1+$B26)^DCF_Base!$C$4:$L$4)+MAX(0,MIN(DCF_Base!$L$19*(1+G$23)/($B26-G$23),Assumptions!$C$27*DCF_Base!$L$19))/(1+$B26)^10+Monee!$B$37+Assumptions!$B$19)/Assumptions!$B$5,"n/a")</f>
        <v/>
      </c>
    </row>
    <row r="27">
      <c r="B27" s="6" t="n">
        <v>0.125</v>
      </c>
      <c r="C27" s="21">
        <f>IF($B27&gt;C$23,(SUMPRODUCT(DCF_Base!$C$19:$L$19/(1+$B27)^DCF_Base!$C$4:$L$4)+MAX(0,MIN(DCF_Base!$L$19*(1+C$23)/($B27-C$23),Assumptions!$C$27*DCF_Base!$L$19))/(1+$B27)^10+Monee!$B$37+Assumptions!$B$19)/Assumptions!$B$5,"n/a")</f>
        <v/>
      </c>
      <c r="D27" s="21">
        <f>IF($B27&gt;D$23,(SUMPRODUCT(DCF_Base!$C$19:$L$19/(1+$B27)^DCF_Base!$C$4:$L$4)+MAX(0,MIN(DCF_Base!$L$19*(1+D$23)/($B27-D$23),Assumptions!$C$27*DCF_Base!$L$19))/(1+$B27)^10+Monee!$B$37+Assumptions!$B$19)/Assumptions!$B$5,"n/a")</f>
        <v/>
      </c>
      <c r="E27" s="21">
        <f>IF($B27&gt;E$23,(SUMPRODUCT(DCF_Base!$C$19:$L$19/(1+$B27)^DCF_Base!$C$4:$L$4)+MAX(0,MIN(DCF_Base!$L$19*(1+E$23)/($B27-E$23),Assumptions!$C$27*DCF_Base!$L$19))/(1+$B27)^10+Monee!$B$37+Assumptions!$B$19)/Assumptions!$B$5,"n/a")</f>
        <v/>
      </c>
      <c r="F27" s="21">
        <f>IF($B27&gt;F$23,(SUMPRODUCT(DCF_Base!$C$19:$L$19/(1+$B27)^DCF_Base!$C$4:$L$4)+MAX(0,MIN(DCF_Base!$L$19*(1+F$23)/($B27-F$23),Assumptions!$C$27*DCF_Base!$L$19))/(1+$B27)^10+Monee!$B$37+Assumptions!$B$19)/Assumptions!$B$5,"n/a")</f>
        <v/>
      </c>
      <c r="G27" s="21">
        <f>IF($B27&gt;G$23,(SUMPRODUCT(DCF_Base!$C$19:$L$19/(1+$B27)^DCF_Base!$C$4:$L$4)+MAX(0,MIN(DCF_Base!$L$19*(1+G$23)/($B27-G$23),Assumptions!$C$27*DCF_Base!$L$19))/(1+$B27)^10+Monee!$B$37+Assumptions!$B$19)/Assumptions!$B$5,"n/a")</f>
        <v/>
      </c>
    </row>
    <row r="28">
      <c r="B28" s="6" t="n">
        <v>0.135</v>
      </c>
      <c r="C28" s="21">
        <f>IF($B28&gt;C$23,(SUMPRODUCT(DCF_Base!$C$19:$L$19/(1+$B28)^DCF_Base!$C$4:$L$4)+MAX(0,MIN(DCF_Base!$L$19*(1+C$23)/($B28-C$23),Assumptions!$C$27*DCF_Base!$L$19))/(1+$B28)^10+Monee!$B$37+Assumptions!$B$19)/Assumptions!$B$5,"n/a")</f>
        <v/>
      </c>
      <c r="D28" s="21">
        <f>IF($B28&gt;D$23,(SUMPRODUCT(DCF_Base!$C$19:$L$19/(1+$B28)^DCF_Base!$C$4:$L$4)+MAX(0,MIN(DCF_Base!$L$19*(1+D$23)/($B28-D$23),Assumptions!$C$27*DCF_Base!$L$19))/(1+$B28)^10+Monee!$B$37+Assumptions!$B$19)/Assumptions!$B$5,"n/a")</f>
        <v/>
      </c>
      <c r="E28" s="21">
        <f>IF($B28&gt;E$23,(SUMPRODUCT(DCF_Base!$C$19:$L$19/(1+$B28)^DCF_Base!$C$4:$L$4)+MAX(0,MIN(DCF_Base!$L$19*(1+E$23)/($B28-E$23),Assumptions!$C$27*DCF_Base!$L$19))/(1+$B28)^10+Monee!$B$37+Assumptions!$B$19)/Assumptions!$B$5,"n/a")</f>
        <v/>
      </c>
      <c r="F28" s="21">
        <f>IF($B28&gt;F$23,(SUMPRODUCT(DCF_Base!$C$19:$L$19/(1+$B28)^DCF_Base!$C$4:$L$4)+MAX(0,MIN(DCF_Base!$L$19*(1+F$23)/($B28-F$23),Assumptions!$C$27*DCF_Base!$L$19))/(1+$B28)^10+Monee!$B$37+Assumptions!$B$19)/Assumptions!$B$5,"n/a")</f>
        <v/>
      </c>
      <c r="G28" s="21">
        <f>IF($B28&gt;G$23,(SUMPRODUCT(DCF_Base!$C$19:$L$19/(1+$B28)^DCF_Base!$C$4:$L$4)+MAX(0,MIN(DCF_Base!$L$19*(1+G$23)/($B28-G$23),Assumptions!$C$27*DCF_Base!$L$19))/(1+$B28)^10+Monee!$B$37+Assumptions!$B$19)/Assumptions!$B$5,"n/a")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2026-08-26T09:44:46Z</dcterms:created>
  <dcterms:modified xsi:type="dcterms:W3CDTF">2026-08-26T09:44:46Z</dcterms:modified>
</cp:coreProperties>
</file>