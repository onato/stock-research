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Bull-Bear 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Sanity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0.0&quot;x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4" fontId="0" fillId="0" borderId="0" pivotButton="0" quotePrefix="0" xfId="0"/>
    <xf numFmtId="4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CB - Chubb Limited — Book Value Compounding Model (Base Case)</t>
        </is>
      </c>
    </row>
    <row r="2">
      <c r="A2" t="inlineStr">
        <is>
          <t>Gray cells are INPUTS - adjust to see valuation change. Insurer model: BVPS compounding + exit P/B, NOT free-cash-flow DCF.</t>
        </is>
      </c>
    </row>
    <row r="4">
      <c r="A4" s="2" t="inlineStr">
        <is>
          <t>KEY INPUTS</t>
        </is>
      </c>
    </row>
    <row r="5">
      <c r="A5" t="inlineStr">
        <is>
          <t>Current Stock Price</t>
        </is>
      </c>
      <c r="B5" s="3" t="n">
        <v>333.37</v>
      </c>
    </row>
    <row r="6">
      <c r="A6" t="inlineStr">
        <is>
          <t>Shares Outstanding (M)</t>
        </is>
      </c>
      <c r="B6" s="3" t="n">
        <v>394.599504</v>
      </c>
    </row>
    <row r="7">
      <c r="A7" t="inlineStr">
        <is>
          <t>Total Debt (US$M)</t>
        </is>
      </c>
      <c r="B7" s="3" t="n">
        <v>15970</v>
      </c>
    </row>
    <row r="8">
      <c r="A8" t="inlineStr">
        <is>
          <t>Net Debt (held at zero - insurer model)</t>
        </is>
      </c>
      <c r="B8" s="3" t="n">
        <v>0</v>
      </c>
    </row>
    <row r="9">
      <c r="A9" t="inlineStr">
        <is>
          <t>Starting Book Value per Share (Q1 2026)</t>
        </is>
      </c>
      <c r="B9" s="3" t="n">
        <v>202.51</v>
      </c>
    </row>
    <row r="10">
      <c r="A10" t="inlineStr">
        <is>
          <t>Starting Payout Ratio (Year 1)</t>
        </is>
      </c>
      <c r="B10" s="3" t="n">
        <v>0.15</v>
      </c>
    </row>
    <row r="12">
      <c r="A12" t="inlineStr">
        <is>
          <t>Cost of Equity (Base)</t>
        </is>
      </c>
      <c r="B12" s="4" t="n">
        <v>0.09</v>
      </c>
    </row>
    <row r="13">
      <c r="A13" t="inlineStr">
        <is>
          <t>Exit Price-to-Book (Base)</t>
        </is>
      </c>
      <c r="B13" s="4" t="n">
        <v>1.55</v>
      </c>
    </row>
    <row r="15">
      <c r="A15" s="2" t="inlineStr">
        <is>
          <t>GROWTH &amp; PAYOUT ASSUMPTIONS</t>
        </is>
      </c>
    </row>
    <row r="16">
      <c r="C16" t="inlineStr">
        <is>
          <t>Year 1</t>
        </is>
      </c>
      <c r="D16" t="inlineStr">
        <is>
          <t>Year 2</t>
        </is>
      </c>
      <c r="E16" t="inlineStr">
        <is>
          <t>Year 3</t>
        </is>
      </c>
      <c r="F16" t="inlineStr">
        <is>
          <t>Year 4</t>
        </is>
      </c>
      <c r="G16" t="inlineStr">
        <is>
          <t>Year 5</t>
        </is>
      </c>
    </row>
    <row r="17">
      <c r="A17" t="inlineStr">
        <is>
          <t>BVPS Growth Rate</t>
        </is>
      </c>
      <c r="B17" s="4" t="n"/>
      <c r="C17" s="4" t="n">
        <v>0.12</v>
      </c>
      <c r="D17" s="4" t="n">
        <v>0.12</v>
      </c>
      <c r="E17" s="4" t="n">
        <v>0.115</v>
      </c>
      <c r="F17" s="4" t="n">
        <v>0.11</v>
      </c>
      <c r="G17" s="4" t="n">
        <v>0.105</v>
      </c>
    </row>
    <row r="18">
      <c r="A18" t="inlineStr">
        <is>
          <t>Payout Ratio (of implied EPS)</t>
        </is>
      </c>
      <c r="B18" s="4" t="n"/>
      <c r="C18" s="4" t="n">
        <v>0.15</v>
      </c>
      <c r="D18" s="4" t="n">
        <v>0.15</v>
      </c>
      <c r="E18" s="4" t="n">
        <v>0.15</v>
      </c>
      <c r="F18" s="4" t="n">
        <v>0.15</v>
      </c>
      <c r="G18" s="4" t="n">
        <v>0.15</v>
      </c>
    </row>
    <row r="20">
      <c r="A20" s="2" t="inlineStr">
        <is>
          <t>PROJECTIONS</t>
        </is>
      </c>
    </row>
    <row r="21">
      <c r="B21" t="inlineStr">
        <is>
          <t>Base Yr</t>
        </is>
      </c>
      <c r="C21" t="inlineStr">
        <is>
          <t>Year 1</t>
        </is>
      </c>
      <c r="D21" t="inlineStr">
        <is>
          <t>Year 2</t>
        </is>
      </c>
      <c r="E21" t="inlineStr">
        <is>
          <t>Year 3</t>
        </is>
      </c>
      <c r="F21" t="inlineStr">
        <is>
          <t>Year 4</t>
        </is>
      </c>
      <c r="G21" t="inlineStr">
        <is>
          <t>Year 5</t>
        </is>
      </c>
    </row>
    <row r="22">
      <c r="A22" t="inlineStr">
        <is>
          <t>Book Value per Share (end of year, before dividend)</t>
        </is>
      </c>
      <c r="B22" s="5">
        <f>B9</f>
        <v/>
      </c>
      <c r="C22" s="5">
        <f>B22*(1+C17)</f>
        <v/>
      </c>
      <c r="D22" s="5">
        <f>C22*(1+D17)</f>
        <v/>
      </c>
      <c r="E22" s="5">
        <f>D22*(1+E17)</f>
        <v/>
      </c>
      <c r="F22" s="5">
        <f>E22*(1+F17)</f>
        <v/>
      </c>
      <c r="G22" s="5">
        <f>F22*(1+G17)</f>
        <v/>
      </c>
    </row>
    <row r="23">
      <c r="A23" t="inlineStr">
        <is>
          <t>Implied EPS (= BVPS growth $ / (1-payout))</t>
        </is>
      </c>
      <c r="C23" s="5">
        <f>(C22-B22)/(1-C18)</f>
        <v/>
      </c>
      <c r="D23" s="5">
        <f>(D22-C22)/(1-D18)</f>
        <v/>
      </c>
      <c r="E23" s="5">
        <f>(E22-D22)/(1-E18)</f>
        <v/>
      </c>
      <c r="F23" s="5">
        <f>(F22-E22)/(1-F18)</f>
        <v/>
      </c>
      <c r="G23" s="5">
        <f>(G22-F22)/(1-G18)</f>
        <v/>
      </c>
    </row>
    <row r="24">
      <c r="A24" t="inlineStr">
        <is>
          <t>Dividend per Share (= Implied EPS x payout)</t>
        </is>
      </c>
      <c r="C24" s="5">
        <f>C23*C18</f>
        <v/>
      </c>
      <c r="D24" s="5">
        <f>D23*D18</f>
        <v/>
      </c>
      <c r="E24" s="5">
        <f>E23*E18</f>
        <v/>
      </c>
      <c r="F24" s="5">
        <f>F23*F18</f>
        <v/>
      </c>
      <c r="G24" s="5">
        <f>G23*G18</f>
        <v/>
      </c>
    </row>
    <row r="25">
      <c r="A25" t="inlineStr">
        <is>
          <t>Discount Factor (Cost of Equity)</t>
        </is>
      </c>
      <c r="C25">
        <f>1/(1+$B$12)^1</f>
        <v/>
      </c>
      <c r="D25">
        <f>1/(1+$B$12)^2</f>
        <v/>
      </c>
      <c r="E25">
        <f>1/(1+$B$12)^3</f>
        <v/>
      </c>
      <c r="F25">
        <f>1/(1+$B$12)^4</f>
        <v/>
      </c>
      <c r="G25">
        <f>1/(1+$B$12)^5</f>
        <v/>
      </c>
    </row>
    <row r="26">
      <c r="A26" t="inlineStr">
        <is>
          <t>PV of Dividend</t>
        </is>
      </c>
      <c r="C26" s="5">
        <f>C24*C25</f>
        <v/>
      </c>
      <c r="D26" s="5">
        <f>D24*D25</f>
        <v/>
      </c>
      <c r="E26" s="5">
        <f>E24*E25</f>
        <v/>
      </c>
      <c r="F26" s="5">
        <f>F24*F25</f>
        <v/>
      </c>
      <c r="G26" s="5">
        <f>G24*G25</f>
        <v/>
      </c>
    </row>
    <row r="28">
      <c r="A28" s="2" t="inlineStr">
        <is>
          <t>VALUATION</t>
        </is>
      </c>
    </row>
    <row r="29">
      <c r="A29" t="inlineStr">
        <is>
          <t>Sum of PV of Dividends</t>
        </is>
      </c>
      <c r="B29" s="5">
        <f>SUM(C26:G26)</f>
        <v/>
      </c>
    </row>
    <row r="30">
      <c r="A30" t="inlineStr">
        <is>
          <t>Terminal BVPS (Year 5)</t>
        </is>
      </c>
      <c r="B30" s="5">
        <f>G22</f>
        <v/>
      </c>
    </row>
    <row r="31">
      <c r="A31" t="inlineStr">
        <is>
          <t>Exit Price-to-Book Multiple</t>
        </is>
      </c>
      <c r="B31">
        <f>B13</f>
        <v/>
      </c>
    </row>
    <row r="32">
      <c r="A32" t="inlineStr">
        <is>
          <t>Terminal Value per Share</t>
        </is>
      </c>
      <c r="B32" s="5">
        <f>B30*B31</f>
        <v/>
      </c>
    </row>
    <row r="33">
      <c r="A33" t="inlineStr">
        <is>
          <t>PV of Terminal Value</t>
        </is>
      </c>
      <c r="B33" s="5">
        <f>B32*G25</f>
        <v/>
      </c>
    </row>
    <row r="34">
      <c r="A34" s="2" t="inlineStr">
        <is>
          <t>INTRINSIC VALUE / SHARE</t>
        </is>
      </c>
      <c r="B34" s="6">
        <f>B29+B33</f>
        <v/>
      </c>
    </row>
    <row r="35">
      <c r="A35" t="inlineStr">
        <is>
          <t>Upside / (Downside) vs Current Price</t>
        </is>
      </c>
      <c r="B35" s="7">
        <f>(B34-B5)/B5</f>
        <v/>
      </c>
    </row>
    <row r="37">
      <c r="A37" s="2" t="inlineStr">
        <is>
          <t>ENTRY PRICE (15% Hurdle)</t>
        </is>
      </c>
    </row>
    <row r="38">
      <c r="A38" t="inlineStr">
        <is>
          <t>Target CAGR (Hurdle Rate)</t>
        </is>
      </c>
      <c r="B38" s="4" t="n">
        <v>0.15</v>
      </c>
    </row>
    <row r="39">
      <c r="A39" t="inlineStr">
        <is>
          <t>PV of Dividends at Hurdle Rate</t>
        </is>
      </c>
      <c r="B39" s="5">
        <f>C24/(1+$B$38)^1+D24/(1+$B$38)^2+E24/(1+$B$38)^3+F24/(1+$B$38)^4+G24/(1+$B$38)^5</f>
        <v/>
      </c>
    </row>
    <row r="40">
      <c r="A40" t="inlineStr">
        <is>
          <t>PV of Terminal Value at Hurdle Rate</t>
        </is>
      </c>
      <c r="B40" s="5">
        <f>B32/(1+$B$38)^5</f>
        <v/>
      </c>
    </row>
    <row r="41">
      <c r="A41" t="inlineStr">
        <is>
          <t>Entry Price (15% Hurdle)</t>
        </is>
      </c>
      <c r="B41" s="5">
        <f>B39+B40</f>
        <v/>
      </c>
    </row>
    <row r="42">
      <c r="A42" t="inlineStr">
        <is>
          <t>Current Price vs Entry Price</t>
        </is>
      </c>
      <c r="B42" s="7">
        <f>(B5-B41)/B5</f>
        <v/>
      </c>
    </row>
    <row r="44">
      <c r="A44" t="inlineStr">
        <is>
          <t>Note: Book value per share is projected using management-guided/derived sustainable growth (ROE x retention).</t>
        </is>
      </c>
    </row>
    <row r="45">
      <c r="A45" t="inlineStr">
        <is>
          <t>Dividend per share is BACKED OUT from the implied EPS needed to produce that growth at the assumed payout</t>
        </is>
      </c>
    </row>
    <row r="46">
      <c r="A46" t="inlineStr">
        <is>
          <t>ratio (Chubb retains ~85% of earnings; payout ratio was 14.7%/15.6% in FY2025/FY2024). Discounting uses</t>
        </is>
      </c>
    </row>
    <row r="47">
      <c r="A47" t="inlineStr">
        <is>
          <t>COST OF EQUITY (equity-holder view), not WACC. Net debt held at zero - see inputs.notes in the DCF 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Bull / Bear Scenario Detail</t>
        </is>
      </c>
    </row>
    <row r="3">
      <c r="A3" s="2" t="inlineStr">
        <is>
          <t>BULL CASE</t>
        </is>
      </c>
    </row>
    <row r="4">
      <c r="A4" t="inlineStr">
        <is>
          <t>Cost of Equity</t>
        </is>
      </c>
      <c r="B4" s="4" t="n">
        <v>0.08500000000000001</v>
      </c>
    </row>
    <row r="5">
      <c r="A5" t="inlineStr">
        <is>
          <t>Exit Price-to-Book</t>
        </is>
      </c>
      <c r="B5" s="4" t="n">
        <v>1.75</v>
      </c>
    </row>
    <row r="6">
      <c r="B6" t="inlineStr">
        <is>
          <t>Year 1</t>
        </is>
      </c>
      <c r="C6" t="inlineStr">
        <is>
          <t>Year 2</t>
        </is>
      </c>
      <c r="D6" t="inlineStr">
        <is>
          <t>Year 3</t>
        </is>
      </c>
      <c r="E6" t="inlineStr">
        <is>
          <t>Year 4</t>
        </is>
      </c>
      <c r="F6" t="inlineStr">
        <is>
          <t>Year 5</t>
        </is>
      </c>
    </row>
    <row r="7">
      <c r="A7" t="inlineStr">
        <is>
          <t>BVPS Growth Rate</t>
        </is>
      </c>
      <c r="B7" s="4" t="n">
        <v>0.145</v>
      </c>
      <c r="C7" s="4" t="n">
        <v>0.14</v>
      </c>
      <c r="D7" s="4" t="n">
        <v>0.135</v>
      </c>
      <c r="E7" s="4" t="n">
        <v>0.13</v>
      </c>
      <c r="F7" s="4" t="n">
        <v>0.125</v>
      </c>
    </row>
    <row r="8">
      <c r="A8" t="inlineStr">
        <is>
          <t>Payout Ratio</t>
        </is>
      </c>
      <c r="B8" s="4" t="n"/>
      <c r="C8" s="4" t="n">
        <v>0.13</v>
      </c>
      <c r="D8" s="4" t="n">
        <v>0.13</v>
      </c>
      <c r="E8" s="4" t="n">
        <v>0.13</v>
      </c>
      <c r="F8" s="4" t="n">
        <v>0.13</v>
      </c>
      <c r="G8" s="4" t="n">
        <v>0.13</v>
      </c>
    </row>
    <row r="9">
      <c r="A9" t="inlineStr">
        <is>
          <t>Book Value per Share</t>
        </is>
      </c>
      <c r="B9" s="5">
        <f>'DCF Model'!$B$9</f>
        <v/>
      </c>
      <c r="C9" s="5">
        <f>B9*(1+B7)</f>
        <v/>
      </c>
      <c r="D9" s="5">
        <f>C9*(1+C7)</f>
        <v/>
      </c>
      <c r="E9" s="5">
        <f>D9*(1+D7)</f>
        <v/>
      </c>
      <c r="F9" s="5">
        <f>E9*(1+E7)</f>
        <v/>
      </c>
      <c r="G9" s="5">
        <f>F9*(1+F7)</f>
        <v/>
      </c>
    </row>
    <row r="10">
      <c r="A10" t="inlineStr">
        <is>
          <t>Implied EPS</t>
        </is>
      </c>
      <c r="C10" s="5">
        <f>(C9-B9)/(1-C8)</f>
        <v/>
      </c>
      <c r="D10" s="5">
        <f>(D9-C9)/(1-D8)</f>
        <v/>
      </c>
      <c r="E10" s="5">
        <f>(E9-D9)/(1-E8)</f>
        <v/>
      </c>
      <c r="F10" s="5">
        <f>(F9-E9)/(1-F8)</f>
        <v/>
      </c>
      <c r="G10" s="5">
        <f>(G9-F9)/(1-G8)</f>
        <v/>
      </c>
    </row>
    <row r="11">
      <c r="A11" t="inlineStr">
        <is>
          <t>Dividend per Share</t>
        </is>
      </c>
      <c r="C11" s="5">
        <f>C10*C8</f>
        <v/>
      </c>
      <c r="D11" s="5">
        <f>D10*D8</f>
        <v/>
      </c>
      <c r="E11" s="5">
        <f>E10*E8</f>
        <v/>
      </c>
      <c r="F11" s="5">
        <f>F10*F8</f>
        <v/>
      </c>
      <c r="G11" s="5">
        <f>G10*G8</f>
        <v/>
      </c>
    </row>
    <row r="12">
      <c r="A12" t="inlineStr">
        <is>
          <t>Discount Factor</t>
        </is>
      </c>
      <c r="C12">
        <f>1/(1+B4)^1</f>
        <v/>
      </c>
      <c r="D12">
        <f>1/(1+B4)^2</f>
        <v/>
      </c>
      <c r="E12">
        <f>1/(1+B4)^3</f>
        <v/>
      </c>
      <c r="F12">
        <f>1/(1+B4)^4</f>
        <v/>
      </c>
      <c r="G12">
        <f>1/(1+B4)^5</f>
        <v/>
      </c>
    </row>
    <row r="13">
      <c r="A13" t="inlineStr">
        <is>
          <t>PV of Dividend</t>
        </is>
      </c>
      <c r="C13" s="5">
        <f>C11*C12</f>
        <v/>
      </c>
      <c r="D13" s="5">
        <f>D11*D12</f>
        <v/>
      </c>
      <c r="E13" s="5">
        <f>E11*E12</f>
        <v/>
      </c>
      <c r="F13" s="5">
        <f>F11*F12</f>
        <v/>
      </c>
      <c r="G13" s="5">
        <f>G11*G12</f>
        <v/>
      </c>
    </row>
    <row r="15">
      <c r="A15" t="inlineStr">
        <is>
          <t>Sum PV of Dividends</t>
        </is>
      </c>
      <c r="B15" s="5">
        <f>SUM(C13:G13)</f>
        <v/>
      </c>
    </row>
    <row r="16">
      <c r="A16" t="inlineStr">
        <is>
          <t>Terminal BVPS (Yr 5)</t>
        </is>
      </c>
      <c r="B16" s="5">
        <f>G9</f>
        <v/>
      </c>
    </row>
    <row r="17">
      <c r="A17" t="inlineStr">
        <is>
          <t>Terminal Value per Share</t>
        </is>
      </c>
      <c r="B17" s="5">
        <f>B16*B5</f>
        <v/>
      </c>
    </row>
    <row r="18">
      <c r="A18" t="inlineStr">
        <is>
          <t>PV of Terminal Value</t>
        </is>
      </c>
      <c r="B18" s="5">
        <f>B17*G12</f>
        <v/>
      </c>
    </row>
    <row r="19">
      <c r="A19" s="2" t="inlineStr">
        <is>
          <t>INTRINSIC VALUE / SHARE</t>
        </is>
      </c>
      <c r="B19" s="6">
        <f>B15+B18</f>
        <v/>
      </c>
    </row>
    <row r="20">
      <c r="A20" t="inlineStr">
        <is>
          <t>Upside / (Downside)</t>
        </is>
      </c>
      <c r="B20" s="7">
        <f>(B19-'DCF Model'!$B$5)/'DCF Model'!$B$5</f>
        <v/>
      </c>
    </row>
    <row r="22">
      <c r="A22" s="2" t="inlineStr">
        <is>
          <t>BEAR CASE</t>
        </is>
      </c>
    </row>
    <row r="23">
      <c r="A23" t="inlineStr">
        <is>
          <t>Cost of Equity</t>
        </is>
      </c>
      <c r="B23" s="4" t="n">
        <v>0.095</v>
      </c>
    </row>
    <row r="24">
      <c r="A24" t="inlineStr">
        <is>
          <t>Exit Price-to-Book</t>
        </is>
      </c>
      <c r="B24" s="4" t="n">
        <v>1.25</v>
      </c>
    </row>
    <row r="25">
      <c r="B25" t="inlineStr">
        <is>
          <t>Year 1</t>
        </is>
      </c>
      <c r="C25" t="inlineStr">
        <is>
          <t>Year 2</t>
        </is>
      </c>
      <c r="D25" t="inlineStr">
        <is>
          <t>Year 3</t>
        </is>
      </c>
      <c r="E25" t="inlineStr">
        <is>
          <t>Year 4</t>
        </is>
      </c>
      <c r="F25" t="inlineStr">
        <is>
          <t>Year 5</t>
        </is>
      </c>
    </row>
    <row r="26">
      <c r="A26" t="inlineStr">
        <is>
          <t>BVPS Growth Rate</t>
        </is>
      </c>
      <c r="B26" s="4" t="n">
        <v>0.07000000000000001</v>
      </c>
      <c r="C26" s="4" t="n">
        <v>0.065</v>
      </c>
      <c r="D26" s="4" t="n">
        <v>0.06</v>
      </c>
      <c r="E26" s="4" t="n">
        <v>0.06</v>
      </c>
      <c r="F26" s="4" t="n">
        <v>0.055</v>
      </c>
    </row>
    <row r="27">
      <c r="A27" t="inlineStr">
        <is>
          <t>Payout Ratio</t>
        </is>
      </c>
      <c r="B27" s="4" t="n"/>
      <c r="C27" s="4" t="n">
        <v>0.2</v>
      </c>
      <c r="D27" s="4" t="n">
        <v>0.2</v>
      </c>
      <c r="E27" s="4" t="n">
        <v>0.2</v>
      </c>
      <c r="F27" s="4" t="n">
        <v>0.2</v>
      </c>
      <c r="G27" s="4" t="n">
        <v>0.2</v>
      </c>
    </row>
    <row r="28">
      <c r="A28" t="inlineStr">
        <is>
          <t>Book Value per Share</t>
        </is>
      </c>
      <c r="B28" s="5">
        <f>'DCF Model'!$B$9</f>
        <v/>
      </c>
      <c r="C28" s="5">
        <f>B28*(1+B26)</f>
        <v/>
      </c>
      <c r="D28" s="5">
        <f>C28*(1+C26)</f>
        <v/>
      </c>
      <c r="E28" s="5">
        <f>D28*(1+D26)</f>
        <v/>
      </c>
      <c r="F28" s="5">
        <f>E28*(1+E26)</f>
        <v/>
      </c>
      <c r="G28" s="5">
        <f>F28*(1+F26)</f>
        <v/>
      </c>
    </row>
    <row r="29">
      <c r="A29" t="inlineStr">
        <is>
          <t>Implied EPS</t>
        </is>
      </c>
      <c r="C29" s="5">
        <f>(C28-B28)/(1-C27)</f>
        <v/>
      </c>
      <c r="D29" s="5">
        <f>(D28-C28)/(1-D27)</f>
        <v/>
      </c>
      <c r="E29" s="5">
        <f>(E28-D28)/(1-E27)</f>
        <v/>
      </c>
      <c r="F29" s="5">
        <f>(F28-E28)/(1-F27)</f>
        <v/>
      </c>
      <c r="G29" s="5">
        <f>(G28-F28)/(1-G27)</f>
        <v/>
      </c>
    </row>
    <row r="30">
      <c r="A30" t="inlineStr">
        <is>
          <t>Dividend per Share</t>
        </is>
      </c>
      <c r="C30" s="5">
        <f>C29*C27</f>
        <v/>
      </c>
      <c r="D30" s="5">
        <f>D29*D27</f>
        <v/>
      </c>
      <c r="E30" s="5">
        <f>E29*E27</f>
        <v/>
      </c>
      <c r="F30" s="5">
        <f>F29*F27</f>
        <v/>
      </c>
      <c r="G30" s="5">
        <f>G29*G27</f>
        <v/>
      </c>
    </row>
    <row r="31">
      <c r="A31" t="inlineStr">
        <is>
          <t>Discount Factor</t>
        </is>
      </c>
      <c r="C31">
        <f>1/(1+B23)^1</f>
        <v/>
      </c>
      <c r="D31">
        <f>1/(1+B23)^2</f>
        <v/>
      </c>
      <c r="E31">
        <f>1/(1+B23)^3</f>
        <v/>
      </c>
      <c r="F31">
        <f>1/(1+B23)^4</f>
        <v/>
      </c>
      <c r="G31">
        <f>1/(1+B23)^5</f>
        <v/>
      </c>
    </row>
    <row r="32">
      <c r="A32" t="inlineStr">
        <is>
          <t>PV of Dividend</t>
        </is>
      </c>
      <c r="C32" s="5">
        <f>C30*C31</f>
        <v/>
      </c>
      <c r="D32" s="5">
        <f>D30*D31</f>
        <v/>
      </c>
      <c r="E32" s="5">
        <f>E30*E31</f>
        <v/>
      </c>
      <c r="F32" s="5">
        <f>F30*F31</f>
        <v/>
      </c>
      <c r="G32" s="5">
        <f>G30*G31</f>
        <v/>
      </c>
    </row>
    <row r="34">
      <c r="A34" t="inlineStr">
        <is>
          <t>Sum PV of Dividends</t>
        </is>
      </c>
      <c r="B34" s="5">
        <f>SUM(C32:G32)</f>
        <v/>
      </c>
    </row>
    <row r="35">
      <c r="A35" t="inlineStr">
        <is>
          <t>Terminal BVPS (Yr 5)</t>
        </is>
      </c>
      <c r="B35" s="5">
        <f>G28</f>
        <v/>
      </c>
    </row>
    <row r="36">
      <c r="A36" t="inlineStr">
        <is>
          <t>Terminal Value per Share</t>
        </is>
      </c>
      <c r="B36" s="5">
        <f>B35*B24</f>
        <v/>
      </c>
    </row>
    <row r="37">
      <c r="A37" t="inlineStr">
        <is>
          <t>PV of Terminal Value</t>
        </is>
      </c>
      <c r="B37" s="5">
        <f>B36*G31</f>
        <v/>
      </c>
    </row>
    <row r="38">
      <c r="A38" s="2" t="inlineStr">
        <is>
          <t>INTRINSIC VALUE / SHARE</t>
        </is>
      </c>
      <c r="B38" s="6">
        <f>B34+B37</f>
        <v/>
      </c>
    </row>
    <row r="39">
      <c r="A39" t="inlineStr">
        <is>
          <t>Upside / (Downside)</t>
        </is>
      </c>
      <c r="B39" s="7">
        <f>(B38-'DCF Model'!$B$5)/'DCF Model'!$B$5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Sensitivity Analysis</t>
        </is>
      </c>
    </row>
    <row r="2">
      <c r="A2" t="inlineStr">
        <is>
          <t>Intrinsic Value/Share by Cost of Equity &amp; Exit Price-to-Book (base-case growth/payout path)</t>
        </is>
      </c>
    </row>
    <row r="4">
      <c r="A4" s="2" t="inlineStr">
        <is>
          <t>CoE \ Exit P/B</t>
        </is>
      </c>
      <c r="B4" s="8" t="n">
        <v>1.25</v>
      </c>
      <c r="C4" s="8" t="n">
        <v>1.4</v>
      </c>
      <c r="D4" s="8" t="n">
        <v>1.55</v>
      </c>
      <c r="E4" s="8" t="n">
        <v>1.7</v>
      </c>
      <c r="F4" s="8" t="n">
        <v>1.85</v>
      </c>
    </row>
    <row r="5">
      <c r="A5" s="7" t="n">
        <v>0.07000000000000001</v>
      </c>
      <c r="B5" s="5">
        <f>((((('DCF Model'!$B$9*(1+0.12))-'DCF Model'!$B$9)/(1-0.15))*0.15)/(1+0.07)^1+((((('DCF Model'!$B$9*(1+0.12))*(1+0.12))-('DCF Model'!$B$9*(1+0.12)))/(1-0.15))*0.15)/(1+0.07)^2+(((((('DCF Model'!$B$9*(1+0.12))*(1+0.12))*(1+0.115))-(('DCF Model'!$B$9*(1+0.12))*(1+0.12)))/(1-0.15))*0.15)/(1+0.07)^3+((((((('DCF Model'!$B$9*(1+0.12))*(1+0.12))*(1+0.115))*(1+0.11))-((('DCF Model'!$B$9*(1+0.12))*(1+0.12))*(1+0.115)))/(1-0.15))*0.15)/(1+0.07)^4+(((((((('DCF Model'!$B$9*(1+0.12))*(1+0.12))*(1+0.115))*(1+0.11))*(1+0.105))-(((('DCF Model'!$B$9*(1+0.12))*(1+0.12))*(1+0.115))*(1+0.11)))/(1-0.15))*0.15)/(1+0.07)^5)+(((((('DCF Model'!$B$9*(1+0.12))*(1+0.12))*(1+0.115))*(1+0.11))*(1+0.105))*1.25)/(1+0.07)^5</f>
        <v/>
      </c>
      <c r="C5" s="5">
        <f>((((('DCF Model'!$B$9*(1+0.12))-'DCF Model'!$B$9)/(1-0.15))*0.15)/(1+0.07)^1+((((('DCF Model'!$B$9*(1+0.12))*(1+0.12))-('DCF Model'!$B$9*(1+0.12)))/(1-0.15))*0.15)/(1+0.07)^2+(((((('DCF Model'!$B$9*(1+0.12))*(1+0.12))*(1+0.115))-(('DCF Model'!$B$9*(1+0.12))*(1+0.12)))/(1-0.15))*0.15)/(1+0.07)^3+((((((('DCF Model'!$B$9*(1+0.12))*(1+0.12))*(1+0.115))*(1+0.11))-((('DCF Model'!$B$9*(1+0.12))*(1+0.12))*(1+0.115)))/(1-0.15))*0.15)/(1+0.07)^4+(((((((('DCF Model'!$B$9*(1+0.12))*(1+0.12))*(1+0.115))*(1+0.11))*(1+0.105))-(((('DCF Model'!$B$9*(1+0.12))*(1+0.12))*(1+0.115))*(1+0.11)))/(1-0.15))*0.15)/(1+0.07)^5)+(((((('DCF Model'!$B$9*(1+0.12))*(1+0.12))*(1+0.115))*(1+0.11))*(1+0.105))*1.4)/(1+0.07)^5</f>
        <v/>
      </c>
      <c r="D5" s="5">
        <f>((((('DCF Model'!$B$9*(1+0.12))-'DCF Model'!$B$9)/(1-0.15))*0.15)/(1+0.07)^1+((((('DCF Model'!$B$9*(1+0.12))*(1+0.12))-('DCF Model'!$B$9*(1+0.12)))/(1-0.15))*0.15)/(1+0.07)^2+(((((('DCF Model'!$B$9*(1+0.12))*(1+0.12))*(1+0.115))-(('DCF Model'!$B$9*(1+0.12))*(1+0.12)))/(1-0.15))*0.15)/(1+0.07)^3+((((((('DCF Model'!$B$9*(1+0.12))*(1+0.12))*(1+0.115))*(1+0.11))-((('DCF Model'!$B$9*(1+0.12))*(1+0.12))*(1+0.115)))/(1-0.15))*0.15)/(1+0.07)^4+(((((((('DCF Model'!$B$9*(1+0.12))*(1+0.12))*(1+0.115))*(1+0.11))*(1+0.105))-(((('DCF Model'!$B$9*(1+0.12))*(1+0.12))*(1+0.115))*(1+0.11)))/(1-0.15))*0.15)/(1+0.07)^5)+(((((('DCF Model'!$B$9*(1+0.12))*(1+0.12))*(1+0.115))*(1+0.11))*(1+0.105))*1.55)/(1+0.07)^5</f>
        <v/>
      </c>
      <c r="E5" s="5">
        <f>((((('DCF Model'!$B$9*(1+0.12))-'DCF Model'!$B$9)/(1-0.15))*0.15)/(1+0.07)^1+((((('DCF Model'!$B$9*(1+0.12))*(1+0.12))-('DCF Model'!$B$9*(1+0.12)))/(1-0.15))*0.15)/(1+0.07)^2+(((((('DCF Model'!$B$9*(1+0.12))*(1+0.12))*(1+0.115))-(('DCF Model'!$B$9*(1+0.12))*(1+0.12)))/(1-0.15))*0.15)/(1+0.07)^3+((((((('DCF Model'!$B$9*(1+0.12))*(1+0.12))*(1+0.115))*(1+0.11))-((('DCF Model'!$B$9*(1+0.12))*(1+0.12))*(1+0.115)))/(1-0.15))*0.15)/(1+0.07)^4+(((((((('DCF Model'!$B$9*(1+0.12))*(1+0.12))*(1+0.115))*(1+0.11))*(1+0.105))-(((('DCF Model'!$B$9*(1+0.12))*(1+0.12))*(1+0.115))*(1+0.11)))/(1-0.15))*0.15)/(1+0.07)^5)+(((((('DCF Model'!$B$9*(1+0.12))*(1+0.12))*(1+0.115))*(1+0.11))*(1+0.105))*1.7)/(1+0.07)^5</f>
        <v/>
      </c>
      <c r="F5" s="5">
        <f>((((('DCF Model'!$B$9*(1+0.12))-'DCF Model'!$B$9)/(1-0.15))*0.15)/(1+0.07)^1+((((('DCF Model'!$B$9*(1+0.12))*(1+0.12))-('DCF Model'!$B$9*(1+0.12)))/(1-0.15))*0.15)/(1+0.07)^2+(((((('DCF Model'!$B$9*(1+0.12))*(1+0.12))*(1+0.115))-(('DCF Model'!$B$9*(1+0.12))*(1+0.12)))/(1-0.15))*0.15)/(1+0.07)^3+((((((('DCF Model'!$B$9*(1+0.12))*(1+0.12))*(1+0.115))*(1+0.11))-((('DCF Model'!$B$9*(1+0.12))*(1+0.12))*(1+0.115)))/(1-0.15))*0.15)/(1+0.07)^4+(((((((('DCF Model'!$B$9*(1+0.12))*(1+0.12))*(1+0.115))*(1+0.11))*(1+0.105))-(((('DCF Model'!$B$9*(1+0.12))*(1+0.12))*(1+0.115))*(1+0.11)))/(1-0.15))*0.15)/(1+0.07)^5)+(((((('DCF Model'!$B$9*(1+0.12))*(1+0.12))*(1+0.115))*(1+0.11))*(1+0.105))*1.85)/(1+0.07)^5</f>
        <v/>
      </c>
    </row>
    <row r="6">
      <c r="A6" s="7" t="n">
        <v>0.08</v>
      </c>
      <c r="B6" s="5">
        <f>((((('DCF Model'!$B$9*(1+0.12))-'DCF Model'!$B$9)/(1-0.15))*0.15)/(1+0.08)^1+((((('DCF Model'!$B$9*(1+0.12))*(1+0.12))-('DCF Model'!$B$9*(1+0.12)))/(1-0.15))*0.15)/(1+0.08)^2+(((((('DCF Model'!$B$9*(1+0.12))*(1+0.12))*(1+0.115))-(('DCF Model'!$B$9*(1+0.12))*(1+0.12)))/(1-0.15))*0.15)/(1+0.08)^3+((((((('DCF Model'!$B$9*(1+0.12))*(1+0.12))*(1+0.115))*(1+0.11))-((('DCF Model'!$B$9*(1+0.12))*(1+0.12))*(1+0.115)))/(1-0.15))*0.15)/(1+0.08)^4+(((((((('DCF Model'!$B$9*(1+0.12))*(1+0.12))*(1+0.115))*(1+0.11))*(1+0.105))-(((('DCF Model'!$B$9*(1+0.12))*(1+0.12))*(1+0.115))*(1+0.11)))/(1-0.15))*0.15)/(1+0.08)^5)+(((((('DCF Model'!$B$9*(1+0.12))*(1+0.12))*(1+0.115))*(1+0.11))*(1+0.105))*1.25)/(1+0.08)^5</f>
        <v/>
      </c>
      <c r="C6" s="5">
        <f>((((('DCF Model'!$B$9*(1+0.12))-'DCF Model'!$B$9)/(1-0.15))*0.15)/(1+0.08)^1+((((('DCF Model'!$B$9*(1+0.12))*(1+0.12))-('DCF Model'!$B$9*(1+0.12)))/(1-0.15))*0.15)/(1+0.08)^2+(((((('DCF Model'!$B$9*(1+0.12))*(1+0.12))*(1+0.115))-(('DCF Model'!$B$9*(1+0.12))*(1+0.12)))/(1-0.15))*0.15)/(1+0.08)^3+((((((('DCF Model'!$B$9*(1+0.12))*(1+0.12))*(1+0.115))*(1+0.11))-((('DCF Model'!$B$9*(1+0.12))*(1+0.12))*(1+0.115)))/(1-0.15))*0.15)/(1+0.08)^4+(((((((('DCF Model'!$B$9*(1+0.12))*(1+0.12))*(1+0.115))*(1+0.11))*(1+0.105))-(((('DCF Model'!$B$9*(1+0.12))*(1+0.12))*(1+0.115))*(1+0.11)))/(1-0.15))*0.15)/(1+0.08)^5)+(((((('DCF Model'!$B$9*(1+0.12))*(1+0.12))*(1+0.115))*(1+0.11))*(1+0.105))*1.4)/(1+0.08)^5</f>
        <v/>
      </c>
      <c r="D6" s="5">
        <f>((((('DCF Model'!$B$9*(1+0.12))-'DCF Model'!$B$9)/(1-0.15))*0.15)/(1+0.08)^1+((((('DCF Model'!$B$9*(1+0.12))*(1+0.12))-('DCF Model'!$B$9*(1+0.12)))/(1-0.15))*0.15)/(1+0.08)^2+(((((('DCF Model'!$B$9*(1+0.12))*(1+0.12))*(1+0.115))-(('DCF Model'!$B$9*(1+0.12))*(1+0.12)))/(1-0.15))*0.15)/(1+0.08)^3+((((((('DCF Model'!$B$9*(1+0.12))*(1+0.12))*(1+0.115))*(1+0.11))-((('DCF Model'!$B$9*(1+0.12))*(1+0.12))*(1+0.115)))/(1-0.15))*0.15)/(1+0.08)^4+(((((((('DCF Model'!$B$9*(1+0.12))*(1+0.12))*(1+0.115))*(1+0.11))*(1+0.105))-(((('DCF Model'!$B$9*(1+0.12))*(1+0.12))*(1+0.115))*(1+0.11)))/(1-0.15))*0.15)/(1+0.08)^5)+(((((('DCF Model'!$B$9*(1+0.12))*(1+0.12))*(1+0.115))*(1+0.11))*(1+0.105))*1.55)/(1+0.08)^5</f>
        <v/>
      </c>
      <c r="E6" s="5">
        <f>((((('DCF Model'!$B$9*(1+0.12))-'DCF Model'!$B$9)/(1-0.15))*0.15)/(1+0.08)^1+((((('DCF Model'!$B$9*(1+0.12))*(1+0.12))-('DCF Model'!$B$9*(1+0.12)))/(1-0.15))*0.15)/(1+0.08)^2+(((((('DCF Model'!$B$9*(1+0.12))*(1+0.12))*(1+0.115))-(('DCF Model'!$B$9*(1+0.12))*(1+0.12)))/(1-0.15))*0.15)/(1+0.08)^3+((((((('DCF Model'!$B$9*(1+0.12))*(1+0.12))*(1+0.115))*(1+0.11))-((('DCF Model'!$B$9*(1+0.12))*(1+0.12))*(1+0.115)))/(1-0.15))*0.15)/(1+0.08)^4+(((((((('DCF Model'!$B$9*(1+0.12))*(1+0.12))*(1+0.115))*(1+0.11))*(1+0.105))-(((('DCF Model'!$B$9*(1+0.12))*(1+0.12))*(1+0.115))*(1+0.11)))/(1-0.15))*0.15)/(1+0.08)^5)+(((((('DCF Model'!$B$9*(1+0.12))*(1+0.12))*(1+0.115))*(1+0.11))*(1+0.105))*1.7)/(1+0.08)^5</f>
        <v/>
      </c>
      <c r="F6" s="5">
        <f>((((('DCF Model'!$B$9*(1+0.12))-'DCF Model'!$B$9)/(1-0.15))*0.15)/(1+0.08)^1+((((('DCF Model'!$B$9*(1+0.12))*(1+0.12))-('DCF Model'!$B$9*(1+0.12)))/(1-0.15))*0.15)/(1+0.08)^2+(((((('DCF Model'!$B$9*(1+0.12))*(1+0.12))*(1+0.115))-(('DCF Model'!$B$9*(1+0.12))*(1+0.12)))/(1-0.15))*0.15)/(1+0.08)^3+((((((('DCF Model'!$B$9*(1+0.12))*(1+0.12))*(1+0.115))*(1+0.11))-((('DCF Model'!$B$9*(1+0.12))*(1+0.12))*(1+0.115)))/(1-0.15))*0.15)/(1+0.08)^4+(((((((('DCF Model'!$B$9*(1+0.12))*(1+0.12))*(1+0.115))*(1+0.11))*(1+0.105))-(((('DCF Model'!$B$9*(1+0.12))*(1+0.12))*(1+0.115))*(1+0.11)))/(1-0.15))*0.15)/(1+0.08)^5)+(((((('DCF Model'!$B$9*(1+0.12))*(1+0.12))*(1+0.115))*(1+0.11))*(1+0.105))*1.85)/(1+0.08)^5</f>
        <v/>
      </c>
    </row>
    <row r="7">
      <c r="A7" s="7" t="n">
        <v>0.09</v>
      </c>
      <c r="B7" s="5">
        <f>((((('DCF Model'!$B$9*(1+0.12))-'DCF Model'!$B$9)/(1-0.15))*0.15)/(1+0.09)^1+((((('DCF Model'!$B$9*(1+0.12))*(1+0.12))-('DCF Model'!$B$9*(1+0.12)))/(1-0.15))*0.15)/(1+0.09)^2+(((((('DCF Model'!$B$9*(1+0.12))*(1+0.12))*(1+0.115))-(('DCF Model'!$B$9*(1+0.12))*(1+0.12)))/(1-0.15))*0.15)/(1+0.09)^3+((((((('DCF Model'!$B$9*(1+0.12))*(1+0.12))*(1+0.115))*(1+0.11))-((('DCF Model'!$B$9*(1+0.12))*(1+0.12))*(1+0.115)))/(1-0.15))*0.15)/(1+0.09)^4+(((((((('DCF Model'!$B$9*(1+0.12))*(1+0.12))*(1+0.115))*(1+0.11))*(1+0.105))-(((('DCF Model'!$B$9*(1+0.12))*(1+0.12))*(1+0.115))*(1+0.11)))/(1-0.15))*0.15)/(1+0.09)^5)+(((((('DCF Model'!$B$9*(1+0.12))*(1+0.12))*(1+0.115))*(1+0.11))*(1+0.105))*1.25)/(1+0.09)^5</f>
        <v/>
      </c>
      <c r="C7" s="5">
        <f>((((('DCF Model'!$B$9*(1+0.12))-'DCF Model'!$B$9)/(1-0.15))*0.15)/(1+0.09)^1+((((('DCF Model'!$B$9*(1+0.12))*(1+0.12))-('DCF Model'!$B$9*(1+0.12)))/(1-0.15))*0.15)/(1+0.09)^2+(((((('DCF Model'!$B$9*(1+0.12))*(1+0.12))*(1+0.115))-(('DCF Model'!$B$9*(1+0.12))*(1+0.12)))/(1-0.15))*0.15)/(1+0.09)^3+((((((('DCF Model'!$B$9*(1+0.12))*(1+0.12))*(1+0.115))*(1+0.11))-((('DCF Model'!$B$9*(1+0.12))*(1+0.12))*(1+0.115)))/(1-0.15))*0.15)/(1+0.09)^4+(((((((('DCF Model'!$B$9*(1+0.12))*(1+0.12))*(1+0.115))*(1+0.11))*(1+0.105))-(((('DCF Model'!$B$9*(1+0.12))*(1+0.12))*(1+0.115))*(1+0.11)))/(1-0.15))*0.15)/(1+0.09)^5)+(((((('DCF Model'!$B$9*(1+0.12))*(1+0.12))*(1+0.115))*(1+0.11))*(1+0.105))*1.4)/(1+0.09)^5</f>
        <v/>
      </c>
      <c r="D7" s="5">
        <f>((((('DCF Model'!$B$9*(1+0.12))-'DCF Model'!$B$9)/(1-0.15))*0.15)/(1+0.09)^1+((((('DCF Model'!$B$9*(1+0.12))*(1+0.12))-('DCF Model'!$B$9*(1+0.12)))/(1-0.15))*0.15)/(1+0.09)^2+(((((('DCF Model'!$B$9*(1+0.12))*(1+0.12))*(1+0.115))-(('DCF Model'!$B$9*(1+0.12))*(1+0.12)))/(1-0.15))*0.15)/(1+0.09)^3+((((((('DCF Model'!$B$9*(1+0.12))*(1+0.12))*(1+0.115))*(1+0.11))-((('DCF Model'!$B$9*(1+0.12))*(1+0.12))*(1+0.115)))/(1-0.15))*0.15)/(1+0.09)^4+(((((((('DCF Model'!$B$9*(1+0.12))*(1+0.12))*(1+0.115))*(1+0.11))*(1+0.105))-(((('DCF Model'!$B$9*(1+0.12))*(1+0.12))*(1+0.115))*(1+0.11)))/(1-0.15))*0.15)/(1+0.09)^5)+(((((('DCF Model'!$B$9*(1+0.12))*(1+0.12))*(1+0.115))*(1+0.11))*(1+0.105))*1.55)/(1+0.09)^5</f>
        <v/>
      </c>
      <c r="E7" s="5">
        <f>((((('DCF Model'!$B$9*(1+0.12))-'DCF Model'!$B$9)/(1-0.15))*0.15)/(1+0.09)^1+((((('DCF Model'!$B$9*(1+0.12))*(1+0.12))-('DCF Model'!$B$9*(1+0.12)))/(1-0.15))*0.15)/(1+0.09)^2+(((((('DCF Model'!$B$9*(1+0.12))*(1+0.12))*(1+0.115))-(('DCF Model'!$B$9*(1+0.12))*(1+0.12)))/(1-0.15))*0.15)/(1+0.09)^3+((((((('DCF Model'!$B$9*(1+0.12))*(1+0.12))*(1+0.115))*(1+0.11))-((('DCF Model'!$B$9*(1+0.12))*(1+0.12))*(1+0.115)))/(1-0.15))*0.15)/(1+0.09)^4+(((((((('DCF Model'!$B$9*(1+0.12))*(1+0.12))*(1+0.115))*(1+0.11))*(1+0.105))-(((('DCF Model'!$B$9*(1+0.12))*(1+0.12))*(1+0.115))*(1+0.11)))/(1-0.15))*0.15)/(1+0.09)^5)+(((((('DCF Model'!$B$9*(1+0.12))*(1+0.12))*(1+0.115))*(1+0.11))*(1+0.105))*1.7)/(1+0.09)^5</f>
        <v/>
      </c>
      <c r="F7" s="5">
        <f>((((('DCF Model'!$B$9*(1+0.12))-'DCF Model'!$B$9)/(1-0.15))*0.15)/(1+0.09)^1+((((('DCF Model'!$B$9*(1+0.12))*(1+0.12))-('DCF Model'!$B$9*(1+0.12)))/(1-0.15))*0.15)/(1+0.09)^2+(((((('DCF Model'!$B$9*(1+0.12))*(1+0.12))*(1+0.115))-(('DCF Model'!$B$9*(1+0.12))*(1+0.12)))/(1-0.15))*0.15)/(1+0.09)^3+((((((('DCF Model'!$B$9*(1+0.12))*(1+0.12))*(1+0.115))*(1+0.11))-((('DCF Model'!$B$9*(1+0.12))*(1+0.12))*(1+0.115)))/(1-0.15))*0.15)/(1+0.09)^4+(((((((('DCF Model'!$B$9*(1+0.12))*(1+0.12))*(1+0.115))*(1+0.11))*(1+0.105))-(((('DCF Model'!$B$9*(1+0.12))*(1+0.12))*(1+0.115))*(1+0.11)))/(1-0.15))*0.15)/(1+0.09)^5)+(((((('DCF Model'!$B$9*(1+0.12))*(1+0.12))*(1+0.115))*(1+0.11))*(1+0.105))*1.85)/(1+0.09)^5</f>
        <v/>
      </c>
    </row>
    <row r="8">
      <c r="A8" s="7" t="n">
        <v>0.1</v>
      </c>
      <c r="B8" s="5">
        <f>((((('DCF Model'!$B$9*(1+0.12))-'DCF Model'!$B$9)/(1-0.15))*0.15)/(1+0.1)^1+((((('DCF Model'!$B$9*(1+0.12))*(1+0.12))-('DCF Model'!$B$9*(1+0.12)))/(1-0.15))*0.15)/(1+0.1)^2+(((((('DCF Model'!$B$9*(1+0.12))*(1+0.12))*(1+0.115))-(('DCF Model'!$B$9*(1+0.12))*(1+0.12)))/(1-0.15))*0.15)/(1+0.1)^3+((((((('DCF Model'!$B$9*(1+0.12))*(1+0.12))*(1+0.115))*(1+0.11))-((('DCF Model'!$B$9*(1+0.12))*(1+0.12))*(1+0.115)))/(1-0.15))*0.15)/(1+0.1)^4+(((((((('DCF Model'!$B$9*(1+0.12))*(1+0.12))*(1+0.115))*(1+0.11))*(1+0.105))-(((('DCF Model'!$B$9*(1+0.12))*(1+0.12))*(1+0.115))*(1+0.11)))/(1-0.15))*0.15)/(1+0.1)^5)+(((((('DCF Model'!$B$9*(1+0.12))*(1+0.12))*(1+0.115))*(1+0.11))*(1+0.105))*1.25)/(1+0.1)^5</f>
        <v/>
      </c>
      <c r="C8" s="5">
        <f>((((('DCF Model'!$B$9*(1+0.12))-'DCF Model'!$B$9)/(1-0.15))*0.15)/(1+0.1)^1+((((('DCF Model'!$B$9*(1+0.12))*(1+0.12))-('DCF Model'!$B$9*(1+0.12)))/(1-0.15))*0.15)/(1+0.1)^2+(((((('DCF Model'!$B$9*(1+0.12))*(1+0.12))*(1+0.115))-(('DCF Model'!$B$9*(1+0.12))*(1+0.12)))/(1-0.15))*0.15)/(1+0.1)^3+((((((('DCF Model'!$B$9*(1+0.12))*(1+0.12))*(1+0.115))*(1+0.11))-((('DCF Model'!$B$9*(1+0.12))*(1+0.12))*(1+0.115)))/(1-0.15))*0.15)/(1+0.1)^4+(((((((('DCF Model'!$B$9*(1+0.12))*(1+0.12))*(1+0.115))*(1+0.11))*(1+0.105))-(((('DCF Model'!$B$9*(1+0.12))*(1+0.12))*(1+0.115))*(1+0.11)))/(1-0.15))*0.15)/(1+0.1)^5)+(((((('DCF Model'!$B$9*(1+0.12))*(1+0.12))*(1+0.115))*(1+0.11))*(1+0.105))*1.4)/(1+0.1)^5</f>
        <v/>
      </c>
      <c r="D8" s="5">
        <f>((((('DCF Model'!$B$9*(1+0.12))-'DCF Model'!$B$9)/(1-0.15))*0.15)/(1+0.1)^1+((((('DCF Model'!$B$9*(1+0.12))*(1+0.12))-('DCF Model'!$B$9*(1+0.12)))/(1-0.15))*0.15)/(1+0.1)^2+(((((('DCF Model'!$B$9*(1+0.12))*(1+0.12))*(1+0.115))-(('DCF Model'!$B$9*(1+0.12))*(1+0.12)))/(1-0.15))*0.15)/(1+0.1)^3+((((((('DCF Model'!$B$9*(1+0.12))*(1+0.12))*(1+0.115))*(1+0.11))-((('DCF Model'!$B$9*(1+0.12))*(1+0.12))*(1+0.115)))/(1-0.15))*0.15)/(1+0.1)^4+(((((((('DCF Model'!$B$9*(1+0.12))*(1+0.12))*(1+0.115))*(1+0.11))*(1+0.105))-(((('DCF Model'!$B$9*(1+0.12))*(1+0.12))*(1+0.115))*(1+0.11)))/(1-0.15))*0.15)/(1+0.1)^5)+(((((('DCF Model'!$B$9*(1+0.12))*(1+0.12))*(1+0.115))*(1+0.11))*(1+0.105))*1.55)/(1+0.1)^5</f>
        <v/>
      </c>
      <c r="E8" s="5">
        <f>((((('DCF Model'!$B$9*(1+0.12))-'DCF Model'!$B$9)/(1-0.15))*0.15)/(1+0.1)^1+((((('DCF Model'!$B$9*(1+0.12))*(1+0.12))-('DCF Model'!$B$9*(1+0.12)))/(1-0.15))*0.15)/(1+0.1)^2+(((((('DCF Model'!$B$9*(1+0.12))*(1+0.12))*(1+0.115))-(('DCF Model'!$B$9*(1+0.12))*(1+0.12)))/(1-0.15))*0.15)/(1+0.1)^3+((((((('DCF Model'!$B$9*(1+0.12))*(1+0.12))*(1+0.115))*(1+0.11))-((('DCF Model'!$B$9*(1+0.12))*(1+0.12))*(1+0.115)))/(1-0.15))*0.15)/(1+0.1)^4+(((((((('DCF Model'!$B$9*(1+0.12))*(1+0.12))*(1+0.115))*(1+0.11))*(1+0.105))-(((('DCF Model'!$B$9*(1+0.12))*(1+0.12))*(1+0.115))*(1+0.11)))/(1-0.15))*0.15)/(1+0.1)^5)+(((((('DCF Model'!$B$9*(1+0.12))*(1+0.12))*(1+0.115))*(1+0.11))*(1+0.105))*1.7)/(1+0.1)^5</f>
        <v/>
      </c>
      <c r="F8" s="5">
        <f>((((('DCF Model'!$B$9*(1+0.12))-'DCF Model'!$B$9)/(1-0.15))*0.15)/(1+0.1)^1+((((('DCF Model'!$B$9*(1+0.12))*(1+0.12))-('DCF Model'!$B$9*(1+0.12)))/(1-0.15))*0.15)/(1+0.1)^2+(((((('DCF Model'!$B$9*(1+0.12))*(1+0.12))*(1+0.115))-(('DCF Model'!$B$9*(1+0.12))*(1+0.12)))/(1-0.15))*0.15)/(1+0.1)^3+((((((('DCF Model'!$B$9*(1+0.12))*(1+0.12))*(1+0.115))*(1+0.11))-((('DCF Model'!$B$9*(1+0.12))*(1+0.12))*(1+0.115)))/(1-0.15))*0.15)/(1+0.1)^4+(((((((('DCF Model'!$B$9*(1+0.12))*(1+0.12))*(1+0.115))*(1+0.11))*(1+0.105))-(((('DCF Model'!$B$9*(1+0.12))*(1+0.12))*(1+0.115))*(1+0.11)))/(1-0.15))*0.15)/(1+0.1)^5)+(((((('DCF Model'!$B$9*(1+0.12))*(1+0.12))*(1+0.115))*(1+0.11))*(1+0.105))*1.85)/(1+0.1)^5</f>
        <v/>
      </c>
    </row>
    <row r="9">
      <c r="A9" s="7" t="n">
        <v>0.11</v>
      </c>
      <c r="B9" s="5">
        <f>((((('DCF Model'!$B$9*(1+0.12))-'DCF Model'!$B$9)/(1-0.15))*0.15)/(1+0.11)^1+((((('DCF Model'!$B$9*(1+0.12))*(1+0.12))-('DCF Model'!$B$9*(1+0.12)))/(1-0.15))*0.15)/(1+0.11)^2+(((((('DCF Model'!$B$9*(1+0.12))*(1+0.12))*(1+0.115))-(('DCF Model'!$B$9*(1+0.12))*(1+0.12)))/(1-0.15))*0.15)/(1+0.11)^3+((((((('DCF Model'!$B$9*(1+0.12))*(1+0.12))*(1+0.115))*(1+0.11))-((('DCF Model'!$B$9*(1+0.12))*(1+0.12))*(1+0.115)))/(1-0.15))*0.15)/(1+0.11)^4+(((((((('DCF Model'!$B$9*(1+0.12))*(1+0.12))*(1+0.115))*(1+0.11))*(1+0.105))-(((('DCF Model'!$B$9*(1+0.12))*(1+0.12))*(1+0.115))*(1+0.11)))/(1-0.15))*0.15)/(1+0.11)^5)+(((((('DCF Model'!$B$9*(1+0.12))*(1+0.12))*(1+0.115))*(1+0.11))*(1+0.105))*1.25)/(1+0.11)^5</f>
        <v/>
      </c>
      <c r="C9" s="5">
        <f>((((('DCF Model'!$B$9*(1+0.12))-'DCF Model'!$B$9)/(1-0.15))*0.15)/(1+0.11)^1+((((('DCF Model'!$B$9*(1+0.12))*(1+0.12))-('DCF Model'!$B$9*(1+0.12)))/(1-0.15))*0.15)/(1+0.11)^2+(((((('DCF Model'!$B$9*(1+0.12))*(1+0.12))*(1+0.115))-(('DCF Model'!$B$9*(1+0.12))*(1+0.12)))/(1-0.15))*0.15)/(1+0.11)^3+((((((('DCF Model'!$B$9*(1+0.12))*(1+0.12))*(1+0.115))*(1+0.11))-((('DCF Model'!$B$9*(1+0.12))*(1+0.12))*(1+0.115)))/(1-0.15))*0.15)/(1+0.11)^4+(((((((('DCF Model'!$B$9*(1+0.12))*(1+0.12))*(1+0.115))*(1+0.11))*(1+0.105))-(((('DCF Model'!$B$9*(1+0.12))*(1+0.12))*(1+0.115))*(1+0.11)))/(1-0.15))*0.15)/(1+0.11)^5)+(((((('DCF Model'!$B$9*(1+0.12))*(1+0.12))*(1+0.115))*(1+0.11))*(1+0.105))*1.4)/(1+0.11)^5</f>
        <v/>
      </c>
      <c r="D9" s="5">
        <f>((((('DCF Model'!$B$9*(1+0.12))-'DCF Model'!$B$9)/(1-0.15))*0.15)/(1+0.11)^1+((((('DCF Model'!$B$9*(1+0.12))*(1+0.12))-('DCF Model'!$B$9*(1+0.12)))/(1-0.15))*0.15)/(1+0.11)^2+(((((('DCF Model'!$B$9*(1+0.12))*(1+0.12))*(1+0.115))-(('DCF Model'!$B$9*(1+0.12))*(1+0.12)))/(1-0.15))*0.15)/(1+0.11)^3+((((((('DCF Model'!$B$9*(1+0.12))*(1+0.12))*(1+0.115))*(1+0.11))-((('DCF Model'!$B$9*(1+0.12))*(1+0.12))*(1+0.115)))/(1-0.15))*0.15)/(1+0.11)^4+(((((((('DCF Model'!$B$9*(1+0.12))*(1+0.12))*(1+0.115))*(1+0.11))*(1+0.105))-(((('DCF Model'!$B$9*(1+0.12))*(1+0.12))*(1+0.115))*(1+0.11)))/(1-0.15))*0.15)/(1+0.11)^5)+(((((('DCF Model'!$B$9*(1+0.12))*(1+0.12))*(1+0.115))*(1+0.11))*(1+0.105))*1.55)/(1+0.11)^5</f>
        <v/>
      </c>
      <c r="E9" s="5">
        <f>((((('DCF Model'!$B$9*(1+0.12))-'DCF Model'!$B$9)/(1-0.15))*0.15)/(1+0.11)^1+((((('DCF Model'!$B$9*(1+0.12))*(1+0.12))-('DCF Model'!$B$9*(1+0.12)))/(1-0.15))*0.15)/(1+0.11)^2+(((((('DCF Model'!$B$9*(1+0.12))*(1+0.12))*(1+0.115))-(('DCF Model'!$B$9*(1+0.12))*(1+0.12)))/(1-0.15))*0.15)/(1+0.11)^3+((((((('DCF Model'!$B$9*(1+0.12))*(1+0.12))*(1+0.115))*(1+0.11))-((('DCF Model'!$B$9*(1+0.12))*(1+0.12))*(1+0.115)))/(1-0.15))*0.15)/(1+0.11)^4+(((((((('DCF Model'!$B$9*(1+0.12))*(1+0.12))*(1+0.115))*(1+0.11))*(1+0.105))-(((('DCF Model'!$B$9*(1+0.12))*(1+0.12))*(1+0.115))*(1+0.11)))/(1-0.15))*0.15)/(1+0.11)^5)+(((((('DCF Model'!$B$9*(1+0.12))*(1+0.12))*(1+0.115))*(1+0.11))*(1+0.105))*1.7)/(1+0.11)^5</f>
        <v/>
      </c>
      <c r="F9" s="5">
        <f>((((('DCF Model'!$B$9*(1+0.12))-'DCF Model'!$B$9)/(1-0.15))*0.15)/(1+0.11)^1+((((('DCF Model'!$B$9*(1+0.12))*(1+0.12))-('DCF Model'!$B$9*(1+0.12)))/(1-0.15))*0.15)/(1+0.11)^2+(((((('DCF Model'!$B$9*(1+0.12))*(1+0.12))*(1+0.115))-(('DCF Model'!$B$9*(1+0.12))*(1+0.12)))/(1-0.15))*0.15)/(1+0.11)^3+((((((('DCF Model'!$B$9*(1+0.12))*(1+0.12))*(1+0.115))*(1+0.11))-((('DCF Model'!$B$9*(1+0.12))*(1+0.12))*(1+0.115)))/(1-0.15))*0.15)/(1+0.11)^4+(((((((('DCF Model'!$B$9*(1+0.12))*(1+0.12))*(1+0.115))*(1+0.11))*(1+0.105))-(((('DCF Model'!$B$9*(1+0.12))*(1+0.12))*(1+0.115))*(1+0.11)))/(1-0.15))*0.15)/(1+0.11)^5)+(((((('DCF Model'!$B$9*(1+0.12))*(1+0.12))*(1+0.115))*(1+0.11))*(1+0.105))*1.85)/(1+0.11)^5</f>
        <v/>
      </c>
    </row>
    <row r="11">
      <c r="A11" t="inlineStr">
        <is>
          <t>Note: Rows = cost of equity (7%-11%). Columns = exit price-to-book multiple (1.25x-1.85x) applied to</t>
        </is>
      </c>
    </row>
    <row r="12">
      <c r="A12" t="inlineStr">
        <is>
          <t>Year-5 book value per share. Base-case BVPS growth path (12%,12%,11.5%,11%,10.5%) and 15% payout ratio held constant.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Historical Book Value per Share &amp; Dividend</t>
        </is>
      </c>
    </row>
    <row r="3">
      <c r="A3" s="2" t="inlineStr">
        <is>
          <t>FY</t>
        </is>
      </c>
      <c r="B3" s="2" t="inlineStr">
        <is>
          <t>BVPS ($)</t>
        </is>
      </c>
      <c r="C3" s="2" t="inlineStr">
        <is>
          <t>DPS ($)</t>
        </is>
      </c>
    </row>
    <row r="4">
      <c r="A4" t="inlineStr">
        <is>
          <t>FY2015</t>
        </is>
      </c>
      <c r="B4" s="5" t="n">
        <v>88.59999999999999</v>
      </c>
      <c r="C4" s="5" t="n">
        <v>2.56</v>
      </c>
    </row>
    <row r="5">
      <c r="A5" t="inlineStr">
        <is>
          <t>FY2016</t>
        </is>
      </c>
      <c r="B5" s="5" t="n">
        <v>103.6</v>
      </c>
    </row>
    <row r="6">
      <c r="A6" t="inlineStr">
        <is>
          <t>FY2017</t>
        </is>
      </c>
      <c r="B6" s="5" t="n">
        <v>108.6</v>
      </c>
    </row>
    <row r="7">
      <c r="A7" t="inlineStr">
        <is>
          <t>FY2018</t>
        </is>
      </c>
      <c r="B7" s="5" t="n">
        <v>107.78</v>
      </c>
    </row>
    <row r="8">
      <c r="A8" t="inlineStr">
        <is>
          <t>FY2019</t>
        </is>
      </c>
      <c r="B8" s="5" t="n">
        <v>120.57</v>
      </c>
    </row>
    <row r="9">
      <c r="A9" t="inlineStr">
        <is>
          <t>FY2020</t>
        </is>
      </c>
      <c r="B9" s="5" t="n">
        <v>131.09</v>
      </c>
    </row>
    <row r="10">
      <c r="A10" t="inlineStr">
        <is>
          <t>FY2021</t>
        </is>
      </c>
      <c r="B10" s="5" t="n">
        <v>131.61</v>
      </c>
    </row>
    <row r="11">
      <c r="A11" t="inlineStr">
        <is>
          <t>FY2022</t>
        </is>
      </c>
      <c r="B11" s="5" t="n">
        <v>119.28</v>
      </c>
      <c r="C11" s="5" t="n">
        <v>3.29</v>
      </c>
    </row>
    <row r="12">
      <c r="A12" t="inlineStr">
        <is>
          <t>FY2023</t>
        </is>
      </c>
      <c r="B12" s="5" t="n">
        <v>153.77</v>
      </c>
      <c r="C12" s="5" t="n">
        <v>3.41</v>
      </c>
    </row>
    <row r="13">
      <c r="A13" t="inlineStr">
        <is>
          <t>FY2024</t>
        </is>
      </c>
      <c r="B13" s="5" t="n">
        <v>167.43</v>
      </c>
      <c r="C13" s="5" t="n">
        <v>3.59</v>
      </c>
    </row>
    <row r="14">
      <c r="A14" t="inlineStr">
        <is>
          <t>FY2025</t>
        </is>
      </c>
      <c r="B14" s="5" t="n">
        <v>198.7</v>
      </c>
      <c r="C14" s="5" t="n">
        <v>3.82</v>
      </c>
    </row>
    <row r="15">
      <c r="A15" t="inlineStr">
        <is>
          <t>Q1 2026</t>
        </is>
      </c>
      <c r="B15" s="5" t="n">
        <v>202.51</v>
      </c>
      <c r="C15" s="5" t="n">
        <v>0.97</v>
      </c>
    </row>
    <row r="17">
      <c r="A17" t="inlineStr">
        <is>
          <t>10yr BVPS CAGR</t>
        </is>
      </c>
      <c r="B17" s="7" t="n">
        <v>0.08400000000000001</v>
      </c>
    </row>
    <row r="18">
      <c r="A18" t="inlineStr">
        <is>
          <t>5yr BVPS CAGR</t>
        </is>
      </c>
      <c r="B18" s="7" t="n">
        <v>0.08699999999999999</v>
      </c>
    </row>
    <row r="19">
      <c r="A19" t="inlineStr">
        <is>
          <t>Note: FY2016-2021 DPS not disclosed in extracted metrics (spans 2016 ACE/Chubb merger share reset).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>
      <c r="A1" s="1" t="inlineStr">
        <is>
          <t>Sanity Check — Historical P/B Cross-Reference</t>
        </is>
      </c>
    </row>
    <row r="3">
      <c r="A3" t="inlineStr">
        <is>
          <t>Base Intrinsic Value / Share</t>
        </is>
      </c>
      <c r="B3" s="5">
        <f>'DCF Model'!B34</f>
        <v/>
      </c>
    </row>
    <row r="4">
      <c r="A4" t="inlineStr">
        <is>
          <t>Implied P/B (Base IV / Q1-2026 BVPS)</t>
        </is>
      </c>
      <c r="B4" s="8">
        <f>B3/'DCF Model'!B9</f>
        <v/>
      </c>
    </row>
    <row r="5">
      <c r="A5" t="inlineStr">
        <is>
          <t>Normalized Core Operating EPS (mid-cycle, ~FY2025 run-rate)</t>
        </is>
      </c>
      <c r="B5" s="5" t="n">
        <v>26</v>
      </c>
    </row>
    <row r="6">
      <c r="A6" t="inlineStr">
        <is>
          <t>Implied P/E (Base IV / Normalized EPS)</t>
        </is>
      </c>
      <c r="B6" s="9">
        <f>B3/B5</f>
        <v/>
      </c>
    </row>
    <row r="8">
      <c r="A8" t="inlineStr">
        <is>
          <t>Historical / Peer P/B Context</t>
        </is>
      </c>
    </row>
    <row r="9">
      <c r="A9" t="inlineStr">
        <is>
          <t>Current P/B (Q1 2026, price $333.37 / BVPS $202.51)</t>
        </is>
      </c>
      <c r="B9" s="8" t="n">
        <v>1.65</v>
      </c>
    </row>
    <row r="10">
      <c r="A10" t="inlineStr">
        <is>
          <t>Base-case Exit P/B assumption</t>
        </is>
      </c>
      <c r="B10">
        <f>'DCF Model'!B13</f>
        <v/>
      </c>
    </row>
    <row r="11">
      <c r="A11" t="inlineStr">
        <is>
          <t>Approx. quality-insurer historical P/B range (P&amp;C large-cap peers)</t>
        </is>
      </c>
      <c r="B11" t="inlineStr">
        <is>
          <t>1.1x - 1.85x</t>
        </is>
      </c>
    </row>
    <row r="13">
      <c r="A13" s="2" t="inlineStr">
        <is>
          <t>Sanity Check Passed:</t>
        </is>
      </c>
      <c r="B13" t="inlineStr">
        <is>
          <t>YES</t>
        </is>
      </c>
    </row>
    <row r="15">
      <c r="A15" s="2" t="inlineStr">
        <is>
          <t>Diagnosis:</t>
        </is>
      </c>
    </row>
    <row r="16">
      <c r="A16" t="inlineStr">
        <is>
          <t>Base-case intrinsic value (~$369.63/share, computed in 'DCF Model') implies a P/B of ~1.83x on Q1-2026</t>
        </is>
      </c>
    </row>
    <row r="17">
      <c r="A17" t="inlineStr">
        <is>
          <t>BVPS ($202.51) and ~14.2x normalized EPS (~$26/share) - both inside a plausible range for a</t>
        </is>
      </c>
    </row>
    <row r="18">
      <c r="A18" t="inlineStr">
        <is>
          <t>high-quality, low-80s-combined-ratio P&amp;C compouner with 14%+ core operating ROE, though at the upper</t>
        </is>
      </c>
    </row>
    <row r="19">
      <c r="A19" t="inlineStr">
        <is>
          <t>end given the current 1.65x P/B. The model is BVPS-compounding based (management's own guided metric),</t>
        </is>
      </c>
    </row>
    <row r="20">
      <c r="A20" t="inlineStr">
        <is>
          <t>not owner-FCF, because OCF/FCF for an insurer commingles float and investment-portfolio movements and</t>
        </is>
      </c>
    </row>
    <row r="21">
      <c r="A21" t="inlineStr">
        <is>
          <t>is not a clean per-share signal. Weighted intrinsic value ($358.69) sits modestly above the current</t>
        </is>
      </c>
    </row>
    <row r="22">
      <c r="A22" t="inlineStr">
        <is>
          <t>price ($333.37, +7.6%), consistent with a well-regarded, close-to-fairly-valued franchise rather than</t>
        </is>
      </c>
    </row>
    <row r="23">
      <c r="A23" t="inlineStr">
        <is>
          <t>either a deep value opportunity or an obviously overvalued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2026-09-26T00:27:24Z</dcterms:created>
  <dcterms:modified xsi:type="dcterms:W3CDTF">2026-09-26T00:28:30Z</dcterms:modified>
</cp:coreProperties>
</file>