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<sst xmlns="http://schemas.openxmlformats.org/spreadsheetml/2006/main" count="364" uniqueCount="167">
  <si>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</si>
  <si>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DHL.DE</t>
  </si>
  <si>
    <t xml:space="preserve">Company</t>
  </si>
  <si>
    <t xml:space="preserve">DHL Group (DHL AG, formerly Deutsche Post AG)</t>
  </si>
  <si>
    <t xml:space="preserve">Valuation date</t>
  </si>
  <si>
    <t xml:space="preserve">2026-10-25</t>
  </si>
  <si>
    <t xml:space="preserve">Current price</t>
  </si>
  <si>
    <t xml:space="preserve">Price as of</t>
  </si>
  <si>
    <t xml:space="preserve">2026-10-23T15:35:17Z regular XETRA close (Friday); not an after-hours print</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</si>
  <si>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</si>
  <si>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</si>
  <si>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</si>
  <si>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</si>
  <si>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</si>
  <si>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</si>
  <si>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</si>
  <si>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</si>
  <si>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</si>
  <si>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</si>
  <si>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</si>
  <si>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</si>
  <si>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2026-10-24T19:34:16Z</t>
  </si>
  <si>
    <t xml:space="preserve">Drivers file</t>
  </si>
  <si>
    <t xml:space="preserve">DHL.DE_Drivers.json</t>
  </si>
  <si>
    <t xml:space="preserve">Convention</t>
  </si>
  <si>
    <t xml:space="preserve">Percents stored as percents; formulas divide by 100. Blue = input, green = link, black = formula.</t>
  </si>
  <si>
    <t xml:space="preserve">Methodology</t>
  </si>
  <si>
    <t xml:space="preserve">summary: DHL is valued as a mature, cyclical, cash-generative logistics operator on strict owner FCF: lease cash, capex and SBC are all charged, leases are treated as an operating cost (DHL's own FCF convention) and excluded from net debt, and NCI and pensions are deducted once in the bridge. Terminal value is capped at 14x terminal owner FCF (cyclical band), below the ~17x a Gordon value at 8%/2% implies, so the valuation does not pay a peak-cycle multiple on peak-cycle FY2026 margins.
key_risks_to_valuation: Margin cyclicality: FY2026 cash EBITDA margin (~13.6%) is above the FY2023-25 average (~13.0%); every 0.5pp of sustained margin is ~EUR 0.3bn/yr of pre-tax cash flow.; Lease treatment: switching to treatment (A) without a renewal-capex charge would overstate value by roughly the EUR 15bn lease book; the model charges ~EUR 3.2bn/yr of lease cash in perpetuity.; Capex intensity: guidance has been raised to ~EUR 3.6bn; if 4% of revenue proves the steady state rather than 3.5%, terminal FCF falls ~EUR 0.45bn.; Trade policy (US tariffs/de minimis, EU customs reform) on Express and Forwarding volumes.; NCI valuation is an estimate (earnings multiple on a run-rate boosted by the ASMO consolidation).</t>
  </si>
  <si>
    <t xml:space="preserve">Data sources</t>
  </si>
  <si>
    <t xml:space="preserve">price: Yahoo Finance chart API at inputs.price_as_of; 52-week range 38.76-58.90
financials: DHL.DE_Metrics.csv (FY2015-FY2025, H1 2026); DHL Group 2025 Annual Report (free cash flow calculation, ROU depreciation note, lease note, balance sheet); H1 2026 half-year report (net debt table incl. lease liabilities 15,201, pensions 1,560, NCI 528, share capital and treasury shares, diluted weighted shares)
qualitative: DHL.DE_Analysis.json (guidance as of preliminary Q3 2026, 2026-10-16; segment, competitive and risk analysis)</t>
  </si>
  <si>
    <t xml:space="preserve">Scenario narrative: bear</t>
  </si>
  <si>
    <t xml:space="preserve">The beat reverses: air capacity loosens and freight rates fall (FY2027 revenue -4%), US tariff / de minimis changes and the EU July-2026 customs reform weigh on Express and Forwarding volumes, German mail decline continues, and margin resets to the FY2024 trough (~12.3% cash EBITDA). Capex and lease costs prove sticky, so owner FCF stalls and leverage-funded buybacks have to slow.</t>
  </si>
  <si>
    <t xml:space="preserve">Scenario narrative: base</t>
  </si>
  <si>
    <t xml:space="preserve">FY2026 delivers the twice-raised guidance (EBIT &gt; EUR 7.0bn, FCF ex-M&amp;A &gt; EUR 3.2bn) on a ~EUR 89bn revenue base, partly on tight air-freight capacity; FY2027 normalises (revenue +1%, cash EBITDA margin back to ~13.1%) and Strategy 2030 then rebuilds it to 13.5% with ~3% revenue growth. Capex follows guidance (~EUR 3.6bn) and settles at 3.5% of revenue. Owner FCF ~EUR 3.0bn in FY2026, dipping in FY2027, then compounding mid-single digit.</t>
  </si>
  <si>
    <t xml:space="preserve">Scenario narrative: bull</t>
  </si>
  <si>
    <t xml:space="preserve">The 2026 step-up is structural, not cyclical: Express holds its yield and cost gains, Life Sciences &amp; Healthcare and New Energy logistics compound, and the contract-logistics lead wins share in high-growth geographies. Revenue grows 4-5% mid-decade and cash EBITDA margin reaches 14.4% (EBIT margin ~8.2%) with easing capex intensity after the aircraft renewal.</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</si>
  <si>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</si>
  <si>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</si>
  <si>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</si>
  <si>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</si>
  <si>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</si>
  <si>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</si>
  <si>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</si>
  <si>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</si>
  <si>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</si>
  <si>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</si>
  <si>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</si>
  <si>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</si>
  <si>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</si>
  <si>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</si>
  <si>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</si>
  <si>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</si>
  <si>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</si>
  <si>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</si>
  <si>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</si>
  <si>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</si>
  <si>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</si>
  <si>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</si>
  <si>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</si>
  <si>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</si>
  <si>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</si>
  <si>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</si>
  <si>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</si>
  <si>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</si>
  <si>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</si>
  <si>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</si>
  <si>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</si>
  <si>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</si>
  <si>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</si>
  <si>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</si>
  <si>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</si>
  <si>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</si>
  <si>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</si>
  <si>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</si>
  <si>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</si>
  <si>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</si>
  <si>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</si>
  <si>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</si>
  <si>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</si>
  <si>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</si>
  <si>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</si>
  <si>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</si>
  <si>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</si>
  <si>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</si>
  <si>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</si>
  <si>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</si>
  <si>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</si>
  <si>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</si>
  <si>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</si>
  <si>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</si>
  <si>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</si>
  <si>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</si>
  <si>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</si>
  <si>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</si>
  <si>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</si>
  <si>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</si>
  <si>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</si>
  <si>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</si>
  <si>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</si>
  <si>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</si>
  <si>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</si>
  <si>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</si>
  <si>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</si>
  <si>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</si>
  <si>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</si>
  <si>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</si>
  <si>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</si>
  <si>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</si>
  <si>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</si>
  <si>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</si>
  <si>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</si>
  <si>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</si>
  <si>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DHL.DE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</si>
  <si>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</si>
  <si>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</si>
  <si>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</si>
  <si>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</si>
  <si>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</si>
  <si>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</si>
  <si>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</si>
  <si>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</si>
  <si>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</si>
  <si>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</si>
  <si>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</si>
  <si>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</si>
  <si>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</si>
  <si>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</si>
  <si>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</si>
  <si>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</si>
  <si>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</si>
  <si>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</si>
  <si>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</si>
  <si>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</si>
  <si>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</si>
  <si>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</si>
  <si>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</si>
  <si>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</si>
  <si>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</si>
  <si>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</si>
  <si>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</si>
  <si>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</si>
  <si>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</si>
  <si>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</si>
  <si>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DHL.DE owner-FCF component DCF: base case (millions, EUR)</t>
  </si>
  <si>
    <t xml:space="preserve">DHL.DE owner-FCF component DCF: bull case (millions, EUR)</t>
  </si>
  <si>
    <t xml:space="preserve">DHL.DE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</si>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</sst>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57.28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59230</v>
      </c>
      <c r="F2" s="0" t="n">
        <v>2411</v>
      </c>
      <c r="G2" s="0" t="n">
        <v>4.1</v>
      </c>
      <c r="H2" s="0" t="n">
        <v>4076</v>
      </c>
      <c r="I2" s="0" t="n">
        <v>1540</v>
      </c>
      <c r="J2" s="0" t="n">
        <v>2.6</v>
      </c>
      <c r="K2" s="0" t="n">
        <v>1.22</v>
      </c>
      <c r="L2" s="0" t="n">
        <v>3444</v>
      </c>
      <c r="M2" s="0" t="n">
        <v>2104</v>
      </c>
      <c r="N2" s="0" t="n">
        <v>1724</v>
      </c>
      <c r="O2" s="0" t="n">
        <v>11034</v>
      </c>
      <c r="P2" s="0" t="n">
        <v>37870</v>
      </c>
      <c r="R2" s="0" t="n">
        <v>5178</v>
      </c>
      <c r="S2" s="0" t="n">
        <v>3608</v>
      </c>
      <c r="T2" s="0" t="n">
        <v>1262.5</v>
      </c>
      <c r="V2" s="0" t="n">
        <v>0.85</v>
      </c>
      <c r="AA2" s="0" t="s">
        <v>17</v>
      </c>
      <c r="AB2" s="0" t="s">
        <v>14</v>
      </c>
      <c r="AC2" s="0" t="n">
        <v>1.27</v>
      </c>
    </row>
    <row r="3" customFormat="false" ht="15" hidden="false" customHeight="false" outlineLevel="0" collapsed="false">
      <c r="A3" s="0" t="s">
        <v>65</v>
      </c>
      <c r="B3" s="0" t="n">
        <v>57334</v>
      </c>
      <c r="F3" s="0" t="n">
        <v>3491</v>
      </c>
      <c r="G3" s="0" t="n">
        <v>6.1</v>
      </c>
      <c r="H3" s="0" t="n">
        <v>4868</v>
      </c>
      <c r="I3" s="0" t="n">
        <v>2639</v>
      </c>
      <c r="J3" s="0" t="n">
        <v>4.6</v>
      </c>
      <c r="K3" s="0" t="n">
        <v>2.1</v>
      </c>
      <c r="L3" s="0" t="n">
        <v>2439</v>
      </c>
      <c r="M3" s="0" t="n">
        <v>1966</v>
      </c>
      <c r="N3" s="0" t="n">
        <v>444</v>
      </c>
      <c r="O3" s="0" t="n">
        <v>11087</v>
      </c>
      <c r="P3" s="0" t="n">
        <v>38295</v>
      </c>
      <c r="R3" s="0" t="n">
        <v>6035</v>
      </c>
      <c r="S3" s="0" t="n">
        <v>3107</v>
      </c>
      <c r="T3" s="0" t="n">
        <v>1257.3</v>
      </c>
      <c r="V3" s="0" t="n">
        <v>1.05</v>
      </c>
      <c r="AA3" s="0" t="s">
        <v>17</v>
      </c>
      <c r="AB3" s="0" t="s">
        <v>14</v>
      </c>
      <c r="AC3" s="0" t="n">
        <v>2.19</v>
      </c>
    </row>
    <row r="4" customFormat="false" ht="15" hidden="false" customHeight="false" outlineLevel="0" collapsed="false">
      <c r="A4" s="0" t="s">
        <v>66</v>
      </c>
      <c r="B4" s="0" t="n">
        <v>60444</v>
      </c>
      <c r="F4" s="0" t="n">
        <v>3741</v>
      </c>
      <c r="G4" s="0" t="n">
        <v>6.2</v>
      </c>
      <c r="H4" s="0" t="n">
        <v>5212</v>
      </c>
      <c r="I4" s="0" t="n">
        <v>2713</v>
      </c>
      <c r="J4" s="0" t="n">
        <v>4.5</v>
      </c>
      <c r="K4" s="0" t="n">
        <v>2.15</v>
      </c>
      <c r="L4" s="0" t="n">
        <v>3297</v>
      </c>
      <c r="M4" s="0" t="n">
        <v>2203</v>
      </c>
      <c r="N4" s="0" t="n">
        <v>1432</v>
      </c>
      <c r="O4" s="0" t="n">
        <v>12637</v>
      </c>
      <c r="P4" s="0" t="n">
        <v>38672</v>
      </c>
      <c r="R4" s="0" t="n">
        <v>6050</v>
      </c>
      <c r="S4" s="0" t="n">
        <v>3135</v>
      </c>
      <c r="T4" s="0" t="n">
        <v>1260.8</v>
      </c>
      <c r="V4" s="0" t="n">
        <v>1.15</v>
      </c>
      <c r="AA4" s="0" t="s">
        <v>17</v>
      </c>
      <c r="AB4" s="0" t="s">
        <v>14</v>
      </c>
      <c r="AC4" s="0" t="n">
        <v>2.24</v>
      </c>
    </row>
    <row r="5" customFormat="false" ht="15" hidden="false" customHeight="false" outlineLevel="0" collapsed="false">
      <c r="A5" s="0" t="s">
        <v>67</v>
      </c>
      <c r="B5" s="0" t="n">
        <v>61550</v>
      </c>
      <c r="F5" s="0" t="n">
        <v>3162</v>
      </c>
      <c r="G5" s="0" t="n">
        <v>5.1</v>
      </c>
      <c r="H5" s="0" t="n">
        <v>6454</v>
      </c>
      <c r="I5" s="0" t="n">
        <v>2075</v>
      </c>
      <c r="J5" s="0" t="n">
        <v>3.4</v>
      </c>
      <c r="K5" s="0" t="n">
        <v>1.66</v>
      </c>
      <c r="L5" s="0" t="n">
        <v>5796</v>
      </c>
      <c r="M5" s="0" t="n">
        <v>2649</v>
      </c>
      <c r="N5" s="0" t="n">
        <v>1059</v>
      </c>
      <c r="O5" s="0" t="n">
        <v>13590</v>
      </c>
      <c r="P5" s="0" t="n">
        <v>50470</v>
      </c>
      <c r="R5" s="0" t="n">
        <v>16462</v>
      </c>
      <c r="S5" s="0" t="n">
        <v>3017</v>
      </c>
      <c r="T5" s="0" t="n">
        <v>1251.9</v>
      </c>
      <c r="V5" s="0" t="n">
        <v>1.15</v>
      </c>
      <c r="AA5" s="0" t="s">
        <v>17</v>
      </c>
      <c r="AB5" s="0" t="s">
        <v>14</v>
      </c>
      <c r="AC5" s="0" t="n">
        <v>1.69</v>
      </c>
    </row>
    <row r="6" customFormat="false" ht="15" hidden="false" customHeight="false" outlineLevel="0" collapsed="false">
      <c r="A6" s="0" t="s">
        <v>68</v>
      </c>
      <c r="B6" s="0" t="n">
        <v>63341</v>
      </c>
      <c r="F6" s="0" t="n">
        <v>4128</v>
      </c>
      <c r="G6" s="0" t="n">
        <v>6.5</v>
      </c>
      <c r="H6" s="0" t="n">
        <v>7812</v>
      </c>
      <c r="I6" s="0" t="n">
        <v>2623</v>
      </c>
      <c r="J6" s="0" t="n">
        <v>4.1</v>
      </c>
      <c r="K6" s="0" t="n">
        <v>2.09</v>
      </c>
      <c r="L6" s="0" t="n">
        <v>6049</v>
      </c>
      <c r="M6" s="0" t="n">
        <v>3612</v>
      </c>
      <c r="N6" s="0" t="n">
        <v>867</v>
      </c>
      <c r="O6" s="0" t="n">
        <v>14117</v>
      </c>
      <c r="P6" s="0" t="n">
        <v>52169</v>
      </c>
      <c r="R6" s="0" t="n">
        <v>16974</v>
      </c>
      <c r="S6" s="0" t="n">
        <v>2862</v>
      </c>
      <c r="T6" s="0" t="n">
        <v>1257</v>
      </c>
      <c r="U6" s="0" t="n">
        <v>112</v>
      </c>
      <c r="V6" s="0" t="n">
        <v>1.15</v>
      </c>
      <c r="AA6" s="0" t="s">
        <v>17</v>
      </c>
      <c r="AB6" s="0" t="s">
        <v>14</v>
      </c>
      <c r="AC6" s="0" t="n">
        <v>2.13</v>
      </c>
    </row>
    <row r="7" customFormat="false" ht="15" hidden="false" customHeight="false" outlineLevel="0" collapsed="false">
      <c r="A7" s="0" t="s">
        <v>69</v>
      </c>
      <c r="B7" s="0" t="n">
        <v>66806</v>
      </c>
      <c r="F7" s="0" t="n">
        <v>4847</v>
      </c>
      <c r="G7" s="0" t="n">
        <v>7.3</v>
      </c>
      <c r="H7" s="0" t="n">
        <v>8677</v>
      </c>
      <c r="I7" s="0" t="n">
        <v>2979</v>
      </c>
      <c r="J7" s="0" t="n">
        <v>4.5</v>
      </c>
      <c r="K7" s="0" t="n">
        <v>2.36</v>
      </c>
      <c r="L7" s="0" t="n">
        <v>7699</v>
      </c>
      <c r="M7" s="0" t="n">
        <v>2922</v>
      </c>
      <c r="N7" s="0" t="n">
        <v>2535</v>
      </c>
      <c r="O7" s="0" t="n">
        <v>13777</v>
      </c>
      <c r="P7" s="0" t="n">
        <v>55307</v>
      </c>
      <c r="R7" s="0" t="n">
        <v>19098</v>
      </c>
      <c r="S7" s="0" t="n">
        <v>4482</v>
      </c>
      <c r="T7" s="0" t="n">
        <v>1265.5</v>
      </c>
      <c r="U7" s="0" t="n">
        <v>132</v>
      </c>
      <c r="V7" s="0" t="n">
        <v>1.35</v>
      </c>
      <c r="AA7" s="0" t="s">
        <v>17</v>
      </c>
      <c r="AB7" s="0" t="s">
        <v>14</v>
      </c>
      <c r="AC7" s="0" t="n">
        <v>2.41</v>
      </c>
    </row>
    <row r="8" customFormat="false" ht="15" hidden="false" customHeight="false" outlineLevel="0" collapsed="false">
      <c r="A8" s="0" t="s">
        <v>70</v>
      </c>
      <c r="B8" s="0" t="n">
        <v>81747</v>
      </c>
      <c r="F8" s="0" t="n">
        <v>7978</v>
      </c>
      <c r="G8" s="0" t="n">
        <v>9.8</v>
      </c>
      <c r="H8" s="0" t="n">
        <v>11746</v>
      </c>
      <c r="I8" s="0" t="n">
        <v>5053</v>
      </c>
      <c r="J8" s="0" t="n">
        <v>6.2</v>
      </c>
      <c r="K8" s="0" t="n">
        <v>4.01</v>
      </c>
      <c r="L8" s="0" t="n">
        <v>9993</v>
      </c>
      <c r="M8" s="0" t="n">
        <v>3736</v>
      </c>
      <c r="N8" s="0" t="n">
        <v>4092</v>
      </c>
      <c r="O8" s="0" t="n">
        <v>19037</v>
      </c>
      <c r="P8" s="0" t="n">
        <v>63592</v>
      </c>
      <c r="R8" s="0" t="n">
        <v>19897</v>
      </c>
      <c r="S8" s="0" t="n">
        <v>3531</v>
      </c>
      <c r="T8" s="0" t="n">
        <v>1262.1</v>
      </c>
      <c r="U8" s="0" t="n">
        <v>184</v>
      </c>
      <c r="V8" s="0" t="n">
        <v>1.8</v>
      </c>
      <c r="AA8" s="0" t="s">
        <v>17</v>
      </c>
      <c r="AB8" s="0" t="s">
        <v>14</v>
      </c>
      <c r="AC8" s="0" t="n">
        <v>4.1</v>
      </c>
    </row>
    <row r="9" customFormat="false" ht="15" hidden="false" customHeight="false" outlineLevel="0" collapsed="false">
      <c r="A9" s="0" t="s">
        <v>71</v>
      </c>
      <c r="B9" s="0" t="n">
        <v>94436</v>
      </c>
      <c r="F9" s="0" t="n">
        <v>8436</v>
      </c>
      <c r="G9" s="0" t="n">
        <v>8.9</v>
      </c>
      <c r="H9" s="0" t="n">
        <v>12613</v>
      </c>
      <c r="I9" s="0" t="n">
        <v>5359</v>
      </c>
      <c r="J9" s="0" t="n">
        <v>5.7</v>
      </c>
      <c r="K9" s="0" t="n">
        <v>4.33</v>
      </c>
      <c r="L9" s="0" t="n">
        <v>10965</v>
      </c>
      <c r="M9" s="0" t="n">
        <v>3912</v>
      </c>
      <c r="N9" s="0" t="n">
        <v>3067</v>
      </c>
      <c r="O9" s="0" t="n">
        <v>23236</v>
      </c>
      <c r="P9" s="0" t="n">
        <v>68278</v>
      </c>
      <c r="R9" s="0" t="n">
        <v>21818</v>
      </c>
      <c r="S9" s="0" t="n">
        <v>3790</v>
      </c>
      <c r="T9" s="0" t="n">
        <v>1238.5</v>
      </c>
      <c r="U9" s="0" t="n">
        <v>140</v>
      </c>
      <c r="V9" s="0" t="n">
        <v>1.85</v>
      </c>
      <c r="AA9" s="0" t="s">
        <v>17</v>
      </c>
      <c r="AB9" s="0" t="s">
        <v>14</v>
      </c>
      <c r="AC9" s="0" t="n">
        <v>4.41</v>
      </c>
    </row>
    <row r="10" customFormat="false" ht="15" hidden="false" customHeight="false" outlineLevel="0" collapsed="false">
      <c r="A10" s="0" t="s">
        <v>72</v>
      </c>
      <c r="B10" s="0" t="n">
        <v>81758</v>
      </c>
      <c r="F10" s="0" t="n">
        <v>6343</v>
      </c>
      <c r="G10" s="0" t="n">
        <v>7.8</v>
      </c>
      <c r="H10" s="0" t="n">
        <v>10822</v>
      </c>
      <c r="I10" s="0" t="n">
        <v>3675</v>
      </c>
      <c r="J10" s="0" t="n">
        <v>4.5</v>
      </c>
      <c r="K10" s="0" t="n">
        <v>3.04</v>
      </c>
      <c r="L10" s="0" t="n">
        <v>9258</v>
      </c>
      <c r="M10" s="0" t="n">
        <v>3381</v>
      </c>
      <c r="N10" s="0" t="n">
        <v>2942</v>
      </c>
      <c r="O10" s="0" t="n">
        <v>22475</v>
      </c>
      <c r="P10" s="0" t="n">
        <v>66830</v>
      </c>
      <c r="R10" s="0" t="n">
        <v>22718</v>
      </c>
      <c r="S10" s="0" t="n">
        <v>3649</v>
      </c>
      <c r="T10" s="0" t="n">
        <v>1211.6</v>
      </c>
      <c r="U10" s="0" t="n">
        <v>194</v>
      </c>
      <c r="V10" s="0" t="n">
        <v>1.85</v>
      </c>
      <c r="AA10" s="0" t="s">
        <v>17</v>
      </c>
      <c r="AB10" s="0" t="s">
        <v>14</v>
      </c>
      <c r="AC10" s="0" t="n">
        <v>3.09</v>
      </c>
    </row>
    <row r="11" customFormat="false" ht="15" hidden="false" customHeight="false" outlineLevel="0" collapsed="false">
      <c r="A11" s="0" t="s">
        <v>73</v>
      </c>
      <c r="B11" s="0" t="n">
        <v>84186</v>
      </c>
      <c r="F11" s="0" t="n">
        <v>5886</v>
      </c>
      <c r="G11" s="0" t="n">
        <v>7</v>
      </c>
      <c r="H11" s="0" t="n">
        <v>10606</v>
      </c>
      <c r="I11" s="0" t="n">
        <v>3332</v>
      </c>
      <c r="J11" s="0" t="n">
        <v>4</v>
      </c>
      <c r="K11" s="0" t="n">
        <v>2.81</v>
      </c>
      <c r="L11" s="0" t="n">
        <v>8722</v>
      </c>
      <c r="M11" s="0" t="n">
        <v>2936</v>
      </c>
      <c r="N11" s="0" t="n">
        <v>2944</v>
      </c>
      <c r="O11" s="0" t="n">
        <v>23793</v>
      </c>
      <c r="P11" s="0" t="n">
        <v>69875</v>
      </c>
      <c r="R11" s="0" t="n">
        <v>24209</v>
      </c>
      <c r="S11" s="0" t="n">
        <v>3619</v>
      </c>
      <c r="T11" s="0" t="n">
        <v>1187.9</v>
      </c>
      <c r="U11" s="0" t="n">
        <v>153</v>
      </c>
      <c r="V11" s="0" t="n">
        <v>1.85</v>
      </c>
      <c r="AA11" s="0" t="s">
        <v>17</v>
      </c>
      <c r="AB11" s="0" t="s">
        <v>14</v>
      </c>
      <c r="AC11" s="0" t="n">
        <v>2.86</v>
      </c>
    </row>
    <row r="12" customFormat="false" ht="15" hidden="false" customHeight="false" outlineLevel="0" collapsed="false">
      <c r="A12" s="0" t="s">
        <v>74</v>
      </c>
      <c r="B12" s="0" t="n">
        <v>82855</v>
      </c>
      <c r="F12" s="0" t="n">
        <v>6103</v>
      </c>
      <c r="G12" s="0" t="n">
        <v>7.4</v>
      </c>
      <c r="H12" s="0" t="n">
        <v>10970</v>
      </c>
      <c r="I12" s="0" t="n">
        <v>3501</v>
      </c>
      <c r="J12" s="0" t="n">
        <v>4.2</v>
      </c>
      <c r="K12" s="0" t="n">
        <v>3.04</v>
      </c>
      <c r="L12" s="0" t="n">
        <v>9119</v>
      </c>
      <c r="M12" s="0" t="n">
        <v>2795</v>
      </c>
      <c r="N12" s="0" t="n">
        <v>2295</v>
      </c>
      <c r="O12" s="0" t="n">
        <v>22227</v>
      </c>
      <c r="P12" s="0" t="n">
        <v>71018</v>
      </c>
      <c r="R12" s="0" t="n">
        <v>27489</v>
      </c>
      <c r="S12" s="0" t="n">
        <v>3376</v>
      </c>
      <c r="T12" s="0" t="n">
        <v>1150.2</v>
      </c>
      <c r="U12" s="0" t="n">
        <v>177</v>
      </c>
      <c r="V12" s="0" t="n">
        <v>1.9</v>
      </c>
      <c r="AA12" s="0" t="s">
        <v>17</v>
      </c>
      <c r="AB12" s="0" t="s">
        <v>14</v>
      </c>
      <c r="AC12" s="0" t="n">
        <v>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57.28</v>
      </c>
    </row>
    <row r="3" customFormat="false" ht="15" hidden="false" customHeight="false" outlineLevel="0" collapsed="false">
      <c r="A3" s="0" t="s">
        <v>78</v>
      </c>
      <c r="B3" s="3" t="n">
        <v>1123</v>
      </c>
    </row>
    <row r="4" customFormat="false" ht="15" hidden="false" customHeight="false" outlineLevel="0" collapsed="false">
      <c r="A4" s="0" t="s">
        <v>79</v>
      </c>
      <c r="B4" s="3" t="n">
        <v>7523</v>
      </c>
    </row>
    <row r="5" customFormat="false" ht="15" hidden="false" customHeight="false" outlineLevel="0" collapsed="false">
      <c r="A5" s="0" t="s">
        <v>80</v>
      </c>
      <c r="B5" s="3" t="n">
        <v>-6330</v>
      </c>
    </row>
    <row r="6" customFormat="false" ht="15" hidden="false" customHeight="false" outlineLevel="0" collapsed="false">
      <c r="A6" s="0" t="s">
        <v>81</v>
      </c>
      <c r="B6" s="3" t="n">
        <v>15</v>
      </c>
    </row>
    <row r="7" customFormat="false" ht="15" hidden="false" customHeight="false" outlineLevel="0" collapsed="false">
      <c r="A7" s="0" t="s">
        <v>82</v>
      </c>
      <c r="B7" s="3" t="n">
        <v>82855</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6.5</v>
      </c>
      <c r="D13" s="3" t="n">
        <v>-4</v>
      </c>
      <c r="E13" s="3" t="n">
        <v>1</v>
      </c>
      <c r="F13" s="3" t="n">
        <v>2</v>
      </c>
      <c r="G13" s="3" t="n">
        <v>2</v>
      </c>
      <c r="H13" s="3" t="n">
        <v>2</v>
      </c>
      <c r="I13" s="3" t="n">
        <v>2</v>
      </c>
      <c r="J13" s="3" t="n">
        <v>2</v>
      </c>
      <c r="K13" s="3" t="n">
        <v>2</v>
      </c>
      <c r="L13" s="3" t="n">
        <v>2</v>
      </c>
    </row>
    <row r="14" customFormat="false" ht="15" hidden="false" customHeight="false" outlineLevel="0" collapsed="false">
      <c r="A14" s="0" t="s">
        <v>99</v>
      </c>
      <c r="C14" s="3" t="n">
        <v>13.5</v>
      </c>
      <c r="D14" s="3" t="n">
        <v>12.3</v>
      </c>
      <c r="E14" s="3" t="n">
        <v>12.2</v>
      </c>
      <c r="F14" s="3" t="n">
        <v>12.3</v>
      </c>
      <c r="G14" s="3" t="n">
        <v>12.4</v>
      </c>
      <c r="H14" s="3" t="n">
        <v>12.5</v>
      </c>
      <c r="I14" s="3" t="n">
        <v>12.5</v>
      </c>
      <c r="J14" s="3" t="n">
        <v>12.5</v>
      </c>
      <c r="K14" s="3" t="n">
        <v>12.5</v>
      </c>
      <c r="L14" s="3" t="n">
        <v>12.5</v>
      </c>
    </row>
    <row r="15" customFormat="false" ht="15" hidden="false" customHeight="false" outlineLevel="0" collapsed="false">
      <c r="A15" s="0" t="s">
        <v>100</v>
      </c>
      <c r="C15" s="3" t="n">
        <v>0.21</v>
      </c>
      <c r="D15" s="3" t="n">
        <v>0.21</v>
      </c>
      <c r="E15" s="3" t="n">
        <v>0.21</v>
      </c>
      <c r="F15" s="3" t="n">
        <v>0.21</v>
      </c>
      <c r="G15" s="3" t="n">
        <v>0.21</v>
      </c>
      <c r="H15" s="3" t="n">
        <v>0.21</v>
      </c>
      <c r="I15" s="3" t="n">
        <v>0.21</v>
      </c>
      <c r="J15" s="3" t="n">
        <v>0.21</v>
      </c>
      <c r="K15" s="3" t="n">
        <v>0.21</v>
      </c>
      <c r="L15" s="3" t="n">
        <v>0.21</v>
      </c>
    </row>
    <row r="16" customFormat="false" ht="15" hidden="false" customHeight="false" outlineLevel="0" collapsed="false">
      <c r="A16" s="0" t="s">
        <v>101</v>
      </c>
      <c r="C16" s="3" t="n">
        <v>3.85</v>
      </c>
      <c r="D16" s="3" t="n">
        <v>3.95</v>
      </c>
      <c r="E16" s="3" t="n">
        <v>4</v>
      </c>
      <c r="F16" s="3" t="n">
        <v>4</v>
      </c>
      <c r="G16" s="3" t="n">
        <v>4</v>
      </c>
      <c r="H16" s="3" t="n">
        <v>4</v>
      </c>
      <c r="I16" s="3" t="n">
        <v>4</v>
      </c>
      <c r="J16" s="3" t="n">
        <v>4</v>
      </c>
      <c r="K16" s="3" t="n">
        <v>4</v>
      </c>
      <c r="L16" s="3" t="n">
        <v>4</v>
      </c>
    </row>
    <row r="17" customFormat="false" ht="15" hidden="false" customHeight="false" outlineLevel="0" collapsed="false">
      <c r="A17" s="0" t="s">
        <v>102</v>
      </c>
      <c r="C17" s="3" t="n">
        <v>2.85</v>
      </c>
      <c r="D17" s="3" t="n">
        <v>3</v>
      </c>
      <c r="E17" s="3" t="n">
        <v>3.1</v>
      </c>
      <c r="F17" s="3" t="n">
        <v>3.15</v>
      </c>
      <c r="G17" s="3" t="n">
        <v>3.2</v>
      </c>
      <c r="H17" s="3" t="n">
        <v>3.2</v>
      </c>
      <c r="I17" s="3" t="n">
        <v>3.2</v>
      </c>
      <c r="J17" s="3" t="n">
        <v>3.2</v>
      </c>
      <c r="K17" s="3" t="n">
        <v>3.2</v>
      </c>
      <c r="L17" s="3" t="n">
        <v>3.2</v>
      </c>
    </row>
    <row r="18" customFormat="false" ht="15" hidden="false" customHeight="false" outlineLevel="0" collapsed="false">
      <c r="A18" s="0" t="s">
        <v>103</v>
      </c>
      <c r="C18" s="3" t="n">
        <v>4</v>
      </c>
      <c r="D18" s="3" t="n">
        <v>3.9</v>
      </c>
      <c r="E18" s="3" t="n">
        <v>3.8</v>
      </c>
      <c r="F18" s="3" t="n">
        <v>3.7</v>
      </c>
      <c r="G18" s="3" t="n">
        <v>3.7</v>
      </c>
      <c r="H18" s="3" t="n">
        <v>3.7</v>
      </c>
      <c r="I18" s="3" t="n">
        <v>3.7</v>
      </c>
      <c r="J18" s="3" t="n">
        <v>3.7</v>
      </c>
      <c r="K18" s="3" t="n">
        <v>3.7</v>
      </c>
      <c r="L18" s="3" t="n">
        <v>3.7</v>
      </c>
    </row>
    <row r="19" customFormat="false" ht="15" hidden="false" customHeight="false" outlineLevel="0" collapsed="false">
      <c r="A19" s="0" t="s">
        <v>104</v>
      </c>
      <c r="C19" s="3" t="n">
        <v>25</v>
      </c>
      <c r="D19" s="3" t="n">
        <v>26.5</v>
      </c>
      <c r="E19" s="3" t="n">
        <v>27</v>
      </c>
      <c r="F19" s="3" t="n">
        <v>27</v>
      </c>
      <c r="G19" s="3" t="n">
        <v>27</v>
      </c>
      <c r="H19" s="3" t="n">
        <v>27</v>
      </c>
      <c r="I19" s="3" t="n">
        <v>27</v>
      </c>
      <c r="J19" s="3" t="n">
        <v>27</v>
      </c>
      <c r="K19" s="3" t="n">
        <v>27</v>
      </c>
      <c r="L19" s="3" t="n">
        <v>27</v>
      </c>
    </row>
    <row r="20" customFormat="false" ht="15" hidden="false" customHeight="false" outlineLevel="0" collapsed="false">
      <c r="A20" s="0" t="s">
        <v>105</v>
      </c>
      <c r="B20" s="3" t="n">
        <v>8</v>
      </c>
    </row>
    <row r="21" customFormat="false" ht="15" hidden="false" customHeight="false" outlineLevel="0" collapsed="false">
      <c r="A21" s="0" t="s">
        <v>106</v>
      </c>
      <c r="B21" s="3" t="n">
        <v>1.5</v>
      </c>
    </row>
    <row r="22" customFormat="false" ht="15" hidden="false" customHeight="false" outlineLevel="0" collapsed="false">
      <c r="A22" s="0" t="s">
        <v>107</v>
      </c>
      <c r="B22" s="3" t="n">
        <v>14</v>
      </c>
    </row>
    <row r="23" customFormat="false" ht="15" hidden="false" customHeight="false" outlineLevel="0" collapsed="false">
      <c r="A23" s="0" t="s">
        <v>108</v>
      </c>
      <c r="B23" s="3" t="n">
        <v>-5</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7.5</v>
      </c>
      <c r="D27" s="3" t="n">
        <v>1</v>
      </c>
      <c r="E27" s="3" t="n">
        <v>3.5</v>
      </c>
      <c r="F27" s="3" t="n">
        <v>3.5</v>
      </c>
      <c r="G27" s="3" t="n">
        <v>3.5</v>
      </c>
      <c r="H27" s="3" t="n">
        <v>3</v>
      </c>
      <c r="I27" s="3" t="n">
        <v>3</v>
      </c>
      <c r="J27" s="3" t="n">
        <v>2.5</v>
      </c>
      <c r="K27" s="3" t="n">
        <v>2.5</v>
      </c>
      <c r="L27" s="3" t="n">
        <v>2.5</v>
      </c>
    </row>
    <row r="28" customFormat="false" ht="15" hidden="false" customHeight="false" outlineLevel="0" collapsed="false">
      <c r="A28" s="0" t="s">
        <v>99</v>
      </c>
      <c r="C28" s="3" t="n">
        <v>13.6</v>
      </c>
      <c r="D28" s="3" t="n">
        <v>13.1</v>
      </c>
      <c r="E28" s="3" t="n">
        <v>13.2</v>
      </c>
      <c r="F28" s="3" t="n">
        <v>13.3</v>
      </c>
      <c r="G28" s="3" t="n">
        <v>13.4</v>
      </c>
      <c r="H28" s="3" t="n">
        <v>13.5</v>
      </c>
      <c r="I28" s="3" t="n">
        <v>13.5</v>
      </c>
      <c r="J28" s="3" t="n">
        <v>13.5</v>
      </c>
      <c r="K28" s="3" t="n">
        <v>13.5</v>
      </c>
      <c r="L28" s="3" t="n">
        <v>13.5</v>
      </c>
    </row>
    <row r="29" customFormat="false" ht="15" hidden="false" customHeight="false" outlineLevel="0" collapsed="false">
      <c r="A29" s="0" t="s">
        <v>100</v>
      </c>
      <c r="C29" s="3" t="n">
        <v>0.21</v>
      </c>
      <c r="D29" s="3" t="n">
        <v>0.21</v>
      </c>
      <c r="E29" s="3" t="n">
        <v>0.21</v>
      </c>
      <c r="F29" s="3" t="n">
        <v>0.21</v>
      </c>
      <c r="G29" s="3" t="n">
        <v>0.21</v>
      </c>
      <c r="H29" s="3" t="n">
        <v>0.21</v>
      </c>
      <c r="I29" s="3" t="n">
        <v>0.21</v>
      </c>
      <c r="J29" s="3" t="n">
        <v>0.21</v>
      </c>
      <c r="K29" s="3" t="n">
        <v>0.21</v>
      </c>
      <c r="L29" s="3" t="n">
        <v>0.21</v>
      </c>
    </row>
    <row r="30" customFormat="false" ht="15" hidden="false" customHeight="false" outlineLevel="0" collapsed="false">
      <c r="A30" s="0" t="s">
        <v>101</v>
      </c>
      <c r="C30" s="3" t="n">
        <v>3.85</v>
      </c>
      <c r="D30" s="3" t="n">
        <v>3.85</v>
      </c>
      <c r="E30" s="3" t="n">
        <v>3.85</v>
      </c>
      <c r="F30" s="3" t="n">
        <v>3.85</v>
      </c>
      <c r="G30" s="3" t="n">
        <v>3.85</v>
      </c>
      <c r="H30" s="3" t="n">
        <v>3.85</v>
      </c>
      <c r="I30" s="3" t="n">
        <v>3.85</v>
      </c>
      <c r="J30" s="3" t="n">
        <v>3.85</v>
      </c>
      <c r="K30" s="3" t="n">
        <v>3.85</v>
      </c>
      <c r="L30" s="3" t="n">
        <v>3.85</v>
      </c>
    </row>
    <row r="31" customFormat="false" ht="15" hidden="false" customHeight="false" outlineLevel="0" collapsed="false">
      <c r="A31" s="0" t="s">
        <v>102</v>
      </c>
      <c r="C31" s="3" t="n">
        <v>2.85</v>
      </c>
      <c r="D31" s="3" t="n">
        <v>2.95</v>
      </c>
      <c r="E31" s="3" t="n">
        <v>3</v>
      </c>
      <c r="F31" s="3" t="n">
        <v>3.05</v>
      </c>
      <c r="G31" s="3" t="n">
        <v>3.1</v>
      </c>
      <c r="H31" s="3" t="n">
        <v>3.1</v>
      </c>
      <c r="I31" s="3" t="n">
        <v>3.1</v>
      </c>
      <c r="J31" s="3" t="n">
        <v>3.1</v>
      </c>
      <c r="K31" s="3" t="n">
        <v>3.1</v>
      </c>
      <c r="L31" s="3" t="n">
        <v>3.1</v>
      </c>
    </row>
    <row r="32" customFormat="false" ht="15" hidden="false" customHeight="false" outlineLevel="0" collapsed="false">
      <c r="A32" s="0" t="s">
        <v>103</v>
      </c>
      <c r="C32" s="3" t="n">
        <v>4</v>
      </c>
      <c r="D32" s="3" t="n">
        <v>3.8</v>
      </c>
      <c r="E32" s="3" t="n">
        <v>3.7</v>
      </c>
      <c r="F32" s="3" t="n">
        <v>3.6</v>
      </c>
      <c r="G32" s="3" t="n">
        <v>3.5</v>
      </c>
      <c r="H32" s="3" t="n">
        <v>3.5</v>
      </c>
      <c r="I32" s="3" t="n">
        <v>3.5</v>
      </c>
      <c r="J32" s="3" t="n">
        <v>3.5</v>
      </c>
      <c r="K32" s="3" t="n">
        <v>3.5</v>
      </c>
      <c r="L32" s="3" t="n">
        <v>3.5</v>
      </c>
    </row>
    <row r="33" customFormat="false" ht="15" hidden="false" customHeight="false" outlineLevel="0" collapsed="false">
      <c r="A33" s="0" t="s">
        <v>104</v>
      </c>
      <c r="C33" s="3" t="n">
        <v>25</v>
      </c>
      <c r="D33" s="3" t="n">
        <v>26.5</v>
      </c>
      <c r="E33" s="3" t="n">
        <v>27</v>
      </c>
      <c r="F33" s="3" t="n">
        <v>27</v>
      </c>
      <c r="G33" s="3" t="n">
        <v>27</v>
      </c>
      <c r="H33" s="3" t="n">
        <v>27</v>
      </c>
      <c r="I33" s="3" t="n">
        <v>27</v>
      </c>
      <c r="J33" s="3" t="n">
        <v>27</v>
      </c>
      <c r="K33" s="3" t="n">
        <v>27</v>
      </c>
      <c r="L33" s="3" t="n">
        <v>27</v>
      </c>
    </row>
    <row r="34" customFormat="false" ht="15" hidden="false" customHeight="false" outlineLevel="0" collapsed="false">
      <c r="A34" s="0" t="s">
        <v>105</v>
      </c>
      <c r="B34" s="3" t="n">
        <v>8</v>
      </c>
    </row>
    <row r="35" customFormat="false" ht="15" hidden="false" customHeight="false" outlineLevel="0" collapsed="false">
      <c r="A35" s="0" t="s">
        <v>106</v>
      </c>
      <c r="B35" s="3" t="n">
        <v>2</v>
      </c>
    </row>
    <row r="36" customFormat="false" ht="15" hidden="false" customHeight="false" outlineLevel="0" collapsed="false">
      <c r="A36" s="0" t="s">
        <v>107</v>
      </c>
      <c r="B36" s="3" t="n">
        <v>14</v>
      </c>
    </row>
    <row r="37" customFormat="false" ht="15" hidden="false" customHeight="false" outlineLevel="0" collapsed="false">
      <c r="A37" s="0" t="s">
        <v>108</v>
      </c>
      <c r="B37" s="3" t="n">
        <v>-5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8.5</v>
      </c>
      <c r="D41" s="3" t="n">
        <v>4</v>
      </c>
      <c r="E41" s="3" t="n">
        <v>5</v>
      </c>
      <c r="F41" s="3" t="n">
        <v>5</v>
      </c>
      <c r="G41" s="3" t="n">
        <v>4.5</v>
      </c>
      <c r="H41" s="3" t="n">
        <v>4</v>
      </c>
      <c r="I41" s="3" t="n">
        <v>3.5</v>
      </c>
      <c r="J41" s="3" t="n">
        <v>3</v>
      </c>
      <c r="K41" s="3" t="n">
        <v>3</v>
      </c>
      <c r="L41" s="3" t="n">
        <v>3</v>
      </c>
    </row>
    <row r="42" customFormat="false" ht="15" hidden="false" customHeight="false" outlineLevel="0" collapsed="false">
      <c r="A42" s="0" t="s">
        <v>99</v>
      </c>
      <c r="C42" s="3" t="n">
        <v>13.7</v>
      </c>
      <c r="D42" s="3" t="n">
        <v>13.6</v>
      </c>
      <c r="E42" s="3" t="n">
        <v>13.8</v>
      </c>
      <c r="F42" s="3" t="n">
        <v>14</v>
      </c>
      <c r="G42" s="3" t="n">
        <v>14.2</v>
      </c>
      <c r="H42" s="3" t="n">
        <v>14.3</v>
      </c>
      <c r="I42" s="3" t="n">
        <v>14.4</v>
      </c>
      <c r="J42" s="3" t="n">
        <v>14.4</v>
      </c>
      <c r="K42" s="3" t="n">
        <v>14.4</v>
      </c>
      <c r="L42" s="3" t="n">
        <v>14.4</v>
      </c>
    </row>
    <row r="43" customFormat="false" ht="15" hidden="false" customHeight="false" outlineLevel="0" collapsed="false">
      <c r="A43" s="0" t="s">
        <v>100</v>
      </c>
      <c r="C43" s="3" t="n">
        <v>0.21</v>
      </c>
      <c r="D43" s="3" t="n">
        <v>0.21</v>
      </c>
      <c r="E43" s="3" t="n">
        <v>0.21</v>
      </c>
      <c r="F43" s="3" t="n">
        <v>0.21</v>
      </c>
      <c r="G43" s="3" t="n">
        <v>0.21</v>
      </c>
      <c r="H43" s="3" t="n">
        <v>0.21</v>
      </c>
      <c r="I43" s="3" t="n">
        <v>0.21</v>
      </c>
      <c r="J43" s="3" t="n">
        <v>0.21</v>
      </c>
      <c r="K43" s="3" t="n">
        <v>0.21</v>
      </c>
      <c r="L43" s="3" t="n">
        <v>0.21</v>
      </c>
    </row>
    <row r="44" customFormat="false" ht="15" hidden="false" customHeight="false" outlineLevel="0" collapsed="false">
      <c r="A44" s="0" t="s">
        <v>101</v>
      </c>
      <c r="C44" s="3" t="n">
        <v>3.85</v>
      </c>
      <c r="D44" s="3" t="n">
        <v>3.8</v>
      </c>
      <c r="E44" s="3" t="n">
        <v>3.8</v>
      </c>
      <c r="F44" s="3" t="n">
        <v>3.75</v>
      </c>
      <c r="G44" s="3" t="n">
        <v>3.75</v>
      </c>
      <c r="H44" s="3" t="n">
        <v>3.75</v>
      </c>
      <c r="I44" s="3" t="n">
        <v>3.75</v>
      </c>
      <c r="J44" s="3" t="n">
        <v>3.75</v>
      </c>
      <c r="K44" s="3" t="n">
        <v>3.75</v>
      </c>
      <c r="L44" s="3" t="n">
        <v>3.75</v>
      </c>
    </row>
    <row r="45" customFormat="false" ht="15" hidden="false" customHeight="false" outlineLevel="0" collapsed="false">
      <c r="A45" s="0" t="s">
        <v>102</v>
      </c>
      <c r="C45" s="3" t="n">
        <v>2.85</v>
      </c>
      <c r="D45" s="3" t="n">
        <v>2.95</v>
      </c>
      <c r="E45" s="3" t="n">
        <v>3</v>
      </c>
      <c r="F45" s="3" t="n">
        <v>3.05</v>
      </c>
      <c r="G45" s="3" t="n">
        <v>3.1</v>
      </c>
      <c r="H45" s="3" t="n">
        <v>3.1</v>
      </c>
      <c r="I45" s="3" t="n">
        <v>3.1</v>
      </c>
      <c r="J45" s="3" t="n">
        <v>3.1</v>
      </c>
      <c r="K45" s="3" t="n">
        <v>3.1</v>
      </c>
      <c r="L45" s="3" t="n">
        <v>3.1</v>
      </c>
    </row>
    <row r="46" customFormat="false" ht="15" hidden="false" customHeight="false" outlineLevel="0" collapsed="false">
      <c r="A46" s="0" t="s">
        <v>103</v>
      </c>
      <c r="C46" s="3" t="n">
        <v>4</v>
      </c>
      <c r="D46" s="3" t="n">
        <v>3.8</v>
      </c>
      <c r="E46" s="3" t="n">
        <v>3.6</v>
      </c>
      <c r="F46" s="3" t="n">
        <v>3.5</v>
      </c>
      <c r="G46" s="3" t="n">
        <v>3.4</v>
      </c>
      <c r="H46" s="3" t="n">
        <v>3.4</v>
      </c>
      <c r="I46" s="3" t="n">
        <v>3.4</v>
      </c>
      <c r="J46" s="3" t="n">
        <v>3.4</v>
      </c>
      <c r="K46" s="3" t="n">
        <v>3.4</v>
      </c>
      <c r="L46" s="3" t="n">
        <v>3.4</v>
      </c>
    </row>
    <row r="47" customFormat="false" ht="15" hidden="false" customHeight="false" outlineLevel="0" collapsed="false">
      <c r="A47" s="0" t="s">
        <v>104</v>
      </c>
      <c r="C47" s="3" t="n">
        <v>25</v>
      </c>
      <c r="D47" s="3" t="n">
        <v>26.5</v>
      </c>
      <c r="E47" s="3" t="n">
        <v>27</v>
      </c>
      <c r="F47" s="3" t="n">
        <v>27</v>
      </c>
      <c r="G47" s="3" t="n">
        <v>27</v>
      </c>
      <c r="H47" s="3" t="n">
        <v>27</v>
      </c>
      <c r="I47" s="3" t="n">
        <v>27</v>
      </c>
      <c r="J47" s="3" t="n">
        <v>27</v>
      </c>
      <c r="K47" s="3" t="n">
        <v>27</v>
      </c>
      <c r="L47" s="3" t="n">
        <v>27</v>
      </c>
    </row>
    <row r="48" customFormat="false" ht="15" hidden="false" customHeight="false" outlineLevel="0" collapsed="false">
      <c r="A48" s="0" t="s">
        <v>105</v>
      </c>
      <c r="B48" s="3" t="n">
        <v>8</v>
      </c>
    </row>
    <row r="49" customFormat="false" ht="15" hidden="false" customHeight="false" outlineLevel="0" collapsed="false">
      <c r="A49" s="0" t="s">
        <v>106</v>
      </c>
      <c r="B49" s="3" t="n">
        <v>2.5</v>
      </c>
    </row>
    <row r="50" customFormat="false" ht="15" hidden="false" customHeight="false" outlineLevel="0" collapsed="false">
      <c r="A50" s="0" t="s">
        <v>107</v>
      </c>
      <c r="B50" s="3" t="n">
        <v>14</v>
      </c>
    </row>
    <row r="51" customFormat="false" ht="15" hidden="false" customHeight="false" outlineLevel="0" collapsed="false">
      <c r="A51" s="0" t="s">
        <v>108</v>
      </c>
      <c r="B51" s="3" t="n">
        <v>-5</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6.5</v>
      </c>
      <c r="D5" s="4" t="n">
        <f aca="false">Assumptions!D13</f>
        <v>-4</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82855</v>
      </c>
      <c r="C6" s="0" t="n">
        <f aca="false">B6*(1+C5/100)</f>
        <v>88240.575</v>
      </c>
      <c r="D6" s="0" t="n">
        <f aca="false">C6*(1+D5/100)</f>
        <v>84710.952</v>
      </c>
      <c r="E6" s="0" t="n">
        <f aca="false">D6*(1+E5/100)</f>
        <v>85558.06152</v>
      </c>
      <c r="F6" s="0" t="n">
        <f aca="false">E6*(1+F5/100)</f>
        <v>87269.2227504</v>
      </c>
      <c r="G6" s="0" t="n">
        <f aca="false">F6*(1+G5/100)</f>
        <v>89014.607205408</v>
      </c>
      <c r="H6" s="0" t="n">
        <f aca="false">G6*(1+H5/100)</f>
        <v>90794.8993495161</v>
      </c>
      <c r="I6" s="0" t="n">
        <f aca="false">H6*(1+I5/100)</f>
        <v>92610.7973365065</v>
      </c>
      <c r="J6" s="0" t="n">
        <f aca="false">I6*(1+J5/100)</f>
        <v>94463.0132832366</v>
      </c>
      <c r="K6" s="0" t="n">
        <f aca="false">J6*(1+K5/100)</f>
        <v>96352.2735489013</v>
      </c>
      <c r="L6" s="0" t="n">
        <f aca="false">K6*(1+L5/100)</f>
        <v>98279.3190198794</v>
      </c>
    </row>
    <row r="7" customFormat="false" ht="15" hidden="false" customHeight="false" outlineLevel="0" collapsed="false">
      <c r="A7" s="0" t="s">
        <v>99</v>
      </c>
      <c r="C7" s="4" t="n">
        <f aca="false">Assumptions!C14</f>
        <v>13.5</v>
      </c>
      <c r="D7" s="4" t="n">
        <f aca="false">Assumptions!D14</f>
        <v>12.3</v>
      </c>
      <c r="E7" s="4" t="n">
        <f aca="false">Assumptions!E14</f>
        <v>12.2</v>
      </c>
      <c r="F7" s="4" t="n">
        <f aca="false">Assumptions!F14</f>
        <v>12.3</v>
      </c>
      <c r="G7" s="4" t="n">
        <f aca="false">Assumptions!G14</f>
        <v>12.4</v>
      </c>
      <c r="H7" s="4" t="n">
        <f aca="false">Assumptions!H14</f>
        <v>12.5</v>
      </c>
      <c r="I7" s="4" t="n">
        <f aca="false">Assumptions!I14</f>
        <v>12.5</v>
      </c>
      <c r="J7" s="4" t="n">
        <f aca="false">Assumptions!J14</f>
        <v>12.5</v>
      </c>
      <c r="K7" s="4" t="n">
        <f aca="false">Assumptions!K14</f>
        <v>12.5</v>
      </c>
      <c r="L7" s="4" t="n">
        <f aca="false">Assumptions!L14</f>
        <v>12.5</v>
      </c>
    </row>
    <row r="8" customFormat="false" ht="15" hidden="false" customHeight="false" outlineLevel="0" collapsed="false">
      <c r="A8" s="0" t="s">
        <v>43</v>
      </c>
      <c r="C8" s="0" t="n">
        <f aca="false">C6*C7/100</f>
        <v>11912.477625</v>
      </c>
      <c r="D8" s="0" t="n">
        <f aca="false">D6*D7/100</f>
        <v>10419.447096</v>
      </c>
      <c r="E8" s="0" t="n">
        <f aca="false">E6*E7/100</f>
        <v>10438.08350544</v>
      </c>
      <c r="F8" s="0" t="n">
        <f aca="false">F6*F7/100</f>
        <v>10734.1143982992</v>
      </c>
      <c r="G8" s="0" t="n">
        <f aca="false">G6*G7/100</f>
        <v>11037.8112934706</v>
      </c>
      <c r="H8" s="0" t="n">
        <f aca="false">H6*H7/100</f>
        <v>11349.3624186895</v>
      </c>
      <c r="I8" s="0" t="n">
        <f aca="false">I6*I7/100</f>
        <v>11576.3496670633</v>
      </c>
      <c r="J8" s="0" t="n">
        <f aca="false">J6*J7/100</f>
        <v>11807.8766604046</v>
      </c>
      <c r="K8" s="0" t="n">
        <f aca="false">K6*K7/100</f>
        <v>12044.0341936127</v>
      </c>
      <c r="L8" s="0" t="n">
        <f aca="false">L6*L7/100</f>
        <v>12284.9148774849</v>
      </c>
    </row>
    <row r="9" customFormat="false" ht="15" hidden="false" customHeight="false" outlineLevel="0" collapsed="false">
      <c r="A9" s="0" t="s">
        <v>100</v>
      </c>
      <c r="C9" s="4" t="n">
        <f aca="false">Assumptions!C15</f>
        <v>0.21</v>
      </c>
      <c r="D9" s="4" t="n">
        <f aca="false">Assumptions!D15</f>
        <v>0.21</v>
      </c>
      <c r="E9" s="4" t="n">
        <f aca="false">Assumptions!E15</f>
        <v>0.21</v>
      </c>
      <c r="F9" s="4" t="n">
        <f aca="false">Assumptions!F15</f>
        <v>0.21</v>
      </c>
      <c r="G9" s="4" t="n">
        <f aca="false">Assumptions!G15</f>
        <v>0.21</v>
      </c>
      <c r="H9" s="4" t="n">
        <f aca="false">Assumptions!H15</f>
        <v>0.21</v>
      </c>
      <c r="I9" s="4" t="n">
        <f aca="false">Assumptions!I15</f>
        <v>0.21</v>
      </c>
      <c r="J9" s="4" t="n">
        <f aca="false">Assumptions!J15</f>
        <v>0.21</v>
      </c>
      <c r="K9" s="4" t="n">
        <f aca="false">Assumptions!K15</f>
        <v>0.21</v>
      </c>
      <c r="L9" s="4" t="n">
        <f aca="false">Assumptions!L15</f>
        <v>0.21</v>
      </c>
    </row>
    <row r="10" customFormat="false" ht="15" hidden="false" customHeight="false" outlineLevel="0" collapsed="false">
      <c r="A10" s="0" t="s">
        <v>115</v>
      </c>
      <c r="C10" s="0" t="n">
        <f aca="false">-C6*C9/100</f>
        <v>-185.3052075</v>
      </c>
      <c r="D10" s="0" t="n">
        <f aca="false">-D6*D9/100</f>
        <v>-177.8929992</v>
      </c>
      <c r="E10" s="0" t="n">
        <f aca="false">-E6*E9/100</f>
        <v>-179.671929192</v>
      </c>
      <c r="F10" s="0" t="n">
        <f aca="false">-F6*F9/100</f>
        <v>-183.26536777584</v>
      </c>
      <c r="G10" s="0" t="n">
        <f aca="false">-G6*G9/100</f>
        <v>-186.930675131357</v>
      </c>
      <c r="H10" s="0" t="n">
        <f aca="false">-H6*H9/100</f>
        <v>-190.669288633984</v>
      </c>
      <c r="I10" s="0" t="n">
        <f aca="false">-I6*I9/100</f>
        <v>-194.482674406664</v>
      </c>
      <c r="J10" s="0" t="n">
        <f aca="false">-J6*J9/100</f>
        <v>-198.372327894797</v>
      </c>
      <c r="K10" s="0" t="n">
        <f aca="false">-K6*K9/100</f>
        <v>-202.339774452693</v>
      </c>
      <c r="L10" s="0" t="n">
        <f aca="false">-L6*L9/100</f>
        <v>-206.386569941747</v>
      </c>
    </row>
    <row r="11" customFormat="false" ht="15" hidden="false" customHeight="false" outlineLevel="0" collapsed="false">
      <c r="A11" s="0" t="s">
        <v>116</v>
      </c>
      <c r="C11" s="0" t="n">
        <f aca="false">C8+C10+C24</f>
        <v>8329.91028</v>
      </c>
      <c r="D11" s="0" t="n">
        <f aca="false">D8+D10+D24</f>
        <v>6895.4714928</v>
      </c>
      <c r="E11" s="0" t="n">
        <f aca="false">E8+E10+E24</f>
        <v>6836.089115448</v>
      </c>
      <c r="F11" s="0" t="n">
        <f aca="false">F8+F10+F24</f>
        <v>7060.08012050736</v>
      </c>
      <c r="G11" s="0" t="n">
        <f aca="false">G8+G10+G24</f>
        <v>7290.29633012291</v>
      </c>
      <c r="H11" s="0" t="n">
        <f aca="false">H8+H10+H24</f>
        <v>7526.89715607489</v>
      </c>
      <c r="I11" s="0" t="n">
        <f aca="false">I8+I10+I24</f>
        <v>7677.43509919639</v>
      </c>
      <c r="J11" s="0" t="n">
        <f aca="false">J8+J10+J24</f>
        <v>7830.98380118031</v>
      </c>
      <c r="K11" s="0" t="n">
        <f aca="false">K8+K10+K24</f>
        <v>7987.60347720392</v>
      </c>
      <c r="L11" s="0" t="n">
        <f aca="false">L8+L10+L24</f>
        <v>8147.355546748</v>
      </c>
    </row>
    <row r="12" customFormat="false" ht="15" hidden="false" customHeight="false" outlineLevel="0" collapsed="false">
      <c r="A12" s="0" t="s">
        <v>117</v>
      </c>
      <c r="C12" s="4" t="n">
        <f aca="false">-C6*Assumptions!C17/100</f>
        <v>-2514.8563875</v>
      </c>
      <c r="D12" s="4" t="n">
        <f aca="false">-D6*Assumptions!D17/100</f>
        <v>-2541.32856</v>
      </c>
      <c r="E12" s="4" t="n">
        <f aca="false">-E6*Assumptions!E17/100</f>
        <v>-2652.29990712</v>
      </c>
      <c r="F12" s="4" t="n">
        <f aca="false">-F6*Assumptions!F17/100</f>
        <v>-2748.9805166376</v>
      </c>
      <c r="G12" s="4" t="n">
        <f aca="false">-G6*Assumptions!G17/100</f>
        <v>-2848.46743057306</v>
      </c>
      <c r="H12" s="4" t="n">
        <f aca="false">-H6*Assumptions!H17/100</f>
        <v>-2905.43677918452</v>
      </c>
      <c r="I12" s="4" t="n">
        <f aca="false">-I6*Assumptions!I17/100</f>
        <v>-2963.54551476821</v>
      </c>
      <c r="J12" s="4" t="n">
        <f aca="false">-J6*Assumptions!J17/100</f>
        <v>-3022.81642506357</v>
      </c>
      <c r="K12" s="4" t="n">
        <f aca="false">-K6*Assumptions!K17/100</f>
        <v>-3083.27275356484</v>
      </c>
      <c r="L12" s="4" t="n">
        <f aca="false">-L6*Assumptions!L17/100</f>
        <v>-3144.93820863614</v>
      </c>
    </row>
    <row r="13" customFormat="false" ht="15" hidden="false" customHeight="false" outlineLevel="0" collapsed="false">
      <c r="A13" s="0" t="s">
        <v>118</v>
      </c>
      <c r="C13" s="0" t="n">
        <f aca="false">C11+C12</f>
        <v>5815.0538925</v>
      </c>
      <c r="D13" s="0" t="n">
        <f aca="false">D11+D12</f>
        <v>4354.1429328</v>
      </c>
      <c r="E13" s="0" t="n">
        <f aca="false">E11+E12</f>
        <v>4183.789208328</v>
      </c>
      <c r="F13" s="0" t="n">
        <f aca="false">F11+F12</f>
        <v>4311.09960386976</v>
      </c>
      <c r="G13" s="0" t="n">
        <f aca="false">G11+G12</f>
        <v>4441.82889954986</v>
      </c>
      <c r="H13" s="0" t="n">
        <f aca="false">H11+H12</f>
        <v>4621.46037689037</v>
      </c>
      <c r="I13" s="0" t="n">
        <f aca="false">I11+I12</f>
        <v>4713.88958442818</v>
      </c>
      <c r="J13" s="0" t="n">
        <f aca="false">J11+J12</f>
        <v>4808.16737611674</v>
      </c>
      <c r="K13" s="0" t="n">
        <f aca="false">K11+K12</f>
        <v>4904.33072363908</v>
      </c>
      <c r="L13" s="0" t="n">
        <f aca="false">L11+L12</f>
        <v>5002.41733811186</v>
      </c>
    </row>
    <row r="14" customFormat="false" ht="15" hidden="false" customHeight="false" outlineLevel="0" collapsed="false">
      <c r="A14" s="0" t="s">
        <v>104</v>
      </c>
      <c r="C14" s="4" t="n">
        <f aca="false">Assumptions!C19</f>
        <v>25</v>
      </c>
      <c r="D14" s="4" t="n">
        <f aca="false">Assumptions!D19</f>
        <v>26.5</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119</v>
      </c>
      <c r="C15" s="0" t="n">
        <f aca="false">C13-MAX(0,C13)*C14/100</f>
        <v>4361.290419375</v>
      </c>
      <c r="D15" s="0" t="n">
        <f aca="false">D13-MAX(0,D13)*D14/100</f>
        <v>3200.295055608</v>
      </c>
      <c r="E15" s="0" t="n">
        <f aca="false">E13-MAX(0,E13)*E14/100</f>
        <v>3054.16612207944</v>
      </c>
      <c r="F15" s="0" t="n">
        <f aca="false">F13-MAX(0,F13)*F14/100</f>
        <v>3147.10271082492</v>
      </c>
      <c r="G15" s="0" t="n">
        <f aca="false">G13-MAX(0,G13)*G14/100</f>
        <v>3242.5350966714</v>
      </c>
      <c r="H15" s="0" t="n">
        <f aca="false">H13-MAX(0,H13)*H14/100</f>
        <v>3373.66607512997</v>
      </c>
      <c r="I15" s="0" t="n">
        <f aca="false">I13-MAX(0,I13)*I14/100</f>
        <v>3441.13939663257</v>
      </c>
      <c r="J15" s="0" t="n">
        <f aca="false">J13-MAX(0,J13)*J14/100</f>
        <v>3509.96218456522</v>
      </c>
      <c r="K15" s="0" t="n">
        <f aca="false">K13-MAX(0,K13)*K14/100</f>
        <v>3580.16142825653</v>
      </c>
      <c r="L15" s="0" t="n">
        <f aca="false">L13-MAX(0,L13)*L14/100</f>
        <v>3651.76465682166</v>
      </c>
    </row>
    <row r="16" customFormat="false" ht="15" hidden="false" customHeight="false" outlineLevel="0" collapsed="false">
      <c r="A16" s="0" t="s">
        <v>120</v>
      </c>
      <c r="C16" s="0" t="n">
        <f aca="false">-C12</f>
        <v>2514.8563875</v>
      </c>
      <c r="D16" s="0" t="n">
        <f aca="false">-D12</f>
        <v>2541.32856</v>
      </c>
      <c r="E16" s="0" t="n">
        <f aca="false">-E12</f>
        <v>2652.29990712</v>
      </c>
      <c r="F16" s="0" t="n">
        <f aca="false">-F12</f>
        <v>2748.9805166376</v>
      </c>
      <c r="G16" s="0" t="n">
        <f aca="false">-G12</f>
        <v>2848.46743057306</v>
      </c>
      <c r="H16" s="0" t="n">
        <f aca="false">-H12</f>
        <v>2905.43677918452</v>
      </c>
      <c r="I16" s="0" t="n">
        <f aca="false">-I12</f>
        <v>2963.54551476821</v>
      </c>
      <c r="J16" s="0" t="n">
        <f aca="false">-J12</f>
        <v>3022.81642506357</v>
      </c>
      <c r="K16" s="0" t="n">
        <f aca="false">-K12</f>
        <v>3083.27275356484</v>
      </c>
      <c r="L16" s="0" t="n">
        <f aca="false">-L12</f>
        <v>3144.93820863614</v>
      </c>
    </row>
    <row r="17" customFormat="false" ht="15" hidden="false" customHeight="false" outlineLevel="0" collapsed="false">
      <c r="A17" s="0" t="s">
        <v>121</v>
      </c>
      <c r="C17" s="4" t="n">
        <f aca="false">-C6*Assumptions!C18/100</f>
        <v>-3529.623</v>
      </c>
      <c r="D17" s="4" t="n">
        <f aca="false">-D6*Assumptions!D18/100</f>
        <v>-3303.727128</v>
      </c>
      <c r="E17" s="4" t="n">
        <f aca="false">-E6*Assumptions!E18/100</f>
        <v>-3251.20633776</v>
      </c>
      <c r="F17" s="4" t="n">
        <f aca="false">-F6*Assumptions!F18/100</f>
        <v>-3228.9612417648</v>
      </c>
      <c r="G17" s="4" t="n">
        <f aca="false">-G6*Assumptions!G18/100</f>
        <v>-3293.5404666001</v>
      </c>
      <c r="H17" s="4" t="n">
        <f aca="false">-H6*Assumptions!H18/100</f>
        <v>-3359.4112759321</v>
      </c>
      <c r="I17" s="4" t="n">
        <f aca="false">-I6*Assumptions!I18/100</f>
        <v>-3426.59950145074</v>
      </c>
      <c r="J17" s="4" t="n">
        <f aca="false">-J6*Assumptions!J18/100</f>
        <v>-3495.13149147975</v>
      </c>
      <c r="K17" s="4" t="n">
        <f aca="false">-K6*Assumptions!K18/100</f>
        <v>-3565.03412130935</v>
      </c>
      <c r="L17" s="4" t="n">
        <f aca="false">-L6*Assumptions!L18/100</f>
        <v>-3636.33480373554</v>
      </c>
    </row>
    <row r="18" customFormat="false" ht="15" hidden="false" customHeight="false" outlineLevel="0" collapsed="false">
      <c r="A18" s="0" t="s">
        <v>122</v>
      </c>
      <c r="C18" s="4" t="n">
        <f aca="false">(C6-B6)*Assumptions!$B$23/100</f>
        <v>-269.27875</v>
      </c>
      <c r="D18" s="4" t="n">
        <f aca="false">(D6-C6)*Assumptions!$B$23/100</f>
        <v>176.48115</v>
      </c>
      <c r="E18" s="4" t="n">
        <f aca="false">(E6-D6)*Assumptions!$B$23/100</f>
        <v>-42.3554759999999</v>
      </c>
      <c r="F18" s="4" t="n">
        <f aca="false">(F6-E6)*Assumptions!$B$23/100</f>
        <v>-85.5580615200001</v>
      </c>
      <c r="G18" s="4" t="n">
        <f aca="false">(G6-F6)*Assumptions!$B$23/100</f>
        <v>-87.2692227503998</v>
      </c>
      <c r="H18" s="4" t="n">
        <f aca="false">(H6-G6)*Assumptions!$B$23/100</f>
        <v>-89.0146072054078</v>
      </c>
      <c r="I18" s="4" t="n">
        <f aca="false">(I6-H6)*Assumptions!$B$23/100</f>
        <v>-90.7948993495163</v>
      </c>
      <c r="J18" s="4" t="n">
        <f aca="false">(J6-I6)*Assumptions!$B$23/100</f>
        <v>-92.6107973365062</v>
      </c>
      <c r="K18" s="4" t="n">
        <f aca="false">(K6-J6)*Assumptions!$B$23/100</f>
        <v>-94.4630132832368</v>
      </c>
      <c r="L18" s="4" t="n">
        <f aca="false">(L6-K6)*Assumptions!$B$23/100</f>
        <v>-96.3522735489016</v>
      </c>
    </row>
    <row r="19" customFormat="false" ht="15" hidden="false" customHeight="false" outlineLevel="0" collapsed="false">
      <c r="A19" s="0" t="s">
        <v>123</v>
      </c>
      <c r="C19" s="0" t="n">
        <f aca="false">C15+C16+C17+C18</f>
        <v>3077.245056875</v>
      </c>
      <c r="D19" s="0" t="n">
        <f aca="false">D15+D16+D17+D18</f>
        <v>2614.377637608</v>
      </c>
      <c r="E19" s="0" t="n">
        <f aca="false">E15+E16+E17+E18</f>
        <v>2412.90421543944</v>
      </c>
      <c r="F19" s="0" t="n">
        <f aca="false">F15+F16+F17+F18</f>
        <v>2581.56392417772</v>
      </c>
      <c r="G19" s="0" t="n">
        <f aca="false">G15+G16+G17+G18</f>
        <v>2710.19283789396</v>
      </c>
      <c r="H19" s="0" t="n">
        <f aca="false">H15+H16+H17+H18</f>
        <v>2830.67697117698</v>
      </c>
      <c r="I19" s="0" t="n">
        <f aca="false">I15+I16+I17+I18</f>
        <v>2887.29051060052</v>
      </c>
      <c r="J19" s="0" t="n">
        <f aca="false">J15+J16+J17+J18</f>
        <v>2945.03632081253</v>
      </c>
      <c r="K19" s="0" t="n">
        <f aca="false">K15+K16+K17+K18</f>
        <v>3003.93704722878</v>
      </c>
      <c r="L19" s="0" t="n">
        <f aca="false">L15+L16+L17+L18</f>
        <v>3064.01578817336</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2849.30097858796</v>
      </c>
      <c r="D21" s="0" t="n">
        <f aca="false">D19*D20</f>
        <v>2241.40743965021</v>
      </c>
      <c r="E21" s="0" t="n">
        <f aca="false">E19*E20</f>
        <v>1915.4411607093</v>
      </c>
      <c r="F21" s="0" t="n">
        <f aca="false">F19*F20</f>
        <v>1897.52655117299</v>
      </c>
      <c r="G21" s="0" t="n">
        <f aca="false">G19*G20</f>
        <v>1844.51170619185</v>
      </c>
      <c r="H21" s="0" t="n">
        <f aca="false">H19*H20</f>
        <v>1783.8066507532</v>
      </c>
      <c r="I21" s="0" t="n">
        <f aca="false">I19*I20</f>
        <v>1684.70628126691</v>
      </c>
      <c r="J21" s="0" t="n">
        <f aca="false">J19*J20</f>
        <v>1591.11148786319</v>
      </c>
      <c r="K21" s="0" t="n">
        <f aca="false">K19*K20</f>
        <v>1502.71640520412</v>
      </c>
      <c r="L21" s="0" t="n">
        <f aca="false">L19*L20</f>
        <v>1419.23216047056</v>
      </c>
    </row>
    <row r="23" customFormat="false" ht="15" hidden="false" customHeight="false" outlineLevel="0" collapsed="false">
      <c r="A23" s="0" t="s">
        <v>101</v>
      </c>
      <c r="C23" s="4" t="n">
        <f aca="false">Assumptions!C16</f>
        <v>3.85</v>
      </c>
      <c r="D23" s="4" t="n">
        <f aca="false">Assumptions!D16</f>
        <v>3.95</v>
      </c>
      <c r="E23" s="4" t="n">
        <f aca="false">Assumptions!E16</f>
        <v>4</v>
      </c>
      <c r="F23" s="4" t="n">
        <f aca="false">Assumptions!F16</f>
        <v>4</v>
      </c>
      <c r="G23" s="4" t="n">
        <f aca="false">Assumptions!G16</f>
        <v>4</v>
      </c>
      <c r="H23" s="4" t="n">
        <f aca="false">Assumptions!H16</f>
        <v>4</v>
      </c>
      <c r="I23" s="4" t="n">
        <f aca="false">Assumptions!I16</f>
        <v>4</v>
      </c>
      <c r="J23" s="4" t="n">
        <f aca="false">Assumptions!J16</f>
        <v>4</v>
      </c>
      <c r="K23" s="4" t="n">
        <f aca="false">Assumptions!K16</f>
        <v>4</v>
      </c>
      <c r="L23" s="4" t="n">
        <f aca="false">Assumptions!L16</f>
        <v>4</v>
      </c>
    </row>
    <row r="24" customFormat="false" ht="15" hidden="false" customHeight="false" outlineLevel="0" collapsed="false">
      <c r="A24" s="0" t="s">
        <v>126</v>
      </c>
      <c r="C24" s="0" t="n">
        <f aca="false">-C6*C23/100</f>
        <v>-3397.2621375</v>
      </c>
      <c r="D24" s="0" t="n">
        <f aca="false">-D6*D23/100</f>
        <v>-3346.082604</v>
      </c>
      <c r="E24" s="0" t="n">
        <f aca="false">-E6*E23/100</f>
        <v>-3422.3224608</v>
      </c>
      <c r="F24" s="0" t="n">
        <f aca="false">-F6*F23/100</f>
        <v>-3490.768910016</v>
      </c>
      <c r="G24" s="0" t="n">
        <f aca="false">-G6*G23/100</f>
        <v>-3560.58428821632</v>
      </c>
      <c r="H24" s="0" t="n">
        <f aca="false">-H6*H23/100</f>
        <v>-3631.79597398065</v>
      </c>
      <c r="I24" s="0" t="n">
        <f aca="false">-I6*I23/100</f>
        <v>-3704.43189346026</v>
      </c>
      <c r="J24" s="0" t="n">
        <f aca="false">-J6*J23/100</f>
        <v>-3778.52053132946</v>
      </c>
      <c r="K24" s="0" t="n">
        <f aca="false">-K6*K23/100</f>
        <v>-3854.09094195605</v>
      </c>
      <c r="L24" s="0" t="n">
        <f aca="false">-L6*L23/100</f>
        <v>-3931.17276079517</v>
      </c>
    </row>
    <row r="26" customFormat="false" ht="15" hidden="false" customHeight="false" outlineLevel="0" collapsed="false">
      <c r="A26" s="2" t="s">
        <v>127</v>
      </c>
    </row>
    <row r="27" customFormat="false" ht="15" hidden="false" customHeight="false" outlineLevel="0" collapsed="false">
      <c r="A27" s="0" t="s">
        <v>105</v>
      </c>
      <c r="B27" s="4" t="n">
        <f aca="false">Assumptions!$B$20</f>
        <v>8</v>
      </c>
    </row>
    <row r="28" customFormat="false" ht="15" hidden="false" customHeight="false" outlineLevel="0" collapsed="false">
      <c r="A28" s="0" t="s">
        <v>106</v>
      </c>
      <c r="B28" s="4" t="n">
        <f aca="false">Assumptions!$B$21</f>
        <v>1.5</v>
      </c>
    </row>
    <row r="29" customFormat="false" ht="15" hidden="false" customHeight="false" outlineLevel="0" collapsed="false">
      <c r="A29" s="0" t="s">
        <v>107</v>
      </c>
      <c r="B29" s="4" t="n">
        <f aca="false">Assumptions!$B$22</f>
        <v>14</v>
      </c>
    </row>
    <row r="30" customFormat="false" ht="15" hidden="false" customHeight="false" outlineLevel="0" collapsed="false">
      <c r="A30" s="0" t="s">
        <v>128</v>
      </c>
      <c r="B30" s="0" t="n">
        <f aca="false">SUM(C21:L21)</f>
        <v>18729.7608218703</v>
      </c>
    </row>
    <row r="31" customFormat="false" ht="15" hidden="false" customHeight="false" outlineLevel="0" collapsed="false">
      <c r="A31" s="0" t="s">
        <v>129</v>
      </c>
      <c r="B31" s="0" t="n">
        <f aca="false">L19</f>
        <v>3064.01578817336</v>
      </c>
    </row>
    <row r="32" customFormat="false" ht="15" hidden="false" customHeight="false" outlineLevel="0" collapsed="false">
      <c r="A32" s="0" t="s">
        <v>130</v>
      </c>
      <c r="B32" s="0" t="n">
        <f aca="false">IF(B27&gt;B28,B31*(1+B28/100)/((B27-B28)/100),B31*B29)</f>
        <v>47845.7849999378</v>
      </c>
    </row>
    <row r="33" customFormat="false" ht="15" hidden="false" customHeight="false" outlineLevel="0" collapsed="false">
      <c r="A33" s="0" t="s">
        <v>131</v>
      </c>
      <c r="B33" s="0" t="n">
        <f aca="false">B31*B29</f>
        <v>42896.221034427</v>
      </c>
    </row>
    <row r="34" customFormat="false" ht="15" hidden="false" customHeight="false" outlineLevel="0" collapsed="false">
      <c r="A34" s="0" t="s">
        <v>132</v>
      </c>
      <c r="B34" s="0" t="n">
        <f aca="false">MAX(0,MIN(B32,B33))</f>
        <v>42896.221034427</v>
      </c>
    </row>
    <row r="35" customFormat="false" ht="15" hidden="false" customHeight="false" outlineLevel="0" collapsed="false">
      <c r="A35" s="0" t="s">
        <v>133</v>
      </c>
      <c r="B35" s="0" t="n">
        <f aca="false">B34/(1+B27/100)^L4</f>
        <v>19869.2502465878</v>
      </c>
    </row>
    <row r="36" customFormat="false" ht="15" hidden="false" customHeight="false" outlineLevel="0" collapsed="false">
      <c r="A36" s="0" t="s">
        <v>134</v>
      </c>
      <c r="B36" s="0" t="n">
        <f aca="false">B30+B35</f>
        <v>38599.0110684581</v>
      </c>
    </row>
    <row r="37" customFormat="false" ht="15" hidden="false" customHeight="false" outlineLevel="0" collapsed="false">
      <c r="A37" s="0" t="s">
        <v>135</v>
      </c>
      <c r="B37" s="0" t="n">
        <f aca="false">B36+Assumptions!$B$5-Assumptions!$B$4</f>
        <v>24746.0110684581</v>
      </c>
    </row>
    <row r="38" customFormat="false" ht="15" hidden="false" customHeight="false" outlineLevel="0" collapsed="false">
      <c r="A38" s="0" t="s">
        <v>136</v>
      </c>
      <c r="B38" s="0" t="n">
        <f aca="false">B37/Assumptions!$B$3*Assumptions!$B$10</f>
        <v>22.0356287341568</v>
      </c>
    </row>
    <row r="39" customFormat="false" ht="15" hidden="false" customHeight="false" outlineLevel="0" collapsed="false">
      <c r="A39" s="0" t="s">
        <v>137</v>
      </c>
      <c r="B39" s="4" t="n">
        <f aca="false">B38/Assumptions!$B$2-1</f>
        <v>-0.615299777685809</v>
      </c>
    </row>
    <row r="41" customFormat="false" ht="15" hidden="false" customHeight="false" outlineLevel="0" collapsed="false">
      <c r="A41" s="0" t="s">
        <v>138</v>
      </c>
      <c r="B41" s="0" t="n">
        <f aca="false">SUMPRODUCT(-C10:L10/(1+$B$27/100)^C4:L4)</f>
        <v>1266.27457466008</v>
      </c>
    </row>
    <row r="42" customFormat="false" ht="15" hidden="false" customHeight="false" outlineLevel="0" collapsed="false">
      <c r="A42" s="0" t="s">
        <v>139</v>
      </c>
      <c r="B42" s="0" t="n">
        <f aca="false">IF(B27&gt;B28,-L10*(1+B28/100)/((B27-B28)/100),-L10*20)/(1+B27/100)^L4</f>
        <v>1492.78259928505</v>
      </c>
    </row>
    <row r="43" customFormat="false" ht="15" hidden="false" customHeight="false" outlineLevel="0" collapsed="false">
      <c r="A43" s="0" t="s">
        <v>140</v>
      </c>
      <c r="B43" s="0" t="n">
        <f aca="false">(B37+B41+B42)/Assumptions!$B$3*Assumptions!$B$10</f>
        <v>24.4924917563698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23036.8594444145</v>
      </c>
    </row>
    <row r="47" customFormat="false" ht="15" hidden="false" customHeight="false" outlineLevel="0" collapsed="false">
      <c r="A47" s="0" t="s">
        <v>142</v>
      </c>
      <c r="B47" s="0" t="n">
        <f aca="false">(SUMPRODUCT(C19:L19/(1+B45/100)^C4:L4)+B46/(1+B45/100)^L4+Assumptions!$B$5-Assumptions!$B$4)/Assumptions!$B$3*Assumptions!$B$10</f>
        <v>5.153425475959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7.5</v>
      </c>
      <c r="D5" s="4" t="n">
        <f aca="false">Assumptions!D27</f>
        <v>1</v>
      </c>
      <c r="E5" s="4" t="n">
        <f aca="false">Assumptions!E27</f>
        <v>3.5</v>
      </c>
      <c r="F5" s="4" t="n">
        <f aca="false">Assumptions!F27</f>
        <v>3.5</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37</v>
      </c>
      <c r="B6" s="3" t="n">
        <v>82855</v>
      </c>
      <c r="C6" s="0" t="n">
        <f aca="false">B6*(1+C5/100)</f>
        <v>89069.125</v>
      </c>
      <c r="D6" s="0" t="n">
        <f aca="false">C6*(1+D5/100)</f>
        <v>89959.81625</v>
      </c>
      <c r="E6" s="0" t="n">
        <f aca="false">D6*(1+E5/100)</f>
        <v>93108.40981875</v>
      </c>
      <c r="F6" s="0" t="n">
        <f aca="false">E6*(1+F5/100)</f>
        <v>96367.2041624062</v>
      </c>
      <c r="G6" s="0" t="n">
        <f aca="false">F6*(1+G5/100)</f>
        <v>99740.0563080905</v>
      </c>
      <c r="H6" s="0" t="n">
        <f aca="false">G6*(1+H5/100)</f>
        <v>102732.257997333</v>
      </c>
      <c r="I6" s="0" t="n">
        <f aca="false">H6*(1+I5/100)</f>
        <v>105814.225737253</v>
      </c>
      <c r="J6" s="0" t="n">
        <f aca="false">I6*(1+J5/100)</f>
        <v>108459.581380685</v>
      </c>
      <c r="K6" s="0" t="n">
        <f aca="false">J6*(1+K5/100)</f>
        <v>111171.070915202</v>
      </c>
      <c r="L6" s="0" t="n">
        <f aca="false">K6*(1+L5/100)</f>
        <v>113950.347688082</v>
      </c>
    </row>
    <row r="7" customFormat="false" ht="15" hidden="false" customHeight="false" outlineLevel="0" collapsed="false">
      <c r="A7" s="0" t="s">
        <v>99</v>
      </c>
      <c r="C7" s="4" t="n">
        <f aca="false">Assumptions!C28</f>
        <v>13.6</v>
      </c>
      <c r="D7" s="4" t="n">
        <f aca="false">Assumptions!D28</f>
        <v>13.1</v>
      </c>
      <c r="E7" s="4" t="n">
        <f aca="false">Assumptions!E28</f>
        <v>13.2</v>
      </c>
      <c r="F7" s="4" t="n">
        <f aca="false">Assumptions!F28</f>
        <v>13.3</v>
      </c>
      <c r="G7" s="4" t="n">
        <f aca="false">Assumptions!G28</f>
        <v>13.4</v>
      </c>
      <c r="H7" s="4" t="n">
        <f aca="false">Assumptions!H28</f>
        <v>13.5</v>
      </c>
      <c r="I7" s="4" t="n">
        <f aca="false">Assumptions!I28</f>
        <v>13.5</v>
      </c>
      <c r="J7" s="4" t="n">
        <f aca="false">Assumptions!J28</f>
        <v>13.5</v>
      </c>
      <c r="K7" s="4" t="n">
        <f aca="false">Assumptions!K28</f>
        <v>13.5</v>
      </c>
      <c r="L7" s="4" t="n">
        <f aca="false">Assumptions!L28</f>
        <v>13.5</v>
      </c>
    </row>
    <row r="8" customFormat="false" ht="15" hidden="false" customHeight="false" outlineLevel="0" collapsed="false">
      <c r="A8" s="0" t="s">
        <v>43</v>
      </c>
      <c r="C8" s="0" t="n">
        <f aca="false">C6*C7/100</f>
        <v>12113.401</v>
      </c>
      <c r="D8" s="0" t="n">
        <f aca="false">D6*D7/100</f>
        <v>11784.73592875</v>
      </c>
      <c r="E8" s="0" t="n">
        <f aca="false">E6*E7/100</f>
        <v>12290.310096075</v>
      </c>
      <c r="F8" s="0" t="n">
        <f aca="false">F6*F7/100</f>
        <v>12816.8381536</v>
      </c>
      <c r="G8" s="0" t="n">
        <f aca="false">G6*G7/100</f>
        <v>13365.1675452841</v>
      </c>
      <c r="H8" s="0" t="n">
        <f aca="false">H6*H7/100</f>
        <v>13868.85482964</v>
      </c>
      <c r="I8" s="0" t="n">
        <f aca="false">I6*I7/100</f>
        <v>14284.9204745292</v>
      </c>
      <c r="J8" s="0" t="n">
        <f aca="false">J6*J7/100</f>
        <v>14642.0434863924</v>
      </c>
      <c r="K8" s="0" t="n">
        <f aca="false">K6*K7/100</f>
        <v>15008.0945735522</v>
      </c>
      <c r="L8" s="0" t="n">
        <f aca="false">L6*L7/100</f>
        <v>15383.296937891</v>
      </c>
    </row>
    <row r="9" customFormat="false" ht="15" hidden="false" customHeight="false" outlineLevel="0" collapsed="false">
      <c r="A9" s="0" t="s">
        <v>100</v>
      </c>
      <c r="C9" s="4" t="n">
        <f aca="false">Assumptions!C29</f>
        <v>0.21</v>
      </c>
      <c r="D9" s="4" t="n">
        <f aca="false">Assumptions!D29</f>
        <v>0.21</v>
      </c>
      <c r="E9" s="4" t="n">
        <f aca="false">Assumptions!E29</f>
        <v>0.21</v>
      </c>
      <c r="F9" s="4" t="n">
        <f aca="false">Assumptions!F29</f>
        <v>0.21</v>
      </c>
      <c r="G9" s="4" t="n">
        <f aca="false">Assumptions!G29</f>
        <v>0.21</v>
      </c>
      <c r="H9" s="4" t="n">
        <f aca="false">Assumptions!H29</f>
        <v>0.21</v>
      </c>
      <c r="I9" s="4" t="n">
        <f aca="false">Assumptions!I29</f>
        <v>0.21</v>
      </c>
      <c r="J9" s="4" t="n">
        <f aca="false">Assumptions!J29</f>
        <v>0.21</v>
      </c>
      <c r="K9" s="4" t="n">
        <f aca="false">Assumptions!K29</f>
        <v>0.21</v>
      </c>
      <c r="L9" s="4" t="n">
        <f aca="false">Assumptions!L29</f>
        <v>0.21</v>
      </c>
    </row>
    <row r="10" customFormat="false" ht="15" hidden="false" customHeight="false" outlineLevel="0" collapsed="false">
      <c r="A10" s="0" t="s">
        <v>115</v>
      </c>
      <c r="C10" s="0" t="n">
        <f aca="false">-C6*C9/100</f>
        <v>-187.0451625</v>
      </c>
      <c r="D10" s="0" t="n">
        <f aca="false">-D6*D9/100</f>
        <v>-188.915614125</v>
      </c>
      <c r="E10" s="0" t="n">
        <f aca="false">-E6*E9/100</f>
        <v>-195.527660619375</v>
      </c>
      <c r="F10" s="0" t="n">
        <f aca="false">-F6*F9/100</f>
        <v>-202.371128741053</v>
      </c>
      <c r="G10" s="0" t="n">
        <f aca="false">-G6*G9/100</f>
        <v>-209.45411824699</v>
      </c>
      <c r="H10" s="0" t="n">
        <f aca="false">-H6*H9/100</f>
        <v>-215.7377417944</v>
      </c>
      <c r="I10" s="0" t="n">
        <f aca="false">-I6*I9/100</f>
        <v>-222.209874048232</v>
      </c>
      <c r="J10" s="0" t="n">
        <f aca="false">-J6*J9/100</f>
        <v>-227.765120899437</v>
      </c>
      <c r="K10" s="0" t="n">
        <f aca="false">-K6*K9/100</f>
        <v>-233.459248921923</v>
      </c>
      <c r="L10" s="0" t="n">
        <f aca="false">-L6*L9/100</f>
        <v>-239.295730144971</v>
      </c>
    </row>
    <row r="11" customFormat="false" ht="15" hidden="false" customHeight="false" outlineLevel="0" collapsed="false">
      <c r="A11" s="0" t="s">
        <v>116</v>
      </c>
      <c r="C11" s="0" t="n">
        <f aca="false">C8+C10+C24</f>
        <v>8497.194525</v>
      </c>
      <c r="D11" s="0" t="n">
        <f aca="false">D8+D10+D24</f>
        <v>8132.367389</v>
      </c>
      <c r="E11" s="0" t="n">
        <f aca="false">E8+E10+E24</f>
        <v>8510.10865743375</v>
      </c>
      <c r="F11" s="0" t="n">
        <f aca="false">F8+F10+F24</f>
        <v>8904.32966460634</v>
      </c>
      <c r="G11" s="0" t="n">
        <f aca="false">G8+G10+G24</f>
        <v>9315.72125917565</v>
      </c>
      <c r="H11" s="0" t="n">
        <f aca="false">H8+H10+H24</f>
        <v>9697.92515494825</v>
      </c>
      <c r="I11" s="0" t="n">
        <f aca="false">I8+I10+I24</f>
        <v>9988.8629095967</v>
      </c>
      <c r="J11" s="0" t="n">
        <f aca="false">J8+J10+J24</f>
        <v>10238.5844823366</v>
      </c>
      <c r="K11" s="0" t="n">
        <f aca="false">K8+K10+K24</f>
        <v>10494.549094395</v>
      </c>
      <c r="L11" s="0" t="n">
        <f aca="false">L8+L10+L24</f>
        <v>10756.9128217549</v>
      </c>
    </row>
    <row r="12" customFormat="false" ht="15" hidden="false" customHeight="false" outlineLevel="0" collapsed="false">
      <c r="A12" s="0" t="s">
        <v>117</v>
      </c>
      <c r="C12" s="4" t="n">
        <f aca="false">-C6*Assumptions!C31/100</f>
        <v>-2538.4700625</v>
      </c>
      <c r="D12" s="4" t="n">
        <f aca="false">-D6*Assumptions!D31/100</f>
        <v>-2653.814579375</v>
      </c>
      <c r="E12" s="4" t="n">
        <f aca="false">-E6*Assumptions!E31/100</f>
        <v>-2793.2522945625</v>
      </c>
      <c r="F12" s="4" t="n">
        <f aca="false">-F6*Assumptions!F31/100</f>
        <v>-2939.19972695339</v>
      </c>
      <c r="G12" s="4" t="n">
        <f aca="false">-G6*Assumptions!G31/100</f>
        <v>-3091.9417455508</v>
      </c>
      <c r="H12" s="4" t="n">
        <f aca="false">-H6*Assumptions!H31/100</f>
        <v>-3184.69999791733</v>
      </c>
      <c r="I12" s="4" t="n">
        <f aca="false">-I6*Assumptions!I31/100</f>
        <v>-3280.24099785485</v>
      </c>
      <c r="J12" s="4" t="n">
        <f aca="false">-J6*Assumptions!J31/100</f>
        <v>-3362.24702280122</v>
      </c>
      <c r="K12" s="4" t="n">
        <f aca="false">-K6*Assumptions!K31/100</f>
        <v>-3446.30319837125</v>
      </c>
      <c r="L12" s="4" t="n">
        <f aca="false">-L6*Assumptions!L31/100</f>
        <v>-3532.46077833053</v>
      </c>
    </row>
    <row r="13" customFormat="false" ht="15" hidden="false" customHeight="false" outlineLevel="0" collapsed="false">
      <c r="A13" s="0" t="s">
        <v>118</v>
      </c>
      <c r="C13" s="0" t="n">
        <f aca="false">C11+C12</f>
        <v>5958.7244625</v>
      </c>
      <c r="D13" s="0" t="n">
        <f aca="false">D11+D12</f>
        <v>5478.552809625</v>
      </c>
      <c r="E13" s="0" t="n">
        <f aca="false">E11+E12</f>
        <v>5716.85636287125</v>
      </c>
      <c r="F13" s="0" t="n">
        <f aca="false">F11+F12</f>
        <v>5965.12993765295</v>
      </c>
      <c r="G13" s="0" t="n">
        <f aca="false">G11+G12</f>
        <v>6223.77951362484</v>
      </c>
      <c r="H13" s="0" t="n">
        <f aca="false">H11+H12</f>
        <v>6513.22515703092</v>
      </c>
      <c r="I13" s="0" t="n">
        <f aca="false">I11+I12</f>
        <v>6708.62191174185</v>
      </c>
      <c r="J13" s="0" t="n">
        <f aca="false">J11+J12</f>
        <v>6876.3374595354</v>
      </c>
      <c r="K13" s="0" t="n">
        <f aca="false">K11+K12</f>
        <v>7048.24589602378</v>
      </c>
      <c r="L13" s="0" t="n">
        <f aca="false">L11+L12</f>
        <v>7224.45204342437</v>
      </c>
    </row>
    <row r="14" customFormat="false" ht="15" hidden="false" customHeight="false" outlineLevel="0" collapsed="false">
      <c r="A14" s="0" t="s">
        <v>104</v>
      </c>
      <c r="C14" s="4" t="n">
        <f aca="false">Assumptions!C33</f>
        <v>25</v>
      </c>
      <c r="D14" s="4" t="n">
        <f aca="false">Assumptions!D33</f>
        <v>26.5</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119</v>
      </c>
      <c r="C15" s="0" t="n">
        <f aca="false">C13-MAX(0,C13)*C14/100</f>
        <v>4469.043346875</v>
      </c>
      <c r="D15" s="0" t="n">
        <f aca="false">D13-MAX(0,D13)*D14/100</f>
        <v>4026.73631507437</v>
      </c>
      <c r="E15" s="0" t="n">
        <f aca="false">E13-MAX(0,E13)*E14/100</f>
        <v>4173.30514489601</v>
      </c>
      <c r="F15" s="0" t="n">
        <f aca="false">F13-MAX(0,F13)*F14/100</f>
        <v>4354.54485448665</v>
      </c>
      <c r="G15" s="0" t="n">
        <f aca="false">G13-MAX(0,G13)*G14/100</f>
        <v>4543.35904494614</v>
      </c>
      <c r="H15" s="0" t="n">
        <f aca="false">H13-MAX(0,H13)*H14/100</f>
        <v>4754.65436463257</v>
      </c>
      <c r="I15" s="0" t="n">
        <f aca="false">I13-MAX(0,I13)*I14/100</f>
        <v>4897.29399557155</v>
      </c>
      <c r="J15" s="0" t="n">
        <f aca="false">J13-MAX(0,J13)*J14/100</f>
        <v>5019.72634546084</v>
      </c>
      <c r="K15" s="0" t="n">
        <f aca="false">K13-MAX(0,K13)*K14/100</f>
        <v>5145.21950409736</v>
      </c>
      <c r="L15" s="0" t="n">
        <f aca="false">L13-MAX(0,L13)*L14/100</f>
        <v>5273.84999169979</v>
      </c>
    </row>
    <row r="16" customFormat="false" ht="15" hidden="false" customHeight="false" outlineLevel="0" collapsed="false">
      <c r="A16" s="0" t="s">
        <v>120</v>
      </c>
      <c r="C16" s="0" t="n">
        <f aca="false">-C12</f>
        <v>2538.4700625</v>
      </c>
      <c r="D16" s="0" t="n">
        <f aca="false">-D12</f>
        <v>2653.814579375</v>
      </c>
      <c r="E16" s="0" t="n">
        <f aca="false">-E12</f>
        <v>2793.2522945625</v>
      </c>
      <c r="F16" s="0" t="n">
        <f aca="false">-F12</f>
        <v>2939.19972695339</v>
      </c>
      <c r="G16" s="0" t="n">
        <f aca="false">-G12</f>
        <v>3091.9417455508</v>
      </c>
      <c r="H16" s="0" t="n">
        <f aca="false">-H12</f>
        <v>3184.69999791733</v>
      </c>
      <c r="I16" s="0" t="n">
        <f aca="false">-I12</f>
        <v>3280.24099785485</v>
      </c>
      <c r="J16" s="0" t="n">
        <f aca="false">-J12</f>
        <v>3362.24702280122</v>
      </c>
      <c r="K16" s="0" t="n">
        <f aca="false">-K12</f>
        <v>3446.30319837125</v>
      </c>
      <c r="L16" s="0" t="n">
        <f aca="false">-L12</f>
        <v>3532.46077833053</v>
      </c>
    </row>
    <row r="17" customFormat="false" ht="15" hidden="false" customHeight="false" outlineLevel="0" collapsed="false">
      <c r="A17" s="0" t="s">
        <v>121</v>
      </c>
      <c r="C17" s="4" t="n">
        <f aca="false">-C6*Assumptions!C32/100</f>
        <v>-3562.765</v>
      </c>
      <c r="D17" s="4" t="n">
        <f aca="false">-D6*Assumptions!D32/100</f>
        <v>-3418.4730175</v>
      </c>
      <c r="E17" s="4" t="n">
        <f aca="false">-E6*Assumptions!E32/100</f>
        <v>-3445.01116329375</v>
      </c>
      <c r="F17" s="4" t="n">
        <f aca="false">-F6*Assumptions!F32/100</f>
        <v>-3469.21934984662</v>
      </c>
      <c r="G17" s="4" t="n">
        <f aca="false">-G6*Assumptions!G32/100</f>
        <v>-3490.90197078317</v>
      </c>
      <c r="H17" s="4" t="n">
        <f aca="false">-H6*Assumptions!H32/100</f>
        <v>-3595.62902990666</v>
      </c>
      <c r="I17" s="4" t="n">
        <f aca="false">-I6*Assumptions!I32/100</f>
        <v>-3703.49790080386</v>
      </c>
      <c r="J17" s="4" t="n">
        <f aca="false">-J6*Assumptions!J32/100</f>
        <v>-3796.08534832396</v>
      </c>
      <c r="K17" s="4" t="n">
        <f aca="false">-K6*Assumptions!K32/100</f>
        <v>-3890.98748203206</v>
      </c>
      <c r="L17" s="4" t="n">
        <f aca="false">-L6*Assumptions!L32/100</f>
        <v>-3988.26216908286</v>
      </c>
    </row>
    <row r="18" customFormat="false" ht="15" hidden="false" customHeight="false" outlineLevel="0" collapsed="false">
      <c r="A18" s="0" t="s">
        <v>122</v>
      </c>
      <c r="C18" s="4" t="n">
        <f aca="false">(C6-B6)*Assumptions!$B$37/100</f>
        <v>-310.70625</v>
      </c>
      <c r="D18" s="4" t="n">
        <f aca="false">(D6-C6)*Assumptions!$B$37/100</f>
        <v>-44.5345625000002</v>
      </c>
      <c r="E18" s="4" t="n">
        <f aca="false">(E6-D6)*Assumptions!$B$37/100</f>
        <v>-157.429678437499</v>
      </c>
      <c r="F18" s="4" t="n">
        <f aca="false">(F6-E6)*Assumptions!$B$37/100</f>
        <v>-162.939717182812</v>
      </c>
      <c r="G18" s="4" t="n">
        <f aca="false">(G6-F6)*Assumptions!$B$37/100</f>
        <v>-168.642607284211</v>
      </c>
      <c r="H18" s="4" t="n">
        <f aca="false">(H6-G6)*Assumptions!$B$37/100</f>
        <v>-149.610084462136</v>
      </c>
      <c r="I18" s="4" t="n">
        <f aca="false">(I6-H6)*Assumptions!$B$37/100</f>
        <v>-154.098386996</v>
      </c>
      <c r="J18" s="4" t="n">
        <f aca="false">(J6-I6)*Assumptions!$B$37/100</f>
        <v>-132.267782171566</v>
      </c>
      <c r="K18" s="4" t="n">
        <f aca="false">(K6-J6)*Assumptions!$B$37/100</f>
        <v>-135.574476725856</v>
      </c>
      <c r="L18" s="4" t="n">
        <f aca="false">(L6-K6)*Assumptions!$B$37/100</f>
        <v>-138.963838644001</v>
      </c>
    </row>
    <row r="19" customFormat="false" ht="15" hidden="false" customHeight="false" outlineLevel="0" collapsed="false">
      <c r="A19" s="0" t="s">
        <v>123</v>
      </c>
      <c r="C19" s="0" t="n">
        <f aca="false">C15+C16+C17+C18</f>
        <v>3134.042159375</v>
      </c>
      <c r="D19" s="0" t="n">
        <f aca="false">D15+D16+D17+D18</f>
        <v>3217.54331444937</v>
      </c>
      <c r="E19" s="0" t="n">
        <f aca="false">E15+E16+E17+E18</f>
        <v>3364.11659772726</v>
      </c>
      <c r="F19" s="0" t="n">
        <f aca="false">F15+F16+F17+F18</f>
        <v>3661.58551441061</v>
      </c>
      <c r="G19" s="0" t="n">
        <f aca="false">G15+G16+G17+G18</f>
        <v>3975.75621242956</v>
      </c>
      <c r="H19" s="0" t="n">
        <f aca="false">H15+H16+H17+H18</f>
        <v>4194.11524818111</v>
      </c>
      <c r="I19" s="0" t="n">
        <f aca="false">I15+I16+I17+I18</f>
        <v>4319.93870562654</v>
      </c>
      <c r="J19" s="0" t="n">
        <f aca="false">J15+J16+J17+J18</f>
        <v>4453.62023776654</v>
      </c>
      <c r="K19" s="0" t="n">
        <f aca="false">K15+K16+K17+K18</f>
        <v>4564.9607437107</v>
      </c>
      <c r="L19" s="0" t="n">
        <f aca="false">L15+L16+L17+L18</f>
        <v>4679.08476230347</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2901.89088831018</v>
      </c>
      <c r="D21" s="0" t="n">
        <f aca="false">D19*D20</f>
        <v>2758.52478947992</v>
      </c>
      <c r="E21" s="0" t="n">
        <f aca="false">E19*E20</f>
        <v>2670.54421782698</v>
      </c>
      <c r="F21" s="0" t="n">
        <f aca="false">F19*F20</f>
        <v>2691.37466165885</v>
      </c>
      <c r="G21" s="0" t="n">
        <f aca="false">G19*G20</f>
        <v>2705.83287368212</v>
      </c>
      <c r="H21" s="0" t="n">
        <f aca="false">H19*H20</f>
        <v>2643.00404105103</v>
      </c>
      <c r="I21" s="0" t="n">
        <f aca="false">I19*I20</f>
        <v>2520.64274285422</v>
      </c>
      <c r="J21" s="0" t="n">
        <f aca="false">J19*J20</f>
        <v>2406.15243785355</v>
      </c>
      <c r="K21" s="0" t="n">
        <f aca="false">K19*K20</f>
        <v>2283.61689703693</v>
      </c>
      <c r="L21" s="0" t="n">
        <f aca="false">L19*L20</f>
        <v>2167.32159209524</v>
      </c>
    </row>
    <row r="23" customFormat="false" ht="15" hidden="false" customHeight="false" outlineLevel="0" collapsed="false">
      <c r="A23" s="0" t="s">
        <v>101</v>
      </c>
      <c r="C23" s="4" t="n">
        <f aca="false">Assumptions!C30</f>
        <v>3.85</v>
      </c>
      <c r="D23" s="4" t="n">
        <f aca="false">Assumptions!D30</f>
        <v>3.85</v>
      </c>
      <c r="E23" s="4" t="n">
        <f aca="false">Assumptions!E30</f>
        <v>3.85</v>
      </c>
      <c r="F23" s="4" t="n">
        <f aca="false">Assumptions!F30</f>
        <v>3.85</v>
      </c>
      <c r="G23" s="4" t="n">
        <f aca="false">Assumptions!G30</f>
        <v>3.85</v>
      </c>
      <c r="H23" s="4" t="n">
        <f aca="false">Assumptions!H30</f>
        <v>3.85</v>
      </c>
      <c r="I23" s="4" t="n">
        <f aca="false">Assumptions!I30</f>
        <v>3.85</v>
      </c>
      <c r="J23" s="4" t="n">
        <f aca="false">Assumptions!J30</f>
        <v>3.85</v>
      </c>
      <c r="K23" s="4" t="n">
        <f aca="false">Assumptions!K30</f>
        <v>3.85</v>
      </c>
      <c r="L23" s="4" t="n">
        <f aca="false">Assumptions!L30</f>
        <v>3.85</v>
      </c>
    </row>
    <row r="24" customFormat="false" ht="15" hidden="false" customHeight="false" outlineLevel="0" collapsed="false">
      <c r="A24" s="0" t="s">
        <v>126</v>
      </c>
      <c r="C24" s="0" t="n">
        <f aca="false">-C6*C23/100</f>
        <v>-3429.1613125</v>
      </c>
      <c r="D24" s="0" t="n">
        <f aca="false">-D6*D23/100</f>
        <v>-3463.452925625</v>
      </c>
      <c r="E24" s="0" t="n">
        <f aca="false">-E6*E23/100</f>
        <v>-3584.67377802187</v>
      </c>
      <c r="F24" s="0" t="n">
        <f aca="false">-F6*F23/100</f>
        <v>-3710.13736025264</v>
      </c>
      <c r="G24" s="0" t="n">
        <f aca="false">-G6*G23/100</f>
        <v>-3839.99216786148</v>
      </c>
      <c r="H24" s="0" t="n">
        <f aca="false">-H6*H23/100</f>
        <v>-3955.19193289733</v>
      </c>
      <c r="I24" s="0" t="n">
        <f aca="false">-I6*I23/100</f>
        <v>-4073.84769088425</v>
      </c>
      <c r="J24" s="0" t="n">
        <f aca="false">-J6*J23/100</f>
        <v>-4175.69388315635</v>
      </c>
      <c r="K24" s="0" t="n">
        <f aca="false">-K6*K23/100</f>
        <v>-4280.08623023526</v>
      </c>
      <c r="L24" s="0" t="n">
        <f aca="false">-L6*L23/100</f>
        <v>-4387.08838599114</v>
      </c>
    </row>
    <row r="26" customFormat="false" ht="15" hidden="false" customHeight="false" outlineLevel="0" collapsed="false">
      <c r="A26" s="2" t="s">
        <v>127</v>
      </c>
    </row>
    <row r="27" customFormat="false" ht="15" hidden="false" customHeight="false" outlineLevel="0" collapsed="false">
      <c r="A27" s="0" t="s">
        <v>105</v>
      </c>
      <c r="B27" s="4" t="n">
        <f aca="false">Assumptions!$B$34</f>
        <v>8</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14</v>
      </c>
    </row>
    <row r="30" customFormat="false" ht="15" hidden="false" customHeight="false" outlineLevel="0" collapsed="false">
      <c r="A30" s="0" t="s">
        <v>128</v>
      </c>
      <c r="B30" s="0" t="n">
        <f aca="false">SUM(C21:L21)</f>
        <v>25748.905141849</v>
      </c>
    </row>
    <row r="31" customFormat="false" ht="15" hidden="false" customHeight="false" outlineLevel="0" collapsed="false">
      <c r="A31" s="0" t="s">
        <v>129</v>
      </c>
      <c r="B31" s="0" t="n">
        <f aca="false">L19</f>
        <v>4679.08476230347</v>
      </c>
    </row>
    <row r="32" customFormat="false" ht="15" hidden="false" customHeight="false" outlineLevel="0" collapsed="false">
      <c r="A32" s="0" t="s">
        <v>130</v>
      </c>
      <c r="B32" s="0" t="n">
        <f aca="false">IF(B27&gt;B28,B31*(1+B28/100)/((B27-B28)/100),B31*B29)</f>
        <v>79544.4409591589</v>
      </c>
    </row>
    <row r="33" customFormat="false" ht="15" hidden="false" customHeight="false" outlineLevel="0" collapsed="false">
      <c r="A33" s="0" t="s">
        <v>131</v>
      </c>
      <c r="B33" s="0" t="n">
        <f aca="false">B31*B29</f>
        <v>65507.1866722485</v>
      </c>
    </row>
    <row r="34" customFormat="false" ht="15" hidden="false" customHeight="false" outlineLevel="0" collapsed="false">
      <c r="A34" s="0" t="s">
        <v>132</v>
      </c>
      <c r="B34" s="0" t="n">
        <f aca="false">MAX(0,MIN(B32,B33))</f>
        <v>65507.1866722485</v>
      </c>
    </row>
    <row r="35" customFormat="false" ht="15" hidden="false" customHeight="false" outlineLevel="0" collapsed="false">
      <c r="A35" s="0" t="s">
        <v>133</v>
      </c>
      <c r="B35" s="0" t="n">
        <f aca="false">B34/(1+B27/100)^L4</f>
        <v>30342.5022893333</v>
      </c>
    </row>
    <row r="36" customFormat="false" ht="15" hidden="false" customHeight="false" outlineLevel="0" collapsed="false">
      <c r="A36" s="0" t="s">
        <v>134</v>
      </c>
      <c r="B36" s="0" t="n">
        <f aca="false">B30+B35</f>
        <v>56091.4074311823</v>
      </c>
    </row>
    <row r="37" customFormat="false" ht="15" hidden="false" customHeight="false" outlineLevel="0" collapsed="false">
      <c r="A37" s="0" t="s">
        <v>135</v>
      </c>
      <c r="B37" s="0" t="n">
        <f aca="false">B36+Assumptions!$B$5-Assumptions!$B$4</f>
        <v>42238.4074311823</v>
      </c>
    </row>
    <row r="38" customFormat="false" ht="15" hidden="false" customHeight="false" outlineLevel="0" collapsed="false">
      <c r="A38" s="0" t="s">
        <v>136</v>
      </c>
      <c r="B38" s="0" t="n">
        <f aca="false">B37/Assumptions!$B$3*Assumptions!$B$10</f>
        <v>37.6121170357812</v>
      </c>
    </row>
    <row r="39" customFormat="false" ht="15" hidden="false" customHeight="false" outlineLevel="0" collapsed="false">
      <c r="A39" s="0" t="s">
        <v>137</v>
      </c>
      <c r="B39" s="4" t="n">
        <f aca="false">B38/Assumptions!$B$2-1</f>
        <v>-0.343363878565272</v>
      </c>
    </row>
    <row r="41" customFormat="false" ht="15" hidden="false" customHeight="false" outlineLevel="0" collapsed="false">
      <c r="A41" s="0" t="s">
        <v>138</v>
      </c>
      <c r="B41" s="0" t="n">
        <f aca="false">SUMPRODUCT(-C10:L10/(1+$B$27/100)^C4:L4)</f>
        <v>1397.96166979404</v>
      </c>
    </row>
    <row r="42" customFormat="false" ht="15" hidden="false" customHeight="false" outlineLevel="0" collapsed="false">
      <c r="A42" s="0" t="s">
        <v>139</v>
      </c>
      <c r="B42" s="0" t="n">
        <f aca="false">IF(B27&gt;B28,-L10*(1+B28/100)/((B27-B28)/100),-L10*20)/(1+B27/100)^L4</f>
        <v>1884.28380680355</v>
      </c>
    </row>
    <row r="43" customFormat="false" ht="15" hidden="false" customHeight="false" outlineLevel="0" collapsed="false">
      <c r="A43" s="0" t="s">
        <v>140</v>
      </c>
      <c r="B43" s="0" t="n">
        <f aca="false">(B37+B41+B42)/Assumptions!$B$3*Assumptions!$B$10</f>
        <v>40.5348645661442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36712.8189042272</v>
      </c>
    </row>
    <row r="47" customFormat="false" ht="15" hidden="false" customHeight="false" outlineLevel="0" collapsed="false">
      <c r="A47" s="0" t="s">
        <v>142</v>
      </c>
      <c r="B47" s="0" t="n">
        <f aca="false">(SUMPRODUCT(C19:L19/(1+B45/100)^C4:L4)+B46/(1+B45/100)^L4+Assumptions!$B$5-Assumptions!$B$4)/Assumptions!$B$3*Assumptions!$B$10</f>
        <v>12.4751225315777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8.5</v>
      </c>
      <c r="D5" s="4" t="n">
        <f aca="false">Assumptions!D41</f>
        <v>4</v>
      </c>
      <c r="E5" s="4" t="n">
        <f aca="false">Assumptions!E41</f>
        <v>5</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37</v>
      </c>
      <c r="B6" s="3" t="n">
        <v>82855</v>
      </c>
      <c r="C6" s="0" t="n">
        <f aca="false">B6*(1+C5/100)</f>
        <v>89897.675</v>
      </c>
      <c r="D6" s="0" t="n">
        <f aca="false">C6*(1+D5/100)</f>
        <v>93493.582</v>
      </c>
      <c r="E6" s="0" t="n">
        <f aca="false">D6*(1+E5/100)</f>
        <v>98168.2611</v>
      </c>
      <c r="F6" s="0" t="n">
        <f aca="false">E6*(1+F5/100)</f>
        <v>103076.674155</v>
      </c>
      <c r="G6" s="0" t="n">
        <f aca="false">F6*(1+G5/100)</f>
        <v>107715.124491975</v>
      </c>
      <c r="H6" s="0" t="n">
        <f aca="false">G6*(1+H5/100)</f>
        <v>112023.729471654</v>
      </c>
      <c r="I6" s="0" t="n">
        <f aca="false">H6*(1+I5/100)</f>
        <v>115944.560003162</v>
      </c>
      <c r="J6" s="0" t="n">
        <f aca="false">I6*(1+J5/100)</f>
        <v>119422.896803257</v>
      </c>
      <c r="K6" s="0" t="n">
        <f aca="false">J6*(1+K5/100)</f>
        <v>123005.583707354</v>
      </c>
      <c r="L6" s="0" t="n">
        <f aca="false">K6*(1+L5/100)</f>
        <v>126695.751218575</v>
      </c>
    </row>
    <row r="7" customFormat="false" ht="15" hidden="false" customHeight="false" outlineLevel="0" collapsed="false">
      <c r="A7" s="0" t="s">
        <v>99</v>
      </c>
      <c r="C7" s="4" t="n">
        <f aca="false">Assumptions!C42</f>
        <v>13.7</v>
      </c>
      <c r="D7" s="4" t="n">
        <f aca="false">Assumptions!D42</f>
        <v>13.6</v>
      </c>
      <c r="E7" s="4" t="n">
        <f aca="false">Assumptions!E42</f>
        <v>13.8</v>
      </c>
      <c r="F7" s="4" t="n">
        <f aca="false">Assumptions!F42</f>
        <v>14</v>
      </c>
      <c r="G7" s="4" t="n">
        <f aca="false">Assumptions!G42</f>
        <v>14.2</v>
      </c>
      <c r="H7" s="4" t="n">
        <f aca="false">Assumptions!H42</f>
        <v>14.3</v>
      </c>
      <c r="I7" s="4" t="n">
        <f aca="false">Assumptions!I42</f>
        <v>14.4</v>
      </c>
      <c r="J7" s="4" t="n">
        <f aca="false">Assumptions!J42</f>
        <v>14.4</v>
      </c>
      <c r="K7" s="4" t="n">
        <f aca="false">Assumptions!K42</f>
        <v>14.4</v>
      </c>
      <c r="L7" s="4" t="n">
        <f aca="false">Assumptions!L42</f>
        <v>14.4</v>
      </c>
    </row>
    <row r="8" customFormat="false" ht="15" hidden="false" customHeight="false" outlineLevel="0" collapsed="false">
      <c r="A8" s="0" t="s">
        <v>43</v>
      </c>
      <c r="C8" s="0" t="n">
        <f aca="false">C6*C7/100</f>
        <v>12315.981475</v>
      </c>
      <c r="D8" s="0" t="n">
        <f aca="false">D6*D7/100</f>
        <v>12715.127152</v>
      </c>
      <c r="E8" s="0" t="n">
        <f aca="false">E6*E7/100</f>
        <v>13547.2200318</v>
      </c>
      <c r="F8" s="0" t="n">
        <f aca="false">F6*F7/100</f>
        <v>14430.7343817</v>
      </c>
      <c r="G8" s="0" t="n">
        <f aca="false">G6*G7/100</f>
        <v>15295.5476778605</v>
      </c>
      <c r="H8" s="0" t="n">
        <f aca="false">H6*H7/100</f>
        <v>16019.3933144465</v>
      </c>
      <c r="I8" s="0" t="n">
        <f aca="false">I6*I7/100</f>
        <v>16696.0166404553</v>
      </c>
      <c r="J8" s="0" t="n">
        <f aca="false">J6*J7/100</f>
        <v>17196.897139669</v>
      </c>
      <c r="K8" s="0" t="n">
        <f aca="false">K6*K7/100</f>
        <v>17712.804053859</v>
      </c>
      <c r="L8" s="0" t="n">
        <f aca="false">L6*L7/100</f>
        <v>18244.1881754748</v>
      </c>
    </row>
    <row r="9" customFormat="false" ht="15" hidden="false" customHeight="false" outlineLevel="0" collapsed="false">
      <c r="A9" s="0" t="s">
        <v>100</v>
      </c>
      <c r="C9" s="4" t="n">
        <f aca="false">Assumptions!C43</f>
        <v>0.21</v>
      </c>
      <c r="D9" s="4" t="n">
        <f aca="false">Assumptions!D43</f>
        <v>0.21</v>
      </c>
      <c r="E9" s="4" t="n">
        <f aca="false">Assumptions!E43</f>
        <v>0.21</v>
      </c>
      <c r="F9" s="4" t="n">
        <f aca="false">Assumptions!F43</f>
        <v>0.21</v>
      </c>
      <c r="G9" s="4" t="n">
        <f aca="false">Assumptions!G43</f>
        <v>0.21</v>
      </c>
      <c r="H9" s="4" t="n">
        <f aca="false">Assumptions!H43</f>
        <v>0.21</v>
      </c>
      <c r="I9" s="4" t="n">
        <f aca="false">Assumptions!I43</f>
        <v>0.21</v>
      </c>
      <c r="J9" s="4" t="n">
        <f aca="false">Assumptions!J43</f>
        <v>0.21</v>
      </c>
      <c r="K9" s="4" t="n">
        <f aca="false">Assumptions!K43</f>
        <v>0.21</v>
      </c>
      <c r="L9" s="4" t="n">
        <f aca="false">Assumptions!L43</f>
        <v>0.21</v>
      </c>
    </row>
    <row r="10" customFormat="false" ht="15" hidden="false" customHeight="false" outlineLevel="0" collapsed="false">
      <c r="A10" s="0" t="s">
        <v>115</v>
      </c>
      <c r="C10" s="0" t="n">
        <f aca="false">-C6*C9/100</f>
        <v>-188.7851175</v>
      </c>
      <c r="D10" s="0" t="n">
        <f aca="false">-D6*D9/100</f>
        <v>-196.3365222</v>
      </c>
      <c r="E10" s="0" t="n">
        <f aca="false">-E6*E9/100</f>
        <v>-206.15334831</v>
      </c>
      <c r="F10" s="0" t="n">
        <f aca="false">-F6*F9/100</f>
        <v>-216.4610157255</v>
      </c>
      <c r="G10" s="0" t="n">
        <f aca="false">-G6*G9/100</f>
        <v>-226.201761433148</v>
      </c>
      <c r="H10" s="0" t="n">
        <f aca="false">-H6*H9/100</f>
        <v>-235.249831890473</v>
      </c>
      <c r="I10" s="0" t="n">
        <f aca="false">-I6*I9/100</f>
        <v>-243.48357600664</v>
      </c>
      <c r="J10" s="0" t="n">
        <f aca="false">-J6*J9/100</f>
        <v>-250.788083286839</v>
      </c>
      <c r="K10" s="0" t="n">
        <f aca="false">-K6*K9/100</f>
        <v>-258.311725785444</v>
      </c>
      <c r="L10" s="0" t="n">
        <f aca="false">-L6*L9/100</f>
        <v>-266.061077559008</v>
      </c>
    </row>
    <row r="11" customFormat="false" ht="15" hidden="false" customHeight="false" outlineLevel="0" collapsed="false">
      <c r="A11" s="0" t="s">
        <v>116</v>
      </c>
      <c r="C11" s="0" t="n">
        <f aca="false">C8+C10+C24</f>
        <v>8666.13587</v>
      </c>
      <c r="D11" s="0" t="n">
        <f aca="false">D8+D10+D24</f>
        <v>8966.0345138</v>
      </c>
      <c r="E11" s="0" t="n">
        <f aca="false">E8+E10+E24</f>
        <v>9610.67276169</v>
      </c>
      <c r="F11" s="0" t="n">
        <f aca="false">F8+F10+F24</f>
        <v>10348.898085162</v>
      </c>
      <c r="G11" s="0" t="n">
        <f aca="false">G8+G10+G24</f>
        <v>11030.0287479782</v>
      </c>
      <c r="H11" s="0" t="n">
        <f aca="false">H8+H10+H24</f>
        <v>11583.253627369</v>
      </c>
      <c r="I11" s="0" t="n">
        <f aca="false">I8+I10+I24</f>
        <v>12104.6120643301</v>
      </c>
      <c r="J11" s="0" t="n">
        <f aca="false">J8+J10+J24</f>
        <v>12467.75042626</v>
      </c>
      <c r="K11" s="0" t="n">
        <f aca="false">K8+K10+K24</f>
        <v>12841.7829390478</v>
      </c>
      <c r="L11" s="0" t="n">
        <f aca="false">L8+L10+L24</f>
        <v>13227.0364272192</v>
      </c>
    </row>
    <row r="12" customFormat="false" ht="15" hidden="false" customHeight="false" outlineLevel="0" collapsed="false">
      <c r="A12" s="0" t="s">
        <v>117</v>
      </c>
      <c r="C12" s="4" t="n">
        <f aca="false">-C6*Assumptions!C45/100</f>
        <v>-2562.0837375</v>
      </c>
      <c r="D12" s="4" t="n">
        <f aca="false">-D6*Assumptions!D45/100</f>
        <v>-2758.060669</v>
      </c>
      <c r="E12" s="4" t="n">
        <f aca="false">-E6*Assumptions!E45/100</f>
        <v>-2945.047833</v>
      </c>
      <c r="F12" s="4" t="n">
        <f aca="false">-F6*Assumptions!F45/100</f>
        <v>-3143.8385617275</v>
      </c>
      <c r="G12" s="4" t="n">
        <f aca="false">-G6*Assumptions!G45/100</f>
        <v>-3339.16885925123</v>
      </c>
      <c r="H12" s="4" t="n">
        <f aca="false">-H6*Assumptions!H45/100</f>
        <v>-3472.73561362127</v>
      </c>
      <c r="I12" s="4" t="n">
        <f aca="false">-I6*Assumptions!I45/100</f>
        <v>-3594.28136009802</v>
      </c>
      <c r="J12" s="4" t="n">
        <f aca="false">-J6*Assumptions!J45/100</f>
        <v>-3702.10980090096</v>
      </c>
      <c r="K12" s="4" t="n">
        <f aca="false">-K6*Assumptions!K45/100</f>
        <v>-3813.17309492799</v>
      </c>
      <c r="L12" s="4" t="n">
        <f aca="false">-L6*Assumptions!L45/100</f>
        <v>-3927.56828777583</v>
      </c>
    </row>
    <row r="13" customFormat="false" ht="15" hidden="false" customHeight="false" outlineLevel="0" collapsed="false">
      <c r="A13" s="0" t="s">
        <v>118</v>
      </c>
      <c r="C13" s="0" t="n">
        <f aca="false">C11+C12</f>
        <v>6104.0521325</v>
      </c>
      <c r="D13" s="0" t="n">
        <f aca="false">D11+D12</f>
        <v>6207.9738448</v>
      </c>
      <c r="E13" s="0" t="n">
        <f aca="false">E11+E12</f>
        <v>6665.62492869</v>
      </c>
      <c r="F13" s="0" t="n">
        <f aca="false">F11+F12</f>
        <v>7205.0595234345</v>
      </c>
      <c r="G13" s="0" t="n">
        <f aca="false">G11+G12</f>
        <v>7690.85988872702</v>
      </c>
      <c r="H13" s="0" t="n">
        <f aca="false">H11+H12</f>
        <v>8110.51801374775</v>
      </c>
      <c r="I13" s="0" t="n">
        <f aca="false">I11+I12</f>
        <v>8510.33070423208</v>
      </c>
      <c r="J13" s="0" t="n">
        <f aca="false">J11+J12</f>
        <v>8765.64062535905</v>
      </c>
      <c r="K13" s="0" t="n">
        <f aca="false">K11+K12</f>
        <v>9028.60984411982</v>
      </c>
      <c r="L13" s="0" t="n">
        <f aca="false">L11+L12</f>
        <v>9299.46813944341</v>
      </c>
    </row>
    <row r="14" customFormat="false" ht="15" hidden="false" customHeight="false" outlineLevel="0" collapsed="false">
      <c r="A14" s="0" t="s">
        <v>104</v>
      </c>
      <c r="C14" s="4" t="n">
        <f aca="false">Assumptions!C47</f>
        <v>25</v>
      </c>
      <c r="D14" s="4" t="n">
        <f aca="false">Assumptions!D47</f>
        <v>26.5</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119</v>
      </c>
      <c r="C15" s="0" t="n">
        <f aca="false">C13-MAX(0,C13)*C14/100</f>
        <v>4578.039099375</v>
      </c>
      <c r="D15" s="0" t="n">
        <f aca="false">D13-MAX(0,D13)*D14/100</f>
        <v>4562.860775928</v>
      </c>
      <c r="E15" s="0" t="n">
        <f aca="false">E13-MAX(0,E13)*E14/100</f>
        <v>4865.9061979437</v>
      </c>
      <c r="F15" s="0" t="n">
        <f aca="false">F13-MAX(0,F13)*F14/100</f>
        <v>5259.69345210719</v>
      </c>
      <c r="G15" s="0" t="n">
        <f aca="false">G13-MAX(0,G13)*G14/100</f>
        <v>5614.32771877072</v>
      </c>
      <c r="H15" s="0" t="n">
        <f aca="false">H13-MAX(0,H13)*H14/100</f>
        <v>5920.67815003586</v>
      </c>
      <c r="I15" s="0" t="n">
        <f aca="false">I13-MAX(0,I13)*I14/100</f>
        <v>6212.54141408942</v>
      </c>
      <c r="J15" s="0" t="n">
        <f aca="false">J13-MAX(0,J13)*J14/100</f>
        <v>6398.9176565121</v>
      </c>
      <c r="K15" s="0" t="n">
        <f aca="false">K13-MAX(0,K13)*K14/100</f>
        <v>6590.88518620747</v>
      </c>
      <c r="L15" s="0" t="n">
        <f aca="false">L13-MAX(0,L13)*L14/100</f>
        <v>6788.61174179369</v>
      </c>
    </row>
    <row r="16" customFormat="false" ht="15" hidden="false" customHeight="false" outlineLevel="0" collapsed="false">
      <c r="A16" s="0" t="s">
        <v>120</v>
      </c>
      <c r="C16" s="0" t="n">
        <f aca="false">-C12</f>
        <v>2562.0837375</v>
      </c>
      <c r="D16" s="0" t="n">
        <f aca="false">-D12</f>
        <v>2758.060669</v>
      </c>
      <c r="E16" s="0" t="n">
        <f aca="false">-E12</f>
        <v>2945.047833</v>
      </c>
      <c r="F16" s="0" t="n">
        <f aca="false">-F12</f>
        <v>3143.8385617275</v>
      </c>
      <c r="G16" s="0" t="n">
        <f aca="false">-G12</f>
        <v>3339.16885925123</v>
      </c>
      <c r="H16" s="0" t="n">
        <f aca="false">-H12</f>
        <v>3472.73561362127</v>
      </c>
      <c r="I16" s="0" t="n">
        <f aca="false">-I12</f>
        <v>3594.28136009802</v>
      </c>
      <c r="J16" s="0" t="n">
        <f aca="false">-J12</f>
        <v>3702.10980090096</v>
      </c>
      <c r="K16" s="0" t="n">
        <f aca="false">-K12</f>
        <v>3813.17309492799</v>
      </c>
      <c r="L16" s="0" t="n">
        <f aca="false">-L12</f>
        <v>3927.56828777583</v>
      </c>
    </row>
    <row r="17" customFormat="false" ht="15" hidden="false" customHeight="false" outlineLevel="0" collapsed="false">
      <c r="A17" s="0" t="s">
        <v>121</v>
      </c>
      <c r="C17" s="4" t="n">
        <f aca="false">-C6*Assumptions!C46/100</f>
        <v>-3595.907</v>
      </c>
      <c r="D17" s="4" t="n">
        <f aca="false">-D6*Assumptions!D46/100</f>
        <v>-3552.756116</v>
      </c>
      <c r="E17" s="4" t="n">
        <f aca="false">-E6*Assumptions!E46/100</f>
        <v>-3534.0573996</v>
      </c>
      <c r="F17" s="4" t="n">
        <f aca="false">-F6*Assumptions!F46/100</f>
        <v>-3607.683595425</v>
      </c>
      <c r="G17" s="4" t="n">
        <f aca="false">-G6*Assumptions!G46/100</f>
        <v>-3662.31423272715</v>
      </c>
      <c r="H17" s="4" t="n">
        <f aca="false">-H6*Assumptions!H46/100</f>
        <v>-3808.80680203624</v>
      </c>
      <c r="I17" s="4" t="n">
        <f aca="false">-I6*Assumptions!I46/100</f>
        <v>-3942.1150401075</v>
      </c>
      <c r="J17" s="4" t="n">
        <f aca="false">-J6*Assumptions!J46/100</f>
        <v>-4060.37849131073</v>
      </c>
      <c r="K17" s="4" t="n">
        <f aca="false">-K6*Assumptions!K46/100</f>
        <v>-4182.18984605005</v>
      </c>
      <c r="L17" s="4" t="n">
        <f aca="false">-L6*Assumptions!L46/100</f>
        <v>-4307.65554143155</v>
      </c>
    </row>
    <row r="18" customFormat="false" ht="15" hidden="false" customHeight="false" outlineLevel="0" collapsed="false">
      <c r="A18" s="0" t="s">
        <v>122</v>
      </c>
      <c r="C18" s="4" t="n">
        <f aca="false">(C6-B6)*Assumptions!$B$51/100</f>
        <v>-352.13375</v>
      </c>
      <c r="D18" s="4" t="n">
        <f aca="false">(D6-C6)*Assumptions!$B$51/100</f>
        <v>-179.79535</v>
      </c>
      <c r="E18" s="4" t="n">
        <f aca="false">(E6-D6)*Assumptions!$B$51/100</f>
        <v>-233.733955</v>
      </c>
      <c r="F18" s="4" t="n">
        <f aca="false">(F6-E6)*Assumptions!$B$51/100</f>
        <v>-245.420652750001</v>
      </c>
      <c r="G18" s="4" t="n">
        <f aca="false">(G6-F6)*Assumptions!$B$51/100</f>
        <v>-231.922516848749</v>
      </c>
      <c r="H18" s="4" t="n">
        <f aca="false">(H6-G6)*Assumptions!$B$51/100</f>
        <v>-215.43024898395</v>
      </c>
      <c r="I18" s="4" t="n">
        <f aca="false">(I6-H6)*Assumptions!$B$51/100</f>
        <v>-196.041526575394</v>
      </c>
      <c r="J18" s="4" t="n">
        <f aca="false">(J6-I6)*Assumptions!$B$51/100</f>
        <v>-173.916840004743</v>
      </c>
      <c r="K18" s="4" t="n">
        <f aca="false">(K6-J6)*Assumptions!$B$51/100</f>
        <v>-179.134345204885</v>
      </c>
      <c r="L18" s="4" t="n">
        <f aca="false">(L6-K6)*Assumptions!$B$51/100</f>
        <v>-184.508375561032</v>
      </c>
    </row>
    <row r="19" customFormat="false" ht="15" hidden="false" customHeight="false" outlineLevel="0" collapsed="false">
      <c r="A19" s="0" t="s">
        <v>123</v>
      </c>
      <c r="C19" s="0" t="n">
        <f aca="false">C15+C16+C17+C18</f>
        <v>3192.082086875</v>
      </c>
      <c r="D19" s="0" t="n">
        <f aca="false">D15+D16+D17+D18</f>
        <v>3588.369978928</v>
      </c>
      <c r="E19" s="0" t="n">
        <f aca="false">E15+E16+E17+E18</f>
        <v>4043.1626763437</v>
      </c>
      <c r="F19" s="0" t="n">
        <f aca="false">F15+F16+F17+F18</f>
        <v>4550.42776565969</v>
      </c>
      <c r="G19" s="0" t="n">
        <f aca="false">G15+G16+G17+G18</f>
        <v>5059.25982844605</v>
      </c>
      <c r="H19" s="0" t="n">
        <f aca="false">H15+H16+H17+H18</f>
        <v>5369.17671263695</v>
      </c>
      <c r="I19" s="0" t="n">
        <f aca="false">I15+I16+I17+I18</f>
        <v>5668.66620750454</v>
      </c>
      <c r="J19" s="0" t="n">
        <f aca="false">J15+J16+J17+J18</f>
        <v>5866.73212609759</v>
      </c>
      <c r="K19" s="0" t="n">
        <f aca="false">K15+K16+K17+K18</f>
        <v>6042.73408988052</v>
      </c>
      <c r="L19" s="0" t="n">
        <f aca="false">L15+L16+L17+L18</f>
        <v>6224.01611257694</v>
      </c>
    </row>
    <row r="20" customFormat="false" ht="15" hidden="false" customHeight="false" outlineLevel="0" collapsed="false">
      <c r="A20" s="0" t="s">
        <v>124</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125</v>
      </c>
      <c r="C21" s="0" t="n">
        <f aca="false">C19*C20</f>
        <v>2955.6315619213</v>
      </c>
      <c r="D21" s="0" t="n">
        <f aca="false">D19*D20</f>
        <v>3076.44888454047</v>
      </c>
      <c r="E21" s="0" t="n">
        <f aca="false">E19*E20</f>
        <v>3209.59288817103</v>
      </c>
      <c r="F21" s="0" t="n">
        <f aca="false">F19*F20</f>
        <v>3344.70025075373</v>
      </c>
      <c r="G21" s="0" t="n">
        <f aca="false">G19*G20</f>
        <v>3443.24722866825</v>
      </c>
      <c r="H21" s="0" t="n">
        <f aca="false">H19*H20</f>
        <v>3383.49208567188</v>
      </c>
      <c r="I21" s="0" t="n">
        <f aca="false">I19*I20</f>
        <v>3307.61228602592</v>
      </c>
      <c r="J21" s="0" t="n">
        <f aca="false">J19*J20</f>
        <v>3169.61282143865</v>
      </c>
      <c r="K21" s="0" t="n">
        <f aca="false">K19*K20</f>
        <v>3022.87148711279</v>
      </c>
      <c r="L21" s="0" t="n">
        <f aca="false">L19*L20</f>
        <v>2882.92373307979</v>
      </c>
    </row>
    <row r="23" customFormat="false" ht="15" hidden="false" customHeight="false" outlineLevel="0" collapsed="false">
      <c r="A23" s="0" t="s">
        <v>101</v>
      </c>
      <c r="C23" s="4" t="n">
        <f aca="false">Assumptions!C44</f>
        <v>3.85</v>
      </c>
      <c r="D23" s="4" t="n">
        <f aca="false">Assumptions!D44</f>
        <v>3.8</v>
      </c>
      <c r="E23" s="4" t="n">
        <f aca="false">Assumptions!E44</f>
        <v>3.8</v>
      </c>
      <c r="F23" s="4" t="n">
        <f aca="false">Assumptions!F44</f>
        <v>3.75</v>
      </c>
      <c r="G23" s="4" t="n">
        <f aca="false">Assumptions!G44</f>
        <v>3.75</v>
      </c>
      <c r="H23" s="4" t="n">
        <f aca="false">Assumptions!H44</f>
        <v>3.75</v>
      </c>
      <c r="I23" s="4" t="n">
        <f aca="false">Assumptions!I44</f>
        <v>3.75</v>
      </c>
      <c r="J23" s="4" t="n">
        <f aca="false">Assumptions!J44</f>
        <v>3.75</v>
      </c>
      <c r="K23" s="4" t="n">
        <f aca="false">Assumptions!K44</f>
        <v>3.75</v>
      </c>
      <c r="L23" s="4" t="n">
        <f aca="false">Assumptions!L44</f>
        <v>3.75</v>
      </c>
    </row>
    <row r="24" customFormat="false" ht="15" hidden="false" customHeight="false" outlineLevel="0" collapsed="false">
      <c r="A24" s="0" t="s">
        <v>126</v>
      </c>
      <c r="C24" s="0" t="n">
        <f aca="false">-C6*C23/100</f>
        <v>-3461.0604875</v>
      </c>
      <c r="D24" s="0" t="n">
        <f aca="false">-D6*D23/100</f>
        <v>-3552.756116</v>
      </c>
      <c r="E24" s="0" t="n">
        <f aca="false">-E6*E23/100</f>
        <v>-3730.3939218</v>
      </c>
      <c r="F24" s="0" t="n">
        <f aca="false">-F6*F23/100</f>
        <v>-3865.3752808125</v>
      </c>
      <c r="G24" s="0" t="n">
        <f aca="false">-G6*G23/100</f>
        <v>-4039.31716844906</v>
      </c>
      <c r="H24" s="0" t="n">
        <f aca="false">-H6*H23/100</f>
        <v>-4200.88985518703</v>
      </c>
      <c r="I24" s="0" t="n">
        <f aca="false">-I6*I23/100</f>
        <v>-4347.92100011857</v>
      </c>
      <c r="J24" s="0" t="n">
        <f aca="false">-J6*J23/100</f>
        <v>-4478.35863012213</v>
      </c>
      <c r="K24" s="0" t="n">
        <f aca="false">-K6*K23/100</f>
        <v>-4612.70938902579</v>
      </c>
      <c r="L24" s="0" t="n">
        <f aca="false">-L6*L23/100</f>
        <v>-4751.09067069657</v>
      </c>
    </row>
    <row r="26" customFormat="false" ht="15" hidden="false" customHeight="false" outlineLevel="0" collapsed="false">
      <c r="A26" s="2" t="s">
        <v>127</v>
      </c>
    </row>
    <row r="27" customFormat="false" ht="15" hidden="false" customHeight="false" outlineLevel="0" collapsed="false">
      <c r="A27" s="0" t="s">
        <v>105</v>
      </c>
      <c r="B27" s="4" t="n">
        <f aca="false">Assumptions!$B$48</f>
        <v>8</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14</v>
      </c>
    </row>
    <row r="30" customFormat="false" ht="15" hidden="false" customHeight="false" outlineLevel="0" collapsed="false">
      <c r="A30" s="0" t="s">
        <v>128</v>
      </c>
      <c r="B30" s="0" t="n">
        <f aca="false">SUM(C21:L21)</f>
        <v>31796.1332273838</v>
      </c>
    </row>
    <row r="31" customFormat="false" ht="15" hidden="false" customHeight="false" outlineLevel="0" collapsed="false">
      <c r="A31" s="0" t="s">
        <v>129</v>
      </c>
      <c r="B31" s="0" t="n">
        <f aca="false">L19</f>
        <v>6224.01611257694</v>
      </c>
    </row>
    <row r="32" customFormat="false" ht="15" hidden="false" customHeight="false" outlineLevel="0" collapsed="false">
      <c r="A32" s="0" t="s">
        <v>130</v>
      </c>
      <c r="B32" s="0" t="n">
        <f aca="false">IF(B27&gt;B28,B31*(1+B28/100)/((B27-B28)/100),B31*B29)</f>
        <v>115993.02755257</v>
      </c>
    </row>
    <row r="33" customFormat="false" ht="15" hidden="false" customHeight="false" outlineLevel="0" collapsed="false">
      <c r="A33" s="0" t="s">
        <v>131</v>
      </c>
      <c r="B33" s="0" t="n">
        <f aca="false">B31*B29</f>
        <v>87136.2255760771</v>
      </c>
    </row>
    <row r="34" customFormat="false" ht="15" hidden="false" customHeight="false" outlineLevel="0" collapsed="false">
      <c r="A34" s="0" t="s">
        <v>132</v>
      </c>
      <c r="B34" s="0" t="n">
        <f aca="false">MAX(0,MIN(B32,B33))</f>
        <v>87136.2255760771</v>
      </c>
    </row>
    <row r="35" customFormat="false" ht="15" hidden="false" customHeight="false" outlineLevel="0" collapsed="false">
      <c r="A35" s="0" t="s">
        <v>133</v>
      </c>
      <c r="B35" s="0" t="n">
        <f aca="false">B34/(1+B27/100)^L4</f>
        <v>40360.932263117</v>
      </c>
    </row>
    <row r="36" customFormat="false" ht="15" hidden="false" customHeight="false" outlineLevel="0" collapsed="false">
      <c r="A36" s="0" t="s">
        <v>134</v>
      </c>
      <c r="B36" s="0" t="n">
        <f aca="false">B30+B35</f>
        <v>72157.0654905008</v>
      </c>
    </row>
    <row r="37" customFormat="false" ht="15" hidden="false" customHeight="false" outlineLevel="0" collapsed="false">
      <c r="A37" s="0" t="s">
        <v>135</v>
      </c>
      <c r="B37" s="0" t="n">
        <f aca="false">B36+Assumptions!$B$5-Assumptions!$B$4</f>
        <v>58304.0654905008</v>
      </c>
    </row>
    <row r="38" customFormat="false" ht="15" hidden="false" customHeight="false" outlineLevel="0" collapsed="false">
      <c r="A38" s="0" t="s">
        <v>136</v>
      </c>
      <c r="B38" s="0" t="n">
        <f aca="false">B37/Assumptions!$B$3*Assumptions!$B$10</f>
        <v>51.9181348980417</v>
      </c>
    </row>
    <row r="39" customFormat="false" ht="15" hidden="false" customHeight="false" outlineLevel="0" collapsed="false">
      <c r="A39" s="0" t="s">
        <v>137</v>
      </c>
      <c r="B39" s="4" t="n">
        <f aca="false">B38/Assumptions!$B$2-1</f>
        <v>-0.0936079801319538</v>
      </c>
    </row>
    <row r="41" customFormat="false" ht="15" hidden="false" customHeight="false" outlineLevel="0" collapsed="false">
      <c r="A41" s="0" t="s">
        <v>138</v>
      </c>
      <c r="B41" s="0" t="n">
        <f aca="false">SUMPRODUCT(-C10:L10/(1+$B$27/100)^C4:L4)</f>
        <v>1498.10211540048</v>
      </c>
    </row>
    <row r="42" customFormat="false" ht="15" hidden="false" customHeight="false" outlineLevel="0" collapsed="false">
      <c r="A42" s="0" t="s">
        <v>139</v>
      </c>
      <c r="B42" s="0" t="n">
        <f aca="false">IF(B27&gt;B28,-L10*(1+B28/100)/((B27-B28)/100),-L10*20)/(1+B27/100)^L4</f>
        <v>2296.70368221963</v>
      </c>
    </row>
    <row r="43" customFormat="false" ht="15" hidden="false" customHeight="false" outlineLevel="0" collapsed="false">
      <c r="A43" s="0" t="s">
        <v>140</v>
      </c>
      <c r="B43" s="0" t="n">
        <f aca="false">(B37+B41+B42)/Assumptions!$B$3*Assumptions!$B$10</f>
        <v>55.2973030170266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51036.9321231309</v>
      </c>
    </row>
    <row r="47" customFormat="false" ht="15" hidden="false" customHeight="false" outlineLevel="0" collapsed="false">
      <c r="A47" s="0" t="s">
        <v>142</v>
      </c>
      <c r="B47" s="0" t="n">
        <f aca="false">(SUMPRODUCT(C19:L19/(1+B45/100)^C4:L4)+B46/(1+B45/100)^L4+Assumptions!$B$5-Assumptions!$B$4)/Assumptions!$B$3*Assumptions!$B$10</f>
        <v>19.2818012739127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22.0356287341568</v>
      </c>
      <c r="C4" s="0" t="n">
        <f aca="false">B4/Assumptions!$B$2-1</f>
        <v>-0.615299777685809</v>
      </c>
      <c r="D4" s="4" t="n">
        <f aca="false">Assumptions!$B$24</f>
        <v>0.25</v>
      </c>
      <c r="E4" s="4" t="n">
        <f aca="false">DCF_Bear!$B$43</f>
        <v>24.4924917563698</v>
      </c>
      <c r="F4" s="4" t="n">
        <f aca="false">DCF_Bear!$B$47</f>
        <v>5.153425475959</v>
      </c>
    </row>
    <row r="5" customFormat="false" ht="15" hidden="false" customHeight="false" outlineLevel="0" collapsed="false">
      <c r="A5" s="0" t="s">
        <v>151</v>
      </c>
      <c r="B5" s="4" t="n">
        <f aca="false">DCF_Base!$B$38</f>
        <v>37.6121170357812</v>
      </c>
      <c r="C5" s="0" t="n">
        <f aca="false">B5/Assumptions!$B$2-1</f>
        <v>-0.343363878565272</v>
      </c>
      <c r="D5" s="4" t="n">
        <f aca="false">Assumptions!$B$38</f>
        <v>0.5</v>
      </c>
      <c r="E5" s="4" t="n">
        <f aca="false">DCF_Base!$B$43</f>
        <v>40.5348645661442</v>
      </c>
      <c r="F5" s="4" t="n">
        <f aca="false">DCF_Base!$B$47</f>
        <v>12.4751225315777</v>
      </c>
    </row>
    <row r="6" customFormat="false" ht="15" hidden="false" customHeight="false" outlineLevel="0" collapsed="false">
      <c r="A6" s="0" t="s">
        <v>152</v>
      </c>
      <c r="B6" s="4" t="n">
        <f aca="false">DCF_Bull!$B$38</f>
        <v>51.9181348980417</v>
      </c>
      <c r="C6" s="0" t="n">
        <f aca="false">B6/Assumptions!$B$2-1</f>
        <v>-0.0936079801319538</v>
      </c>
      <c r="D6" s="4" t="n">
        <f aca="false">Assumptions!$B$52</f>
        <v>0.25</v>
      </c>
      <c r="E6" s="4" t="n">
        <f aca="false">DCF_Bull!$B$43</f>
        <v>55.2973030170266</v>
      </c>
      <c r="F6" s="4" t="n">
        <f aca="false">DCF_Bull!$B$47</f>
        <v>19.2818012739127</v>
      </c>
    </row>
    <row r="8" customFormat="false" ht="15" hidden="false" customHeight="false" outlineLevel="0" collapsed="false">
      <c r="A8" s="0" t="s">
        <v>153</v>
      </c>
      <c r="B8" s="0" t="n">
        <f aca="false">SUMPRODUCT(B4:B6,D4:D6)</f>
        <v>37.2944994259403</v>
      </c>
    </row>
    <row r="9" customFormat="false" ht="15" hidden="false" customHeight="false" outlineLevel="0" collapsed="false">
      <c r="A9" s="0" t="s">
        <v>154</v>
      </c>
      <c r="B9" s="0" t="n">
        <f aca="false">SUMPRODUCT(E4:E6,D4:D6)</f>
        <v>40.2148809764212</v>
      </c>
    </row>
    <row r="10" customFormat="false" ht="15" hidden="false" customHeight="false" outlineLevel="0" collapsed="false">
      <c r="A10" s="0" t="s">
        <v>155</v>
      </c>
      <c r="B10" s="0" t="n">
        <f aca="false">1-Assumptions!$B$2/B8</f>
        <v>-0.535883330831324</v>
      </c>
    </row>
    <row r="11" customFormat="false" ht="15" hidden="false" customHeight="false" outlineLevel="0" collapsed="false">
      <c r="A11" s="0" t="s">
        <v>156</v>
      </c>
      <c r="B11" s="0" t="n">
        <f aca="false">IF(ABS(B9-B8)&gt;0.01*ABS(B8),(Assumptions!$B$2-B8)/(B9-B8)*100,"n/a")</f>
        <v>684.345529123358</v>
      </c>
    </row>
    <row r="12" customFormat="false" ht="15" hidden="false" customHeight="false" outlineLevel="0" collapsed="false">
      <c r="A12" s="0" t="s">
        <v>157</v>
      </c>
      <c r="B12" s="0" t="n">
        <f aca="false">SUMPRODUCT(F4:F6,D4:D6)</f>
        <v>12.3463679532568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37.6121170357812</v>
      </c>
      <c r="C15" s="3" t="n">
        <v>8</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34.1535331916946</v>
      </c>
      <c r="C16" s="3" t="n">
        <v>9</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28.9893903268994</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24.2007259434003</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20.3783403309333</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12.4751225315777</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45.574930185046</v>
      </c>
      <c r="C24" s="0" t="n">
        <f aca="false">(SUMPRODUCT(DCF_Base!$C$19:$L$19/(1+$A$24/100)^DCF_Base!$C$4:$L$4)+MAX(0,MIN(IF($A$24&gt;$C$23,DCF_Base!$L$19*(1+$C$23/100)/(($A$24-$C$23)/100),DCF_Base!$L$19*DCF_Base!$B$29),DCF_Base!$L$19*DCF_Base!$B$29))/(1+$A$24/100)^DCF_Base!$L$4+Assumptions!$B$5-Assumptions!$B$4)/Assumptions!$B$3*Assumptions!$B$10</f>
        <v>45.574930185046</v>
      </c>
      <c r="D24" s="0" t="n">
        <f aca="false">(SUMPRODUCT(DCF_Base!$C$19:$L$19/(1+$A$24/100)^DCF_Base!$C$4:$L$4)+MAX(0,MIN(IF($A$24&gt;$D$23,DCF_Base!$L$19*(1+$D$23/100)/(($A$24-$D$23)/100),DCF_Base!$L$19*DCF_Base!$B$29),DCF_Base!$L$19*DCF_Base!$B$29))/(1+$A$24/100)^DCF_Base!$L$4+Assumptions!$B$5-Assumptions!$B$4)/Assumptions!$B$3*Assumptions!$B$10</f>
        <v>45.574930185046</v>
      </c>
      <c r="E24" s="0" t="n">
        <f aca="false">(SUMPRODUCT(DCF_Base!$C$19:$L$19/(1+$A$24/100)^DCF_Base!$C$4:$L$4)+MAX(0,MIN(IF($A$24&gt;$E$23,DCF_Base!$L$19*(1+$E$23/100)/(($A$24-$E$23)/100),DCF_Base!$L$19*DCF_Base!$B$29),DCF_Base!$L$19*DCF_Base!$B$29))/(1+$A$24/100)^DCF_Base!$L$4+Assumptions!$B$5-Assumptions!$B$4)/Assumptions!$B$3*Assumptions!$B$10</f>
        <v>45.574930185046</v>
      </c>
      <c r="F24" s="0" t="n">
        <f aca="false">(SUMPRODUCT(DCF_Base!$C$19:$L$19/(1+$A$24/100)^DCF_Base!$C$4:$L$4)+MAX(0,MIN(IF($A$24&gt;$F$23,DCF_Base!$L$19*(1+$F$23/100)/(($A$24-$F$23)/100),DCF_Base!$L$19*DCF_Base!$B$29),DCF_Base!$L$19*DCF_Base!$B$29))/(1+$A$24/100)^DCF_Base!$L$4+Assumptions!$B$5-Assumptions!$B$4)/Assumptions!$B$3*Assumptions!$B$10</f>
        <v>45.574930185046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41.4066845380629</v>
      </c>
      <c r="C25" s="0" t="n">
        <f aca="false">(SUMPRODUCT(DCF_Base!$C$19:$L$19/(1+$A$25/100)^DCF_Base!$C$4:$L$4)+MAX(0,MIN(IF($A$25&gt;$C$23,DCF_Base!$L$19*(1+$C$23/100)/(($A$25-$C$23)/100),DCF_Base!$L$19*DCF_Base!$B$29),DCF_Base!$L$19*DCF_Base!$B$29))/(1+$A$25/100)^DCF_Base!$L$4+Assumptions!$B$5-Assumptions!$B$4)/Assumptions!$B$3*Assumptions!$B$10</f>
        <v>41.4066845380629</v>
      </c>
      <c r="D25" s="0" t="n">
        <f aca="false">(SUMPRODUCT(DCF_Base!$C$19:$L$19/(1+$A$25/100)^DCF_Base!$C$4:$L$4)+MAX(0,MIN(IF($A$25&gt;$D$23,DCF_Base!$L$19*(1+$D$23/100)/(($A$25-$D$23)/100),DCF_Base!$L$19*DCF_Base!$B$29),DCF_Base!$L$19*DCF_Base!$B$29))/(1+$A$25/100)^DCF_Base!$L$4+Assumptions!$B$5-Assumptions!$B$4)/Assumptions!$B$3*Assumptions!$B$10</f>
        <v>41.4066845380629</v>
      </c>
      <c r="E25" s="0" t="n">
        <f aca="false">(SUMPRODUCT(DCF_Base!$C$19:$L$19/(1+$A$25/100)^DCF_Base!$C$4:$L$4)+MAX(0,MIN(IF($A$25&gt;$E$23,DCF_Base!$L$19*(1+$E$23/100)/(($A$25-$E$23)/100),DCF_Base!$L$19*DCF_Base!$B$29),DCF_Base!$L$19*DCF_Base!$B$29))/(1+$A$25/100)^DCF_Base!$L$4+Assumptions!$B$5-Assumptions!$B$4)/Assumptions!$B$3*Assumptions!$B$10</f>
        <v>41.4066845380629</v>
      </c>
      <c r="F25" s="0" t="n">
        <f aca="false">(SUMPRODUCT(DCF_Base!$C$19:$L$19/(1+$A$25/100)^DCF_Base!$C$4:$L$4)+MAX(0,MIN(IF($A$25&gt;$F$23,DCF_Base!$L$19*(1+$F$23/100)/(($A$25-$F$23)/100),DCF_Base!$L$19*DCF_Base!$B$29),DCF_Base!$L$19*DCF_Base!$B$29))/(1+$A$25/100)^DCF_Base!$L$4+Assumptions!$B$5-Assumptions!$B$4)/Assumptions!$B$3*Assumptions!$B$10</f>
        <v>41.4066845380629</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37.6121170357812</v>
      </c>
      <c r="C26" s="0" t="n">
        <f aca="false">(SUMPRODUCT(DCF_Base!$C$19:$L$19/(1+$A$26/100)^DCF_Base!$C$4:$L$4)+MAX(0,MIN(IF($A$26&gt;$C$23,DCF_Base!$L$19*(1+$C$23/100)/(($A$26-$C$23)/100),DCF_Base!$L$19*DCF_Base!$B$29),DCF_Base!$L$19*DCF_Base!$B$29))/(1+$A$26/100)^DCF_Base!$L$4+Assumptions!$B$5-Assumptions!$B$4)/Assumptions!$B$3*Assumptions!$B$10</f>
        <v>37.6121170357812</v>
      </c>
      <c r="D26" s="0" t="n">
        <f aca="false">(SUMPRODUCT(DCF_Base!$C$19:$L$19/(1+$A$26/100)^DCF_Base!$C$4:$L$4)+MAX(0,MIN(IF($A$26&gt;$D$23,DCF_Base!$L$19*(1+$D$23/100)/(($A$26-$D$23)/100),DCF_Base!$L$19*DCF_Base!$B$29),DCF_Base!$L$19*DCF_Base!$B$29))/(1+$A$26/100)^DCF_Base!$L$4+Assumptions!$B$5-Assumptions!$B$4)/Assumptions!$B$3*Assumptions!$B$10</f>
        <v>37.6121170357812</v>
      </c>
      <c r="E26" s="0" t="n">
        <f aca="false">(SUMPRODUCT(DCF_Base!$C$19:$L$19/(1+$A$26/100)^DCF_Base!$C$4:$L$4)+MAX(0,MIN(IF($A$26&gt;$E$23,DCF_Base!$L$19*(1+$E$23/100)/(($A$26-$E$23)/100),DCF_Base!$L$19*DCF_Base!$B$29),DCF_Base!$L$19*DCF_Base!$B$29))/(1+$A$26/100)^DCF_Base!$L$4+Assumptions!$B$5-Assumptions!$B$4)/Assumptions!$B$3*Assumptions!$B$10</f>
        <v>37.6121170357812</v>
      </c>
      <c r="F26" s="0" t="n">
        <f aca="false">(SUMPRODUCT(DCF_Base!$C$19:$L$19/(1+$A$26/100)^DCF_Base!$C$4:$L$4)+MAX(0,MIN(IF($A$26&gt;$F$23,DCF_Base!$L$19*(1+$F$23/100)/(($A$26-$F$23)/100),DCF_Base!$L$19*DCF_Base!$B$29),DCF_Base!$L$19*DCF_Base!$B$29))/(1+$A$26/100)^DCF_Base!$L$4+Assumptions!$B$5-Assumptions!$B$4)/Assumptions!$B$3*Assumptions!$B$10</f>
        <v>37.6121170357812</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31.7335136380707</v>
      </c>
      <c r="C27" s="0" t="n">
        <f aca="false">(SUMPRODUCT(DCF_Base!$C$19:$L$19/(1+$A$27/100)^DCF_Base!$C$4:$L$4)+MAX(0,MIN(IF($A$27&gt;$C$23,DCF_Base!$L$19*(1+$C$23/100)/(($A$27-$C$23)/100),DCF_Base!$L$19*DCF_Base!$B$29),DCF_Base!$L$19*DCF_Base!$B$29))/(1+$A$27/100)^DCF_Base!$L$4+Assumptions!$B$5-Assumptions!$B$4)/Assumptions!$B$3*Assumptions!$B$10</f>
        <v>33.3321932219798</v>
      </c>
      <c r="D27" s="0" t="n">
        <f aca="false">(SUMPRODUCT(DCF_Base!$C$19:$L$19/(1+$A$27/100)^DCF_Base!$C$4:$L$4)+MAX(0,MIN(IF($A$27&gt;$D$23,DCF_Base!$L$19*(1+$D$23/100)/(($A$27-$D$23)/100),DCF_Base!$L$19*DCF_Base!$B$29),DCF_Base!$L$19*DCF_Base!$B$29))/(1+$A$27/100)^DCF_Base!$L$4+Assumptions!$B$5-Assumptions!$B$4)/Assumptions!$B$3*Assumptions!$B$10</f>
        <v>34.1535331916946</v>
      </c>
      <c r="E27" s="0" t="n">
        <f aca="false">(SUMPRODUCT(DCF_Base!$C$19:$L$19/(1+$A$27/100)^DCF_Base!$C$4:$L$4)+MAX(0,MIN(IF($A$27&gt;$E$23,DCF_Base!$L$19*(1+$E$23/100)/(($A$27-$E$23)/100),DCF_Base!$L$19*DCF_Base!$B$29),DCF_Base!$L$19*DCF_Base!$B$29))/(1+$A$27/100)^DCF_Base!$L$4+Assumptions!$B$5-Assumptions!$B$4)/Assumptions!$B$3*Assumptions!$B$10</f>
        <v>34.1535331916946</v>
      </c>
      <c r="F27" s="0" t="n">
        <f aca="false">(SUMPRODUCT(DCF_Base!$C$19:$L$19/(1+$A$27/100)^DCF_Base!$C$4:$L$4)+MAX(0,MIN(IF($A$27&gt;$F$23,DCF_Base!$L$19*(1+$F$23/100)/(($A$27-$F$23)/100),DCF_Base!$L$19*DCF_Base!$B$29),DCF_Base!$L$19*DCF_Base!$B$29))/(1+$A$27/100)^DCF_Base!$L$4+Assumptions!$B$5-Assumptions!$B$4)/Assumptions!$B$3*Assumptions!$B$10</f>
        <v>34.1535331916946</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26.5351646616972</v>
      </c>
      <c r="C28" s="0" t="n">
        <f aca="false">(SUMPRODUCT(DCF_Base!$C$19:$L$19/(1+$A$28/100)^DCF_Base!$C$4:$L$4)+MAX(0,MIN(IF($A$28&gt;$C$23,DCF_Base!$L$19*(1+$C$23/100)/(($A$28-$C$23)/100),DCF_Base!$L$19*DCF_Base!$B$29),DCF_Base!$L$19*DCF_Base!$B$29))/(1+$A$28/100)^DCF_Base!$L$4+Assumptions!$B$5-Assumptions!$B$4)/Assumptions!$B$3*Assumptions!$B$10</f>
        <v>27.6900943864982</v>
      </c>
      <c r="D28" s="0" t="n">
        <f aca="false">(SUMPRODUCT(DCF_Base!$C$19:$L$19/(1+$A$28/100)^DCF_Base!$C$4:$L$4)+MAX(0,MIN(IF($A$28&gt;$D$23,DCF_Base!$L$19*(1+$D$23/100)/(($A$28-$D$23)/100),DCF_Base!$L$19*DCF_Base!$B$29),DCF_Base!$L$19*DCF_Base!$B$29))/(1+$A$28/100)^DCF_Base!$L$4+Assumptions!$B$5-Assumptions!$B$4)/Assumptions!$B$3*Assumptions!$B$10</f>
        <v>28.9893903268994</v>
      </c>
      <c r="E28" s="0" t="n">
        <f aca="false">(SUMPRODUCT(DCF_Base!$C$19:$L$19/(1+$A$28/100)^DCF_Base!$C$4:$L$4)+MAX(0,MIN(IF($A$28&gt;$E$23,DCF_Base!$L$19*(1+$E$23/100)/(($A$28-$E$23)/100),DCF_Base!$L$19*DCF_Base!$B$29),DCF_Base!$L$19*DCF_Base!$B$29))/(1+$A$28/100)^DCF_Base!$L$4+Assumptions!$B$5-Assumptions!$B$4)/Assumptions!$B$3*Assumptions!$B$10</f>
        <v>30.4619257260207</v>
      </c>
      <c r="F28" s="0" t="n">
        <f aca="false">(SUMPRODUCT(DCF_Base!$C$19:$L$19/(1+$A$28/100)^DCF_Base!$C$4:$L$4)+MAX(0,MIN(IF($A$28&gt;$F$23,DCF_Base!$L$19*(1+$F$23/100)/(($A$28-$F$23)/100),DCF_Base!$L$19*DCF_Base!$B$29),DCF_Base!$L$19*DCF_Base!$B$29))/(1+$A$28/100)^DCF_Base!$L$4+Assumptions!$B$5-Assumptions!$B$4)/Assumptions!$B$3*Assumptions!$B$10</f>
        <v>30.997393143883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2026-10-24T19:34:16Z</dcterms:created>
  <dc:creator>openpyxl</dc:creator>
  <dc:description/>
  <dc:language>en-NZ</dc:language>
  <cp:lastModifiedBy/>
  <dcterms:modified xsi:type="dcterms:W3CDTF">2026-10-24T19:34:16Z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