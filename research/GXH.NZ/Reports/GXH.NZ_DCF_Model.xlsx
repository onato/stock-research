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TP Model" sheetId="1" r:id="rId1"/>
    <sheet name="Scenarios" sheetId="2" r:id="rId2"/>
    <sheet name="Sensitivity" sheetId="3" r:id="rId3"/>
    <sheet name="FCF Quality" sheetId="4" r:id="rId4"/>
    <sheet name="Historical" sheetId="5" r:id="rId5"/>
    <sheet name="Model_Info" sheetId="6" r:id="rId6"/>
  </sheets>
  <calcPr calcId="124519" fullCalcOnLoad="1"/>
</workbook>
</file>

<file path=xl/sharedStrings.xml><?xml version="1.0" encoding="utf-8"?>
<sst xmlns="http://schemas.openxmlformats.org/spreadsheetml/2006/main" count="165" uniqueCount="155">
  <si>
    <t>GXH.NZ Sum-of-Parts Valuation Model</t>
  </si>
  <si>
    <t>Gray cells are INPUTS. Post-Medical-divestment sum-of-parts: PV(Pharmacy DCF) + Net Proceeds + Existing Net Cash</t>
  </si>
  <si>
    <t>KEY INPUTS</t>
  </si>
  <si>
    <t>Current Stock Price</t>
  </si>
  <si>
    <t>Shares Outstanding (M)</t>
  </si>
  <si>
    <t>Existing Group Net Cash (M) - pre proceeds</t>
  </si>
  <si>
    <t>Gross Medical Sale Proceeds (M)</t>
  </si>
  <si>
    <t>Net Proceeds - Mid Case (M)</t>
  </si>
  <si>
    <t>Capital Allocation Discount (Base)</t>
  </si>
  <si>
    <t>Effective Net Proceeds (Base)</t>
  </si>
  <si>
    <t>Pharmacy Segment Revenue FY2026 (M)</t>
  </si>
  <si>
    <t>Corporate Cost FY2026 (M)</t>
  </si>
  <si>
    <t>Corporate Cost Allocated to Pharmacy (%)</t>
  </si>
  <si>
    <t>NCI % of Pharmacy Profit</t>
  </si>
  <si>
    <t>Cash Tax Rate</t>
  </si>
  <si>
    <t>WACC (Pharmacy operating business)</t>
  </si>
  <si>
    <t>Terminal Growth Rate</t>
  </si>
  <si>
    <t>Terminal Cap Multiple (EV/EBITDA)</t>
  </si>
  <si>
    <t>PHARMACY GROWTH &amp; MARGIN ASSUMPTIONS (BASE)</t>
  </si>
  <si>
    <t>Year 1</t>
  </si>
  <si>
    <t>Year 2</t>
  </si>
  <si>
    <t>Year 3</t>
  </si>
  <si>
    <t>Year 4</t>
  </si>
  <si>
    <t>Year 5</t>
  </si>
  <si>
    <t>Revenue Growth Rate</t>
  </si>
  <si>
    <t>EBITDA Margin (net of stranded corp cost)</t>
  </si>
  <si>
    <t>D&amp;A % of Revenue</t>
  </si>
  <si>
    <t>CapEx % of Revenue</t>
  </si>
  <si>
    <t>Lease Principal % of Revenue</t>
  </si>
  <si>
    <t>Working Capital Capture % (of rev change)</t>
  </si>
  <si>
    <t>PHARMACY PROJECTIONS (component build)</t>
  </si>
  <si>
    <t>Revenue</t>
  </si>
  <si>
    <t>EBITDA (net of stranded corp cost)</t>
  </si>
  <si>
    <t>D&amp;A (incl. lease depreciation)</t>
  </si>
  <si>
    <t>EBIT</t>
  </si>
  <si>
    <t>NOPAT</t>
  </si>
  <si>
    <t>CapEx</t>
  </si>
  <si>
    <t>Lease Principal Repayment</t>
  </si>
  <si>
    <t>Working Capital (use of cash)</t>
  </si>
  <si>
    <t>Owner FCF (pre-NCI)</t>
  </si>
  <si>
    <t>Owner FCF (post-NCI, to GXH shareholders)</t>
  </si>
  <si>
    <t>Discount Factor</t>
  </si>
  <si>
    <t>PV of Owner FCF</t>
  </si>
  <si>
    <t>PHARMACY DCF VALUATION</t>
  </si>
  <si>
    <t>Sum of PV of Owner FCF (Y1-Y5)</t>
  </si>
  <si>
    <t>Terminal FCF (Year 5 x (1+g))</t>
  </si>
  <si>
    <t>Terminal Value - Gordon Growth</t>
  </si>
  <si>
    <t>Terminal Value - EV/EBITDA Cap</t>
  </si>
  <si>
    <t>Terminal Value Used (lower of two)</t>
  </si>
  <si>
    <t>PV of Terminal Value</t>
  </si>
  <si>
    <t>Pharmacy Enterprise Value</t>
  </si>
  <si>
    <t>SUM OF PARTS EQUITY VALUE</t>
  </si>
  <si>
    <t>Plus: Existing Group Net Cash</t>
  </si>
  <si>
    <t>Plus: Effective Net Medical Sale Proceeds</t>
  </si>
  <si>
    <t>Total Equity Value</t>
  </si>
  <si>
    <t>INTRINSIC VALUE / SHARE</t>
  </si>
  <si>
    <t>Upside/(Downside) to Intrinsic Value</t>
  </si>
  <si>
    <t>ENTRY PRICE (15% IRR Target)</t>
  </si>
  <si>
    <t>PV of Yrs 1-5 Owner FCF @15%</t>
  </si>
  <si>
    <t>PV of Terminal Value @15%</t>
  </si>
  <si>
    <t>Plus: Existing Net Cash</t>
  </si>
  <si>
    <t>Plus: Effective Net Medical Proceeds</t>
  </si>
  <si>
    <t>Equity Value at 15% Hurdle</t>
  </si>
  <si>
    <t>Entry Price (15% IRR)</t>
  </si>
  <si>
    <t>Entry Discount from Current Price</t>
  </si>
  <si>
    <t>Scenario Comparison</t>
  </si>
  <si>
    <t>Static summary of Bull/Base/Bear (see SOTP Model sheet for live Base-case formulas)</t>
  </si>
  <si>
    <t>Bear</t>
  </si>
  <si>
    <t>Base</t>
  </si>
  <si>
    <t>Bull</t>
  </si>
  <si>
    <t>WACC</t>
  </si>
  <si>
    <t>Terminal Growth</t>
  </si>
  <si>
    <t>Net Proceeds Case (M)</t>
  </si>
  <si>
    <t>Capital Allocation Discount</t>
  </si>
  <si>
    <t>Pharmacy Enterprise Value (M)</t>
  </si>
  <si>
    <t>Equity Value (M)</t>
  </si>
  <si>
    <t>Intrinsic Value / Share</t>
  </si>
  <si>
    <t>Upside / (Downside)</t>
  </si>
  <si>
    <t>Terminal Value % of EV</t>
  </si>
  <si>
    <t>Probability Weights</t>
  </si>
  <si>
    <t>Probability-Weighted IV</t>
  </si>
  <si>
    <t>Weighted Upside</t>
  </si>
  <si>
    <t>Sensitivity Analysis (Base Case)</t>
  </si>
  <si>
    <t>Intrinsic Value by WACC &amp; Terminal Growth</t>
  </si>
  <si>
    <t>WACC \ Term G</t>
  </si>
  <si>
    <t>FCF Quality Reconciliation (Group-Level, Historical Reference Only)</t>
  </si>
  <si>
    <t>NOTE: These are CONSOLIDATED figures including the now-divested Medical division. NOT the DCF driver.</t>
  </si>
  <si>
    <t>FY2025</t>
  </si>
  <si>
    <t>FY2026</t>
  </si>
  <si>
    <t>Revenue (Group, incl. Medical)</t>
  </si>
  <si>
    <t>Operating Cash Flow</t>
  </si>
  <si>
    <t>Reported FCF (company definition)</t>
  </si>
  <si>
    <t>Less: Stock-Based Comp</t>
  </si>
  <si>
    <t>Less: Lease Principal Repayment</t>
  </si>
  <si>
    <t>Owner FCF (Group, historical basis)</t>
  </si>
  <si>
    <t>Reported FCF Margin</t>
  </si>
  <si>
    <t>Owner FCF Margin</t>
  </si>
  <si>
    <t>Memo: Pharmacy-only (retained business) owner FCF build</t>
  </si>
  <si>
    <t>Pharmacy Segment Revenue FY2026</t>
  </si>
  <si>
    <t>Pharmacy Segment Profit (EBIT-like) FY2026</t>
  </si>
  <si>
    <t>Less: 80% of stranded Corporate Cost</t>
  </si>
  <si>
    <t>NOPAT (post-corp, pre-NCI)</t>
  </si>
  <si>
    <t>+ D&amp;A (incl. lease depreciation)</t>
  </si>
  <si>
    <t>- CapEx (revenue-share allocated)</t>
  </si>
  <si>
    <t>- Lease Principal (allocated)</t>
  </si>
  <si>
    <t>x (1 - NCI% 21.2%)</t>
  </si>
  <si>
    <t>Memo: Cash tax rate FY2026 (tax expense / PBT)</t>
  </si>
  <si>
    <t>Note: close to NZ statutory 28% - no ramp required</t>
  </si>
  <si>
    <t>Historical Group Financials (Consolidated - includes now-divested Medical)</t>
  </si>
  <si>
    <t>FY2022 (COVID spike) and FY2023 (Community Health divestment gain) are OUTLIERS - excluded from trend analysis</t>
  </si>
  <si>
    <t>Period</t>
  </si>
  <si>
    <t>Revenue (M)</t>
  </si>
  <si>
    <t>Net Income (M)</t>
  </si>
  <si>
    <t>Shares (M)</t>
  </si>
  <si>
    <t>FY-End Price ($)</t>
  </si>
  <si>
    <t>FY2018</t>
  </si>
  <si>
    <t>FY2020</t>
  </si>
  <si>
    <t>FY2021</t>
  </si>
  <si>
    <t>FY2022 (COVID - excl.)</t>
  </si>
  <si>
    <t>FY2023 (divestment - excl.)</t>
  </si>
  <si>
    <t>FY2024</t>
  </si>
  <si>
    <t>Selected Growth Rate (Pharmacy revenue FY25-&gt;FY26)</t>
  </si>
  <si>
    <t>Source</t>
  </si>
  <si>
    <t>pharmacy_segment_revenue_growth_fy2025_to_fy2026 (only clean, business-comparable growth data point available; used as the anchor for Base-case Year-1 growth)</t>
  </si>
  <si>
    <t>Model Provenance &amp; Notes</t>
  </si>
  <si>
    <t>Ticker</t>
  </si>
  <si>
    <t>GXH.NZ (Green Cross Health Limited, NZX)</t>
  </si>
  <si>
    <t>Model type</t>
  </si>
  <si>
    <t>Sum-of-parts, post-divestment. NOT a standard consolidated-growth DCF.</t>
  </si>
  <si>
    <t>Built by</t>
  </si>
  <si>
    <t>Claude agent (DCF valuation skill), per /Users/swilliams/Stocks/Research/.claude/CLAUDE.md pipeline</t>
  </si>
  <si>
    <t>Valuation date</t>
  </si>
  <si>
    <t>2026-08-11</t>
  </si>
  <si>
    <t>Share price used</t>
  </si>
  <si>
    <t>NZ$1.95 (live quote, 11-Aug-2026)</t>
  </si>
  <si>
    <t>Shares outstanding</t>
  </si>
  <si>
    <t>143.834147m (per company register)</t>
  </si>
  <si>
    <t>Data vintage</t>
  </si>
  <si>
    <t>FY2026 Annual Report (year ended 31-Mar-2026), Medical division sale completion announcement (31-Jul-2026), shareholder approval (14-Jul-2026)</t>
  </si>
  <si>
    <t>Key event</t>
  </si>
  <si>
    <t>GXH sold its Medical division (The Doctors, 65 clinics) to Tend Health for gross NZ$270m, completed 31-Jul-2026. GXH is now a pure-play NZ pharmacy retailer.</t>
  </si>
  <si>
    <t>Methodology - Pharmacy value</t>
  </si>
  <si>
    <t>Component-built owner-FCF DCF (5yr explicit + Gordon/exit-multiple-cap terminal value) on the Pharmacy SEGMENT ONLY (FY2026 revenue $380.210m), net of an 80%-allocated share of stranded corporate cost and NCI (~21.2% of profit).</t>
  </si>
  <si>
    <t>Methodology - Sale proceeds</t>
  </si>
  <si>
    <t>Net proceeds estimated in a conservative/mid/optimistic range ($199.2m/$223.3m/$252.2m) from the $270m gross headline, since exact net proceeds are NOT company-disclosed. A capital-allocation discount (0%/15%/35% by scenario) is applied to reflect the undisclosed Board decision on use of proceeds.</t>
  </si>
  <si>
    <t>Methodology - Existing cash</t>
  </si>
  <si>
    <t>FY2026 year-end (pre-sale) net cash of $8.58m (bank debt basis) added at face value.</t>
  </si>
  <si>
    <t>Key judgment calls</t>
  </si>
  <si>
    <t>(1) 80% corporate-cost stranding assumption; (2) lease liability/principal allocation to Pharmacy via its 61.5% share of group lease depreciation; (3) net-proceeds deduction range is an ESTIMATE, not disclosed; (4) capital-allocation discount by scenario is a modelling judgment.</t>
  </si>
  <si>
    <t>What to refresh after next update</t>
  </si>
  <si>
    <t>Watch for: (a) any Board announcement on use of Medical sale proceeds -- this is the single most important update; (b) completion accounts / final net proceeds figure once published; (c) FY2027 half-year results (first full period as a pure pharmacy play) to check whether pharmacy revenue growth and margins track the base case; (d) any corporate-cost rightsizing announcement.</t>
  </si>
  <si>
    <t>Cell colour conventions</t>
  </si>
  <si>
    <t>Gray cells = editable inputs. Green cells = key formula outputs (intrinsic value, entry price). White/bordered cells = formula-driven intermediate calculations. Yellow cells = warnings/notes.</t>
  </si>
  <si>
    <t>Staleness warning</t>
  </si>
  <si>
    <t>All figures in this model reference a specific point in time (11-Aug-2026) and a specific, still-evolving corporate event (the Medical sale and its proceeds). This model WILL go stale quickly and must be re-checked against any Board capital-allocation announcement before being relied upon.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</si>
</sst>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0.0%"/>
    <numFmt numFmtId="166" formatCode="&quot;$&quot;#,##0.000"/>
    <numFmt numFmtId="167" formatCode="&quot;$&quot;#,##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FEAA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5" fontId="0" fillId="2" borderId="2" xfId="0" applyNumberFormat="1" applyFill="1" applyBorder="1"/>
    <xf numFmtId="164" fontId="0" fillId="0" borderId="2" xfId="0" applyNumberFormat="1" applyBorder="1"/>
    <xf numFmtId="0" fontId="4" fillId="3" borderId="2" xfId="0" applyFont="1" applyFill="1" applyBorder="1"/>
    <xf numFmtId="0" fontId="5" fillId="0" borderId="0" xfId="0" applyFont="1"/>
    <xf numFmtId="166" fontId="4" fillId="4" borderId="2" xfId="0" applyNumberFormat="1" applyFont="1" applyFill="1" applyBorder="1"/>
    <xf numFmtId="165" fontId="0" fillId="0" borderId="2" xfId="0" applyNumberFormat="1" applyBorder="1"/>
    <xf numFmtId="167" fontId="0" fillId="0" borderId="2" xfId="0" applyNumberFormat="1" applyBorder="1"/>
    <xf numFmtId="165" fontId="4" fillId="3" borderId="0" xfId="0" applyNumberFormat="1" applyFont="1" applyFill="1"/>
    <xf numFmtId="0" fontId="0" fillId="5" borderId="2" xfId="0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cols>
    <col min="1" max="1" width="34.7109375" customWidth="1"/>
    <col min="2" max="8" width="14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t="s">
        <v>3</v>
      </c>
      <c r="B5" s="4">
        <v>1.95</v>
      </c>
    </row>
    <row r="6" spans="1:2">
      <c r="A6" t="s">
        <v>4</v>
      </c>
      <c r="B6" s="4">
        <v>143.834147</v>
      </c>
    </row>
    <row r="7" spans="1:2">
      <c r="A7" t="s">
        <v>5</v>
      </c>
      <c r="B7" s="4">
        <v>8.58</v>
      </c>
    </row>
    <row r="8" spans="1:2">
      <c r="A8" t="s">
        <v>6</v>
      </c>
      <c r="B8" s="4">
        <v>270</v>
      </c>
    </row>
    <row r="9" spans="1:2">
      <c r="A9" t="s">
        <v>7</v>
      </c>
      <c r="B9" s="4">
        <v>223.3</v>
      </c>
    </row>
    <row r="10" spans="1:2">
      <c r="A10" t="s">
        <v>8</v>
      </c>
      <c r="B10" s="5">
        <v>0.15</v>
      </c>
    </row>
    <row r="11" spans="1:2">
      <c r="A11" t="s">
        <v>9</v>
      </c>
      <c r="B11" s="6">
        <f>B9*(1-B10)</f>
        <v>0</v>
      </c>
    </row>
    <row r="13" spans="1:2">
      <c r="A13" t="s">
        <v>10</v>
      </c>
      <c r="B13" s="4">
        <v>380.21</v>
      </c>
    </row>
    <row r="14" spans="1:2">
      <c r="A14" t="s">
        <v>11</v>
      </c>
      <c r="B14" s="4">
        <v>3.026</v>
      </c>
    </row>
    <row r="15" spans="1:2">
      <c r="A15" t="s">
        <v>12</v>
      </c>
      <c r="B15" s="5">
        <v>0.8</v>
      </c>
    </row>
    <row r="16" spans="1:2">
      <c r="A16" t="s">
        <v>13</v>
      </c>
      <c r="B16" s="5">
        <v>0.212</v>
      </c>
    </row>
    <row r="17" spans="1:6">
      <c r="A17" t="s">
        <v>14</v>
      </c>
      <c r="B17" s="5">
        <v>0.28</v>
      </c>
    </row>
    <row r="19" spans="1:6">
      <c r="A19" t="s">
        <v>15</v>
      </c>
      <c r="B19" s="5">
        <v>0.145</v>
      </c>
    </row>
    <row r="20" spans="1:6">
      <c r="A20" t="s">
        <v>16</v>
      </c>
      <c r="B20" s="5">
        <v>0.02</v>
      </c>
    </row>
    <row r="21" spans="1:6">
      <c r="A21" t="s">
        <v>17</v>
      </c>
      <c r="B21" s="4">
        <v>5.7</v>
      </c>
    </row>
    <row r="23" spans="1:6">
      <c r="A23" s="3" t="s">
        <v>18</v>
      </c>
    </row>
    <row r="24" spans="1:6">
      <c r="A24" s="7"/>
      <c r="B24" s="7" t="s">
        <v>19</v>
      </c>
      <c r="C24" s="7" t="s">
        <v>20</v>
      </c>
      <c r="D24" s="7" t="s">
        <v>21</v>
      </c>
      <c r="E24" s="7" t="s">
        <v>22</v>
      </c>
      <c r="F24" s="7" t="s">
        <v>23</v>
      </c>
    </row>
    <row r="25" spans="1:6">
      <c r="A25" t="s">
        <v>24</v>
      </c>
      <c r="B25" s="5">
        <v>0.03</v>
      </c>
      <c r="C25" s="5">
        <v>0.03</v>
      </c>
      <c r="D25" s="5">
        <v>0.025</v>
      </c>
      <c r="E25" s="5">
        <v>0.025</v>
      </c>
      <c r="F25" s="5">
        <v>0.02</v>
      </c>
    </row>
    <row r="26" spans="1:6">
      <c r="A26" t="s">
        <v>25</v>
      </c>
      <c r="B26" s="5">
        <v>0.08500000000000001</v>
      </c>
      <c r="C26" s="5">
        <v>0.08599999999999999</v>
      </c>
      <c r="D26" s="5">
        <v>0.08699999999999999</v>
      </c>
      <c r="E26" s="5">
        <v>0.08800000000000001</v>
      </c>
      <c r="F26" s="5">
        <v>0.08900000000000001</v>
      </c>
    </row>
    <row r="27" spans="1:6">
      <c r="A27" t="s">
        <v>26</v>
      </c>
      <c r="B27" s="5">
        <v>0.0336</v>
      </c>
      <c r="C27" s="5">
        <v>0.0336</v>
      </c>
      <c r="D27" s="5">
        <v>0.0336</v>
      </c>
      <c r="E27" s="5">
        <v>0.0336</v>
      </c>
      <c r="F27" s="5">
        <v>0.0336</v>
      </c>
    </row>
    <row r="28" spans="1:6">
      <c r="A28" t="s">
        <v>27</v>
      </c>
      <c r="B28" s="5">
        <v>0.0176</v>
      </c>
      <c r="C28" s="5">
        <v>0.0176</v>
      </c>
      <c r="D28" s="5">
        <v>0.0176</v>
      </c>
      <c r="E28" s="5">
        <v>0.0176</v>
      </c>
      <c r="F28" s="5">
        <v>0.0176</v>
      </c>
    </row>
    <row r="29" spans="1:6">
      <c r="A29" t="s">
        <v>28</v>
      </c>
      <c r="B29" s="5">
        <v>0.0222</v>
      </c>
      <c r="C29" s="5">
        <v>0.0222</v>
      </c>
      <c r="D29" s="5">
        <v>0.0222</v>
      </c>
      <c r="E29" s="5">
        <v>0.0222</v>
      </c>
      <c r="F29" s="5">
        <v>0.0222</v>
      </c>
    </row>
    <row r="30" spans="1:6">
      <c r="A30" t="s">
        <v>29</v>
      </c>
      <c r="B30" s="5">
        <v>0.15</v>
      </c>
      <c r="C30" s="5">
        <v>0.15</v>
      </c>
      <c r="D30" s="5">
        <v>0.15</v>
      </c>
      <c r="E30" s="5">
        <v>0.15</v>
      </c>
      <c r="F30" s="5">
        <v>0.15</v>
      </c>
    </row>
    <row r="32" spans="1:6">
      <c r="A32" s="3" t="s">
        <v>30</v>
      </c>
    </row>
    <row r="33" spans="1:6">
      <c r="A33" s="7"/>
      <c r="B33" s="7" t="s">
        <v>19</v>
      </c>
      <c r="C33" s="7" t="s">
        <v>20</v>
      </c>
      <c r="D33" s="7" t="s">
        <v>21</v>
      </c>
      <c r="E33" s="7" t="s">
        <v>22</v>
      </c>
      <c r="F33" s="7" t="s">
        <v>23</v>
      </c>
    </row>
    <row r="34" spans="1:6">
      <c r="A34" t="s">
        <v>31</v>
      </c>
      <c r="B34" s="6">
        <f>$B$13*(1+B25)</f>
        <v>0</v>
      </c>
      <c r="C34" s="6">
        <f>B34*(1+C25)</f>
        <v>0</v>
      </c>
      <c r="D34" s="6">
        <f>C34*(1+D25)</f>
        <v>0</v>
      </c>
      <c r="E34" s="6">
        <f>D34*(1+E25)</f>
        <v>0</v>
      </c>
      <c r="F34" s="6">
        <f>E34*(1+F25)</f>
        <v>0</v>
      </c>
    </row>
    <row r="35" spans="1:6">
      <c r="A35" t="s">
        <v>32</v>
      </c>
      <c r="B35" s="6">
        <f>B34*B26</f>
        <v>0</v>
      </c>
      <c r="C35" s="6">
        <f>C34*C26</f>
        <v>0</v>
      </c>
      <c r="D35" s="6">
        <f>D34*D26</f>
        <v>0</v>
      </c>
      <c r="E35" s="6">
        <f>E34*E26</f>
        <v>0</v>
      </c>
      <c r="F35" s="6">
        <f>F34*F26</f>
        <v>0</v>
      </c>
    </row>
    <row r="36" spans="1:6">
      <c r="A36" t="s">
        <v>33</v>
      </c>
      <c r="B36" s="6">
        <f>B34*B27</f>
        <v>0</v>
      </c>
      <c r="C36" s="6">
        <f>C34*C27</f>
        <v>0</v>
      </c>
      <c r="D36" s="6">
        <f>D34*D27</f>
        <v>0</v>
      </c>
      <c r="E36" s="6">
        <f>E34*E27</f>
        <v>0</v>
      </c>
      <c r="F36" s="6">
        <f>F34*F27</f>
        <v>0</v>
      </c>
    </row>
    <row r="37" spans="1:6">
      <c r="A37" t="s">
        <v>34</v>
      </c>
      <c r="B37" s="6">
        <f>B35-B36</f>
        <v>0</v>
      </c>
      <c r="C37" s="6">
        <f>C35-C36</f>
        <v>0</v>
      </c>
      <c r="D37" s="6">
        <f>D35-D36</f>
        <v>0</v>
      </c>
      <c r="E37" s="6">
        <f>E35-E36</f>
        <v>0</v>
      </c>
      <c r="F37" s="6">
        <f>F35-F36</f>
        <v>0</v>
      </c>
    </row>
    <row r="38" spans="1:6">
      <c r="A38" t="s">
        <v>35</v>
      </c>
      <c r="B38" s="6">
        <f>B37*(1-$B$17)</f>
        <v>0</v>
      </c>
      <c r="C38" s="6">
        <f>C37*(1-$B$17)</f>
        <v>0</v>
      </c>
      <c r="D38" s="6">
        <f>D37*(1-$B$17)</f>
        <v>0</v>
      </c>
      <c r="E38" s="6">
        <f>E37*(1-$B$17)</f>
        <v>0</v>
      </c>
      <c r="F38" s="6">
        <f>F37*(1-$B$17)</f>
        <v>0</v>
      </c>
    </row>
    <row r="39" spans="1:6">
      <c r="A39" t="s">
        <v>36</v>
      </c>
      <c r="B39" s="6">
        <f>B34*B28</f>
        <v>0</v>
      </c>
      <c r="C39" s="6">
        <f>C34*C28</f>
        <v>0</v>
      </c>
      <c r="D39" s="6">
        <f>D34*D28</f>
        <v>0</v>
      </c>
      <c r="E39" s="6">
        <f>E34*E28</f>
        <v>0</v>
      </c>
      <c r="F39" s="6">
        <f>F34*F28</f>
        <v>0</v>
      </c>
    </row>
    <row r="40" spans="1:6">
      <c r="A40" t="s">
        <v>37</v>
      </c>
      <c r="B40" s="6">
        <f>B34*B29</f>
        <v>0</v>
      </c>
      <c r="C40" s="6">
        <f>C34*C29</f>
        <v>0</v>
      </c>
      <c r="D40" s="6">
        <f>D34*D29</f>
        <v>0</v>
      </c>
      <c r="E40" s="6">
        <f>E34*E29</f>
        <v>0</v>
      </c>
      <c r="F40" s="6">
        <f>F34*F29</f>
        <v>0</v>
      </c>
    </row>
    <row r="41" spans="1:6">
      <c r="A41" t="s">
        <v>38</v>
      </c>
      <c r="B41" s="6">
        <v>0</v>
      </c>
      <c r="C41" s="6">
        <f>(C34-B34)*C30</f>
        <v>0</v>
      </c>
      <c r="D41" s="6">
        <f>(D34-C34)*D30</f>
        <v>0</v>
      </c>
      <c r="E41" s="6">
        <f>(E34-D34)*E30</f>
        <v>0</v>
      </c>
      <c r="F41" s="6">
        <f>(F34-E34)*F30</f>
        <v>0</v>
      </c>
    </row>
    <row r="42" spans="1:6">
      <c r="A42" t="s">
        <v>39</v>
      </c>
      <c r="B42" s="6">
        <f>B38+B36-B39-B40-B41</f>
        <v>0</v>
      </c>
      <c r="C42" s="6">
        <f>C38+C36-C39-C40-C41</f>
        <v>0</v>
      </c>
      <c r="D42" s="6">
        <f>D38+D36-D39-D40-D41</f>
        <v>0</v>
      </c>
      <c r="E42" s="6">
        <f>E38+E36-E39-E40-E41</f>
        <v>0</v>
      </c>
      <c r="F42" s="6">
        <f>F38+F36-F39-F40-F41</f>
        <v>0</v>
      </c>
    </row>
    <row r="43" spans="1:6">
      <c r="A43" t="s">
        <v>40</v>
      </c>
      <c r="B43" s="6">
        <f>B42*(1-$B$16)</f>
        <v>0</v>
      </c>
      <c r="C43" s="6">
        <f>C42*(1-$B$16)</f>
        <v>0</v>
      </c>
      <c r="D43" s="6">
        <f>D42*(1-$B$16)</f>
        <v>0</v>
      </c>
      <c r="E43" s="6">
        <f>E42*(1-$B$16)</f>
        <v>0</v>
      </c>
      <c r="F43" s="6">
        <f>F42*(1-$B$16)</f>
        <v>0</v>
      </c>
    </row>
    <row r="44" spans="1:6">
      <c r="A44" t="s">
        <v>41</v>
      </c>
      <c r="B44" s="6">
        <f>1/(1+$B$19)^1</f>
        <v>0</v>
      </c>
      <c r="C44" s="6">
        <f>1/(1+$B$19)^2</f>
        <v>0</v>
      </c>
      <c r="D44" s="6">
        <f>1/(1+$B$19)^3</f>
        <v>0</v>
      </c>
      <c r="E44" s="6">
        <f>1/(1+$B$19)^4</f>
        <v>0</v>
      </c>
      <c r="F44" s="6">
        <f>1/(1+$B$19)^5</f>
        <v>0</v>
      </c>
    </row>
    <row r="45" spans="1:6">
      <c r="A45" t="s">
        <v>42</v>
      </c>
      <c r="B45" s="6">
        <f>B43*B44</f>
        <v>0</v>
      </c>
      <c r="C45" s="6">
        <f>C43*C44</f>
        <v>0</v>
      </c>
      <c r="D45" s="6">
        <f>D43*D44</f>
        <v>0</v>
      </c>
      <c r="E45" s="6">
        <f>E43*E44</f>
        <v>0</v>
      </c>
      <c r="F45" s="6">
        <f>F43*F44</f>
        <v>0</v>
      </c>
    </row>
    <row r="47" spans="1:6">
      <c r="A47" s="3" t="s">
        <v>43</v>
      </c>
    </row>
    <row r="48" spans="1:6">
      <c r="A48" t="s">
        <v>44</v>
      </c>
      <c r="B48" s="6">
        <f>SUM(B45:F45)</f>
        <v>0</v>
      </c>
    </row>
    <row r="49" spans="1:2">
      <c r="A49" t="s">
        <v>45</v>
      </c>
      <c r="B49" s="6">
        <f>F43*(1+$B$20)</f>
        <v>0</v>
      </c>
    </row>
    <row r="50" spans="1:2">
      <c r="A50" t="s">
        <v>46</v>
      </c>
      <c r="B50" s="6">
        <f>B49/($B$19-$B$20)</f>
        <v>0</v>
      </c>
    </row>
    <row r="51" spans="1:2">
      <c r="A51" t="s">
        <v>47</v>
      </c>
      <c r="B51" s="6">
        <f>F35*$B$21</f>
        <v>0</v>
      </c>
    </row>
    <row r="52" spans="1:2">
      <c r="A52" t="s">
        <v>48</v>
      </c>
      <c r="B52" s="6">
        <f>MIN(B50,B51)</f>
        <v>0</v>
      </c>
    </row>
    <row r="53" spans="1:2">
      <c r="A53" t="s">
        <v>49</v>
      </c>
      <c r="B53" s="6">
        <f>B52*F44</f>
        <v>0</v>
      </c>
    </row>
    <row r="54" spans="1:2">
      <c r="A54" t="s">
        <v>50</v>
      </c>
      <c r="B54" s="6">
        <f>B48+B53</f>
        <v>0</v>
      </c>
    </row>
    <row r="56" spans="1:2">
      <c r="A56" s="3" t="s">
        <v>51</v>
      </c>
    </row>
    <row r="57" spans="1:2">
      <c r="A57" t="s">
        <v>50</v>
      </c>
      <c r="B57" s="6">
        <f>B54</f>
        <v>0</v>
      </c>
    </row>
    <row r="58" spans="1:2">
      <c r="A58" t="s">
        <v>52</v>
      </c>
      <c r="B58" s="6">
        <f>B7</f>
        <v>0</v>
      </c>
    </row>
    <row r="59" spans="1:2">
      <c r="A59" t="s">
        <v>53</v>
      </c>
      <c r="B59" s="6">
        <f>B11</f>
        <v>0</v>
      </c>
    </row>
    <row r="60" spans="1:2">
      <c r="A60" t="s">
        <v>54</v>
      </c>
      <c r="B60" s="6">
        <f>B57+B58+B59</f>
        <v>0</v>
      </c>
    </row>
    <row r="61" spans="1:2">
      <c r="A61" s="8" t="s">
        <v>55</v>
      </c>
      <c r="B61" s="9">
        <f>B60/B6</f>
        <v>0</v>
      </c>
    </row>
    <row r="63" spans="1:2">
      <c r="A63" t="s">
        <v>56</v>
      </c>
      <c r="B63" s="10">
        <f>(B61-B5)/B5</f>
        <v>0</v>
      </c>
    </row>
    <row r="65" spans="1:2">
      <c r="A65" s="3" t="s">
        <v>57</v>
      </c>
    </row>
    <row r="66" spans="1:2">
      <c r="A66" t="s">
        <v>58</v>
      </c>
      <c r="B66" s="6">
        <f>NPV(0.15,B43:F43)</f>
        <v>0</v>
      </c>
    </row>
    <row r="67" spans="1:2">
      <c r="A67" t="s">
        <v>59</v>
      </c>
      <c r="B67" s="6">
        <f>B52/(1.15^5)</f>
        <v>0</v>
      </c>
    </row>
    <row r="68" spans="1:2">
      <c r="A68" t="s">
        <v>60</v>
      </c>
      <c r="B68" s="6">
        <f>B7</f>
        <v>0</v>
      </c>
    </row>
    <row r="69" spans="1:2">
      <c r="A69" t="s">
        <v>61</v>
      </c>
      <c r="B69" s="6">
        <f>B11</f>
        <v>0</v>
      </c>
    </row>
    <row r="70" spans="1:2">
      <c r="A70" t="s">
        <v>62</v>
      </c>
      <c r="B70" s="6">
        <f>B66+B67+B68+B69</f>
        <v>0</v>
      </c>
    </row>
    <row r="71" spans="1:2">
      <c r="A71" t="s">
        <v>63</v>
      </c>
      <c r="B71" s="9">
        <f>B70/B6</f>
        <v>0</v>
      </c>
    </row>
    <row r="72" spans="1:2">
      <c r="A72" t="s">
        <v>64</v>
      </c>
      <c r="B72" s="10">
        <f>(B5-B71)/B5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cols>
    <col min="1" max="1" width="32.7109375" customWidth="1"/>
    <col min="2" max="4" width="16.7109375" customWidth="1"/>
  </cols>
  <sheetData>
    <row r="1" spans="1:4">
      <c r="A1" s="1" t="s">
        <v>65</v>
      </c>
    </row>
    <row r="2" spans="1:4">
      <c r="A2" s="2" t="s">
        <v>66</v>
      </c>
    </row>
    <row r="4" spans="1:4">
      <c r="A4" s="7"/>
      <c r="B4" s="7" t="s">
        <v>67</v>
      </c>
      <c r="C4" s="7" t="s">
        <v>68</v>
      </c>
      <c r="D4" s="7" t="s">
        <v>69</v>
      </c>
    </row>
    <row r="6" spans="1:4">
      <c r="A6" s="8" t="s">
        <v>70</v>
      </c>
      <c r="B6" s="10">
        <v>0.16</v>
      </c>
      <c r="C6" s="10">
        <v>0.145</v>
      </c>
      <c r="D6" s="10">
        <v>0.13</v>
      </c>
    </row>
    <row r="7" spans="1:4">
      <c r="A7" s="8" t="s">
        <v>71</v>
      </c>
      <c r="B7" s="10">
        <v>0.015</v>
      </c>
      <c r="C7" s="10">
        <v>0.02</v>
      </c>
      <c r="D7" s="10">
        <v>0.025</v>
      </c>
    </row>
    <row r="8" spans="1:4">
      <c r="A8" s="8" t="s">
        <v>17</v>
      </c>
      <c r="B8" s="6">
        <v>3.7</v>
      </c>
      <c r="C8" s="6">
        <v>5.7</v>
      </c>
      <c r="D8" s="6">
        <v>9.199999999999999</v>
      </c>
    </row>
    <row r="9" spans="1:4">
      <c r="A9" s="8" t="s">
        <v>72</v>
      </c>
      <c r="B9" s="6">
        <v>199.2</v>
      </c>
      <c r="C9" s="6">
        <v>223.3</v>
      </c>
      <c r="D9" s="6">
        <v>252.2</v>
      </c>
    </row>
    <row r="10" spans="1:4">
      <c r="A10" s="8" t="s">
        <v>73</v>
      </c>
      <c r="B10" s="10">
        <v>0.35</v>
      </c>
      <c r="C10" s="10">
        <v>0.15</v>
      </c>
      <c r="D10" s="10">
        <v>0</v>
      </c>
    </row>
    <row r="11" spans="1:4">
      <c r="A11" s="8" t="s">
        <v>74</v>
      </c>
      <c r="B11" s="6">
        <v>40.549</v>
      </c>
      <c r="C11" s="6">
        <v>74.35599999999999</v>
      </c>
      <c r="D11" s="6">
        <v>113.27</v>
      </c>
    </row>
    <row r="12" spans="1:4">
      <c r="A12" s="8" t="s">
        <v>75</v>
      </c>
      <c r="B12" s="6">
        <v>178.609</v>
      </c>
      <c r="C12" s="6">
        <v>272.741</v>
      </c>
      <c r="D12" s="6">
        <v>374.05</v>
      </c>
    </row>
    <row r="13" spans="1:4">
      <c r="A13" s="8" t="s">
        <v>76</v>
      </c>
      <c r="B13" s="11">
        <v>1.242</v>
      </c>
      <c r="C13" s="11">
        <v>1.896</v>
      </c>
      <c r="D13" s="11">
        <v>2.601</v>
      </c>
    </row>
    <row r="14" spans="1:4">
      <c r="A14" s="8" t="s">
        <v>77</v>
      </c>
      <c r="B14" s="10">
        <v>-0.3632</v>
      </c>
      <c r="C14" s="10">
        <v>-0.0276</v>
      </c>
      <c r="D14" s="10">
        <v>0.3336</v>
      </c>
    </row>
    <row r="15" spans="1:4">
      <c r="A15" s="8" t="s">
        <v>78</v>
      </c>
      <c r="B15" s="10">
        <v>0.464</v>
      </c>
      <c r="C15" s="10">
        <v>0.584</v>
      </c>
      <c r="D15" s="10">
        <v>0.659</v>
      </c>
    </row>
    <row r="18" spans="1:4">
      <c r="A18" s="8" t="s">
        <v>79</v>
      </c>
      <c r="B18" s="10">
        <v>0.3</v>
      </c>
      <c r="C18" s="10">
        <v>0.45</v>
      </c>
      <c r="D18" s="10">
        <v>0.25</v>
      </c>
    </row>
    <row r="19" spans="1:4">
      <c r="A19" s="8" t="s">
        <v>80</v>
      </c>
      <c r="B19" s="11">
        <v>1.878</v>
      </c>
    </row>
    <row r="20" spans="1:4">
      <c r="A20" s="8" t="s">
        <v>81</v>
      </c>
      <c r="B20" s="10">
        <v>-0.03700000000000001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82</v>
      </c>
    </row>
    <row r="2" spans="1:6">
      <c r="A2" t="s">
        <v>83</v>
      </c>
    </row>
    <row r="4" spans="1:6">
      <c r="A4" s="7" t="s">
        <v>84</v>
      </c>
      <c r="B4" s="12">
        <v>0.01</v>
      </c>
      <c r="C4" s="12">
        <v>0.015</v>
      </c>
      <c r="D4" s="12">
        <v>0.02</v>
      </c>
      <c r="E4" s="12">
        <v>0.025</v>
      </c>
      <c r="F4" s="12">
        <v>0.03</v>
      </c>
    </row>
    <row r="5" spans="1:6">
      <c r="A5" s="12">
        <v>0.125</v>
      </c>
      <c r="B5" s="11">
        <f>(NPV(0.125,'SOTP Model'!$B$43:$F$43)+MIN('SOTP Model'!$F$43*(1+0.01)/(0.125-0.01),'SOTP Model'!$F$35*'SOTP Model'!$B$21)/(1+0.125)^5+'SOTP Model'!$B$7+'SOTP Model'!$B$11)/'SOTP Model'!$B$6</f>
        <v>0</v>
      </c>
      <c r="C5" s="11">
        <f>(NPV(0.125,'SOTP Model'!$B$43:$F$43)+MIN('SOTP Model'!$F$43*(1+0.015)/(0.125-0.015),'SOTP Model'!$F$35*'SOTP Model'!$B$21)/(1+0.125)^5+'SOTP Model'!$B$7+'SOTP Model'!$B$11)/'SOTP Model'!$B$6</f>
        <v>0</v>
      </c>
      <c r="D5" s="11">
        <f>(NPV(0.125,'SOTP Model'!$B$43:$F$43)+MIN('SOTP Model'!$F$43*(1+0.02)/(0.125-0.02),'SOTP Model'!$F$35*'SOTP Model'!$B$21)/(1+0.125)^5+'SOTP Model'!$B$7+'SOTP Model'!$B$11)/'SOTP Model'!$B$6</f>
        <v>0</v>
      </c>
      <c r="E5" s="11">
        <f>(NPV(0.125,'SOTP Model'!$B$43:$F$43)+MIN('SOTP Model'!$F$43*(1+0.025)/(0.125-0.025),'SOTP Model'!$F$35*'SOTP Model'!$B$21)/(1+0.125)^5+'SOTP Model'!$B$7+'SOTP Model'!$B$11)/'SOTP Model'!$B$6</f>
        <v>0</v>
      </c>
      <c r="F5" s="11">
        <f>(NPV(0.125,'SOTP Model'!$B$43:$F$43)+MIN('SOTP Model'!$F$43*(1+0.03)/(0.125-0.03),'SOTP Model'!$F$35*'SOTP Model'!$B$21)/(1+0.125)^5+'SOTP Model'!$B$7+'SOTP Model'!$B$11)/'SOTP Model'!$B$6</f>
        <v>0</v>
      </c>
    </row>
    <row r="6" spans="1:6">
      <c r="A6" s="12">
        <v>0.135</v>
      </c>
      <c r="B6" s="11">
        <f>(NPV(0.135,'SOTP Model'!$B$43:$F$43)+MIN('SOTP Model'!$F$43*(1+0.01)/(0.135-0.01),'SOTP Model'!$F$35*'SOTP Model'!$B$21)/(1+0.135)^5+'SOTP Model'!$B$7+'SOTP Model'!$B$11)/'SOTP Model'!$B$6</f>
        <v>0</v>
      </c>
      <c r="C6" s="11">
        <f>(NPV(0.135,'SOTP Model'!$B$43:$F$43)+MIN('SOTP Model'!$F$43*(1+0.015)/(0.135-0.015),'SOTP Model'!$F$35*'SOTP Model'!$B$21)/(1+0.135)^5+'SOTP Model'!$B$7+'SOTP Model'!$B$11)/'SOTP Model'!$B$6</f>
        <v>0</v>
      </c>
      <c r="D6" s="11">
        <f>(NPV(0.135,'SOTP Model'!$B$43:$F$43)+MIN('SOTP Model'!$F$43*(1+0.02)/(0.135-0.02),'SOTP Model'!$F$35*'SOTP Model'!$B$21)/(1+0.135)^5+'SOTP Model'!$B$7+'SOTP Model'!$B$11)/'SOTP Model'!$B$6</f>
        <v>0</v>
      </c>
      <c r="E6" s="11">
        <f>(NPV(0.135,'SOTP Model'!$B$43:$F$43)+MIN('SOTP Model'!$F$43*(1+0.025)/(0.135-0.025),'SOTP Model'!$F$35*'SOTP Model'!$B$21)/(1+0.135)^5+'SOTP Model'!$B$7+'SOTP Model'!$B$11)/'SOTP Model'!$B$6</f>
        <v>0</v>
      </c>
      <c r="F6" s="11">
        <f>(NPV(0.135,'SOTP Model'!$B$43:$F$43)+MIN('SOTP Model'!$F$43*(1+0.03)/(0.135-0.03),'SOTP Model'!$F$35*'SOTP Model'!$B$21)/(1+0.135)^5+'SOTP Model'!$B$7+'SOTP Model'!$B$11)/'SOTP Model'!$B$6</f>
        <v>0</v>
      </c>
    </row>
    <row r="7" spans="1:6">
      <c r="A7" s="12">
        <v>0.145</v>
      </c>
      <c r="B7" s="11">
        <f>(NPV(0.145,'SOTP Model'!$B$43:$F$43)+MIN('SOTP Model'!$F$43*(1+0.01)/(0.145-0.01),'SOTP Model'!$F$35*'SOTP Model'!$B$21)/(1+0.145)^5+'SOTP Model'!$B$7+'SOTP Model'!$B$11)/'SOTP Model'!$B$6</f>
        <v>0</v>
      </c>
      <c r="C7" s="11">
        <f>(NPV(0.145,'SOTP Model'!$B$43:$F$43)+MIN('SOTP Model'!$F$43*(1+0.015)/(0.145-0.015),'SOTP Model'!$F$35*'SOTP Model'!$B$21)/(1+0.145)^5+'SOTP Model'!$B$7+'SOTP Model'!$B$11)/'SOTP Model'!$B$6</f>
        <v>0</v>
      </c>
      <c r="D7" s="11">
        <f>(NPV(0.145,'SOTP Model'!$B$43:$F$43)+MIN('SOTP Model'!$F$43*(1+0.02)/(0.145-0.02),'SOTP Model'!$F$35*'SOTP Model'!$B$21)/(1+0.145)^5+'SOTP Model'!$B$7+'SOTP Model'!$B$11)/'SOTP Model'!$B$6</f>
        <v>0</v>
      </c>
      <c r="E7" s="11">
        <f>(NPV(0.145,'SOTP Model'!$B$43:$F$43)+MIN('SOTP Model'!$F$43*(1+0.025)/(0.145-0.025),'SOTP Model'!$F$35*'SOTP Model'!$B$21)/(1+0.145)^5+'SOTP Model'!$B$7+'SOTP Model'!$B$11)/'SOTP Model'!$B$6</f>
        <v>0</v>
      </c>
      <c r="F7" s="11">
        <f>(NPV(0.145,'SOTP Model'!$B$43:$F$43)+MIN('SOTP Model'!$F$43*(1+0.03)/(0.145-0.03),'SOTP Model'!$F$35*'SOTP Model'!$B$21)/(1+0.145)^5+'SOTP Model'!$B$7+'SOTP Model'!$B$11)/'SOTP Model'!$B$6</f>
        <v>0</v>
      </c>
    </row>
    <row r="8" spans="1:6">
      <c r="A8" s="12">
        <v>0.155</v>
      </c>
      <c r="B8" s="11">
        <f>(NPV(0.155,'SOTP Model'!$B$43:$F$43)+MIN('SOTP Model'!$F$43*(1+0.01)/(0.155-0.01),'SOTP Model'!$F$35*'SOTP Model'!$B$21)/(1+0.155)^5+'SOTP Model'!$B$7+'SOTP Model'!$B$11)/'SOTP Model'!$B$6</f>
        <v>0</v>
      </c>
      <c r="C8" s="11">
        <f>(NPV(0.155,'SOTP Model'!$B$43:$F$43)+MIN('SOTP Model'!$F$43*(1+0.015)/(0.155-0.015),'SOTP Model'!$F$35*'SOTP Model'!$B$21)/(1+0.155)^5+'SOTP Model'!$B$7+'SOTP Model'!$B$11)/'SOTP Model'!$B$6</f>
        <v>0</v>
      </c>
      <c r="D8" s="11">
        <f>(NPV(0.155,'SOTP Model'!$B$43:$F$43)+MIN('SOTP Model'!$F$43*(1+0.02)/(0.155-0.02),'SOTP Model'!$F$35*'SOTP Model'!$B$21)/(1+0.155)^5+'SOTP Model'!$B$7+'SOTP Model'!$B$11)/'SOTP Model'!$B$6</f>
        <v>0</v>
      </c>
      <c r="E8" s="11">
        <f>(NPV(0.155,'SOTP Model'!$B$43:$F$43)+MIN('SOTP Model'!$F$43*(1+0.025)/(0.155-0.025),'SOTP Model'!$F$35*'SOTP Model'!$B$21)/(1+0.155)^5+'SOTP Model'!$B$7+'SOTP Model'!$B$11)/'SOTP Model'!$B$6</f>
        <v>0</v>
      </c>
      <c r="F8" s="11">
        <f>(NPV(0.155,'SOTP Model'!$B$43:$F$43)+MIN('SOTP Model'!$F$43*(1+0.03)/(0.155-0.03),'SOTP Model'!$F$35*'SOTP Model'!$B$21)/(1+0.155)^5+'SOTP Model'!$B$7+'SOTP Model'!$B$11)/'SOTP Model'!$B$6</f>
        <v>0</v>
      </c>
    </row>
    <row r="9" spans="1:6">
      <c r="A9" s="12">
        <v>0.165</v>
      </c>
      <c r="B9" s="11">
        <f>(NPV(0.165,'SOTP Model'!$B$43:$F$43)+MIN('SOTP Model'!$F$43*(1+0.01)/(0.165-0.01),'SOTP Model'!$F$35*'SOTP Model'!$B$21)/(1+0.165)^5+'SOTP Model'!$B$7+'SOTP Model'!$B$11)/'SOTP Model'!$B$6</f>
        <v>0</v>
      </c>
      <c r="C9" s="11">
        <f>(NPV(0.165,'SOTP Model'!$B$43:$F$43)+MIN('SOTP Model'!$F$43*(1+0.015)/(0.165-0.015),'SOTP Model'!$F$35*'SOTP Model'!$B$21)/(1+0.165)^5+'SOTP Model'!$B$7+'SOTP Model'!$B$11)/'SOTP Model'!$B$6</f>
        <v>0</v>
      </c>
      <c r="D9" s="11">
        <f>(NPV(0.165,'SOTP Model'!$B$43:$F$43)+MIN('SOTP Model'!$F$43*(1+0.02)/(0.165-0.02),'SOTP Model'!$F$35*'SOTP Model'!$B$21)/(1+0.165)^5+'SOTP Model'!$B$7+'SOTP Model'!$B$11)/'SOTP Model'!$B$6</f>
        <v>0</v>
      </c>
      <c r="E9" s="11">
        <f>(NPV(0.165,'SOTP Model'!$B$43:$F$43)+MIN('SOTP Model'!$F$43*(1+0.025)/(0.165-0.025),'SOTP Model'!$F$35*'SOTP Model'!$B$21)/(1+0.165)^5+'SOTP Model'!$B$7+'SOTP Model'!$B$11)/'SOTP Model'!$B$6</f>
        <v>0</v>
      </c>
      <c r="F9" s="11">
        <f>(NPV(0.165,'SOTP Model'!$B$43:$F$43)+MIN('SOTP Model'!$F$43*(1+0.03)/(0.165-0.03),'SOTP Model'!$F$35*'SOTP Model'!$B$21)/(1+0.165)^5+'SOTP Model'!$B$7+'SOTP Model'!$B$11)/'SOTP Model'!$B$6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1" width="40.7109375" customWidth="1"/>
    <col min="2" max="3" width="14.7109375" customWidth="1"/>
  </cols>
  <sheetData>
    <row r="1" spans="1:3">
      <c r="A1" s="1" t="s">
        <v>85</v>
      </c>
    </row>
    <row r="2" spans="1:3" ht="30" customHeight="1">
      <c r="A2" s="13" t="s">
        <v>86</v>
      </c>
    </row>
    <row r="4" spans="1:3">
      <c r="A4" s="7"/>
      <c r="B4" s="7" t="s">
        <v>87</v>
      </c>
      <c r="C4" s="7" t="s">
        <v>88</v>
      </c>
    </row>
    <row r="6" spans="1:3">
      <c r="A6" t="s">
        <v>89</v>
      </c>
      <c r="B6" s="6">
        <v>523.758</v>
      </c>
      <c r="C6" s="6">
        <v>545.976</v>
      </c>
    </row>
    <row r="7" spans="1:3">
      <c r="A7" t="s">
        <v>90</v>
      </c>
      <c r="B7" s="6">
        <v>52.641</v>
      </c>
      <c r="C7" s="6">
        <v>54.613</v>
      </c>
    </row>
    <row r="8" spans="1:3">
      <c r="A8" t="s">
        <v>36</v>
      </c>
      <c r="B8" s="6">
        <v>5.838</v>
      </c>
      <c r="C8" s="6">
        <v>9.608000000000001</v>
      </c>
    </row>
    <row r="9" spans="1:3">
      <c r="A9" t="s">
        <v>91</v>
      </c>
      <c r="B9" s="6">
        <v>46.803</v>
      </c>
      <c r="C9" s="6">
        <v>45.005</v>
      </c>
    </row>
    <row r="10" spans="1:3">
      <c r="A10" t="s">
        <v>92</v>
      </c>
      <c r="B10" s="6">
        <v>0.174</v>
      </c>
      <c r="C10" s="6">
        <v>0.192</v>
      </c>
    </row>
    <row r="11" spans="1:3">
      <c r="A11" t="s">
        <v>93</v>
      </c>
      <c r="B11" s="6">
        <v>12.577</v>
      </c>
      <c r="C11" s="6">
        <v>13.752</v>
      </c>
    </row>
    <row r="12" spans="1:3">
      <c r="A12" t="s">
        <v>94</v>
      </c>
      <c r="B12" s="6">
        <v>34.052</v>
      </c>
      <c r="C12" s="6">
        <v>31.061</v>
      </c>
    </row>
    <row r="13" spans="1:3">
      <c r="A13" t="s">
        <v>95</v>
      </c>
      <c r="B13" s="10">
        <v>0.08939999999999999</v>
      </c>
      <c r="C13" s="10">
        <v>0.0824</v>
      </c>
    </row>
    <row r="14" spans="1:3">
      <c r="A14" t="s">
        <v>96</v>
      </c>
      <c r="B14" s="10">
        <v>0.065</v>
      </c>
      <c r="C14" s="10">
        <v>0.0569</v>
      </c>
    </row>
    <row r="16" spans="1:3">
      <c r="A16" s="8" t="s">
        <v>97</v>
      </c>
    </row>
    <row r="17" spans="1:3">
      <c r="A17" t="s">
        <v>98</v>
      </c>
      <c r="C17" s="6">
        <v>380.21</v>
      </c>
    </row>
    <row r="18" spans="1:3">
      <c r="A18" t="s">
        <v>99</v>
      </c>
      <c r="C18" s="6">
        <v>22.245</v>
      </c>
    </row>
    <row r="19" spans="1:3">
      <c r="A19" t="s">
        <v>100</v>
      </c>
      <c r="C19" s="6">
        <v>2.4208</v>
      </c>
    </row>
    <row r="20" spans="1:3">
      <c r="A20" t="s">
        <v>101</v>
      </c>
      <c r="C20" s="6">
        <v>14.273424</v>
      </c>
    </row>
    <row r="21" spans="1:3">
      <c r="A21" t="s">
        <v>102</v>
      </c>
      <c r="C21" s="6">
        <v>12.76</v>
      </c>
    </row>
    <row r="22" spans="1:3">
      <c r="A22" t="s">
        <v>103</v>
      </c>
      <c r="C22" s="6">
        <v>6.691</v>
      </c>
    </row>
    <row r="23" spans="1:3">
      <c r="A23" t="s">
        <v>104</v>
      </c>
      <c r="C23" s="6">
        <v>8.456</v>
      </c>
    </row>
    <row r="24" spans="1:3">
      <c r="A24" t="inlineStr">
        <is>
          <t>= Owner FCF pre-NCI</t>
        </is>
      </c>
      <c r="C24" s="6">
        <v>11.887</v>
      </c>
    </row>
    <row r="25" spans="1:3">
      <c r="A25" t="s">
        <v>105</v>
      </c>
      <c r="C25" s="6">
        <v>9.366956</v>
      </c>
    </row>
    <row r="26" spans="1:3">
      <c r="A26" s="8" t="inlineStr">
        <is>
          <t>= Owner FCF post-NCI (to GXH shareholders) - Year 0 base</t>
        </is>
      </c>
      <c r="C26" s="6">
        <v>9.366956</v>
      </c>
    </row>
    <row r="28" spans="1:3">
      <c r="A28" t="s">
        <v>106</v>
      </c>
      <c r="C28" s="10">
        <v>0.2769991065445611</v>
      </c>
    </row>
    <row r="29" spans="1:3">
      <c r="A29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22.7109375" customWidth="1"/>
    <col min="2" max="11" width="12.7109375" customWidth="1"/>
  </cols>
  <sheetData>
    <row r="1" spans="1:5">
      <c r="A1" s="1" t="s">
        <v>108</v>
      </c>
    </row>
    <row r="2" spans="1:5" ht="28" customHeight="1">
      <c r="A2" s="13" t="s">
        <v>109</v>
      </c>
    </row>
    <row r="4" spans="1:5">
      <c r="A4" s="7" t="s">
        <v>110</v>
      </c>
      <c r="B4" s="7" t="s">
        <v>111</v>
      </c>
      <c r="C4" s="7" t="s">
        <v>112</v>
      </c>
      <c r="D4" s="7" t="s">
        <v>113</v>
      </c>
      <c r="E4" s="7" t="s">
        <v>114</v>
      </c>
    </row>
    <row r="6" spans="1:5">
      <c r="A6" t="s">
        <v>115</v>
      </c>
      <c r="B6" s="6">
        <v>522.909</v>
      </c>
      <c r="C6" s="6">
        <v>16.784</v>
      </c>
      <c r="D6" s="6">
        <v>143.153</v>
      </c>
      <c r="E6" s="6">
        <v>2.22</v>
      </c>
    </row>
    <row r="7" spans="1:5">
      <c r="A7" t="s">
        <v>116</v>
      </c>
      <c r="B7" s="6">
        <v>568.5</v>
      </c>
      <c r="C7" s="6">
        <v>13.5</v>
      </c>
      <c r="E7" s="6">
        <v>1.14</v>
      </c>
    </row>
    <row r="8" spans="1:5">
      <c r="A8" t="s">
        <v>117</v>
      </c>
      <c r="B8" s="6">
        <v>570.4</v>
      </c>
      <c r="C8" s="6">
        <v>16.8</v>
      </c>
      <c r="E8" s="6">
        <v>1.03</v>
      </c>
    </row>
    <row r="9" spans="1:5">
      <c r="A9" t="s">
        <v>118</v>
      </c>
      <c r="B9" s="6">
        <v>670.3</v>
      </c>
      <c r="C9" s="6">
        <v>24.6</v>
      </c>
      <c r="E9" s="6">
        <v>1.33</v>
      </c>
    </row>
    <row r="10" spans="1:5">
      <c r="A10" t="s">
        <v>119</v>
      </c>
      <c r="B10" s="6">
        <v>493.6</v>
      </c>
      <c r="C10" s="6">
        <v>45.2</v>
      </c>
      <c r="E10" s="6">
        <v>1.35</v>
      </c>
    </row>
    <row r="11" spans="1:5">
      <c r="A11" t="s">
        <v>120</v>
      </c>
      <c r="B11" s="6">
        <v>503.9</v>
      </c>
      <c r="C11" s="6">
        <v>12</v>
      </c>
      <c r="E11" s="6">
        <v>1.02</v>
      </c>
    </row>
    <row r="12" spans="1:5">
      <c r="A12" t="s">
        <v>87</v>
      </c>
      <c r="B12" s="6">
        <v>523.758</v>
      </c>
      <c r="C12" s="6">
        <v>15.975</v>
      </c>
      <c r="D12" s="6">
        <v>143.603</v>
      </c>
      <c r="E12" s="6">
        <v>0.75</v>
      </c>
    </row>
    <row r="13" spans="1:5">
      <c r="A13" t="s">
        <v>88</v>
      </c>
      <c r="B13" s="6">
        <v>545.976</v>
      </c>
      <c r="C13" s="6">
        <v>20.395</v>
      </c>
      <c r="D13" s="6">
        <v>143.834</v>
      </c>
      <c r="E13" s="6">
        <v>1.2</v>
      </c>
    </row>
    <row r="15" spans="1:5">
      <c r="A15" s="8" t="s">
        <v>121</v>
      </c>
      <c r="B15" s="10">
        <v>0.0266</v>
      </c>
    </row>
    <row r="16" spans="1:5">
      <c r="A16" t="s">
        <v>122</v>
      </c>
      <c r="B16" t="s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124</v>
      </c>
    </row>
    <row r="4" spans="1:2" ht="30" customHeight="1">
      <c r="A4" s="8" t="s">
        <v>125</v>
      </c>
      <c r="B4" s="14" t="s">
        <v>126</v>
      </c>
    </row>
    <row r="5" spans="1:2" ht="30" customHeight="1">
      <c r="A5" s="8" t="s">
        <v>127</v>
      </c>
      <c r="B5" s="14" t="s">
        <v>128</v>
      </c>
    </row>
    <row r="6" spans="1:2" ht="30" customHeight="1">
      <c r="A6" s="8" t="s">
        <v>129</v>
      </c>
      <c r="B6" s="14" t="s">
        <v>130</v>
      </c>
    </row>
    <row r="7" spans="1:2" ht="30" customHeight="1">
      <c r="A7" s="8" t="s">
        <v>131</v>
      </c>
      <c r="B7" s="14" t="s">
        <v>132</v>
      </c>
    </row>
    <row r="8" spans="1:2" ht="30" customHeight="1">
      <c r="A8" s="8" t="s">
        <v>133</v>
      </c>
      <c r="B8" s="14" t="s">
        <v>134</v>
      </c>
    </row>
    <row r="9" spans="1:2" ht="30" customHeight="1">
      <c r="A9" s="8" t="s">
        <v>135</v>
      </c>
      <c r="B9" s="14" t="s">
        <v>136</v>
      </c>
    </row>
    <row r="10" spans="1:2" ht="30" customHeight="1">
      <c r="A10" s="8" t="s">
        <v>137</v>
      </c>
      <c r="B10" s="14" t="s">
        <v>138</v>
      </c>
    </row>
    <row r="11" spans="1:2" ht="30" customHeight="1">
      <c r="A11" s="8" t="s">
        <v>139</v>
      </c>
      <c r="B11" s="14" t="s">
        <v>140</v>
      </c>
    </row>
    <row r="12" spans="1:2" ht="30" customHeight="1">
      <c r="A12" s="8" t="s">
        <v>141</v>
      </c>
      <c r="B12" s="14" t="s">
        <v>142</v>
      </c>
    </row>
    <row r="13" spans="1:2" ht="30" customHeight="1">
      <c r="A13" s="8" t="s">
        <v>143</v>
      </c>
      <c r="B13" s="14" t="s">
        <v>144</v>
      </c>
    </row>
    <row r="14" spans="1:2" ht="30" customHeight="1">
      <c r="A14" s="8" t="s">
        <v>145</v>
      </c>
      <c r="B14" s="14" t="s">
        <v>146</v>
      </c>
    </row>
    <row r="15" spans="1:2" ht="30" customHeight="1">
      <c r="A15" s="8" t="s">
        <v>147</v>
      </c>
      <c r="B15" s="14" t="s">
        <v>148</v>
      </c>
    </row>
    <row r="16" spans="1:2" ht="30" customHeight="1">
      <c r="A16" s="8" t="s">
        <v>149</v>
      </c>
      <c r="B16" s="14" t="s">
        <v>150</v>
      </c>
    </row>
    <row r="17" spans="1:2" ht="30" customHeight="1">
      <c r="A17" s="8" t="s">
        <v>151</v>
      </c>
      <c r="B17" s="14" t="s">
        <v>152</v>
      </c>
    </row>
    <row r="18" spans="1:2" ht="30" customHeight="1">
      <c r="A18" s="8" t="s">
        <v>153</v>
      </c>
      <c r="B18" s="14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SOTP Model</vt:lpstr>
      <vt:lpstr>Scenarios</vt:lpstr>
      <vt:lpstr>Sensitivity</vt:lpstr>
      <vt:lpstr>FCF Quality</vt:lpstr>
      <vt:lpstr>Historical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2026-08-11T07:28:24Z</dcterms:created>
  <dcterms:modified xsi:type="dcterms:W3CDTF">2026-08-11T07:28:24Z</dcterms:modified>
</cp:coreProperties>
</file>