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<sst xmlns="http://schemas.openxmlformats.org/spreadsheetml/2006/main" count="390" uniqueCount="175">
  <si>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</si>
  <si>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MCD</t>
  </si>
  <si>
    <t xml:space="preserve">Company</t>
  </si>
  <si>
    <t xml:space="preserve">McDonald's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</si>
  <si>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</si>
  <si>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</si>
  <si>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</si>
  <si>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</si>
  <si>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API); 52-week range 229.61-341.75, price sits at the bottom of the range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</si>
  <si>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</si>
  <si>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</si>
  <si>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</si>
  <si>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</si>
  <si>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</si>
  <si>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</si>
  <si>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</si>
  <si>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</si>
  <si>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</si>
  <si>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</si>
  <si>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</si>
  <si>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</si>
  <si>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2026-10-02T00:47:04Z</t>
  </si>
  <si>
    <t xml:space="preserve">Drivers file</t>
  </si>
  <si>
    <t xml:space="preserve">MCD_Drivers.json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</si>
  <si>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</si>
  <si>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</si>
  <si>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</si>
  <si>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franchised real-estate royalty annuity valued as the unlevered owner-FCF it throws off, with the 39B of net debt deducted once in the bridge. Margins are built from components (pre-SBC EBITDA, SBC, D&amp;A, 22% cash tax, guided capex) rather than carried forward, and the horizon is 10 years so the elevated unit-growth capex has time to normalise before the terminal year is capitalised. The flat share count ignores the ~1%/yr buyback shrinkage, which is deliberate: buybacks are value-neutral in the owner-FCF frame. Terminal value is capped at 17-22x year-10 FCF and dominates the result, so the finding is a value range around the current price rather than a precise number.
key_risks_to_valuation: Terminal value is roughly two-thirds of enterprise value; each 1pp of WACC moves the base case by tens of dollars per share (see sensitivity grid); Capex intensity: if the 50,000-unit push does not roll off toward 10.5% of revenue after 2028, owner FCF margin stalls ~3pp below the modelled terminal level; U.S. value-platform execution and lower-income traffic - the Q2-2026 miss was two-thirds attributed to inconsistent franchisee implementation; Company-operated margin erosion from beef, packaging and labour inflation (California-style wage laws), only ~36% of revenue but the part McDonald's bears directly; FX: ~70% of revenue is non-U.S.; H1-2026 growth carried a dollar tailwind that reverses if the dollar strengthens; Leverage: 3.6x net debt/EBITDA with negative book equity - refinancing at higher rates (interest guided +4-6% in 2026) is charged through the bridge, not the flows, so a rising net debt figure flows straight to equity value; Joint-employer / franchise-model litigation and regulation that could shift labour liability onto the franchisor</t>
  </si>
  <si>
    <t xml:space="preserve">Data sources</t>
  </si>
  <si>
    <t xml:space="preserve">price: Yahoo Finance chart API at inputs.price_as_of (regular close); 52-week range 229.61-341.75
financials: SEC XBRL companyfacts (CIK 63908) via MCD_Metrics.csv / MCD.duckdb through Q2-2026; Q2-2026 10-Q (mcd-20260630.htm) balance sheet, EPS note, nonoperating table and Outlook section read directly for net debt, diluted shares, interest income and FY2026 guidance
qualitative: MCD_Analysis.json (2026-10-02): business model, bull/bear axes, Q2-2026 results and guidance commentary</t>
  </si>
  <si>
    <t xml:space="preserve">Scenario narrative: bear</t>
  </si>
  <si>
    <t xml:space="preserve">The lower-income U.S. consumer stays squeezed and the value war with Wendy's, Burger King and Taco Bell becomes structural: franchisees resist mandated value pricing, so McDonald's funds it through rent/royalty relief and higher company-operated subsidies. U.S. comps hover around zero, FX turns from tailwind to headwind, and revenue growth is 3.5% in FY2026 then 2-2.5% - essentially unit growth alone. Pre-SBC EBITDA margin slips to 53% as company-operated margins keep eroding (-6% in Q2-2026) and beef/labour inflation is only partly passed through. Capex guidance is honoured near term (the unit pipeline is committed) then cut as returns on new units disappoint. Cash tax 23%. Terminal growth 2% with a 17x cap: still a durable business, but one the market reprices as ex-growth with 3.6x net debt/EBITDA and negative book equity. No zero-floor risk - owner FCF stays strongly positive throughout.</t>
  </si>
  <si>
    <t xml:space="preserve">Scenario narrative: base</t>
  </si>
  <si>
    <t xml:space="preserve">McDonald's remains a ~95%-franchised rent-plus-royalty annuity growing with the unit base. Net unit growth contributes ~2.5%/yr to systemwide sales through the 50,000-restaurant target in 2028, U.S. comps stay low-single-digit (value platform compliance improves from the acknowledged 60-65% but lower-income traffic stays soft) while IOM/IDL run a point or two faster, and reported revenue grows 5.5% in FY2026 decelerating to 3% by the end of the decade. Pre-SBC EBITDA margin holds ~55-55.5%: franchised-margin growth offsets company-operated cost inflation. Capex stays at the guided 3.7-3.9B (13.4% of revenue) while the unit push runs, then normalises toward 10.5%. Cash tax 22%. Owner FCF margin builds from ~31% to ~34% of revenue as capex intensity eases; a 20x cap binds against Gordon at 7.5%/2.5%.</t>
  </si>
  <si>
    <t xml:space="preserve">Scenario narrative: bull</t>
  </si>
  <si>
    <t xml:space="preserve">The MCD NEXT value reset actually lands: the system standardises the under-$3 / $5 platform, loyalty hits 250M 90-day actives and $45B of loyalty sales by 2027, and U.S. traffic turns positive while Japan, UK, Germany and Australia keep compounding, so systemwide sales run high-single-digit and revenue grows 6.5% for two years before decelerating to 3.5%. Franchised mix and G&amp;A at 2.2% of systemwide sales lift the pre-SBC EBITDA margin to 57% by FY2031. Unit growth keeps capex at 12-13% of revenue a year longer, then 10.5%. Terminal growth 3% with a 22x cap, reflecting the quality of a real-estate-backed royalty stream.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</si>
  <si>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</si>
  <si>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</si>
  <si>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</si>
  <si>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</si>
  <si>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</si>
  <si>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</si>
  <si>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</si>
  <si>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</si>
  <si>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</si>
  <si>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</si>
  <si>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</si>
  <si>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</si>
  <si>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</si>
  <si>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</si>
  <si>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</si>
  <si>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</si>
  <si>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</si>
  <si>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</si>
  <si>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</si>
  <si>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</si>
  <si>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</si>
  <si>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</si>
  <si>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</si>
  <si>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</si>
  <si>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</si>
  <si>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</si>
  <si>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</si>
  <si>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</si>
  <si>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</si>
  <si>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</si>
  <si>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</si>
  <si>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</si>
  <si>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</si>
  <si>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</si>
  <si>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</si>
  <si>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</si>
  <si>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</si>
  <si>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</si>
  <si>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</si>
  <si>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</si>
  <si>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</si>
  <si>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</si>
  <si>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</si>
  <si>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</si>
  <si>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</si>
  <si>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</si>
  <si>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</si>
  <si>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</si>
  <si>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</si>
  <si>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</si>
  <si>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</si>
  <si>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</si>
  <si>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</si>
  <si>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</si>
  <si>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</si>
  <si>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</si>
  <si>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</si>
  <si>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</si>
  <si>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</si>
  <si>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</si>
  <si>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</si>
  <si>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</si>
  <si>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</si>
  <si>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</si>
  <si>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</si>
  <si>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</si>
  <si>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</si>
  <si>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</si>
  <si>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</si>
  <si>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</si>
  <si>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</si>
  <si>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</si>
  <si>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</si>
  <si>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</si>
  <si>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</si>
  <si>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</si>
  <si>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</si>
  <si>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</si>
  <si>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</si>
  <si>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</si>
  <si>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</si>
  <si>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</si>
  <si>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</si>
  <si>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</si>
  <si>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MCD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</si>
  <si>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</si>
  <si>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</si>
  <si>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</si>
  <si>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</si>
  <si>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</si>
  <si>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</si>
  <si>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</si>
  <si>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</si>
  <si>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</si>
  <si>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</si>
  <si>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</si>
  <si>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</si>
  <si>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</si>
  <si>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</si>
  <si>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</si>
  <si>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</si>
  <si>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</si>
  <si>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</si>
  <si>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</si>
  <si>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</si>
  <si>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</si>
  <si>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</si>
  <si>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</si>
  <si>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</si>
  <si>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</si>
  <si>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</si>
  <si>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</si>
  <si>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</si>
  <si>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</si>
  <si>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</si>
  <si>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MCD owner-FCF component DCF: base case (millions, USD)</t>
  </si>
  <si>
    <t xml:space="preserve">MCD owner-FCF component DCF: bull case (millions, USD)</t>
  </si>
  <si>
    <t xml:space="preserve">MCD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</si>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</sst>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231.83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15458.3</v>
      </c>
      <c r="S2" s="0" t="n">
        <v>2128.1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22786.6</v>
      </c>
      <c r="F3" s="0" t="n">
        <v>3879</v>
      </c>
      <c r="G3" s="0" t="n">
        <v>17.023162735994</v>
      </c>
      <c r="H3" s="0" t="n">
        <v>5093.1</v>
      </c>
      <c r="I3" s="0" t="n">
        <v>2395.1</v>
      </c>
      <c r="J3" s="0" t="n">
        <v>10.5110020801699</v>
      </c>
      <c r="K3" s="0" t="n">
        <v>2.02</v>
      </c>
      <c r="L3" s="0" t="n">
        <v>4876.3</v>
      </c>
      <c r="M3" s="0" t="n">
        <v>1946.6</v>
      </c>
      <c r="N3" s="0" t="n">
        <v>2929.7</v>
      </c>
      <c r="O3" s="0" t="n">
        <v>15279.8</v>
      </c>
      <c r="S3" s="0" t="n">
        <v>1981.3</v>
      </c>
      <c r="T3" s="0" t="n">
        <v>1211.8</v>
      </c>
      <c r="U3" s="0" t="n">
        <v>142.4</v>
      </c>
      <c r="V3" s="0" t="n">
        <v>1.5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23522.4</v>
      </c>
      <c r="F4" s="0" t="n">
        <v>6442.9</v>
      </c>
      <c r="G4" s="0" t="n">
        <v>27.3904873652348</v>
      </c>
      <c r="H4" s="0" t="n">
        <v>7650.7</v>
      </c>
      <c r="I4" s="0" t="n">
        <v>4313.2</v>
      </c>
      <c r="J4" s="0" t="n">
        <v>18.3365642961603</v>
      </c>
      <c r="K4" s="0" t="n">
        <v>3.83</v>
      </c>
      <c r="L4" s="0" t="n">
        <v>5917.2</v>
      </c>
      <c r="M4" s="0" t="n">
        <v>2135.7</v>
      </c>
      <c r="N4" s="0" t="n">
        <v>3781.5</v>
      </c>
      <c r="O4" s="0" t="n">
        <v>13382.6</v>
      </c>
      <c r="P4" s="0" t="n">
        <v>28461.5</v>
      </c>
      <c r="R4" s="0" t="n">
        <v>10217.8</v>
      </c>
      <c r="S4" s="0" t="n">
        <v>2063.4</v>
      </c>
      <c r="T4" s="0" t="n">
        <v>1146</v>
      </c>
      <c r="U4" s="0" t="n">
        <v>112.5</v>
      </c>
      <c r="V4" s="0" t="n">
        <v>1.625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22744.7</v>
      </c>
      <c r="F5" s="0" t="n">
        <v>6841</v>
      </c>
      <c r="G5" s="0" t="n">
        <v>30.0773366982198</v>
      </c>
      <c r="H5" s="0" t="n">
        <v>8057.2</v>
      </c>
      <c r="I5" s="0" t="n">
        <v>4551</v>
      </c>
      <c r="J5" s="0" t="n">
        <v>20.0090570550502</v>
      </c>
      <c r="K5" s="0" t="n">
        <v>4.17</v>
      </c>
      <c r="L5" s="0" t="n">
        <v>5751</v>
      </c>
      <c r="M5" s="0" t="n">
        <v>1952.1</v>
      </c>
      <c r="N5" s="0" t="n">
        <v>3798.9</v>
      </c>
      <c r="O5" s="0" t="n">
        <v>14033.9</v>
      </c>
      <c r="P5" s="0" t="n">
        <v>30224.9</v>
      </c>
      <c r="R5" s="0" t="n">
        <v>10596.5</v>
      </c>
      <c r="S5" s="0" t="n">
        <v>1796</v>
      </c>
      <c r="T5" s="0" t="n">
        <v>1107.4</v>
      </c>
      <c r="U5" s="0" t="n">
        <v>112.9</v>
      </c>
      <c r="V5" s="0" t="n">
        <v>2.05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24074.6</v>
      </c>
      <c r="F6" s="0" t="n">
        <v>7473.1</v>
      </c>
      <c r="G6" s="0" t="n">
        <v>31.041429556462</v>
      </c>
      <c r="H6" s="0" t="n">
        <v>8749.3</v>
      </c>
      <c r="I6" s="0" t="n">
        <v>4946.3</v>
      </c>
      <c r="J6" s="0" t="n">
        <v>20.5457203858008</v>
      </c>
      <c r="K6" s="0" t="n">
        <v>4.64</v>
      </c>
      <c r="L6" s="0" t="n">
        <v>6341.6</v>
      </c>
      <c r="M6" s="0" t="n">
        <v>2135.5</v>
      </c>
      <c r="N6" s="0" t="n">
        <v>4206.1</v>
      </c>
      <c r="O6" s="0" t="n">
        <v>14634.2</v>
      </c>
      <c r="P6" s="0" t="n">
        <v>31975.2</v>
      </c>
      <c r="R6" s="0" t="n">
        <v>11513.6</v>
      </c>
      <c r="S6" s="0" t="n">
        <v>2387</v>
      </c>
      <c r="T6" s="0" t="n">
        <v>1080.3</v>
      </c>
      <c r="U6" s="0" t="n">
        <v>83.1</v>
      </c>
      <c r="V6" s="0" t="n">
        <v>2.26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27006</v>
      </c>
      <c r="F7" s="0" t="n">
        <v>8529.7</v>
      </c>
      <c r="G7" s="0" t="n">
        <v>31.5844627119899</v>
      </c>
      <c r="H7" s="0" t="n">
        <v>9944.7</v>
      </c>
      <c r="I7" s="0" t="n">
        <v>5503.1</v>
      </c>
      <c r="J7" s="0" t="n">
        <v>20.3773235577279</v>
      </c>
      <c r="K7" s="0" t="n">
        <v>5.33</v>
      </c>
      <c r="L7" s="0" t="n">
        <v>7150.1</v>
      </c>
      <c r="M7" s="0" t="n">
        <v>2729.8</v>
      </c>
      <c r="N7" s="0" t="n">
        <v>4420.3</v>
      </c>
      <c r="O7" s="0" t="n">
        <v>14390.2</v>
      </c>
      <c r="P7" s="0" t="n">
        <v>32989.9</v>
      </c>
      <c r="R7" s="0" t="n">
        <v>12867</v>
      </c>
      <c r="S7" s="0" t="n">
        <v>2335.7</v>
      </c>
      <c r="T7" s="0" t="n">
        <v>1044.9</v>
      </c>
      <c r="U7" s="0" t="n">
        <v>86.2</v>
      </c>
      <c r="V7" s="0" t="n">
        <v>2.53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27567</v>
      </c>
      <c r="F8" s="0" t="n">
        <v>8604.6</v>
      </c>
      <c r="G8" s="0" t="n">
        <v>31.2134073348569</v>
      </c>
      <c r="H8" s="0" t="n">
        <v>10093.1</v>
      </c>
      <c r="I8" s="0" t="n">
        <v>5464.8</v>
      </c>
      <c r="J8" s="0" t="n">
        <v>19.8237022526934</v>
      </c>
      <c r="K8" s="0" t="n">
        <v>5.41</v>
      </c>
      <c r="L8" s="0" t="n">
        <v>6966.1</v>
      </c>
      <c r="M8" s="0" t="n">
        <v>3049.2</v>
      </c>
      <c r="N8" s="0" t="n">
        <v>3916.9</v>
      </c>
      <c r="O8" s="0" t="n">
        <v>15293.6</v>
      </c>
      <c r="P8" s="0" t="n">
        <v>35386.5</v>
      </c>
      <c r="R8" s="0" t="n">
        <v>13632.5</v>
      </c>
      <c r="S8" s="0" t="n">
        <v>2336.1</v>
      </c>
      <c r="T8" s="0" t="n">
        <v>1020.2</v>
      </c>
      <c r="U8" s="0" t="n">
        <v>93.4</v>
      </c>
      <c r="V8" s="0" t="n">
        <v>2.87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28105.7</v>
      </c>
      <c r="F9" s="0" t="n">
        <v>8764.3</v>
      </c>
      <c r="G9" s="0" t="n">
        <v>31.1833542662165</v>
      </c>
      <c r="H9" s="0" t="n">
        <v>10349.4</v>
      </c>
      <c r="I9" s="0" t="n">
        <v>5585.9</v>
      </c>
      <c r="J9" s="0" t="n">
        <v>19.8746161810594</v>
      </c>
      <c r="K9" s="0" t="n">
        <v>5.59</v>
      </c>
      <c r="L9" s="0" t="n">
        <v>7120.7</v>
      </c>
      <c r="M9" s="0" t="n">
        <v>2824.7</v>
      </c>
      <c r="N9" s="0" t="n">
        <v>4296</v>
      </c>
      <c r="O9" s="0" t="n">
        <v>16009.7</v>
      </c>
      <c r="P9" s="0" t="n">
        <v>36626.3</v>
      </c>
      <c r="R9" s="0" t="n">
        <v>14129.8</v>
      </c>
      <c r="S9" s="0" t="n">
        <v>2798.7</v>
      </c>
      <c r="T9" s="0" t="n">
        <v>1006</v>
      </c>
      <c r="U9" s="0" t="n">
        <v>89.1</v>
      </c>
      <c r="V9" s="0" t="n">
        <v>3.12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27441.3</v>
      </c>
      <c r="F10" s="0" t="n">
        <v>7949.2</v>
      </c>
      <c r="G10" s="0" t="n">
        <v>28.9680153637036</v>
      </c>
      <c r="H10" s="0" t="n">
        <v>9593.7</v>
      </c>
      <c r="I10" s="0" t="n">
        <v>4757.8</v>
      </c>
      <c r="J10" s="0" t="n">
        <v>17.3380998713618</v>
      </c>
      <c r="K10" s="0" t="n">
        <v>4.85</v>
      </c>
      <c r="L10" s="0" t="n">
        <v>6730.3</v>
      </c>
      <c r="M10" s="0" t="n">
        <v>2583.4</v>
      </c>
      <c r="N10" s="0" t="n">
        <v>4146.9</v>
      </c>
      <c r="O10" s="0" t="n">
        <v>12853.4</v>
      </c>
      <c r="P10" s="0" t="n">
        <v>34227.4</v>
      </c>
      <c r="R10" s="0" t="n">
        <v>14935.7</v>
      </c>
      <c r="S10" s="0" t="n">
        <v>2077.9</v>
      </c>
      <c r="T10" s="0" t="n">
        <v>986.3</v>
      </c>
      <c r="U10" s="0" t="n">
        <v>112.8</v>
      </c>
      <c r="V10" s="0" t="n">
        <v>3.28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25413</v>
      </c>
      <c r="F11" s="0" t="n">
        <v>7145.5</v>
      </c>
      <c r="G11" s="0" t="n">
        <v>28.1174989178767</v>
      </c>
      <c r="H11" s="0" t="n">
        <v>8701.2</v>
      </c>
      <c r="I11" s="0" t="n">
        <v>4529.3</v>
      </c>
      <c r="J11" s="0" t="n">
        <v>17.8227678747098</v>
      </c>
      <c r="K11" s="0" t="n">
        <v>4.82</v>
      </c>
      <c r="L11" s="0" t="n">
        <v>6539.1</v>
      </c>
      <c r="M11" s="0" t="n">
        <v>1813.9</v>
      </c>
      <c r="N11" s="0" t="n">
        <v>4725.2</v>
      </c>
      <c r="O11" s="0" t="n">
        <v>7087.9</v>
      </c>
      <c r="P11" s="0" t="n">
        <v>37938.7</v>
      </c>
      <c r="R11" s="0" t="n">
        <v>24122.1</v>
      </c>
      <c r="S11" s="0" t="n">
        <v>7685.5</v>
      </c>
      <c r="T11" s="0" t="n">
        <v>944.6</v>
      </c>
      <c r="U11" s="0" t="n">
        <v>110</v>
      </c>
      <c r="V11" s="0" t="n">
        <v>3.44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24621.9</v>
      </c>
      <c r="F12" s="0" t="n">
        <v>7744.5</v>
      </c>
      <c r="G12" s="0" t="n">
        <v>31.4537058472336</v>
      </c>
      <c r="H12" s="0" t="n">
        <v>9261</v>
      </c>
      <c r="I12" s="0" t="n">
        <v>4686.5</v>
      </c>
      <c r="J12" s="0" t="n">
        <v>19.0338682230047</v>
      </c>
      <c r="K12" s="0" t="n">
        <v>5.49</v>
      </c>
      <c r="L12" s="0" t="n">
        <v>6059.6</v>
      </c>
      <c r="M12" s="0" t="n">
        <v>1821.1</v>
      </c>
      <c r="N12" s="0" t="n">
        <v>4238.5</v>
      </c>
      <c r="O12" s="0" t="n">
        <v>-2204.3</v>
      </c>
      <c r="P12" s="0" t="n">
        <v>31023.9</v>
      </c>
      <c r="R12" s="0" t="n">
        <v>26032.9</v>
      </c>
      <c r="S12" s="0" t="n">
        <v>1223.4</v>
      </c>
      <c r="T12" s="0" t="n">
        <v>861.2</v>
      </c>
      <c r="U12" s="0" t="n">
        <v>131.3</v>
      </c>
      <c r="V12" s="0" t="n">
        <v>3.61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22820.4</v>
      </c>
      <c r="F13" s="0" t="n">
        <v>9552.7</v>
      </c>
      <c r="G13" s="0" t="n">
        <v>41.8603530174756</v>
      </c>
      <c r="H13" s="0" t="n">
        <v>10916.1</v>
      </c>
      <c r="I13" s="0" t="n">
        <v>5192.3</v>
      </c>
      <c r="J13" s="0" t="n">
        <v>22.7528877670856</v>
      </c>
      <c r="K13" s="0" t="n">
        <v>6.43</v>
      </c>
      <c r="L13" s="0" t="n">
        <v>5551.2</v>
      </c>
      <c r="M13" s="0" t="n">
        <v>1853.7</v>
      </c>
      <c r="N13" s="0" t="n">
        <v>3697.5</v>
      </c>
      <c r="O13" s="0" t="n">
        <v>-3268</v>
      </c>
      <c r="P13" s="0" t="n">
        <v>33803.7</v>
      </c>
      <c r="R13" s="0" t="n">
        <v>29536.4</v>
      </c>
      <c r="S13" s="0" t="n">
        <v>2463.8</v>
      </c>
      <c r="T13" s="0" t="n">
        <v>815.5</v>
      </c>
      <c r="U13" s="0" t="n">
        <v>117.5</v>
      </c>
      <c r="V13" s="0" t="n">
        <v>3.83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21257.9</v>
      </c>
      <c r="F14" s="0" t="n">
        <v>8822.6</v>
      </c>
      <c r="G14" s="0" t="n">
        <v>41.5026884123079</v>
      </c>
      <c r="H14" s="0" t="n">
        <v>10304.6</v>
      </c>
      <c r="I14" s="0" t="n">
        <v>5924.3</v>
      </c>
      <c r="J14" s="0" t="n">
        <v>27.8686982251304</v>
      </c>
      <c r="K14" s="0" t="n">
        <v>7.61</v>
      </c>
      <c r="L14" s="0" t="n">
        <v>6966.7</v>
      </c>
      <c r="M14" s="0" t="n">
        <v>2741.7</v>
      </c>
      <c r="N14" s="0" t="n">
        <v>4225</v>
      </c>
      <c r="O14" s="0" t="n">
        <v>-6258.4</v>
      </c>
      <c r="P14" s="0" t="n">
        <v>32811.2</v>
      </c>
      <c r="R14" s="0" t="n">
        <v>31075.3</v>
      </c>
      <c r="S14" s="0" t="n">
        <v>866</v>
      </c>
      <c r="T14" s="0" t="n">
        <v>785.6</v>
      </c>
      <c r="U14" s="0" t="n">
        <v>125.1</v>
      </c>
      <c r="V14" s="0" t="n">
        <v>4.19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21364.4</v>
      </c>
      <c r="F15" s="0" t="n">
        <v>9069.8</v>
      </c>
      <c r="G15" s="0" t="n">
        <v>42.4528655145944</v>
      </c>
      <c r="H15" s="0" t="n">
        <v>10687.7</v>
      </c>
      <c r="I15" s="0" t="n">
        <v>6025.4</v>
      </c>
      <c r="J15" s="0" t="n">
        <v>28.2029918930557</v>
      </c>
      <c r="K15" s="0" t="n">
        <v>7.95</v>
      </c>
      <c r="L15" s="0" t="n">
        <v>8122.1</v>
      </c>
      <c r="M15" s="0" t="n">
        <v>2393.7</v>
      </c>
      <c r="N15" s="0" t="n">
        <v>5728.4</v>
      </c>
      <c r="O15" s="0" t="n">
        <v>-8210.3</v>
      </c>
      <c r="P15" s="0" t="n">
        <v>47510.8</v>
      </c>
      <c r="R15" s="0" t="n">
        <v>34236.3</v>
      </c>
      <c r="S15" s="0" t="n">
        <v>898.5</v>
      </c>
      <c r="T15" s="0" t="n">
        <v>764.9</v>
      </c>
      <c r="U15" s="0" t="n">
        <v>109.6</v>
      </c>
      <c r="V15" s="0" t="n">
        <v>4.73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19207.8</v>
      </c>
      <c r="F16" s="0" t="n">
        <v>7324</v>
      </c>
      <c r="G16" s="0" t="n">
        <v>38.1303428815377</v>
      </c>
      <c r="H16" s="0" t="n">
        <v>9075.4</v>
      </c>
      <c r="I16" s="0" t="n">
        <v>4730.5</v>
      </c>
      <c r="J16" s="0" t="n">
        <v>24.6280157019544</v>
      </c>
      <c r="K16" s="0" t="n">
        <v>6.35</v>
      </c>
      <c r="L16" s="0" t="n">
        <v>6265.2</v>
      </c>
      <c r="M16" s="0" t="n">
        <v>1640.8</v>
      </c>
      <c r="N16" s="0" t="n">
        <v>4624.4</v>
      </c>
      <c r="O16" s="0" t="n">
        <v>-7824.9</v>
      </c>
      <c r="P16" s="0" t="n">
        <v>52626.8</v>
      </c>
      <c r="R16" s="0" t="n">
        <v>39684</v>
      </c>
      <c r="S16" s="0" t="n">
        <v>3449.1</v>
      </c>
      <c r="T16" s="0" t="n">
        <v>750.1</v>
      </c>
      <c r="U16" s="0" t="n">
        <v>92.4</v>
      </c>
      <c r="V16" s="0" t="n">
        <v>5.04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23222.9</v>
      </c>
      <c r="F17" s="0" t="n">
        <v>10356</v>
      </c>
      <c r="G17" s="0" t="n">
        <v>44.5939137661532</v>
      </c>
      <c r="H17" s="0" t="n">
        <v>12224.1</v>
      </c>
      <c r="I17" s="0" t="n">
        <v>7545.2</v>
      </c>
      <c r="J17" s="0" t="n">
        <v>32.4903435832734</v>
      </c>
      <c r="K17" s="0" t="n">
        <v>10.11</v>
      </c>
      <c r="L17" s="0" t="n">
        <v>9141.5</v>
      </c>
      <c r="M17" s="0" t="n">
        <v>2040</v>
      </c>
      <c r="N17" s="0" t="n">
        <v>7101.5</v>
      </c>
      <c r="O17" s="0" t="n">
        <v>-4601</v>
      </c>
      <c r="P17" s="0" t="n">
        <v>53854.3</v>
      </c>
      <c r="R17" s="0" t="n">
        <v>35622.7</v>
      </c>
      <c r="S17" s="0" t="n">
        <v>4709.2</v>
      </c>
      <c r="T17" s="0" t="n">
        <v>751.8</v>
      </c>
      <c r="U17" s="0" t="n">
        <v>139.2</v>
      </c>
      <c r="V17" s="0" t="n">
        <v>5.25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23183</v>
      </c>
      <c r="F18" s="0" t="n">
        <v>9371</v>
      </c>
      <c r="G18" s="0" t="n">
        <v>40.4218608463098</v>
      </c>
      <c r="H18" s="0" t="n">
        <v>11242</v>
      </c>
      <c r="I18" s="0" t="n">
        <v>6177</v>
      </c>
      <c r="J18" s="0" t="n">
        <v>26.6445240046586</v>
      </c>
      <c r="K18" s="0" t="n">
        <v>8.39</v>
      </c>
      <c r="L18" s="0" t="n">
        <v>7387</v>
      </c>
      <c r="M18" s="0" t="n">
        <v>1899</v>
      </c>
      <c r="N18" s="0" t="n">
        <v>5488</v>
      </c>
      <c r="O18" s="0" t="n">
        <v>-6003</v>
      </c>
      <c r="P18" s="0" t="n">
        <v>50436</v>
      </c>
      <c r="R18" s="0" t="n">
        <v>35903.5</v>
      </c>
      <c r="S18" s="0" t="n">
        <v>2583.8</v>
      </c>
      <c r="T18" s="0" t="n">
        <v>741.3</v>
      </c>
      <c r="U18" s="0" t="n">
        <v>167</v>
      </c>
      <c r="V18" s="0" t="n">
        <v>5.66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25494</v>
      </c>
      <c r="F19" s="0" t="n">
        <v>11647</v>
      </c>
      <c r="G19" s="0" t="n">
        <v>45.6852592766926</v>
      </c>
      <c r="H19" s="0" t="n">
        <v>13625</v>
      </c>
      <c r="I19" s="0" t="n">
        <v>8469</v>
      </c>
      <c r="J19" s="0" t="n">
        <v>33.2195810779007</v>
      </c>
      <c r="K19" s="0" t="n">
        <v>11.63</v>
      </c>
      <c r="L19" s="0" t="n">
        <v>9612</v>
      </c>
      <c r="M19" s="0" t="n">
        <v>2357</v>
      </c>
      <c r="N19" s="0" t="n">
        <v>7255</v>
      </c>
      <c r="O19" s="0" t="n">
        <v>-4707</v>
      </c>
      <c r="P19" s="0" t="n">
        <v>56147</v>
      </c>
      <c r="R19" s="0" t="n">
        <v>41537</v>
      </c>
      <c r="S19" s="0" t="n">
        <v>4579</v>
      </c>
      <c r="U19" s="0" t="n">
        <v>175</v>
      </c>
      <c r="V19" s="0" t="n">
        <v>6.23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25920</v>
      </c>
      <c r="F20" s="0" t="n">
        <v>11712</v>
      </c>
      <c r="G20" s="0" t="n">
        <v>45.1851851851852</v>
      </c>
      <c r="H20" s="0" t="n">
        <v>13809</v>
      </c>
      <c r="I20" s="0" t="n">
        <v>8223</v>
      </c>
      <c r="J20" s="0" t="n">
        <v>31.724537037037</v>
      </c>
      <c r="K20" s="0" t="n">
        <v>11.45</v>
      </c>
      <c r="L20" s="0" t="n">
        <v>9447</v>
      </c>
      <c r="M20" s="0" t="n">
        <v>2775</v>
      </c>
      <c r="N20" s="0" t="n">
        <v>6672</v>
      </c>
      <c r="O20" s="0" t="n">
        <v>-3797</v>
      </c>
      <c r="P20" s="0" t="n">
        <v>55182</v>
      </c>
      <c r="R20" s="0" t="n">
        <v>38424</v>
      </c>
      <c r="S20" s="0" t="n">
        <v>1085</v>
      </c>
      <c r="U20" s="0" t="n">
        <v>172</v>
      </c>
      <c r="V20" s="0" t="n">
        <v>6.78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26885</v>
      </c>
      <c r="F21" s="0" t="n">
        <v>12393</v>
      </c>
      <c r="G21" s="0" t="n">
        <v>46.0963362469779</v>
      </c>
      <c r="H21" s="0" t="n">
        <v>14592</v>
      </c>
      <c r="I21" s="0" t="n">
        <v>8563</v>
      </c>
      <c r="J21" s="0" t="n">
        <v>31.8504742421425</v>
      </c>
      <c r="K21" s="0" t="n">
        <v>12</v>
      </c>
      <c r="L21" s="0" t="n">
        <v>10551</v>
      </c>
      <c r="M21" s="0" t="n">
        <v>3365</v>
      </c>
      <c r="N21" s="0" t="n">
        <v>7186</v>
      </c>
      <c r="O21" s="0" t="n">
        <v>-1791</v>
      </c>
      <c r="P21" s="0" t="n">
        <v>59515</v>
      </c>
      <c r="R21" s="0" t="n">
        <v>40698</v>
      </c>
      <c r="S21" s="0" t="n">
        <v>774</v>
      </c>
      <c r="U21" s="0" t="n">
        <v>165</v>
      </c>
      <c r="V21" s="0" t="n">
        <v>7.17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231.83</v>
      </c>
    </row>
    <row r="3" customFormat="false" ht="15" hidden="false" customHeight="false" outlineLevel="0" collapsed="false">
      <c r="A3" s="0" t="s">
        <v>86</v>
      </c>
      <c r="B3" s="3" t="n">
        <v>709.6</v>
      </c>
    </row>
    <row r="4" customFormat="false" ht="15" hidden="false" customHeight="false" outlineLevel="0" collapsed="false">
      <c r="A4" s="0" t="s">
        <v>87</v>
      </c>
      <c r="B4" s="3" t="n">
        <v>39041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26885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3.5</v>
      </c>
      <c r="D13" s="3" t="n">
        <v>2.5</v>
      </c>
      <c r="E13" s="3" t="n">
        <v>2.5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54.5</v>
      </c>
      <c r="D14" s="3" t="n">
        <v>54</v>
      </c>
      <c r="E14" s="3" t="n">
        <v>53.5</v>
      </c>
      <c r="F14" s="3" t="n">
        <v>53</v>
      </c>
      <c r="G14" s="3" t="n">
        <v>53</v>
      </c>
      <c r="H14" s="3" t="n">
        <v>53</v>
      </c>
      <c r="I14" s="3" t="n">
        <v>53</v>
      </c>
      <c r="J14" s="3" t="n">
        <v>53</v>
      </c>
      <c r="K14" s="3" t="n">
        <v>53</v>
      </c>
      <c r="L14" s="3" t="n">
        <v>53</v>
      </c>
    </row>
    <row r="15" customFormat="false" ht="15" hidden="false" customHeight="false" outlineLevel="0" collapsed="false">
      <c r="A15" s="0" t="s">
        <v>108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8.2</v>
      </c>
      <c r="D17" s="3" t="n">
        <v>8.2</v>
      </c>
      <c r="E17" s="3" t="n">
        <v>8.3</v>
      </c>
      <c r="F17" s="3" t="n">
        <v>8.3</v>
      </c>
      <c r="G17" s="3" t="n">
        <v>8.4</v>
      </c>
      <c r="H17" s="3" t="n">
        <v>8.4</v>
      </c>
      <c r="I17" s="3" t="n">
        <v>8.4</v>
      </c>
      <c r="J17" s="3" t="n">
        <v>8.4</v>
      </c>
      <c r="K17" s="3" t="n">
        <v>8.4</v>
      </c>
      <c r="L17" s="3" t="n">
        <v>8.4</v>
      </c>
    </row>
    <row r="18" customFormat="false" ht="15" hidden="false" customHeight="false" outlineLevel="0" collapsed="false">
      <c r="A18" s="0" t="s">
        <v>111</v>
      </c>
      <c r="C18" s="3" t="n">
        <v>13.4</v>
      </c>
      <c r="D18" s="3" t="n">
        <v>13</v>
      </c>
      <c r="E18" s="3" t="n">
        <v>12</v>
      </c>
      <c r="F18" s="3" t="n">
        <v>11.5</v>
      </c>
      <c r="G18" s="3" t="n">
        <v>11</v>
      </c>
      <c r="H18" s="3" t="n">
        <v>11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112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17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5.5</v>
      </c>
      <c r="D27" s="3" t="n">
        <v>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55</v>
      </c>
      <c r="D28" s="3" t="n">
        <v>55</v>
      </c>
      <c r="E28" s="3" t="n">
        <v>55.2</v>
      </c>
      <c r="F28" s="3" t="n">
        <v>55.4</v>
      </c>
      <c r="G28" s="3" t="n">
        <v>55.5</v>
      </c>
      <c r="H28" s="3" t="n">
        <v>55.5</v>
      </c>
      <c r="I28" s="3" t="n">
        <v>55.5</v>
      </c>
      <c r="J28" s="3" t="n">
        <v>55.5</v>
      </c>
      <c r="K28" s="3" t="n">
        <v>55.5</v>
      </c>
      <c r="L28" s="3" t="n">
        <v>55.5</v>
      </c>
    </row>
    <row r="29" customFormat="false" ht="15" hidden="false" customHeight="false" outlineLevel="0" collapsed="false">
      <c r="A29" s="0" t="s">
        <v>108</v>
      </c>
      <c r="C29" s="3" t="n">
        <v>0.6</v>
      </c>
      <c r="D29" s="3" t="n">
        <v>0.6</v>
      </c>
      <c r="E29" s="3" t="n">
        <v>0.58</v>
      </c>
      <c r="F29" s="3" t="n">
        <v>0.56</v>
      </c>
      <c r="G29" s="3" t="n">
        <v>0.55</v>
      </c>
      <c r="H29" s="3" t="n">
        <v>0.55</v>
      </c>
      <c r="I29" s="3" t="n">
        <v>0.52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8.2</v>
      </c>
      <c r="D31" s="3" t="n">
        <v>8.2</v>
      </c>
      <c r="E31" s="3" t="n">
        <v>8.2</v>
      </c>
      <c r="F31" s="3" t="n">
        <v>8.1</v>
      </c>
      <c r="G31" s="3" t="n">
        <v>8.1</v>
      </c>
      <c r="H31" s="3" t="n">
        <v>8</v>
      </c>
      <c r="I31" s="3" t="n">
        <v>8</v>
      </c>
      <c r="J31" s="3" t="n">
        <v>8</v>
      </c>
      <c r="K31" s="3" t="n">
        <v>8</v>
      </c>
      <c r="L31" s="3" t="n">
        <v>8</v>
      </c>
    </row>
    <row r="32" customFormat="false" ht="15" hidden="false" customHeight="false" outlineLevel="0" collapsed="false">
      <c r="A32" s="0" t="s">
        <v>111</v>
      </c>
      <c r="C32" s="3" t="n">
        <v>13.4</v>
      </c>
      <c r="D32" s="3" t="n">
        <v>13.3</v>
      </c>
      <c r="E32" s="3" t="n">
        <v>13</v>
      </c>
      <c r="F32" s="3" t="n">
        <v>12</v>
      </c>
      <c r="G32" s="3" t="n">
        <v>11.5</v>
      </c>
      <c r="H32" s="3" t="n">
        <v>11</v>
      </c>
      <c r="I32" s="3" t="n">
        <v>11</v>
      </c>
      <c r="J32" s="3" t="n">
        <v>10.5</v>
      </c>
      <c r="K32" s="3" t="n">
        <v>10.5</v>
      </c>
      <c r="L32" s="3" t="n">
        <v>10.5</v>
      </c>
    </row>
    <row r="33" customFormat="false" ht="15" hidden="false" customHeight="false" outlineLevel="0" collapsed="false">
      <c r="A33" s="0" t="s">
        <v>112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6.5</v>
      </c>
      <c r="D41" s="3" t="n">
        <v>6.5</v>
      </c>
      <c r="E41" s="3" t="n">
        <v>6</v>
      </c>
      <c r="F41" s="3" t="n">
        <v>5.5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55.3</v>
      </c>
      <c r="D42" s="3" t="n">
        <v>55.6</v>
      </c>
      <c r="E42" s="3" t="n">
        <v>56</v>
      </c>
      <c r="F42" s="3" t="n">
        <v>56.4</v>
      </c>
      <c r="G42" s="3" t="n">
        <v>56.8</v>
      </c>
      <c r="H42" s="3" t="n">
        <v>57</v>
      </c>
      <c r="I42" s="3" t="n">
        <v>57</v>
      </c>
      <c r="J42" s="3" t="n">
        <v>57</v>
      </c>
      <c r="K42" s="3" t="n">
        <v>57</v>
      </c>
      <c r="L42" s="3" t="n">
        <v>57</v>
      </c>
    </row>
    <row r="43" customFormat="false" ht="15" hidden="false" customHeight="false" outlineLevel="0" collapsed="false">
      <c r="A43" s="0" t="s">
        <v>108</v>
      </c>
      <c r="C43" s="3" t="n">
        <v>0.6</v>
      </c>
      <c r="D43" s="3" t="n">
        <v>0.6</v>
      </c>
      <c r="E43" s="3" t="n">
        <v>0.58</v>
      </c>
      <c r="F43" s="3" t="n">
        <v>0.56</v>
      </c>
      <c r="G43" s="3" t="n">
        <v>0.55</v>
      </c>
      <c r="H43" s="3" t="n">
        <v>0.55</v>
      </c>
      <c r="I43" s="3" t="n">
        <v>0.52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8.2</v>
      </c>
      <c r="D45" s="3" t="n">
        <v>8.2</v>
      </c>
      <c r="E45" s="3" t="n">
        <v>8.1</v>
      </c>
      <c r="F45" s="3" t="n">
        <v>8</v>
      </c>
      <c r="G45" s="3" t="n">
        <v>8</v>
      </c>
      <c r="H45" s="3" t="n">
        <v>7.9</v>
      </c>
      <c r="I45" s="3" t="n">
        <v>7.8</v>
      </c>
      <c r="J45" s="3" t="n">
        <v>7.8</v>
      </c>
      <c r="K45" s="3" t="n">
        <v>7.8</v>
      </c>
      <c r="L45" s="3" t="n">
        <v>7.8</v>
      </c>
    </row>
    <row r="46" customFormat="false" ht="15" hidden="false" customHeight="false" outlineLevel="0" collapsed="false">
      <c r="A46" s="0" t="s">
        <v>111</v>
      </c>
      <c r="C46" s="3" t="n">
        <v>13.4</v>
      </c>
      <c r="D46" s="3" t="n">
        <v>13.3</v>
      </c>
      <c r="E46" s="3" t="n">
        <v>13</v>
      </c>
      <c r="F46" s="3" t="n">
        <v>12.5</v>
      </c>
      <c r="G46" s="3" t="n">
        <v>12</v>
      </c>
      <c r="H46" s="3" t="n">
        <v>11.5</v>
      </c>
      <c r="I46" s="3" t="n">
        <v>11</v>
      </c>
      <c r="J46" s="3" t="n">
        <v>11</v>
      </c>
      <c r="K46" s="3" t="n">
        <v>10.5</v>
      </c>
      <c r="L46" s="3" t="n">
        <v>10.5</v>
      </c>
    </row>
    <row r="47" customFormat="false" ht="15" hidden="false" customHeight="false" outlineLevel="0" collapsed="false">
      <c r="A47" s="0" t="s">
        <v>112</v>
      </c>
      <c r="C47" s="3" t="n">
        <v>21.5</v>
      </c>
      <c r="D47" s="3" t="n">
        <v>21.5</v>
      </c>
      <c r="E47" s="3" t="n">
        <v>21.5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3.5</v>
      </c>
      <c r="D5" s="4" t="n">
        <f aca="false">Assumptions!D13</f>
        <v>2.5</v>
      </c>
      <c r="E5" s="4" t="n">
        <f aca="false">Assumptions!E13</f>
        <v>2.5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26885</v>
      </c>
      <c r="C6" s="0" t="n">
        <f aca="false">B6*(1+C5/100)</f>
        <v>27825.975</v>
      </c>
      <c r="D6" s="0" t="n">
        <f aca="false">C6*(1+D5/100)</f>
        <v>28521.624375</v>
      </c>
      <c r="E6" s="0" t="n">
        <f aca="false">D6*(1+E5/100)</f>
        <v>29234.664984375</v>
      </c>
      <c r="F6" s="0" t="n">
        <f aca="false">E6*(1+F5/100)</f>
        <v>29819.3582840625</v>
      </c>
      <c r="G6" s="0" t="n">
        <f aca="false">F6*(1+G5/100)</f>
        <v>30415.7454497437</v>
      </c>
      <c r="H6" s="0" t="n">
        <f aca="false">G6*(1+H5/100)</f>
        <v>31024.0603587386</v>
      </c>
      <c r="I6" s="0" t="n">
        <f aca="false">H6*(1+I5/100)</f>
        <v>31644.5415659134</v>
      </c>
      <c r="J6" s="0" t="n">
        <f aca="false">I6*(1+J5/100)</f>
        <v>32277.4323972317</v>
      </c>
      <c r="K6" s="0" t="n">
        <f aca="false">J6*(1+K5/100)</f>
        <v>32922.9810451763</v>
      </c>
      <c r="L6" s="0" t="n">
        <f aca="false">K6*(1+L5/100)</f>
        <v>33581.4406660798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54.5</v>
      </c>
      <c r="D7" s="4" t="n">
        <f aca="false">Assumptions!D14</f>
        <v>54</v>
      </c>
      <c r="E7" s="4" t="n">
        <f aca="false">Assumptions!E14</f>
        <v>53.5</v>
      </c>
      <c r="F7" s="4" t="n">
        <f aca="false">Assumptions!F14</f>
        <v>53</v>
      </c>
      <c r="G7" s="4" t="n">
        <f aca="false">Assumptions!G14</f>
        <v>53</v>
      </c>
      <c r="H7" s="4" t="n">
        <f aca="false">Assumptions!H14</f>
        <v>53</v>
      </c>
      <c r="I7" s="4" t="n">
        <f aca="false">Assumptions!I14</f>
        <v>53</v>
      </c>
      <c r="J7" s="4" t="n">
        <f aca="false">Assumptions!J14</f>
        <v>53</v>
      </c>
      <c r="K7" s="4" t="n">
        <f aca="false">Assumptions!K14</f>
        <v>53</v>
      </c>
      <c r="L7" s="4" t="n">
        <f aca="false">Assumptions!L14</f>
        <v>53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15165.156375</v>
      </c>
      <c r="D8" s="0" t="n">
        <f aca="false">D6*D7/100</f>
        <v>15401.6771625</v>
      </c>
      <c r="E8" s="0" t="n">
        <f aca="false">E6*E7/100</f>
        <v>15640.5457666406</v>
      </c>
      <c r="F8" s="0" t="n">
        <f aca="false">F6*F7/100</f>
        <v>15804.2598905531</v>
      </c>
      <c r="G8" s="0" t="n">
        <f aca="false">G6*G7/100</f>
        <v>16120.3450883642</v>
      </c>
      <c r="H8" s="0" t="n">
        <f aca="false">H6*H7/100</f>
        <v>16442.7519901315</v>
      </c>
      <c r="I8" s="0" t="n">
        <f aca="false">I6*I7/100</f>
        <v>16771.6070299341</v>
      </c>
      <c r="J8" s="0" t="n">
        <f aca="false">J6*J7/100</f>
        <v>17107.0391705328</v>
      </c>
      <c r="K8" s="0" t="n">
        <f aca="false">K6*K7/100</f>
        <v>17449.1799539434</v>
      </c>
      <c r="L8" s="0" t="n">
        <f aca="false">L6*L7/100</f>
        <v>17798.1635530223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-166.95585</v>
      </c>
      <c r="D10" s="0" t="n">
        <f aca="false">-D6*D9/100</f>
        <v>-171.12974625</v>
      </c>
      <c r="E10" s="0" t="n">
        <f aca="false">-E6*E9/100</f>
        <v>-175.40798990625</v>
      </c>
      <c r="F10" s="0" t="n">
        <f aca="false">-F6*F9/100</f>
        <v>-178.916149704375</v>
      </c>
      <c r="G10" s="0" t="n">
        <f aca="false">-G6*G9/100</f>
        <v>-182.494472698463</v>
      </c>
      <c r="H10" s="0" t="n">
        <f aca="false">-H6*H9/100</f>
        <v>-186.144362152432</v>
      </c>
      <c r="I10" s="0" t="n">
        <f aca="false">-I6*I9/100</f>
        <v>-189.86724939548</v>
      </c>
      <c r="J10" s="0" t="n">
        <f aca="false">-J6*J9/100</f>
        <v>-193.66459438339</v>
      </c>
      <c r="K10" s="0" t="n">
        <f aca="false">-K6*K9/100</f>
        <v>-197.537886271058</v>
      </c>
      <c r="L10" s="0" t="n">
        <f aca="false">-L6*L9/100</f>
        <v>-201.488643996479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14998.200525</v>
      </c>
      <c r="D11" s="0" t="n">
        <f aca="false">D8+D10+D24</f>
        <v>15230.54741625</v>
      </c>
      <c r="E11" s="0" t="n">
        <f aca="false">E8+E10+E24</f>
        <v>15465.1377767344</v>
      </c>
      <c r="F11" s="0" t="n">
        <f aca="false">F8+F10+F24</f>
        <v>15625.3437408487</v>
      </c>
      <c r="G11" s="0" t="n">
        <f aca="false">G8+G10+G24</f>
        <v>15937.8506156657</v>
      </c>
      <c r="H11" s="0" t="n">
        <f aca="false">H8+H10+H24</f>
        <v>16256.607627979</v>
      </c>
      <c r="I11" s="0" t="n">
        <f aca="false">I8+I10+I24</f>
        <v>16581.7397805386</v>
      </c>
      <c r="J11" s="0" t="n">
        <f aca="false">J8+J10+J24</f>
        <v>16913.3745761494</v>
      </c>
      <c r="K11" s="0" t="n">
        <f aca="false">K8+K10+K24</f>
        <v>17251.6420676724</v>
      </c>
      <c r="L11" s="0" t="n">
        <f aca="false">L8+L10+L24</f>
        <v>17596.6749090258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-2281.72995</v>
      </c>
      <c r="D12" s="4" t="n">
        <f aca="false">-D6*Assumptions!D17/100</f>
        <v>-2338.77319875</v>
      </c>
      <c r="E12" s="4" t="n">
        <f aca="false">-E6*Assumptions!E17/100</f>
        <v>-2426.47719370312</v>
      </c>
      <c r="F12" s="4" t="n">
        <f aca="false">-F6*Assumptions!F17/100</f>
        <v>-2475.00673757719</v>
      </c>
      <c r="G12" s="4" t="n">
        <f aca="false">-G6*Assumptions!G17/100</f>
        <v>-2554.92261777848</v>
      </c>
      <c r="H12" s="4" t="n">
        <f aca="false">-H6*Assumptions!H17/100</f>
        <v>-2606.02107013404</v>
      </c>
      <c r="I12" s="4" t="n">
        <f aca="false">-I6*Assumptions!I17/100</f>
        <v>-2658.14149153673</v>
      </c>
      <c r="J12" s="4" t="n">
        <f aca="false">-J6*Assumptions!J17/100</f>
        <v>-2711.30432136746</v>
      </c>
      <c r="K12" s="4" t="n">
        <f aca="false">-K6*Assumptions!K17/100</f>
        <v>-2765.53040779481</v>
      </c>
      <c r="L12" s="4" t="n">
        <f aca="false">-L6*Assumptions!L17/100</f>
        <v>-2820.84101595071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12716.470575</v>
      </c>
      <c r="D13" s="0" t="n">
        <f aca="false">D11+D12</f>
        <v>12891.7742175</v>
      </c>
      <c r="E13" s="0" t="n">
        <f aca="false">E11+E12</f>
        <v>13038.6605830312</v>
      </c>
      <c r="F13" s="0" t="n">
        <f aca="false">F11+F12</f>
        <v>13150.3370032716</v>
      </c>
      <c r="G13" s="0" t="n">
        <f aca="false">G11+G12</f>
        <v>13382.9279978872</v>
      </c>
      <c r="H13" s="0" t="n">
        <f aca="false">H11+H12</f>
        <v>13650.586557845</v>
      </c>
      <c r="I13" s="0" t="n">
        <f aca="false">I11+I12</f>
        <v>13923.5982890019</v>
      </c>
      <c r="J13" s="0" t="n">
        <f aca="false">J11+J12</f>
        <v>14202.0702547819</v>
      </c>
      <c r="K13" s="0" t="n">
        <f aca="false">K11+K12</f>
        <v>14486.1116598776</v>
      </c>
      <c r="L13" s="0" t="n">
        <f aca="false">L11+L12</f>
        <v>14775.8338930751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9791.68234275</v>
      </c>
      <c r="D15" s="0" t="n">
        <f aca="false">D13-MAX(0,D13)*D14/100</f>
        <v>9926.666147475</v>
      </c>
      <c r="E15" s="0" t="n">
        <f aca="false">E13-MAX(0,E13)*E14/100</f>
        <v>10039.7686489341</v>
      </c>
      <c r="F15" s="0" t="n">
        <f aca="false">F13-MAX(0,F13)*F14/100</f>
        <v>10125.7594925191</v>
      </c>
      <c r="G15" s="0" t="n">
        <f aca="false">G13-MAX(0,G13)*G14/100</f>
        <v>10304.8545583732</v>
      </c>
      <c r="H15" s="0" t="n">
        <f aca="false">H13-MAX(0,H13)*H14/100</f>
        <v>10510.9516495406</v>
      </c>
      <c r="I15" s="0" t="n">
        <f aca="false">I13-MAX(0,I13)*I14/100</f>
        <v>10721.1706825315</v>
      </c>
      <c r="J15" s="0" t="n">
        <f aca="false">J13-MAX(0,J13)*J14/100</f>
        <v>10935.5940961821</v>
      </c>
      <c r="K15" s="0" t="n">
        <f aca="false">K13-MAX(0,K13)*K14/100</f>
        <v>11154.3059781057</v>
      </c>
      <c r="L15" s="0" t="n">
        <f aca="false">L13-MAX(0,L13)*L14/100</f>
        <v>11377.3920976678</v>
      </c>
    </row>
    <row r="16" customFormat="false" ht="15" hidden="false" customHeight="false" outlineLevel="0" collapsed="false">
      <c r="A16" s="0" t="s">
        <v>128</v>
      </c>
      <c r="C16" s="0" t="n">
        <f aca="false">-C12</f>
        <v>2281.72995</v>
      </c>
      <c r="D16" s="0" t="n">
        <f aca="false">-D12</f>
        <v>2338.77319875</v>
      </c>
      <c r="E16" s="0" t="n">
        <f aca="false">-E12</f>
        <v>2426.47719370312</v>
      </c>
      <c r="F16" s="0" t="n">
        <f aca="false">-F12</f>
        <v>2475.00673757719</v>
      </c>
      <c r="G16" s="0" t="n">
        <f aca="false">-G12</f>
        <v>2554.92261777848</v>
      </c>
      <c r="H16" s="0" t="n">
        <f aca="false">-H12</f>
        <v>2606.02107013404</v>
      </c>
      <c r="I16" s="0" t="n">
        <f aca="false">-I12</f>
        <v>2658.14149153673</v>
      </c>
      <c r="J16" s="0" t="n">
        <f aca="false">-J12</f>
        <v>2711.30432136746</v>
      </c>
      <c r="K16" s="0" t="n">
        <f aca="false">-K12</f>
        <v>2765.53040779481</v>
      </c>
      <c r="L16" s="0" t="n">
        <f aca="false">-L12</f>
        <v>2820.84101595071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-3728.68065</v>
      </c>
      <c r="D17" s="4" t="n">
        <f aca="false">-D6*Assumptions!D18/100</f>
        <v>-3707.81116875</v>
      </c>
      <c r="E17" s="4" t="n">
        <f aca="false">-E6*Assumptions!E18/100</f>
        <v>-3508.159798125</v>
      </c>
      <c r="F17" s="4" t="n">
        <f aca="false">-F6*Assumptions!F18/100</f>
        <v>-3429.22620266719</v>
      </c>
      <c r="G17" s="4" t="n">
        <f aca="false">-G6*Assumptions!G18/100</f>
        <v>-3345.73199947181</v>
      </c>
      <c r="H17" s="4" t="n">
        <f aca="false">-H6*Assumptions!H18/100</f>
        <v>-3412.64663946125</v>
      </c>
      <c r="I17" s="4" t="n">
        <f aca="false">-I6*Assumptions!I18/100</f>
        <v>-3322.67686442091</v>
      </c>
      <c r="J17" s="4" t="n">
        <f aca="false">-J6*Assumptions!J18/100</f>
        <v>-3389.13040170933</v>
      </c>
      <c r="K17" s="4" t="n">
        <f aca="false">-K6*Assumptions!K18/100</f>
        <v>-3456.91300974351</v>
      </c>
      <c r="L17" s="4" t="n">
        <f aca="false">-L6*Assumptions!L18/100</f>
        <v>-3526.05126993838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8344.73164275</v>
      </c>
      <c r="D19" s="0" t="n">
        <f aca="false">D15+D16+D17+D18</f>
        <v>8557.628177475</v>
      </c>
      <c r="E19" s="0" t="n">
        <f aca="false">E15+E16+E17+E18</f>
        <v>8958.08604451219</v>
      </c>
      <c r="F19" s="0" t="n">
        <f aca="false">F15+F16+F17+F18</f>
        <v>9171.5400274291</v>
      </c>
      <c r="G19" s="0" t="n">
        <f aca="false">G15+G16+G17+G18</f>
        <v>9514.04517667984</v>
      </c>
      <c r="H19" s="0" t="n">
        <f aca="false">H15+H16+H17+H18</f>
        <v>9704.32608021344</v>
      </c>
      <c r="I19" s="0" t="n">
        <f aca="false">I15+I16+I17+I18</f>
        <v>10056.6353096473</v>
      </c>
      <c r="J19" s="0" t="n">
        <f aca="false">J15+J16+J17+J18</f>
        <v>10257.7680158402</v>
      </c>
      <c r="K19" s="0" t="n">
        <f aca="false">K15+K16+K17+K18</f>
        <v>10462.923376157</v>
      </c>
      <c r="L19" s="0" t="n">
        <f aca="false">L15+L16+L17+L18</f>
        <v>10672.1818436802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7762.54106302325</v>
      </c>
      <c r="D21" s="0" t="n">
        <f aca="false">D19*D20</f>
        <v>7405.19474524608</v>
      </c>
      <c r="E21" s="0" t="n">
        <f aca="false">E19*E20</f>
        <v>7210.90604410656</v>
      </c>
      <c r="F21" s="0" t="n">
        <f aca="false">F19*F20</f>
        <v>6867.65403140414</v>
      </c>
      <c r="G21" s="0" t="n">
        <f aca="false">G19*G20</f>
        <v>6627.09029638533</v>
      </c>
      <c r="H21" s="0" t="n">
        <f aca="false">H19*H20</f>
        <v>6288.02986261678</v>
      </c>
      <c r="I21" s="0" t="n">
        <f aca="false">I19*I20</f>
        <v>6061.6862194326</v>
      </c>
      <c r="J21" s="0" t="n">
        <f aca="false">J19*J20</f>
        <v>5751.55343611279</v>
      </c>
      <c r="K21" s="0" t="n">
        <f aca="false">K19*K20</f>
        <v>5457.28791147446</v>
      </c>
      <c r="L21" s="0" t="n">
        <f aca="false">L19*L20</f>
        <v>5178.07783228275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17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64610.0214420847</v>
      </c>
    </row>
    <row r="31" customFormat="false" ht="15" hidden="false" customHeight="false" outlineLevel="0" collapsed="false">
      <c r="A31" s="0" t="s">
        <v>137</v>
      </c>
      <c r="B31" s="0" t="n">
        <f aca="false">L19</f>
        <v>10672.1818436802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197920.463282796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181427.091342563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181427.091342563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88027.3231488067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152637.344590891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113596.344590891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160.085040291561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-0.309472284468962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1250.11857393463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1813.02341859205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164.401756741006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83735.5806196444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39.7265424360936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5.5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26885</v>
      </c>
      <c r="C6" s="0" t="n">
        <f aca="false">B6*(1+C5/100)</f>
        <v>28363.675</v>
      </c>
      <c r="D6" s="0" t="n">
        <f aca="false">C6*(1+D5/100)</f>
        <v>29781.85875</v>
      </c>
      <c r="E6" s="0" t="n">
        <f aca="false">D6*(1+E5/100)</f>
        <v>31122.04239375</v>
      </c>
      <c r="F6" s="0" t="n">
        <f aca="false">E6*(1+F5/100)</f>
        <v>32522.5343014687</v>
      </c>
      <c r="G6" s="0" t="n">
        <f aca="false">F6*(1+G5/100)</f>
        <v>33823.4356735275</v>
      </c>
      <c r="H6" s="0" t="n">
        <f aca="false">G6*(1+H5/100)</f>
        <v>35176.3731004686</v>
      </c>
      <c r="I6" s="0" t="n">
        <f aca="false">H6*(1+I5/100)</f>
        <v>36407.546158985</v>
      </c>
      <c r="J6" s="0" t="n">
        <f aca="false">I6*(1+J5/100)</f>
        <v>37681.8102745495</v>
      </c>
      <c r="K6" s="0" t="n">
        <f aca="false">J6*(1+K5/100)</f>
        <v>38812.264582786</v>
      </c>
      <c r="L6" s="0" t="n">
        <f aca="false">K6*(1+L5/100)</f>
        <v>39976.6325202695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55</v>
      </c>
      <c r="D7" s="4" t="n">
        <f aca="false">Assumptions!D28</f>
        <v>55</v>
      </c>
      <c r="E7" s="4" t="n">
        <f aca="false">Assumptions!E28</f>
        <v>55.2</v>
      </c>
      <c r="F7" s="4" t="n">
        <f aca="false">Assumptions!F28</f>
        <v>55.4</v>
      </c>
      <c r="G7" s="4" t="n">
        <f aca="false">Assumptions!G28</f>
        <v>55.5</v>
      </c>
      <c r="H7" s="4" t="n">
        <f aca="false">Assumptions!H28</f>
        <v>55.5</v>
      </c>
      <c r="I7" s="4" t="n">
        <f aca="false">Assumptions!I28</f>
        <v>55.5</v>
      </c>
      <c r="J7" s="4" t="n">
        <f aca="false">Assumptions!J28</f>
        <v>55.5</v>
      </c>
      <c r="K7" s="4" t="n">
        <f aca="false">Assumptions!K28</f>
        <v>55.5</v>
      </c>
      <c r="L7" s="4" t="n">
        <f aca="false">Assumptions!L28</f>
        <v>55.5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15600.02125</v>
      </c>
      <c r="D8" s="0" t="n">
        <f aca="false">D6*D7/100</f>
        <v>16380.0223125</v>
      </c>
      <c r="E8" s="0" t="n">
        <f aca="false">E6*E7/100</f>
        <v>17179.36740135</v>
      </c>
      <c r="F8" s="0" t="n">
        <f aca="false">F6*F7/100</f>
        <v>18017.4840030137</v>
      </c>
      <c r="G8" s="0" t="n">
        <f aca="false">G6*G7/100</f>
        <v>18772.0067988078</v>
      </c>
      <c r="H8" s="0" t="n">
        <f aca="false">H6*H7/100</f>
        <v>19522.8870707601</v>
      </c>
      <c r="I8" s="0" t="n">
        <f aca="false">I6*I7/100</f>
        <v>20206.1881182367</v>
      </c>
      <c r="J8" s="0" t="n">
        <f aca="false">J6*J7/100</f>
        <v>20913.404702375</v>
      </c>
      <c r="K8" s="0" t="n">
        <f aca="false">K6*K7/100</f>
        <v>21540.8068434462</v>
      </c>
      <c r="L8" s="0" t="n">
        <f aca="false">L6*L7/100</f>
        <v>22187.0310487496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0.58</v>
      </c>
      <c r="F9" s="4" t="n">
        <f aca="false">Assumptions!F29</f>
        <v>0.56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0.52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-170.18205</v>
      </c>
      <c r="D10" s="0" t="n">
        <f aca="false">-D6*D9/100</f>
        <v>-178.6911525</v>
      </c>
      <c r="E10" s="0" t="n">
        <f aca="false">-E6*E9/100</f>
        <v>-180.50784588375</v>
      </c>
      <c r="F10" s="0" t="n">
        <f aca="false">-F6*F9/100</f>
        <v>-182.126192088225</v>
      </c>
      <c r="G10" s="0" t="n">
        <f aca="false">-G6*G9/100</f>
        <v>-186.028896204401</v>
      </c>
      <c r="H10" s="0" t="n">
        <f aca="false">-H6*H9/100</f>
        <v>-193.470052052577</v>
      </c>
      <c r="I10" s="0" t="n">
        <f aca="false">-I6*I9/100</f>
        <v>-189.319240026722</v>
      </c>
      <c r="J10" s="0" t="n">
        <f aca="false">-J6*J9/100</f>
        <v>-188.409051372747</v>
      </c>
      <c r="K10" s="0" t="n">
        <f aca="false">-K6*K9/100</f>
        <v>-194.06132291393</v>
      </c>
      <c r="L10" s="0" t="n">
        <f aca="false">-L6*L9/100</f>
        <v>-199.883162601348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15429.8392</v>
      </c>
      <c r="D11" s="0" t="n">
        <f aca="false">D8+D10+D24</f>
        <v>16201.33116</v>
      </c>
      <c r="E11" s="0" t="n">
        <f aca="false">E8+E10+E24</f>
        <v>16998.8595554663</v>
      </c>
      <c r="F11" s="0" t="n">
        <f aca="false">F8+F10+F24</f>
        <v>17835.3578109255</v>
      </c>
      <c r="G11" s="0" t="n">
        <f aca="false">G8+G10+G24</f>
        <v>18585.9779026034</v>
      </c>
      <c r="H11" s="0" t="n">
        <f aca="false">H8+H10+H24</f>
        <v>19329.4170187075</v>
      </c>
      <c r="I11" s="0" t="n">
        <f aca="false">I8+I10+I24</f>
        <v>20016.86887821</v>
      </c>
      <c r="J11" s="0" t="n">
        <f aca="false">J8+J10+J24</f>
        <v>20724.9956510022</v>
      </c>
      <c r="K11" s="0" t="n">
        <f aca="false">K8+K10+K24</f>
        <v>21346.7455205323</v>
      </c>
      <c r="L11" s="0" t="n">
        <f aca="false">L8+L10+L24</f>
        <v>21987.1478861482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-2325.82135</v>
      </c>
      <c r="D12" s="4" t="n">
        <f aca="false">-D6*Assumptions!D31/100</f>
        <v>-2442.1124175</v>
      </c>
      <c r="E12" s="4" t="n">
        <f aca="false">-E6*Assumptions!E31/100</f>
        <v>-2552.0074762875</v>
      </c>
      <c r="F12" s="4" t="n">
        <f aca="false">-F6*Assumptions!F31/100</f>
        <v>-2634.32527841897</v>
      </c>
      <c r="G12" s="4" t="n">
        <f aca="false">-G6*Assumptions!G31/100</f>
        <v>-2739.69828955573</v>
      </c>
      <c r="H12" s="4" t="n">
        <f aca="false">-H6*Assumptions!H31/100</f>
        <v>-2814.10984803749</v>
      </c>
      <c r="I12" s="4" t="n">
        <f aca="false">-I6*Assumptions!I31/100</f>
        <v>-2912.6036927188</v>
      </c>
      <c r="J12" s="4" t="n">
        <f aca="false">-J6*Assumptions!J31/100</f>
        <v>-3014.54482196396</v>
      </c>
      <c r="K12" s="4" t="n">
        <f aca="false">-K6*Assumptions!K31/100</f>
        <v>-3104.98116662288</v>
      </c>
      <c r="L12" s="4" t="n">
        <f aca="false">-L6*Assumptions!L31/100</f>
        <v>-3198.13060162156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13104.01785</v>
      </c>
      <c r="D13" s="0" t="n">
        <f aca="false">D11+D12</f>
        <v>13759.2187425</v>
      </c>
      <c r="E13" s="0" t="n">
        <f aca="false">E11+E12</f>
        <v>14446.8520791788</v>
      </c>
      <c r="F13" s="0" t="n">
        <f aca="false">F11+F12</f>
        <v>15201.0325325065</v>
      </c>
      <c r="G13" s="0" t="n">
        <f aca="false">G11+G12</f>
        <v>15846.2796130476</v>
      </c>
      <c r="H13" s="0" t="n">
        <f aca="false">H11+H12</f>
        <v>16515.30717067</v>
      </c>
      <c r="I13" s="0" t="n">
        <f aca="false">I11+I12</f>
        <v>17104.2651854912</v>
      </c>
      <c r="J13" s="0" t="n">
        <f aca="false">J11+J12</f>
        <v>17710.4508290383</v>
      </c>
      <c r="K13" s="0" t="n">
        <f aca="false">K11+K12</f>
        <v>18241.7643539094</v>
      </c>
      <c r="L13" s="0" t="n">
        <f aca="false">L11+L12</f>
        <v>18789.0172845267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10221.133923</v>
      </c>
      <c r="D15" s="0" t="n">
        <f aca="false">D13-MAX(0,D13)*D14/100</f>
        <v>10732.19061915</v>
      </c>
      <c r="E15" s="0" t="n">
        <f aca="false">E13-MAX(0,E13)*E14/100</f>
        <v>11268.5446217594</v>
      </c>
      <c r="F15" s="0" t="n">
        <f aca="false">F13-MAX(0,F13)*F14/100</f>
        <v>11856.8053753551</v>
      </c>
      <c r="G15" s="0" t="n">
        <f aca="false">G13-MAX(0,G13)*G14/100</f>
        <v>12360.0980981772</v>
      </c>
      <c r="H15" s="0" t="n">
        <f aca="false">H13-MAX(0,H13)*H14/100</f>
        <v>12881.9395931226</v>
      </c>
      <c r="I15" s="0" t="n">
        <f aca="false">I13-MAX(0,I13)*I14/100</f>
        <v>13341.3268446831</v>
      </c>
      <c r="J15" s="0" t="n">
        <f aca="false">J13-MAX(0,J13)*J14/100</f>
        <v>13814.1516466498</v>
      </c>
      <c r="K15" s="0" t="n">
        <f aca="false">K13-MAX(0,K13)*K14/100</f>
        <v>14228.5761960493</v>
      </c>
      <c r="L15" s="0" t="n">
        <f aca="false">L13-MAX(0,L13)*L14/100</f>
        <v>14655.4334819308</v>
      </c>
    </row>
    <row r="16" customFormat="false" ht="15" hidden="false" customHeight="false" outlineLevel="0" collapsed="false">
      <c r="A16" s="0" t="s">
        <v>128</v>
      </c>
      <c r="C16" s="0" t="n">
        <f aca="false">-C12</f>
        <v>2325.82135</v>
      </c>
      <c r="D16" s="0" t="n">
        <f aca="false">-D12</f>
        <v>2442.1124175</v>
      </c>
      <c r="E16" s="0" t="n">
        <f aca="false">-E12</f>
        <v>2552.0074762875</v>
      </c>
      <c r="F16" s="0" t="n">
        <f aca="false">-F12</f>
        <v>2634.32527841897</v>
      </c>
      <c r="G16" s="0" t="n">
        <f aca="false">-G12</f>
        <v>2739.69828955573</v>
      </c>
      <c r="H16" s="0" t="n">
        <f aca="false">-H12</f>
        <v>2814.10984803749</v>
      </c>
      <c r="I16" s="0" t="n">
        <f aca="false">-I12</f>
        <v>2912.6036927188</v>
      </c>
      <c r="J16" s="0" t="n">
        <f aca="false">-J12</f>
        <v>3014.54482196396</v>
      </c>
      <c r="K16" s="0" t="n">
        <f aca="false">-K12</f>
        <v>3104.98116662288</v>
      </c>
      <c r="L16" s="0" t="n">
        <f aca="false">-L12</f>
        <v>3198.13060162156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-3800.73245</v>
      </c>
      <c r="D17" s="4" t="n">
        <f aca="false">-D6*Assumptions!D32/100</f>
        <v>-3960.98721375</v>
      </c>
      <c r="E17" s="4" t="n">
        <f aca="false">-E6*Assumptions!E32/100</f>
        <v>-4045.8655111875</v>
      </c>
      <c r="F17" s="4" t="n">
        <f aca="false">-F6*Assumptions!F32/100</f>
        <v>-3902.70411617625</v>
      </c>
      <c r="G17" s="4" t="n">
        <f aca="false">-G6*Assumptions!G32/100</f>
        <v>-3889.69510245566</v>
      </c>
      <c r="H17" s="4" t="n">
        <f aca="false">-H6*Assumptions!H32/100</f>
        <v>-3869.40104105155</v>
      </c>
      <c r="I17" s="4" t="n">
        <f aca="false">-I6*Assumptions!I32/100</f>
        <v>-4004.83007748835</v>
      </c>
      <c r="J17" s="4" t="n">
        <f aca="false">-J6*Assumptions!J32/100</f>
        <v>-3956.59007882769</v>
      </c>
      <c r="K17" s="4" t="n">
        <f aca="false">-K6*Assumptions!K32/100</f>
        <v>-4075.28778119253</v>
      </c>
      <c r="L17" s="4" t="n">
        <f aca="false">-L6*Assumptions!L32/100</f>
        <v>-4197.5464146283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8746.222823</v>
      </c>
      <c r="D19" s="0" t="n">
        <f aca="false">D15+D16+D17+D18</f>
        <v>9213.3158229</v>
      </c>
      <c r="E19" s="0" t="n">
        <f aca="false">E15+E16+E17+E18</f>
        <v>9774.68658685943</v>
      </c>
      <c r="F19" s="0" t="n">
        <f aca="false">F15+F16+F17+F18</f>
        <v>10588.4265375978</v>
      </c>
      <c r="G19" s="0" t="n">
        <f aca="false">G15+G16+G17+G18</f>
        <v>11210.1012852772</v>
      </c>
      <c r="H19" s="0" t="n">
        <f aca="false">H15+H16+H17+H18</f>
        <v>11826.6484001085</v>
      </c>
      <c r="I19" s="0" t="n">
        <f aca="false">I15+I16+I17+I18</f>
        <v>12249.1004599135</v>
      </c>
      <c r="J19" s="0" t="n">
        <f aca="false">J15+J16+J17+J18</f>
        <v>12872.1063897861</v>
      </c>
      <c r="K19" s="0" t="n">
        <f aca="false">K15+K16+K17+K18</f>
        <v>13258.2695814797</v>
      </c>
      <c r="L19" s="0" t="n">
        <f aca="false">L15+L16+L17+L18</f>
        <v>13656.0176689241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8136.02123069768</v>
      </c>
      <c r="D21" s="0" t="n">
        <f aca="false">D19*D20</f>
        <v>7972.58264826393</v>
      </c>
      <c r="E21" s="0" t="n">
        <f aca="false">E19*E20</f>
        <v>7868.23728173624</v>
      </c>
      <c r="F21" s="0" t="n">
        <f aca="false">F19*F20</f>
        <v>7928.61940085145</v>
      </c>
      <c r="G21" s="0" t="n">
        <f aca="false">G19*G20</f>
        <v>7808.49281977898</v>
      </c>
      <c r="H21" s="0" t="n">
        <f aca="false">H19*H20</f>
        <v>7663.21305568865</v>
      </c>
      <c r="I21" s="0" t="n">
        <f aca="false">I19*I20</f>
        <v>7383.20533380341</v>
      </c>
      <c r="J21" s="0" t="n">
        <f aca="false">J19*J20</f>
        <v>7217.41880123026</v>
      </c>
      <c r="K21" s="0" t="n">
        <f aca="false">K19*K20</f>
        <v>6915.29429327179</v>
      </c>
      <c r="L21" s="0" t="n">
        <f aca="false">L19*L20</f>
        <v>6625.81685773948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75518.9017230619</v>
      </c>
    </row>
    <row r="31" customFormat="false" ht="15" hidden="false" customHeight="false" outlineLevel="0" collapsed="false">
      <c r="A31" s="0" t="s">
        <v>137</v>
      </c>
      <c r="B31" s="0" t="n">
        <f aca="false">L19</f>
        <v>13656.0176689241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279948.362212943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273120.353378481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273120.353378481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132516.33715479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208035.238877851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168994.238877851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238.154226152553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0.0272795848360987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1267.51098654964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1988.1329857093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242.742224986063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111979.344885177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59.6605760622059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6.5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26885</v>
      </c>
      <c r="C6" s="0" t="n">
        <f aca="false">B6*(1+C5/100)</f>
        <v>28632.525</v>
      </c>
      <c r="D6" s="0" t="n">
        <f aca="false">C6*(1+D5/100)</f>
        <v>30493.639125</v>
      </c>
      <c r="E6" s="0" t="n">
        <f aca="false">D6*(1+E5/100)</f>
        <v>32323.2574725</v>
      </c>
      <c r="F6" s="0" t="n">
        <f aca="false">E6*(1+F5/100)</f>
        <v>34101.0366334875</v>
      </c>
      <c r="G6" s="0" t="n">
        <f aca="false">F6*(1+G5/100)</f>
        <v>35976.5936483293</v>
      </c>
      <c r="H6" s="0" t="n">
        <f aca="false">G6*(1+H5/100)</f>
        <v>37775.4233307458</v>
      </c>
      <c r="I6" s="0" t="n">
        <f aca="false">H6*(1+I5/100)</f>
        <v>39475.3173806293</v>
      </c>
      <c r="J6" s="0" t="n">
        <f aca="false">I6*(1+J5/100)</f>
        <v>41054.3300758545</v>
      </c>
      <c r="K6" s="0" t="n">
        <f aca="false">J6*(1+K5/100)</f>
        <v>42491.2316285094</v>
      </c>
      <c r="L6" s="0" t="n">
        <f aca="false">K6*(1+L5/100)</f>
        <v>43978.4247355072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55.3</v>
      </c>
      <c r="D7" s="4" t="n">
        <f aca="false">Assumptions!D42</f>
        <v>55.6</v>
      </c>
      <c r="E7" s="4" t="n">
        <f aca="false">Assumptions!E42</f>
        <v>56</v>
      </c>
      <c r="F7" s="4" t="n">
        <f aca="false">Assumptions!F42</f>
        <v>56.4</v>
      </c>
      <c r="G7" s="4" t="n">
        <f aca="false">Assumptions!G42</f>
        <v>56.8</v>
      </c>
      <c r="H7" s="4" t="n">
        <f aca="false">Assumptions!H42</f>
        <v>57</v>
      </c>
      <c r="I7" s="4" t="n">
        <f aca="false">Assumptions!I42</f>
        <v>57</v>
      </c>
      <c r="J7" s="4" t="n">
        <f aca="false">Assumptions!J42</f>
        <v>57</v>
      </c>
      <c r="K7" s="4" t="n">
        <f aca="false">Assumptions!K42</f>
        <v>57</v>
      </c>
      <c r="L7" s="4" t="n">
        <f aca="false">Assumptions!L42</f>
        <v>57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15833.786325</v>
      </c>
      <c r="D8" s="0" t="n">
        <f aca="false">D6*D7/100</f>
        <v>16954.4633535</v>
      </c>
      <c r="E8" s="0" t="n">
        <f aca="false">E6*E7/100</f>
        <v>18101.0241846</v>
      </c>
      <c r="F8" s="0" t="n">
        <f aca="false">F6*F7/100</f>
        <v>19232.9846612869</v>
      </c>
      <c r="G8" s="0" t="n">
        <f aca="false">G6*G7/100</f>
        <v>20434.705192251</v>
      </c>
      <c r="H8" s="0" t="n">
        <f aca="false">H6*H7/100</f>
        <v>21531.9912985251</v>
      </c>
      <c r="I8" s="0" t="n">
        <f aca="false">I6*I7/100</f>
        <v>22500.9309069587</v>
      </c>
      <c r="J8" s="0" t="n">
        <f aca="false">J6*J7/100</f>
        <v>23400.9681432371</v>
      </c>
      <c r="K8" s="0" t="n">
        <f aca="false">K6*K7/100</f>
        <v>24220.0020282504</v>
      </c>
      <c r="L8" s="0" t="n">
        <f aca="false">L6*L7/100</f>
        <v>25067.7020992391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0.58</v>
      </c>
      <c r="F9" s="4" t="n">
        <f aca="false">Assumptions!F43</f>
        <v>0.56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0.52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-171.79515</v>
      </c>
      <c r="D10" s="0" t="n">
        <f aca="false">-D6*D9/100</f>
        <v>-182.96183475</v>
      </c>
      <c r="E10" s="0" t="n">
        <f aca="false">-E6*E9/100</f>
        <v>-187.4748933405</v>
      </c>
      <c r="F10" s="0" t="n">
        <f aca="false">-F6*F9/100</f>
        <v>-190.96580514753</v>
      </c>
      <c r="G10" s="0" t="n">
        <f aca="false">-G6*G9/100</f>
        <v>-197.871265065811</v>
      </c>
      <c r="H10" s="0" t="n">
        <f aca="false">-H6*H9/100</f>
        <v>-207.764828319102</v>
      </c>
      <c r="I10" s="0" t="n">
        <f aca="false">-I6*I9/100</f>
        <v>-205.271650379273</v>
      </c>
      <c r="J10" s="0" t="n">
        <f aca="false">-J6*J9/100</f>
        <v>-205.271650379273</v>
      </c>
      <c r="K10" s="0" t="n">
        <f aca="false">-K6*K9/100</f>
        <v>-212.456158142547</v>
      </c>
      <c r="L10" s="0" t="n">
        <f aca="false">-L6*L9/100</f>
        <v>-219.892123677536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15661.991175</v>
      </c>
      <c r="D11" s="0" t="n">
        <f aca="false">D8+D10+D24</f>
        <v>16771.50151875</v>
      </c>
      <c r="E11" s="0" t="n">
        <f aca="false">E8+E10+E24</f>
        <v>17913.5492912595</v>
      </c>
      <c r="F11" s="0" t="n">
        <f aca="false">F8+F10+F24</f>
        <v>19042.0188561394</v>
      </c>
      <c r="G11" s="0" t="n">
        <f aca="false">G8+G10+G24</f>
        <v>20236.8339271852</v>
      </c>
      <c r="H11" s="0" t="n">
        <f aca="false">H8+H10+H24</f>
        <v>21324.226470206</v>
      </c>
      <c r="I11" s="0" t="n">
        <f aca="false">I8+I10+I24</f>
        <v>22295.6592565794</v>
      </c>
      <c r="J11" s="0" t="n">
        <f aca="false">J8+J10+J24</f>
        <v>23195.6964928578</v>
      </c>
      <c r="K11" s="0" t="n">
        <f aca="false">K8+K10+K24</f>
        <v>24007.5458701078</v>
      </c>
      <c r="L11" s="0" t="n">
        <f aca="false">L8+L10+L24</f>
        <v>24847.8099755616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-2347.86705</v>
      </c>
      <c r="D12" s="4" t="n">
        <f aca="false">-D6*Assumptions!D45/100</f>
        <v>-2500.47840825</v>
      </c>
      <c r="E12" s="4" t="n">
        <f aca="false">-E6*Assumptions!E45/100</f>
        <v>-2618.1838552725</v>
      </c>
      <c r="F12" s="4" t="n">
        <f aca="false">-F6*Assumptions!F45/100</f>
        <v>-2728.082930679</v>
      </c>
      <c r="G12" s="4" t="n">
        <f aca="false">-G6*Assumptions!G45/100</f>
        <v>-2878.12749186634</v>
      </c>
      <c r="H12" s="4" t="n">
        <f aca="false">-H6*Assumptions!H45/100</f>
        <v>-2984.25844312892</v>
      </c>
      <c r="I12" s="4" t="n">
        <f aca="false">-I6*Assumptions!I45/100</f>
        <v>-3079.07475568909</v>
      </c>
      <c r="J12" s="4" t="n">
        <f aca="false">-J6*Assumptions!J45/100</f>
        <v>-3202.23774591665</v>
      </c>
      <c r="K12" s="4" t="n">
        <f aca="false">-K6*Assumptions!K45/100</f>
        <v>-3314.31606702373</v>
      </c>
      <c r="L12" s="4" t="n">
        <f aca="false">-L6*Assumptions!L45/100</f>
        <v>-3430.31712936956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13314.124125</v>
      </c>
      <c r="D13" s="0" t="n">
        <f aca="false">D11+D12</f>
        <v>14271.0231105</v>
      </c>
      <c r="E13" s="0" t="n">
        <f aca="false">E11+E12</f>
        <v>15295.365435987</v>
      </c>
      <c r="F13" s="0" t="n">
        <f aca="false">F11+F12</f>
        <v>16313.9359254604</v>
      </c>
      <c r="G13" s="0" t="n">
        <f aca="false">G11+G12</f>
        <v>17358.7064353189</v>
      </c>
      <c r="H13" s="0" t="n">
        <f aca="false">H11+H12</f>
        <v>18339.9680270771</v>
      </c>
      <c r="I13" s="0" t="n">
        <f aca="false">I11+I12</f>
        <v>19216.5845008904</v>
      </c>
      <c r="J13" s="0" t="n">
        <f aca="false">J11+J12</f>
        <v>19993.4587469411</v>
      </c>
      <c r="K13" s="0" t="n">
        <f aca="false">K11+K12</f>
        <v>20693.2298030841</v>
      </c>
      <c r="L13" s="0" t="n">
        <f aca="false">L11+L12</f>
        <v>21417.492846192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21.5</v>
      </c>
      <c r="D14" s="4" t="n">
        <f aca="false">Assumptions!D47</f>
        <v>21.5</v>
      </c>
      <c r="E14" s="4" t="n">
        <f aca="false">Assumptions!E47</f>
        <v>21.5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10451.587438125</v>
      </c>
      <c r="D15" s="0" t="n">
        <f aca="false">D13-MAX(0,D13)*D14/100</f>
        <v>11202.7531417425</v>
      </c>
      <c r="E15" s="0" t="n">
        <f aca="false">E13-MAX(0,E13)*E14/100</f>
        <v>12006.8618672498</v>
      </c>
      <c r="F15" s="0" t="n">
        <f aca="false">F13-MAX(0,F13)*F14/100</f>
        <v>12806.4397014864</v>
      </c>
      <c r="G15" s="0" t="n">
        <f aca="false">G13-MAX(0,G13)*G14/100</f>
        <v>13626.5845517253</v>
      </c>
      <c r="H15" s="0" t="n">
        <f aca="false">H13-MAX(0,H13)*H14/100</f>
        <v>14396.8749012555</v>
      </c>
      <c r="I15" s="0" t="n">
        <f aca="false">I13-MAX(0,I13)*I14/100</f>
        <v>15085.0188331989</v>
      </c>
      <c r="J15" s="0" t="n">
        <f aca="false">J13-MAX(0,J13)*J14/100</f>
        <v>15694.8651163488</v>
      </c>
      <c r="K15" s="0" t="n">
        <f aca="false">K13-MAX(0,K13)*K14/100</f>
        <v>16244.185395421</v>
      </c>
      <c r="L15" s="0" t="n">
        <f aca="false">L13-MAX(0,L13)*L14/100</f>
        <v>16812.7318842607</v>
      </c>
    </row>
    <row r="16" customFormat="false" ht="15" hidden="false" customHeight="false" outlineLevel="0" collapsed="false">
      <c r="A16" s="0" t="s">
        <v>128</v>
      </c>
      <c r="C16" s="0" t="n">
        <f aca="false">-C12</f>
        <v>2347.86705</v>
      </c>
      <c r="D16" s="0" t="n">
        <f aca="false">-D12</f>
        <v>2500.47840825</v>
      </c>
      <c r="E16" s="0" t="n">
        <f aca="false">-E12</f>
        <v>2618.1838552725</v>
      </c>
      <c r="F16" s="0" t="n">
        <f aca="false">-F12</f>
        <v>2728.082930679</v>
      </c>
      <c r="G16" s="0" t="n">
        <f aca="false">-G12</f>
        <v>2878.12749186634</v>
      </c>
      <c r="H16" s="0" t="n">
        <f aca="false">-H12</f>
        <v>2984.25844312892</v>
      </c>
      <c r="I16" s="0" t="n">
        <f aca="false">-I12</f>
        <v>3079.07475568909</v>
      </c>
      <c r="J16" s="0" t="n">
        <f aca="false">-J12</f>
        <v>3202.23774591665</v>
      </c>
      <c r="K16" s="0" t="n">
        <f aca="false">-K12</f>
        <v>3314.31606702373</v>
      </c>
      <c r="L16" s="0" t="n">
        <f aca="false">-L12</f>
        <v>3430.31712936956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-3836.75835</v>
      </c>
      <c r="D17" s="4" t="n">
        <f aca="false">-D6*Assumptions!D46/100</f>
        <v>-4055.654003625</v>
      </c>
      <c r="E17" s="4" t="n">
        <f aca="false">-E6*Assumptions!E46/100</f>
        <v>-4202.023471425</v>
      </c>
      <c r="F17" s="4" t="n">
        <f aca="false">-F6*Assumptions!F46/100</f>
        <v>-4262.62957918594</v>
      </c>
      <c r="G17" s="4" t="n">
        <f aca="false">-G6*Assumptions!G46/100</f>
        <v>-4317.19123779952</v>
      </c>
      <c r="H17" s="4" t="n">
        <f aca="false">-H6*Assumptions!H46/100</f>
        <v>-4344.17368303576</v>
      </c>
      <c r="I17" s="4" t="n">
        <f aca="false">-I6*Assumptions!I46/100</f>
        <v>-4342.28491186923</v>
      </c>
      <c r="J17" s="4" t="n">
        <f aca="false">-J6*Assumptions!J46/100</f>
        <v>-4515.976308344</v>
      </c>
      <c r="K17" s="4" t="n">
        <f aca="false">-K6*Assumptions!K46/100</f>
        <v>-4461.57932099349</v>
      </c>
      <c r="L17" s="4" t="n">
        <f aca="false">-L6*Assumptions!L46/100</f>
        <v>-4617.73459722826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8962.696138125</v>
      </c>
      <c r="D19" s="0" t="n">
        <f aca="false">D15+D16+D17+D18</f>
        <v>9647.5775463675</v>
      </c>
      <c r="E19" s="0" t="n">
        <f aca="false">E15+E16+E17+E18</f>
        <v>10423.0222510973</v>
      </c>
      <c r="F19" s="0" t="n">
        <f aca="false">F15+F16+F17+F18</f>
        <v>11271.8930529795</v>
      </c>
      <c r="G19" s="0" t="n">
        <f aca="false">G15+G16+G17+G18</f>
        <v>12187.5208057922</v>
      </c>
      <c r="H19" s="0" t="n">
        <f aca="false">H15+H16+H17+H18</f>
        <v>13036.9596613487</v>
      </c>
      <c r="I19" s="0" t="n">
        <f aca="false">I15+I16+I17+I18</f>
        <v>13821.8086770188</v>
      </c>
      <c r="J19" s="0" t="n">
        <f aca="false">J15+J16+J17+J18</f>
        <v>14381.1265539215</v>
      </c>
      <c r="K19" s="0" t="n">
        <f aca="false">K15+K16+K17+K18</f>
        <v>15096.9221414512</v>
      </c>
      <c r="L19" s="0" t="n">
        <f aca="false">L15+L16+L17+L18</f>
        <v>15625.314416402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8337.39175639535</v>
      </c>
      <c r="D21" s="0" t="n">
        <f aca="false">D19*D20</f>
        <v>8348.36347982044</v>
      </c>
      <c r="E21" s="0" t="n">
        <f aca="false">E19*E20</f>
        <v>8390.12192725454</v>
      </c>
      <c r="F21" s="0" t="n">
        <f aca="false">F19*F20</f>
        <v>8440.39948965368</v>
      </c>
      <c r="G21" s="0" t="n">
        <f aca="false">G19*G20</f>
        <v>8489.32282422117</v>
      </c>
      <c r="H21" s="0" t="n">
        <f aca="false">H19*H20</f>
        <v>8447.44817833735</v>
      </c>
      <c r="I21" s="0" t="n">
        <f aca="false">I19*I20</f>
        <v>8331.16291934597</v>
      </c>
      <c r="J21" s="0" t="n">
        <f aca="false">J19*J20</f>
        <v>8063.5297774966</v>
      </c>
      <c r="K21" s="0" t="n">
        <f aca="false">K19*K20</f>
        <v>7874.30508100249</v>
      </c>
      <c r="L21" s="0" t="n">
        <f aca="false">L19*L20</f>
        <v>7581.30768263961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82303.3531161672</v>
      </c>
    </row>
    <row r="31" customFormat="false" ht="15" hidden="false" customHeight="false" outlineLevel="0" collapsed="false">
      <c r="A31" s="0" t="s">
        <v>137</v>
      </c>
      <c r="B31" s="0" t="n">
        <f aca="false">L19</f>
        <v>15625.314416402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357646.08553098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343756.917160845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343756.917160845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166788.769018071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249092.122134239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210051.122134239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296.013419016683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0.276855536456384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1340.81873885372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2442.02295529655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301.344368416557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134117.282074118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73.6247932706554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160.085040291561</v>
      </c>
      <c r="C4" s="0" t="n">
        <f aca="false">B4/Assumptions!$B$2-1</f>
        <v>-0.309472284468962</v>
      </c>
      <c r="D4" s="4" t="n">
        <f aca="false">Assumptions!$B$24</f>
        <v>0.2</v>
      </c>
      <c r="E4" s="4" t="n">
        <f aca="false">DCF_Bear!$B$43</f>
        <v>164.401756741006</v>
      </c>
      <c r="F4" s="4" t="n">
        <f aca="false">DCF_Bear!$B$47</f>
        <v>39.7265424360936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238.154226152553</v>
      </c>
      <c r="C5" s="0" t="n">
        <f aca="false">B5/Assumptions!$B$2-1</f>
        <v>0.0272795848360987</v>
      </c>
      <c r="D5" s="4" t="n">
        <f aca="false">Assumptions!$B$38</f>
        <v>0.5</v>
      </c>
      <c r="E5" s="4" t="n">
        <f aca="false">DCF_Base!$B$43</f>
        <v>242.742224986063</v>
      </c>
      <c r="F5" s="4" t="n">
        <f aca="false">DCF_Base!$B$47</f>
        <v>59.6605760622059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296.013419016683</v>
      </c>
      <c r="C6" s="0" t="n">
        <f aca="false">B6/Assumptions!$B$2-1</f>
        <v>0.276855536456384</v>
      </c>
      <c r="D6" s="4" t="n">
        <f aca="false">Assumptions!$B$52</f>
        <v>0.3</v>
      </c>
      <c r="E6" s="4" t="n">
        <f aca="false">DCF_Bull!$B$43</f>
        <v>301.344368416557</v>
      </c>
      <c r="F6" s="4" t="n">
        <f aca="false">DCF_Bull!$B$47</f>
        <v>73.6247932706554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239.898146839594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244.6547743662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0.0336315513307747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-169.619058765145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59.8630344995183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238.154226152553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172.099789759102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140.741269970268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116.809434962839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97.9562083573145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59.6605760622059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288.101947871373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288.101947871373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288.101947871373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288.101947871373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288.101947871373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261.921815828991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261.921815828991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261.921815828991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261.921815828991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261.921815828991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209.363918968181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224.5725578985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238.154226152553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238.154226152553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238.154226152553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169.737572605395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179.886062584364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191.725967559828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205.718582530831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216.551574766446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140.108694206382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147.194710466521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155.293014763824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164.637212029942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175.53877550708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2026-10-02T00:47:04Z</dcterms:created>
  <dc:creator>openpyxl</dc:creator>
  <dc:description/>
  <dc:language>en-NZ</dc:language>
  <cp:lastModifiedBy/>
  <dcterms:modified xsi:type="dcterms:W3CDTF">2026-10-02T00:47:04Z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