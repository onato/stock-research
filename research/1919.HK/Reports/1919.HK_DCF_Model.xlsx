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<sst xmlns="http://schemas.openxmlformats.org/spreadsheetml/2006/main" count="356" uniqueCount="166">
  <si>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</si>
  <si>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1919.HK</t>
  </si>
  <si>
    <t xml:space="preserve">Company</t>
  </si>
  <si>
    <t xml:space="preserve">COSCO SHIPPING Holdings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</si>
  <si>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</si>
  <si>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</si>
  <si>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</si>
  <si>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</si>
  <si>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(Yahoo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</si>
  <si>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</si>
  <si>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</si>
  <si>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</si>
  <si>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</si>
  <si>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</si>
  <si>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</si>
  <si>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</si>
  <si>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</si>
  <si>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</si>
  <si>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</si>
  <si>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</si>
  <si>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</si>
  <si>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</si>
  <si>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2026-10-16T23:34:53Z</t>
  </si>
  <si>
    <t xml:space="preserve">Drivers file</t>
  </si>
  <si>
    <t xml:space="preserve">1919.HK_Drivers.json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</si>
  <si>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</si>
  <si>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</si>
  <si>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</si>
  <si>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cyclical valued through the cycle, not off FY0: explicit trough in FY2027, reversion to a mid-cycle margin, a 12x (bear 10x) terminal cap appropriate to a commodity freight business, and a balance sheet (net cash, associates, investments, less NCI and the declared interim dividend) worth roughly 60% of the share price on its own.
key_risks_to_valuation: Mid-cycle margin judgment: each 1pp of mid-cycle EBITDAaL margin (FY2029 onward) is worth roughly HK$1.1/share; Surplus-cash assumption: all RMB140.8bn of cash treated as surplus; liners need an operating float; Associates and NCI held at book, not market; US port fees / sanctions specific to Chinese state-linked carriers; Capital allocation: newbuild commitments locked in at the top of the cycle; state-shareholder priorities over minority returns; FX: RMB/HKD rate is dated and not refreshed by price-only updates; Mid-cycle owner-FCF margin (base ~4.9%) assumes capex normalises to 6.5% of revenue after the newbuild hump; post-lease owner FCF was near zero or negative in FY2019, FY2023 and FY2025, so capex discipline is the swing factor</t>
  </si>
  <si>
    <t xml:space="preserve">Data sources</t>
  </si>
  <si>
    <t xml:space="preserve">price: Yahoo Finance chart API at inputs.price_as_of; 52-week range 12.63-18.04 HKD
financials: 1919.HK_Metrics.csv (FY2018-FY2025, H1 FY2026); FY2025 annual report (income statement, note 8 leases, note 31 expenses by nature, cash flow statement); H1 FY2026 interim report (balance sheet at 30 Jun 2026, interim dividend)
qualitative: 1919.HK_Analysis.json (2026-10-17)</t>
  </si>
  <si>
    <t xml:space="preserve">Scenario narrative: bear</t>
  </si>
  <si>
    <t xml:space="preserve">Overcapacity overwhelms discipline: full Suez transit returns, the record orderbook delivers, and US port fees/Section-301 measures disproportionately hit China-linked carriers on COSCO's largest lane. Rates fall to 2016-type lows in FY2027 and mid-cycle EBITDAaL settles near 8%. The large net cash and associate book keep the equity well above zero -- the bear case is an earnings collapse, not a solvency event. In this path the operating business has a slightly negative enterprise value (PV of explicit flows -RMB13.2bn, terminal capped at 10x a 1.4% FCF margin): the bear IV of ~HK$10.25 is essentially the balance sheet alone (net cash + associates + investments - NCI - interim dividend ~= HK$10.35/share). The zero terminal floor is not hit.</t>
  </si>
  <si>
    <t xml:space="preserve">Scenario narrative: base</t>
  </si>
  <si>
    <t xml:space="preserve">Freight rates keep falling through FY2027 as ~7% fleet growth meets ~3-4% demand and the Red Sea diversion unwinds; COSCO's volumes still grow with the Ocean Alliance network (extended to 2032) and supply-chain/terminal revenue cushion the trough. Margins revert to a mid-cycle EBITDAaL of ~13% -- below the FY2023-25 average, well above the pre-COVID FY2019 6.8% -- reflecting a more consolidated, alliance-disciplined industry. The newbuild capex hump (RMB52bn) passes by FY2028.</t>
  </si>
  <si>
    <t xml:space="preserve">Scenario narrative: bull</t>
  </si>
  <si>
    <t xml:space="preserve">The cycle bottoms shallow: Red Sea/Cape routing persists or geopolitical disruption recurs, carriers blank-sail and scrap aggressively, and the green-fleet transition retires older tonnage; COSCO captures share in ASEAN/LatAm/Middle East corridors (Chancay, Sukhna) and grows non-freight supply-chain revenue. Mid-cycle EBITDAaL ~16.7%, near the FY2023-25 run-rate.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</si>
  <si>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</si>
  <si>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</si>
  <si>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</si>
  <si>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</si>
  <si>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</si>
  <si>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</si>
  <si>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</si>
  <si>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</si>
  <si>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</si>
  <si>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</si>
  <si>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</si>
  <si>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</si>
  <si>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</si>
  <si>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</si>
  <si>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</si>
  <si>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</si>
  <si>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</si>
  <si>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</si>
  <si>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</si>
  <si>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</si>
  <si>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</si>
  <si>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</si>
  <si>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</si>
  <si>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</si>
  <si>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</si>
  <si>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</si>
  <si>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</si>
  <si>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LeasePrincipalRepaid</t>
  </si>
  <si>
    <t xml:space="preserve">NetIncomeTotal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</si>
  <si>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</si>
  <si>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</si>
  <si>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</si>
  <si>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</si>
  <si>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</si>
  <si>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</si>
  <si>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</si>
  <si>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</si>
  <si>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</si>
  <si>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</si>
  <si>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</si>
  <si>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</si>
  <si>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</si>
  <si>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</si>
  <si>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</si>
  <si>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</si>
  <si>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</si>
  <si>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</si>
  <si>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</si>
  <si>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</si>
  <si>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</si>
  <si>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</si>
  <si>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</si>
  <si>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</si>
  <si>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</si>
  <si>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</si>
  <si>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</si>
  <si>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</si>
  <si>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</si>
  <si>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</si>
  <si>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</si>
  <si>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</si>
  <si>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</si>
  <si>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</si>
  <si>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</si>
  <si>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</si>
  <si>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</si>
  <si>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</si>
  <si>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</si>
  <si>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</si>
  <si>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</si>
  <si>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</si>
  <si>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</si>
  <si>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</si>
  <si>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</si>
  <si>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1919.HK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</si>
  <si>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</si>
  <si>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</si>
  <si>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</si>
  <si>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</si>
  <si>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</si>
  <si>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</si>
  <si>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</si>
  <si>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</si>
  <si>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</si>
  <si>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</si>
  <si>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</si>
  <si>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</si>
  <si>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</si>
  <si>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</si>
  <si>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</si>
  <si>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</si>
  <si>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</si>
  <si>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</si>
  <si>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</si>
  <si>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</si>
  <si>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</si>
  <si>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</si>
  <si>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</si>
  <si>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</si>
  <si>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</si>
  <si>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</si>
  <si>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</si>
  <si>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</si>
  <si>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</si>
  <si>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</si>
  <si>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1919.HK owner-FCF component DCF: base case (millions, CNY)</t>
  </si>
  <si>
    <t xml:space="preserve">1919.HK owner-FCF component DCF: bull case (millions, CNY)</t>
  </si>
  <si>
    <t xml:space="preserve">1919.HK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</si>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</sst>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120342.284</v>
      </c>
      <c r="C2" s="0" t="n">
        <v>110725.942</v>
      </c>
      <c r="D2" s="0" t="n">
        <v>9616.342</v>
      </c>
      <c r="E2" s="0" t="n">
        <v>8</v>
      </c>
      <c r="F2" s="0" t="n">
        <v>4998.797</v>
      </c>
      <c r="G2" s="0" t="n">
        <v>4.2</v>
      </c>
      <c r="I2" s="0" t="n">
        <v>1230.026</v>
      </c>
      <c r="J2" s="0" t="n">
        <v>1</v>
      </c>
      <c r="K2" s="0" t="n">
        <v>0.12</v>
      </c>
      <c r="L2" s="0" t="n">
        <v>8130.776</v>
      </c>
      <c r="M2" s="0" t="n">
        <v>19887.519</v>
      </c>
      <c r="N2" s="0" t="n">
        <v>-11756.743</v>
      </c>
      <c r="O2" s="0" t="n">
        <v>22886.213</v>
      </c>
      <c r="P2" s="0" t="n">
        <v>228143.805</v>
      </c>
      <c r="Q2" s="0" t="n">
        <v>171790.916</v>
      </c>
      <c r="R2" s="0" t="n">
        <v>137195.64</v>
      </c>
      <c r="S2" s="0" t="n">
        <v>32837.729</v>
      </c>
      <c r="T2" s="0" t="n">
        <v>10216.3</v>
      </c>
      <c r="AA2" s="0" t="s">
        <v>18</v>
      </c>
      <c r="AB2" s="0" t="s">
        <v>14</v>
      </c>
      <c r="AD2" s="0" t="n">
        <v>3026.361</v>
      </c>
    </row>
    <row r="3" customFormat="false" ht="15" hidden="false" customHeight="false" outlineLevel="0" collapsed="false">
      <c r="A3" s="0" t="s">
        <v>67</v>
      </c>
      <c r="B3" s="0" t="n">
        <v>150540.591</v>
      </c>
      <c r="C3" s="0" t="n">
        <v>135211.892</v>
      </c>
      <c r="D3" s="0" t="n">
        <v>15328.699</v>
      </c>
      <c r="E3" s="0" t="n">
        <v>10.2</v>
      </c>
      <c r="F3" s="0" t="n">
        <v>7222.834</v>
      </c>
      <c r="G3" s="0" t="n">
        <v>4.8</v>
      </c>
      <c r="I3" s="0" t="n">
        <v>6690.106</v>
      </c>
      <c r="J3" s="0" t="n">
        <v>4.4</v>
      </c>
      <c r="K3" s="0" t="n">
        <v>0.55</v>
      </c>
      <c r="L3" s="0" t="n">
        <v>21202.372</v>
      </c>
      <c r="M3" s="0" t="n">
        <v>11082.749</v>
      </c>
      <c r="N3" s="0" t="n">
        <v>10119.623</v>
      </c>
      <c r="O3" s="0" t="n">
        <v>35359.676</v>
      </c>
      <c r="P3" s="0" t="n">
        <v>262224.03</v>
      </c>
      <c r="Q3" s="0" t="n">
        <v>193098.793</v>
      </c>
      <c r="R3" s="0" t="n">
        <v>119876.882</v>
      </c>
      <c r="S3" s="0" t="n">
        <v>49689.784</v>
      </c>
      <c r="T3" s="0" t="n">
        <v>12089.3</v>
      </c>
      <c r="U3" s="0" t="n">
        <v>95.172</v>
      </c>
      <c r="AA3" s="0" t="s">
        <v>18</v>
      </c>
      <c r="AB3" s="0" t="s">
        <v>14</v>
      </c>
      <c r="AC3" s="0" t="n">
        <v>9090.092</v>
      </c>
      <c r="AD3" s="0" t="n">
        <v>10194.317</v>
      </c>
    </row>
    <row r="4" customFormat="false" ht="15" hidden="false" customHeight="false" outlineLevel="0" collapsed="false">
      <c r="A4" s="0" t="s">
        <v>68</v>
      </c>
      <c r="B4" s="0" t="n">
        <v>171258.834</v>
      </c>
      <c r="C4" s="0" t="n">
        <v>147117.042</v>
      </c>
      <c r="D4" s="0" t="n">
        <v>24141.792</v>
      </c>
      <c r="E4" s="0" t="n">
        <v>14.1</v>
      </c>
      <c r="F4" s="0" t="n">
        <v>15574.719</v>
      </c>
      <c r="G4" s="0" t="n">
        <v>9.1</v>
      </c>
      <c r="I4" s="0" t="n">
        <v>9927.098</v>
      </c>
      <c r="J4" s="0" t="n">
        <v>5.8</v>
      </c>
      <c r="K4" s="0" t="n">
        <v>0.81</v>
      </c>
      <c r="L4" s="0" t="n">
        <v>44930.556</v>
      </c>
      <c r="M4" s="0" t="n">
        <v>6668.775</v>
      </c>
      <c r="N4" s="0" t="n">
        <v>38261.781</v>
      </c>
      <c r="O4" s="0" t="n">
        <v>43913.866</v>
      </c>
      <c r="P4" s="0" t="n">
        <v>271926.074</v>
      </c>
      <c r="Q4" s="0" t="n">
        <v>193229.017</v>
      </c>
      <c r="R4" s="0" t="n">
        <v>94971.671</v>
      </c>
      <c r="S4" s="0" t="n">
        <v>52630.331</v>
      </c>
      <c r="T4" s="0" t="n">
        <v>12259.5</v>
      </c>
      <c r="U4" s="0" t="n">
        <v>153.068</v>
      </c>
      <c r="AA4" s="0" t="s">
        <v>18</v>
      </c>
      <c r="AB4" s="0" t="s">
        <v>14</v>
      </c>
      <c r="AC4" s="0" t="n">
        <v>10650.324</v>
      </c>
      <c r="AD4" s="0" t="n">
        <v>13187.494</v>
      </c>
    </row>
    <row r="5" customFormat="false" ht="15" hidden="false" customHeight="false" outlineLevel="0" collapsed="false">
      <c r="A5" s="0" t="s">
        <v>69</v>
      </c>
      <c r="B5" s="0" t="n">
        <v>333693.611</v>
      </c>
      <c r="C5" s="0" t="n">
        <v>193568.231</v>
      </c>
      <c r="D5" s="0" t="n">
        <v>140125.38</v>
      </c>
      <c r="E5" s="0" t="n">
        <v>42</v>
      </c>
      <c r="F5" s="0" t="n">
        <v>128297.058</v>
      </c>
      <c r="G5" s="0" t="n">
        <v>38.4</v>
      </c>
      <c r="I5" s="0" t="n">
        <v>89296.138</v>
      </c>
      <c r="J5" s="0" t="n">
        <v>26.8</v>
      </c>
      <c r="K5" s="0" t="n">
        <v>5.59</v>
      </c>
      <c r="L5" s="0" t="n">
        <v>170948.374</v>
      </c>
      <c r="M5" s="0" t="n">
        <v>9549.916</v>
      </c>
      <c r="N5" s="0" t="n">
        <v>161398.458</v>
      </c>
      <c r="O5" s="0" t="n">
        <v>133094.325</v>
      </c>
      <c r="P5" s="0" t="n">
        <v>413668.081</v>
      </c>
      <c r="Q5" s="0" t="n">
        <v>234807.539</v>
      </c>
      <c r="R5" s="0" t="n">
        <v>73333.695</v>
      </c>
      <c r="S5" s="0" t="n">
        <v>177946.969</v>
      </c>
      <c r="T5" s="0" t="n">
        <v>15980.6</v>
      </c>
      <c r="U5" s="0" t="n">
        <v>90.979</v>
      </c>
      <c r="AA5" s="0" t="s">
        <v>18</v>
      </c>
      <c r="AB5" s="0" t="s">
        <v>14</v>
      </c>
      <c r="AC5" s="0" t="n">
        <v>8867.335</v>
      </c>
      <c r="AD5" s="0" t="n">
        <v>103852.551</v>
      </c>
    </row>
    <row r="6" customFormat="false" ht="15" hidden="false" customHeight="false" outlineLevel="0" collapsed="false">
      <c r="A6" s="0" t="s">
        <v>70</v>
      </c>
      <c r="B6" s="0" t="n">
        <v>391058.497</v>
      </c>
      <c r="C6" s="0" t="n">
        <v>220580.548</v>
      </c>
      <c r="D6" s="0" t="n">
        <v>170477.949</v>
      </c>
      <c r="E6" s="0" t="n">
        <v>43.6</v>
      </c>
      <c r="F6" s="0" t="n">
        <v>162998.834</v>
      </c>
      <c r="G6" s="0" t="n">
        <v>41.7</v>
      </c>
      <c r="I6" s="0" t="n">
        <v>109684.166</v>
      </c>
      <c r="J6" s="0" t="n">
        <v>28</v>
      </c>
      <c r="K6" s="0" t="n">
        <v>6.83</v>
      </c>
      <c r="L6" s="0" t="n">
        <v>196798.805</v>
      </c>
      <c r="M6" s="0" t="n">
        <v>10491.47</v>
      </c>
      <c r="N6" s="0" t="n">
        <v>186307.335</v>
      </c>
      <c r="O6" s="0" t="n">
        <v>200382.773</v>
      </c>
      <c r="P6" s="0" t="n">
        <v>511779.714</v>
      </c>
      <c r="Q6" s="0" t="n">
        <v>258256.246</v>
      </c>
      <c r="R6" s="0" t="n">
        <v>42807.677</v>
      </c>
      <c r="S6" s="0" t="n">
        <v>235613.923</v>
      </c>
      <c r="T6" s="0" t="n">
        <v>16052</v>
      </c>
      <c r="U6" s="0" t="n">
        <v>-66.646</v>
      </c>
      <c r="AA6" s="0" t="s">
        <v>18</v>
      </c>
      <c r="AB6" s="0" t="s">
        <v>14</v>
      </c>
      <c r="AC6" s="0" t="n">
        <v>15025.986</v>
      </c>
      <c r="AD6" s="0" t="n">
        <v>131417.156</v>
      </c>
    </row>
    <row r="7" customFormat="false" ht="15" hidden="false" customHeight="false" outlineLevel="0" collapsed="false">
      <c r="A7" s="0" t="s">
        <v>71</v>
      </c>
      <c r="B7" s="0" t="n">
        <v>175447.747</v>
      </c>
      <c r="C7" s="0" t="n">
        <v>147860.433</v>
      </c>
      <c r="D7" s="0" t="n">
        <v>27587.314</v>
      </c>
      <c r="E7" s="0" t="n">
        <v>15.7</v>
      </c>
      <c r="F7" s="0" t="n">
        <v>24640.445</v>
      </c>
      <c r="G7" s="0" t="n">
        <v>14</v>
      </c>
      <c r="I7" s="0" t="n">
        <v>23860.258</v>
      </c>
      <c r="J7" s="0" t="n">
        <v>13.6</v>
      </c>
      <c r="K7" s="0" t="n">
        <v>1.48</v>
      </c>
      <c r="L7" s="0" t="n">
        <v>22612.055</v>
      </c>
      <c r="M7" s="0" t="n">
        <v>15320.668</v>
      </c>
      <c r="N7" s="0" t="n">
        <v>7291.387</v>
      </c>
      <c r="O7" s="0" t="n">
        <v>196115.257</v>
      </c>
      <c r="P7" s="0" t="n">
        <v>462429.381</v>
      </c>
      <c r="Q7" s="0" t="n">
        <v>219209.909</v>
      </c>
      <c r="R7" s="0" t="n">
        <v>43276.918</v>
      </c>
      <c r="S7" s="0" t="n">
        <v>181113.316</v>
      </c>
      <c r="T7" s="0" t="n">
        <v>16114.7</v>
      </c>
      <c r="U7" s="0" t="n">
        <v>9.911</v>
      </c>
      <c r="AA7" s="0" t="s">
        <v>18</v>
      </c>
      <c r="AB7" s="0" t="s">
        <v>14</v>
      </c>
      <c r="AC7" s="0" t="n">
        <v>14568.616</v>
      </c>
      <c r="AD7" s="0" t="n">
        <v>28395.659</v>
      </c>
    </row>
    <row r="8" customFormat="false" ht="15" hidden="false" customHeight="false" outlineLevel="0" collapsed="false">
      <c r="A8" s="0" t="s">
        <v>72</v>
      </c>
      <c r="B8" s="0" t="n">
        <v>233859.079</v>
      </c>
      <c r="C8" s="0" t="n">
        <v>166175.223</v>
      </c>
      <c r="D8" s="0" t="n">
        <v>67683.856</v>
      </c>
      <c r="E8" s="0" t="n">
        <v>28.9</v>
      </c>
      <c r="F8" s="0" t="n">
        <v>59023.154</v>
      </c>
      <c r="G8" s="0" t="n">
        <v>25.2</v>
      </c>
      <c r="I8" s="0" t="n">
        <v>49172.465</v>
      </c>
      <c r="J8" s="0" t="n">
        <v>21</v>
      </c>
      <c r="K8" s="0" t="n">
        <v>3.08</v>
      </c>
      <c r="L8" s="0" t="n">
        <v>69312.919</v>
      </c>
      <c r="M8" s="0" t="n">
        <v>25999.119</v>
      </c>
      <c r="N8" s="0" t="n">
        <v>43313.8</v>
      </c>
      <c r="O8" s="0" t="n">
        <v>234668.063</v>
      </c>
      <c r="P8" s="0" t="n">
        <v>497472.214</v>
      </c>
      <c r="Q8" s="0" t="n">
        <v>212413.437</v>
      </c>
      <c r="R8" s="0" t="n">
        <v>34675.686</v>
      </c>
      <c r="S8" s="0" t="n">
        <v>184189.078</v>
      </c>
      <c r="T8" s="0" t="n">
        <v>15950.2</v>
      </c>
      <c r="U8" s="0" t="n">
        <v>0.327</v>
      </c>
      <c r="AA8" s="0" t="s">
        <v>18</v>
      </c>
      <c r="AB8" s="0" t="s">
        <v>14</v>
      </c>
      <c r="AC8" s="0" t="n">
        <v>13148.891</v>
      </c>
      <c r="AD8" s="0" t="n">
        <v>55592.667</v>
      </c>
    </row>
    <row r="9" customFormat="false" ht="15" hidden="false" customHeight="false" outlineLevel="0" collapsed="false">
      <c r="A9" s="0" t="s">
        <v>73</v>
      </c>
      <c r="B9" s="0" t="n">
        <v>219503.805</v>
      </c>
      <c r="C9" s="0" t="n">
        <v>176802.237</v>
      </c>
      <c r="D9" s="0" t="n">
        <v>42701.568</v>
      </c>
      <c r="E9" s="0" t="n">
        <v>19.5</v>
      </c>
      <c r="F9" s="0" t="n">
        <v>34518.641</v>
      </c>
      <c r="G9" s="0" t="n">
        <v>15.7</v>
      </c>
      <c r="I9" s="0" t="n">
        <v>30859.651</v>
      </c>
      <c r="J9" s="0" t="n">
        <v>14.1</v>
      </c>
      <c r="K9" s="0" t="n">
        <v>1.99</v>
      </c>
      <c r="L9" s="0" t="n">
        <v>45545.77</v>
      </c>
      <c r="M9" s="0" t="n">
        <v>25015.552</v>
      </c>
      <c r="N9" s="0" t="n">
        <v>20530.218</v>
      </c>
      <c r="O9" s="0" t="n">
        <v>232265.324</v>
      </c>
      <c r="P9" s="0" t="n">
        <v>483758.024</v>
      </c>
      <c r="Q9" s="0" t="n">
        <v>200351.999</v>
      </c>
      <c r="R9" s="0" t="n">
        <v>33194.27</v>
      </c>
      <c r="S9" s="0" t="n">
        <v>150881.601</v>
      </c>
      <c r="T9" s="0" t="n">
        <v>15546</v>
      </c>
      <c r="U9" s="0" t="n">
        <v>0</v>
      </c>
      <c r="AA9" s="0" t="s">
        <v>18</v>
      </c>
      <c r="AB9" s="0" t="s">
        <v>14</v>
      </c>
      <c r="AC9" s="0" t="n">
        <v>14513.408</v>
      </c>
      <c r="AD9" s="0" t="n">
        <v>35216.223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17.19</v>
      </c>
    </row>
    <row r="3" customFormat="false" ht="15" hidden="false" customHeight="false" outlineLevel="0" collapsed="false">
      <c r="A3" s="0" t="s">
        <v>77</v>
      </c>
      <c r="B3" s="3" t="n">
        <v>15298.4</v>
      </c>
    </row>
    <row r="4" customFormat="false" ht="15" hidden="false" customHeight="false" outlineLevel="0" collapsed="false">
      <c r="A4" s="0" t="s">
        <v>78</v>
      </c>
      <c r="B4" s="3" t="n">
        <v>-110878.074</v>
      </c>
    </row>
    <row r="5" customFormat="false" ht="15" hidden="false" customHeight="false" outlineLevel="0" collapsed="false">
      <c r="A5" s="0" t="s">
        <v>79</v>
      </c>
      <c r="B5" s="3" t="n">
        <v>24125.722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219503.805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-6</v>
      </c>
      <c r="D13" s="3" t="n">
        <v>-14</v>
      </c>
      <c r="E13" s="3" t="n">
        <v>-2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20</v>
      </c>
      <c r="D14" s="3" t="n">
        <v>10</v>
      </c>
      <c r="E14" s="3" t="n">
        <v>11</v>
      </c>
      <c r="F14" s="3" t="n">
        <v>13</v>
      </c>
      <c r="G14" s="3" t="n">
        <v>14</v>
      </c>
      <c r="H14" s="3" t="n">
        <v>14.5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7</v>
      </c>
      <c r="D16" s="3" t="n">
        <v>7.5</v>
      </c>
      <c r="E16" s="3" t="n">
        <v>7.3</v>
      </c>
      <c r="F16" s="3" t="n">
        <v>7</v>
      </c>
      <c r="G16" s="3" t="n">
        <v>7</v>
      </c>
      <c r="H16" s="3" t="n">
        <v>7</v>
      </c>
      <c r="I16" s="3" t="n">
        <v>7</v>
      </c>
      <c r="J16" s="3" t="n">
        <v>7</v>
      </c>
      <c r="K16" s="3" t="n">
        <v>7</v>
      </c>
      <c r="L16" s="3" t="n">
        <v>7</v>
      </c>
    </row>
    <row r="17" customFormat="false" ht="15" hidden="false" customHeight="false" outlineLevel="0" collapsed="false">
      <c r="A17" s="0" t="s">
        <v>101</v>
      </c>
      <c r="C17" s="3" t="n">
        <v>4.6</v>
      </c>
      <c r="D17" s="3" t="n">
        <v>5.2</v>
      </c>
      <c r="E17" s="3" t="n">
        <v>5.5</v>
      </c>
      <c r="F17" s="3" t="n">
        <v>5.6</v>
      </c>
      <c r="G17" s="3" t="n">
        <v>5.6</v>
      </c>
      <c r="H17" s="3" t="n">
        <v>5.6</v>
      </c>
      <c r="I17" s="3" t="n">
        <v>5.6</v>
      </c>
      <c r="J17" s="3" t="n">
        <v>5.6</v>
      </c>
      <c r="K17" s="3" t="n">
        <v>5.6</v>
      </c>
      <c r="L17" s="3" t="n">
        <v>5.6</v>
      </c>
    </row>
    <row r="18" customFormat="false" ht="15" hidden="false" customHeight="false" outlineLevel="0" collapsed="false">
      <c r="A18" s="0" t="s">
        <v>102</v>
      </c>
      <c r="C18" s="3" t="n">
        <v>12</v>
      </c>
      <c r="D18" s="3" t="n">
        <v>11</v>
      </c>
      <c r="E18" s="3" t="n">
        <v>9</v>
      </c>
      <c r="F18" s="3" t="n">
        <v>7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103</v>
      </c>
      <c r="C19" s="3" t="n">
        <v>19</v>
      </c>
      <c r="D19" s="3" t="n">
        <v>19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-3</v>
      </c>
      <c r="D27" s="3" t="n">
        <v>-8</v>
      </c>
      <c r="E27" s="3" t="n">
        <v>2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22</v>
      </c>
      <c r="D28" s="3" t="n">
        <v>16</v>
      </c>
      <c r="E28" s="3" t="n">
        <v>17.5</v>
      </c>
      <c r="F28" s="3" t="n">
        <v>19</v>
      </c>
      <c r="G28" s="3" t="n">
        <v>19.5</v>
      </c>
      <c r="H28" s="3" t="n">
        <v>19.5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6.6</v>
      </c>
      <c r="D30" s="3" t="n">
        <v>6.8</v>
      </c>
      <c r="E30" s="3" t="n">
        <v>6.7</v>
      </c>
      <c r="F30" s="3" t="n">
        <v>6.6</v>
      </c>
      <c r="G30" s="3" t="n">
        <v>6.5</v>
      </c>
      <c r="H30" s="3" t="n">
        <v>6.5</v>
      </c>
      <c r="I30" s="3" t="n">
        <v>6.5</v>
      </c>
      <c r="J30" s="3" t="n">
        <v>6.5</v>
      </c>
      <c r="K30" s="3" t="n">
        <v>6.5</v>
      </c>
      <c r="L30" s="3" t="n">
        <v>6.5</v>
      </c>
    </row>
    <row r="31" customFormat="false" ht="15" hidden="false" customHeight="false" outlineLevel="0" collapsed="false">
      <c r="A31" s="0" t="s">
        <v>101</v>
      </c>
      <c r="C31" s="3" t="n">
        <v>4.6</v>
      </c>
      <c r="D31" s="3" t="n">
        <v>5</v>
      </c>
      <c r="E31" s="3" t="n">
        <v>5.2</v>
      </c>
      <c r="F31" s="3" t="n">
        <v>5.4</v>
      </c>
      <c r="G31" s="3" t="n">
        <v>5.5</v>
      </c>
      <c r="H31" s="3" t="n">
        <v>5.5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102</v>
      </c>
      <c r="C32" s="3" t="n">
        <v>12</v>
      </c>
      <c r="D32" s="3" t="n">
        <v>11</v>
      </c>
      <c r="E32" s="3" t="n">
        <v>9</v>
      </c>
      <c r="F32" s="3" t="n">
        <v>7.5</v>
      </c>
      <c r="G32" s="3" t="n">
        <v>6.5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103</v>
      </c>
      <c r="C33" s="3" t="n">
        <v>19</v>
      </c>
      <c r="D33" s="3" t="n">
        <v>19</v>
      </c>
      <c r="E33" s="3" t="n">
        <v>19</v>
      </c>
      <c r="F33" s="3" t="n">
        <v>19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0</v>
      </c>
      <c r="D41" s="3" t="n">
        <v>-3</v>
      </c>
      <c r="E41" s="3" t="n">
        <v>4</v>
      </c>
      <c r="F41" s="3" t="n">
        <v>5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24</v>
      </c>
      <c r="D42" s="3" t="n">
        <v>21</v>
      </c>
      <c r="E42" s="3" t="n">
        <v>22</v>
      </c>
      <c r="F42" s="3" t="n">
        <v>23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6.5</v>
      </c>
      <c r="D44" s="3" t="n">
        <v>6.5</v>
      </c>
      <c r="E44" s="3" t="n">
        <v>6.4</v>
      </c>
      <c r="F44" s="3" t="n">
        <v>6.3</v>
      </c>
      <c r="G44" s="3" t="n">
        <v>6.3</v>
      </c>
      <c r="H44" s="3" t="n">
        <v>6.3</v>
      </c>
      <c r="I44" s="3" t="n">
        <v>6.3</v>
      </c>
      <c r="J44" s="3" t="n">
        <v>6.3</v>
      </c>
      <c r="K44" s="3" t="n">
        <v>6.3</v>
      </c>
      <c r="L44" s="3" t="n">
        <v>6.3</v>
      </c>
    </row>
    <row r="45" customFormat="false" ht="15" hidden="false" customHeight="false" outlineLevel="0" collapsed="false">
      <c r="A45" s="0" t="s">
        <v>101</v>
      </c>
      <c r="C45" s="3" t="n">
        <v>4.6</v>
      </c>
      <c r="D45" s="3" t="n">
        <v>5</v>
      </c>
      <c r="E45" s="3" t="n">
        <v>5.2</v>
      </c>
      <c r="F45" s="3" t="n">
        <v>5.4</v>
      </c>
      <c r="G45" s="3" t="n">
        <v>5.5</v>
      </c>
      <c r="H45" s="3" t="n">
        <v>5.5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102</v>
      </c>
      <c r="C46" s="3" t="n">
        <v>12</v>
      </c>
      <c r="D46" s="3" t="n">
        <v>10.5</v>
      </c>
      <c r="E46" s="3" t="n">
        <v>8.5</v>
      </c>
      <c r="F46" s="3" t="n">
        <v>7.5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103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-6</v>
      </c>
      <c r="D5" s="4" t="n">
        <f aca="false">Assumptions!D13</f>
        <v>-14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219503.805</v>
      </c>
      <c r="C6" s="0" t="n">
        <f aca="false">B6*(1+C5/100)</f>
        <v>206333.5767</v>
      </c>
      <c r="D6" s="0" t="n">
        <f aca="false">C6*(1+D5/100)</f>
        <v>177446.875962</v>
      </c>
      <c r="E6" s="0" t="n">
        <f aca="false">D6*(1+E5/100)</f>
        <v>173897.93844276</v>
      </c>
      <c r="F6" s="0" t="n">
        <f aca="false">E6*(1+F5/100)</f>
        <v>177375.897211615</v>
      </c>
      <c r="G6" s="0" t="n">
        <f aca="false">F6*(1+G5/100)</f>
        <v>182697.174127964</v>
      </c>
      <c r="H6" s="0" t="n">
        <f aca="false">G6*(1+H5/100)</f>
        <v>188178.089351803</v>
      </c>
      <c r="I6" s="0" t="n">
        <f aca="false">H6*(1+I5/100)</f>
        <v>193823.432032357</v>
      </c>
      <c r="J6" s="0" t="n">
        <f aca="false">I6*(1+J5/100)</f>
        <v>198669.017833166</v>
      </c>
      <c r="K6" s="0" t="n">
        <f aca="false">J6*(1+K5/100)</f>
        <v>203635.743278995</v>
      </c>
      <c r="L6" s="0" t="n">
        <f aca="false">K6*(1+L5/100)</f>
        <v>208726.63686097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20</v>
      </c>
      <c r="D7" s="4" t="n">
        <f aca="false">Assumptions!D14</f>
        <v>10</v>
      </c>
      <c r="E7" s="4" t="n">
        <f aca="false">Assumptions!E14</f>
        <v>11</v>
      </c>
      <c r="F7" s="4" t="n">
        <f aca="false">Assumptions!F14</f>
        <v>13</v>
      </c>
      <c r="G7" s="4" t="n">
        <f aca="false">Assumptions!G14</f>
        <v>14</v>
      </c>
      <c r="H7" s="4" t="n">
        <f aca="false">Assumptions!H14</f>
        <v>14.5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41266.71534</v>
      </c>
      <c r="D8" s="0" t="n">
        <f aca="false">D6*D7/100</f>
        <v>17744.6875962</v>
      </c>
      <c r="E8" s="0" t="n">
        <f aca="false">E6*E7/100</f>
        <v>19128.7732287036</v>
      </c>
      <c r="F8" s="0" t="n">
        <f aca="false">F6*F7/100</f>
        <v>23058.86663751</v>
      </c>
      <c r="G8" s="0" t="n">
        <f aca="false">G6*G7/100</f>
        <v>25577.6043779149</v>
      </c>
      <c r="H8" s="0" t="n">
        <f aca="false">H6*H7/100</f>
        <v>27285.8229560114</v>
      </c>
      <c r="I8" s="0" t="n">
        <f aca="false">I6*I7/100</f>
        <v>29073.5148048535</v>
      </c>
      <c r="J8" s="0" t="n">
        <f aca="false">J6*J7/100</f>
        <v>29800.3526749748</v>
      </c>
      <c r="K8" s="0" t="n">
        <f aca="false">K6*K7/100</f>
        <v>30545.3614918492</v>
      </c>
      <c r="L8" s="0" t="n">
        <f aca="false">L6*L7/100</f>
        <v>31308.9955291454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26823.364971</v>
      </c>
      <c r="D11" s="0" t="n">
        <f aca="false">D8+D10+D24</f>
        <v>4436.17189905</v>
      </c>
      <c r="E11" s="0" t="n">
        <f aca="false">E8+E10+E24</f>
        <v>6434.22372238212</v>
      </c>
      <c r="F11" s="0" t="n">
        <f aca="false">F8+F10+F24</f>
        <v>10642.5538326969</v>
      </c>
      <c r="G11" s="0" t="n">
        <f aca="false">G8+G10+G24</f>
        <v>12788.8021889575</v>
      </c>
      <c r="H11" s="0" t="n">
        <f aca="false">H8+H10+H24</f>
        <v>14113.3567013852</v>
      </c>
      <c r="I11" s="0" t="n">
        <f aca="false">I8+I10+I24</f>
        <v>15505.8745625885</v>
      </c>
      <c r="J11" s="0" t="n">
        <f aca="false">J8+J10+J24</f>
        <v>15893.5214266533</v>
      </c>
      <c r="K11" s="0" t="n">
        <f aca="false">K8+K10+K24</f>
        <v>16290.8594623196</v>
      </c>
      <c r="L11" s="0" t="n">
        <f aca="false">L8+L10+L24</f>
        <v>16698.1309488776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-9491.3445282</v>
      </c>
      <c r="D12" s="4" t="n">
        <f aca="false">-D6*Assumptions!D17/100</f>
        <v>-9227.237550024</v>
      </c>
      <c r="E12" s="4" t="n">
        <f aca="false">-E6*Assumptions!E17/100</f>
        <v>-9564.3866143518</v>
      </c>
      <c r="F12" s="4" t="n">
        <f aca="false">-F6*Assumptions!F17/100</f>
        <v>-9933.05024385045</v>
      </c>
      <c r="G12" s="4" t="n">
        <f aca="false">-G6*Assumptions!G17/100</f>
        <v>-10231.041751166</v>
      </c>
      <c r="H12" s="4" t="n">
        <f aca="false">-H6*Assumptions!H17/100</f>
        <v>-10537.9730037009</v>
      </c>
      <c r="I12" s="4" t="n">
        <f aca="false">-I6*Assumptions!I17/100</f>
        <v>-10854.112193812</v>
      </c>
      <c r="J12" s="4" t="n">
        <f aca="false">-J6*Assumptions!J17/100</f>
        <v>-11125.4649986573</v>
      </c>
      <c r="K12" s="4" t="n">
        <f aca="false">-K6*Assumptions!K17/100</f>
        <v>-11403.6016236237</v>
      </c>
      <c r="L12" s="4" t="n">
        <f aca="false">-L6*Assumptions!L17/100</f>
        <v>-11688.6916642143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17332.0204428</v>
      </c>
      <c r="D13" s="0" t="n">
        <f aca="false">D11+D12</f>
        <v>-4791.065650974</v>
      </c>
      <c r="E13" s="0" t="n">
        <f aca="false">E11+E12</f>
        <v>-3130.16289196968</v>
      </c>
      <c r="F13" s="0" t="n">
        <f aca="false">F11+F12</f>
        <v>709.503588846465</v>
      </c>
      <c r="G13" s="0" t="n">
        <f aca="false">G11+G12</f>
        <v>2557.76043779149</v>
      </c>
      <c r="H13" s="0" t="n">
        <f aca="false">H11+H12</f>
        <v>3575.38369768425</v>
      </c>
      <c r="I13" s="0" t="n">
        <f aca="false">I11+I12</f>
        <v>4651.76236877656</v>
      </c>
      <c r="J13" s="0" t="n">
        <f aca="false">J11+J12</f>
        <v>4768.05642799598</v>
      </c>
      <c r="K13" s="0" t="n">
        <f aca="false">K11+K12</f>
        <v>4887.25783869587</v>
      </c>
      <c r="L13" s="0" t="n">
        <f aca="false">L11+L12</f>
        <v>5009.43928466327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14038.936558668</v>
      </c>
      <c r="D15" s="0" t="n">
        <f aca="false">D13-MAX(0,D13)*D14/100</f>
        <v>-4791.065650974</v>
      </c>
      <c r="E15" s="0" t="n">
        <f aca="false">E13-MAX(0,E13)*E14/100</f>
        <v>-3130.16289196968</v>
      </c>
      <c r="F15" s="0" t="n">
        <f aca="false">F13-MAX(0,F13)*F14/100</f>
        <v>574.697906965636</v>
      </c>
      <c r="G15" s="0" t="n">
        <f aca="false">G13-MAX(0,G13)*G14/100</f>
        <v>2071.78595461111</v>
      </c>
      <c r="H15" s="0" t="n">
        <f aca="false">H13-MAX(0,H13)*H14/100</f>
        <v>2896.06079512425</v>
      </c>
      <c r="I15" s="0" t="n">
        <f aca="false">I13-MAX(0,I13)*I14/100</f>
        <v>3767.92751870902</v>
      </c>
      <c r="J15" s="0" t="n">
        <f aca="false">J13-MAX(0,J13)*J14/100</f>
        <v>3862.12570667674</v>
      </c>
      <c r="K15" s="0" t="n">
        <f aca="false">K13-MAX(0,K13)*K14/100</f>
        <v>3958.67884934366</v>
      </c>
      <c r="L15" s="0" t="n">
        <f aca="false">L13-MAX(0,L13)*L14/100</f>
        <v>4057.64582057725</v>
      </c>
    </row>
    <row r="16" customFormat="false" ht="15" hidden="false" customHeight="false" outlineLevel="0" collapsed="false">
      <c r="A16" s="0" t="s">
        <v>119</v>
      </c>
      <c r="C16" s="0" t="n">
        <f aca="false">-C12</f>
        <v>9491.3445282</v>
      </c>
      <c r="D16" s="0" t="n">
        <f aca="false">-D12</f>
        <v>9227.237550024</v>
      </c>
      <c r="E16" s="0" t="n">
        <f aca="false">-E12</f>
        <v>9564.3866143518</v>
      </c>
      <c r="F16" s="0" t="n">
        <f aca="false">-F12</f>
        <v>9933.05024385045</v>
      </c>
      <c r="G16" s="0" t="n">
        <f aca="false">-G12</f>
        <v>10231.041751166</v>
      </c>
      <c r="H16" s="0" t="n">
        <f aca="false">-H12</f>
        <v>10537.9730037009</v>
      </c>
      <c r="I16" s="0" t="n">
        <f aca="false">-I12</f>
        <v>10854.112193812</v>
      </c>
      <c r="J16" s="0" t="n">
        <f aca="false">-J12</f>
        <v>11125.4649986573</v>
      </c>
      <c r="K16" s="0" t="n">
        <f aca="false">-K12</f>
        <v>11403.6016236237</v>
      </c>
      <c r="L16" s="0" t="n">
        <f aca="false">-L12</f>
        <v>11688.6916642143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-24760.029204</v>
      </c>
      <c r="D17" s="4" t="n">
        <f aca="false">-D6*Assumptions!D18/100</f>
        <v>-19519.15635582</v>
      </c>
      <c r="E17" s="4" t="n">
        <f aca="false">-E6*Assumptions!E18/100</f>
        <v>-15650.8144598484</v>
      </c>
      <c r="F17" s="4" t="n">
        <f aca="false">-F6*Assumptions!F18/100</f>
        <v>-12416.3128048131</v>
      </c>
      <c r="G17" s="4" t="n">
        <f aca="false">-G6*Assumptions!G18/100</f>
        <v>-10961.8304476778</v>
      </c>
      <c r="H17" s="4" t="n">
        <f aca="false">-H6*Assumptions!H18/100</f>
        <v>-11290.6853611082</v>
      </c>
      <c r="I17" s="4" t="n">
        <f aca="false">-I6*Assumptions!I18/100</f>
        <v>-11629.4059219414</v>
      </c>
      <c r="J17" s="4" t="n">
        <f aca="false">-J6*Assumptions!J18/100</f>
        <v>-11920.1410699899</v>
      </c>
      <c r="K17" s="4" t="n">
        <f aca="false">-K6*Assumptions!K18/100</f>
        <v>-12218.1445967397</v>
      </c>
      <c r="L17" s="4" t="n">
        <f aca="false">-L6*Assumptions!L18/100</f>
        <v>-12523.5982116582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658.511415000001</v>
      </c>
      <c r="D18" s="4" t="n">
        <f aca="false">(D6-C6)*Assumptions!$B$23/100</f>
        <v>1444.3350369</v>
      </c>
      <c r="E18" s="4" t="n">
        <f aca="false">(E6-D6)*Assumptions!$B$23/100</f>
        <v>177.446875961999</v>
      </c>
      <c r="F18" s="4" t="n">
        <f aca="false">(F6-E6)*Assumptions!$B$23/100</f>
        <v>-173.89793844276</v>
      </c>
      <c r="G18" s="4" t="n">
        <f aca="false">(G6-F6)*Assumptions!$B$23/100</f>
        <v>-266.063845817423</v>
      </c>
      <c r="H18" s="4" t="n">
        <f aca="false">(H6-G6)*Assumptions!$B$23/100</f>
        <v>-274.045761191945</v>
      </c>
      <c r="I18" s="4" t="n">
        <f aca="false">(I6-H6)*Assumptions!$B$23/100</f>
        <v>-282.267134027704</v>
      </c>
      <c r="J18" s="4" t="n">
        <f aca="false">(J6-I6)*Assumptions!$B$23/100</f>
        <v>-242.279290040446</v>
      </c>
      <c r="K18" s="4" t="n">
        <f aca="false">(K6-J6)*Assumptions!$B$23/100</f>
        <v>-248.336272291456</v>
      </c>
      <c r="L18" s="4" t="n">
        <f aca="false">(L6-K6)*Assumptions!$B$23/100</f>
        <v>-254.544679098742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-571.236702132002</v>
      </c>
      <c r="D19" s="0" t="n">
        <f aca="false">D15+D16+D17+D18</f>
        <v>-13638.64941987</v>
      </c>
      <c r="E19" s="0" t="n">
        <f aca="false">E15+E16+E17+E18</f>
        <v>-9039.14386150428</v>
      </c>
      <c r="F19" s="0" t="n">
        <f aca="false">F15+F16+F17+F18</f>
        <v>-2082.46259243974</v>
      </c>
      <c r="G19" s="0" t="n">
        <f aca="false">G15+G16+G17+G18</f>
        <v>1074.93341228183</v>
      </c>
      <c r="H19" s="0" t="n">
        <f aca="false">H15+H16+H17+H18</f>
        <v>1869.30267652509</v>
      </c>
      <c r="I19" s="0" t="n">
        <f aca="false">I15+I16+I17+I18</f>
        <v>2710.36665655188</v>
      </c>
      <c r="J19" s="0" t="n">
        <f aca="false">J15+J16+J17+J18</f>
        <v>2825.17034530363</v>
      </c>
      <c r="K19" s="0" t="n">
        <f aca="false">K15+K16+K17+K18</f>
        <v>2895.79960393622</v>
      </c>
      <c r="L19" s="0" t="n">
        <f aca="false">L15+L16+L17+L18</f>
        <v>2968.19459403463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-521.677353545208</v>
      </c>
      <c r="D21" s="0" t="n">
        <f aca="false">D19*D20</f>
        <v>-11374.7831945706</v>
      </c>
      <c r="E21" s="0" t="n">
        <f aca="false">E19*E20</f>
        <v>-6884.69873515327</v>
      </c>
      <c r="F21" s="0" t="n">
        <f aca="false">F19*F20</f>
        <v>-1448.50744644238</v>
      </c>
      <c r="G21" s="0" t="n">
        <f aca="false">G19*G20</f>
        <v>682.827441817251</v>
      </c>
      <c r="H21" s="0" t="n">
        <f aca="false">H19*H20</f>
        <v>1084.4134930723</v>
      </c>
      <c r="I21" s="0" t="n">
        <f aca="false">I19*I20</f>
        <v>1435.91658497467</v>
      </c>
      <c r="J21" s="0" t="n">
        <f aca="false">J19*J20</f>
        <v>1366.88408073628</v>
      </c>
      <c r="K21" s="0" t="n">
        <f aca="false">K19*K20</f>
        <v>1279.50336324629</v>
      </c>
      <c r="L21" s="0" t="n">
        <f aca="false">L19*L20</f>
        <v>1197.7086276963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7</v>
      </c>
      <c r="D23" s="4" t="n">
        <f aca="false">Assumptions!D16</f>
        <v>7.5</v>
      </c>
      <c r="E23" s="4" t="n">
        <f aca="false">Assumptions!E16</f>
        <v>7.3</v>
      </c>
      <c r="F23" s="4" t="n">
        <f aca="false">Assumptions!F16</f>
        <v>7</v>
      </c>
      <c r="G23" s="4" t="n">
        <f aca="false">Assumptions!G16</f>
        <v>7</v>
      </c>
      <c r="H23" s="4" t="n">
        <f aca="false">Assumptions!H16</f>
        <v>7</v>
      </c>
      <c r="I23" s="4" t="n">
        <f aca="false">Assumptions!I16</f>
        <v>7</v>
      </c>
      <c r="J23" s="4" t="n">
        <f aca="false">Assumptions!J16</f>
        <v>7</v>
      </c>
      <c r="K23" s="4" t="n">
        <f aca="false">Assumptions!K16</f>
        <v>7</v>
      </c>
      <c r="L23" s="4" t="n">
        <f aca="false">Assumptions!L16</f>
        <v>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-14443.350369</v>
      </c>
      <c r="D24" s="0" t="n">
        <f aca="false">-D6*D23/100</f>
        <v>-13308.51569715</v>
      </c>
      <c r="E24" s="0" t="n">
        <f aca="false">-E6*E23/100</f>
        <v>-12694.5495063215</v>
      </c>
      <c r="F24" s="0" t="n">
        <f aca="false">-F6*F23/100</f>
        <v>-12416.3128048131</v>
      </c>
      <c r="G24" s="0" t="n">
        <f aca="false">-G6*G23/100</f>
        <v>-12788.8021889575</v>
      </c>
      <c r="H24" s="0" t="n">
        <f aca="false">-H6*H23/100</f>
        <v>-13172.4662546262</v>
      </c>
      <c r="I24" s="0" t="n">
        <f aca="false">-I6*I23/100</f>
        <v>-13567.640242265</v>
      </c>
      <c r="J24" s="0" t="n">
        <f aca="false">-J6*J23/100</f>
        <v>-13906.8312483216</v>
      </c>
      <c r="K24" s="0" t="n">
        <f aca="false">-K6*K23/100</f>
        <v>-14254.5020295296</v>
      </c>
      <c r="L24" s="0" t="n">
        <f aca="false">-L6*L23/100</f>
        <v>-14610.8645802679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-13182.4131381684</v>
      </c>
    </row>
    <row r="31" customFormat="false" ht="15" hidden="false" customHeight="false" outlineLevel="0" collapsed="false">
      <c r="A31" s="0" t="s">
        <v>128</v>
      </c>
      <c r="B31" s="0" t="n">
        <f aca="false">L19</f>
        <v>2968.19459403463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37658.9689118144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29681.9459403463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29681.9459403463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11977.086276963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-1205.32686120536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133798.469138795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10.2537079183655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-0.403507392765241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10.2537079183655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22316.4260218159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9.76477244533747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-3</v>
      </c>
      <c r="D5" s="4" t="n">
        <f aca="false">Assumptions!D27</f>
        <v>-8</v>
      </c>
      <c r="E5" s="4" t="n">
        <f aca="false">Assumptions!E27</f>
        <v>2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219503.805</v>
      </c>
      <c r="C6" s="0" t="n">
        <f aca="false">B6*(1+C5/100)</f>
        <v>212918.69085</v>
      </c>
      <c r="D6" s="0" t="n">
        <f aca="false">C6*(1+D5/100)</f>
        <v>195885.195582</v>
      </c>
      <c r="E6" s="0" t="n">
        <f aca="false">D6*(1+E5/100)</f>
        <v>199802.89949364</v>
      </c>
      <c r="F6" s="0" t="n">
        <f aca="false">E6*(1+F5/100)</f>
        <v>207795.015473386</v>
      </c>
      <c r="G6" s="0" t="n">
        <f aca="false">F6*(1+G5/100)</f>
        <v>216106.816092321</v>
      </c>
      <c r="H6" s="0" t="n">
        <f aca="false">G6*(1+H5/100)</f>
        <v>223670.554655552</v>
      </c>
      <c r="I6" s="0" t="n">
        <f aca="false">H6*(1+I5/100)</f>
        <v>230380.671295219</v>
      </c>
      <c r="J6" s="0" t="n">
        <f aca="false">I6*(1+J5/100)</f>
        <v>237292.091434075</v>
      </c>
      <c r="K6" s="0" t="n">
        <f aca="false">J6*(1+K5/100)</f>
        <v>244410.854177098</v>
      </c>
      <c r="L6" s="0" t="n">
        <f aca="false">K6*(1+L5/100)</f>
        <v>251743.179802411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22</v>
      </c>
      <c r="D7" s="4" t="n">
        <f aca="false">Assumptions!D28</f>
        <v>16</v>
      </c>
      <c r="E7" s="4" t="n">
        <f aca="false">Assumptions!E28</f>
        <v>17.5</v>
      </c>
      <c r="F7" s="4" t="n">
        <f aca="false">Assumptions!F28</f>
        <v>19</v>
      </c>
      <c r="G7" s="4" t="n">
        <f aca="false">Assumptions!G28</f>
        <v>19.5</v>
      </c>
      <c r="H7" s="4" t="n">
        <f aca="false">Assumptions!H28</f>
        <v>19.5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46842.111987</v>
      </c>
      <c r="D8" s="0" t="n">
        <f aca="false">D6*D7/100</f>
        <v>31341.63129312</v>
      </c>
      <c r="E8" s="0" t="n">
        <f aca="false">E6*E7/100</f>
        <v>34965.507411387</v>
      </c>
      <c r="F8" s="0" t="n">
        <f aca="false">F6*F7/100</f>
        <v>39481.0529399433</v>
      </c>
      <c r="G8" s="0" t="n">
        <f aca="false">G6*G7/100</f>
        <v>42140.8291380026</v>
      </c>
      <c r="H8" s="0" t="n">
        <f aca="false">H6*H7/100</f>
        <v>43615.7581578327</v>
      </c>
      <c r="I8" s="0" t="n">
        <f aca="false">I6*I7/100</f>
        <v>44924.2309025677</v>
      </c>
      <c r="J8" s="0" t="n">
        <f aca="false">J6*J7/100</f>
        <v>46271.9578296447</v>
      </c>
      <c r="K8" s="0" t="n">
        <f aca="false">K6*K7/100</f>
        <v>47660.116564534</v>
      </c>
      <c r="L8" s="0" t="n">
        <f aca="false">L6*L7/100</f>
        <v>49089.9200614701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32789.4783909</v>
      </c>
      <c r="D11" s="0" t="n">
        <f aca="false">D8+D10+D24</f>
        <v>18021.437993544</v>
      </c>
      <c r="E11" s="0" t="n">
        <f aca="false">E8+E10+E24</f>
        <v>21578.7131453131</v>
      </c>
      <c r="F11" s="0" t="n">
        <f aca="false">F8+F10+F24</f>
        <v>25766.5819186998</v>
      </c>
      <c r="G11" s="0" t="n">
        <f aca="false">G8+G10+G24</f>
        <v>28093.8860920017</v>
      </c>
      <c r="H11" s="0" t="n">
        <f aca="false">H8+H10+H24</f>
        <v>29077.1721052218</v>
      </c>
      <c r="I11" s="0" t="n">
        <f aca="false">I8+I10+I24</f>
        <v>29949.4872683785</v>
      </c>
      <c r="J11" s="0" t="n">
        <f aca="false">J8+J10+J24</f>
        <v>30847.9718864298</v>
      </c>
      <c r="K11" s="0" t="n">
        <f aca="false">K8+K10+K24</f>
        <v>31773.4110430227</v>
      </c>
      <c r="L11" s="0" t="n">
        <f aca="false">L8+L10+L24</f>
        <v>32726.6133743134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-9794.2597791</v>
      </c>
      <c r="D12" s="4" t="n">
        <f aca="false">-D6*Assumptions!D31/100</f>
        <v>-9794.2597791</v>
      </c>
      <c r="E12" s="4" t="n">
        <f aca="false">-E6*Assumptions!E31/100</f>
        <v>-10389.7507736693</v>
      </c>
      <c r="F12" s="4" t="n">
        <f aca="false">-F6*Assumptions!F31/100</f>
        <v>-11220.9308355628</v>
      </c>
      <c r="G12" s="4" t="n">
        <f aca="false">-G6*Assumptions!G31/100</f>
        <v>-11885.8748850777</v>
      </c>
      <c r="H12" s="4" t="n">
        <f aca="false">-H6*Assumptions!H31/100</f>
        <v>-12301.8805060554</v>
      </c>
      <c r="I12" s="4" t="n">
        <f aca="false">-I6*Assumptions!I31/100</f>
        <v>-12670.936921237</v>
      </c>
      <c r="J12" s="4" t="n">
        <f aca="false">-J6*Assumptions!J31/100</f>
        <v>-13051.0650288741</v>
      </c>
      <c r="K12" s="4" t="n">
        <f aca="false">-K6*Assumptions!K31/100</f>
        <v>-13442.5969797404</v>
      </c>
      <c r="L12" s="4" t="n">
        <f aca="false">-L6*Assumptions!L31/100</f>
        <v>-13845.8748891326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22995.2186118</v>
      </c>
      <c r="D13" s="0" t="n">
        <f aca="false">D11+D12</f>
        <v>8227.178214444</v>
      </c>
      <c r="E13" s="0" t="n">
        <f aca="false">E11+E12</f>
        <v>11188.9623716438</v>
      </c>
      <c r="F13" s="0" t="n">
        <f aca="false">F11+F12</f>
        <v>14545.651083137</v>
      </c>
      <c r="G13" s="0" t="n">
        <f aca="false">G11+G12</f>
        <v>16208.0112069241</v>
      </c>
      <c r="H13" s="0" t="n">
        <f aca="false">H11+H12</f>
        <v>16775.2915991664</v>
      </c>
      <c r="I13" s="0" t="n">
        <f aca="false">I11+I12</f>
        <v>17278.5503471414</v>
      </c>
      <c r="J13" s="0" t="n">
        <f aca="false">J11+J12</f>
        <v>17796.9068575557</v>
      </c>
      <c r="K13" s="0" t="n">
        <f aca="false">K11+K12</f>
        <v>18330.8140632823</v>
      </c>
      <c r="L13" s="0" t="n">
        <f aca="false">L11+L12</f>
        <v>18880.7384851808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19</v>
      </c>
      <c r="D14" s="4" t="n">
        <f aca="false">Assumptions!D33</f>
        <v>19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18626.127075558</v>
      </c>
      <c r="D15" s="0" t="n">
        <f aca="false">D13-MAX(0,D13)*D14/100</f>
        <v>6664.01435369964</v>
      </c>
      <c r="E15" s="0" t="n">
        <f aca="false">E13-MAX(0,E13)*E14/100</f>
        <v>9063.05952103151</v>
      </c>
      <c r="F15" s="0" t="n">
        <f aca="false">F13-MAX(0,F13)*F14/100</f>
        <v>11781.977377341</v>
      </c>
      <c r="G15" s="0" t="n">
        <f aca="false">G13-MAX(0,G13)*G14/100</f>
        <v>13128.4890776085</v>
      </c>
      <c r="H15" s="0" t="n">
        <f aca="false">H13-MAX(0,H13)*H14/100</f>
        <v>13587.9861953248</v>
      </c>
      <c r="I15" s="0" t="n">
        <f aca="false">I13-MAX(0,I13)*I14/100</f>
        <v>13995.6257811845</v>
      </c>
      <c r="J15" s="0" t="n">
        <f aca="false">J13-MAX(0,J13)*J14/100</f>
        <v>14415.4945546201</v>
      </c>
      <c r="K15" s="0" t="n">
        <f aca="false">K13-MAX(0,K13)*K14/100</f>
        <v>14847.9593912587</v>
      </c>
      <c r="L15" s="0" t="n">
        <f aca="false">L13-MAX(0,L13)*L14/100</f>
        <v>15293.3981729964</v>
      </c>
    </row>
    <row r="16" customFormat="false" ht="15" hidden="false" customHeight="false" outlineLevel="0" collapsed="false">
      <c r="A16" s="0" t="s">
        <v>119</v>
      </c>
      <c r="C16" s="0" t="n">
        <f aca="false">-C12</f>
        <v>9794.2597791</v>
      </c>
      <c r="D16" s="0" t="n">
        <f aca="false">-D12</f>
        <v>9794.2597791</v>
      </c>
      <c r="E16" s="0" t="n">
        <f aca="false">-E12</f>
        <v>10389.7507736693</v>
      </c>
      <c r="F16" s="0" t="n">
        <f aca="false">-F12</f>
        <v>11220.9308355628</v>
      </c>
      <c r="G16" s="0" t="n">
        <f aca="false">-G12</f>
        <v>11885.8748850777</v>
      </c>
      <c r="H16" s="0" t="n">
        <f aca="false">-H12</f>
        <v>12301.8805060554</v>
      </c>
      <c r="I16" s="0" t="n">
        <f aca="false">-I12</f>
        <v>12670.936921237</v>
      </c>
      <c r="J16" s="0" t="n">
        <f aca="false">-J12</f>
        <v>13051.0650288741</v>
      </c>
      <c r="K16" s="0" t="n">
        <f aca="false">-K12</f>
        <v>13442.5969797404</v>
      </c>
      <c r="L16" s="0" t="n">
        <f aca="false">-L12</f>
        <v>13845.8748891326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-25550.242902</v>
      </c>
      <c r="D17" s="4" t="n">
        <f aca="false">-D6*Assumptions!D32/100</f>
        <v>-21547.37151402</v>
      </c>
      <c r="E17" s="4" t="n">
        <f aca="false">-E6*Assumptions!E32/100</f>
        <v>-17982.2609544276</v>
      </c>
      <c r="F17" s="4" t="n">
        <f aca="false">-F6*Assumptions!F32/100</f>
        <v>-15584.6261605039</v>
      </c>
      <c r="G17" s="4" t="n">
        <f aca="false">-G6*Assumptions!G32/100</f>
        <v>-14046.9430460009</v>
      </c>
      <c r="H17" s="4" t="n">
        <f aca="false">-H6*Assumptions!H32/100</f>
        <v>-14538.5860526109</v>
      </c>
      <c r="I17" s="4" t="n">
        <f aca="false">-I6*Assumptions!I32/100</f>
        <v>-14974.7436341892</v>
      </c>
      <c r="J17" s="4" t="n">
        <f aca="false">-J6*Assumptions!J32/100</f>
        <v>-15423.9859432149</v>
      </c>
      <c r="K17" s="4" t="n">
        <f aca="false">-K6*Assumptions!K32/100</f>
        <v>-15886.7055215113</v>
      </c>
      <c r="L17" s="4" t="n">
        <f aca="false">-L6*Assumptions!L32/100</f>
        <v>-16363.3066871567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329.2557075</v>
      </c>
      <c r="D18" s="4" t="n">
        <f aca="false">(D6-C6)*Assumptions!$B$37/100</f>
        <v>851.6747634</v>
      </c>
      <c r="E18" s="4" t="n">
        <f aca="false">(E6-D6)*Assumptions!$B$37/100</f>
        <v>-195.885195582001</v>
      </c>
      <c r="F18" s="4" t="n">
        <f aca="false">(F6-E6)*Assumptions!$B$37/100</f>
        <v>-399.60579898728</v>
      </c>
      <c r="G18" s="4" t="n">
        <f aca="false">(G6-F6)*Assumptions!$B$37/100</f>
        <v>-415.590030946772</v>
      </c>
      <c r="H18" s="4" t="n">
        <f aca="false">(H6-G6)*Assumptions!$B$37/100</f>
        <v>-378.186928161561</v>
      </c>
      <c r="I18" s="4" t="n">
        <f aca="false">(I6-H6)*Assumptions!$B$37/100</f>
        <v>-335.505831983329</v>
      </c>
      <c r="J18" s="4" t="n">
        <f aca="false">(J6-I6)*Assumptions!$B$37/100</f>
        <v>-345.571006942829</v>
      </c>
      <c r="K18" s="4" t="n">
        <f aca="false">(K6-J6)*Assumptions!$B$37/100</f>
        <v>-355.938137151113</v>
      </c>
      <c r="L18" s="4" t="n">
        <f aca="false">(L6-K6)*Assumptions!$B$37/100</f>
        <v>-366.616281265648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3199.399660158</v>
      </c>
      <c r="D19" s="0" t="n">
        <f aca="false">D15+D16+D17+D18</f>
        <v>-4237.42261782036</v>
      </c>
      <c r="E19" s="0" t="n">
        <f aca="false">E15+E16+E17+E18</f>
        <v>1274.66414469119</v>
      </c>
      <c r="F19" s="0" t="n">
        <f aca="false">F15+F16+F17+F18</f>
        <v>7018.67625341259</v>
      </c>
      <c r="G19" s="0" t="n">
        <f aca="false">G15+G16+G17+G18</f>
        <v>10551.8308857385</v>
      </c>
      <c r="H19" s="0" t="n">
        <f aca="false">H15+H16+H17+H18</f>
        <v>10973.0937206077</v>
      </c>
      <c r="I19" s="0" t="n">
        <f aca="false">I15+I16+I17+I18</f>
        <v>11356.313236249</v>
      </c>
      <c r="J19" s="0" t="n">
        <f aca="false">J15+J16+J17+J18</f>
        <v>11697.0026333365</v>
      </c>
      <c r="K19" s="0" t="n">
        <f aca="false">K15+K16+K17+K18</f>
        <v>12047.9127123366</v>
      </c>
      <c r="L19" s="0" t="n">
        <f aca="false">L15+L16+L17+L18</f>
        <v>12409.3500937067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2921.82617366027</v>
      </c>
      <c r="D21" s="0" t="n">
        <f aca="false">D19*D20</f>
        <v>-3534.05693611089</v>
      </c>
      <c r="E21" s="0" t="n">
        <f aca="false">E19*E20</f>
        <v>970.852855000386</v>
      </c>
      <c r="F21" s="0" t="n">
        <f aca="false">F19*F20</f>
        <v>4882.01077615785</v>
      </c>
      <c r="G21" s="0" t="n">
        <f aca="false">G19*G20</f>
        <v>6702.81489799672</v>
      </c>
      <c r="H21" s="0" t="n">
        <f aca="false">H19*H20</f>
        <v>6365.67370325178</v>
      </c>
      <c r="I21" s="0" t="n">
        <f aca="false">I19*I20</f>
        <v>6016.42529828149</v>
      </c>
      <c r="J21" s="0" t="n">
        <f aca="false">J19*J20</f>
        <v>5659.28589701365</v>
      </c>
      <c r="K21" s="0" t="n">
        <f aca="false">K19*K20</f>
        <v>5323.34655152882</v>
      </c>
      <c r="L21" s="0" t="n">
        <f aca="false">L19*L20</f>
        <v>5007.34881102711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6.6</v>
      </c>
      <c r="D23" s="4" t="n">
        <f aca="false">Assumptions!D30</f>
        <v>6.8</v>
      </c>
      <c r="E23" s="4" t="n">
        <f aca="false">Assumptions!E30</f>
        <v>6.7</v>
      </c>
      <c r="F23" s="4" t="n">
        <f aca="false">Assumptions!F30</f>
        <v>6.6</v>
      </c>
      <c r="G23" s="4" t="n">
        <f aca="false">Assumptions!G30</f>
        <v>6.5</v>
      </c>
      <c r="H23" s="4" t="n">
        <f aca="false">Assumptions!H30</f>
        <v>6.5</v>
      </c>
      <c r="I23" s="4" t="n">
        <f aca="false">Assumptions!I30</f>
        <v>6.5</v>
      </c>
      <c r="J23" s="4" t="n">
        <f aca="false">Assumptions!J30</f>
        <v>6.5</v>
      </c>
      <c r="K23" s="4" t="n">
        <f aca="false">Assumptions!K30</f>
        <v>6.5</v>
      </c>
      <c r="L23" s="4" t="n">
        <f aca="false">Assumptions!L30</f>
        <v>6.5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-14052.6335961</v>
      </c>
      <c r="D24" s="0" t="n">
        <f aca="false">-D6*D23/100</f>
        <v>-13320.193299576</v>
      </c>
      <c r="E24" s="0" t="n">
        <f aca="false">-E6*E23/100</f>
        <v>-13386.7942660739</v>
      </c>
      <c r="F24" s="0" t="n">
        <f aca="false">-F6*F23/100</f>
        <v>-13714.4710212435</v>
      </c>
      <c r="G24" s="0" t="n">
        <f aca="false">-G6*G23/100</f>
        <v>-14046.9430460009</v>
      </c>
      <c r="H24" s="0" t="n">
        <f aca="false">-H6*H23/100</f>
        <v>-14538.5860526109</v>
      </c>
      <c r="I24" s="0" t="n">
        <f aca="false">-I6*I23/100</f>
        <v>-14974.7436341892</v>
      </c>
      <c r="J24" s="0" t="n">
        <f aca="false">-J6*J23/100</f>
        <v>-15423.9859432149</v>
      </c>
      <c r="K24" s="0" t="n">
        <f aca="false">-K6*K23/100</f>
        <v>-15886.7055215113</v>
      </c>
      <c r="L24" s="0" t="n">
        <f aca="false">-L6*L23/100</f>
        <v>-16363.3066871567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40315.5280278072</v>
      </c>
    </row>
    <row r="31" customFormat="false" ht="15" hidden="false" customHeight="false" outlineLevel="0" collapsed="false">
      <c r="A31" s="0" t="s">
        <v>128</v>
      </c>
      <c r="B31" s="0" t="n">
        <f aca="false">L19</f>
        <v>12409.3500937067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168767.161274411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148912.20112448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148912.20112448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60088.1857323253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100403.713760132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235407.509760132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18.0405640094898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0.049480163437454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18.0405640094898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97365.6699660064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14.4132493043786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0</v>
      </c>
      <c r="D5" s="4" t="n">
        <f aca="false">Assumptions!D41</f>
        <v>-3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219503.805</v>
      </c>
      <c r="C6" s="0" t="n">
        <f aca="false">B6*(1+C5/100)</f>
        <v>219503.805</v>
      </c>
      <c r="D6" s="0" t="n">
        <f aca="false">C6*(1+D5/100)</f>
        <v>212918.69085</v>
      </c>
      <c r="E6" s="0" t="n">
        <f aca="false">D6*(1+E5/100)</f>
        <v>221435.438484</v>
      </c>
      <c r="F6" s="0" t="n">
        <f aca="false">E6*(1+F5/100)</f>
        <v>232507.2104082</v>
      </c>
      <c r="G6" s="0" t="n">
        <f aca="false">F6*(1+G5/100)</f>
        <v>244132.57092861</v>
      </c>
      <c r="H6" s="0" t="n">
        <f aca="false">G6*(1+H5/100)</f>
        <v>253897.873765754</v>
      </c>
      <c r="I6" s="0" t="n">
        <f aca="false">H6*(1+I5/100)</f>
        <v>262784.299347556</v>
      </c>
      <c r="J6" s="0" t="n">
        <f aca="false">I6*(1+J5/100)</f>
        <v>270667.828327982</v>
      </c>
      <c r="K6" s="0" t="n">
        <f aca="false">J6*(1+K5/100)</f>
        <v>278787.863177822</v>
      </c>
      <c r="L6" s="0" t="n">
        <f aca="false">K6*(1+L5/100)</f>
        <v>287151.499073157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24</v>
      </c>
      <c r="D7" s="4" t="n">
        <f aca="false">Assumptions!D42</f>
        <v>21</v>
      </c>
      <c r="E7" s="4" t="n">
        <f aca="false">Assumptions!E42</f>
        <v>22</v>
      </c>
      <c r="F7" s="4" t="n">
        <f aca="false">Assumptions!F42</f>
        <v>23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52680.9132</v>
      </c>
      <c r="D8" s="0" t="n">
        <f aca="false">D6*D7/100</f>
        <v>44712.9250785</v>
      </c>
      <c r="E8" s="0" t="n">
        <f aca="false">E6*E7/100</f>
        <v>48715.79646648</v>
      </c>
      <c r="F8" s="0" t="n">
        <f aca="false">F6*F7/100</f>
        <v>53476.658393886</v>
      </c>
      <c r="G8" s="0" t="n">
        <f aca="false">G6*G7/100</f>
        <v>56150.4913135803</v>
      </c>
      <c r="H8" s="0" t="n">
        <f aca="false">H6*H7/100</f>
        <v>58396.5109661235</v>
      </c>
      <c r="I8" s="0" t="n">
        <f aca="false">I6*I7/100</f>
        <v>60440.3888499378</v>
      </c>
      <c r="J8" s="0" t="n">
        <f aca="false">J6*J7/100</f>
        <v>62253.600515436</v>
      </c>
      <c r="K8" s="0" t="n">
        <f aca="false">K6*K7/100</f>
        <v>64121.208530899</v>
      </c>
      <c r="L8" s="0" t="n">
        <f aca="false">L6*L7/100</f>
        <v>66044.844786826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38413.165875</v>
      </c>
      <c r="D11" s="0" t="n">
        <f aca="false">D8+D10+D24</f>
        <v>30873.21017325</v>
      </c>
      <c r="E11" s="0" t="n">
        <f aca="false">E8+E10+E24</f>
        <v>34543.928403504</v>
      </c>
      <c r="F11" s="0" t="n">
        <f aca="false">F8+F10+F24</f>
        <v>38828.7041381694</v>
      </c>
      <c r="G11" s="0" t="n">
        <f aca="false">G8+G10+G24</f>
        <v>40770.1393450779</v>
      </c>
      <c r="H11" s="0" t="n">
        <f aca="false">H8+H10+H24</f>
        <v>42400.944918881</v>
      </c>
      <c r="I11" s="0" t="n">
        <f aca="false">I8+I10+I24</f>
        <v>43884.9779910418</v>
      </c>
      <c r="J11" s="0" t="n">
        <f aca="false">J8+J10+J24</f>
        <v>45201.5273307731</v>
      </c>
      <c r="K11" s="0" t="n">
        <f aca="false">K8+K10+K24</f>
        <v>46557.5731506963</v>
      </c>
      <c r="L11" s="0" t="n">
        <f aca="false">L8+L10+L24</f>
        <v>47954.3003452172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-10097.17503</v>
      </c>
      <c r="D12" s="4" t="n">
        <f aca="false">-D6*Assumptions!D45/100</f>
        <v>-10645.9345425</v>
      </c>
      <c r="E12" s="4" t="n">
        <f aca="false">-E6*Assumptions!E45/100</f>
        <v>-11514.642801168</v>
      </c>
      <c r="F12" s="4" t="n">
        <f aca="false">-F6*Assumptions!F45/100</f>
        <v>-12555.3893620428</v>
      </c>
      <c r="G12" s="4" t="n">
        <f aca="false">-G6*Assumptions!G45/100</f>
        <v>-13427.2914010735</v>
      </c>
      <c r="H12" s="4" t="n">
        <f aca="false">-H6*Assumptions!H45/100</f>
        <v>-13964.3830571165</v>
      </c>
      <c r="I12" s="4" t="n">
        <f aca="false">-I6*Assumptions!I45/100</f>
        <v>-14453.1364641156</v>
      </c>
      <c r="J12" s="4" t="n">
        <f aca="false">-J6*Assumptions!J45/100</f>
        <v>-14886.730558039</v>
      </c>
      <c r="K12" s="4" t="n">
        <f aca="false">-K6*Assumptions!K45/100</f>
        <v>-15333.3324747802</v>
      </c>
      <c r="L12" s="4" t="n">
        <f aca="false">-L6*Assumptions!L45/100</f>
        <v>-15793.3324490236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28315.990845</v>
      </c>
      <c r="D13" s="0" t="n">
        <f aca="false">D11+D12</f>
        <v>20227.27563075</v>
      </c>
      <c r="E13" s="0" t="n">
        <f aca="false">E11+E12</f>
        <v>23029.285602336</v>
      </c>
      <c r="F13" s="0" t="n">
        <f aca="false">F11+F12</f>
        <v>26273.3147761266</v>
      </c>
      <c r="G13" s="0" t="n">
        <f aca="false">G11+G12</f>
        <v>27342.8479440043</v>
      </c>
      <c r="H13" s="0" t="n">
        <f aca="false">H11+H12</f>
        <v>28436.5618617645</v>
      </c>
      <c r="I13" s="0" t="n">
        <f aca="false">I11+I12</f>
        <v>29431.8415269262</v>
      </c>
      <c r="J13" s="0" t="n">
        <f aca="false">J11+J12</f>
        <v>30314.796772734</v>
      </c>
      <c r="K13" s="0" t="n">
        <f aca="false">K11+K12</f>
        <v>31224.2406759161</v>
      </c>
      <c r="L13" s="0" t="n">
        <f aca="false">L11+L12</f>
        <v>32160.9678961935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22935.95258445</v>
      </c>
      <c r="D15" s="0" t="n">
        <f aca="false">D13-MAX(0,D13)*D14/100</f>
        <v>16384.0932609075</v>
      </c>
      <c r="E15" s="0" t="n">
        <f aca="false">E13-MAX(0,E13)*E14/100</f>
        <v>18653.7213378922</v>
      </c>
      <c r="F15" s="0" t="n">
        <f aca="false">F13-MAX(0,F13)*F14/100</f>
        <v>21281.3849686625</v>
      </c>
      <c r="G15" s="0" t="n">
        <f aca="false">G13-MAX(0,G13)*G14/100</f>
        <v>22147.7068346435</v>
      </c>
      <c r="H15" s="0" t="n">
        <f aca="false">H13-MAX(0,H13)*H14/100</f>
        <v>23033.6151080292</v>
      </c>
      <c r="I15" s="0" t="n">
        <f aca="false">I13-MAX(0,I13)*I14/100</f>
        <v>23839.7916368103</v>
      </c>
      <c r="J15" s="0" t="n">
        <f aca="false">J13-MAX(0,J13)*J14/100</f>
        <v>24554.9853859146</v>
      </c>
      <c r="K15" s="0" t="n">
        <f aca="false">K13-MAX(0,K13)*K14/100</f>
        <v>25291.634947492</v>
      </c>
      <c r="L15" s="0" t="n">
        <f aca="false">L13-MAX(0,L13)*L14/100</f>
        <v>26050.3839959168</v>
      </c>
    </row>
    <row r="16" customFormat="false" ht="15" hidden="false" customHeight="false" outlineLevel="0" collapsed="false">
      <c r="A16" s="0" t="s">
        <v>119</v>
      </c>
      <c r="C16" s="0" t="n">
        <f aca="false">-C12</f>
        <v>10097.17503</v>
      </c>
      <c r="D16" s="0" t="n">
        <f aca="false">-D12</f>
        <v>10645.9345425</v>
      </c>
      <c r="E16" s="0" t="n">
        <f aca="false">-E12</f>
        <v>11514.642801168</v>
      </c>
      <c r="F16" s="0" t="n">
        <f aca="false">-F12</f>
        <v>12555.3893620428</v>
      </c>
      <c r="G16" s="0" t="n">
        <f aca="false">-G12</f>
        <v>13427.2914010735</v>
      </c>
      <c r="H16" s="0" t="n">
        <f aca="false">-H12</f>
        <v>13964.3830571165</v>
      </c>
      <c r="I16" s="0" t="n">
        <f aca="false">-I12</f>
        <v>14453.1364641156</v>
      </c>
      <c r="J16" s="0" t="n">
        <f aca="false">-J12</f>
        <v>14886.730558039</v>
      </c>
      <c r="K16" s="0" t="n">
        <f aca="false">-K12</f>
        <v>15333.3324747802</v>
      </c>
      <c r="L16" s="0" t="n">
        <f aca="false">-L12</f>
        <v>15793.3324490236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-26340.4566</v>
      </c>
      <c r="D17" s="4" t="n">
        <f aca="false">-D6*Assumptions!D46/100</f>
        <v>-22356.46253925</v>
      </c>
      <c r="E17" s="4" t="n">
        <f aca="false">-E6*Assumptions!E46/100</f>
        <v>-18822.01227114</v>
      </c>
      <c r="F17" s="4" t="n">
        <f aca="false">-F6*Assumptions!F46/100</f>
        <v>-17438.040780615</v>
      </c>
      <c r="G17" s="4" t="n">
        <f aca="false">-G6*Assumptions!G46/100</f>
        <v>-17089.2799650027</v>
      </c>
      <c r="H17" s="4" t="n">
        <f aca="false">-H6*Assumptions!H46/100</f>
        <v>-17772.8511636028</v>
      </c>
      <c r="I17" s="4" t="n">
        <f aca="false">-I6*Assumptions!I46/100</f>
        <v>-18394.9009543289</v>
      </c>
      <c r="J17" s="4" t="n">
        <f aca="false">-J6*Assumptions!J46/100</f>
        <v>-18946.7479829588</v>
      </c>
      <c r="K17" s="4" t="n">
        <f aca="false">-K6*Assumptions!K46/100</f>
        <v>-19515.1504224475</v>
      </c>
      <c r="L17" s="4" t="n">
        <f aca="false">-L6*Assumptions!L46/100</f>
        <v>-20100.604935121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329.2557075</v>
      </c>
      <c r="E18" s="4" t="n">
        <f aca="false">(E6-D6)*Assumptions!$B$51/100</f>
        <v>-425.8373817</v>
      </c>
      <c r="F18" s="4" t="n">
        <f aca="false">(F6-E6)*Assumptions!$B$51/100</f>
        <v>-553.58859621</v>
      </c>
      <c r="G18" s="4" t="n">
        <f aca="false">(G6-F6)*Assumptions!$B$51/100</f>
        <v>-581.2680260205</v>
      </c>
      <c r="H18" s="4" t="n">
        <f aca="false">(H6-G6)*Assumptions!$B$51/100</f>
        <v>-488.26514185722</v>
      </c>
      <c r="I18" s="4" t="n">
        <f aca="false">(I6-H6)*Assumptions!$B$51/100</f>
        <v>-444.32127909007</v>
      </c>
      <c r="J18" s="4" t="n">
        <f aca="false">(J6-I6)*Assumptions!$B$51/100</f>
        <v>-394.176449021333</v>
      </c>
      <c r="K18" s="4" t="n">
        <f aca="false">(K6-J6)*Assumptions!$B$51/100</f>
        <v>-406.001742491973</v>
      </c>
      <c r="L18" s="4" t="n">
        <f aca="false">(L6-K6)*Assumptions!$B$51/100</f>
        <v>-418.181794766733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6692.67101445</v>
      </c>
      <c r="D19" s="0" t="n">
        <f aca="false">D15+D16+D17+D18</f>
        <v>5002.8209716575</v>
      </c>
      <c r="E19" s="0" t="n">
        <f aca="false">E15+E16+E17+E18</f>
        <v>10920.5144862202</v>
      </c>
      <c r="F19" s="0" t="n">
        <f aca="false">F15+F16+F17+F18</f>
        <v>15845.1449538803</v>
      </c>
      <c r="G19" s="0" t="n">
        <f aca="false">G15+G16+G17+G18</f>
        <v>17904.4502446938</v>
      </c>
      <c r="H19" s="0" t="n">
        <f aca="false">H15+H16+H17+H18</f>
        <v>18736.8818596857</v>
      </c>
      <c r="I19" s="0" t="n">
        <f aca="false">I15+I16+I17+I18</f>
        <v>19453.7058675069</v>
      </c>
      <c r="J19" s="0" t="n">
        <f aca="false">J15+J16+J17+J18</f>
        <v>20100.7915119735</v>
      </c>
      <c r="K19" s="0" t="n">
        <f aca="false">K15+K16+K17+K18</f>
        <v>20703.8152573327</v>
      </c>
      <c r="L19" s="0" t="n">
        <f aca="false">L15+L16+L17+L18</f>
        <v>21324.9297150527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6112.02832369863</v>
      </c>
      <c r="D21" s="0" t="n">
        <f aca="false">D19*D20</f>
        <v>4172.40755752174</v>
      </c>
      <c r="E21" s="0" t="n">
        <f aca="false">E19*E20</f>
        <v>8317.65191731232</v>
      </c>
      <c r="F21" s="0" t="n">
        <f aca="false">F19*F20</f>
        <v>11021.4755064412</v>
      </c>
      <c r="G21" s="0" t="n">
        <f aca="false">G19*G20</f>
        <v>11373.4021270921</v>
      </c>
      <c r="H21" s="0" t="n">
        <f aca="false">H19*H20</f>
        <v>10869.5759985299</v>
      </c>
      <c r="I21" s="0" t="n">
        <f aca="false">I19*I20</f>
        <v>10306.3173489264</v>
      </c>
      <c r="J21" s="0" t="n">
        <f aca="false">J19*J20</f>
        <v>9725.23726705146</v>
      </c>
      <c r="K21" s="0" t="n">
        <f aca="false">K19*K20</f>
        <v>9147.94007768311</v>
      </c>
      <c r="L21" s="0" t="n">
        <f aca="false">L19*L20</f>
        <v>8604.9116712453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6.5</v>
      </c>
      <c r="D23" s="4" t="n">
        <f aca="false">Assumptions!D44</f>
        <v>6.5</v>
      </c>
      <c r="E23" s="4" t="n">
        <f aca="false">Assumptions!E44</f>
        <v>6.4</v>
      </c>
      <c r="F23" s="4" t="n">
        <f aca="false">Assumptions!F44</f>
        <v>6.3</v>
      </c>
      <c r="G23" s="4" t="n">
        <f aca="false">Assumptions!G44</f>
        <v>6.3</v>
      </c>
      <c r="H23" s="4" t="n">
        <f aca="false">Assumptions!H44</f>
        <v>6.3</v>
      </c>
      <c r="I23" s="4" t="n">
        <f aca="false">Assumptions!I44</f>
        <v>6.3</v>
      </c>
      <c r="J23" s="4" t="n">
        <f aca="false">Assumptions!J44</f>
        <v>6.3</v>
      </c>
      <c r="K23" s="4" t="n">
        <f aca="false">Assumptions!K44</f>
        <v>6.3</v>
      </c>
      <c r="L23" s="4" t="n">
        <f aca="false">Assumptions!L44</f>
        <v>6.3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-14267.747325</v>
      </c>
      <c r="D24" s="0" t="n">
        <f aca="false">-D6*D23/100</f>
        <v>-13839.71490525</v>
      </c>
      <c r="E24" s="0" t="n">
        <f aca="false">-E6*E23/100</f>
        <v>-14171.868062976</v>
      </c>
      <c r="F24" s="0" t="n">
        <f aca="false">-F6*F23/100</f>
        <v>-14647.9542557166</v>
      </c>
      <c r="G24" s="0" t="n">
        <f aca="false">-G6*G23/100</f>
        <v>-15380.3519685024</v>
      </c>
      <c r="H24" s="0" t="n">
        <f aca="false">-H6*H23/100</f>
        <v>-15995.5660472425</v>
      </c>
      <c r="I24" s="0" t="n">
        <f aca="false">-I6*I23/100</f>
        <v>-16555.410858896</v>
      </c>
      <c r="J24" s="0" t="n">
        <f aca="false">-J6*J23/100</f>
        <v>-17052.0731846629</v>
      </c>
      <c r="K24" s="0" t="n">
        <f aca="false">-K6*K23/100</f>
        <v>-17563.6353802028</v>
      </c>
      <c r="L24" s="0" t="n">
        <f aca="false">-L6*L23/100</f>
        <v>-18090.5444416089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89650.9477955021</v>
      </c>
    </row>
    <row r="31" customFormat="false" ht="15" hidden="false" customHeight="false" outlineLevel="0" collapsed="false">
      <c r="A31" s="0" t="s">
        <v>128</v>
      </c>
      <c r="B31" s="0" t="n">
        <f aca="false">L19</f>
        <v>21324.9297150527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312257.899398986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255899.156580632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255899.156580632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103258.940054944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192909.887850446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327913.683850446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25.1298176898409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0.461885845831352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25.1298176898409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174864.423663432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18.8609929892156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10.2537079183655</v>
      </c>
      <c r="C4" s="0" t="n">
        <f aca="false">B4/Assumptions!$B$2-1</f>
        <v>-0.403507392765241</v>
      </c>
      <c r="D4" s="4" t="n">
        <f aca="false">Assumptions!$B$24</f>
        <v>0.3</v>
      </c>
      <c r="E4" s="4" t="n">
        <f aca="false">DCF_Bear!$B$43</f>
        <v>10.2537079183655</v>
      </c>
      <c r="F4" s="4" t="n">
        <f aca="false">DCF_Bear!$B$47</f>
        <v>9.76477244533747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18.0405640094898</v>
      </c>
      <c r="C5" s="0" t="n">
        <f aca="false">B5/Assumptions!$B$2-1</f>
        <v>0.049480163437454</v>
      </c>
      <c r="D5" s="4" t="n">
        <f aca="false">Assumptions!$B$38</f>
        <v>0.5</v>
      </c>
      <c r="E5" s="4" t="n">
        <f aca="false">DCF_Base!$B$43</f>
        <v>18.0405640094898</v>
      </c>
      <c r="F5" s="4" t="n">
        <f aca="false">DCF_Base!$B$47</f>
        <v>14.4132493043786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25.1298176898409</v>
      </c>
      <c r="C6" s="0" t="n">
        <f aca="false">B6/Assumptions!$B$2-1</f>
        <v>0.461885845831352</v>
      </c>
      <c r="D6" s="4" t="n">
        <f aca="false">Assumptions!$B$52</f>
        <v>0.2</v>
      </c>
      <c r="E6" s="4" t="n">
        <f aca="false">DCF_Bull!$B$43</f>
        <v>25.1298176898409</v>
      </c>
      <c r="F6" s="4" t="n">
        <f aca="false">DCF_Bull!$B$47</f>
        <v>18.8609929892156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17.1223579182228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17.1223579182228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-0.00395051207901997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13.9082549836337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18.3544697972705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18.0405640094898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17.7409569455527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16.9584893330329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16.1204261244953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14.4132493043786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19.3899064462786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19.3899064462786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19.3899064462786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19.3899064462786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19.3899064462786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18.6834438103752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18.6834438103752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18.6834438103752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18.6834438103752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18.6834438103752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17.9954180676916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18.0405640094898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18.0405640094898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18.0405640094898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18.0405640094898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16.9754362559414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17.2018601328417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17.4549221129068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17.4549221129068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17.4549221129068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16.1584663243788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16.3284807347612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16.516391398868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16.7251810256534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16.9208627834925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2026-10-16T23:34:53Z</dcterms:created>
  <dc:creator>openpyxl</dc:creator>
  <dc:description/>
  <dc:language>en-NZ</dc:language>
  <cp:lastModifiedBy/>
  <dcterms:modified xsi:type="dcterms:W3CDTF">2026-10-16T23:34:53Z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